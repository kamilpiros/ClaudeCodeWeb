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Matth\AppData\Local\Microsoft\Windows\INetCache\Content.Outlook\JRFTF6R6\"/>
    </mc:Choice>
  </mc:AlternateContent>
  <xr:revisionPtr revIDLastSave="0" documentId="13_ncr:1_{C18239C9-7995-4A24-845F-BD29819BEEDE}"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4" i="18" l="1"/>
  <c r="M73" i="18"/>
  <c r="M72" i="18"/>
  <c r="M71" i="18"/>
  <c r="M70" i="18"/>
  <c r="M69" i="18"/>
  <c r="M68" i="18"/>
  <c r="M67" i="18"/>
  <c r="M66" i="18"/>
  <c r="E63" i="18"/>
  <c r="M63" i="18"/>
  <c r="M62" i="18"/>
  <c r="M59" i="18" l="1"/>
  <c r="M60" i="18" s="1"/>
  <c r="M61" i="18" s="1"/>
  <c r="D61" i="18" s="1"/>
  <c r="C61" i="18" s="1"/>
  <c r="M56" i="18"/>
  <c r="M54" i="18"/>
  <c r="M55" i="18" s="1"/>
  <c r="D55" i="18" s="1"/>
  <c r="C55" i="18" s="1"/>
  <c r="M53" i="18"/>
  <c r="O20" i="18"/>
  <c r="AY4" i="3" s="1"/>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<sst xmlns="http://schemas.openxmlformats.org/spreadsheetml/2006/main" count="1935" uniqueCount="393">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</sst>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7"/>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60">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164" fontId="30" fillId="2" borderId="0" xfId="0" applyNumberFormat="1" applyFont="1" applyFill="1" applyAlignment="1">
      <alignment horizontal="center" vertical="center"/>
    </xf>
    <xf numFmtId="0" fontId="3" fillId="2" borderId="5" xfId="0" applyFont="1" applyFill="1" applyBorder="1" applyAlignment="1">
      <alignment horizontal="left"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3" fillId="0" borderId="0" xfId="0" applyFont="1" applyAlignment="1">
      <alignment horizontal="left" vertical="center" wrapText="1"/>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20" fillId="0" borderId="21" xfId="0" applyFont="1" applyBorder="1" applyAlignment="1">
      <alignment horizontal="center"/>
    </xf>
    <xf numFmtId="0" fontId="20" fillId="0" borderId="22" xfId="0" applyFont="1" applyBorder="1" applyAlignment="1">
      <alignment horizont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xf numFmtId="0" fontId="12" fillId="0" borderId="0" xfId="0" applyFont="1" applyBorder="1"/>
    <xf numFmtId="165" fontId="12" fillId="0" borderId="0" xfId="0" applyNumberFormat="1" applyFont="1" applyBorder="1"/>
    <xf numFmtId="0" fontId="1" fillId="0" borderId="0" xfId="0" applyFont="1"/>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416.00079999999991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343.00058000000001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370.00045999999998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405.00072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222.00045999999995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0.78049024390243915</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0.70731926829268288</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0.43902560975609761</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0.53658585365853662</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0.36585487804878047</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0.51219658536585366</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0.55691207317073177</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'Executive Summary für dä JWU'!$H$25</c:f>
              <c:strCache>
                <c:ptCount val="1"/>
                <c:pt idx="0">
                  <c:v>SJU</c:v>
                </c:pt>
              </c:strCache>
            </c:strRef>
          </c:tx>
          <c:spPr>
            <a:ln w="28575" cap="rnd">
              <a:solidFill>
                <a:schemeClr val="accent1"/>
              </a:solidFill>
              <a:round/>
            </a:ln>
            <a:effectLst/>
          </c:spPr>
          <c:marker>
            <c:symbol val="none"/>
          </c:marker>
          <c:cat>
            <c:numRef>
              <c:f>'Executive Summary für dä JWU'!$G$26:$G$65</c:f>
              <c:numCache>
                <c:formatCode>m/d/yyyy</c:formatCode>
                <c:ptCount val="40"/>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numCache>
            </c:numRef>
          </c:cat>
          <c:val>
            <c:numRef>
              <c:f>'Executive Summary für dä JWU'!$H$26:$H$65</c:f>
              <c:numCache>
                <c:formatCode>General</c:formatCode>
                <c:ptCount val="40"/>
                <c:pt idx="0">
                  <c:v>1</c:v>
                </c:pt>
                <c:pt idx="1">
                  <c:v>2</c:v>
                </c:pt>
                <c:pt idx="2">
                  <c:v>3</c:v>
                </c:pt>
                <c:pt idx="3">
                  <c:v>3</c:v>
                </c:pt>
                <c:pt idx="4">
                  <c:v>4</c:v>
                </c:pt>
                <c:pt idx="5">
                  <c:v>5</c:v>
                </c:pt>
                <c:pt idx="6">
                  <c:v>6</c:v>
                </c:pt>
                <c:pt idx="7">
                  <c:v>7</c:v>
                </c:pt>
                <c:pt idx="8">
                  <c:v>8</c:v>
                </c:pt>
                <c:pt idx="9">
                  <c:v>9</c:v>
                </c:pt>
                <c:pt idx="10">
                  <c:v>10</c:v>
                </c:pt>
                <c:pt idx="11">
                  <c:v>11</c:v>
                </c:pt>
                <c:pt idx="12">
                  <c:v>11</c:v>
                </c:pt>
                <c:pt idx="13">
                  <c:v>12</c:v>
                </c:pt>
                <c:pt idx="14">
                  <c:v>13</c:v>
                </c:pt>
                <c:pt idx="15">
                  <c:v>14</c:v>
                </c:pt>
                <c:pt idx="16">
                  <c:v>15</c:v>
                </c:pt>
                <c:pt idx="17">
                  <c:v>15</c:v>
                </c:pt>
                <c:pt idx="18">
                  <c:v>16</c:v>
                </c:pt>
                <c:pt idx="19">
                  <c:v>16</c:v>
                </c:pt>
                <c:pt idx="20">
                  <c:v>16</c:v>
                </c:pt>
                <c:pt idx="21">
                  <c:v>17</c:v>
                </c:pt>
                <c:pt idx="22">
                  <c:v>17</c:v>
                </c:pt>
                <c:pt idx="23">
                  <c:v>17</c:v>
                </c:pt>
                <c:pt idx="24">
                  <c:v>18</c:v>
                </c:pt>
                <c:pt idx="25">
                  <c:v>19</c:v>
                </c:pt>
                <c:pt idx="26">
                  <c:v>20</c:v>
                </c:pt>
                <c:pt idx="27">
                  <c:v>21</c:v>
                </c:pt>
                <c:pt idx="28">
                  <c:v>22</c:v>
                </c:pt>
                <c:pt idx="29">
                  <c:v>23</c:v>
                </c:pt>
                <c:pt idx="30">
                  <c:v>23</c:v>
                </c:pt>
                <c:pt idx="31">
                  <c:v>24</c:v>
                </c:pt>
                <c:pt idx="32">
                  <c:v>25</c:v>
                </c:pt>
                <c:pt idx="33">
                  <c:v>26</c:v>
                </c:pt>
                <c:pt idx="34">
                  <c:v>26</c:v>
                </c:pt>
                <c:pt idx="35">
                  <c:v>27</c:v>
                </c:pt>
                <c:pt idx="36">
                  <c:v>27</c:v>
                </c:pt>
                <c:pt idx="37">
                  <c:v>28</c:v>
                </c:pt>
                <c:pt idx="38">
                  <c:v>28</c:v>
                </c:pt>
                <c:pt idx="39">
                  <c:v>28</c:v>
                </c:pt>
              </c:numCache>
            </c:numRef>
          </c:val>
          <c:smooth val="0"/>
          <c:extLst>
            <c:ext xmlns:c16="http://schemas.microsoft.com/office/drawing/2014/chart" uri="{C3380CC4-5D6E-409C-BE32-E72D297353CC}">
              <c16:uniqueId val="{00000000-4BF3-4CA5-89DF-0818844B1EEC}"/>
            </c:ext>
          </c:extLst>
        </c:ser>
        <c:ser>
          <c:idx val="1"/>
          <c:order val="1"/>
          <c:tx>
            <c:strRef>
              <c:f>'Executive Summary für dä JWU'!$I$25</c:f>
              <c:strCache>
                <c:ptCount val="1"/>
                <c:pt idx="0">
                  <c:v>MSO/MST</c:v>
                </c:pt>
              </c:strCache>
            </c:strRef>
          </c:tx>
          <c:spPr>
            <a:ln w="28575" cap="rnd">
              <a:solidFill>
                <a:schemeClr val="accent2"/>
              </a:solidFill>
              <a:round/>
            </a:ln>
            <a:effectLst/>
          </c:spPr>
          <c:marker>
            <c:symbol val="none"/>
          </c:marker>
          <c:cat>
            <c:numRef>
              <c:f>'Executive Summary für dä JWU'!$G$26:$G$65</c:f>
              <c:numCache>
                <c:formatCode>m/d/yyyy</c:formatCode>
                <c:ptCount val="40"/>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numCache>
            </c:numRef>
          </c:cat>
          <c:val>
            <c:numRef>
              <c:f>'Executive Summary für dä JWU'!$I$26:$I$65</c:f>
              <c:numCache>
                <c:formatCode>General</c:formatCode>
                <c:ptCount val="40"/>
                <c:pt idx="0">
                  <c:v>1</c:v>
                </c:pt>
                <c:pt idx="1">
                  <c:v>2</c:v>
                </c:pt>
                <c:pt idx="2">
                  <c:v>2</c:v>
                </c:pt>
                <c:pt idx="3">
                  <c:v>2</c:v>
                </c:pt>
                <c:pt idx="4">
                  <c:v>3</c:v>
                </c:pt>
                <c:pt idx="5">
                  <c:v>4</c:v>
                </c:pt>
                <c:pt idx="6">
                  <c:v>5</c:v>
                </c:pt>
                <c:pt idx="7">
                  <c:v>6</c:v>
                </c:pt>
                <c:pt idx="8">
                  <c:v>7</c:v>
                </c:pt>
                <c:pt idx="9">
                  <c:v>7</c:v>
                </c:pt>
                <c:pt idx="10">
                  <c:v>8</c:v>
                </c:pt>
                <c:pt idx="11">
                  <c:v>9</c:v>
                </c:pt>
                <c:pt idx="12">
                  <c:v>10</c:v>
                </c:pt>
                <c:pt idx="13">
                  <c:v>11</c:v>
                </c:pt>
                <c:pt idx="14">
                  <c:v>12</c:v>
                </c:pt>
                <c:pt idx="15">
                  <c:v>13</c:v>
                </c:pt>
                <c:pt idx="16">
                  <c:v>14</c:v>
                </c:pt>
                <c:pt idx="17">
                  <c:v>15</c:v>
                </c:pt>
                <c:pt idx="18">
                  <c:v>16</c:v>
                </c:pt>
                <c:pt idx="19">
                  <c:v>17</c:v>
                </c:pt>
                <c:pt idx="20">
                  <c:v>18</c:v>
                </c:pt>
                <c:pt idx="21">
                  <c:v>18</c:v>
                </c:pt>
                <c:pt idx="22">
                  <c:v>19</c:v>
                </c:pt>
                <c:pt idx="23">
                  <c:v>20</c:v>
                </c:pt>
                <c:pt idx="24">
                  <c:v>21</c:v>
                </c:pt>
                <c:pt idx="25">
                  <c:v>22</c:v>
                </c:pt>
                <c:pt idx="26">
                  <c:v>23</c:v>
                </c:pt>
                <c:pt idx="27">
                  <c:v>23</c:v>
                </c:pt>
                <c:pt idx="28">
                  <c:v>24</c:v>
                </c:pt>
                <c:pt idx="29">
                  <c:v>25</c:v>
                </c:pt>
                <c:pt idx="30">
                  <c:v>25</c:v>
                </c:pt>
                <c:pt idx="31">
                  <c:v>26</c:v>
                </c:pt>
                <c:pt idx="32">
                  <c:v>26</c:v>
                </c:pt>
                <c:pt idx="33">
                  <c:v>27</c:v>
                </c:pt>
                <c:pt idx="34">
                  <c:v>28</c:v>
                </c:pt>
                <c:pt idx="35">
                  <c:v>29</c:v>
                </c:pt>
                <c:pt idx="36">
                  <c:v>29</c:v>
                </c:pt>
                <c:pt idx="37">
                  <c:v>29</c:v>
                </c:pt>
                <c:pt idx="38">
                  <c:v>30</c:v>
                </c:pt>
                <c:pt idx="39">
                  <c:v>31</c:v>
                </c:pt>
              </c:numCache>
            </c:numRef>
          </c:val>
          <c:smooth val="0"/>
          <c:extLst>
            <c:ext xmlns:c16="http://schemas.microsoft.com/office/drawing/2014/chart" uri="{C3380CC4-5D6E-409C-BE32-E72D297353CC}">
              <c16:uniqueId val="{00000001-4BF3-4CA5-89DF-0818844B1EEC}"/>
            </c:ext>
          </c:extLst>
        </c:ser>
        <c:dLbls>
          <c:showLegendKey val="0"/>
          <c:showVal val="0"/>
          <c:showCatName val="0"/>
          <c:showSerName val="0"/>
          <c:showPercent val="0"/>
          <c:showBubbleSize val="0"/>
        </c:dLbls>
        <c:smooth val="0"/>
        <c:axId val="1245156367"/>
        <c:axId val="1345352031"/>
      </c:lineChart>
      <c:dateAx>
        <c:axId val="1245156367"/>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45352031"/>
        <c:crosses val="autoZero"/>
        <c:auto val="1"/>
        <c:lblOffset val="100"/>
        <c:baseTimeUnit val="days"/>
      </c:dateAx>
      <c:valAx>
        <c:axId val="1345352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245156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chart" Target="../charts/chart5.xml"/><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13</xdr:col>
      <xdr:colOff>1860295</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twoCellAnchor>
    <xdr:from>
      <xdr:col>5</xdr:col>
      <xdr:colOff>1789739</xdr:colOff>
      <xdr:row>38</xdr:row>
      <xdr:rowOff>91566</xdr:rowOff>
    </xdr:from>
    <xdr:to>
      <xdr:col>12</xdr:col>
      <xdr:colOff>140874</xdr:colOff>
      <xdr:row>53</xdr:row>
      <xdr:rowOff>102453</xdr:rowOff>
    </xdr:to>
    <xdr:graphicFrame macro="">
      <xdr:nvGraphicFramePr>
        <xdr:cNvPr id="14" name="Chart 13">
          <a:extLst>
            <a:ext uri="{FF2B5EF4-FFF2-40B4-BE49-F238E27FC236}">
              <a16:creationId xmlns:a16="http://schemas.microsoft.com/office/drawing/2014/main" id="{389CAFF8-E873-27AC-443E-F25D216998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Normal="100" zoomScaleSheetLayoutView="70" workbookViewId="0">
      <pane xSplit="14" ySplit="23" topLeftCell="O24" activePane="bottomRight" state="frozen"/>
      <selection pane="topRight" activeCell="P1" sqref="P1"/>
      <selection pane="bottomLeft" activeCell="A24" sqref="A24"/>
      <selection pane="bottomRight" activeCell="N52" sqref="N52"/>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8437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211"/>
      <c r="C5" s="7" t="s">
        <v>13</v>
      </c>
      <c r="D5" s="8"/>
      <c r="E5" s="8"/>
      <c r="F5" s="8"/>
      <c r="G5" s="8"/>
      <c r="H5" s="8"/>
      <c r="I5" s="9"/>
      <c r="J5" s="9"/>
      <c r="L5" s="6"/>
      <c r="M5" s="31" t="s">
        <v>14</v>
      </c>
      <c r="N5" s="8"/>
      <c r="O5" s="224" t="s">
        <v>31</v>
      </c>
      <c r="P5" s="224"/>
      <c r="Q5" s="224"/>
      <c r="R5" s="224"/>
      <c r="S5" s="225"/>
      <c r="T5" s="226">
        <f>W16</f>
        <v>6743.75</v>
      </c>
      <c r="U5" s="227"/>
      <c r="V5" s="228" t="s">
        <v>53</v>
      </c>
      <c r="W5" s="229"/>
      <c r="X5" s="228" t="s">
        <v>57</v>
      </c>
      <c r="Y5" s="229"/>
      <c r="Z5" s="228" t="s">
        <v>62</v>
      </c>
      <c r="AA5" s="229"/>
    </row>
    <row r="6" spans="2:27" ht="23.25" customHeight="1">
      <c r="B6" s="211"/>
      <c r="L6" s="6"/>
      <c r="V6" s="230"/>
      <c r="W6" s="231"/>
      <c r="X6" s="230"/>
      <c r="Y6" s="231"/>
      <c r="Z6" s="230"/>
      <c r="AA6" s="231"/>
    </row>
    <row r="7" spans="2:27">
      <c r="B7" s="33" t="s">
        <v>332</v>
      </c>
      <c r="C7" s="33" t="s">
        <v>6</v>
      </c>
      <c r="D7" s="33" t="s">
        <v>7</v>
      </c>
      <c r="E7" s="35" t="s">
        <v>8</v>
      </c>
      <c r="F7" s="35" t="s">
        <v>9</v>
      </c>
      <c r="I7" s="11"/>
      <c r="J7" s="11"/>
      <c r="L7" s="6"/>
      <c r="N7" s="33" t="s">
        <v>6</v>
      </c>
      <c r="O7" s="68" t="s">
        <v>16</v>
      </c>
      <c r="P7" s="68" t="s">
        <v>17</v>
      </c>
      <c r="Q7" s="234" t="s">
        <v>26</v>
      </c>
      <c r="R7" s="234"/>
      <c r="S7" s="235" t="s">
        <v>27</v>
      </c>
      <c r="T7" s="235"/>
      <c r="U7" s="34"/>
      <c r="V7" s="232"/>
      <c r="W7" s="233"/>
      <c r="X7" s="232"/>
      <c r="Y7" s="233"/>
      <c r="Z7" s="232"/>
      <c r="AA7" s="233"/>
    </row>
    <row r="8" spans="2:27" ht="16.5" customHeight="1">
      <c r="B8" s="10">
        <f>RANK(G8,$G$8:$G$13,1)
 + COUNTIFS($G$8:$G$13,G8,$H$8:$H$13,"&gt;"&amp;H8)</f>
        <v>3</v>
      </c>
      <c r="C8" s="12" t="s">
        <v>0</v>
      </c>
      <c r="D8" s="12">
        <f>ROUND(HLOOKUP(C8,$E$18:$J$20,3,FALSE),0)</f>
        <v>22</v>
      </c>
      <c r="E8" s="28">
        <f ca="1">D8/$C$20</f>
        <v>0.53658536585365857</v>
      </c>
      <c r="F8" s="28">
        <f ca="1">1-E8</f>
        <v>0.46341463414634143</v>
      </c>
      <c r="G8" s="27">
        <f>RANK(D8,$D$8:$D$13,0)</f>
        <v>3</v>
      </c>
      <c r="H8" s="27">
        <f>RANK(E21,$E$21:$J$21,0)</f>
        <v>4</v>
      </c>
      <c r="L8" s="6"/>
      <c r="N8" s="10" t="s">
        <v>2</v>
      </c>
      <c r="O8" s="13">
        <f>R20</f>
        <v>268.5</v>
      </c>
      <c r="P8" s="13">
        <v>0</v>
      </c>
      <c r="Q8" s="221"/>
      <c r="R8" s="221"/>
      <c r="S8" s="221" t="s">
        <v>18</v>
      </c>
      <c r="T8" s="221"/>
      <c r="V8" s="221" t="s">
        <v>49</v>
      </c>
      <c r="W8" s="221"/>
      <c r="X8" s="221" t="s">
        <v>59</v>
      </c>
      <c r="Y8" s="221"/>
      <c r="Z8" s="221" t="s">
        <v>66</v>
      </c>
      <c r="AA8" s="221"/>
    </row>
    <row r="9" spans="2:27">
      <c r="B9" s="10">
        <f>RANK(G9,$G$8:$G$13,1)
 + COUNTIFS($G$8:$G$13,G9,$H$8:$H$13,"&gt;"&amp;H9)</f>
        <v>6</v>
      </c>
      <c r="C9" s="12" t="s">
        <v>4</v>
      </c>
      <c r="D9" s="12">
        <f t="shared" ref="D9:D13" si="0">ROUND(HLOOKUP(C9,$E$18:$J$20,3,FALSE),0)</f>
        <v>15</v>
      </c>
      <c r="E9" s="28">
        <f t="shared" ref="E9:E10" ca="1" si="1">D9/$C$20</f>
        <v>0.36585365853658536</v>
      </c>
      <c r="F9" s="28">
        <f ca="1">1-E9</f>
        <v>0.63414634146341464</v>
      </c>
      <c r="G9" s="27">
        <f>RANK(D9,$D$8:$D$13,0)</f>
        <v>6</v>
      </c>
      <c r="H9" s="27">
        <f>RANK(F21,$E$21:$J$21,0)</f>
        <v>2</v>
      </c>
      <c r="J9"/>
      <c r="L9" s="6"/>
      <c r="N9" s="10" t="s">
        <v>4</v>
      </c>
      <c r="O9" s="13">
        <f>P20</f>
        <v>355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18</v>
      </c>
      <c r="E10" s="28">
        <f t="shared" ca="1" si="1"/>
        <v>0.43902439024390244</v>
      </c>
      <c r="F10" s="28">
        <f t="shared" ref="F10" ca="1" si="3">1-E10</f>
        <v>0.56097560975609762</v>
      </c>
      <c r="G10" s="27">
        <f t="shared" ref="G10" si="4">RANK(D10,$D$8:$D$13,0)</f>
        <v>5</v>
      </c>
      <c r="H10" s="27">
        <f>RANK(G21,$E$21:$J$21,0)</f>
        <v>5</v>
      </c>
      <c r="J10"/>
      <c r="L10" s="6"/>
      <c r="M10"/>
      <c r="N10" s="10" t="s">
        <v>3</v>
      </c>
      <c r="O10" s="13">
        <f>S20</f>
        <v>174.75</v>
      </c>
      <c r="P10" s="13">
        <v>0</v>
      </c>
      <c r="Q10" s="221"/>
      <c r="R10" s="221"/>
      <c r="S10" s="221" t="s">
        <v>18</v>
      </c>
      <c r="T10" s="221"/>
      <c r="V10" s="221" t="s">
        <v>49</v>
      </c>
      <c r="W10" s="221"/>
      <c r="X10" s="221" t="s">
        <v>61</v>
      </c>
      <c r="Y10" s="221"/>
      <c r="Z10" s="221" t="s">
        <v>67</v>
      </c>
      <c r="AA10" s="221"/>
    </row>
    <row r="11" spans="2:27">
      <c r="B11" s="10">
        <f>RANK(G11,$G$8:$G$13,1)
 + COUNTIFS($G$8:$G$13,G11,$H$8:$H$13,"&gt;"&amp;H11)</f>
        <v>4</v>
      </c>
      <c r="C11" s="12" t="s">
        <v>2</v>
      </c>
      <c r="D11" s="12">
        <f t="shared" si="0"/>
        <v>21</v>
      </c>
      <c r="E11" s="28">
        <f ca="1">D11/$C$20</f>
        <v>0.51219512195121952</v>
      </c>
      <c r="F11" s="28">
        <f ca="1">1-E11</f>
        <v>0.48780487804878048</v>
      </c>
      <c r="G11" s="27">
        <f>RANK(D11,$D$8:$D$13,0)</f>
        <v>4</v>
      </c>
      <c r="H11" s="27">
        <f>RANK(H21,$E$21:$J$21,0)</f>
        <v>5</v>
      </c>
      <c r="L11" s="6"/>
      <c r="N11" s="10" t="s">
        <v>1</v>
      </c>
      <c r="O11" s="13">
        <f>Q20</f>
        <v>307.5</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29</v>
      </c>
      <c r="E12" s="28">
        <f ca="1">D12/$C$20</f>
        <v>0.70731707317073167</v>
      </c>
      <c r="F12" s="28">
        <f ca="1">1-E12</f>
        <v>0.29268292682926833</v>
      </c>
      <c r="G12" s="27">
        <f>RANK(D12,$D$8:$D$13,0)</f>
        <v>2</v>
      </c>
      <c r="H12" s="27">
        <f>RANK(I21,$E$21:$J$21,0)</f>
        <v>2</v>
      </c>
      <c r="I12"/>
      <c r="L12" s="6"/>
      <c r="N12" s="10" t="s">
        <v>0</v>
      </c>
      <c r="O12" s="47">
        <f>O20</f>
        <v>258.75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32</v>
      </c>
      <c r="E13" s="28">
        <f ca="1">D13/$C$20</f>
        <v>0.78048780487804881</v>
      </c>
      <c r="F13" s="28">
        <f ca="1">1-E13</f>
        <v>0.21951219512195119</v>
      </c>
      <c r="G13" s="27">
        <f>RANK(D13,$D$8:$D$13,0)</f>
        <v>1</v>
      </c>
      <c r="H13" s="27">
        <f>RANK(J21,$E$21:$J$21,0)</f>
        <v>1</v>
      </c>
      <c r="L13" s="6"/>
      <c r="N13" s="10" t="s">
        <v>22</v>
      </c>
      <c r="O13" s="13">
        <f>T20</f>
        <v>141.25</v>
      </c>
      <c r="P13" s="13">
        <v>0</v>
      </c>
      <c r="Q13" s="221"/>
      <c r="R13" s="221"/>
      <c r="S13" s="221" t="s">
        <v>18</v>
      </c>
      <c r="T13" s="221"/>
      <c r="V13" s="221" t="s">
        <v>52</v>
      </c>
      <c r="W13" s="221"/>
      <c r="X13" s="236" t="s">
        <v>367</v>
      </c>
      <c r="Y13" s="236"/>
      <c r="Z13" s="221" t="s">
        <v>63</v>
      </c>
      <c r="AA13" s="221"/>
    </row>
    <row r="14" spans="2:27" ht="17.149999999999999" thickBot="1">
      <c r="B14" s="211"/>
      <c r="F14" s="63"/>
      <c r="L14" s="6"/>
      <c r="N14" s="29"/>
      <c r="O14" s="29"/>
      <c r="P14" s="29"/>
      <c r="Q14" s="238"/>
      <c r="R14" s="238"/>
      <c r="S14" s="238"/>
      <c r="T14" s="238"/>
      <c r="X14" s="237"/>
      <c r="Y14" s="237"/>
    </row>
    <row r="15" spans="2:27" ht="13.5" customHeight="1" thickBot="1">
      <c r="B15" s="211"/>
      <c r="L15" s="6"/>
      <c r="M15"/>
      <c r="Q15" s="1" t="s">
        <v>366</v>
      </c>
      <c r="S15" s="15">
        <v>1000</v>
      </c>
      <c r="V15" s="139" t="s">
        <v>125</v>
      </c>
      <c r="W15" s="140">
        <f>O16+S16</f>
        <v>5743.75</v>
      </c>
    </row>
    <row r="16" spans="2:27" ht="17.149999999999999" thickBot="1">
      <c r="B16" s="211"/>
      <c r="L16" s="6"/>
      <c r="N16" s="14" t="s">
        <v>19</v>
      </c>
      <c r="O16" s="15">
        <f>SUM(O8:O13)</f>
        <v>1505.75</v>
      </c>
      <c r="P16" s="87"/>
      <c r="Q16" s="244" t="s">
        <v>380</v>
      </c>
      <c r="R16" s="245"/>
      <c r="S16" s="15">
        <f>'Stats 2025'!W16-'Stats 2025'!O16-120-S15</f>
        <v>4238</v>
      </c>
      <c r="T16" s="1" t="s">
        <v>379</v>
      </c>
      <c r="V16" s="139" t="s">
        <v>70</v>
      </c>
      <c r="W16" s="140">
        <f>S16+S15+O16</f>
        <v>6743.75</v>
      </c>
    </row>
    <row r="17" spans="2:34" ht="12" customHeight="1">
      <c r="B17" s="211"/>
      <c r="E17" s="27">
        <f t="shared" ref="E17:J17" si="5">RANK(E20,$E20:$J20)</f>
        <v>3</v>
      </c>
      <c r="F17" s="27">
        <f t="shared" si="5"/>
        <v>6</v>
      </c>
      <c r="G17" s="27">
        <f t="shared" si="5"/>
        <v>5</v>
      </c>
      <c r="H17" s="27">
        <f t="shared" si="5"/>
        <v>4</v>
      </c>
      <c r="I17" s="27">
        <f t="shared" si="5"/>
        <v>2</v>
      </c>
      <c r="J17" s="27">
        <f t="shared" si="5"/>
        <v>1</v>
      </c>
      <c r="L17" s="6"/>
      <c r="V17" s="242"/>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43"/>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41</v>
      </c>
      <c r="E20" s="24">
        <f>SUM(E25:E91)+0.00002</f>
        <v>22.000019999999999</v>
      </c>
      <c r="F20" s="24">
        <f>SUM(F25:F91)+0.00005</f>
        <v>15.00005</v>
      </c>
      <c r="G20" s="24">
        <f>SUM(G25:G91)+0.00005</f>
        <v>18.000050000000002</v>
      </c>
      <c r="H20" s="24">
        <f>SUM(H25:H91)+0.00006</f>
        <v>21.000060000000001</v>
      </c>
      <c r="I20" s="24">
        <f>SUM(I25:I91)+0.00009</f>
        <v>29.00009</v>
      </c>
      <c r="J20" s="24">
        <f>SUM(J25:J91)+0.0001</f>
        <v>32.000100000000003</v>
      </c>
      <c r="L20" s="6"/>
      <c r="O20" s="19">
        <f>SUM(O24:O91)</f>
        <v>258.75</v>
      </c>
      <c r="P20" s="19">
        <f t="shared" ref="P20:R20" si="6">SUM(P24:P91)</f>
        <v>355</v>
      </c>
      <c r="Q20" s="19">
        <f t="shared" si="6"/>
        <v>307.5</v>
      </c>
      <c r="R20" s="19">
        <f t="shared" si="6"/>
        <v>268.5</v>
      </c>
      <c r="S20" s="19">
        <f>SUM(S24:S91)</f>
        <v>174.75</v>
      </c>
      <c r="T20" s="19">
        <f>SUM(T24:T91)</f>
        <v>141.25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20">
        <f ca="1">O20-20-(($C$20-E20)*13)</f>
        <v>-8.2497400000000027</v>
      </c>
      <c r="F22" s="220">
        <f t="shared" ref="F22:H22" ca="1" si="7">P20-20-(($C$20-F20)*13)</f>
        <v>-2.9993499999999926</v>
      </c>
      <c r="G22" s="220">
        <f ca="1">Q20-20-(($C$20-G20)*13)</f>
        <v>-11.499349999999993</v>
      </c>
      <c r="H22" s="220">
        <f t="shared" ca="1" si="7"/>
        <v>-11.49921999999998</v>
      </c>
      <c r="I22" s="220">
        <f ca="1">S20-20-(($C$20-I20)*13)</f>
        <v>-1.2488299999999981</v>
      </c>
      <c r="J22" s="220">
        <f ca="1">T20-20-(($C$20-J20)*13)</f>
        <v>4.2513000000000432</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39"/>
      <c r="D25" s="240"/>
      <c r="E25" s="240"/>
      <c r="F25" s="240"/>
      <c r="G25" s="240"/>
      <c r="H25" s="240"/>
      <c r="I25" s="240"/>
      <c r="J25" s="241"/>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39"/>
      <c r="D27" s="240"/>
      <c r="E27" s="240"/>
      <c r="F27" s="240"/>
      <c r="G27" s="240"/>
      <c r="H27" s="240"/>
      <c r="I27" s="240"/>
      <c r="J27" s="241"/>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39"/>
      <c r="D30" s="240"/>
      <c r="E30" s="240"/>
      <c r="F30" s="240"/>
      <c r="G30" s="240"/>
      <c r="H30" s="240"/>
      <c r="I30" s="240"/>
      <c r="J30" s="241"/>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39"/>
      <c r="D32" s="240"/>
      <c r="E32" s="240"/>
      <c r="F32" s="240"/>
      <c r="G32" s="240"/>
      <c r="H32" s="240"/>
      <c r="I32" s="240"/>
      <c r="J32" s="241"/>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39"/>
      <c r="D35" s="240"/>
      <c r="E35" s="240"/>
      <c r="F35" s="240"/>
      <c r="G35" s="240"/>
      <c r="H35" s="240"/>
      <c r="I35" s="240"/>
      <c r="J35" s="241"/>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39"/>
      <c r="D38" s="240"/>
      <c r="E38" s="240"/>
      <c r="F38" s="240"/>
      <c r="G38" s="240"/>
      <c r="H38" s="240"/>
      <c r="I38" s="240"/>
      <c r="J38" s="241"/>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39"/>
      <c r="D49" s="240"/>
      <c r="E49" s="240"/>
      <c r="F49" s="240"/>
      <c r="G49" s="240"/>
      <c r="H49" s="240"/>
      <c r="I49" s="240"/>
      <c r="J49" s="241"/>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39"/>
      <c r="D51" s="240"/>
      <c r="E51" s="240"/>
      <c r="F51" s="240"/>
      <c r="G51" s="240"/>
      <c r="H51" s="240"/>
      <c r="I51" s="240"/>
      <c r="J51" s="241"/>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74"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13.5</v>
      </c>
      <c r="P68" s="25">
        <v>13.5</v>
      </c>
      <c r="Q68" s="25">
        <v>0</v>
      </c>
      <c r="R68" s="25">
        <v>0</v>
      </c>
      <c r="S68" s="25">
        <v>0</v>
      </c>
      <c r="T68" s="25">
        <v>0</v>
      </c>
      <c r="V68" s="182"/>
      <c r="AG68" s="182"/>
      <c r="AH68" s="182"/>
    </row>
    <row r="69" spans="3:34">
      <c r="C69" s="12">
        <f t="shared" ca="1" si="28"/>
        <v>1</v>
      </c>
      <c r="D69" s="22">
        <f t="shared" si="29"/>
        <v>46269</v>
      </c>
      <c r="E69" s="26">
        <f t="shared" si="30"/>
        <v>1</v>
      </c>
      <c r="F69" s="26">
        <f t="shared" si="31"/>
        <v>0</v>
      </c>
      <c r="G69" s="26">
        <f t="shared" si="32"/>
        <v>0</v>
      </c>
      <c r="H69" s="26">
        <f t="shared" si="33"/>
        <v>1</v>
      </c>
      <c r="I69" s="26">
        <f t="shared" si="34"/>
        <v>0</v>
      </c>
      <c r="J69" s="26">
        <f t="shared" si="35"/>
        <v>1</v>
      </c>
      <c r="M69" s="21">
        <f t="shared" si="37"/>
        <v>46269</v>
      </c>
      <c r="N69" s="10" t="s">
        <v>24</v>
      </c>
      <c r="O69" s="25">
        <v>0</v>
      </c>
      <c r="P69" s="25">
        <v>13.5</v>
      </c>
      <c r="Q69" s="25">
        <v>13.5</v>
      </c>
      <c r="R69" s="25">
        <v>0</v>
      </c>
      <c r="S69" s="25">
        <v>13.5</v>
      </c>
      <c r="T69" s="25">
        <v>0</v>
      </c>
      <c r="V69" s="182"/>
      <c r="AG69" s="182"/>
      <c r="AH69" s="182"/>
    </row>
    <row r="70" spans="3:34">
      <c r="C70" s="12">
        <f t="shared" ca="1" si="28"/>
        <v>1</v>
      </c>
      <c r="D70" s="22">
        <f t="shared" si="29"/>
        <v>46276</v>
      </c>
      <c r="E70" s="26">
        <f t="shared" si="30"/>
        <v>0</v>
      </c>
      <c r="F70" s="26">
        <f t="shared" si="31"/>
        <v>0</v>
      </c>
      <c r="G70" s="26">
        <f t="shared" si="32"/>
        <v>0</v>
      </c>
      <c r="H70" s="26">
        <f t="shared" si="33"/>
        <v>1</v>
      </c>
      <c r="I70" s="26">
        <f t="shared" si="34"/>
        <v>1</v>
      </c>
      <c r="J70" s="26">
        <f t="shared" si="35"/>
        <v>1</v>
      </c>
      <c r="M70" s="21">
        <f t="shared" si="37"/>
        <v>46276</v>
      </c>
      <c r="N70" s="10" t="s">
        <v>24</v>
      </c>
      <c r="O70" s="25">
        <v>13.5</v>
      </c>
      <c r="P70" s="25">
        <v>13.5</v>
      </c>
      <c r="Q70" s="25">
        <v>13.5</v>
      </c>
      <c r="R70" s="25">
        <v>0</v>
      </c>
      <c r="S70" s="25">
        <v>0</v>
      </c>
      <c r="T70" s="25">
        <v>0</v>
      </c>
      <c r="V70" s="182"/>
      <c r="AG70" s="182"/>
      <c r="AH70" s="182"/>
    </row>
    <row r="71" spans="3:34">
      <c r="C71" s="12">
        <f t="shared" ca="1" si="28"/>
        <v>1</v>
      </c>
      <c r="D71" s="22">
        <f t="shared" si="29"/>
        <v>46283</v>
      </c>
      <c r="E71" s="26">
        <f t="shared" si="30"/>
        <v>0</v>
      </c>
      <c r="F71" s="26">
        <f t="shared" si="31"/>
        <v>0</v>
      </c>
      <c r="G71" s="26">
        <f t="shared" si="32"/>
        <v>0</v>
      </c>
      <c r="H71" s="26">
        <f t="shared" si="33"/>
        <v>1</v>
      </c>
      <c r="I71" s="26">
        <f t="shared" si="34"/>
        <v>0</v>
      </c>
      <c r="J71" s="26">
        <f t="shared" si="35"/>
        <v>0</v>
      </c>
      <c r="M71" s="21">
        <f t="shared" si="37"/>
        <v>46283</v>
      </c>
      <c r="N71" s="10" t="s">
        <v>24</v>
      </c>
      <c r="O71" s="25">
        <v>13.5</v>
      </c>
      <c r="P71" s="25">
        <v>13.5</v>
      </c>
      <c r="Q71" s="25">
        <v>13.5</v>
      </c>
      <c r="R71" s="25">
        <v>0</v>
      </c>
      <c r="S71" s="25">
        <v>13.5</v>
      </c>
      <c r="T71" s="25">
        <v>13.5</v>
      </c>
      <c r="AG71" s="182"/>
      <c r="AH71" s="182"/>
    </row>
    <row r="72" spans="3:34">
      <c r="C72" s="12">
        <f t="shared" ca="1" si="28"/>
        <v>1</v>
      </c>
      <c r="D72" s="22">
        <f t="shared" si="29"/>
        <v>46290</v>
      </c>
      <c r="E72" s="26">
        <f t="shared" si="30"/>
        <v>1</v>
      </c>
      <c r="F72" s="26">
        <f t="shared" si="31"/>
        <v>0</v>
      </c>
      <c r="G72" s="26">
        <f t="shared" si="32"/>
        <v>1</v>
      </c>
      <c r="H72" s="26">
        <f t="shared" si="33"/>
        <v>0</v>
      </c>
      <c r="I72" s="26">
        <f t="shared" si="34"/>
        <v>1</v>
      </c>
      <c r="J72" s="26">
        <f t="shared" si="35"/>
        <v>0</v>
      </c>
      <c r="M72" s="21">
        <f t="shared" si="37"/>
        <v>46290</v>
      </c>
      <c r="N72" s="10" t="s">
        <v>24</v>
      </c>
      <c r="O72" s="25">
        <v>0</v>
      </c>
      <c r="P72" s="25">
        <v>13.5</v>
      </c>
      <c r="Q72" s="25">
        <v>0</v>
      </c>
      <c r="R72" s="25">
        <v>13.5</v>
      </c>
      <c r="S72" s="25">
        <v>0</v>
      </c>
      <c r="T72" s="25">
        <v>13.5</v>
      </c>
      <c r="AG72" s="182"/>
      <c r="AH72" s="182"/>
    </row>
    <row r="73" spans="3:34">
      <c r="C73" s="12">
        <f t="shared" ca="1" si="28"/>
        <v>1</v>
      </c>
      <c r="D73" s="22">
        <f t="shared" si="29"/>
        <v>46297</v>
      </c>
      <c r="E73" s="26">
        <f t="shared" si="30"/>
        <v>1</v>
      </c>
      <c r="F73" s="26">
        <f t="shared" si="31"/>
        <v>0</v>
      </c>
      <c r="G73" s="26">
        <f t="shared" si="32"/>
        <v>1</v>
      </c>
      <c r="H73" s="26">
        <f t="shared" si="33"/>
        <v>0</v>
      </c>
      <c r="I73" s="26">
        <f t="shared" si="34"/>
        <v>0</v>
      </c>
      <c r="J73" s="26">
        <f t="shared" si="35"/>
        <v>1</v>
      </c>
      <c r="M73" s="21">
        <f t="shared" si="37"/>
        <v>46297</v>
      </c>
      <c r="N73" s="10" t="s">
        <v>24</v>
      </c>
      <c r="O73" s="25">
        <v>0</v>
      </c>
      <c r="P73" s="25">
        <v>13.5</v>
      </c>
      <c r="Q73" s="25">
        <v>0</v>
      </c>
      <c r="R73" s="25">
        <v>13.5</v>
      </c>
      <c r="S73" s="25">
        <v>13.5</v>
      </c>
      <c r="T73" s="25">
        <v>0</v>
      </c>
      <c r="AG73" s="182"/>
      <c r="AH73" s="182"/>
    </row>
    <row r="74" spans="3:34">
      <c r="C74" s="12">
        <f t="shared" ca="1" si="28"/>
        <v>1</v>
      </c>
      <c r="D74" s="22">
        <f t="shared" si="29"/>
        <v>46304</v>
      </c>
      <c r="E74" s="26">
        <f t="shared" si="30"/>
        <v>1</v>
      </c>
      <c r="F74" s="26">
        <f t="shared" si="31"/>
        <v>0</v>
      </c>
      <c r="G74" s="26">
        <f t="shared" si="32"/>
        <v>1</v>
      </c>
      <c r="H74" s="26">
        <f t="shared" si="33"/>
        <v>0</v>
      </c>
      <c r="I74" s="26">
        <f t="shared" si="34"/>
        <v>0</v>
      </c>
      <c r="J74" s="26">
        <f t="shared" si="35"/>
        <v>1</v>
      </c>
      <c r="M74" s="21">
        <f t="shared" si="37"/>
        <v>46304</v>
      </c>
      <c r="N74" s="10" t="s">
        <v>24</v>
      </c>
      <c r="O74" s="25">
        <v>0</v>
      </c>
      <c r="P74" s="25">
        <v>13.5</v>
      </c>
      <c r="Q74" s="25">
        <v>0</v>
      </c>
      <c r="R74" s="25">
        <v>13.5</v>
      </c>
      <c r="S74" s="25">
        <v>13.5</v>
      </c>
      <c r="T74" s="25">
        <v>0</v>
      </c>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 ref="Q10:R10"/>
    <mergeCell ref="S10:T10"/>
    <mergeCell ref="V10:W10"/>
    <mergeCell ref="X10:Y10"/>
    <mergeCell ref="Z10:AA10"/>
    <mergeCell ref="X12:Y12"/>
    <mergeCell ref="Z12:AA12"/>
    <mergeCell ref="Q13:R13"/>
    <mergeCell ref="S13:T13"/>
    <mergeCell ref="V13:W13"/>
    <mergeCell ref="X13:Y14"/>
    <mergeCell ref="Z13:AA13"/>
    <mergeCell ref="S14:T14"/>
    <mergeCell ref="V11:W11"/>
    <mergeCell ref="X11:Y11"/>
    <mergeCell ref="Z11:AA11"/>
    <mergeCell ref="X9:Y9"/>
    <mergeCell ref="Z9:AA9"/>
    <mergeCell ref="S9:T9"/>
    <mergeCell ref="V9:W9"/>
    <mergeCell ref="Q9:R9"/>
    <mergeCell ref="Q8:R8"/>
    <mergeCell ref="S8:T8"/>
    <mergeCell ref="V8:W8"/>
    <mergeCell ref="X8:Y8"/>
    <mergeCell ref="Z8:AA8"/>
    <mergeCell ref="C2:AA2"/>
    <mergeCell ref="O5:S5"/>
    <mergeCell ref="T5:U5"/>
    <mergeCell ref="V5:W7"/>
    <mergeCell ref="X5:Y7"/>
    <mergeCell ref="Z5:AA7"/>
    <mergeCell ref="Q7:R7"/>
    <mergeCell ref="S7:T7"/>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Z29" sqref="Z29"/>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416.00079999999991</v>
      </c>
      <c r="D2" s="96" t="s">
        <v>80</v>
      </c>
      <c r="E2" s="97">
        <f t="shared" ref="E2:E7" ca="1" si="1">C2/AN2</f>
        <v>0.7954126195028679</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0.78049024390243915</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32.000100000000003</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41</v>
      </c>
      <c r="AN2" s="99">
        <f ca="1">SUM(AC2:AM2)</f>
        <v>523</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141.25</v>
      </c>
      <c r="AZ2" s="142">
        <f>SUM(AO2:AY2)</f>
        <v>1581.5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8.9998999999999967</v>
      </c>
      <c r="BN2" s="217">
        <f>SUM(S2:AB2)</f>
        <v>391.00079999999991</v>
      </c>
      <c r="BO2" s="217">
        <f>SUM(T2:AB2)</f>
        <v>350.00080000000003</v>
      </c>
      <c r="BP2" s="209">
        <f>SUM(U2:AB2)</f>
        <v>299.00080000000003</v>
      </c>
      <c r="BQ2" s="216">
        <f>SUM(V2:AB2)</f>
        <v>263.00070000000005</v>
      </c>
      <c r="BR2" s="216">
        <f>SUM(W2:AB2)</f>
        <v>203.00060000000002</v>
      </c>
      <c r="BS2" s="216">
        <f>SUM(X2:AB2)</f>
        <v>168.00050000000002</v>
      </c>
      <c r="BT2" s="216">
        <f>SUM(Y2:AB2)</f>
        <v>134.00040000000001</v>
      </c>
      <c r="BU2" s="216">
        <f>SUM(Z2:AB2)</f>
        <v>99.00030000000001</v>
      </c>
      <c r="BV2" s="216">
        <f>SUM(AA2:AB2)</f>
        <v>62.000200000000007</v>
      </c>
    </row>
    <row r="3" spans="1:74" ht="12">
      <c r="A3" s="94">
        <f t="shared" si="0"/>
        <v>2</v>
      </c>
      <c r="B3" s="99" t="s">
        <v>3</v>
      </c>
      <c r="C3" s="103">
        <f>SUM(R3:AB3)</f>
        <v>405.00072</v>
      </c>
      <c r="D3" s="103" t="s">
        <v>80</v>
      </c>
      <c r="E3" s="98">
        <f t="shared" ca="1" si="1"/>
        <v>0.76415230188679251</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0.70731926829268288</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29.00009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41</v>
      </c>
      <c r="AN3" s="99">
        <f t="shared" ref="AN3:AN7" ca="1" si="10">SUM(AC3:AM3)</f>
        <v>530</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174.75</v>
      </c>
      <c r="AZ3" s="142">
        <f t="shared" ref="AZ3:AZ7" si="11">SUM(AO3:AY3)</f>
        <v>1704.5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11.99991</v>
      </c>
      <c r="BN3" s="209">
        <f t="shared" ref="BN3:BN7" si="12">SUM(S3:AB3)</f>
        <v>378.00072</v>
      </c>
      <c r="BO3" s="209">
        <f t="shared" ref="BO3:BO7" si="13">SUM(T3:AB3)</f>
        <v>342.00072</v>
      </c>
      <c r="BP3" s="217">
        <f t="shared" ref="BP3:BP8" si="14">SUM(U3:AB3)</f>
        <v>303.00072</v>
      </c>
      <c r="BQ3" s="218">
        <f t="shared" ref="BQ3:BQ7" si="15">SUM(V3:AB3)</f>
        <v>264.00063</v>
      </c>
      <c r="BR3" s="218">
        <f t="shared" ref="BR3:BR7" si="16">SUM(W3:AB3)</f>
        <v>210.00054</v>
      </c>
      <c r="BS3" s="218">
        <f t="shared" ref="BS3:BS7" si="17">SUM(X3:AB3)</f>
        <v>178.00045</v>
      </c>
      <c r="BT3" s="218">
        <f t="shared" ref="BT3:BT8" si="18">SUM(Y3:AB3)</f>
        <v>140.00036</v>
      </c>
      <c r="BU3" s="218">
        <f t="shared" ref="BU3:BU8" si="19">SUM(Z3:AB3)</f>
        <v>103.00027</v>
      </c>
      <c r="BV3" s="218">
        <f t="shared" ref="BV3:BV7" si="20">SUM(AA3:AB3)</f>
        <v>65.00018</v>
      </c>
    </row>
    <row r="4" spans="1:74" ht="12">
      <c r="A4" s="94">
        <f t="shared" si="0"/>
        <v>3</v>
      </c>
      <c r="B4" s="99" t="s">
        <v>0</v>
      </c>
      <c r="C4" s="103">
        <f t="shared" ref="C4:C7" si="21">SUM(R4:AB4)</f>
        <v>370.00045999999998</v>
      </c>
      <c r="D4" s="103" t="s">
        <v>103</v>
      </c>
      <c r="E4" s="98">
        <f t="shared" ca="1" si="1"/>
        <v>0.69811407547169801</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0.53658585365853662</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22.000019999999999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41</v>
      </c>
      <c r="AN4" s="99">
        <f t="shared" ca="1" si="10"/>
        <v>530</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258.75</v>
      </c>
      <c r="AZ4" s="142">
        <f t="shared" si="11"/>
        <v>2222.75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18.999980000000001</v>
      </c>
      <c r="BN4" s="209">
        <f t="shared" si="12"/>
        <v>342.00045999999998</v>
      </c>
      <c r="BO4" s="209">
        <f t="shared" si="13"/>
        <v>304.00045999999998</v>
      </c>
      <c r="BP4" s="209">
        <f t="shared" si="14"/>
        <v>259.00045999999998</v>
      </c>
      <c r="BQ4" s="216">
        <f t="shared" si="15"/>
        <v>226.00039000000001</v>
      </c>
      <c r="BR4" s="216">
        <f t="shared" si="16"/>
        <v>171.00032000000002</v>
      </c>
      <c r="BS4" s="216">
        <f t="shared" si="17"/>
        <v>140.00025000000002</v>
      </c>
      <c r="BT4" s="216">
        <f t="shared" si="18"/>
        <v>119.00018</v>
      </c>
      <c r="BU4" s="216">
        <f t="shared" si="19"/>
        <v>98.000110000000006</v>
      </c>
      <c r="BV4" s="216">
        <f t="shared" si="20"/>
        <v>58.000039999999998</v>
      </c>
    </row>
    <row r="5" spans="1:74" ht="12">
      <c r="A5" s="94">
        <f t="shared" si="0"/>
        <v>4</v>
      </c>
      <c r="B5" s="99" t="s">
        <v>1</v>
      </c>
      <c r="C5" s="103">
        <f t="shared" si="21"/>
        <v>343.00058000000001</v>
      </c>
      <c r="D5" s="103" t="s">
        <v>80</v>
      </c>
      <c r="E5" s="98">
        <f t="shared" ca="1" si="1"/>
        <v>0.64717090566037738</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0.43902560975609761</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18.000050000000002</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41</v>
      </c>
      <c r="AN5" s="99">
        <f t="shared" ca="1" si="10"/>
        <v>530</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307.5</v>
      </c>
      <c r="AZ5" s="142">
        <f t="shared" si="11"/>
        <v>2480.5699999999997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22.999949999999998</v>
      </c>
      <c r="BN5" s="209">
        <f t="shared" si="12"/>
        <v>313.00057999999996</v>
      </c>
      <c r="BO5" s="209">
        <f t="shared" si="13"/>
        <v>279.00057999999996</v>
      </c>
      <c r="BP5" s="209">
        <f t="shared" si="14"/>
        <v>235.00057999999996</v>
      </c>
      <c r="BQ5" s="216">
        <f t="shared" si="15"/>
        <v>195.00049999999999</v>
      </c>
      <c r="BR5" s="216">
        <f t="shared" si="16"/>
        <v>142.00042000000002</v>
      </c>
      <c r="BS5" s="216">
        <f t="shared" si="17"/>
        <v>112.00034000000001</v>
      </c>
      <c r="BT5" s="216">
        <f t="shared" si="18"/>
        <v>87.000260000000011</v>
      </c>
      <c r="BU5" s="216">
        <f t="shared" si="19"/>
        <v>61.00018</v>
      </c>
      <c r="BV5" s="216">
        <f t="shared" si="20"/>
        <v>39.000100000000003</v>
      </c>
    </row>
    <row r="6" spans="1:74" ht="12.9">
      <c r="A6" s="94">
        <f t="shared" si="0"/>
        <v>5</v>
      </c>
      <c r="B6" s="99" t="s">
        <v>4</v>
      </c>
      <c r="C6" s="103">
        <f t="shared" si="21"/>
        <v>238.00041999999996</v>
      </c>
      <c r="D6" s="103" t="s">
        <v>83</v>
      </c>
      <c r="E6" s="98">
        <f t="shared" ca="1" si="1"/>
        <v>0.44905739622641505</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0.36585487804878047</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41</v>
      </c>
      <c r="AN6" s="99">
        <f t="shared" ca="1" si="10"/>
        <v>530</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355</v>
      </c>
      <c r="AZ6" s="142">
        <f t="shared" si="11"/>
        <v>2450.5</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25.999949999999998</v>
      </c>
      <c r="BN6" s="209">
        <f t="shared" si="12"/>
        <v>210.00041999999996</v>
      </c>
      <c r="BO6" s="209">
        <f t="shared" si="13"/>
        <v>196.00042000000002</v>
      </c>
      <c r="BP6" s="209">
        <f t="shared" si="14"/>
        <v>194.00042000000002</v>
      </c>
      <c r="BQ6" s="216">
        <f t="shared" si="15"/>
        <v>192.00036</v>
      </c>
      <c r="BR6" s="216">
        <f t="shared" si="16"/>
        <v>166.00029999999998</v>
      </c>
      <c r="BS6" s="216">
        <f t="shared" si="17"/>
        <v>140.00024999999999</v>
      </c>
      <c r="BT6" s="216">
        <f t="shared" si="18"/>
        <v>109.00020000000001</v>
      </c>
      <c r="BU6" s="216">
        <f t="shared" si="19"/>
        <v>77.000150000000005</v>
      </c>
      <c r="BV6" s="216">
        <f t="shared" si="20"/>
        <v>43.000100000000003</v>
      </c>
    </row>
    <row r="7" spans="1:74" ht="12">
      <c r="A7" s="94">
        <f t="shared" si="0"/>
        <v>6</v>
      </c>
      <c r="B7" s="99" t="s">
        <v>2</v>
      </c>
      <c r="C7" s="103">
        <f t="shared" si="21"/>
        <v>222.00045999999995</v>
      </c>
      <c r="D7" s="103" t="s">
        <v>81</v>
      </c>
      <c r="E7" s="104">
        <f t="shared" ca="1" si="1"/>
        <v>0.4188687924528301</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0.51219658536585366</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21.000060000000001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41</v>
      </c>
      <c r="AN7" s="99">
        <f t="shared" ca="1" si="10"/>
        <v>530</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268.5</v>
      </c>
      <c r="AZ7" s="142">
        <f t="shared" si="11"/>
        <v>3059.5</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19.999939999999999</v>
      </c>
      <c r="BN7" s="209">
        <f t="shared" si="12"/>
        <v>195.00045999999998</v>
      </c>
      <c r="BO7" s="209">
        <f t="shared" si="13"/>
        <v>159.00046</v>
      </c>
      <c r="BP7" s="209">
        <f t="shared" si="14"/>
        <v>140.00046</v>
      </c>
      <c r="BQ7" s="216">
        <f t="shared" si="15"/>
        <v>130.00041000000002</v>
      </c>
      <c r="BR7" s="216">
        <f t="shared" si="16"/>
        <v>105.00036000000001</v>
      </c>
      <c r="BS7" s="216">
        <f t="shared" si="17"/>
        <v>86.00030000000001</v>
      </c>
      <c r="BT7" s="216">
        <f t="shared" si="18"/>
        <v>79.000240000000005</v>
      </c>
      <c r="BU7" s="216">
        <f t="shared" si="19"/>
        <v>64.00018</v>
      </c>
      <c r="BV7" s="216">
        <f t="shared" si="20"/>
        <v>44.000120000000003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6">
        <f t="shared" si="14"/>
        <v>0</v>
      </c>
      <c r="BT8" s="216">
        <f t="shared" si="18"/>
        <v>0</v>
      </c>
      <c r="BU8" s="216">
        <f t="shared" si="19"/>
        <v>0</v>
      </c>
    </row>
    <row r="9" spans="1:74" ht="12">
      <c r="A9" s="99"/>
      <c r="B9" s="99" t="s">
        <v>70</v>
      </c>
      <c r="C9" s="103">
        <f>SUM(C2:C7)</f>
        <v>1994.0034399999997</v>
      </c>
      <c r="D9" s="99"/>
      <c r="E9" s="98">
        <f ca="1">C9/AN9</f>
        <v>0.62842843996218078</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0.55691207317073177</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137.00037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246</v>
      </c>
      <c r="AN9" s="99">
        <f t="shared" ca="1" si="25"/>
        <v>3173</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1505.75</v>
      </c>
      <c r="AZ9" s="142">
        <f>SUM(AZ2:AZ7)</f>
        <v>13499.32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2.6585275609756094</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6.4936084986846927</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8"/>
      <c r="AS12" s="169"/>
      <c r="AT12" s="169"/>
      <c r="AU12" s="169"/>
    </row>
    <row r="13" spans="1:74">
      <c r="E13" s="108"/>
      <c r="F13" s="108"/>
      <c r="G13" s="108"/>
      <c r="H13" s="108"/>
      <c r="I13" s="108"/>
      <c r="J13" s="108"/>
      <c r="K13" s="108"/>
      <c r="L13" s="108"/>
      <c r="AN13" s="213"/>
      <c r="AR13" s="248"/>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46">
        <v>2016</v>
      </c>
      <c r="C17" s="247"/>
      <c r="D17" s="246">
        <v>2017</v>
      </c>
      <c r="E17" s="247"/>
      <c r="F17" s="246">
        <v>2018</v>
      </c>
      <c r="G17" s="247"/>
      <c r="H17" s="246">
        <v>2019</v>
      </c>
      <c r="I17" s="247"/>
      <c r="J17" s="246">
        <v>2020</v>
      </c>
      <c r="K17" s="247"/>
      <c r="L17" s="249">
        <v>2021</v>
      </c>
      <c r="M17" s="250"/>
      <c r="N17" s="249">
        <v>2022</v>
      </c>
      <c r="O17" s="251"/>
      <c r="P17" s="249">
        <v>2023</v>
      </c>
      <c r="Q17" s="250"/>
      <c r="R17" s="249">
        <v>2024</v>
      </c>
      <c r="S17" s="250"/>
      <c r="T17" s="249">
        <v>2025</v>
      </c>
      <c r="U17" s="250"/>
      <c r="V17" s="249">
        <v>2026</v>
      </c>
      <c r="W17" s="250"/>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416.00079999999991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405.00072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370.00045999999998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343.00058000000001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222.00045999999995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416.00079999999991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343.00058000000001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370.00045999999998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405.00072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222.00045999999995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AR12:AR13"/>
    <mergeCell ref="L17:M17"/>
    <mergeCell ref="P17:Q17"/>
    <mergeCell ref="R17:S17"/>
    <mergeCell ref="N17:O17"/>
    <mergeCell ref="T17:U17"/>
    <mergeCell ref="V17:W17"/>
    <mergeCell ref="B17:C17"/>
    <mergeCell ref="D17:E17"/>
    <mergeCell ref="F17:G17"/>
    <mergeCell ref="H17:I17"/>
    <mergeCell ref="J17:K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65"/>
  <sheetViews>
    <sheetView topLeftCell="F30" zoomScale="130" zoomScaleNormal="130" workbookViewId="0">
      <selection activeCell="O52" sqref="N52:O52"/>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19" s="214" customFormat="1" ht="30" customHeight="1">
      <c r="A1" s="215" t="str">
        <f>'All-time DF Stats'!A1</f>
        <v>Rang und</v>
      </c>
      <c r="B1" s="215" t="str">
        <f>'All-time DF Stats'!B1</f>
        <v>Name</v>
      </c>
      <c r="C1" s="215" t="s">
        <v>344</v>
      </c>
      <c r="D1" s="215" t="str">
        <f>'All-time DF Stats'!E1</f>
        <v>Total PR%</v>
      </c>
      <c r="E1" s="215" t="s">
        <v>37</v>
      </c>
      <c r="F1" s="215" t="s">
        <v>55</v>
      </c>
      <c r="G1" s="215" t="s">
        <v>314</v>
      </c>
      <c r="H1" s="215" t="s">
        <v>69</v>
      </c>
      <c r="I1" s="215" t="s">
        <v>102</v>
      </c>
      <c r="J1" s="215" t="s">
        <v>116</v>
      </c>
      <c r="K1" s="215" t="s">
        <v>123</v>
      </c>
      <c r="L1" s="215" t="s">
        <v>288</v>
      </c>
      <c r="M1" s="215" t="s">
        <v>343</v>
      </c>
      <c r="N1" s="215" t="s">
        <v>368</v>
      </c>
    </row>
    <row r="2" spans="1:19" ht="15">
      <c r="A2" s="45">
        <f>'All-time DF Stats'!A2</f>
        <v>1</v>
      </c>
      <c r="B2" s="38" t="str">
        <f>'All-time DF Stats'!B2</f>
        <v>MSO/MST</v>
      </c>
      <c r="C2" s="43">
        <f>'All-time DF Stats'!C2</f>
        <v>416.00079999999991</v>
      </c>
      <c r="D2" s="39">
        <f ca="1">'All-time DF Stats'!E2</f>
        <v>0.7954126195028679</v>
      </c>
      <c r="E2" s="54">
        <f>'All-time DF Stats'!Q2</f>
        <v>1440.25</v>
      </c>
      <c r="F2" s="166" t="s">
        <v>287</v>
      </c>
      <c r="G2" s="166"/>
      <c r="H2" s="79">
        <f ca="1">1/(1-(C2/'All-time DF Stats'!AN2))</f>
        <v>4.8878870122393394</v>
      </c>
      <c r="I2" s="110">
        <f t="shared" ref="I2:I7" si="0">C2-C3</f>
        <v>11.000079999999912</v>
      </c>
      <c r="J2" s="133" t="s">
        <v>88</v>
      </c>
      <c r="K2" s="135" t="s">
        <v>88</v>
      </c>
      <c r="L2" s="135">
        <f ca="1">E2/('All-time DF Stats'!AN2-'All-time DF Stats'!C2)</f>
        <v>13.460381012194473</v>
      </c>
      <c r="M2" s="40">
        <f>C2/$C$9</f>
        <v>0.20862591892017998</v>
      </c>
      <c r="N2" s="110">
        <v>3</v>
      </c>
      <c r="O2" s="53" t="s">
        <v>32</v>
      </c>
      <c r="P2" s="219">
        <v>42524</v>
      </c>
      <c r="Q2" s="219">
        <f ca="1">TODAY()</f>
        <v>46307</v>
      </c>
      <c r="R2" s="53">
        <f ca="1">Q2-P2</f>
        <v>3783</v>
      </c>
      <c r="S2" s="53">
        <v>3682</v>
      </c>
    </row>
    <row r="3" spans="1:19" ht="15">
      <c r="A3" s="45">
        <f>'All-time DF Stats'!A3</f>
        <v>2</v>
      </c>
      <c r="B3" s="37" t="str">
        <f>'All-time DF Stats'!B3</f>
        <v>SJU</v>
      </c>
      <c r="C3" s="44">
        <f>'All-time DF Stats'!C3</f>
        <v>405.00072</v>
      </c>
      <c r="D3" s="40">
        <f ca="1">'All-time DF Stats'!E3</f>
        <v>0.76415230188679251</v>
      </c>
      <c r="E3" s="55">
        <f>'All-time DF Stats'!Q3</f>
        <v>1529.75</v>
      </c>
      <c r="F3" s="78" t="s">
        <v>385</v>
      </c>
      <c r="G3" s="78"/>
      <c r="H3" s="80">
        <f ca="1">1/(1-(C3/'All-time DF Stats'!AN3))</f>
        <v>4.2400244225406745</v>
      </c>
      <c r="I3" s="110">
        <f>C3-C4</f>
        <v>35.000260000000026</v>
      </c>
      <c r="J3" s="110">
        <f>$C$2-C3</f>
        <v>11.000079999999912</v>
      </c>
      <c r="K3" s="134">
        <f>1/(C3/$C$2)</f>
        <v>1.0271606430724367</v>
      </c>
      <c r="L3" s="135">
        <f ca="1">E3/('All-time DF Stats'!AN3-'All-time DF Stats'!C3)</f>
        <v>12.238070491286029</v>
      </c>
      <c r="M3" s="40">
        <f>C3/$C$9</f>
        <v>0.20310933866794134</v>
      </c>
      <c r="N3" s="110">
        <v>1</v>
      </c>
      <c r="O3" s="53" t="s">
        <v>3</v>
      </c>
      <c r="P3" s="219">
        <v>42475</v>
      </c>
      <c r="Q3" s="219">
        <f>P3+S3</f>
        <v>46257.00548779271</v>
      </c>
      <c r="S3" s="53">
        <f>$S$2*K3</f>
        <v>3782.0054877927118</v>
      </c>
    </row>
    <row r="4" spans="1:19" ht="15">
      <c r="A4" s="45">
        <f>'All-time DF Stats'!A4</f>
        <v>3</v>
      </c>
      <c r="B4" s="37" t="str">
        <f>'All-time DF Stats'!B4</f>
        <v>JWU</v>
      </c>
      <c r="C4" s="44">
        <f>'All-time DF Stats'!C4</f>
        <v>370.00045999999998</v>
      </c>
      <c r="D4" s="40">
        <f ca="1">'All-time DF Stats'!E4</f>
        <v>0.69811407547169801</v>
      </c>
      <c r="E4" s="55">
        <f>'All-time DF Stats'!Q4</f>
        <v>1964</v>
      </c>
      <c r="F4" s="78" t="s">
        <v>386</v>
      </c>
      <c r="G4" s="78"/>
      <c r="H4" s="80">
        <f ca="1">1/(1-(C4/'All-time DF Stats'!AN4))</f>
        <v>3.3125095234648789</v>
      </c>
      <c r="I4" s="110">
        <f>C4-C5</f>
        <v>26.999879999999962</v>
      </c>
      <c r="J4" s="110">
        <f>$C$2-C4</f>
        <v>46.000339999999937</v>
      </c>
      <c r="K4" s="134">
        <f>1/(C4/$C$2)</f>
        <v>1.1243250886769165</v>
      </c>
      <c r="L4" s="135">
        <f ca="1">E4/('All-time DF Stats'!AN4-'All-time DF Stats'!C4)</f>
        <v>12.275035290726459</v>
      </c>
      <c r="M4" s="40">
        <f>C4/$C$9</f>
        <v>0.18555658058443472</v>
      </c>
      <c r="N4" s="110">
        <v>4</v>
      </c>
      <c r="O4" s="53" t="s">
        <v>0</v>
      </c>
      <c r="P4" s="219">
        <f t="shared" ref="P4:P7" si="1">P3</f>
        <v>42475</v>
      </c>
      <c r="Q4" s="219">
        <f>P4+S4</f>
        <v>46614.764976508406</v>
      </c>
      <c r="S4" s="53">
        <f>$S$2*K4</f>
        <v>4139.7649765084061</v>
      </c>
    </row>
    <row r="5" spans="1:19" ht="15">
      <c r="A5" s="45">
        <f>'All-time DF Stats'!A5</f>
        <v>4</v>
      </c>
      <c r="B5" s="37" t="str">
        <f>'All-time DF Stats'!B5</f>
        <v>PKN</v>
      </c>
      <c r="C5" s="44">
        <f>'All-time DF Stats'!C5</f>
        <v>343.00058000000001</v>
      </c>
      <c r="D5" s="40">
        <f ca="1">'All-time DF Stats'!E5</f>
        <v>0.64717090566037738</v>
      </c>
      <c r="E5" s="55">
        <f>'All-time DF Stats'!Q5</f>
        <v>2173.0699999999997</v>
      </c>
      <c r="F5" s="78" t="s">
        <v>297</v>
      </c>
      <c r="G5" s="78"/>
      <c r="H5" s="80">
        <f ca="1">1/(1-(C5/'All-time DF Stats'!AN5))</f>
        <v>2.8342333896008878</v>
      </c>
      <c r="I5" s="110">
        <f>C5-C6</f>
        <v>105.00016000000005</v>
      </c>
      <c r="J5" s="110">
        <f t="shared" ref="J5:J7" si="2">$C$2-C5</f>
        <v>73.000219999999899</v>
      </c>
      <c r="K5" s="134">
        <f>1/(C5/$C$2)</f>
        <v>1.2128282698530712</v>
      </c>
      <c r="L5" s="135">
        <f ca="1">E5/('All-time DF Stats'!AN5-'All-time DF Stats'!C5)</f>
        <v>11.620731230075473</v>
      </c>
      <c r="M5" s="40">
        <f t="shared" ref="M5" si="3">C5/$C$9</f>
        <v>0.1720160422591849</v>
      </c>
      <c r="N5" s="110">
        <v>0</v>
      </c>
      <c r="O5" s="53" t="s">
        <v>1</v>
      </c>
      <c r="P5" s="219">
        <f t="shared" si="1"/>
        <v>42475</v>
      </c>
      <c r="Q5" s="219">
        <f>P5+S5</f>
        <v>46940.63368959901</v>
      </c>
      <c r="S5" s="53">
        <f>$S$2*K5</f>
        <v>4465.633689599008</v>
      </c>
    </row>
    <row r="6" spans="1:19" ht="15">
      <c r="A6" s="45">
        <f>'All-time DF Stats'!A6</f>
        <v>5</v>
      </c>
      <c r="B6" s="37" t="str">
        <f>'All-time DF Stats'!B6</f>
        <v>CBO</v>
      </c>
      <c r="C6" s="44">
        <f>'All-time DF Stats'!C6</f>
        <v>238.00041999999996</v>
      </c>
      <c r="D6" s="40">
        <f ca="1">'All-time DF Stats'!E6</f>
        <v>0.44905739622641505</v>
      </c>
      <c r="E6" s="55">
        <f>'All-time DF Stats'!Q6</f>
        <v>2095.5</v>
      </c>
      <c r="F6" s="78" t="s">
        <v>56</v>
      </c>
      <c r="G6" s="78"/>
      <c r="H6" s="80">
        <f ca="1">1/(1-(C6/'All-time DF Stats'!AN6))</f>
        <v>1.8150711038693959</v>
      </c>
      <c r="I6" s="110">
        <f t="shared" si="0"/>
        <v>15.999960000000016</v>
      </c>
      <c r="J6" s="110">
        <f t="shared" si="2"/>
        <v>178.00037999999995</v>
      </c>
      <c r="K6" s="134">
        <f>1/(C6/$C$2)</f>
        <v>1.7478994364799858</v>
      </c>
      <c r="L6" s="135">
        <f ca="1">E6/('All-time DF Stats'!AN6-'All-time DF Stats'!C6)</f>
        <v>7.1763801852043754</v>
      </c>
      <c r="M6" s="40">
        <f>C6/$C$9</f>
        <v>0.119358078940927</v>
      </c>
      <c r="N6" s="110">
        <v>1</v>
      </c>
      <c r="O6" s="53" t="s">
        <v>4</v>
      </c>
      <c r="P6" s="219">
        <f t="shared" si="1"/>
        <v>42475</v>
      </c>
      <c r="Q6" s="219">
        <f>P6+S6</f>
        <v>48910.765725119309</v>
      </c>
      <c r="S6" s="53">
        <f t="shared" ref="S6:S7" si="4">$S$2*K6</f>
        <v>6435.7657251193077</v>
      </c>
    </row>
    <row r="7" spans="1:19" ht="15">
      <c r="A7" s="45">
        <f>'All-time DF Stats'!A7</f>
        <v>6</v>
      </c>
      <c r="B7" s="37" t="str">
        <f>'All-time DF Stats'!B7</f>
        <v>YMI</v>
      </c>
      <c r="C7" s="44">
        <f>'All-time DF Stats'!C7</f>
        <v>222.00045999999995</v>
      </c>
      <c r="D7" s="46">
        <f ca="1">'All-time DF Stats'!E7</f>
        <v>0.4188687924528301</v>
      </c>
      <c r="E7" s="55">
        <f>'All-time DF Stats'!Q7</f>
        <v>2791</v>
      </c>
      <c r="F7" s="78" t="s">
        <v>56</v>
      </c>
      <c r="G7" s="78"/>
      <c r="H7" s="80">
        <f ca="1">1/(1-(C7/'All-time DF Stats'!AN7))</f>
        <v>1.7207817907779988</v>
      </c>
      <c r="I7" s="110">
        <f t="shared" si="0"/>
        <v>100000000000222</v>
      </c>
      <c r="J7" s="110">
        <f t="shared" si="2"/>
        <v>194.00033999999997</v>
      </c>
      <c r="K7" s="134">
        <f t="shared" ref="K7" si="5">1/(C7/$C$2)</f>
        <v>1.8738735946763356</v>
      </c>
      <c r="L7" s="135">
        <f ca="1">E7/('All-time DF Stats'!AN7-'All-time DF Stats'!C7)</f>
        <v>9.0617018453988596</v>
      </c>
      <c r="M7" s="40">
        <f>C7/$C$9</f>
        <v>0.11133404062733211</v>
      </c>
      <c r="N7" s="110">
        <v>3</v>
      </c>
      <c r="O7" s="53" t="s">
        <v>2</v>
      </c>
      <c r="P7" s="219">
        <f t="shared" si="1"/>
        <v>42475</v>
      </c>
      <c r="Q7" s="219">
        <f>P7+S7</f>
        <v>49374.60257559827</v>
      </c>
      <c r="S7" s="53">
        <f t="shared" si="4"/>
        <v>6899.6025755982682</v>
      </c>
    </row>
    <row r="8" spans="1:19" ht="15">
      <c r="A8" s="111" t="s">
        <v>38</v>
      </c>
      <c r="B8" s="37" t="str">
        <f>'All-time DF Stats'!B8</f>
        <v>Jinderletscht</v>
      </c>
      <c r="C8" s="148">
        <v>-100000000000000</v>
      </c>
      <c r="D8" s="112" t="s">
        <v>39</v>
      </c>
      <c r="E8" s="55" t="s">
        <v>46</v>
      </c>
      <c r="F8" s="78" t="s">
        <v>79</v>
      </c>
      <c r="G8" s="78"/>
      <c r="H8" s="78" t="s">
        <v>78</v>
      </c>
      <c r="I8" s="110"/>
      <c r="J8" s="148">
        <f>$C$2-C8</f>
        <v>100000000000416</v>
      </c>
      <c r="K8" s="135" t="s">
        <v>88</v>
      </c>
      <c r="L8" s="135" t="s">
        <v>88</v>
      </c>
    </row>
    <row r="9" spans="1:19">
      <c r="C9" s="150">
        <f>SUM(C2:C7)</f>
        <v>1994.0034399999997</v>
      </c>
      <c r="E9" s="150"/>
    </row>
    <row r="16" spans="1:19">
      <c r="F16" s="219"/>
    </row>
    <row r="17" spans="3:9">
      <c r="F17" s="219"/>
    </row>
    <row r="18" spans="3:9">
      <c r="F18" s="219"/>
    </row>
    <row r="19" spans="3:9">
      <c r="C19" s="257"/>
      <c r="D19" s="258"/>
      <c r="E19" s="258"/>
      <c r="F19" s="258"/>
    </row>
    <row r="20" spans="3:9">
      <c r="C20" s="257"/>
      <c r="D20" s="258"/>
      <c r="E20" s="258"/>
      <c r="F20" s="258"/>
    </row>
    <row r="21" spans="3:9">
      <c r="C21" s="257"/>
      <c r="D21" s="258"/>
      <c r="E21" s="258"/>
      <c r="F21" s="258"/>
    </row>
    <row r="22" spans="3:9">
      <c r="C22" s="257"/>
      <c r="D22" s="258"/>
      <c r="E22" s="258"/>
      <c r="F22" s="258"/>
    </row>
    <row r="23" spans="3:9">
      <c r="C23" s="257"/>
      <c r="D23" s="258"/>
      <c r="E23" s="258"/>
      <c r="F23" s="258"/>
    </row>
    <row r="24" spans="3:9">
      <c r="C24" s="257"/>
      <c r="D24" s="258"/>
      <c r="E24" s="258"/>
      <c r="F24" s="258"/>
    </row>
    <row r="25" spans="3:9">
      <c r="H25" s="259" t="s">
        <v>3</v>
      </c>
      <c r="I25" s="259" t="s">
        <v>32</v>
      </c>
    </row>
    <row r="26" spans="3:9" ht="16.75">
      <c r="D26" s="53">
        <v>1</v>
      </c>
      <c r="G26" s="22">
        <v>46003</v>
      </c>
      <c r="H26" s="53">
        <v>1</v>
      </c>
      <c r="I26" s="53">
        <v>1</v>
      </c>
    </row>
    <row r="27" spans="3:9" ht="16.75">
      <c r="D27" s="53">
        <v>1</v>
      </c>
      <c r="G27" s="22">
        <v>46010</v>
      </c>
      <c r="H27" s="53">
        <v>2</v>
      </c>
      <c r="I27" s="53">
        <v>2</v>
      </c>
    </row>
    <row r="28" spans="3:9" ht="16.75">
      <c r="D28" s="53">
        <v>1</v>
      </c>
      <c r="G28" s="22">
        <v>46031</v>
      </c>
      <c r="H28" s="53">
        <v>3</v>
      </c>
      <c r="I28" s="53">
        <v>2</v>
      </c>
    </row>
    <row r="29" spans="3:9" ht="16.75">
      <c r="D29" s="53">
        <v>1</v>
      </c>
      <c r="G29" s="22">
        <v>46038</v>
      </c>
      <c r="H29" s="53">
        <v>3</v>
      </c>
      <c r="I29" s="53">
        <v>2</v>
      </c>
    </row>
    <row r="30" spans="3:9" ht="16.75">
      <c r="D30" s="53">
        <v>1</v>
      </c>
      <c r="G30" s="22">
        <v>46045</v>
      </c>
      <c r="H30" s="53">
        <v>4</v>
      </c>
      <c r="I30" s="53">
        <v>3</v>
      </c>
    </row>
    <row r="31" spans="3:9" ht="16.75">
      <c r="D31" s="53">
        <v>1</v>
      </c>
      <c r="G31" s="22">
        <v>46052</v>
      </c>
      <c r="H31" s="53">
        <v>5</v>
      </c>
      <c r="I31" s="53">
        <v>4</v>
      </c>
    </row>
    <row r="32" spans="3:9" ht="16.75">
      <c r="D32" s="53">
        <v>1</v>
      </c>
      <c r="G32" s="22">
        <v>46059</v>
      </c>
      <c r="H32" s="53">
        <v>6</v>
      </c>
      <c r="I32" s="53">
        <v>5</v>
      </c>
    </row>
    <row r="33" spans="4:9" ht="16.75">
      <c r="D33" s="53">
        <v>1</v>
      </c>
      <c r="G33" s="22">
        <v>46066</v>
      </c>
      <c r="H33" s="53">
        <v>7</v>
      </c>
      <c r="I33" s="53">
        <v>6</v>
      </c>
    </row>
    <row r="34" spans="4:9" ht="16.75">
      <c r="D34" s="53">
        <v>1</v>
      </c>
      <c r="G34" s="22">
        <v>46073</v>
      </c>
      <c r="H34" s="53">
        <v>8</v>
      </c>
      <c r="I34" s="53">
        <v>7</v>
      </c>
    </row>
    <row r="35" spans="4:9" ht="16.75">
      <c r="D35" s="53">
        <v>1</v>
      </c>
      <c r="G35" s="22">
        <v>46080</v>
      </c>
      <c r="H35" s="53">
        <v>9</v>
      </c>
      <c r="I35" s="53">
        <v>7</v>
      </c>
    </row>
    <row r="36" spans="4:9" ht="16.75">
      <c r="D36" s="53">
        <v>1</v>
      </c>
      <c r="G36" s="22">
        <v>46087</v>
      </c>
      <c r="H36" s="53">
        <v>10</v>
      </c>
      <c r="I36" s="53">
        <v>8</v>
      </c>
    </row>
    <row r="37" spans="4:9" ht="16.75">
      <c r="D37" s="53">
        <v>1</v>
      </c>
      <c r="G37" s="22">
        <v>46094</v>
      </c>
      <c r="H37" s="53">
        <v>11</v>
      </c>
      <c r="I37" s="53">
        <v>9</v>
      </c>
    </row>
    <row r="38" spans="4:9" ht="16.75">
      <c r="D38" s="53">
        <v>1</v>
      </c>
      <c r="G38" s="22">
        <v>46101</v>
      </c>
      <c r="H38" s="53">
        <v>11</v>
      </c>
      <c r="I38" s="53">
        <v>10</v>
      </c>
    </row>
    <row r="39" spans="4:9" ht="16.75">
      <c r="D39" s="53">
        <v>1</v>
      </c>
      <c r="G39" s="22">
        <v>46108</v>
      </c>
      <c r="H39" s="53">
        <v>12</v>
      </c>
      <c r="I39" s="53">
        <v>11</v>
      </c>
    </row>
    <row r="40" spans="4:9" ht="16.75">
      <c r="D40" s="53">
        <v>1</v>
      </c>
      <c r="G40" s="22">
        <v>46122</v>
      </c>
      <c r="H40" s="53">
        <v>13</v>
      </c>
      <c r="I40" s="53">
        <v>12</v>
      </c>
    </row>
    <row r="41" spans="4:9" ht="16.75">
      <c r="D41" s="53">
        <v>1</v>
      </c>
      <c r="G41" s="22">
        <v>46129</v>
      </c>
      <c r="H41" s="53">
        <v>14</v>
      </c>
      <c r="I41" s="53">
        <v>13</v>
      </c>
    </row>
    <row r="42" spans="4:9" ht="16.75">
      <c r="D42" s="53">
        <v>1</v>
      </c>
      <c r="G42" s="22">
        <v>46136</v>
      </c>
      <c r="H42" s="53">
        <v>15</v>
      </c>
      <c r="I42" s="53">
        <v>14</v>
      </c>
    </row>
    <row r="43" spans="4:9" ht="16.75">
      <c r="D43" s="53">
        <v>1</v>
      </c>
      <c r="G43" s="22">
        <v>46150</v>
      </c>
      <c r="H43" s="53">
        <v>15</v>
      </c>
      <c r="I43" s="53">
        <v>15</v>
      </c>
    </row>
    <row r="44" spans="4:9" ht="16.75">
      <c r="D44" s="53">
        <v>1</v>
      </c>
      <c r="G44" s="22">
        <v>46157</v>
      </c>
      <c r="H44" s="53">
        <v>16</v>
      </c>
      <c r="I44" s="53">
        <v>16</v>
      </c>
    </row>
    <row r="45" spans="4:9" ht="16.75">
      <c r="D45" s="53">
        <v>1</v>
      </c>
      <c r="G45" s="22">
        <v>46164</v>
      </c>
      <c r="H45" s="53">
        <v>16</v>
      </c>
      <c r="I45" s="53">
        <v>17</v>
      </c>
    </row>
    <row r="46" spans="4:9" ht="16.75">
      <c r="D46" s="53">
        <v>1</v>
      </c>
      <c r="G46" s="22">
        <v>46171</v>
      </c>
      <c r="H46" s="53">
        <v>16</v>
      </c>
      <c r="I46" s="53">
        <v>18</v>
      </c>
    </row>
    <row r="47" spans="4:9" ht="16.75">
      <c r="D47" s="53">
        <v>1</v>
      </c>
      <c r="G47" s="22">
        <v>46178</v>
      </c>
      <c r="H47" s="53">
        <v>17</v>
      </c>
      <c r="I47" s="53">
        <v>18</v>
      </c>
    </row>
    <row r="48" spans="4:9" ht="16.75">
      <c r="D48" s="53">
        <v>1</v>
      </c>
      <c r="G48" s="22">
        <v>46185</v>
      </c>
      <c r="H48" s="53">
        <v>17</v>
      </c>
      <c r="I48" s="53">
        <v>19</v>
      </c>
    </row>
    <row r="49" spans="4:9" ht="16.75">
      <c r="D49" s="53">
        <v>1</v>
      </c>
      <c r="G49" s="22">
        <v>46192</v>
      </c>
      <c r="H49" s="53">
        <v>17</v>
      </c>
      <c r="I49" s="53">
        <v>20</v>
      </c>
    </row>
    <row r="50" spans="4:9" ht="16.75">
      <c r="D50" s="53">
        <v>1</v>
      </c>
      <c r="G50" s="22">
        <v>46199</v>
      </c>
      <c r="H50" s="53">
        <v>18</v>
      </c>
      <c r="I50" s="53">
        <v>21</v>
      </c>
    </row>
    <row r="51" spans="4:9" ht="16.75">
      <c r="D51" s="53">
        <v>1</v>
      </c>
      <c r="G51" s="22">
        <v>46206</v>
      </c>
      <c r="H51" s="53">
        <v>19</v>
      </c>
      <c r="I51" s="53">
        <v>22</v>
      </c>
    </row>
    <row r="52" spans="4:9" ht="16.75">
      <c r="D52" s="53">
        <v>1</v>
      </c>
      <c r="G52" s="22">
        <v>46213</v>
      </c>
      <c r="H52" s="53">
        <v>20</v>
      </c>
      <c r="I52" s="53">
        <v>23</v>
      </c>
    </row>
    <row r="53" spans="4:9" ht="16.75">
      <c r="D53" s="53">
        <v>1</v>
      </c>
      <c r="G53" s="22">
        <v>46220</v>
      </c>
      <c r="H53" s="53">
        <v>21</v>
      </c>
      <c r="I53" s="53">
        <v>23</v>
      </c>
    </row>
    <row r="54" spans="4:9" ht="16.75">
      <c r="D54" s="53">
        <v>1</v>
      </c>
      <c r="G54" s="22">
        <v>46227</v>
      </c>
      <c r="H54" s="53">
        <v>22</v>
      </c>
      <c r="I54" s="53">
        <v>24</v>
      </c>
    </row>
    <row r="55" spans="4:9" ht="16.75">
      <c r="D55" s="53">
        <v>1</v>
      </c>
      <c r="G55" s="22">
        <v>46234</v>
      </c>
      <c r="H55" s="53">
        <v>23</v>
      </c>
      <c r="I55" s="53">
        <v>25</v>
      </c>
    </row>
    <row r="56" spans="4:9" ht="16.75">
      <c r="D56" s="53">
        <v>1</v>
      </c>
      <c r="G56" s="22">
        <v>46241</v>
      </c>
      <c r="H56" s="53">
        <v>23</v>
      </c>
      <c r="I56" s="53">
        <v>25</v>
      </c>
    </row>
    <row r="57" spans="4:9" ht="16.75">
      <c r="D57" s="53">
        <v>1</v>
      </c>
      <c r="G57" s="22">
        <v>46248</v>
      </c>
      <c r="H57" s="53">
        <v>24</v>
      </c>
      <c r="I57" s="53">
        <v>26</v>
      </c>
    </row>
    <row r="58" spans="4:9" ht="16.75">
      <c r="D58" s="53">
        <v>1</v>
      </c>
      <c r="G58" s="22">
        <v>46255</v>
      </c>
      <c r="H58" s="53">
        <v>25</v>
      </c>
      <c r="I58" s="53">
        <v>26</v>
      </c>
    </row>
    <row r="59" spans="4:9" ht="16.75">
      <c r="D59" s="53">
        <v>1</v>
      </c>
      <c r="G59" s="22">
        <v>46262</v>
      </c>
      <c r="H59" s="53">
        <v>26</v>
      </c>
      <c r="I59" s="53">
        <v>27</v>
      </c>
    </row>
    <row r="60" spans="4:9" ht="16.75">
      <c r="D60" s="53">
        <v>1</v>
      </c>
      <c r="G60" s="22">
        <v>46269</v>
      </c>
      <c r="H60" s="53">
        <v>26</v>
      </c>
      <c r="I60" s="53">
        <v>28</v>
      </c>
    </row>
    <row r="61" spans="4:9" ht="16.75">
      <c r="D61" s="53">
        <v>1</v>
      </c>
      <c r="G61" s="22">
        <v>46276</v>
      </c>
      <c r="H61" s="53">
        <v>27</v>
      </c>
      <c r="I61" s="53">
        <v>29</v>
      </c>
    </row>
    <row r="62" spans="4:9" ht="16.75">
      <c r="D62" s="53">
        <v>1</v>
      </c>
      <c r="G62" s="22">
        <v>46283</v>
      </c>
      <c r="H62" s="53">
        <v>27</v>
      </c>
      <c r="I62" s="53">
        <v>29</v>
      </c>
    </row>
    <row r="63" spans="4:9" ht="16.75">
      <c r="D63" s="53">
        <v>1</v>
      </c>
      <c r="G63" s="22">
        <v>46290</v>
      </c>
      <c r="H63" s="53">
        <v>28</v>
      </c>
      <c r="I63" s="53">
        <v>29</v>
      </c>
    </row>
    <row r="64" spans="4:9" ht="16.75">
      <c r="D64" s="53">
        <v>1</v>
      </c>
      <c r="G64" s="22">
        <v>46297</v>
      </c>
      <c r="H64" s="53">
        <v>28</v>
      </c>
      <c r="I64" s="53">
        <v>30</v>
      </c>
    </row>
    <row r="65" spans="4:9" ht="16.75">
      <c r="D65" s="53">
        <v>1</v>
      </c>
      <c r="G65" s="22">
        <v>46304</v>
      </c>
      <c r="H65" s="53">
        <v>28</v>
      </c>
      <c r="I65" s="53">
        <v>31</v>
      </c>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61" activePane="bottomRight" state="frozen"/>
      <selection pane="topRight" activeCell="P1" sqref="P1"/>
      <selection pane="bottomLeft" activeCell="A24" sqref="A24"/>
      <selection pane="bottomRight" activeCell="A402" sqref="A402:G402"/>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4" operator="equal">
      <formula>0</formula>
    </cfRule>
    <cfRule type="cellIs" dxfId="153" priority="65" operator="equal">
      <formula>1</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2" operator="equal">
      <formula>0</formula>
    </cfRule>
    <cfRule type="cellIs" dxfId="141" priority="63" operator="equal">
      <formula>1</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5.8413453051051833</v>
      </c>
      <c r="G2" s="152">
        <v>3</v>
      </c>
      <c r="H2" s="152">
        <v>0.25</v>
      </c>
      <c r="I2" s="153">
        <f t="shared" ref="I2:I7" si="0">AVERAGE(B2:G2)+H2</f>
        <v>5.7235575508508632</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4.947114236318777</v>
      </c>
      <c r="G4" s="152">
        <v>3</v>
      </c>
      <c r="H4" s="152"/>
      <c r="I4" s="153">
        <f t="shared" si="0"/>
        <v>4.9911857060531295</v>
      </c>
      <c r="J4" s="152"/>
    </row>
    <row r="5" spans="1:10">
      <c r="A5" s="157" t="s">
        <v>2</v>
      </c>
      <c r="B5" s="152">
        <v>6</v>
      </c>
      <c r="C5" s="152">
        <v>4</v>
      </c>
      <c r="D5" s="152">
        <v>6</v>
      </c>
      <c r="E5" s="152">
        <v>3</v>
      </c>
      <c r="F5" s="153">
        <f>'Executive Summary für dä JWU'!C7/'Executive Summary für dä JWU'!$C$2*6</f>
        <v>3.201923553993165</v>
      </c>
      <c r="G5" s="152">
        <v>3</v>
      </c>
      <c r="H5" s="152"/>
      <c r="I5" s="153">
        <f t="shared" si="0"/>
        <v>4.2003205923321945</v>
      </c>
      <c r="J5" s="152"/>
    </row>
    <row r="6" spans="1:10">
      <c r="A6" s="157" t="s">
        <v>4</v>
      </c>
      <c r="B6" s="152">
        <v>6</v>
      </c>
      <c r="C6" s="152">
        <v>2</v>
      </c>
      <c r="D6" s="152">
        <v>6</v>
      </c>
      <c r="E6" s="152">
        <v>3</v>
      </c>
      <c r="F6" s="153">
        <f>'Executive Summary für dä JWU'!C6/'Executive Summary für dä JWU'!$C$2*6</f>
        <v>3.4326917640543</v>
      </c>
      <c r="G6" s="152">
        <v>3</v>
      </c>
      <c r="H6" s="152">
        <v>0.1</v>
      </c>
      <c r="I6" s="153">
        <f t="shared" si="0"/>
        <v>4.0054486273423837</v>
      </c>
      <c r="J6" s="154" t="s">
        <v>305</v>
      </c>
    </row>
    <row r="7" spans="1:10">
      <c r="A7" s="155" t="s">
        <v>0</v>
      </c>
      <c r="B7" s="152">
        <v>6</v>
      </c>
      <c r="C7" s="152">
        <v>1</v>
      </c>
      <c r="D7" s="152">
        <v>1</v>
      </c>
      <c r="E7" s="152">
        <v>6</v>
      </c>
      <c r="F7" s="153">
        <f>'Executive Summary für dä JWU'!C4/'Executive Summary für dä JWU'!$C$2*6</f>
        <v>5.3365348335868594</v>
      </c>
      <c r="G7" s="152">
        <v>3</v>
      </c>
      <c r="H7" s="152"/>
      <c r="I7" s="153">
        <f t="shared" si="0"/>
        <v>3.7227558055978101</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6598.5</v>
      </c>
      <c r="U5" s="227"/>
      <c r="V5" s="228" t="s">
        <v>53</v>
      </c>
      <c r="W5" s="229"/>
      <c r="X5" s="228" t="s">
        <v>57</v>
      </c>
      <c r="Y5" s="229"/>
      <c r="Z5" s="228" t="s">
        <v>62</v>
      </c>
      <c r="AA5" s="229"/>
    </row>
    <row r="6" spans="1:27" ht="23.25" customHeight="1">
      <c r="B6" s="6"/>
      <c r="L6" s="6"/>
      <c r="V6" s="230"/>
      <c r="W6" s="231"/>
      <c r="X6" s="230"/>
      <c r="Y6" s="231"/>
      <c r="Z6" s="230"/>
      <c r="AA6" s="231"/>
    </row>
    <row r="7" spans="1:2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6" t="s">
        <v>367</v>
      </c>
      <c r="Y13" s="236"/>
      <c r="Z13" s="221" t="s">
        <v>63</v>
      </c>
      <c r="AA13" s="221"/>
    </row>
    <row r="14" spans="1:27" ht="17.149999999999999" thickBot="1">
      <c r="B14" s="6"/>
      <c r="F14" s="63"/>
      <c r="L14" s="6"/>
      <c r="N14" s="29"/>
      <c r="O14" s="29"/>
      <c r="P14" s="29"/>
      <c r="Q14" s="238"/>
      <c r="R14" s="238"/>
      <c r="S14" s="238"/>
      <c r="T14" s="238"/>
      <c r="X14" s="237"/>
      <c r="Y14" s="237"/>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39"/>
      <c r="D35" s="240"/>
      <c r="E35" s="240"/>
      <c r="F35" s="240"/>
      <c r="G35" s="240"/>
      <c r="H35" s="240"/>
      <c r="I35" s="240"/>
      <c r="J35" s="241"/>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39"/>
      <c r="D48" s="240"/>
      <c r="E48" s="240"/>
      <c r="F48" s="240"/>
      <c r="G48" s="240"/>
      <c r="H48" s="240"/>
      <c r="I48" s="240"/>
      <c r="J48" s="241"/>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39"/>
      <c r="D59" s="240"/>
      <c r="E59" s="240"/>
      <c r="F59" s="240"/>
      <c r="G59" s="240"/>
      <c r="H59" s="240"/>
      <c r="I59" s="240"/>
      <c r="J59" s="241"/>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39"/>
      <c r="D63" s="240"/>
      <c r="E63" s="240"/>
      <c r="F63" s="240"/>
      <c r="G63" s="240"/>
      <c r="H63" s="240"/>
      <c r="I63" s="240"/>
      <c r="J63" s="241"/>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39"/>
      <c r="D65" s="240"/>
      <c r="E65" s="240"/>
      <c r="F65" s="240"/>
      <c r="G65" s="240"/>
      <c r="H65" s="240"/>
      <c r="I65" s="240"/>
      <c r="J65" s="241"/>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C65:J65"/>
    <mergeCell ref="Q16:R16"/>
    <mergeCell ref="Q12:R12"/>
    <mergeCell ref="S12:T12"/>
    <mergeCell ref="V12:W12"/>
    <mergeCell ref="V17:V18"/>
    <mergeCell ref="C63:J63"/>
    <mergeCell ref="C59:J59"/>
    <mergeCell ref="C35:J35"/>
    <mergeCell ref="C48:J48"/>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57"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5382.5</v>
      </c>
      <c r="U5" s="227"/>
      <c r="V5" s="228" t="s">
        <v>53</v>
      </c>
      <c r="W5" s="229"/>
      <c r="X5" s="228" t="s">
        <v>57</v>
      </c>
      <c r="Y5" s="229"/>
      <c r="Z5" s="228" t="s">
        <v>62</v>
      </c>
      <c r="AA5" s="229"/>
    </row>
    <row r="6" spans="1:27" ht="23.25" customHeight="1">
      <c r="B6" s="6"/>
      <c r="L6" s="6"/>
      <c r="V6" s="230"/>
      <c r="W6" s="231"/>
      <c r="X6" s="230"/>
      <c r="Y6" s="231"/>
      <c r="Z6" s="230"/>
      <c r="AA6" s="231"/>
    </row>
    <row r="7" spans="1:2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6" t="s">
        <v>122</v>
      </c>
      <c r="Y13" s="236"/>
      <c r="Z13" s="221" t="s">
        <v>63</v>
      </c>
      <c r="AA13" s="221"/>
    </row>
    <row r="14" spans="1:27">
      <c r="B14" s="6"/>
      <c r="F14" s="63"/>
      <c r="L14" s="6"/>
      <c r="N14" s="29"/>
      <c r="O14" s="29"/>
      <c r="P14" s="29"/>
      <c r="Q14" s="238"/>
      <c r="R14" s="238"/>
      <c r="S14" s="238"/>
      <c r="T14" s="238"/>
      <c r="X14" s="237"/>
      <c r="Y14" s="237"/>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2995.2735682739599</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43" t="s">
        <v>335</v>
      </c>
      <c r="X20" s="243"/>
      <c r="Y20" s="243"/>
      <c r="Z20" s="243"/>
    </row>
    <row r="21" spans="2:34" ht="6" customHeight="1">
      <c r="B21" s="6"/>
      <c r="E21" s="2"/>
      <c r="F21" s="2"/>
      <c r="G21" s="2"/>
      <c r="H21" s="2"/>
      <c r="I21" s="2"/>
      <c r="J21" s="2"/>
      <c r="L21" s="6"/>
      <c r="O21" s="20"/>
      <c r="P21" s="20"/>
      <c r="Q21" s="20"/>
      <c r="R21" s="20"/>
      <c r="S21" s="20"/>
      <c r="T21" s="20"/>
      <c r="U21" s="20"/>
      <c r="W21" s="243"/>
      <c r="X21" s="243"/>
      <c r="Y21" s="243"/>
      <c r="Z21" s="243"/>
    </row>
    <row r="22" spans="2:34">
      <c r="B22" s="6"/>
      <c r="E22" s="18">
        <v>3</v>
      </c>
      <c r="F22" s="18">
        <v>5</v>
      </c>
      <c r="G22" s="18">
        <v>6</v>
      </c>
      <c r="H22" s="18">
        <v>7</v>
      </c>
      <c r="I22" s="18">
        <v>8</v>
      </c>
      <c r="J22" s="18">
        <v>1</v>
      </c>
      <c r="L22" s="6"/>
      <c r="W22" s="243"/>
      <c r="X22" s="243"/>
      <c r="Y22" s="243"/>
      <c r="Z22" s="243"/>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2190.92</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1810.68</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42"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3" operator="equal">
      <formula>0</formula>
    </cfRule>
    <cfRule type="cellIs" dxfId="70" priority="14" operator="greaterThan">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O16+S16-O15</f>
        <v>1326.93</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V5:W7"/>
    <mergeCell ref="V8:W8"/>
    <mergeCell ref="V9:W9"/>
    <mergeCell ref="V10:W10"/>
    <mergeCell ref="V11:W11"/>
    <mergeCell ref="Q10:R10"/>
    <mergeCell ref="Q11:R11"/>
    <mergeCell ref="V12:W12"/>
    <mergeCell ref="V13:W13"/>
    <mergeCell ref="Q12:R12"/>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4" operator="equal">
      <formula>0</formula>
    </cfRule>
    <cfRule type="cellIs" dxfId="59" priority="125" operator="equal">
      <formula>1</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0" operator="equal">
      <formula>0</formula>
    </cfRule>
    <cfRule type="cellIs" dxfId="39" priority="21" operator="greaterThan">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24" t="s">
        <v>31</v>
      </c>
      <c r="P5" s="224"/>
      <c r="Q5" s="224"/>
      <c r="R5" s="224"/>
      <c r="S5" s="225"/>
      <c r="T5" s="226">
        <f>O16+S16</f>
        <v>1395.45</v>
      </c>
      <c r="U5" s="227"/>
    </row>
    <row r="6" spans="2:21" ht="23.25" customHeight="1">
      <c r="B6" s="6"/>
      <c r="L6" s="6"/>
    </row>
    <row r="7" spans="2:21">
      <c r="B7" s="6"/>
      <c r="D7" s="33" t="s">
        <v>6</v>
      </c>
      <c r="E7" s="35" t="s">
        <v>7</v>
      </c>
      <c r="F7" s="35" t="s">
        <v>8</v>
      </c>
      <c r="G7" s="35" t="s">
        <v>9</v>
      </c>
      <c r="H7" s="11"/>
      <c r="I7" s="11"/>
      <c r="J7" s="11"/>
      <c r="L7" s="6"/>
      <c r="N7" s="33" t="s">
        <v>6</v>
      </c>
      <c r="O7" s="68" t="s">
        <v>16</v>
      </c>
      <c r="P7" s="68" t="s">
        <v>17</v>
      </c>
      <c r="Q7" s="234" t="s">
        <v>26</v>
      </c>
      <c r="R7" s="234"/>
      <c r="S7" s="235" t="s">
        <v>27</v>
      </c>
      <c r="T7" s="23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38"/>
      <c r="R14" s="238"/>
      <c r="S14" s="238"/>
      <c r="T14" s="238"/>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Q16:R16"/>
    <mergeCell ref="Q12:R12"/>
    <mergeCell ref="S12:T12"/>
    <mergeCell ref="Q13:R13"/>
    <mergeCell ref="S13:T13"/>
    <mergeCell ref="Q14:R14"/>
    <mergeCell ref="S14:T14"/>
    <mergeCell ref="Q9:R9"/>
    <mergeCell ref="S9:T9"/>
    <mergeCell ref="Q10:R10"/>
    <mergeCell ref="S10:T10"/>
    <mergeCell ref="Q11:R11"/>
    <mergeCell ref="S11:T11"/>
    <mergeCell ref="O5:S5"/>
    <mergeCell ref="T5:U5"/>
    <mergeCell ref="Q7:R7"/>
    <mergeCell ref="S7:T7"/>
    <mergeCell ref="Q8:R8"/>
    <mergeCell ref="S8:T8"/>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34" t="s">
        <v>26</v>
      </c>
      <c r="S7" s="234"/>
      <c r="T7" s="235" t="s">
        <v>27</v>
      </c>
      <c r="U7" s="23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13:S13"/>
    <mergeCell ref="T13:U13"/>
    <mergeCell ref="R14:S14"/>
    <mergeCell ref="T14:U14"/>
    <mergeCell ref="R10:S10"/>
    <mergeCell ref="T10:U10"/>
    <mergeCell ref="R11:S11"/>
    <mergeCell ref="T11:U11"/>
    <mergeCell ref="R12:S12"/>
    <mergeCell ref="T12:U12"/>
    <mergeCell ref="R7:S7"/>
    <mergeCell ref="T7:U7"/>
    <mergeCell ref="R8:S8"/>
    <mergeCell ref="T8:U8"/>
    <mergeCell ref="R9:S9"/>
    <mergeCell ref="T9:U9"/>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6A87608E-47B1-4D93-8093-56F867166C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2026-10-12T10:03:03Z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