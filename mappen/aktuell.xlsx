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defaultThemeVersion="124226"/>
  <mc:AlternateContent xmlns:mc="http://schemas.openxmlformats.org/markup-compatibility/2006">
    <mc:Choice Requires="x15">
      <x15ac:absPath xmlns:x15ac="http://schemas.microsoft.com/office/spreadsheetml/2010/11/ac" url="C:\Users\Matth\Desktop\"/>
    </mc:Choice>
  </mc:AlternateContent>
  <xr:revisionPtr revIDLastSave="0" documentId="13_ncr:1_{C375CFDF-5C61-4F31-8DD1-5D9C8CA9F9C1}" xr6:coauthVersionLast="47" xr6:coauthVersionMax="47" xr10:uidLastSave="{00000000-0000-0000-0000-000000000000}"/>
  <bookViews>
    <workbookView xWindow="-103" yWindow="-103" windowWidth="27977" windowHeight="18274" tabRatio="785" firstSheet="1" activeTab="3"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75" i="18" l="1"/>
  <c r="M74" i="18"/>
  <c r="M73" i="18"/>
  <c r="M72" i="18"/>
  <c r="M71" i="18"/>
  <c r="M70" i="18"/>
  <c r="M69" i="18"/>
  <c r="M68" i="18"/>
  <c r="M67" i="18"/>
  <c r="M66" i="18"/>
  <c r="E63" i="18"/>
  <c r="M63" i="18"/>
  <c r="M62" i="18"/>
  <c r="M59" i="18" l="1"/>
  <c r="M60" i="18" s="1"/>
  <c r="M61" i="18" s="1"/>
  <c r="D61" i="18" s="1"/>
  <c r="C61" i="18" s="1"/>
  <c r="M56" i="18"/>
  <c r="M54" i="18"/>
  <c r="M55" i="18" s="1"/>
  <c r="D55" i="18" s="1"/>
  <c r="C55" i="18" s="1"/>
  <c r="M53" i="18"/>
  <c r="O20" i="18"/>
  <c r="AY4" i="3" s="1"/>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J62" i="18"/>
  <c r="D63" i="18"/>
  <c r="C63" i="18" s="1"/>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R2" i="4" l="1"/>
  <c r="S2" i="4" s="1"/>
  <c r="T2" i="4"/>
  <c r="S7" i="4" s="1"/>
  <c r="I20" i="18"/>
  <c r="S20" i="18"/>
  <c r="O10" i="18" s="1"/>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S3" i="4" l="1"/>
  <c r="Q3" i="4" s="1"/>
  <c r="S4" i="4"/>
  <c r="S5" i="4"/>
  <c r="S6" i="4"/>
  <c r="D58" i="18"/>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E12"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I2" i="4"/>
  <c r="J5" i="4"/>
  <c r="K7" i="4"/>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K6" i="4"/>
  <c r="K4" i="4"/>
  <c r="Q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L4" i="4"/>
  <c r="L232" i="9"/>
  <c r="T232" i="9" s="1"/>
  <c r="AN7" i="3" l="1"/>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<sst xmlns="http://schemas.openxmlformats.org/spreadsheetml/2006/main" count="1934" uniqueCount="393">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</sst>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7"/>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57">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164" fontId="30" fillId="2" borderId="0" xfId="0" applyNumberFormat="1" applyFont="1" applyFill="1" applyAlignment="1">
      <alignment horizontal="center" vertical="center"/>
    </xf>
    <xf numFmtId="0" fontId="3" fillId="2" borderId="5" xfId="0" applyFont="1" applyFill="1" applyBorder="1" applyAlignment="1">
      <alignment horizontal="left" vertical="center"/>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3" fillId="0" borderId="0" xfId="0" applyFont="1" applyAlignment="1">
      <alignment horizontal="left" vertical="center" wrapText="1"/>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20" fillId="0" borderId="21" xfId="0" applyFont="1" applyBorder="1" applyAlignment="1">
      <alignment horizontal="center"/>
    </xf>
    <xf numFmtId="0" fontId="20" fillId="0" borderId="22" xfId="0" applyFont="1" applyBorder="1" applyAlignment="1">
      <alignment horizont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417.00079999999991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344.00058000000001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370.00045999999998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405.00072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222.00045999999995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0.78571666666666673</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0.69047833333333331</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0.4523821428571429</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0.52381</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0.35714404761904761</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0.5000014285714286</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0.55158876984126981</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jpe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7.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8.jpeg"/><Relationship Id="rId15" Type="http://schemas.openxmlformats.org/officeDocument/2006/relationships/image" Target="../media/image19.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20.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8.png"/><Relationship Id="rId18" Type="http://schemas.openxmlformats.org/officeDocument/2006/relationships/image" Target="../media/image26.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4.png"/><Relationship Id="rId5" Type="http://schemas.openxmlformats.org/officeDocument/2006/relationships/image" Target="../media/image21.jpeg"/><Relationship Id="rId15" Type="http://schemas.openxmlformats.org/officeDocument/2006/relationships/image" Target="../media/image9.png"/><Relationship Id="rId10" Type="http://schemas.openxmlformats.org/officeDocument/2006/relationships/image" Target="../media/image23.png"/><Relationship Id="rId19" Type="http://schemas.openxmlformats.org/officeDocument/2006/relationships/image" Target="../media/image13.jpeg"/><Relationship Id="rId4" Type="http://schemas.openxmlformats.org/officeDocument/2006/relationships/image" Target="../media/image6.png"/><Relationship Id="rId9" Type="http://schemas.openxmlformats.org/officeDocument/2006/relationships/image" Target="../media/image22.jpeg"/><Relationship Id="rId14" Type="http://schemas.openxmlformats.org/officeDocument/2006/relationships/image" Target="../media/image25.png"/></Relationships>
</file>

<file path=xl/drawings/_rels/drawing9.xml.rels><?xml version="1.0" encoding="UTF-8" standalone="yes"?>
<Relationships xmlns="http://schemas.openxmlformats.org/package/2006/relationships"><Relationship Id="rId8" Type="http://schemas.openxmlformats.org/officeDocument/2006/relationships/image" Target="../media/image22.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9.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4.png"/><Relationship Id="rId5" Type="http://schemas.openxmlformats.org/officeDocument/2006/relationships/image" Target="../media/image27.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1.jpeg"/><Relationship Id="rId9" Type="http://schemas.openxmlformats.org/officeDocument/2006/relationships/image" Target="../media/image23.png"/><Relationship Id="rId14" Type="http://schemas.openxmlformats.org/officeDocument/2006/relationships/image" Target="../media/image25.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4.png"/><Relationship Id="rId17" Type="http://schemas.openxmlformats.org/officeDocument/2006/relationships/image" Target="../media/image30.jfif"/><Relationship Id="rId2" Type="http://schemas.openxmlformats.org/officeDocument/2006/relationships/image" Target="../media/image5.png"/><Relationship Id="rId16" Type="http://schemas.openxmlformats.org/officeDocument/2006/relationships/image" Target="../media/image29.png"/><Relationship Id="rId1" Type="http://schemas.openxmlformats.org/officeDocument/2006/relationships/image" Target="../media/image3.png"/><Relationship Id="rId6" Type="http://schemas.openxmlformats.org/officeDocument/2006/relationships/image" Target="../media/image27.jpeg"/><Relationship Id="rId11" Type="http://schemas.openxmlformats.org/officeDocument/2006/relationships/image" Target="../media/image10.png"/><Relationship Id="rId5" Type="http://schemas.openxmlformats.org/officeDocument/2006/relationships/image" Target="../media/image21.jpeg"/><Relationship Id="rId15" Type="http://schemas.openxmlformats.org/officeDocument/2006/relationships/image" Target="../media/image8.pn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 Id="rId14" Type="http://schemas.openxmlformats.org/officeDocument/2006/relationships/image" Target="../media/image25.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3.png"/><Relationship Id="rId7" Type="http://schemas.openxmlformats.org/officeDocument/2006/relationships/image" Target="../media/image32.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1.jpeg"/><Relationship Id="rId5" Type="http://schemas.openxmlformats.org/officeDocument/2006/relationships/image" Target="../media/image28.png"/><Relationship Id="rId10" Type="http://schemas.openxmlformats.org/officeDocument/2006/relationships/image" Target="../media/image22.jpeg"/><Relationship Id="rId4" Type="http://schemas.openxmlformats.org/officeDocument/2006/relationships/image" Target="../media/image6.png"/><Relationship Id="rId9" Type="http://schemas.openxmlformats.org/officeDocument/2006/relationships/image" Target="../media/image19.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1.jpeg"/><Relationship Id="rId3" Type="http://schemas.openxmlformats.org/officeDocument/2006/relationships/image" Target="../media/image23.png"/><Relationship Id="rId7" Type="http://schemas.openxmlformats.org/officeDocument/2006/relationships/image" Target="../media/image28.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4.jpeg"/><Relationship Id="rId5" Type="http://schemas.openxmlformats.org/officeDocument/2006/relationships/image" Target="../media/image31.jpeg"/><Relationship Id="rId10" Type="http://schemas.openxmlformats.org/officeDocument/2006/relationships/image" Target="../media/image19.png"/><Relationship Id="rId4" Type="http://schemas.openxmlformats.org/officeDocument/2006/relationships/image" Target="../media/image6.png"/><Relationship Id="rId9" Type="http://schemas.openxmlformats.org/officeDocument/2006/relationships/image" Target="../media/image33.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2"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188947</xdr:colOff>
      <xdr:row>7</xdr:row>
      <xdr:rowOff>18166</xdr:rowOff>
    </xdr:from>
    <xdr:to>
      <xdr:col>2</xdr:col>
      <xdr:colOff>362822</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05271" y="1654225"/>
          <a:ext cx="173875" cy="179706"/>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5</xdr:col>
      <xdr:colOff>5281</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23</xdr:col>
      <xdr:colOff>2289</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15</xdr:col>
      <xdr:colOff>163</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15</xdr:col>
      <xdr:colOff>2030</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twoCellAnchor editAs="oneCell">
    <xdr:from>
      <xdr:col>13</xdr:col>
      <xdr:colOff>1600201</xdr:colOff>
      <xdr:row>9</xdr:row>
      <xdr:rowOff>21770</xdr:rowOff>
    </xdr:from>
    <xdr:to>
      <xdr:col>13</xdr:col>
      <xdr:colOff>1860295</xdr:colOff>
      <xdr:row>9</xdr:row>
      <xdr:rowOff>201385</xdr:rowOff>
    </xdr:to>
    <xdr:pic>
      <xdr:nvPicPr>
        <xdr:cNvPr id="16" name="Picture 15">
          <a:extLst>
            <a:ext uri="{FF2B5EF4-FFF2-40B4-BE49-F238E27FC236}">
              <a16:creationId xmlns:a16="http://schemas.microsoft.com/office/drawing/2014/main" id="{A5D3BD3B-856C-59C8-F6DA-9B65DB53F9E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t="18089" r="5850" b="16893"/>
        <a:stretch>
          <a:fillRect/>
        </a:stretch>
      </xdr:blipFill>
      <xdr:spPr>
        <a:xfrm>
          <a:off x="8060872" y="2057399"/>
          <a:ext cx="260094" cy="179615"/>
        </a:xfrm>
        <a:prstGeom prst="rect">
          <a:avLst/>
        </a:prstGeom>
      </xdr:spPr>
    </xdr:pic>
    <xdr:clientData/>
  </xdr:twoCellAnchor>
  <xdr:twoCellAnchor editAs="oneCell">
    <xdr:from>
      <xdr:col>13</xdr:col>
      <xdr:colOff>1066800</xdr:colOff>
      <xdr:row>12</xdr:row>
      <xdr:rowOff>27214</xdr:rowOff>
    </xdr:from>
    <xdr:to>
      <xdr:col>13</xdr:col>
      <xdr:colOff>1310187</xdr:colOff>
      <xdr:row>12</xdr:row>
      <xdr:rowOff>201385</xdr:rowOff>
    </xdr:to>
    <xdr:pic>
      <xdr:nvPicPr>
        <xdr:cNvPr id="38" name="Picture 37">
          <a:extLst>
            <a:ext uri="{FF2B5EF4-FFF2-40B4-BE49-F238E27FC236}">
              <a16:creationId xmlns:a16="http://schemas.microsoft.com/office/drawing/2014/main" id="{1C8DCB06-A68C-F0A0-A742-2DEB9F5F85B5}"/>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l="559" t="28839"/>
        <a:stretch>
          <a:fillRect/>
        </a:stretch>
      </xdr:blipFill>
      <xdr:spPr>
        <a:xfrm>
          <a:off x="7527471" y="2699657"/>
          <a:ext cx="243387" cy="174171"/>
        </a:xfrm>
        <a:prstGeom prst="rect">
          <a:avLst/>
        </a:prstGeom>
      </xdr:spPr>
    </xdr:pic>
    <xdr:clientData/>
  </xdr:twoCellAnchor>
  <xdr:twoCellAnchor editAs="oneCell">
    <xdr:from>
      <xdr:col>13</xdr:col>
      <xdr:colOff>1125712</xdr:colOff>
      <xdr:row>7</xdr:row>
      <xdr:rowOff>200745</xdr:rowOff>
    </xdr:from>
    <xdr:to>
      <xdr:col>13</xdr:col>
      <xdr:colOff>1344946</xdr:colOff>
      <xdr:row>8</xdr:row>
      <xdr:rowOff>206603</xdr:rowOff>
    </xdr:to>
    <xdr:pic>
      <xdr:nvPicPr>
        <xdr:cNvPr id="40" name="Picture 21">
          <a:extLst>
            <a:ext uri="{FF2B5EF4-FFF2-40B4-BE49-F238E27FC236}">
              <a16:creationId xmlns:a16="http://schemas.microsoft.com/office/drawing/2014/main" id="{8469C343-DC0C-455F-8F25-878A8C80926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586383" y="1817274"/>
          <a:ext cx="219234" cy="2126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5234375" defaultRowHeight="16.75"/>
  <cols>
    <col min="1" max="1" width="13.69140625" style="58" hidden="1" customWidth="1"/>
    <col min="2" max="2" width="14.3046875" style="58" customWidth="1"/>
    <col min="3" max="8" width="10" style="58" customWidth="1"/>
    <col min="9" max="14" width="10" style="58" hidden="1" customWidth="1"/>
    <col min="15" max="15" width="64.3828125" style="58" customWidth="1"/>
    <col min="16" max="16" width="12.15234375" style="58" customWidth="1"/>
    <col min="17" max="23" width="10.15234375" style="58" customWidth="1"/>
    <col min="24" max="24" width="12.3828125" style="58" bestFit="1" customWidth="1"/>
    <col min="25" max="25" width="13.84375" style="58" customWidth="1"/>
    <col min="26" max="31" width="10.15234375" style="58" customWidth="1"/>
    <col min="32" max="32" width="9.15234375" style="58"/>
    <col min="39" max="45" width="8.53515625" style="58" customWidth="1"/>
    <col min="46" max="16384" width="9.1523437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zoomScaleNormal="100" zoomScaleSheetLayoutView="70" workbookViewId="0">
      <pane xSplit="14" ySplit="23" topLeftCell="O63" activePane="bottomRight" state="frozen"/>
      <selection pane="topRight" activeCell="P1" sqref="P1"/>
      <selection pane="bottomLeft" activeCell="A24" sqref="A24"/>
      <selection pane="bottomRight" activeCell="O76" sqref="O76"/>
    </sheetView>
  </sheetViews>
  <sheetFormatPr defaultColWidth="11.3828125" defaultRowHeight="16.75"/>
  <cols>
    <col min="1" max="1" width="4" style="1" customWidth="1"/>
    <col min="2" max="2" width="5.15234375" style="210" customWidth="1"/>
    <col min="3" max="3" width="7.3046875" style="2" customWidth="1"/>
    <col min="4" max="4" width="12.53515625" style="1" customWidth="1"/>
    <col min="5" max="5" width="10.3046875" style="1" bestFit="1" customWidth="1"/>
    <col min="6" max="6" width="7.15234375" style="1" customWidth="1"/>
    <col min="7" max="7" width="7.3828125" style="1" customWidth="1"/>
    <col min="8" max="9" width="7.15234375" style="1" customWidth="1"/>
    <col min="10" max="10" width="7.84375" style="1" bestFit="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211"/>
      <c r="C5" s="7" t="s">
        <v>13</v>
      </c>
      <c r="D5" s="8"/>
      <c r="E5" s="8"/>
      <c r="F5" s="8"/>
      <c r="G5" s="8"/>
      <c r="H5" s="8"/>
      <c r="I5" s="9"/>
      <c r="J5" s="9"/>
      <c r="L5" s="6"/>
      <c r="M5" s="31" t="s">
        <v>14</v>
      </c>
      <c r="N5" s="8"/>
      <c r="O5" s="224" t="s">
        <v>31</v>
      </c>
      <c r="P5" s="224"/>
      <c r="Q5" s="224"/>
      <c r="R5" s="224"/>
      <c r="S5" s="225"/>
      <c r="T5" s="226">
        <f>W16</f>
        <v>6797.75</v>
      </c>
      <c r="U5" s="227"/>
      <c r="V5" s="228" t="s">
        <v>53</v>
      </c>
      <c r="W5" s="229"/>
      <c r="X5" s="228" t="s">
        <v>57</v>
      </c>
      <c r="Y5" s="229"/>
      <c r="Z5" s="228" t="s">
        <v>62</v>
      </c>
      <c r="AA5" s="229"/>
    </row>
    <row r="6" spans="2:27" ht="23.25" customHeight="1">
      <c r="B6" s="211"/>
      <c r="L6" s="6"/>
      <c r="V6" s="230"/>
      <c r="W6" s="231"/>
      <c r="X6" s="230"/>
      <c r="Y6" s="231"/>
      <c r="Z6" s="230"/>
      <c r="AA6" s="231"/>
    </row>
    <row r="7" spans="2:27">
      <c r="B7" s="33" t="s">
        <v>332</v>
      </c>
      <c r="C7" s="33" t="s">
        <v>6</v>
      </c>
      <c r="D7" s="33" t="s">
        <v>7</v>
      </c>
      <c r="E7" s="35" t="s">
        <v>8</v>
      </c>
      <c r="F7" s="35" t="s">
        <v>9</v>
      </c>
      <c r="I7" s="11"/>
      <c r="J7" s="11"/>
      <c r="L7" s="6"/>
      <c r="N7" s="33" t="s">
        <v>6</v>
      </c>
      <c r="O7" s="68" t="s">
        <v>16</v>
      </c>
      <c r="P7" s="68" t="s">
        <v>17</v>
      </c>
      <c r="Q7" s="234" t="s">
        <v>26</v>
      </c>
      <c r="R7" s="234"/>
      <c r="S7" s="235" t="s">
        <v>27</v>
      </c>
      <c r="T7" s="235"/>
      <c r="U7" s="34"/>
      <c r="V7" s="232"/>
      <c r="W7" s="233"/>
      <c r="X7" s="232"/>
      <c r="Y7" s="233"/>
      <c r="Z7" s="232"/>
      <c r="AA7" s="233"/>
    </row>
    <row r="8" spans="2:27" ht="16.5" customHeight="1">
      <c r="B8" s="10">
        <f>RANK(G8,$G$8:$G$13,1)
 + COUNTIFS($G$8:$G$13,G8,$H$8:$H$13,"&gt;"&amp;H8)</f>
        <v>3</v>
      </c>
      <c r="C8" s="12" t="s">
        <v>0</v>
      </c>
      <c r="D8" s="12">
        <f>ROUND(HLOOKUP(C8,$E$18:$J$20,3,FALSE),0)</f>
        <v>22</v>
      </c>
      <c r="E8" s="28">
        <f ca="1">D8/$C$20</f>
        <v>0.52380952380952384</v>
      </c>
      <c r="F8" s="28">
        <f ca="1">1-E8</f>
        <v>0.47619047619047616</v>
      </c>
      <c r="G8" s="27">
        <f>RANK(D8,$D$8:$D$13,0)</f>
        <v>3</v>
      </c>
      <c r="H8" s="27">
        <f>RANK(E21,$E$21:$J$21,0)</f>
        <v>4</v>
      </c>
      <c r="L8" s="6"/>
      <c r="N8" s="10" t="s">
        <v>2</v>
      </c>
      <c r="O8" s="13">
        <f>R20</f>
        <v>282</v>
      </c>
      <c r="P8" s="13">
        <v>0</v>
      </c>
      <c r="Q8" s="221"/>
      <c r="R8" s="221"/>
      <c r="S8" s="221" t="s">
        <v>18</v>
      </c>
      <c r="T8" s="221"/>
      <c r="V8" s="221" t="s">
        <v>49</v>
      </c>
      <c r="W8" s="221"/>
      <c r="X8" s="221" t="s">
        <v>59</v>
      </c>
      <c r="Y8" s="221"/>
      <c r="Z8" s="221" t="s">
        <v>66</v>
      </c>
      <c r="AA8" s="221"/>
    </row>
    <row r="9" spans="2:27">
      <c r="B9" s="10">
        <f>RANK(G9,$G$8:$G$13,1)
 + COUNTIFS($G$8:$G$13,G9,$H$8:$H$13,"&gt;"&amp;H9)</f>
        <v>6</v>
      </c>
      <c r="C9" s="12" t="s">
        <v>4</v>
      </c>
      <c r="D9" s="12">
        <f t="shared" ref="D9:D13" si="0">ROUND(HLOOKUP(C9,$E$18:$J$20,3,FALSE),0)</f>
        <v>15</v>
      </c>
      <c r="E9" s="28">
        <f t="shared" ref="E9:E10" ca="1" si="1">D9/$C$20</f>
        <v>0.35714285714285715</v>
      </c>
      <c r="F9" s="28">
        <f ca="1">1-E9</f>
        <v>0.64285714285714279</v>
      </c>
      <c r="G9" s="27">
        <f>RANK(D9,$D$8:$D$13,0)</f>
        <v>6</v>
      </c>
      <c r="H9" s="27">
        <f>RANK(F21,$E$21:$J$21,0)</f>
        <v>2</v>
      </c>
      <c r="J9"/>
      <c r="L9" s="6"/>
      <c r="N9" s="10" t="s">
        <v>4</v>
      </c>
      <c r="O9" s="13">
        <f>P20</f>
        <v>368.5</v>
      </c>
      <c r="P9" s="13">
        <v>0</v>
      </c>
      <c r="Q9" s="221"/>
      <c r="R9" s="221"/>
      <c r="S9" s="221" t="s">
        <v>18</v>
      </c>
      <c r="T9" s="221"/>
      <c r="V9" s="221" t="s">
        <v>50</v>
      </c>
      <c r="W9" s="221"/>
      <c r="X9" s="221" t="s">
        <v>58</v>
      </c>
      <c r="Y9" s="221"/>
      <c r="Z9" s="221" t="s">
        <v>65</v>
      </c>
      <c r="AA9" s="221"/>
    </row>
    <row r="10" spans="2:27">
      <c r="B10" s="10">
        <f t="shared" ref="B10" si="2">RANK(G10,$G$8:$G$13,1)
 + COUNTIFS($G$8:$G$13,G10,$H$8:$H$13,"&gt;"&amp;H10)</f>
        <v>5</v>
      </c>
      <c r="C10" s="12" t="s">
        <v>1</v>
      </c>
      <c r="D10" s="12">
        <f t="shared" si="0"/>
        <v>19</v>
      </c>
      <c r="E10" s="28">
        <f t="shared" ca="1" si="1"/>
        <v>0.45238095238095238</v>
      </c>
      <c r="F10" s="28">
        <f t="shared" ref="F10" ca="1" si="3">1-E10</f>
        <v>0.54761904761904767</v>
      </c>
      <c r="G10" s="27">
        <f t="shared" ref="G10" si="4">RANK(D10,$D$8:$D$13,0)</f>
        <v>5</v>
      </c>
      <c r="H10" s="27">
        <f>RANK(G21,$E$21:$J$21,0)</f>
        <v>5</v>
      </c>
      <c r="J10"/>
      <c r="L10" s="6"/>
      <c r="M10"/>
      <c r="N10" s="10" t="s">
        <v>3</v>
      </c>
      <c r="O10" s="13">
        <f>S20</f>
        <v>188.25</v>
      </c>
      <c r="P10" s="13">
        <v>0</v>
      </c>
      <c r="Q10" s="221"/>
      <c r="R10" s="221"/>
      <c r="S10" s="221" t="s">
        <v>18</v>
      </c>
      <c r="T10" s="221"/>
      <c r="V10" s="221" t="s">
        <v>49</v>
      </c>
      <c r="W10" s="221"/>
      <c r="X10" s="221" t="s">
        <v>61</v>
      </c>
      <c r="Y10" s="221"/>
      <c r="Z10" s="221" t="s">
        <v>67</v>
      </c>
      <c r="AA10" s="221"/>
    </row>
    <row r="11" spans="2:27">
      <c r="B11" s="10">
        <f>RANK(G11,$G$8:$G$13,1)
 + COUNTIFS($G$8:$G$13,G11,$H$8:$H$13,"&gt;"&amp;H11)</f>
        <v>4</v>
      </c>
      <c r="C11" s="12" t="s">
        <v>2</v>
      </c>
      <c r="D11" s="12">
        <f t="shared" si="0"/>
        <v>21</v>
      </c>
      <c r="E11" s="28">
        <f ca="1">D11/$C$20</f>
        <v>0.5</v>
      </c>
      <c r="F11" s="28">
        <f ca="1">1-E11</f>
        <v>0.5</v>
      </c>
      <c r="G11" s="27">
        <f>RANK(D11,$D$8:$D$13,0)</f>
        <v>4</v>
      </c>
      <c r="H11" s="27">
        <f>RANK(H21,$E$21:$J$21,0)</f>
        <v>5</v>
      </c>
      <c r="L11" s="6"/>
      <c r="N11" s="10" t="s">
        <v>1</v>
      </c>
      <c r="O11" s="13">
        <f>Q20</f>
        <v>307.5</v>
      </c>
      <c r="P11" s="13">
        <v>0</v>
      </c>
      <c r="Q11" s="221"/>
      <c r="R11" s="221"/>
      <c r="S11" s="221" t="s">
        <v>18</v>
      </c>
      <c r="T11" s="221"/>
      <c r="V11" s="221" t="s">
        <v>49</v>
      </c>
      <c r="W11" s="221"/>
      <c r="X11" s="221" t="s">
        <v>60</v>
      </c>
      <c r="Y11" s="221"/>
      <c r="Z11" s="221" t="s">
        <v>68</v>
      </c>
      <c r="AA11" s="221"/>
    </row>
    <row r="12" spans="2:27">
      <c r="B12" s="10">
        <f>RANK(G12,$G$8:$G$13,1)
 + COUNTIFS($G$8:$G$13,G12,$H$8:$H$13,"&gt;"&amp;H12)</f>
        <v>2</v>
      </c>
      <c r="C12" s="12" t="s">
        <v>3</v>
      </c>
      <c r="D12" s="12">
        <f t="shared" si="0"/>
        <v>29</v>
      </c>
      <c r="E12" s="28">
        <f ca="1">D12/$C$20</f>
        <v>0.69047619047619047</v>
      </c>
      <c r="F12" s="28">
        <f ca="1">1-E12</f>
        <v>0.30952380952380953</v>
      </c>
      <c r="G12" s="27">
        <f>RANK(D12,$D$8:$D$13,0)</f>
        <v>2</v>
      </c>
      <c r="H12" s="27">
        <f>RANK(I21,$E$21:$J$21,0)</f>
        <v>2</v>
      </c>
      <c r="I12"/>
      <c r="L12" s="6"/>
      <c r="N12" s="10" t="s">
        <v>0</v>
      </c>
      <c r="O12" s="47">
        <f>O20</f>
        <v>272.25</v>
      </c>
      <c r="P12" s="13">
        <v>0</v>
      </c>
      <c r="Q12" s="221"/>
      <c r="R12" s="221"/>
      <c r="S12" s="221" t="s">
        <v>18</v>
      </c>
      <c r="T12" s="221"/>
      <c r="V12" s="221" t="s">
        <v>51</v>
      </c>
      <c r="W12" s="221"/>
      <c r="X12" s="221" t="s">
        <v>360</v>
      </c>
      <c r="Y12" s="221"/>
      <c r="Z12" s="221" t="s">
        <v>64</v>
      </c>
      <c r="AA12" s="221"/>
    </row>
    <row r="13" spans="2:27">
      <c r="B13" s="10">
        <f>RANK(G13,$G$8:$G$13,1)
 + COUNTIFS($G$8:$G$13,G13,$H$8:$H$13,"&gt;"&amp;H13)</f>
        <v>1</v>
      </c>
      <c r="C13" s="12" t="s">
        <v>21</v>
      </c>
      <c r="D13" s="12">
        <f t="shared" si="0"/>
        <v>33</v>
      </c>
      <c r="E13" s="28">
        <f ca="1">D13/$C$20</f>
        <v>0.7857142857142857</v>
      </c>
      <c r="F13" s="28">
        <f ca="1">1-E13</f>
        <v>0.2142857142857143</v>
      </c>
      <c r="G13" s="27">
        <f>RANK(D13,$D$8:$D$13,0)</f>
        <v>1</v>
      </c>
      <c r="H13" s="27">
        <f>RANK(J21,$E$21:$J$21,0)</f>
        <v>1</v>
      </c>
      <c r="L13" s="6"/>
      <c r="N13" s="10" t="s">
        <v>22</v>
      </c>
      <c r="O13" s="13">
        <f>T20</f>
        <v>141.25</v>
      </c>
      <c r="P13" s="13">
        <v>0</v>
      </c>
      <c r="Q13" s="221"/>
      <c r="R13" s="221"/>
      <c r="S13" s="221" t="s">
        <v>18</v>
      </c>
      <c r="T13" s="221"/>
      <c r="V13" s="221" t="s">
        <v>52</v>
      </c>
      <c r="W13" s="221"/>
      <c r="X13" s="236" t="s">
        <v>367</v>
      </c>
      <c r="Y13" s="236"/>
      <c r="Z13" s="221" t="s">
        <v>63</v>
      </c>
      <c r="AA13" s="221"/>
    </row>
    <row r="14" spans="2:27" ht="17.149999999999999" thickBot="1">
      <c r="B14" s="211"/>
      <c r="F14" s="63"/>
      <c r="L14" s="6"/>
      <c r="N14" s="29"/>
      <c r="O14" s="29"/>
      <c r="P14" s="29"/>
      <c r="Q14" s="238"/>
      <c r="R14" s="238"/>
      <c r="S14" s="238"/>
      <c r="T14" s="238"/>
      <c r="X14" s="237"/>
      <c r="Y14" s="237"/>
    </row>
    <row r="15" spans="2:27" ht="13.5" customHeight="1" thickBot="1">
      <c r="B15" s="211"/>
      <c r="L15" s="6"/>
      <c r="M15"/>
      <c r="Q15" s="1" t="s">
        <v>366</v>
      </c>
      <c r="S15" s="15">
        <v>1000</v>
      </c>
      <c r="V15" s="139" t="s">
        <v>125</v>
      </c>
      <c r="W15" s="140">
        <f>O16+S16</f>
        <v>5797.75</v>
      </c>
    </row>
    <row r="16" spans="2:27" ht="17.149999999999999" thickBot="1">
      <c r="B16" s="211"/>
      <c r="L16" s="6"/>
      <c r="N16" s="14" t="s">
        <v>19</v>
      </c>
      <c r="O16" s="15">
        <f>SUM(O8:O13)</f>
        <v>1559.75</v>
      </c>
      <c r="P16" s="87"/>
      <c r="Q16" s="244" t="s">
        <v>380</v>
      </c>
      <c r="R16" s="245"/>
      <c r="S16" s="15">
        <f>'Stats 2025'!W16-'Stats 2025'!O16-120-S15</f>
        <v>4238</v>
      </c>
      <c r="T16" s="1" t="s">
        <v>379</v>
      </c>
      <c r="V16" s="139" t="s">
        <v>70</v>
      </c>
      <c r="W16" s="140">
        <f>S16+S15+O16</f>
        <v>6797.75</v>
      </c>
    </row>
    <row r="17" spans="2:34" ht="12" customHeight="1">
      <c r="B17" s="211"/>
      <c r="E17" s="27">
        <f t="shared" ref="E17:J17" si="5">RANK(E20,$E20:$J20)</f>
        <v>3</v>
      </c>
      <c r="F17" s="27">
        <f t="shared" si="5"/>
        <v>6</v>
      </c>
      <c r="G17" s="27">
        <f t="shared" si="5"/>
        <v>5</v>
      </c>
      <c r="H17" s="27">
        <f t="shared" si="5"/>
        <v>4</v>
      </c>
      <c r="I17" s="27">
        <f t="shared" si="5"/>
        <v>2</v>
      </c>
      <c r="J17" s="27">
        <f t="shared" si="5"/>
        <v>1</v>
      </c>
      <c r="L17" s="6"/>
      <c r="V17" s="242"/>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43"/>
    </row>
    <row r="19" spans="2:34" ht="6" customHeight="1">
      <c r="B19" s="211"/>
      <c r="E19" s="17"/>
      <c r="F19" s="17"/>
      <c r="G19" s="17"/>
      <c r="H19" s="17"/>
      <c r="I19" s="17"/>
      <c r="J19" s="17"/>
      <c r="L19" s="6"/>
      <c r="O19" s="17"/>
      <c r="P19" s="17"/>
      <c r="Q19" s="17"/>
      <c r="R19" s="17"/>
      <c r="S19" s="17"/>
      <c r="T19" s="17"/>
      <c r="U19" s="17"/>
    </row>
    <row r="20" spans="2:34" ht="16.75" customHeight="1">
      <c r="B20" s="211"/>
      <c r="C20" s="141">
        <f ca="1">COUNT(C23:C91)</f>
        <v>42</v>
      </c>
      <c r="E20" s="24">
        <f>SUM(E25:E91)+0.00002</f>
        <v>22.000019999999999</v>
      </c>
      <c r="F20" s="24">
        <f>SUM(F25:F91)+0.00005</f>
        <v>15.00005</v>
      </c>
      <c r="G20" s="24">
        <f>SUM(G25:G91)+0.00005</f>
        <v>19.000050000000002</v>
      </c>
      <c r="H20" s="24">
        <f>SUM(H25:H91)+0.00006</f>
        <v>21.000060000000001</v>
      </c>
      <c r="I20" s="24">
        <f>SUM(I25:I91)+0.00009</f>
        <v>29.00009</v>
      </c>
      <c r="J20" s="24">
        <f>SUM(J25:J91)+0.0001</f>
        <v>33.000100000000003</v>
      </c>
      <c r="L20" s="6"/>
      <c r="O20" s="19">
        <f>SUM(O24:O91)</f>
        <v>272.25</v>
      </c>
      <c r="P20" s="19">
        <f t="shared" ref="P20:R20" si="6">SUM(P24:P91)</f>
        <v>368.5</v>
      </c>
      <c r="Q20" s="19">
        <f t="shared" si="6"/>
        <v>307.5</v>
      </c>
      <c r="R20" s="19">
        <f t="shared" si="6"/>
        <v>282</v>
      </c>
      <c r="S20" s="19">
        <f>SUM(S24:S91)</f>
        <v>188.25</v>
      </c>
      <c r="T20" s="19">
        <f>SUM(T24:T91)</f>
        <v>141.25</v>
      </c>
      <c r="U20" s="19"/>
      <c r="W20" s="196"/>
      <c r="X20" s="196"/>
      <c r="Y20" s="196"/>
      <c r="Z20" s="196"/>
    </row>
    <row r="21" spans="2:34" ht="13"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20">
        <f ca="1">O20-20-(($C$20-E20)*13)</f>
        <v>-7.7497400000000312</v>
      </c>
      <c r="F22" s="220">
        <f t="shared" ref="F22:H22" ca="1" si="7">P20-20-(($C$20-F20)*13)</f>
        <v>-2.4993499999999926</v>
      </c>
      <c r="G22" s="220">
        <f ca="1">Q20-20-(($C$20-G20)*13)</f>
        <v>-11.499349999999993</v>
      </c>
      <c r="H22" s="220">
        <f t="shared" ca="1" si="7"/>
        <v>-10.99921999999998</v>
      </c>
      <c r="I22" s="220">
        <f ca="1">S20-20-(($C$20-I20)*13)</f>
        <v>-0.74882999999999811</v>
      </c>
      <c r="J22" s="220">
        <f ca="1">T20-20-(($C$20-J20)*13)</f>
        <v>4.2513000000000432</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39"/>
      <c r="D25" s="240"/>
      <c r="E25" s="240"/>
      <c r="F25" s="240"/>
      <c r="G25" s="240"/>
      <c r="H25" s="240"/>
      <c r="I25" s="240"/>
      <c r="J25" s="241"/>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39"/>
      <c r="D27" s="240"/>
      <c r="E27" s="240"/>
      <c r="F27" s="240"/>
      <c r="G27" s="240"/>
      <c r="H27" s="240"/>
      <c r="I27" s="240"/>
      <c r="J27" s="241"/>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39"/>
      <c r="D30" s="240"/>
      <c r="E30" s="240"/>
      <c r="F30" s="240"/>
      <c r="G30" s="240"/>
      <c r="H30" s="240"/>
      <c r="I30" s="240"/>
      <c r="J30" s="241"/>
      <c r="M30" s="21">
        <v>46038</v>
      </c>
      <c r="N30" s="10" t="s">
        <v>47</v>
      </c>
      <c r="O30" s="25">
        <v>3.25</v>
      </c>
      <c r="P30" s="25"/>
      <c r="Q30" s="25"/>
      <c r="R30" s="25"/>
      <c r="S30" s="25"/>
      <c r="T30" s="25"/>
      <c r="U30" s="25"/>
      <c r="V30" s="182"/>
      <c r="W30" s="182"/>
      <c r="Z30" s="182"/>
      <c r="AE30" s="63"/>
      <c r="AG30" s="182"/>
      <c r="AH30" s="182"/>
    </row>
    <row r="31" spans="2:34">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39"/>
      <c r="D32" s="240"/>
      <c r="E32" s="240"/>
      <c r="F32" s="240"/>
      <c r="G32" s="240"/>
      <c r="H32" s="240"/>
      <c r="I32" s="240"/>
      <c r="J32" s="241"/>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39"/>
      <c r="D35" s="240"/>
      <c r="E35" s="240"/>
      <c r="F35" s="240"/>
      <c r="G35" s="240"/>
      <c r="H35" s="240"/>
      <c r="I35" s="240"/>
      <c r="J35" s="241"/>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39"/>
      <c r="D38" s="240"/>
      <c r="E38" s="240"/>
      <c r="F38" s="240"/>
      <c r="G38" s="240"/>
      <c r="H38" s="240"/>
      <c r="I38" s="240"/>
      <c r="J38" s="241"/>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39"/>
      <c r="D49" s="240"/>
      <c r="E49" s="240"/>
      <c r="F49" s="240"/>
      <c r="G49" s="240"/>
      <c r="H49" s="240"/>
      <c r="I49" s="240"/>
      <c r="J49" s="241"/>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39"/>
      <c r="D51" s="240"/>
      <c r="E51" s="240"/>
      <c r="F51" s="240"/>
      <c r="G51" s="240"/>
      <c r="H51" s="240"/>
      <c r="I51" s="240"/>
      <c r="J51" s="241"/>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f t="shared" si="30"/>
        <v>0</v>
      </c>
      <c r="F54" s="26">
        <f t="shared" si="31"/>
        <v>0</v>
      </c>
      <c r="G54" s="26">
        <f t="shared" si="32"/>
        <v>0</v>
      </c>
      <c r="H54" s="26">
        <f t="shared" si="33"/>
        <v>1</v>
      </c>
      <c r="I54" s="26">
        <f t="shared" si="34"/>
        <v>1</v>
      </c>
      <c r="J54" s="26">
        <f t="shared" si="35"/>
        <v>0</v>
      </c>
      <c r="M54" s="21">
        <f t="shared" ref="M54:M63" si="36">M53+7</f>
        <v>46178</v>
      </c>
      <c r="N54" s="10" t="s">
        <v>24</v>
      </c>
      <c r="O54" s="25">
        <v>13</v>
      </c>
      <c r="P54" s="25">
        <v>13</v>
      </c>
      <c r="Q54" s="25">
        <v>13</v>
      </c>
      <c r="R54" s="25">
        <v>0</v>
      </c>
      <c r="S54" s="25">
        <v>0</v>
      </c>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f t="shared" ca="1" si="28"/>
        <v>1</v>
      </c>
      <c r="D63" s="22">
        <f t="shared" si="29"/>
        <v>46234</v>
      </c>
      <c r="E63" s="26">
        <f>IF(O63="","",IF(O63=0,1,0))</f>
        <v>1</v>
      </c>
      <c r="F63" s="26">
        <f t="shared" si="31"/>
        <v>1</v>
      </c>
      <c r="G63" s="26">
        <f t="shared" si="32"/>
        <v>0</v>
      </c>
      <c r="H63" s="26">
        <f t="shared" si="33"/>
        <v>0</v>
      </c>
      <c r="I63" s="26">
        <f t="shared" si="34"/>
        <v>1</v>
      </c>
      <c r="J63" s="26">
        <f t="shared" si="35"/>
        <v>1</v>
      </c>
      <c r="M63" s="21">
        <f t="shared" si="36"/>
        <v>46234</v>
      </c>
      <c r="N63" s="10" t="s">
        <v>24</v>
      </c>
      <c r="O63" s="25">
        <v>0</v>
      </c>
      <c r="P63" s="25">
        <v>0</v>
      </c>
      <c r="Q63" s="25">
        <v>13</v>
      </c>
      <c r="R63" s="25">
        <v>13</v>
      </c>
      <c r="S63" s="25">
        <v>0</v>
      </c>
      <c r="T63" s="25">
        <v>0</v>
      </c>
      <c r="V63" s="182"/>
      <c r="AG63" s="182"/>
      <c r="AH63" s="182"/>
    </row>
    <row r="64" spans="2:34">
      <c r="C64" s="12">
        <f t="shared" ca="1" si="28"/>
        <v>1</v>
      </c>
      <c r="D64" s="22">
        <f t="shared" si="29"/>
        <v>46241</v>
      </c>
      <c r="E64" s="26" t="str">
        <f t="shared" si="30"/>
        <v/>
      </c>
      <c r="F64" s="26" t="str">
        <f t="shared" si="31"/>
        <v/>
      </c>
      <c r="G64" s="26" t="str">
        <f t="shared" si="32"/>
        <v/>
      </c>
      <c r="H64" s="26" t="str">
        <f t="shared" si="33"/>
        <v/>
      </c>
      <c r="I64" s="26">
        <f t="shared" si="34"/>
        <v>0</v>
      </c>
      <c r="J64" s="26" t="str">
        <f t="shared" si="35"/>
        <v/>
      </c>
      <c r="M64" s="21">
        <v>46241</v>
      </c>
      <c r="N64" s="10" t="s">
        <v>47</v>
      </c>
      <c r="O64" s="25"/>
      <c r="P64" s="25"/>
      <c r="Q64" s="25"/>
      <c r="R64" s="25"/>
      <c r="S64" s="25">
        <v>3.25</v>
      </c>
      <c r="T64" s="25"/>
      <c r="V64" s="182"/>
      <c r="AG64" s="182"/>
      <c r="AH64" s="182"/>
    </row>
    <row r="65" spans="3:34">
      <c r="C65" s="12">
        <f t="shared" ca="1" si="28"/>
        <v>1</v>
      </c>
      <c r="D65" s="22">
        <f t="shared" si="29"/>
        <v>46241</v>
      </c>
      <c r="E65" s="26">
        <f t="shared" si="30"/>
        <v>0</v>
      </c>
      <c r="F65" s="26">
        <f t="shared" si="31"/>
        <v>0</v>
      </c>
      <c r="G65" s="26">
        <f t="shared" si="32"/>
        <v>0</v>
      </c>
      <c r="H65" s="26">
        <f t="shared" si="33"/>
        <v>1</v>
      </c>
      <c r="I65" s="26">
        <f t="shared" si="34"/>
        <v>1</v>
      </c>
      <c r="J65" s="26">
        <f t="shared" si="35"/>
        <v>1</v>
      </c>
      <c r="M65" s="21">
        <v>46241</v>
      </c>
      <c r="N65" s="10" t="s">
        <v>24</v>
      </c>
      <c r="O65" s="25">
        <v>13</v>
      </c>
      <c r="P65" s="25">
        <v>13</v>
      </c>
      <c r="Q65" s="25">
        <v>13</v>
      </c>
      <c r="R65" s="25">
        <v>0</v>
      </c>
      <c r="S65" s="25">
        <v>0</v>
      </c>
      <c r="T65" s="25">
        <v>0</v>
      </c>
      <c r="V65" s="182"/>
      <c r="AG65" s="182"/>
      <c r="AH65" s="182"/>
    </row>
    <row r="66" spans="3:34">
      <c r="C66" s="12">
        <f t="shared" ca="1" si="28"/>
        <v>1</v>
      </c>
      <c r="D66" s="22">
        <f t="shared" si="29"/>
        <v>46248</v>
      </c>
      <c r="E66" s="26">
        <f t="shared" si="30"/>
        <v>0</v>
      </c>
      <c r="F66" s="26">
        <f t="shared" si="31"/>
        <v>0</v>
      </c>
      <c r="G66" s="26">
        <f t="shared" si="32"/>
        <v>1</v>
      </c>
      <c r="H66" s="26">
        <f t="shared" si="33"/>
        <v>1</v>
      </c>
      <c r="I66" s="26">
        <f t="shared" si="34"/>
        <v>1</v>
      </c>
      <c r="J66" s="26">
        <f t="shared" si="35"/>
        <v>1</v>
      </c>
      <c r="M66" s="21">
        <f t="shared" ref="M66:M75" si="37">M65+7</f>
        <v>46248</v>
      </c>
      <c r="N66" s="10" t="s">
        <v>24</v>
      </c>
      <c r="O66" s="25">
        <v>13</v>
      </c>
      <c r="P66" s="25">
        <v>13</v>
      </c>
      <c r="Q66" s="25">
        <v>0</v>
      </c>
      <c r="R66" s="25">
        <v>0</v>
      </c>
      <c r="S66" s="25">
        <v>0</v>
      </c>
      <c r="T66" s="25">
        <v>0</v>
      </c>
      <c r="V66" s="182"/>
      <c r="AG66" s="182"/>
      <c r="AH66" s="182"/>
    </row>
    <row r="67" spans="3:34">
      <c r="C67" s="12">
        <f t="shared" ca="1" si="28"/>
        <v>1</v>
      </c>
      <c r="D67" s="22">
        <f t="shared" si="29"/>
        <v>46255</v>
      </c>
      <c r="E67" s="26">
        <f t="shared" si="30"/>
        <v>0</v>
      </c>
      <c r="F67" s="26">
        <f t="shared" si="31"/>
        <v>0</v>
      </c>
      <c r="G67" s="26">
        <f t="shared" si="32"/>
        <v>0</v>
      </c>
      <c r="H67" s="26">
        <f t="shared" si="33"/>
        <v>1</v>
      </c>
      <c r="I67" s="26">
        <f t="shared" si="34"/>
        <v>1</v>
      </c>
      <c r="J67" s="26">
        <f t="shared" si="35"/>
        <v>0</v>
      </c>
      <c r="M67" s="21">
        <f t="shared" si="37"/>
        <v>46255</v>
      </c>
      <c r="N67" s="10" t="s">
        <v>24</v>
      </c>
      <c r="O67" s="25">
        <v>13</v>
      </c>
      <c r="P67" s="25">
        <v>13</v>
      </c>
      <c r="Q67" s="25">
        <v>13</v>
      </c>
      <c r="R67" s="25">
        <v>0</v>
      </c>
      <c r="S67" s="25">
        <v>0</v>
      </c>
      <c r="T67" s="25">
        <v>13</v>
      </c>
      <c r="V67" s="182"/>
      <c r="AG67" s="182"/>
      <c r="AH67" s="182"/>
    </row>
    <row r="68" spans="3:34">
      <c r="C68" s="12">
        <f t="shared" ca="1" si="28"/>
        <v>1</v>
      </c>
      <c r="D68" s="22">
        <f t="shared" si="29"/>
        <v>46262</v>
      </c>
      <c r="E68" s="26">
        <f t="shared" si="30"/>
        <v>0</v>
      </c>
      <c r="F68" s="26">
        <f t="shared" si="31"/>
        <v>0</v>
      </c>
      <c r="G68" s="26">
        <f t="shared" si="32"/>
        <v>1</v>
      </c>
      <c r="H68" s="26">
        <f t="shared" si="33"/>
        <v>1</v>
      </c>
      <c r="I68" s="26">
        <f t="shared" si="34"/>
        <v>1</v>
      </c>
      <c r="J68" s="26">
        <f t="shared" si="35"/>
        <v>1</v>
      </c>
      <c r="M68" s="21">
        <f t="shared" si="37"/>
        <v>46262</v>
      </c>
      <c r="N68" s="10" t="s">
        <v>24</v>
      </c>
      <c r="O68" s="25">
        <v>13.5</v>
      </c>
      <c r="P68" s="25">
        <v>13.5</v>
      </c>
      <c r="Q68" s="25">
        <v>0</v>
      </c>
      <c r="R68" s="25">
        <v>0</v>
      </c>
      <c r="S68" s="25">
        <v>0</v>
      </c>
      <c r="T68" s="25">
        <v>0</v>
      </c>
      <c r="V68" s="182"/>
      <c r="AG68" s="182"/>
      <c r="AH68" s="182"/>
    </row>
    <row r="69" spans="3:34">
      <c r="C69" s="12">
        <f t="shared" ca="1" si="28"/>
        <v>1</v>
      </c>
      <c r="D69" s="22">
        <f t="shared" si="29"/>
        <v>46269</v>
      </c>
      <c r="E69" s="26">
        <f t="shared" si="30"/>
        <v>1</v>
      </c>
      <c r="F69" s="26">
        <f t="shared" si="31"/>
        <v>0</v>
      </c>
      <c r="G69" s="26">
        <f t="shared" si="32"/>
        <v>0</v>
      </c>
      <c r="H69" s="26">
        <f t="shared" si="33"/>
        <v>1</v>
      </c>
      <c r="I69" s="26">
        <f t="shared" si="34"/>
        <v>0</v>
      </c>
      <c r="J69" s="26">
        <f t="shared" si="35"/>
        <v>1</v>
      </c>
      <c r="M69" s="21">
        <f t="shared" si="37"/>
        <v>46269</v>
      </c>
      <c r="N69" s="10" t="s">
        <v>24</v>
      </c>
      <c r="O69" s="25">
        <v>0</v>
      </c>
      <c r="P69" s="25">
        <v>13.5</v>
      </c>
      <c r="Q69" s="25">
        <v>13.5</v>
      </c>
      <c r="R69" s="25">
        <v>0</v>
      </c>
      <c r="S69" s="25">
        <v>13.5</v>
      </c>
      <c r="T69" s="25">
        <v>0</v>
      </c>
      <c r="V69" s="182"/>
      <c r="AG69" s="182"/>
      <c r="AH69" s="182"/>
    </row>
    <row r="70" spans="3:34">
      <c r="C70" s="12">
        <f t="shared" ca="1" si="28"/>
        <v>1</v>
      </c>
      <c r="D70" s="22">
        <f t="shared" si="29"/>
        <v>46276</v>
      </c>
      <c r="E70" s="26">
        <f t="shared" si="30"/>
        <v>0</v>
      </c>
      <c r="F70" s="26">
        <f t="shared" si="31"/>
        <v>0</v>
      </c>
      <c r="G70" s="26">
        <f t="shared" si="32"/>
        <v>0</v>
      </c>
      <c r="H70" s="26">
        <f t="shared" si="33"/>
        <v>1</v>
      </c>
      <c r="I70" s="26">
        <f t="shared" si="34"/>
        <v>1</v>
      </c>
      <c r="J70" s="26">
        <f t="shared" si="35"/>
        <v>1</v>
      </c>
      <c r="M70" s="21">
        <f t="shared" si="37"/>
        <v>46276</v>
      </c>
      <c r="N70" s="10" t="s">
        <v>24</v>
      </c>
      <c r="O70" s="25">
        <v>13.5</v>
      </c>
      <c r="P70" s="25">
        <v>13.5</v>
      </c>
      <c r="Q70" s="25">
        <v>13.5</v>
      </c>
      <c r="R70" s="25">
        <v>0</v>
      </c>
      <c r="S70" s="25">
        <v>0</v>
      </c>
      <c r="T70" s="25">
        <v>0</v>
      </c>
      <c r="V70" s="182"/>
      <c r="AG70" s="182"/>
      <c r="AH70" s="182"/>
    </row>
    <row r="71" spans="3:34">
      <c r="C71" s="12">
        <f t="shared" ca="1" si="28"/>
        <v>1</v>
      </c>
      <c r="D71" s="22">
        <f t="shared" si="29"/>
        <v>46283</v>
      </c>
      <c r="E71" s="26">
        <f t="shared" si="30"/>
        <v>0</v>
      </c>
      <c r="F71" s="26">
        <f t="shared" si="31"/>
        <v>0</v>
      </c>
      <c r="G71" s="26">
        <f t="shared" si="32"/>
        <v>0</v>
      </c>
      <c r="H71" s="26">
        <f t="shared" si="33"/>
        <v>1</v>
      </c>
      <c r="I71" s="26">
        <f t="shared" si="34"/>
        <v>0</v>
      </c>
      <c r="J71" s="26">
        <f t="shared" si="35"/>
        <v>0</v>
      </c>
      <c r="M71" s="21">
        <f t="shared" si="37"/>
        <v>46283</v>
      </c>
      <c r="N71" s="10" t="s">
        <v>24</v>
      </c>
      <c r="O71" s="25">
        <v>13.5</v>
      </c>
      <c r="P71" s="25">
        <v>13.5</v>
      </c>
      <c r="Q71" s="25">
        <v>13.5</v>
      </c>
      <c r="R71" s="25">
        <v>0</v>
      </c>
      <c r="S71" s="25">
        <v>13.5</v>
      </c>
      <c r="T71" s="25">
        <v>13.5</v>
      </c>
      <c r="AG71" s="182"/>
      <c r="AH71" s="182"/>
    </row>
    <row r="72" spans="3:34">
      <c r="C72" s="12">
        <f t="shared" ca="1" si="28"/>
        <v>1</v>
      </c>
      <c r="D72" s="22">
        <f t="shared" si="29"/>
        <v>46290</v>
      </c>
      <c r="E72" s="26">
        <f t="shared" si="30"/>
        <v>1</v>
      </c>
      <c r="F72" s="26">
        <f t="shared" si="31"/>
        <v>0</v>
      </c>
      <c r="G72" s="26">
        <f t="shared" si="32"/>
        <v>1</v>
      </c>
      <c r="H72" s="26">
        <f t="shared" si="33"/>
        <v>0</v>
      </c>
      <c r="I72" s="26">
        <f t="shared" si="34"/>
        <v>1</v>
      </c>
      <c r="J72" s="26">
        <f t="shared" si="35"/>
        <v>0</v>
      </c>
      <c r="M72" s="21">
        <f t="shared" si="37"/>
        <v>46290</v>
      </c>
      <c r="N72" s="10" t="s">
        <v>24</v>
      </c>
      <c r="O72" s="25">
        <v>0</v>
      </c>
      <c r="P72" s="25">
        <v>13.5</v>
      </c>
      <c r="Q72" s="25">
        <v>0</v>
      </c>
      <c r="R72" s="25">
        <v>13.5</v>
      </c>
      <c r="S72" s="25">
        <v>0</v>
      </c>
      <c r="T72" s="25">
        <v>13.5</v>
      </c>
      <c r="AG72" s="182"/>
      <c r="AH72" s="182"/>
    </row>
    <row r="73" spans="3:34">
      <c r="C73" s="12">
        <f t="shared" ca="1" si="28"/>
        <v>1</v>
      </c>
      <c r="D73" s="22">
        <f t="shared" si="29"/>
        <v>46297</v>
      </c>
      <c r="E73" s="26">
        <f t="shared" si="30"/>
        <v>1</v>
      </c>
      <c r="F73" s="26">
        <f t="shared" si="31"/>
        <v>0</v>
      </c>
      <c r="G73" s="26">
        <f t="shared" si="32"/>
        <v>1</v>
      </c>
      <c r="H73" s="26">
        <f t="shared" si="33"/>
        <v>0</v>
      </c>
      <c r="I73" s="26">
        <f t="shared" si="34"/>
        <v>0</v>
      </c>
      <c r="J73" s="26">
        <f t="shared" si="35"/>
        <v>1</v>
      </c>
      <c r="M73" s="21">
        <f t="shared" si="37"/>
        <v>46297</v>
      </c>
      <c r="N73" s="10" t="s">
        <v>24</v>
      </c>
      <c r="O73" s="25">
        <v>0</v>
      </c>
      <c r="P73" s="25">
        <v>13.5</v>
      </c>
      <c r="Q73" s="25">
        <v>0</v>
      </c>
      <c r="R73" s="25">
        <v>13.5</v>
      </c>
      <c r="S73" s="25">
        <v>13.5</v>
      </c>
      <c r="T73" s="25">
        <v>0</v>
      </c>
      <c r="AG73" s="182"/>
      <c r="AH73" s="182"/>
    </row>
    <row r="74" spans="3:34">
      <c r="C74" s="12">
        <f t="shared" ca="1" si="28"/>
        <v>1</v>
      </c>
      <c r="D74" s="22">
        <f t="shared" si="29"/>
        <v>46304</v>
      </c>
      <c r="E74" s="26">
        <f t="shared" si="30"/>
        <v>1</v>
      </c>
      <c r="F74" s="26">
        <f t="shared" si="31"/>
        <v>0</v>
      </c>
      <c r="G74" s="26">
        <f t="shared" si="32"/>
        <v>1</v>
      </c>
      <c r="H74" s="26">
        <f t="shared" si="33"/>
        <v>0</v>
      </c>
      <c r="I74" s="26">
        <f t="shared" si="34"/>
        <v>0</v>
      </c>
      <c r="J74" s="26">
        <f t="shared" si="35"/>
        <v>1</v>
      </c>
      <c r="M74" s="21">
        <f t="shared" si="37"/>
        <v>46304</v>
      </c>
      <c r="N74" s="10" t="s">
        <v>24</v>
      </c>
      <c r="O74" s="25">
        <v>0</v>
      </c>
      <c r="P74" s="25">
        <v>13.5</v>
      </c>
      <c r="Q74" s="25">
        <v>0</v>
      </c>
      <c r="R74" s="25">
        <v>13.5</v>
      </c>
      <c r="S74" s="25">
        <v>13.5</v>
      </c>
      <c r="T74" s="25">
        <v>0</v>
      </c>
      <c r="AG74" s="182"/>
      <c r="AH74" s="182"/>
    </row>
    <row r="75" spans="3:34">
      <c r="C75" s="12">
        <f t="shared" ca="1" si="28"/>
        <v>1</v>
      </c>
      <c r="D75" s="22">
        <f t="shared" si="29"/>
        <v>46311</v>
      </c>
      <c r="E75" s="26">
        <f t="shared" si="30"/>
        <v>0</v>
      </c>
      <c r="F75" s="26">
        <f t="shared" si="31"/>
        <v>0</v>
      </c>
      <c r="G75" s="26">
        <f t="shared" si="32"/>
        <v>1</v>
      </c>
      <c r="H75" s="26">
        <f t="shared" si="33"/>
        <v>0</v>
      </c>
      <c r="I75" s="26">
        <f t="shared" si="34"/>
        <v>0</v>
      </c>
      <c r="J75" s="26">
        <f t="shared" si="35"/>
        <v>1</v>
      </c>
      <c r="M75" s="21">
        <f t="shared" si="37"/>
        <v>46311</v>
      </c>
      <c r="N75" s="10" t="s">
        <v>24</v>
      </c>
      <c r="O75" s="25">
        <v>13.5</v>
      </c>
      <c r="P75" s="25">
        <v>13.5</v>
      </c>
      <c r="Q75" s="25">
        <v>0</v>
      </c>
      <c r="R75" s="25">
        <v>13.5</v>
      </c>
      <c r="S75" s="25">
        <v>13.5</v>
      </c>
      <c r="T75" s="25">
        <v>0</v>
      </c>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 ref="Q10:R10"/>
    <mergeCell ref="S10:T10"/>
    <mergeCell ref="V10:W10"/>
    <mergeCell ref="X10:Y10"/>
    <mergeCell ref="Z10:AA10"/>
    <mergeCell ref="X12:Y12"/>
    <mergeCell ref="Z12:AA12"/>
    <mergeCell ref="Q13:R13"/>
    <mergeCell ref="S13:T13"/>
    <mergeCell ref="V13:W13"/>
    <mergeCell ref="X13:Y14"/>
    <mergeCell ref="Z13:AA13"/>
    <mergeCell ref="S14:T14"/>
    <mergeCell ref="V11:W11"/>
    <mergeCell ref="X11:Y11"/>
    <mergeCell ref="Z11:AA11"/>
    <mergeCell ref="X9:Y9"/>
    <mergeCell ref="Z9:AA9"/>
    <mergeCell ref="S9:T9"/>
    <mergeCell ref="V9:W9"/>
    <mergeCell ref="Q9:R9"/>
    <mergeCell ref="Q8:R8"/>
    <mergeCell ref="S8:T8"/>
    <mergeCell ref="V8:W8"/>
    <mergeCell ref="X8:Y8"/>
    <mergeCell ref="Z8:AA8"/>
    <mergeCell ref="C2:AA2"/>
    <mergeCell ref="O5:S5"/>
    <mergeCell ref="T5:U5"/>
    <mergeCell ref="V5:W7"/>
    <mergeCell ref="X5:Y7"/>
    <mergeCell ref="Z5:AA7"/>
    <mergeCell ref="Q7:R7"/>
    <mergeCell ref="S7:T7"/>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M14" sqref="M14"/>
    </sheetView>
  </sheetViews>
  <sheetFormatPr defaultColWidth="9.15234375" defaultRowHeight="10.75"/>
  <cols>
    <col min="1" max="1" width="8.15234375" style="102" customWidth="1"/>
    <col min="2" max="2" width="12.3828125" style="102" customWidth="1"/>
    <col min="3" max="3" width="6.3828125" style="102" customWidth="1"/>
    <col min="4" max="4" width="17.15234375" style="102" customWidth="1"/>
    <col min="5" max="5" width="8.53515625" style="102" customWidth="1"/>
    <col min="6" max="13" width="7.69140625" style="102" customWidth="1"/>
    <col min="14" max="15" width="6.15234375" style="102" customWidth="1"/>
    <col min="16" max="16" width="8.53515625" style="102" customWidth="1"/>
    <col min="17" max="17" width="9" style="102" bestFit="1" customWidth="1"/>
    <col min="18" max="21" width="5.69140625" style="102" customWidth="1"/>
    <col min="22" max="26" width="4.84375" style="102" customWidth="1"/>
    <col min="27" max="27" width="6.53515625" style="102" customWidth="1"/>
    <col min="28" max="36" width="6.15234375" style="102" customWidth="1"/>
    <col min="37" max="37" width="5.84375" style="102" customWidth="1"/>
    <col min="38" max="42" width="8.3046875" style="102" customWidth="1"/>
    <col min="43" max="43" width="7.3046875" style="102" customWidth="1"/>
    <col min="44" max="44" width="7.84375" style="102" customWidth="1"/>
    <col min="45" max="45" width="8.69140625" style="102" customWidth="1"/>
    <col min="46" max="47" width="7.3828125" style="102" customWidth="1"/>
    <col min="48" max="48" width="9.15234375" style="102" customWidth="1"/>
    <col min="49" max="50" width="7.53515625" style="102" bestFit="1" customWidth="1"/>
    <col min="51" max="51" width="6.53515625" style="102" bestFit="1" customWidth="1"/>
    <col min="52" max="52" width="9.3046875" style="102" customWidth="1"/>
    <col min="53" max="53" width="6.15234375" style="102" customWidth="1"/>
    <col min="54" max="16384" width="9.15234375" style="102"/>
  </cols>
  <sheetData>
    <row r="1" spans="1:74" s="93" customFormat="1" ht="12.9">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2.9">
      <c r="A2" s="94">
        <f t="shared" ref="A2:A8" si="0">_xlfn.RANK.EQ(C2,$C$2:$C$7)</f>
        <v>1</v>
      </c>
      <c r="B2" s="95" t="s">
        <v>32</v>
      </c>
      <c r="C2" s="96">
        <f>SUM(R2:AB2)</f>
        <v>417.00079999999991</v>
      </c>
      <c r="D2" s="96" t="s">
        <v>80</v>
      </c>
      <c r="E2" s="97">
        <f t="shared" ref="E2:E7" ca="1" si="1">C2/AN2</f>
        <v>0.79580305343511437</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7">
        <f t="shared" ca="1" si="3"/>
        <v>0.78571666666666673</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33.000100000000003</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42</v>
      </c>
      <c r="AN2" s="99">
        <f ca="1">SUM(AC2:AM2)</f>
        <v>524</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141.25</v>
      </c>
      <c r="AZ2" s="142">
        <f>SUM(AO2:AY2)</f>
        <v>1581.5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8.9998999999999967</v>
      </c>
      <c r="BN2" s="217">
        <f>SUM(S2:AB2)</f>
        <v>392.00079999999991</v>
      </c>
      <c r="BO2" s="217">
        <f>SUM(T2:AB2)</f>
        <v>351.00080000000003</v>
      </c>
      <c r="BP2" s="209">
        <f>SUM(U2:AB2)</f>
        <v>300.00080000000003</v>
      </c>
      <c r="BQ2" s="216">
        <f>SUM(V2:AB2)</f>
        <v>264.00070000000005</v>
      </c>
      <c r="BR2" s="216">
        <f>SUM(W2:AB2)</f>
        <v>204.00060000000002</v>
      </c>
      <c r="BS2" s="216">
        <f>SUM(X2:AB2)</f>
        <v>169.00050000000002</v>
      </c>
      <c r="BT2" s="216">
        <f>SUM(Y2:AB2)</f>
        <v>135.00040000000001</v>
      </c>
      <c r="BU2" s="216">
        <f>SUM(Z2:AB2)</f>
        <v>100.00030000000001</v>
      </c>
      <c r="BV2" s="216">
        <f>SUM(AA2:AB2)</f>
        <v>63.000200000000007</v>
      </c>
    </row>
    <row r="3" spans="1:74" ht="12">
      <c r="A3" s="94">
        <f t="shared" si="0"/>
        <v>2</v>
      </c>
      <c r="B3" s="99" t="s">
        <v>3</v>
      </c>
      <c r="C3" s="103">
        <f>SUM(R3:AB3)</f>
        <v>405.00072</v>
      </c>
      <c r="D3" s="103" t="s">
        <v>80</v>
      </c>
      <c r="E3" s="98">
        <f t="shared" ca="1" si="1"/>
        <v>0.76271322033898303</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0.69047833333333331</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29.00009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42</v>
      </c>
      <c r="AN3" s="99">
        <f t="shared" ref="AN3:AN7" ca="1" si="10">SUM(AC3:AM3)</f>
        <v>531</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188.25</v>
      </c>
      <c r="AZ3" s="142">
        <f t="shared" ref="AZ3:AZ7" si="11">SUM(AO3:AY3)</f>
        <v>1718</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12.99991</v>
      </c>
      <c r="BN3" s="209">
        <f t="shared" ref="BN3:BN7" si="12">SUM(S3:AB3)</f>
        <v>378.00072</v>
      </c>
      <c r="BO3" s="209">
        <f t="shared" ref="BO3:BO7" si="13">SUM(T3:AB3)</f>
        <v>342.00072</v>
      </c>
      <c r="BP3" s="217">
        <f t="shared" ref="BP3:BP8" si="14">SUM(U3:AB3)</f>
        <v>303.00072</v>
      </c>
      <c r="BQ3" s="218">
        <f t="shared" ref="BQ3:BQ7" si="15">SUM(V3:AB3)</f>
        <v>264.00063</v>
      </c>
      <c r="BR3" s="218">
        <f t="shared" ref="BR3:BR7" si="16">SUM(W3:AB3)</f>
        <v>210.00054</v>
      </c>
      <c r="BS3" s="218">
        <f t="shared" ref="BS3:BS7" si="17">SUM(X3:AB3)</f>
        <v>178.00045</v>
      </c>
      <c r="BT3" s="218">
        <f t="shared" ref="BT3:BT8" si="18">SUM(Y3:AB3)</f>
        <v>140.00036</v>
      </c>
      <c r="BU3" s="218">
        <f t="shared" ref="BU3:BU8" si="19">SUM(Z3:AB3)</f>
        <v>103.00027</v>
      </c>
      <c r="BV3" s="218">
        <f t="shared" ref="BV3:BV7" si="20">SUM(AA3:AB3)</f>
        <v>65.00018</v>
      </c>
    </row>
    <row r="4" spans="1:74" ht="12">
      <c r="A4" s="94">
        <f t="shared" si="0"/>
        <v>3</v>
      </c>
      <c r="B4" s="99" t="s">
        <v>0</v>
      </c>
      <c r="C4" s="103">
        <f t="shared" ref="C4:C7" si="21">SUM(R4:AB4)</f>
        <v>370.00045999999998</v>
      </c>
      <c r="D4" s="103" t="s">
        <v>103</v>
      </c>
      <c r="E4" s="98">
        <f t="shared" ca="1" si="1"/>
        <v>0.69679935969868168</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0.52381</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22.000019999999999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42</v>
      </c>
      <c r="AN4" s="99">
        <f t="shared" ca="1" si="10"/>
        <v>531</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272.25</v>
      </c>
      <c r="AZ4" s="142">
        <f t="shared" si="11"/>
        <v>2236.25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19.999980000000001</v>
      </c>
      <c r="BN4" s="209">
        <f t="shared" si="12"/>
        <v>342.00045999999998</v>
      </c>
      <c r="BO4" s="209">
        <f t="shared" si="13"/>
        <v>304.00045999999998</v>
      </c>
      <c r="BP4" s="209">
        <f t="shared" si="14"/>
        <v>259.00045999999998</v>
      </c>
      <c r="BQ4" s="216">
        <f t="shared" si="15"/>
        <v>226.00039000000001</v>
      </c>
      <c r="BR4" s="216">
        <f t="shared" si="16"/>
        <v>171.00032000000002</v>
      </c>
      <c r="BS4" s="216">
        <f t="shared" si="17"/>
        <v>140.00025000000002</v>
      </c>
      <c r="BT4" s="216">
        <f t="shared" si="18"/>
        <v>119.00018</v>
      </c>
      <c r="BU4" s="216">
        <f t="shared" si="19"/>
        <v>98.000110000000006</v>
      </c>
      <c r="BV4" s="216">
        <f t="shared" si="20"/>
        <v>58.000039999999998</v>
      </c>
    </row>
    <row r="5" spans="1:74" ht="12">
      <c r="A5" s="94">
        <f t="shared" si="0"/>
        <v>4</v>
      </c>
      <c r="B5" s="99" t="s">
        <v>1</v>
      </c>
      <c r="C5" s="103">
        <f t="shared" si="21"/>
        <v>344.00058000000001</v>
      </c>
      <c r="D5" s="103" t="s">
        <v>80</v>
      </c>
      <c r="E5" s="98">
        <f t="shared" ca="1" si="1"/>
        <v>0.64783536723163848</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0.4523821428571429</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19.000050000000002</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42</v>
      </c>
      <c r="AN5" s="99">
        <f t="shared" ca="1" si="10"/>
        <v>531</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307.5</v>
      </c>
      <c r="AZ5" s="142">
        <f t="shared" si="11"/>
        <v>2480.5699999999997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22.999949999999998</v>
      </c>
      <c r="BN5" s="209">
        <f t="shared" si="12"/>
        <v>314.00057999999996</v>
      </c>
      <c r="BO5" s="209">
        <f t="shared" si="13"/>
        <v>280.00057999999996</v>
      </c>
      <c r="BP5" s="209">
        <f t="shared" si="14"/>
        <v>236.00057999999996</v>
      </c>
      <c r="BQ5" s="216">
        <f t="shared" si="15"/>
        <v>196.00049999999999</v>
      </c>
      <c r="BR5" s="216">
        <f t="shared" si="16"/>
        <v>143.00042000000002</v>
      </c>
      <c r="BS5" s="216">
        <f t="shared" si="17"/>
        <v>113.00034000000001</v>
      </c>
      <c r="BT5" s="216">
        <f t="shared" si="18"/>
        <v>88.000260000000011</v>
      </c>
      <c r="BU5" s="216">
        <f t="shared" si="19"/>
        <v>62.00018</v>
      </c>
      <c r="BV5" s="216">
        <f t="shared" si="20"/>
        <v>40.000100000000003</v>
      </c>
    </row>
    <row r="6" spans="1:74" ht="12.9">
      <c r="A6" s="94">
        <f t="shared" si="0"/>
        <v>5</v>
      </c>
      <c r="B6" s="99" t="s">
        <v>4</v>
      </c>
      <c r="C6" s="103">
        <f t="shared" si="21"/>
        <v>238.00041999999996</v>
      </c>
      <c r="D6" s="103" t="s">
        <v>83</v>
      </c>
      <c r="E6" s="98">
        <f t="shared" ca="1" si="1"/>
        <v>0.4482117137476459</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0.35714404761904761</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42</v>
      </c>
      <c r="AN6" s="99">
        <f t="shared" ca="1" si="10"/>
        <v>531</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368.5</v>
      </c>
      <c r="AZ6" s="142">
        <f t="shared" si="11"/>
        <v>2464</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26.999949999999998</v>
      </c>
      <c r="BN6" s="209">
        <f t="shared" si="12"/>
        <v>210.00041999999996</v>
      </c>
      <c r="BO6" s="209">
        <f t="shared" si="13"/>
        <v>196.00042000000002</v>
      </c>
      <c r="BP6" s="209">
        <f t="shared" si="14"/>
        <v>194.00042000000002</v>
      </c>
      <c r="BQ6" s="216">
        <f t="shared" si="15"/>
        <v>192.00036</v>
      </c>
      <c r="BR6" s="216">
        <f t="shared" si="16"/>
        <v>166.00029999999998</v>
      </c>
      <c r="BS6" s="216">
        <f t="shared" si="17"/>
        <v>140.00024999999999</v>
      </c>
      <c r="BT6" s="216">
        <f t="shared" si="18"/>
        <v>109.00020000000001</v>
      </c>
      <c r="BU6" s="216">
        <f t="shared" si="19"/>
        <v>77.000150000000005</v>
      </c>
      <c r="BV6" s="216">
        <f t="shared" si="20"/>
        <v>43.000100000000003</v>
      </c>
    </row>
    <row r="7" spans="1:74" ht="12">
      <c r="A7" s="94">
        <f t="shared" si="0"/>
        <v>6</v>
      </c>
      <c r="B7" s="99" t="s">
        <v>2</v>
      </c>
      <c r="C7" s="103">
        <f t="shared" si="21"/>
        <v>222.00045999999995</v>
      </c>
      <c r="D7" s="103" t="s">
        <v>81</v>
      </c>
      <c r="E7" s="104">
        <f t="shared" ca="1" si="1"/>
        <v>0.41807996233521649</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0.5000014285714286</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21.000060000000001</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42</v>
      </c>
      <c r="AN7" s="99">
        <f t="shared" ca="1" si="10"/>
        <v>531</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282</v>
      </c>
      <c r="AZ7" s="142">
        <f t="shared" si="11"/>
        <v>3073</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20.999939999999999</v>
      </c>
      <c r="BN7" s="209">
        <f t="shared" si="12"/>
        <v>195.00045999999998</v>
      </c>
      <c r="BO7" s="209">
        <f t="shared" si="13"/>
        <v>159.00046</v>
      </c>
      <c r="BP7" s="209">
        <f t="shared" si="14"/>
        <v>140.00046</v>
      </c>
      <c r="BQ7" s="216">
        <f t="shared" si="15"/>
        <v>130.00041000000002</v>
      </c>
      <c r="BR7" s="216">
        <f t="shared" si="16"/>
        <v>105.00036000000001</v>
      </c>
      <c r="BS7" s="216">
        <f t="shared" si="17"/>
        <v>86.00030000000001</v>
      </c>
      <c r="BT7" s="216">
        <f t="shared" si="18"/>
        <v>79.000240000000005</v>
      </c>
      <c r="BU7" s="216">
        <f t="shared" si="19"/>
        <v>64.00018</v>
      </c>
      <c r="BV7" s="216">
        <f t="shared" si="20"/>
        <v>44.000120000000003</v>
      </c>
    </row>
    <row r="8" spans="1:74" ht="12"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6">
        <f t="shared" si="14"/>
        <v>0</v>
      </c>
      <c r="BT8" s="216">
        <f t="shared" si="18"/>
        <v>0</v>
      </c>
      <c r="BU8" s="216">
        <f t="shared" si="19"/>
        <v>0</v>
      </c>
    </row>
    <row r="9" spans="1:74" ht="12">
      <c r="A9" s="99"/>
      <c r="B9" s="99" t="s">
        <v>70</v>
      </c>
      <c r="C9" s="103">
        <f>SUM(C2:C7)</f>
        <v>1996.0034399999997</v>
      </c>
      <c r="D9" s="99"/>
      <c r="E9" s="98">
        <f ca="1">C9/AN9</f>
        <v>0.62787148159798667</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0.55158876984126981</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139.00037</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252</v>
      </c>
      <c r="AN9" s="99">
        <f t="shared" ca="1" si="25"/>
        <v>3179</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1559.75</v>
      </c>
      <c r="AZ9" s="142">
        <f>SUM(AZ2:AZ7)</f>
        <v>13553.32</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2.6904673809523807</v>
      </c>
    </row>
    <row r="10" spans="1:74" ht="12">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6.6458228986978582</v>
      </c>
      <c r="AP10" s="42" t="s">
        <v>41</v>
      </c>
      <c r="AR10" s="42" t="s">
        <v>41</v>
      </c>
      <c r="AV10" s="102" t="s">
        <v>356</v>
      </c>
    </row>
    <row r="11" spans="1:74">
      <c r="E11" s="108"/>
      <c r="AN11" s="107"/>
      <c r="AO11" s="107"/>
      <c r="AP11" s="107"/>
      <c r="AQ11" s="107"/>
      <c r="AR11" s="107"/>
      <c r="AS11" s="107"/>
      <c r="AT11" s="107"/>
      <c r="AU11" s="107"/>
      <c r="AV11" s="107"/>
      <c r="AW11" s="107"/>
    </row>
    <row r="12" spans="1:74" ht="10.75" customHeight="1">
      <c r="E12" s="108"/>
      <c r="F12" s="108"/>
      <c r="G12" s="108"/>
      <c r="H12" s="108"/>
      <c r="I12" s="108"/>
      <c r="J12" s="108"/>
      <c r="K12" s="108"/>
      <c r="L12" s="108"/>
      <c r="M12" s="108"/>
      <c r="N12" s="108"/>
      <c r="O12" s="108"/>
      <c r="AN12" s="213"/>
      <c r="AR12" s="248"/>
      <c r="AS12" s="169"/>
      <c r="AT12" s="169"/>
      <c r="AU12" s="169"/>
    </row>
    <row r="13" spans="1:74">
      <c r="E13" s="108"/>
      <c r="F13" s="108"/>
      <c r="G13" s="108"/>
      <c r="H13" s="108"/>
      <c r="I13" s="108"/>
      <c r="J13" s="108"/>
      <c r="K13" s="108"/>
      <c r="L13" s="108"/>
      <c r="AN13" s="213"/>
      <c r="AR13" s="248"/>
      <c r="AS13" s="169"/>
      <c r="AT13" s="169"/>
      <c r="AU13" s="169"/>
    </row>
    <row r="14" spans="1:74" ht="12">
      <c r="E14" s="108"/>
      <c r="U14" s="42"/>
      <c r="V14" s="42"/>
      <c r="W14" s="42"/>
      <c r="X14" s="42"/>
      <c r="Y14" s="42"/>
      <c r="Z14" s="42"/>
      <c r="AA14" s="42"/>
      <c r="AB14" s="42"/>
      <c r="AC14" s="42"/>
      <c r="AL14" s="107"/>
      <c r="AM14" s="107"/>
      <c r="AN14" s="107"/>
      <c r="AO14" s="107"/>
      <c r="AP14" s="107"/>
      <c r="AQ14" s="107"/>
      <c r="AR14" s="107"/>
      <c r="AS14" s="107"/>
      <c r="AT14" s="107"/>
      <c r="AU14" s="107"/>
    </row>
    <row r="15" spans="1:74" ht="12">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5" customHeight="1" thickBot="1">
      <c r="A17" s="162"/>
      <c r="B17" s="246">
        <v>2016</v>
      </c>
      <c r="C17" s="247"/>
      <c r="D17" s="246">
        <v>2017</v>
      </c>
      <c r="E17" s="247"/>
      <c r="F17" s="246">
        <v>2018</v>
      </c>
      <c r="G17" s="247"/>
      <c r="H17" s="246">
        <v>2019</v>
      </c>
      <c r="I17" s="247"/>
      <c r="J17" s="246">
        <v>2020</v>
      </c>
      <c r="K17" s="247"/>
      <c r="L17" s="249">
        <v>2021</v>
      </c>
      <c r="M17" s="250"/>
      <c r="N17" s="249">
        <v>2022</v>
      </c>
      <c r="O17" s="251"/>
      <c r="P17" s="249">
        <v>2023</v>
      </c>
      <c r="Q17" s="250"/>
      <c r="R17" s="249">
        <v>2024</v>
      </c>
      <c r="S17" s="250"/>
      <c r="T17" s="249">
        <v>2025</v>
      </c>
      <c r="U17" s="250"/>
      <c r="V17" s="249">
        <v>2026</v>
      </c>
      <c r="W17" s="250"/>
      <c r="AO17" s="109"/>
    </row>
    <row r="18" spans="1:41" ht="13.3"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2">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417.00079999999991</v>
      </c>
      <c r="W19" s="117">
        <v>1</v>
      </c>
      <c r="AN19" s="109"/>
    </row>
    <row r="20" spans="1:41" ht="12">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405.00072</v>
      </c>
      <c r="W20" s="120">
        <v>2</v>
      </c>
      <c r="AN20" s="109"/>
    </row>
    <row r="21" spans="1:41" ht="12">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370.00045999999998</v>
      </c>
      <c r="W21" s="120">
        <v>3</v>
      </c>
      <c r="AN21" s="109"/>
    </row>
    <row r="22" spans="1:41" ht="12">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344.00058000000001</v>
      </c>
      <c r="W22" s="120">
        <v>4</v>
      </c>
      <c r="AN22" s="109"/>
    </row>
    <row r="23" spans="1:41" ht="12">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238.00041999999996</v>
      </c>
      <c r="W23" s="120">
        <v>5</v>
      </c>
      <c r="AN23" s="109"/>
    </row>
    <row r="24" spans="1:41" ht="13.75"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222.00045999999995</v>
      </c>
      <c r="W24" s="123">
        <v>6</v>
      </c>
      <c r="AN24" s="109"/>
    </row>
    <row r="25" spans="1:41" ht="12">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2.9">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2">
      <c r="A64" s="99" t="s">
        <v>32</v>
      </c>
      <c r="B64" s="163">
        <f>SUM(C64:L64)</f>
        <v>3</v>
      </c>
      <c r="C64" s="163">
        <v>0</v>
      </c>
      <c r="D64" s="163">
        <v>0</v>
      </c>
      <c r="E64" s="163">
        <v>0</v>
      </c>
      <c r="F64" s="163">
        <v>0</v>
      </c>
      <c r="G64" s="163">
        <v>0</v>
      </c>
      <c r="H64" s="163">
        <v>0</v>
      </c>
      <c r="I64" s="163">
        <v>0</v>
      </c>
      <c r="J64" s="163">
        <v>1</v>
      </c>
      <c r="K64" s="163">
        <v>0</v>
      </c>
      <c r="L64" s="163">
        <v>2</v>
      </c>
      <c r="AO64" s="109"/>
    </row>
    <row r="65" spans="1:41" ht="12.9">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2.9">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417.00079999999991</v>
      </c>
    </row>
    <row r="67" spans="1:41" ht="12.9">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344.00058000000001</v>
      </c>
    </row>
    <row r="68" spans="1:41" ht="12.9">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370.00045999999998</v>
      </c>
    </row>
    <row r="69" spans="1:41" ht="12.9">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405.00072</v>
      </c>
    </row>
    <row r="70" spans="1:41" ht="12.9">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222.00045999999995</v>
      </c>
    </row>
    <row r="71" spans="1:41" ht="12.9">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2.9">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AR12:AR13"/>
    <mergeCell ref="L17:M17"/>
    <mergeCell ref="P17:Q17"/>
    <mergeCell ref="R17:S17"/>
    <mergeCell ref="N17:O17"/>
    <mergeCell ref="T17:U17"/>
    <mergeCell ref="V17:W17"/>
    <mergeCell ref="B17:C17"/>
    <mergeCell ref="D17:E17"/>
    <mergeCell ref="F17:G17"/>
    <mergeCell ref="H17:I17"/>
    <mergeCell ref="J17:K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T21"/>
  <sheetViews>
    <sheetView tabSelected="1" zoomScale="85" zoomScaleNormal="85" workbookViewId="0">
      <selection activeCell="H6" sqref="H6"/>
    </sheetView>
  </sheetViews>
  <sheetFormatPr defaultColWidth="9.15234375" defaultRowHeight="14.15"/>
  <cols>
    <col min="1" max="1" width="12.84375" style="53" customWidth="1"/>
    <col min="2" max="2" width="18.53515625" style="53" customWidth="1"/>
    <col min="3" max="3" width="19.15234375" style="53" bestFit="1" customWidth="1"/>
    <col min="4" max="4" width="15.3046875" style="53" customWidth="1"/>
    <col min="5" max="5" width="19.69140625" style="53" customWidth="1"/>
    <col min="6" max="6" width="49.15234375" style="53" customWidth="1"/>
    <col min="7" max="7" width="20.84375" style="53" customWidth="1"/>
    <col min="8" max="8" width="15.15234375" style="53" customWidth="1"/>
    <col min="9" max="9" width="18.84375" style="53" customWidth="1"/>
    <col min="10" max="10" width="18.53515625" style="53" customWidth="1"/>
    <col min="11" max="11" width="17.3828125" style="53" customWidth="1"/>
    <col min="12" max="12" width="9.15234375" style="53"/>
    <col min="13" max="13" width="13.3046875" style="53" bestFit="1" customWidth="1"/>
    <col min="14" max="15" width="9.15234375" style="53"/>
    <col min="16" max="17" width="10.53515625" style="53" bestFit="1" customWidth="1"/>
    <col min="18" max="16384" width="9.15234375" style="53"/>
  </cols>
  <sheetData>
    <row r="1" spans="1:20" s="214" customFormat="1" ht="30" customHeight="1">
      <c r="A1" s="215" t="str">
        <f>'All-time DF Stats'!A1</f>
        <v>Rang und</v>
      </c>
      <c r="B1" s="215" t="str">
        <f>'All-time DF Stats'!B1</f>
        <v>Name</v>
      </c>
      <c r="C1" s="215" t="s">
        <v>344</v>
      </c>
      <c r="D1" s="215" t="str">
        <f>'All-time DF Stats'!E1</f>
        <v>Total PR%</v>
      </c>
      <c r="E1" s="215" t="s">
        <v>37</v>
      </c>
      <c r="F1" s="215" t="s">
        <v>55</v>
      </c>
      <c r="G1" s="215" t="s">
        <v>314</v>
      </c>
      <c r="H1" s="215" t="s">
        <v>69</v>
      </c>
      <c r="I1" s="215" t="s">
        <v>102</v>
      </c>
      <c r="J1" s="215" t="s">
        <v>116</v>
      </c>
      <c r="K1" s="215" t="s">
        <v>123</v>
      </c>
      <c r="L1" s="215" t="s">
        <v>288</v>
      </c>
      <c r="M1" s="215" t="s">
        <v>343</v>
      </c>
      <c r="N1" s="215" t="s">
        <v>368</v>
      </c>
    </row>
    <row r="2" spans="1:20" ht="15">
      <c r="A2" s="45">
        <f>'All-time DF Stats'!A2</f>
        <v>1</v>
      </c>
      <c r="B2" s="38" t="str">
        <f>'All-time DF Stats'!B2</f>
        <v>MSO/MST</v>
      </c>
      <c r="C2" s="43">
        <f>'All-time DF Stats'!C2</f>
        <v>417.00079999999991</v>
      </c>
      <c r="D2" s="39">
        <f ca="1">'All-time DF Stats'!E2</f>
        <v>0.79580305343511437</v>
      </c>
      <c r="E2" s="54">
        <f>'All-time DF Stats'!Q2</f>
        <v>1440.25</v>
      </c>
      <c r="F2" s="166" t="s">
        <v>287</v>
      </c>
      <c r="G2" s="166"/>
      <c r="H2" s="79">
        <f ca="1">1/(1-(C2/'All-time DF Stats'!AN2))</f>
        <v>4.8972328765074851</v>
      </c>
      <c r="I2" s="110">
        <f t="shared" ref="I2:I7" si="0">C2-C3</f>
        <v>12.000079999999912</v>
      </c>
      <c r="J2" s="133" t="s">
        <v>88</v>
      </c>
      <c r="K2" s="135" t="s">
        <v>88</v>
      </c>
      <c r="L2" s="135">
        <f ca="1">E2/('All-time DF Stats'!AN2-'All-time DF Stats'!C2)</f>
        <v>13.460381012194473</v>
      </c>
      <c r="M2" s="40">
        <f>C2/$C$9</f>
        <v>0.20891787641408072</v>
      </c>
      <c r="N2" s="110">
        <v>3</v>
      </c>
      <c r="O2" s="53" t="s">
        <v>32</v>
      </c>
      <c r="P2" s="219">
        <v>42524</v>
      </c>
      <c r="Q2" s="219">
        <f ca="1">TODAY()</f>
        <v>46314</v>
      </c>
      <c r="R2" s="53">
        <f ca="1">Q2-P2</f>
        <v>3790</v>
      </c>
      <c r="S2" s="53">
        <f ca="1">R2</f>
        <v>3790</v>
      </c>
      <c r="T2" s="53">
        <f ca="1">Q2-P3</f>
        <v>3839</v>
      </c>
    </row>
    <row r="3" spans="1:20" ht="15">
      <c r="A3" s="45">
        <f>'All-time DF Stats'!A3</f>
        <v>2</v>
      </c>
      <c r="B3" s="37" t="str">
        <f>'All-time DF Stats'!B3</f>
        <v>SJU</v>
      </c>
      <c r="C3" s="44">
        <f>'All-time DF Stats'!C3</f>
        <v>405.00072</v>
      </c>
      <c r="D3" s="40">
        <f ca="1">'All-time DF Stats'!E3</f>
        <v>0.76271322033898303</v>
      </c>
      <c r="E3" s="55">
        <f>'All-time DF Stats'!Q3</f>
        <v>1529.75</v>
      </c>
      <c r="F3" s="78" t="s">
        <v>385</v>
      </c>
      <c r="G3" s="78"/>
      <c r="H3" s="80">
        <f ca="1">1/(1-(C3/'All-time DF Stats'!AN3))</f>
        <v>4.2143097960559768</v>
      </c>
      <c r="I3" s="110">
        <f>C3-C4</f>
        <v>35.000260000000026</v>
      </c>
      <c r="J3" s="110">
        <f>$C$2-C3</f>
        <v>12.000079999999912</v>
      </c>
      <c r="K3" s="134">
        <f>1/(C3/$C$2)</f>
        <v>1.0296297744853391</v>
      </c>
      <c r="L3" s="135">
        <f ca="1">E3/('All-time DF Stats'!AN3-'All-time DF Stats'!C3)</f>
        <v>12.140942392686689</v>
      </c>
      <c r="M3" s="40">
        <f>C3/$C$9</f>
        <v>0.20290582264727963</v>
      </c>
      <c r="N3" s="110">
        <v>1</v>
      </c>
      <c r="O3" s="53" t="s">
        <v>3</v>
      </c>
      <c r="P3" s="219">
        <v>42475</v>
      </c>
      <c r="Q3" s="219">
        <f ca="1">P3+S3</f>
        <v>46427.748704249214</v>
      </c>
      <c r="S3" s="53">
        <f ca="1">$T$2*K3</f>
        <v>3952.7487042492166</v>
      </c>
    </row>
    <row r="4" spans="1:20" ht="15">
      <c r="A4" s="45">
        <f>'All-time DF Stats'!A4</f>
        <v>3</v>
      </c>
      <c r="B4" s="37" t="str">
        <f>'All-time DF Stats'!B4</f>
        <v>JWU</v>
      </c>
      <c r="C4" s="44">
        <f>'All-time DF Stats'!C4</f>
        <v>370.00045999999998</v>
      </c>
      <c r="D4" s="40">
        <f ca="1">'All-time DF Stats'!E4</f>
        <v>0.69679935969868168</v>
      </c>
      <c r="E4" s="55">
        <f>'All-time DF Stats'!Q4</f>
        <v>1964</v>
      </c>
      <c r="F4" s="78" t="s">
        <v>386</v>
      </c>
      <c r="G4" s="78"/>
      <c r="H4" s="80">
        <f ca="1">1/(1-(C4/'All-time DF Stats'!AN4))</f>
        <v>3.298146069237216</v>
      </c>
      <c r="I4" s="110">
        <f>C4-C5</f>
        <v>25.999879999999962</v>
      </c>
      <c r="J4" s="110">
        <f>$C$2-C4</f>
        <v>47.000339999999937</v>
      </c>
      <c r="K4" s="134">
        <f>1/(C4/$C$2)</f>
        <v>1.1270277880195068</v>
      </c>
      <c r="L4" s="135">
        <f ca="1">E4/('All-time DF Stats'!AN4-'All-time DF Stats'!C4)</f>
        <v>12.198792617668346</v>
      </c>
      <c r="M4" s="40">
        <f>C4/$C$9</f>
        <v>0.18537065246741261</v>
      </c>
      <c r="N4" s="110">
        <v>4</v>
      </c>
      <c r="O4" s="53" t="s">
        <v>0</v>
      </c>
      <c r="P4" s="219">
        <f t="shared" ref="P4:P7" si="1">P3</f>
        <v>42475</v>
      </c>
      <c r="Q4" s="219">
        <f ca="1">P4+S4</f>
        <v>46801.659678206888</v>
      </c>
      <c r="S4" s="53">
        <f t="shared" ref="S4:S7" ca="1" si="2">$T$2*K4</f>
        <v>4326.6596782068864</v>
      </c>
    </row>
    <row r="5" spans="1:20" ht="15">
      <c r="A5" s="45">
        <f>'All-time DF Stats'!A5</f>
        <v>4</v>
      </c>
      <c r="B5" s="37" t="str">
        <f>'All-time DF Stats'!B5</f>
        <v>PKN</v>
      </c>
      <c r="C5" s="44">
        <f>'All-time DF Stats'!C5</f>
        <v>344.00058000000001</v>
      </c>
      <c r="D5" s="40">
        <f ca="1">'All-time DF Stats'!E5</f>
        <v>0.64783536723163848</v>
      </c>
      <c r="E5" s="55">
        <f>'All-time DF Stats'!Q5</f>
        <v>2173.0699999999997</v>
      </c>
      <c r="F5" s="78" t="s">
        <v>297</v>
      </c>
      <c r="G5" s="78"/>
      <c r="H5" s="80">
        <f ca="1">1/(1-(C5/'All-time DF Stats'!AN5))</f>
        <v>2.8395809997699462</v>
      </c>
      <c r="I5" s="110">
        <f>C5-C6</f>
        <v>106.00016000000005</v>
      </c>
      <c r="J5" s="110">
        <f t="shared" ref="J5:J7" si="3">$C$2-C5</f>
        <v>73.000219999999899</v>
      </c>
      <c r="K5" s="134">
        <f>1/(C5/$C$2)</f>
        <v>1.2122095840652358</v>
      </c>
      <c r="L5" s="135">
        <f ca="1">E5/('All-time DF Stats'!AN5-'All-time DF Stats'!C5)</f>
        <v>11.620731230075473</v>
      </c>
      <c r="M5" s="40">
        <f t="shared" ref="M5" si="4">C5/$C$9</f>
        <v>0.17234468293301142</v>
      </c>
      <c r="N5" s="110">
        <v>0</v>
      </c>
      <c r="O5" s="53" t="s">
        <v>1</v>
      </c>
      <c r="P5" s="219">
        <f t="shared" si="1"/>
        <v>42475</v>
      </c>
      <c r="Q5" s="219">
        <f ca="1">P5+S5</f>
        <v>47128.672593226438</v>
      </c>
      <c r="S5" s="53">
        <f t="shared" ca="1" si="2"/>
        <v>4653.6725932264408</v>
      </c>
    </row>
    <row r="6" spans="1:20" ht="15">
      <c r="A6" s="45">
        <f>'All-time DF Stats'!A6</f>
        <v>5</v>
      </c>
      <c r="B6" s="37" t="str">
        <f>'All-time DF Stats'!B6</f>
        <v>CBO</v>
      </c>
      <c r="C6" s="44">
        <f>'All-time DF Stats'!C6</f>
        <v>238.00041999999996</v>
      </c>
      <c r="D6" s="40">
        <f ca="1">'All-time DF Stats'!E6</f>
        <v>0.4482117137476459</v>
      </c>
      <c r="E6" s="55">
        <f>'All-time DF Stats'!Q6</f>
        <v>2095.5</v>
      </c>
      <c r="F6" s="78" t="s">
        <v>56</v>
      </c>
      <c r="G6" s="78"/>
      <c r="H6" s="80">
        <f ca="1">1/(1-(C6/'All-time DF Stats'!AN6))</f>
        <v>1.8122892872406164</v>
      </c>
      <c r="I6" s="110">
        <f t="shared" si="0"/>
        <v>15.999960000000016</v>
      </c>
      <c r="J6" s="110">
        <f t="shared" si="3"/>
        <v>179.00037999999995</v>
      </c>
      <c r="K6" s="134">
        <f>1/(C6/$C$2)</f>
        <v>1.7521011097375374</v>
      </c>
      <c r="L6" s="135">
        <f ca="1">E6/('All-time DF Stats'!AN6-'All-time DF Stats'!C6)</f>
        <v>7.1518873849580249</v>
      </c>
      <c r="M6" s="40">
        <f>C6/$C$9</f>
        <v>0.11923848187355829</v>
      </c>
      <c r="N6" s="110">
        <v>1</v>
      </c>
      <c r="O6" s="53" t="s">
        <v>4</v>
      </c>
      <c r="P6" s="219">
        <f t="shared" si="1"/>
        <v>42475</v>
      </c>
      <c r="Q6" s="219">
        <f ca="1">P6+S6</f>
        <v>49201.316160282404</v>
      </c>
      <c r="S6" s="53">
        <f t="shared" ca="1" si="2"/>
        <v>6726.3161602824057</v>
      </c>
    </row>
    <row r="7" spans="1:20" ht="15">
      <c r="A7" s="45">
        <f>'All-time DF Stats'!A7</f>
        <v>6</v>
      </c>
      <c r="B7" s="37" t="str">
        <f>'All-time DF Stats'!B7</f>
        <v>YMI</v>
      </c>
      <c r="C7" s="44">
        <f>'All-time DF Stats'!C7</f>
        <v>222.00045999999995</v>
      </c>
      <c r="D7" s="46">
        <f ca="1">'All-time DF Stats'!E7</f>
        <v>0.41807996233521649</v>
      </c>
      <c r="E7" s="55">
        <f>'All-time DF Stats'!Q7</f>
        <v>2791</v>
      </c>
      <c r="F7" s="78" t="s">
        <v>56</v>
      </c>
      <c r="G7" s="78"/>
      <c r="H7" s="80">
        <f ca="1">1/(1-(C7/'All-time DF Stats'!AN7))</f>
        <v>1.7184491601508531</v>
      </c>
      <c r="I7" s="110">
        <f t="shared" si="0"/>
        <v>100000000000222</v>
      </c>
      <c r="J7" s="110">
        <f t="shared" si="3"/>
        <v>195.00033999999997</v>
      </c>
      <c r="K7" s="134">
        <f t="shared" ref="K7" si="5">1/(C7/$C$2)</f>
        <v>1.8783780898472013</v>
      </c>
      <c r="L7" s="135">
        <f ca="1">E7/('All-time DF Stats'!AN7-'All-time DF Stats'!C7)</f>
        <v>9.0323759058023185</v>
      </c>
      <c r="M7" s="40">
        <f>C7/$C$9</f>
        <v>0.1112224836646574</v>
      </c>
      <c r="N7" s="110">
        <v>3</v>
      </c>
      <c r="O7" s="53" t="s">
        <v>2</v>
      </c>
      <c r="P7" s="219">
        <f t="shared" si="1"/>
        <v>42475</v>
      </c>
      <c r="Q7" s="219">
        <f ca="1">P7+S7</f>
        <v>49686.093486923404</v>
      </c>
      <c r="S7" s="53">
        <f t="shared" ca="1" si="2"/>
        <v>7211.0934869234061</v>
      </c>
    </row>
    <row r="8" spans="1:20" ht="15">
      <c r="A8" s="111" t="s">
        <v>38</v>
      </c>
      <c r="B8" s="37" t="str">
        <f>'All-time DF Stats'!B8</f>
        <v>Jinderletscht</v>
      </c>
      <c r="C8" s="148">
        <v>-100000000000000</v>
      </c>
      <c r="D8" s="112" t="s">
        <v>39</v>
      </c>
      <c r="E8" s="55" t="s">
        <v>46</v>
      </c>
      <c r="F8" s="78" t="s">
        <v>79</v>
      </c>
      <c r="G8" s="78"/>
      <c r="H8" s="78" t="s">
        <v>78</v>
      </c>
      <c r="I8" s="110"/>
      <c r="J8" s="148">
        <f>$C$2-C8</f>
        <v>100000000000417</v>
      </c>
      <c r="K8" s="135" t="s">
        <v>88</v>
      </c>
      <c r="L8" s="135" t="s">
        <v>88</v>
      </c>
    </row>
    <row r="9" spans="1:20">
      <c r="C9" s="150">
        <f>SUM(C2:C7)</f>
        <v>1996.0034399999997</v>
      </c>
      <c r="E9" s="150"/>
    </row>
    <row r="16" spans="1:20">
      <c r="F16" s="219"/>
    </row>
    <row r="17" spans="6:6">
      <c r="F17" s="219"/>
    </row>
    <row r="18" spans="6:6">
      <c r="F18" s="219"/>
    </row>
    <row r="19" spans="6:6">
      <c r="F19" s="219"/>
    </row>
    <row r="20" spans="6:6">
      <c r="F20" s="219"/>
    </row>
    <row r="21" spans="6:6">
      <c r="F21" s="219"/>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 activePane="bottomRight" state="frozen"/>
      <selection pane="topRight" activeCell="P1" sqref="P1"/>
      <selection pane="bottomLeft" activeCell="A24" sqref="A24"/>
      <selection pane="bottomRight" activeCell="G9" sqref="A9:G9"/>
    </sheetView>
  </sheetViews>
  <sheetFormatPr defaultColWidth="11.3828125" defaultRowHeight="16.75"/>
  <cols>
    <col min="1" max="1" width="12.69140625" style="1" customWidth="1"/>
    <col min="2" max="7" width="7.15234375" style="131" customWidth="1"/>
    <col min="8" max="9" width="1.53515625" style="132" customWidth="1"/>
    <col min="10" max="10" width="38.53515625" style="57" customWidth="1"/>
    <col min="11" max="11" width="15" style="1" customWidth="1"/>
    <col min="12" max="18" width="11.3828125" style="128" customWidth="1"/>
    <col min="19" max="21" width="11.3828125" style="1"/>
    <col min="22" max="22" width="11.3828125" style="1" customWidth="1"/>
    <col min="23" max="16384" width="11.382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5" operator="equal">
      <formula>1</formula>
    </cfRule>
    <cfRule type="cellIs" dxfId="153" priority="64" operator="equal">
      <formula>0</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3" operator="equal">
      <formula>1</formula>
    </cfRule>
    <cfRule type="cellIs" dxfId="141" priority="62" operator="equal">
      <formula>0</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4.6"/>
  <cols>
    <col min="1" max="1" width="21.3046875" customWidth="1"/>
  </cols>
  <sheetData>
    <row r="1" spans="1:7" ht="15">
      <c r="A1" s="37"/>
      <c r="B1" s="37" t="s">
        <v>0</v>
      </c>
      <c r="C1" s="37" t="s">
        <v>4</v>
      </c>
      <c r="D1" s="37" t="s">
        <v>1</v>
      </c>
      <c r="E1" s="37" t="s">
        <v>2</v>
      </c>
      <c r="F1" s="37" t="s">
        <v>3</v>
      </c>
      <c r="G1" s="37" t="s">
        <v>21</v>
      </c>
    </row>
    <row r="2" spans="1:7" ht="15">
      <c r="A2" s="172">
        <v>44533</v>
      </c>
      <c r="B2" s="37">
        <v>220.00000008000001</v>
      </c>
      <c r="C2" s="37">
        <v>88.000000080000007</v>
      </c>
      <c r="D2" s="37">
        <v>220</v>
      </c>
      <c r="E2" s="37">
        <v>130</v>
      </c>
      <c r="F2" s="37">
        <v>218</v>
      </c>
      <c r="G2" s="37">
        <v>236</v>
      </c>
    </row>
    <row r="3" spans="1:7" ht="15">
      <c r="A3" s="172">
        <v>45128</v>
      </c>
      <c r="B3" s="37">
        <v>258.00000008000001</v>
      </c>
      <c r="C3" s="37">
        <v>146.00000008000001</v>
      </c>
      <c r="D3" s="37">
        <v>268</v>
      </c>
      <c r="E3" s="37">
        <v>148</v>
      </c>
      <c r="F3" s="37">
        <v>284</v>
      </c>
      <c r="G3" s="37">
        <v>299</v>
      </c>
    </row>
    <row r="4" spans="1:7" ht="15">
      <c r="A4" s="37" t="s">
        <v>330</v>
      </c>
      <c r="B4" s="37">
        <f>B3-B2</f>
        <v>38</v>
      </c>
      <c r="C4" s="37">
        <f t="shared" ref="C4:G4" si="0">C3-C2</f>
        <v>58</v>
      </c>
      <c r="D4" s="37">
        <f t="shared" si="0"/>
        <v>48</v>
      </c>
      <c r="E4" s="37">
        <f t="shared" si="0"/>
        <v>18</v>
      </c>
      <c r="F4" s="37">
        <f t="shared" si="0"/>
        <v>66</v>
      </c>
      <c r="G4" s="37">
        <f t="shared" si="0"/>
        <v>63</v>
      </c>
    </row>
    <row r="5" spans="1:7" ht="15.4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
      <c r="A6" s="37" t="s">
        <v>332</v>
      </c>
      <c r="B6" s="37">
        <v>5</v>
      </c>
      <c r="C6" s="37">
        <v>3</v>
      </c>
      <c r="D6" s="37">
        <v>4</v>
      </c>
      <c r="E6" s="37">
        <v>6</v>
      </c>
      <c r="F6" s="37">
        <v>1</v>
      </c>
      <c r="G6" s="37">
        <v>2</v>
      </c>
    </row>
    <row r="7" spans="1:7" ht="1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3828125" defaultRowHeight="14.6"/>
  <cols>
    <col min="1" max="1" width="12" customWidth="1"/>
    <col min="2" max="2" width="16" customWidth="1"/>
    <col min="3" max="6" width="16.3828125" customWidth="1"/>
    <col min="7" max="7" width="28.3828125" bestFit="1" customWidth="1"/>
    <col min="8" max="8" width="16.3828125" customWidth="1"/>
    <col min="9" max="9" width="17.15234375" customWidth="1"/>
    <col min="10" max="10" width="24.15234375" customWidth="1"/>
    <col min="11" max="11" width="16.3828125" customWidth="1"/>
  </cols>
  <sheetData>
    <row r="1" spans="1:10" s="151" customFormat="1" ht="34.75"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5.8273373096646353</v>
      </c>
      <c r="G2" s="152">
        <v>3</v>
      </c>
      <c r="H2" s="152">
        <v>0.25</v>
      </c>
      <c r="I2" s="153">
        <f t="shared" ref="I2:I7" si="0">AVERAGE(B2:G2)+H2</f>
        <v>5.7212228849441056</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4.9496391373829507</v>
      </c>
      <c r="G4" s="152">
        <v>3</v>
      </c>
      <c r="H4" s="152"/>
      <c r="I4" s="153">
        <f t="shared" si="0"/>
        <v>4.9916065228971584</v>
      </c>
      <c r="J4" s="152"/>
    </row>
    <row r="5" spans="1:10">
      <c r="A5" s="157" t="s">
        <v>2</v>
      </c>
      <c r="B5" s="152">
        <v>6</v>
      </c>
      <c r="C5" s="152">
        <v>4</v>
      </c>
      <c r="D5" s="152">
        <v>6</v>
      </c>
      <c r="E5" s="152">
        <v>3</v>
      </c>
      <c r="F5" s="153">
        <f>'Executive Summary für dä JWU'!C7/'Executive Summary für dä JWU'!$C$2*6</f>
        <v>3.1942450949734384</v>
      </c>
      <c r="G5" s="152">
        <v>3</v>
      </c>
      <c r="H5" s="152"/>
      <c r="I5" s="153">
        <f t="shared" si="0"/>
        <v>4.1990408491622402</v>
      </c>
      <c r="J5" s="152"/>
    </row>
    <row r="6" spans="1:10">
      <c r="A6" s="157" t="s">
        <v>4</v>
      </c>
      <c r="B6" s="152">
        <v>6</v>
      </c>
      <c r="C6" s="152">
        <v>2</v>
      </c>
      <c r="D6" s="152">
        <v>6</v>
      </c>
      <c r="E6" s="152">
        <v>3</v>
      </c>
      <c r="F6" s="153">
        <f>'Executive Summary für dä JWU'!C6/'Executive Summary für dä JWU'!$C$2*6</f>
        <v>3.4244599051128919</v>
      </c>
      <c r="G6" s="152">
        <v>3</v>
      </c>
      <c r="H6" s="152">
        <v>0.1</v>
      </c>
      <c r="I6" s="153">
        <f t="shared" si="0"/>
        <v>4.0040766508521486</v>
      </c>
      <c r="J6" s="154" t="s">
        <v>305</v>
      </c>
    </row>
    <row r="7" spans="1:10">
      <c r="A7" s="155" t="s">
        <v>0</v>
      </c>
      <c r="B7" s="152">
        <v>6</v>
      </c>
      <c r="C7" s="152">
        <v>1</v>
      </c>
      <c r="D7" s="152">
        <v>1</v>
      </c>
      <c r="E7" s="152">
        <v>6</v>
      </c>
      <c r="F7" s="153">
        <f>'Executive Summary für dä JWU'!C4/'Executive Summary für dä JWU'!$C$2*6</f>
        <v>5.3237374124941734</v>
      </c>
      <c r="G7" s="152">
        <v>3</v>
      </c>
      <c r="H7" s="152"/>
      <c r="I7" s="153">
        <f t="shared" si="0"/>
        <v>3.7206229020823627</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1:27" ht="8.25" customHeight="1"/>
    <row r="4" spans="1:27" ht="9.75" customHeight="1"/>
    <row r="5" spans="1:27" ht="21.75" customHeight="1">
      <c r="B5" s="6"/>
      <c r="C5" s="7" t="s">
        <v>13</v>
      </c>
      <c r="D5" s="8"/>
      <c r="E5" s="8"/>
      <c r="F5" s="8"/>
      <c r="G5" s="8"/>
      <c r="H5" s="8"/>
      <c r="I5" s="9"/>
      <c r="J5" s="9"/>
      <c r="L5" s="6"/>
      <c r="M5" s="31" t="s">
        <v>14</v>
      </c>
      <c r="N5" s="8"/>
      <c r="O5" s="224" t="s">
        <v>31</v>
      </c>
      <c r="P5" s="224"/>
      <c r="Q5" s="224"/>
      <c r="R5" s="224"/>
      <c r="S5" s="225"/>
      <c r="T5" s="226">
        <f>W16</f>
        <v>6598.5</v>
      </c>
      <c r="U5" s="227"/>
      <c r="V5" s="228" t="s">
        <v>53</v>
      </c>
      <c r="W5" s="229"/>
      <c r="X5" s="228" t="s">
        <v>57</v>
      </c>
      <c r="Y5" s="229"/>
      <c r="Z5" s="228" t="s">
        <v>62</v>
      </c>
      <c r="AA5" s="229"/>
    </row>
    <row r="6" spans="1:27" ht="23.25" customHeight="1">
      <c r="B6" s="6"/>
      <c r="L6" s="6"/>
      <c r="V6" s="230"/>
      <c r="W6" s="231"/>
      <c r="X6" s="230"/>
      <c r="Y6" s="231"/>
      <c r="Z6" s="230"/>
      <c r="AA6" s="231"/>
    </row>
    <row r="7" spans="1:27">
      <c r="B7" s="6"/>
      <c r="D7" s="33" t="s">
        <v>6</v>
      </c>
      <c r="E7" s="35" t="s">
        <v>7</v>
      </c>
      <c r="F7" s="35" t="s">
        <v>8</v>
      </c>
      <c r="G7" s="35" t="s">
        <v>9</v>
      </c>
      <c r="I7" s="11"/>
      <c r="J7" s="11"/>
      <c r="L7" s="6"/>
      <c r="N7" s="33" t="s">
        <v>6</v>
      </c>
      <c r="O7" s="68" t="s">
        <v>16</v>
      </c>
      <c r="P7" s="68" t="s">
        <v>17</v>
      </c>
      <c r="Q7" s="234" t="s">
        <v>26</v>
      </c>
      <c r="R7" s="234"/>
      <c r="S7" s="235" t="s">
        <v>27</v>
      </c>
      <c r="T7" s="235"/>
      <c r="U7" s="34"/>
      <c r="V7" s="232"/>
      <c r="W7" s="233"/>
      <c r="X7" s="232"/>
      <c r="Y7" s="233"/>
      <c r="Z7" s="232"/>
      <c r="AA7" s="233"/>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1"/>
      <c r="R12" s="221"/>
      <c r="S12" s="221" t="s">
        <v>18</v>
      </c>
      <c r="T12" s="221"/>
      <c r="V12" s="221" t="s">
        <v>51</v>
      </c>
      <c r="W12" s="221"/>
      <c r="X12" s="221" t="s">
        <v>360</v>
      </c>
      <c r="Y12" s="221"/>
      <c r="Z12" s="221" t="s">
        <v>64</v>
      </c>
      <c r="AA12" s="221"/>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1"/>
      <c r="R13" s="221"/>
      <c r="S13" s="221" t="s">
        <v>18</v>
      </c>
      <c r="T13" s="221"/>
      <c r="V13" s="221" t="s">
        <v>52</v>
      </c>
      <c r="W13" s="221"/>
      <c r="X13" s="236" t="s">
        <v>367</v>
      </c>
      <c r="Y13" s="236"/>
      <c r="Z13" s="221" t="s">
        <v>63</v>
      </c>
      <c r="AA13" s="221"/>
    </row>
    <row r="14" spans="1:27" ht="17.149999999999999" thickBot="1">
      <c r="B14" s="6"/>
      <c r="F14" s="63"/>
      <c r="L14" s="6"/>
      <c r="N14" s="29"/>
      <c r="O14" s="29"/>
      <c r="P14" s="29"/>
      <c r="Q14" s="238"/>
      <c r="R14" s="238"/>
      <c r="S14" s="238"/>
      <c r="T14" s="238"/>
      <c r="X14" s="237"/>
      <c r="Y14" s="237"/>
    </row>
    <row r="15" spans="1:27" ht="13.5" customHeight="1" thickBot="1">
      <c r="B15" s="6"/>
      <c r="L15" s="6"/>
      <c r="M15"/>
      <c r="Q15" s="1" t="s">
        <v>366</v>
      </c>
      <c r="S15" s="15">
        <v>1000</v>
      </c>
      <c r="V15" s="139" t="s">
        <v>125</v>
      </c>
      <c r="W15" s="140">
        <f>W16-S15</f>
        <v>5598.5</v>
      </c>
    </row>
    <row r="16" spans="1:27" ht="17.149999999999999"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39"/>
      <c r="D35" s="240"/>
      <c r="E35" s="240"/>
      <c r="F35" s="240"/>
      <c r="G35" s="240"/>
      <c r="H35" s="240"/>
      <c r="I35" s="240"/>
      <c r="J35" s="241"/>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39"/>
      <c r="D48" s="240"/>
      <c r="E48" s="240"/>
      <c r="F48" s="240"/>
      <c r="G48" s="240"/>
      <c r="H48" s="240"/>
      <c r="I48" s="240"/>
      <c r="J48" s="241"/>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39"/>
      <c r="D59" s="240"/>
      <c r="E59" s="240"/>
      <c r="F59" s="240"/>
      <c r="G59" s="240"/>
      <c r="H59" s="240"/>
      <c r="I59" s="240"/>
      <c r="J59" s="241"/>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39"/>
      <c r="D63" s="240"/>
      <c r="E63" s="240"/>
      <c r="F63" s="240"/>
      <c r="G63" s="240"/>
      <c r="H63" s="240"/>
      <c r="I63" s="240"/>
      <c r="J63" s="241"/>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39"/>
      <c r="D65" s="240"/>
      <c r="E65" s="240"/>
      <c r="F65" s="240"/>
      <c r="G65" s="240"/>
      <c r="H65" s="240"/>
      <c r="I65" s="240"/>
      <c r="J65" s="241"/>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C65:J65"/>
    <mergeCell ref="Q16:R16"/>
    <mergeCell ref="Q12:R12"/>
    <mergeCell ref="S12:T12"/>
    <mergeCell ref="V12:W12"/>
    <mergeCell ref="V17:V18"/>
    <mergeCell ref="C63:J63"/>
    <mergeCell ref="C59:J59"/>
    <mergeCell ref="C35:J35"/>
    <mergeCell ref="C48:J48"/>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60" activePane="bottomRight" state="frozen"/>
      <selection pane="topRight" activeCell="P1" sqref="P1"/>
      <selection pane="bottomLeft" activeCell="A24" sqref="A24"/>
      <selection pane="bottomRight" activeCell="S71" sqref="S71"/>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1:27" ht="8.25" customHeight="1"/>
    <row r="4" spans="1:27" ht="9.75" customHeight="1"/>
    <row r="5" spans="1:27" ht="21.75" customHeight="1">
      <c r="B5" s="6"/>
      <c r="C5" s="7" t="s">
        <v>13</v>
      </c>
      <c r="D5" s="8"/>
      <c r="E5" s="8"/>
      <c r="F5" s="8"/>
      <c r="G5" s="8"/>
      <c r="H5" s="8"/>
      <c r="I5" s="9"/>
      <c r="J5" s="9"/>
      <c r="L5" s="6"/>
      <c r="M5" s="31" t="s">
        <v>14</v>
      </c>
      <c r="N5" s="8"/>
      <c r="O5" s="224" t="s">
        <v>31</v>
      </c>
      <c r="P5" s="224"/>
      <c r="Q5" s="224"/>
      <c r="R5" s="224"/>
      <c r="S5" s="225"/>
      <c r="T5" s="226">
        <f>W16</f>
        <v>5382.5</v>
      </c>
      <c r="U5" s="227"/>
      <c r="V5" s="228" t="s">
        <v>53</v>
      </c>
      <c r="W5" s="229"/>
      <c r="X5" s="228" t="s">
        <v>57</v>
      </c>
      <c r="Y5" s="229"/>
      <c r="Z5" s="228" t="s">
        <v>62</v>
      </c>
      <c r="AA5" s="229"/>
    </row>
    <row r="6" spans="1:27" ht="23.25" customHeight="1">
      <c r="B6" s="6"/>
      <c r="L6" s="6"/>
      <c r="V6" s="230"/>
      <c r="W6" s="231"/>
      <c r="X6" s="230"/>
      <c r="Y6" s="231"/>
      <c r="Z6" s="230"/>
      <c r="AA6" s="231"/>
    </row>
    <row r="7" spans="1:27">
      <c r="B7" s="6"/>
      <c r="D7" s="33" t="s">
        <v>6</v>
      </c>
      <c r="E7" s="35" t="s">
        <v>7</v>
      </c>
      <c r="F7" s="35" t="s">
        <v>8</v>
      </c>
      <c r="G7" s="35" t="s">
        <v>9</v>
      </c>
      <c r="I7" s="11"/>
      <c r="J7" s="11"/>
      <c r="L7" s="6"/>
      <c r="N7" s="33" t="s">
        <v>6</v>
      </c>
      <c r="O7" s="68" t="s">
        <v>16</v>
      </c>
      <c r="P7" s="68" t="s">
        <v>17</v>
      </c>
      <c r="Q7" s="234" t="s">
        <v>26</v>
      </c>
      <c r="R7" s="234"/>
      <c r="S7" s="235" t="s">
        <v>27</v>
      </c>
      <c r="T7" s="235"/>
      <c r="U7" s="34"/>
      <c r="V7" s="232"/>
      <c r="W7" s="233"/>
      <c r="X7" s="232"/>
      <c r="Y7" s="233"/>
      <c r="Z7" s="232"/>
      <c r="AA7" s="233"/>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1"/>
      <c r="R12" s="221"/>
      <c r="S12" s="221" t="s">
        <v>18</v>
      </c>
      <c r="T12" s="221"/>
      <c r="V12" s="221" t="s">
        <v>51</v>
      </c>
      <c r="W12" s="221"/>
      <c r="X12" s="221" t="s">
        <v>84</v>
      </c>
      <c r="Y12" s="221"/>
      <c r="Z12" s="221" t="s">
        <v>64</v>
      </c>
      <c r="AA12" s="221"/>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1"/>
      <c r="R13" s="221"/>
      <c r="S13" s="221" t="s">
        <v>18</v>
      </c>
      <c r="T13" s="221"/>
      <c r="V13" s="221" t="s">
        <v>52</v>
      </c>
      <c r="W13" s="221"/>
      <c r="X13" s="236" t="s">
        <v>122</v>
      </c>
      <c r="Y13" s="236"/>
      <c r="Z13" s="221" t="s">
        <v>63</v>
      </c>
      <c r="AA13" s="221"/>
    </row>
    <row r="14" spans="1:27">
      <c r="B14" s="6"/>
      <c r="F14" s="63"/>
      <c r="L14" s="6"/>
      <c r="N14" s="29"/>
      <c r="O14" s="29"/>
      <c r="P14" s="29"/>
      <c r="Q14" s="238"/>
      <c r="R14" s="238"/>
      <c r="S14" s="238"/>
      <c r="T14" s="238"/>
      <c r="X14" s="237"/>
      <c r="Y14" s="237"/>
    </row>
    <row r="15" spans="1:27" ht="13.5" customHeight="1" thickBot="1">
      <c r="B15" s="6"/>
      <c r="L15" s="6"/>
      <c r="M15"/>
    </row>
    <row r="16" spans="1:27" ht="17.149999999999999"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2995.2735682739599</v>
      </c>
      <c r="U5" s="227"/>
      <c r="V5" s="228" t="s">
        <v>53</v>
      </c>
      <c r="W5" s="229"/>
      <c r="X5" s="228" t="s">
        <v>57</v>
      </c>
      <c r="Y5" s="229"/>
      <c r="Z5" s="228" t="s">
        <v>62</v>
      </c>
      <c r="AA5" s="229"/>
    </row>
    <row r="6" spans="2:27" ht="23.25" customHeight="1">
      <c r="B6" s="6"/>
      <c r="L6" s="6"/>
      <c r="V6" s="230"/>
      <c r="W6" s="231"/>
      <c r="X6" s="230"/>
      <c r="Y6" s="231"/>
      <c r="Z6" s="230"/>
      <c r="AA6" s="231"/>
    </row>
    <row r="7" spans="2:2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1"/>
      <c r="R8" s="221"/>
      <c r="S8" s="221" t="s">
        <v>18</v>
      </c>
      <c r="T8" s="221"/>
      <c r="V8" s="221" t="s">
        <v>49</v>
      </c>
      <c r="W8" s="221"/>
      <c r="X8" s="221" t="s">
        <v>59</v>
      </c>
      <c r="Y8" s="221"/>
      <c r="Z8" s="221" t="s">
        <v>66</v>
      </c>
      <c r="AA8" s="221"/>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1"/>
      <c r="R9" s="221"/>
      <c r="S9" s="221" t="s">
        <v>18</v>
      </c>
      <c r="T9" s="221"/>
      <c r="V9" s="221" t="s">
        <v>50</v>
      </c>
      <c r="W9" s="221"/>
      <c r="X9" s="221" t="s">
        <v>58</v>
      </c>
      <c r="Y9" s="221"/>
      <c r="Z9" s="221" t="s">
        <v>65</v>
      </c>
      <c r="AA9" s="221"/>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1"/>
      <c r="R10" s="221"/>
      <c r="S10" s="221" t="s">
        <v>18</v>
      </c>
      <c r="T10" s="221"/>
      <c r="V10" s="221" t="s">
        <v>49</v>
      </c>
      <c r="W10" s="221"/>
      <c r="X10" s="221" t="s">
        <v>61</v>
      </c>
      <c r="Y10" s="221"/>
      <c r="Z10" s="221" t="s">
        <v>67</v>
      </c>
      <c r="AA10" s="221"/>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1"/>
      <c r="R11" s="221"/>
      <c r="S11" s="221" t="s">
        <v>18</v>
      </c>
      <c r="T11" s="221"/>
      <c r="V11" s="221" t="s">
        <v>49</v>
      </c>
      <c r="W11" s="221"/>
      <c r="X11" s="221" t="s">
        <v>60</v>
      </c>
      <c r="Y11" s="221"/>
      <c r="Z11" s="221" t="s">
        <v>68</v>
      </c>
      <c r="AA11" s="221"/>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1"/>
      <c r="R12" s="221"/>
      <c r="S12" s="221" t="s">
        <v>18</v>
      </c>
      <c r="T12" s="221"/>
      <c r="V12" s="221" t="s">
        <v>51</v>
      </c>
      <c r="W12" s="221"/>
      <c r="X12" s="221" t="s">
        <v>84</v>
      </c>
      <c r="Y12" s="221"/>
      <c r="Z12" s="221" t="s">
        <v>64</v>
      </c>
      <c r="AA12" s="221"/>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1"/>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149999999999999"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43" t="s">
        <v>335</v>
      </c>
      <c r="X20" s="243"/>
      <c r="Y20" s="243"/>
      <c r="Z20" s="243"/>
    </row>
    <row r="21" spans="2:34" ht="6" customHeight="1">
      <c r="B21" s="6"/>
      <c r="E21" s="2"/>
      <c r="F21" s="2"/>
      <c r="G21" s="2"/>
      <c r="H21" s="2"/>
      <c r="I21" s="2"/>
      <c r="J21" s="2"/>
      <c r="L21" s="6"/>
      <c r="O21" s="20"/>
      <c r="P21" s="20"/>
      <c r="Q21" s="20"/>
      <c r="R21" s="20"/>
      <c r="S21" s="20"/>
      <c r="T21" s="20"/>
      <c r="U21" s="20"/>
      <c r="W21" s="243"/>
      <c r="X21" s="243"/>
      <c r="Y21" s="243"/>
      <c r="Z21" s="243"/>
    </row>
    <row r="22" spans="2:34">
      <c r="B22" s="6"/>
      <c r="E22" s="18">
        <v>3</v>
      </c>
      <c r="F22" s="18">
        <v>5</v>
      </c>
      <c r="G22" s="18">
        <v>6</v>
      </c>
      <c r="H22" s="18">
        <v>7</v>
      </c>
      <c r="I22" s="18">
        <v>8</v>
      </c>
      <c r="J22" s="18">
        <v>1</v>
      </c>
      <c r="L22" s="6"/>
      <c r="W22" s="243"/>
      <c r="X22" s="243"/>
      <c r="Y22" s="243"/>
      <c r="Z22" s="243"/>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2190.92</v>
      </c>
      <c r="U5" s="227"/>
      <c r="V5" s="228" t="s">
        <v>53</v>
      </c>
      <c r="W5" s="229"/>
      <c r="X5" s="228" t="s">
        <v>57</v>
      </c>
      <c r="Y5" s="229"/>
      <c r="Z5" s="228" t="s">
        <v>62</v>
      </c>
      <c r="AA5" s="229"/>
    </row>
    <row r="6" spans="2:27" ht="23.25" customHeight="1">
      <c r="B6" s="6"/>
      <c r="L6" s="6"/>
      <c r="V6" s="230"/>
      <c r="W6" s="231"/>
      <c r="X6" s="230"/>
      <c r="Y6" s="231"/>
      <c r="Z6" s="230"/>
      <c r="AA6" s="231"/>
    </row>
    <row r="7" spans="2:2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1" t="s">
        <v>25</v>
      </c>
      <c r="R8" s="221"/>
      <c r="S8" s="221" t="s">
        <v>18</v>
      </c>
      <c r="T8" s="221"/>
      <c r="V8" s="221" t="s">
        <v>49</v>
      </c>
      <c r="W8" s="221"/>
      <c r="X8" s="221" t="s">
        <v>59</v>
      </c>
      <c r="Y8" s="221"/>
      <c r="Z8" s="221" t="s">
        <v>66</v>
      </c>
      <c r="AA8" s="221"/>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149999999999999"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42"/>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99999999999999"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84375" style="1" bestFit="1" customWidth="1"/>
    <col min="23" max="23" width="16.69140625" style="1" customWidth="1"/>
    <col min="24" max="24" width="11.69140625" style="1" bestFit="1" customWidth="1"/>
    <col min="25" max="25" width="43.53515625" style="1" customWidth="1"/>
    <col min="26" max="26" width="11.84375" style="1" bestFit="1" customWidth="1"/>
    <col min="27" max="27" width="12.15234375" style="1" customWidth="1"/>
    <col min="28" max="16384" width="11.38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1810.68</v>
      </c>
      <c r="U5" s="227"/>
      <c r="V5" s="228" t="s">
        <v>53</v>
      </c>
      <c r="W5" s="229"/>
      <c r="X5" s="228" t="s">
        <v>57</v>
      </c>
      <c r="Y5" s="229"/>
      <c r="Z5" s="228" t="s">
        <v>62</v>
      </c>
      <c r="AA5" s="229"/>
    </row>
    <row r="6" spans="2:27" ht="23.25" customHeight="1">
      <c r="B6" s="6"/>
      <c r="L6" s="6"/>
      <c r="V6" s="230"/>
      <c r="W6" s="231"/>
      <c r="X6" s="230"/>
      <c r="Y6" s="231"/>
      <c r="Z6" s="230"/>
      <c r="AA6" s="231"/>
    </row>
    <row r="7" spans="2:2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1" t="s">
        <v>25</v>
      </c>
      <c r="R8" s="221"/>
      <c r="S8" s="221" t="s">
        <v>18</v>
      </c>
      <c r="T8" s="221"/>
      <c r="V8" s="221" t="s">
        <v>49</v>
      </c>
      <c r="W8" s="221"/>
      <c r="X8" s="221" t="s">
        <v>59</v>
      </c>
      <c r="Y8" s="221"/>
      <c r="Z8" s="221" t="s">
        <v>66</v>
      </c>
      <c r="AA8" s="221"/>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149999999999999"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42"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4" operator="greaterThan">
      <formula>0</formula>
    </cfRule>
    <cfRule type="cellIs" dxfId="70" priority="13" operator="equal">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O16+S16-O15</f>
        <v>1326.93</v>
      </c>
      <c r="U5" s="227"/>
      <c r="V5" s="228" t="s">
        <v>53</v>
      </c>
      <c r="W5" s="229"/>
      <c r="X5" s="228" t="s">
        <v>57</v>
      </c>
      <c r="Y5" s="229"/>
      <c r="Z5" s="228" t="s">
        <v>62</v>
      </c>
      <c r="AA5" s="229"/>
    </row>
    <row r="6" spans="2:27" ht="23.25" customHeight="1">
      <c r="B6" s="6"/>
      <c r="L6" s="6"/>
      <c r="V6" s="230"/>
      <c r="W6" s="231"/>
      <c r="X6" s="230"/>
      <c r="Y6" s="231"/>
      <c r="Z6" s="230"/>
      <c r="AA6" s="231"/>
    </row>
    <row r="7" spans="2:2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1" t="s">
        <v>25</v>
      </c>
      <c r="R8" s="221"/>
      <c r="S8" s="221" t="s">
        <v>29</v>
      </c>
      <c r="T8" s="221"/>
      <c r="V8" s="221" t="s">
        <v>49</v>
      </c>
      <c r="W8" s="221"/>
      <c r="X8" s="221" t="s">
        <v>59</v>
      </c>
      <c r="Y8" s="221"/>
      <c r="Z8" s="221" t="s">
        <v>66</v>
      </c>
      <c r="AA8" s="221"/>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1" t="s">
        <v>25</v>
      </c>
      <c r="R9" s="221"/>
      <c r="S9" s="221" t="s">
        <v>29</v>
      </c>
      <c r="T9" s="221"/>
      <c r="V9" s="221" t="s">
        <v>50</v>
      </c>
      <c r="W9" s="221"/>
      <c r="X9" s="221" t="s">
        <v>58</v>
      </c>
      <c r="Y9" s="221"/>
      <c r="Z9" s="221" t="s">
        <v>65</v>
      </c>
      <c r="AA9" s="221"/>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1" t="s">
        <v>25</v>
      </c>
      <c r="R10" s="221"/>
      <c r="S10" s="221" t="s">
        <v>28</v>
      </c>
      <c r="T10" s="221"/>
      <c r="V10" s="221" t="s">
        <v>49</v>
      </c>
      <c r="W10" s="221"/>
      <c r="X10" s="221" t="s">
        <v>61</v>
      </c>
      <c r="Y10" s="221"/>
      <c r="Z10" s="221" t="s">
        <v>67</v>
      </c>
      <c r="AA10" s="221"/>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149999999999999"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V5:W7"/>
    <mergeCell ref="V8:W8"/>
    <mergeCell ref="V9:W9"/>
    <mergeCell ref="V10:W10"/>
    <mergeCell ref="V11:W11"/>
    <mergeCell ref="Q10:R10"/>
    <mergeCell ref="Q11:R11"/>
    <mergeCell ref="V12:W12"/>
    <mergeCell ref="V13:W13"/>
    <mergeCell ref="Q12:R12"/>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5" operator="equal">
      <formula>1</formula>
    </cfRule>
    <cfRule type="cellIs" dxfId="59" priority="124" operator="equal">
      <formula>0</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1" operator="greaterThan">
      <formula>0</formula>
    </cfRule>
    <cfRule type="cellIs" dxfId="39" priority="20" operator="equal">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4" width="11.69140625" style="1" bestFit="1" customWidth="1"/>
    <col min="25" max="16384" width="11.382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24" t="s">
        <v>31</v>
      </c>
      <c r="P5" s="224"/>
      <c r="Q5" s="224"/>
      <c r="R5" s="224"/>
      <c r="S5" s="225"/>
      <c r="T5" s="226">
        <f>O16+S16</f>
        <v>1395.45</v>
      </c>
      <c r="U5" s="227"/>
    </row>
    <row r="6" spans="2:21" ht="23.25" customHeight="1">
      <c r="B6" s="6"/>
      <c r="L6" s="6"/>
    </row>
    <row r="7" spans="2:21">
      <c r="B7" s="6"/>
      <c r="D7" s="33" t="s">
        <v>6</v>
      </c>
      <c r="E7" s="35" t="s">
        <v>7</v>
      </c>
      <c r="F7" s="35" t="s">
        <v>8</v>
      </c>
      <c r="G7" s="35" t="s">
        <v>9</v>
      </c>
      <c r="H7" s="11"/>
      <c r="I7" s="11"/>
      <c r="J7" s="11"/>
      <c r="L7" s="6"/>
      <c r="N7" s="33" t="s">
        <v>6</v>
      </c>
      <c r="O7" s="68" t="s">
        <v>16</v>
      </c>
      <c r="P7" s="68" t="s">
        <v>17</v>
      </c>
      <c r="Q7" s="234" t="s">
        <v>26</v>
      </c>
      <c r="R7" s="234"/>
      <c r="S7" s="235" t="s">
        <v>27</v>
      </c>
      <c r="T7" s="235"/>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1" t="s">
        <v>25</v>
      </c>
      <c r="R8" s="221"/>
      <c r="S8" s="221" t="s">
        <v>29</v>
      </c>
      <c r="T8" s="221"/>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1" t="s">
        <v>25</v>
      </c>
      <c r="R9" s="221"/>
      <c r="S9" s="221" t="s">
        <v>29</v>
      </c>
      <c r="T9" s="221"/>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1" t="s">
        <v>25</v>
      </c>
      <c r="R10" s="221"/>
      <c r="S10" s="221" t="s">
        <v>28</v>
      </c>
      <c r="T10" s="221"/>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1" t="s">
        <v>25</v>
      </c>
      <c r="R11" s="221"/>
      <c r="S11" s="221" t="s">
        <v>18</v>
      </c>
      <c r="T11" s="221"/>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1" t="s">
        <v>25</v>
      </c>
      <c r="R12" s="221"/>
      <c r="S12" s="221" t="s">
        <v>18</v>
      </c>
      <c r="T12" s="221"/>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1" t="s">
        <v>25</v>
      </c>
      <c r="R13" s="221"/>
      <c r="S13" s="221" t="s">
        <v>18</v>
      </c>
      <c r="T13" s="221"/>
    </row>
    <row r="14" spans="2:21">
      <c r="B14" s="6"/>
      <c r="F14" s="63"/>
      <c r="L14" s="6"/>
      <c r="N14" s="29"/>
      <c r="O14" s="29"/>
      <c r="P14" s="29"/>
      <c r="Q14" s="238"/>
      <c r="R14" s="238"/>
      <c r="S14" s="238"/>
      <c r="T14" s="238"/>
    </row>
    <row r="15" spans="2:21" ht="8.25" customHeight="1">
      <c r="B15" s="6"/>
      <c r="L15" s="6"/>
    </row>
    <row r="16" spans="2:21">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Q16:R16"/>
    <mergeCell ref="Q12:R12"/>
    <mergeCell ref="S12:T12"/>
    <mergeCell ref="Q13:R13"/>
    <mergeCell ref="S13:T13"/>
    <mergeCell ref="Q14:R14"/>
    <mergeCell ref="S14:T14"/>
    <mergeCell ref="Q9:R9"/>
    <mergeCell ref="S9:T9"/>
    <mergeCell ref="Q10:R10"/>
    <mergeCell ref="S10:T10"/>
    <mergeCell ref="Q11:R11"/>
    <mergeCell ref="S11:T11"/>
    <mergeCell ref="O5:S5"/>
    <mergeCell ref="T5:U5"/>
    <mergeCell ref="Q7:R7"/>
    <mergeCell ref="S7:T7"/>
    <mergeCell ref="Q8:R8"/>
    <mergeCell ref="S8:T8"/>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6" width="14.3828125" style="1" hidden="1" customWidth="1"/>
    <col min="17" max="18" width="14.3828125" style="1" customWidth="1"/>
    <col min="19" max="19" width="13.3828125" style="1" customWidth="1"/>
    <col min="20" max="20" width="14.3828125" style="1" customWidth="1"/>
    <col min="21" max="21" width="17" style="1" customWidth="1"/>
    <col min="22" max="22" width="20.53515625" style="1" customWidth="1"/>
    <col min="23" max="23" width="53.3046875" style="1" customWidth="1"/>
    <col min="24" max="24" width="11.69140625" style="1" bestFit="1" customWidth="1"/>
    <col min="25" max="25" width="11.3828125" style="1"/>
    <col min="26" max="27" width="11.69140625" style="1" bestFit="1" customWidth="1"/>
    <col min="28" max="16384" width="11.382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c r="B7" s="6"/>
      <c r="D7" s="33" t="s">
        <v>6</v>
      </c>
      <c r="E7" s="35" t="s">
        <v>7</v>
      </c>
      <c r="F7" s="35" t="s">
        <v>8</v>
      </c>
      <c r="G7" s="35" t="s">
        <v>9</v>
      </c>
      <c r="H7" s="11"/>
      <c r="I7" s="11"/>
      <c r="J7" s="11"/>
      <c r="L7" s="6"/>
      <c r="N7" s="33" t="s">
        <v>6</v>
      </c>
      <c r="O7" s="68" t="s">
        <v>16</v>
      </c>
      <c r="P7" s="34"/>
      <c r="Q7" s="68" t="s">
        <v>17</v>
      </c>
      <c r="R7" s="234" t="s">
        <v>26</v>
      </c>
      <c r="S7" s="234"/>
      <c r="T7" s="235" t="s">
        <v>27</v>
      </c>
      <c r="U7" s="235"/>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1" t="s">
        <v>25</v>
      </c>
      <c r="S8" s="221"/>
      <c r="T8" s="221" t="s">
        <v>25</v>
      </c>
      <c r="U8" s="221"/>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1" t="s">
        <v>25</v>
      </c>
      <c r="S9" s="221"/>
      <c r="T9" s="221" t="s">
        <v>25</v>
      </c>
      <c r="U9" s="221"/>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1" t="s">
        <v>25</v>
      </c>
      <c r="S10" s="221"/>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1" t="s">
        <v>25</v>
      </c>
      <c r="S11" s="221"/>
      <c r="T11" s="221" t="s">
        <v>18</v>
      </c>
      <c r="U11" s="221"/>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1" t="s">
        <v>25</v>
      </c>
      <c r="S12" s="221"/>
      <c r="T12" s="221" t="s">
        <v>18</v>
      </c>
      <c r="U12" s="221"/>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1" t="s">
        <v>25</v>
      </c>
      <c r="S13" s="221"/>
      <c r="T13" s="221" t="s">
        <v>18</v>
      </c>
      <c r="U13" s="221"/>
      <c r="V13" s="13">
        <v>-45</v>
      </c>
      <c r="W13" s="12">
        <v>2</v>
      </c>
    </row>
    <row r="14" spans="2:23" ht="33.450000000000003">
      <c r="B14" s="6">
        <v>7</v>
      </c>
      <c r="L14" s="6"/>
      <c r="N14" s="84" t="s">
        <v>89</v>
      </c>
      <c r="O14" s="13">
        <v>53</v>
      </c>
      <c r="Q14" s="67" t="s">
        <v>18</v>
      </c>
      <c r="R14" s="255" t="s">
        <v>90</v>
      </c>
      <c r="S14" s="255"/>
      <c r="T14" s="255" t="s">
        <v>91</v>
      </c>
      <c r="U14" s="255"/>
      <c r="V14" s="85" t="s">
        <v>92</v>
      </c>
      <c r="W14" s="85" t="s">
        <v>93</v>
      </c>
    </row>
    <row r="15" spans="2:23" ht="8.25" customHeight="1">
      <c r="B15" s="6"/>
      <c r="L15" s="6"/>
    </row>
    <row r="16" spans="2:23">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13:S13"/>
    <mergeCell ref="T13:U13"/>
    <mergeCell ref="R14:S14"/>
    <mergeCell ref="T14:U14"/>
    <mergeCell ref="R10:S10"/>
    <mergeCell ref="T10:U10"/>
    <mergeCell ref="R11:S11"/>
    <mergeCell ref="T11:U11"/>
    <mergeCell ref="R12:S12"/>
    <mergeCell ref="T12:U12"/>
    <mergeCell ref="R7:S7"/>
    <mergeCell ref="T7:U7"/>
    <mergeCell ref="R8:S8"/>
    <mergeCell ref="T8:U8"/>
    <mergeCell ref="R9:S9"/>
    <mergeCell ref="T9:U9"/>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1" width="7.15234375" style="1" customWidth="1"/>
    <col min="12" max="13" width="1.3828125" style="1" customWidth="1"/>
    <col min="14" max="14" width="12.15234375" style="1" bestFit="1" customWidth="1"/>
    <col min="15" max="15" width="22.15234375" style="1" bestFit="1" customWidth="1"/>
    <col min="16" max="16" width="14" style="1" bestFit="1" customWidth="1"/>
    <col min="17" max="17" width="11.69140625" style="1" bestFit="1" customWidth="1"/>
    <col min="18" max="19" width="12.69140625" style="1" bestFit="1" customWidth="1"/>
    <col min="20" max="20" width="12.15234375" style="1" customWidth="1"/>
    <col min="21" max="21" width="12.69140625" style="1" bestFit="1" customWidth="1"/>
    <col min="22" max="22" width="11.69140625" style="1" bestFit="1" customWidth="1"/>
    <col min="23" max="23" width="1.3828125" style="1" customWidth="1"/>
    <col min="24" max="24" width="4.15234375" style="1" customWidth="1"/>
    <col min="25" max="25" width="11.69140625" style="1" bestFit="1" customWidth="1"/>
    <col min="26" max="16384" width="11.382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6A87608E-47B1-4D93-8093-56F867166C7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Matthias Storz</cp:lastModifiedBy>
  <dcterms:created xsi:type="dcterms:W3CDTF">2016-04-19T12:52:17Z</dcterms:created>
  <dcterms:modified xsi:type="dcterms:W3CDTF">2026-10-19T05:58:12Z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