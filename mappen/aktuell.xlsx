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990EFF7F-3AFD-4331-8472-E6F64432A8C5}" xr6:coauthVersionLast="47" xr6:coauthVersionMax="47" xr10:uidLastSave="{00000000-0000-0000-0000-000000000000}"/>
  <bookViews>
    <workbookView xWindow="-120" yWindow="-120" windowWidth="51840" windowHeight="21120"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3" i="18" l="1"/>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<sst xmlns="http://schemas.openxmlformats.org/spreadsheetml/2006/main" count="1924" uniqueCount="393">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</sst>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410.00079999999991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338.00058000000001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400.00072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216.00045999999995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0.81250312499999999</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0.7500028125</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0.4062515625</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0.56250062499999998</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0.4687515625</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0.46875187499999998</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0.57812692708333346</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3.jpeg"/><Relationship Id="rId5" Type="http://schemas.openxmlformats.org/officeDocument/2006/relationships/image" Target="../media/image31.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177741</xdr:colOff>
      <xdr:row>7</xdr:row>
      <xdr:rowOff>18166</xdr:rowOff>
    </xdr:from>
    <xdr:to>
      <xdr:col>2</xdr:col>
      <xdr:colOff>351616</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3108" y="1627696"/>
          <a:ext cx="177050" cy="182881"/>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22</xdr:col>
      <xdr:colOff>1111671</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14</xdr:col>
      <xdr:colOff>1111413</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40625" defaultRowHeight="16.5"/>
  <cols>
    <col min="1" max="1" width="13.7109375" style="58" hidden="1" customWidth="1"/>
    <col min="2" max="2" width="14.28515625" style="58" customWidth="1"/>
    <col min="3" max="8" width="10" style="58" customWidth="1"/>
    <col min="9" max="14" width="10" style="58" hidden="1" customWidth="1"/>
    <col min="15" max="15" width="64.42578125" style="58" customWidth="1"/>
    <col min="16" max="16" width="12.140625" style="58" customWidth="1"/>
    <col min="17" max="23" width="10.140625" style="58" customWidth="1"/>
    <col min="24" max="24" width="12.42578125" style="58" bestFit="1" customWidth="1"/>
    <col min="25" max="25" width="13.85546875" style="58" customWidth="1"/>
    <col min="26" max="31" width="10.140625" style="58" customWidth="1"/>
    <col min="32" max="32" width="9.140625" style="58"/>
    <col min="39" max="45" width="8.5703125" style="58" customWidth="1"/>
    <col min="46" max="16384" width="9.14062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70" zoomScaleNormal="70" zoomScaleSheetLayoutView="70" workbookViewId="0">
      <pane xSplit="14" ySplit="23" topLeftCell="O47" activePane="bottomRight" state="frozen"/>
      <selection pane="topRight" activeCell="P1" sqref="P1"/>
      <selection pane="bottomLeft" activeCell="A24" sqref="A24"/>
      <selection pane="bottomRight" activeCell="S65" sqref="S65"/>
    </sheetView>
  </sheetViews>
  <sheetFormatPr defaultColWidth="11.42578125" defaultRowHeight="16.5"/>
  <cols>
    <col min="1" max="1" width="4" style="1" customWidth="1"/>
    <col min="2" max="2" width="5.140625" style="210" customWidth="1"/>
    <col min="3" max="3" width="7.28515625" style="2" customWidth="1"/>
    <col min="4" max="4" width="12.5703125" style="1" customWidth="1"/>
    <col min="5" max="5" width="10.28515625" style="1" bestFit="1" customWidth="1"/>
    <col min="6" max="6" width="7.140625" style="1" customWidth="1"/>
    <col min="7" max="7" width="7.42578125" style="1" customWidth="1"/>
    <col min="8" max="9" width="7.140625" style="1" customWidth="1"/>
    <col min="10" max="10" width="7.57031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6368.75</v>
      </c>
      <c r="U5" s="227"/>
      <c r="V5" s="228" t="s">
        <v>53</v>
      </c>
      <c r="W5" s="229"/>
      <c r="X5" s="228" t="s">
        <v>57</v>
      </c>
      <c r="Y5" s="229"/>
      <c r="Z5" s="228" t="s">
        <v>62</v>
      </c>
      <c r="AA5" s="229"/>
    </row>
    <row r="6" spans="2:27" ht="23.25" customHeight="1">
      <c r="B6" s="211"/>
      <c r="L6" s="6"/>
      <c r="V6" s="230"/>
      <c r="W6" s="231"/>
      <c r="X6" s="230"/>
      <c r="Y6" s="231"/>
      <c r="Z6" s="230"/>
      <c r="AA6" s="231"/>
    </row>
    <row r="7" spans="2:27" ht="18">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3</v>
      </c>
      <c r="C8" s="12" t="s">
        <v>0</v>
      </c>
      <c r="D8" s="12">
        <f>ROUND(HLOOKUP(C8,$E$18:$J$20,3,FALSE),0)</f>
        <v>18</v>
      </c>
      <c r="E8" s="28">
        <f ca="1">D8/$C$20</f>
        <v>0.5625</v>
      </c>
      <c r="F8" s="28">
        <f ca="1">1-E8</f>
        <v>0.4375</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5</v>
      </c>
      <c r="C9" s="12" t="s">
        <v>4</v>
      </c>
      <c r="D9" s="12">
        <f t="shared" ref="D9:D13" si="0">ROUND(HLOOKUP(C9,$E$18:$J$20,3,FALSE),0)</f>
        <v>15</v>
      </c>
      <c r="E9" s="28">
        <f t="shared" ref="E9:E10" ca="1" si="1">D9/$C$20</f>
        <v>0.46875</v>
      </c>
      <c r="F9" s="28">
        <f ca="1">1-E9</f>
        <v>0.53125</v>
      </c>
      <c r="G9" s="27">
        <f>RANK(D9,$D$8:$D$13,0)</f>
        <v>4</v>
      </c>
      <c r="H9" s="27">
        <f>RANK(F21,$E$21:$J$21,0)</f>
        <v>2</v>
      </c>
      <c r="J9"/>
      <c r="L9" s="6"/>
      <c r="N9" s="10" t="s">
        <v>4</v>
      </c>
      <c r="O9" s="13">
        <f>P20</f>
        <v>234.5</v>
      </c>
      <c r="P9" s="13">
        <v>0</v>
      </c>
      <c r="Q9" s="221"/>
      <c r="R9" s="221"/>
      <c r="S9" s="221" t="s">
        <v>18</v>
      </c>
      <c r="T9" s="221"/>
      <c r="V9" s="221" t="s">
        <v>50</v>
      </c>
      <c r="W9" s="221"/>
      <c r="X9" s="221" t="s">
        <v>58</v>
      </c>
      <c r="Y9" s="221"/>
      <c r="Z9" s="221" t="s">
        <v>65</v>
      </c>
      <c r="AA9" s="221"/>
    </row>
    <row r="10" spans="2:27">
      <c r="B10" s="10">
        <f t="shared" ref="B10" si="2">RANK(G10,$G$8:$G$13,1)
 + COUNTIFS($G$8:$G$13,G10,$H$8:$H$13,"&gt;"&amp;H10)</f>
        <v>6</v>
      </c>
      <c r="C10" s="12" t="s">
        <v>1</v>
      </c>
      <c r="D10" s="12">
        <f t="shared" si="0"/>
        <v>13</v>
      </c>
      <c r="E10" s="28">
        <f t="shared" ca="1" si="1"/>
        <v>0.40625</v>
      </c>
      <c r="F10" s="28">
        <f t="shared" ref="F10" ca="1" si="3">1-E10</f>
        <v>0.59375</v>
      </c>
      <c r="G10" s="27">
        <f t="shared" ref="G10" si="4">RANK(D10,$D$8:$D$13,0)</f>
        <v>6</v>
      </c>
      <c r="H10" s="27">
        <f>RANK(G21,$E$21:$J$21,0)</f>
        <v>5</v>
      </c>
      <c r="J10"/>
      <c r="L10" s="6"/>
      <c r="M10"/>
      <c r="N10" s="10" t="s">
        <v>3</v>
      </c>
      <c r="O10" s="13">
        <f>S20</f>
        <v>120.75</v>
      </c>
      <c r="P10" s="13">
        <v>0</v>
      </c>
      <c r="Q10" s="221"/>
      <c r="R10" s="221"/>
      <c r="S10" s="221" t="s">
        <v>18</v>
      </c>
      <c r="T10" s="221"/>
      <c r="V10" s="221" t="s">
        <v>49</v>
      </c>
      <c r="W10" s="221"/>
      <c r="X10" s="221" t="s">
        <v>61</v>
      </c>
      <c r="Y10" s="221"/>
      <c r="Z10" s="221" t="s">
        <v>67</v>
      </c>
      <c r="AA10" s="221"/>
    </row>
    <row r="11" spans="2:27">
      <c r="B11" s="10">
        <f>RANK(G11,$G$8:$G$13,1)
 + COUNTIFS($G$8:$G$13,G11,$H$8:$H$13,"&gt;"&amp;H11)</f>
        <v>4</v>
      </c>
      <c r="C11" s="12" t="s">
        <v>2</v>
      </c>
      <c r="D11" s="12">
        <f t="shared" si="0"/>
        <v>15</v>
      </c>
      <c r="E11" s="28">
        <f ca="1">D11/$C$20</f>
        <v>0.46875</v>
      </c>
      <c r="F11" s="28">
        <f ca="1">1-E11</f>
        <v>0.53125</v>
      </c>
      <c r="G11" s="27">
        <f>RANK(D11,$D$8:$D$13,0)</f>
        <v>4</v>
      </c>
      <c r="H11" s="27">
        <f>RANK(H21,$E$21:$J$21,0)</f>
        <v>5</v>
      </c>
      <c r="L11" s="6"/>
      <c r="N11" s="10" t="s">
        <v>1</v>
      </c>
      <c r="O11" s="13">
        <f>Q20</f>
        <v>254</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24</v>
      </c>
      <c r="E12" s="28">
        <f ca="1">D12/$C$20</f>
        <v>0.75</v>
      </c>
      <c r="F12" s="28">
        <f ca="1">1-E12</f>
        <v>0.25</v>
      </c>
      <c r="G12" s="27">
        <f>RANK(D12,$D$8:$D$13,0)</f>
        <v>2</v>
      </c>
      <c r="H12" s="27">
        <f>RANK(I21,$E$21:$J$21,0)</f>
        <v>2</v>
      </c>
      <c r="I12"/>
      <c r="L12" s="6"/>
      <c r="N12" s="10" t="s">
        <v>0</v>
      </c>
      <c r="O12" s="47">
        <f>O20</f>
        <v>192.25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26</v>
      </c>
      <c r="E13" s="28">
        <f ca="1">D13/$C$20</f>
        <v>0.8125</v>
      </c>
      <c r="F13" s="28">
        <f ca="1">1-E13</f>
        <v>0.1875</v>
      </c>
      <c r="G13" s="27">
        <f>RANK(D13,$D$8:$D$13,0)</f>
        <v>1</v>
      </c>
      <c r="H13" s="27">
        <f>RANK(J21,$E$21:$J$21,0)</f>
        <v>1</v>
      </c>
      <c r="L13" s="6"/>
      <c r="N13" s="10" t="s">
        <v>22</v>
      </c>
      <c r="O13" s="13">
        <f>T20</f>
        <v>101.25</v>
      </c>
      <c r="P13" s="13">
        <v>0</v>
      </c>
      <c r="Q13" s="221"/>
      <c r="R13" s="221"/>
      <c r="S13" s="221" t="s">
        <v>18</v>
      </c>
      <c r="T13" s="221"/>
      <c r="V13" s="221" t="s">
        <v>52</v>
      </c>
      <c r="W13" s="221"/>
      <c r="X13" s="236" t="s">
        <v>367</v>
      </c>
      <c r="Y13" s="236"/>
      <c r="Z13" s="221" t="s">
        <v>63</v>
      </c>
      <c r="AA13" s="221"/>
    </row>
    <row r="14" spans="2:27" ht="17.25"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5368.75</v>
      </c>
    </row>
    <row r="16" spans="2:27" ht="18.75" thickBot="1">
      <c r="B16" s="211"/>
      <c r="L16" s="6"/>
      <c r="N16" s="14" t="s">
        <v>19</v>
      </c>
      <c r="O16" s="15">
        <f>SUM(O8:O13)</f>
        <v>1130.75</v>
      </c>
      <c r="P16" s="87"/>
      <c r="Q16" s="244" t="s">
        <v>380</v>
      </c>
      <c r="R16" s="245"/>
      <c r="S16" s="15">
        <f>'Stats 2025'!W16-'Stats 2025'!O16-120-S15</f>
        <v>4238</v>
      </c>
      <c r="T16" s="1" t="s">
        <v>379</v>
      </c>
      <c r="V16" s="139" t="s">
        <v>70</v>
      </c>
      <c r="W16" s="140">
        <f>S16+S15+O16</f>
        <v>6368.75</v>
      </c>
    </row>
    <row r="17" spans="2:34" ht="12" customHeight="1">
      <c r="B17" s="211"/>
      <c r="E17" s="27">
        <f t="shared" ref="E17:J17" si="5">RANK(E20,$E20:$J20)</f>
        <v>3</v>
      </c>
      <c r="F17" s="27">
        <f t="shared" si="5"/>
        <v>5</v>
      </c>
      <c r="G17" s="27">
        <f t="shared" si="5"/>
        <v>6</v>
      </c>
      <c r="H17" s="27">
        <f t="shared" si="5"/>
        <v>4</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 customHeight="1">
      <c r="B20" s="211"/>
      <c r="C20" s="141">
        <f ca="1">COUNT(C23:C91)</f>
        <v>32</v>
      </c>
      <c r="E20" s="24">
        <f>SUM(E25:E91)+0.00002</f>
        <v>18.000019999999999</v>
      </c>
      <c r="F20" s="24">
        <f>SUM(F25:F91)+0.00005</f>
        <v>15.00005</v>
      </c>
      <c r="G20" s="24">
        <f>SUM(G25:G91)+0.00005</f>
        <v>13.00005</v>
      </c>
      <c r="H20" s="24">
        <f>SUM(H25:H91)+0.00006</f>
        <v>15.00006</v>
      </c>
      <c r="I20" s="24">
        <f>SUM(I25:I91)+0.00009</f>
        <v>24.00009</v>
      </c>
      <c r="J20" s="24">
        <f>SUM(J25:J91)+0.0001</f>
        <v>26.0001</v>
      </c>
      <c r="L20" s="6"/>
      <c r="O20" s="19">
        <f>SUM(O24:O91)</f>
        <v>192.25</v>
      </c>
      <c r="P20" s="19">
        <f t="shared" ref="P20:R20" si="6">SUM(P24:P91)</f>
        <v>234.5</v>
      </c>
      <c r="Q20" s="19">
        <f t="shared" si="6"/>
        <v>254</v>
      </c>
      <c r="R20" s="19">
        <f t="shared" si="6"/>
        <v>228</v>
      </c>
      <c r="S20" s="19">
        <f>SUM(S24:S91)</f>
        <v>120.75</v>
      </c>
      <c r="T20" s="19">
        <f>SUM(T24:T91)</f>
        <v>101.25</v>
      </c>
      <c r="U20" s="19"/>
      <c r="W20" s="196"/>
      <c r="X20" s="196"/>
      <c r="Y20" s="196"/>
      <c r="Z20" s="196"/>
    </row>
    <row r="21" spans="2:34" ht="12.95"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-12.999220000000037</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8">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ht="18">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6"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t="str">
        <f t="shared" ca="1" si="28"/>
        <v/>
      </c>
      <c r="D66" s="22" t="str">
        <f t="shared" si="29"/>
        <v/>
      </c>
      <c r="E66" s="26" t="str">
        <f t="shared" si="30"/>
        <v/>
      </c>
      <c r="F66" s="26" t="str">
        <f t="shared" si="31"/>
        <v/>
      </c>
      <c r="G66" s="26" t="str">
        <f t="shared" si="32"/>
        <v/>
      </c>
      <c r="H66" s="26" t="str">
        <f t="shared" si="33"/>
        <v/>
      </c>
      <c r="I66" s="26" t="str">
        <f t="shared" si="34"/>
        <v/>
      </c>
      <c r="J66" s="26" t="str">
        <f t="shared" si="35"/>
        <v/>
      </c>
      <c r="M66" s="21"/>
      <c r="N66" s="10"/>
      <c r="O66" s="25"/>
      <c r="P66" s="25"/>
      <c r="Q66" s="25"/>
      <c r="R66" s="25"/>
      <c r="S66" s="25"/>
      <c r="T66" s="25"/>
      <c r="V66" s="182"/>
      <c r="AG66" s="182"/>
      <c r="AH66" s="182"/>
    </row>
    <row r="67" spans="3:34">
      <c r="C67" s="12" t="str">
        <f t="shared" ca="1" si="28"/>
        <v/>
      </c>
      <c r="D67" s="22" t="str">
        <f t="shared" si="29"/>
        <v/>
      </c>
      <c r="E67" s="26" t="str">
        <f t="shared" si="30"/>
        <v/>
      </c>
      <c r="F67" s="26" t="str">
        <f t="shared" si="31"/>
        <v/>
      </c>
      <c r="G67" s="26" t="str">
        <f t="shared" si="32"/>
        <v/>
      </c>
      <c r="H67" s="26" t="str">
        <f t="shared" si="33"/>
        <v/>
      </c>
      <c r="I67" s="26" t="str">
        <f t="shared" si="34"/>
        <v/>
      </c>
      <c r="J67" s="26" t="str">
        <f t="shared" si="35"/>
        <v/>
      </c>
      <c r="M67" s="21"/>
      <c r="N67" s="10"/>
      <c r="O67" s="25"/>
      <c r="P67" s="25"/>
      <c r="Q67" s="25"/>
      <c r="R67" s="25"/>
      <c r="S67" s="25"/>
      <c r="T67" s="25"/>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P13" sqref="P13"/>
    </sheetView>
  </sheetViews>
  <sheetFormatPr defaultColWidth="9.140625" defaultRowHeight="11.25"/>
  <cols>
    <col min="1" max="1" width="8.140625" style="102" customWidth="1"/>
    <col min="2" max="2" width="12.42578125" style="102" customWidth="1"/>
    <col min="3" max="3" width="6.42578125" style="102" customWidth="1"/>
    <col min="4" max="4" width="17.140625" style="102" customWidth="1"/>
    <col min="5" max="5" width="8.5703125" style="102" customWidth="1"/>
    <col min="6" max="13" width="7.7109375" style="102" customWidth="1"/>
    <col min="14" max="15" width="6.140625" style="102" customWidth="1"/>
    <col min="16" max="16" width="8.5703125" style="102" customWidth="1"/>
    <col min="17" max="17" width="9" style="102" bestFit="1" customWidth="1"/>
    <col min="18" max="21" width="5.7109375" style="102" customWidth="1"/>
    <col min="22" max="26" width="4.85546875" style="102" customWidth="1"/>
    <col min="27" max="27" width="6.5703125" style="102" customWidth="1"/>
    <col min="28" max="36" width="6.140625" style="102" customWidth="1"/>
    <col min="37" max="37" width="5.85546875" style="102" customWidth="1"/>
    <col min="38" max="42" width="8.28515625" style="102" customWidth="1"/>
    <col min="43" max="43" width="7.28515625" style="102" customWidth="1"/>
    <col min="44" max="44" width="7.85546875" style="102" customWidth="1"/>
    <col min="45" max="45" width="8.7109375" style="102" customWidth="1"/>
    <col min="46" max="47" width="7.42578125" style="102" customWidth="1"/>
    <col min="48" max="48" width="9.140625" style="102" customWidth="1"/>
    <col min="49" max="50" width="7.5703125" style="102" bestFit="1" customWidth="1"/>
    <col min="51" max="51" width="6.5703125" style="102" bestFit="1" customWidth="1"/>
    <col min="52" max="52" width="9.28515625" style="102" customWidth="1"/>
    <col min="53" max="53" width="6.140625" style="102" customWidth="1"/>
    <col min="54" max="16384" width="9.140625" style="102"/>
  </cols>
  <sheetData>
    <row r="1" spans="1:74" s="93" customFormat="1" ht="14.25">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4.25">
      <c r="A2" s="94">
        <f t="shared" ref="A2:A8" si="0">_xlfn.RANK.EQ(C2,$C$2:$C$7)</f>
        <v>1</v>
      </c>
      <c r="B2" s="95" t="s">
        <v>32</v>
      </c>
      <c r="C2" s="96">
        <f>SUM(R2:AB2)</f>
        <v>410.00079999999991</v>
      </c>
      <c r="D2" s="96" t="s">
        <v>80</v>
      </c>
      <c r="E2" s="97">
        <f t="shared" ref="E2:E7" ca="1" si="1">C2/AN2</f>
        <v>0.79766692607003875</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8">
        <f t="shared" ca="1" si="3"/>
        <v>0.81250312499999999</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26.0001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32</v>
      </c>
      <c r="AN2" s="99">
        <f ca="1">SUM(AC2:AM2)</f>
        <v>514</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101.25</v>
      </c>
      <c r="AZ2" s="142">
        <f>SUM(AO2:AY2)</f>
        <v>1541.5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5.9999000000000002</v>
      </c>
      <c r="BN2" s="218">
        <f>SUM(S2:AB2)</f>
        <v>385.00079999999991</v>
      </c>
      <c r="BO2" s="218">
        <f>SUM(T2:AB2)</f>
        <v>344.00079999999997</v>
      </c>
      <c r="BP2" s="209">
        <f>SUM(U2:AB2)</f>
        <v>293.00079999999997</v>
      </c>
      <c r="BQ2" s="217">
        <f>SUM(V2:AB2)</f>
        <v>257.00069999999999</v>
      </c>
      <c r="BR2" s="217">
        <f>SUM(W2:AB2)</f>
        <v>197.00060000000002</v>
      </c>
      <c r="BS2" s="217">
        <f>SUM(X2:AB2)</f>
        <v>162.00050000000002</v>
      </c>
      <c r="BT2" s="217">
        <f>SUM(Y2:AB2)</f>
        <v>128.00040000000001</v>
      </c>
      <c r="BU2" s="217">
        <f>SUM(Z2:AB2)</f>
        <v>93.00030000000001</v>
      </c>
      <c r="BV2" s="217">
        <f>SUM(AA2:AB2)</f>
        <v>56.0002</v>
      </c>
    </row>
    <row r="3" spans="1:74" ht="12.75">
      <c r="A3" s="94">
        <f t="shared" si="0"/>
        <v>2</v>
      </c>
      <c r="B3" s="99" t="s">
        <v>3</v>
      </c>
      <c r="C3" s="103">
        <f>SUM(R3:AB3)</f>
        <v>400.00072</v>
      </c>
      <c r="D3" s="103" t="s">
        <v>80</v>
      </c>
      <c r="E3" s="98">
        <f t="shared" ca="1" si="1"/>
        <v>0.76775570057581577</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0.7500028125</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24.00009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32</v>
      </c>
      <c r="AN3" s="99">
        <f t="shared" ref="AN3:AN7" ca="1" si="10">SUM(AC3:AM3)</f>
        <v>521</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120.75</v>
      </c>
      <c r="AZ3" s="142">
        <f t="shared" ref="AZ3:AZ7" si="11">SUM(AO3:AY3)</f>
        <v>1650.5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373.00072</v>
      </c>
      <c r="BO3" s="209">
        <f t="shared" ref="BO3:BO7" si="13">SUM(T3:AB3)</f>
        <v>337.00072</v>
      </c>
      <c r="BP3" s="218">
        <f t="shared" ref="BP3:BP8" si="14">SUM(U3:AB3)</f>
        <v>298.00072</v>
      </c>
      <c r="BQ3" s="219">
        <f t="shared" ref="BQ3:BQ7" si="15">SUM(V3:AB3)</f>
        <v>259.00063</v>
      </c>
      <c r="BR3" s="219">
        <f t="shared" ref="BR3:BR7" si="16">SUM(W3:AB3)</f>
        <v>205.00054</v>
      </c>
      <c r="BS3" s="219">
        <f t="shared" ref="BS3:BS7" si="17">SUM(X3:AB3)</f>
        <v>173.00045</v>
      </c>
      <c r="BT3" s="219">
        <f t="shared" ref="BT3:BT8" si="18">SUM(Y3:AB3)</f>
        <v>135.00036</v>
      </c>
      <c r="BU3" s="219">
        <f t="shared" ref="BU3:BU8" si="19">SUM(Z3:AB3)</f>
        <v>98.00027</v>
      </c>
      <c r="BV3" s="219">
        <f t="shared" ref="BV3:BV7" si="20">SUM(AA3:AB3)</f>
        <v>60.00018</v>
      </c>
    </row>
    <row r="4" spans="1:74" ht="12.75">
      <c r="A4" s="94">
        <f t="shared" si="0"/>
        <v>3</v>
      </c>
      <c r="B4" s="99" t="s">
        <v>0</v>
      </c>
      <c r="C4" s="103">
        <f t="shared" ref="C4:C7" si="21">SUM(R4:AB4)</f>
        <v>366.00045999999998</v>
      </c>
      <c r="D4" s="103" t="s">
        <v>103</v>
      </c>
      <c r="E4" s="98">
        <f t="shared" ca="1" si="1"/>
        <v>0.70249608445297496</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0.56250062499999998</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32</v>
      </c>
      <c r="AN4" s="99">
        <f t="shared" ca="1" si="10"/>
        <v>521</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192.25</v>
      </c>
      <c r="AZ4" s="142">
        <f t="shared" si="11"/>
        <v>2156.25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13.999980000000001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2.75">
      <c r="A5" s="94">
        <f t="shared" si="0"/>
        <v>4</v>
      </c>
      <c r="B5" s="99" t="s">
        <v>1</v>
      </c>
      <c r="C5" s="103">
        <f t="shared" si="21"/>
        <v>338.00058000000001</v>
      </c>
      <c r="D5" s="103" t="s">
        <v>80</v>
      </c>
      <c r="E5" s="98">
        <f t="shared" ca="1" si="1"/>
        <v>0.64875351247600765</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0.4062515625</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13.00005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32</v>
      </c>
      <c r="AN5" s="99">
        <f t="shared" ca="1" si="10"/>
        <v>521</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254</v>
      </c>
      <c r="AZ5" s="142">
        <f t="shared" si="11"/>
        <v>2427.0699999999997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18.999949999999998</v>
      </c>
      <c r="BN5" s="209">
        <f t="shared" si="12"/>
        <v>308.00057999999996</v>
      </c>
      <c r="BO5" s="209">
        <f t="shared" si="13"/>
        <v>274.00057999999996</v>
      </c>
      <c r="BP5" s="209">
        <f t="shared" si="14"/>
        <v>230.00057999999996</v>
      </c>
      <c r="BQ5" s="217">
        <f t="shared" si="15"/>
        <v>190.00049999999999</v>
      </c>
      <c r="BR5" s="217">
        <f t="shared" si="16"/>
        <v>137.00041999999999</v>
      </c>
      <c r="BS5" s="217">
        <f t="shared" si="17"/>
        <v>107.00034000000001</v>
      </c>
      <c r="BT5" s="217">
        <f t="shared" si="18"/>
        <v>82.000260000000011</v>
      </c>
      <c r="BU5" s="217">
        <f t="shared" si="19"/>
        <v>56.00018</v>
      </c>
      <c r="BV5" s="217">
        <f t="shared" si="20"/>
        <v>34.000100000000003</v>
      </c>
    </row>
    <row r="6" spans="1:74" ht="14.25">
      <c r="A6" s="94">
        <f t="shared" si="0"/>
        <v>5</v>
      </c>
      <c r="B6" s="99" t="s">
        <v>4</v>
      </c>
      <c r="C6" s="103">
        <f t="shared" si="21"/>
        <v>238.00041999999996</v>
      </c>
      <c r="D6" s="103" t="s">
        <v>83</v>
      </c>
      <c r="E6" s="98">
        <f t="shared" ca="1" si="1"/>
        <v>0.45681462571976961</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0.4687515625</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32</v>
      </c>
      <c r="AN6" s="99">
        <f t="shared" ca="1" si="10"/>
        <v>521</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234.5</v>
      </c>
      <c r="AZ6" s="142">
        <f t="shared" si="11"/>
        <v>2330</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16.999949999999998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75">
      <c r="A7" s="94">
        <f t="shared" si="0"/>
        <v>6</v>
      </c>
      <c r="B7" s="99" t="s">
        <v>2</v>
      </c>
      <c r="C7" s="103">
        <f t="shared" si="21"/>
        <v>216.00045999999995</v>
      </c>
      <c r="D7" s="103" t="s">
        <v>81</v>
      </c>
      <c r="E7" s="104">
        <f t="shared" ca="1" si="1"/>
        <v>0.41458821497120912</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0.46875187499999998</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15.00006</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32</v>
      </c>
      <c r="AN7" s="99">
        <f t="shared" ca="1" si="10"/>
        <v>521</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16.999940000000002</v>
      </c>
      <c r="BN7" s="209">
        <f t="shared" si="12"/>
        <v>189.00045999999998</v>
      </c>
      <c r="BO7" s="209">
        <f t="shared" si="13"/>
        <v>153.00046</v>
      </c>
      <c r="BP7" s="209">
        <f t="shared" si="14"/>
        <v>134.00046</v>
      </c>
      <c r="BQ7" s="217">
        <f t="shared" si="15"/>
        <v>124.00041000000002</v>
      </c>
      <c r="BR7" s="217">
        <f t="shared" si="16"/>
        <v>99.000360000000015</v>
      </c>
      <c r="BS7" s="217">
        <f t="shared" si="17"/>
        <v>80.00030000000001</v>
      </c>
      <c r="BT7" s="217">
        <f t="shared" si="18"/>
        <v>73.000240000000005</v>
      </c>
      <c r="BU7" s="217">
        <f t="shared" si="19"/>
        <v>58.00018</v>
      </c>
      <c r="BV7" s="217">
        <f t="shared" si="20"/>
        <v>38.000120000000003</v>
      </c>
    </row>
    <row r="8" spans="1:74" ht="12.75"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75">
      <c r="A9" s="99"/>
      <c r="B9" s="99" t="s">
        <v>70</v>
      </c>
      <c r="C9" s="103">
        <f>SUM(C2:C7)</f>
        <v>1968.0034399999997</v>
      </c>
      <c r="D9" s="99"/>
      <c r="E9" s="98">
        <f ca="1">C9/AN9</f>
        <v>0.63097256813081104</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0.57812692708333346</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111.00037000000002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192</v>
      </c>
      <c r="AN9" s="99">
        <f t="shared" ca="1" si="25"/>
        <v>3119</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1130.75</v>
      </c>
      <c r="AZ9" s="142">
        <f>SUM(AZ2:AZ7)</f>
        <v>13124.32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2.5312384374999999</v>
      </c>
    </row>
    <row r="10" spans="1:74" ht="12.75">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5.3197960488026599</v>
      </c>
      <c r="AP10" s="42" t="s">
        <v>41</v>
      </c>
      <c r="AR10" s="42" t="s">
        <v>41</v>
      </c>
      <c r="AV10" s="102" t="s">
        <v>356</v>
      </c>
    </row>
    <row r="11" spans="1:74">
      <c r="E11" s="108"/>
      <c r="AN11" s="107"/>
      <c r="AO11" s="107"/>
      <c r="AP11" s="107"/>
      <c r="AQ11" s="107"/>
      <c r="AR11" s="107"/>
      <c r="AS11" s="107"/>
      <c r="AT11" s="107"/>
      <c r="AU11" s="107"/>
      <c r="AV11" s="107"/>
      <c r="AW11" s="107"/>
    </row>
    <row r="12" spans="1:74" ht="10.7"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2.75">
      <c r="E14" s="108"/>
      <c r="U14" s="42"/>
      <c r="V14" s="42"/>
      <c r="W14" s="42"/>
      <c r="X14" s="42"/>
      <c r="Y14" s="42"/>
      <c r="Z14" s="42"/>
      <c r="AA14" s="42"/>
      <c r="AB14" s="42"/>
      <c r="AC14" s="42"/>
      <c r="AL14" s="107"/>
      <c r="AM14" s="107"/>
      <c r="AN14" s="107"/>
      <c r="AO14" s="107"/>
      <c r="AP14" s="107"/>
      <c r="AQ14" s="107"/>
      <c r="AR14" s="107"/>
      <c r="AS14" s="107"/>
      <c r="AT14" s="107"/>
      <c r="AU14" s="107"/>
    </row>
    <row r="15" spans="1:74" ht="12.75">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75">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410.00079999999991</v>
      </c>
      <c r="W19" s="117">
        <v>1</v>
      </c>
      <c r="AN19" s="109"/>
    </row>
    <row r="20" spans="1:41" ht="12.75">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400.00072</v>
      </c>
      <c r="W20" s="120">
        <v>2</v>
      </c>
      <c r="AN20" s="109"/>
    </row>
    <row r="21" spans="1:41" ht="12.75">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2.75">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338.00058000000001</v>
      </c>
      <c r="W22" s="120">
        <v>4</v>
      </c>
      <c r="AN22" s="109"/>
    </row>
    <row r="23" spans="1:41" ht="12.75">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216.00045999999995</v>
      </c>
      <c r="W24" s="123">
        <v>6</v>
      </c>
      <c r="AN24" s="109"/>
    </row>
    <row r="25" spans="1:41" ht="12.75">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4.25">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75">
      <c r="A64" s="99" t="s">
        <v>32</v>
      </c>
      <c r="B64" s="163">
        <f>SUM(C64:L64)</f>
        <v>3</v>
      </c>
      <c r="C64" s="163">
        <v>0</v>
      </c>
      <c r="D64" s="163">
        <v>0</v>
      </c>
      <c r="E64" s="163">
        <v>0</v>
      </c>
      <c r="F64" s="163">
        <v>0</v>
      </c>
      <c r="G64" s="163">
        <v>0</v>
      </c>
      <c r="H64" s="163">
        <v>0</v>
      </c>
      <c r="I64" s="163">
        <v>0</v>
      </c>
      <c r="J64" s="163">
        <v>1</v>
      </c>
      <c r="K64" s="163">
        <v>0</v>
      </c>
      <c r="L64" s="163">
        <v>2</v>
      </c>
      <c r="AO64" s="109"/>
    </row>
    <row r="65" spans="1:41" ht="14.25">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4.25">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410.00079999999991</v>
      </c>
    </row>
    <row r="67" spans="1:41" ht="14.25">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338.00058000000001</v>
      </c>
    </row>
    <row r="68" spans="1:41" ht="14.25">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4.25">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400.00072</v>
      </c>
    </row>
    <row r="70" spans="1:41" ht="14.25">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216.00045999999995</v>
      </c>
    </row>
    <row r="71" spans="1:41" ht="14.25">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4.25">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40625" defaultRowHeight="14.25"/>
  <cols>
    <col min="1" max="1" width="12.85546875" style="53" customWidth="1"/>
    <col min="2" max="2" width="18.5703125" style="53" customWidth="1"/>
    <col min="3" max="3" width="19.140625" style="53" bestFit="1" customWidth="1"/>
    <col min="4" max="4" width="15.28515625" style="53" customWidth="1"/>
    <col min="5" max="5" width="19.7109375" style="53" customWidth="1"/>
    <col min="6" max="6" width="49.140625" style="53" customWidth="1"/>
    <col min="7" max="7" width="20.85546875" style="53" customWidth="1"/>
    <col min="8" max="8" width="15.140625" style="53" customWidth="1"/>
    <col min="9" max="9" width="18.85546875" style="53" customWidth="1"/>
    <col min="10" max="10" width="18.5703125" style="53" customWidth="1"/>
    <col min="11" max="11" width="17.42578125" style="53" customWidth="1"/>
    <col min="12" max="12" width="9.140625" style="53"/>
    <col min="13" max="13" width="13.28515625" style="53" bestFit="1" customWidth="1"/>
    <col min="14" max="15" width="9.140625" style="53"/>
    <col min="16" max="17" width="10.5703125" style="53" bestFit="1" customWidth="1"/>
    <col min="18" max="16384" width="9.14062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75">
      <c r="A2" s="45">
        <f>'All-time DF Stats'!A2</f>
        <v>1</v>
      </c>
      <c r="B2" s="38" t="str">
        <f>'All-time DF Stats'!B2</f>
        <v>MSO/MST</v>
      </c>
      <c r="C2" s="43">
        <f>'All-time DF Stats'!C2</f>
        <v>410.00079999999991</v>
      </c>
      <c r="D2" s="39">
        <f ca="1">'All-time DF Stats'!E2</f>
        <v>0.79766692607003875</v>
      </c>
      <c r="E2" s="54">
        <f>'All-time DF Stats'!Q2</f>
        <v>1440.25</v>
      </c>
      <c r="F2" s="166" t="s">
        <v>287</v>
      </c>
      <c r="G2" s="166"/>
      <c r="H2" s="79">
        <f ca="1">1/(1-(C2/'All-time DF Stats'!AN2))</f>
        <v>4.9423457103516144</v>
      </c>
      <c r="I2" s="110">
        <f t="shared" ref="I2:I7" si="0">C2-C3</f>
        <v>10.000079999999912</v>
      </c>
      <c r="J2" s="133" t="s">
        <v>88</v>
      </c>
      <c r="K2" s="135" t="s">
        <v>88</v>
      </c>
      <c r="L2" s="135">
        <f ca="1">E2/('All-time DF Stats'!AN2-'All-time DF Stats'!C2)</f>
        <v>13.848664220493992</v>
      </c>
      <c r="M2" s="40">
        <f>C2/$C$9</f>
        <v>0.20833337567743274</v>
      </c>
      <c r="N2" s="110">
        <v>3</v>
      </c>
      <c r="O2" s="53" t="s">
        <v>32</v>
      </c>
      <c r="P2" s="220">
        <v>42524</v>
      </c>
      <c r="Q2" s="220">
        <f ca="1">TODAY()</f>
        <v>46241</v>
      </c>
      <c r="R2" s="53">
        <f ca="1">Q2-P2</f>
        <v>3717</v>
      </c>
      <c r="S2" s="53">
        <v>3682</v>
      </c>
    </row>
    <row r="3" spans="1:19" ht="15.75">
      <c r="A3" s="45">
        <f>'All-time DF Stats'!A3</f>
        <v>2</v>
      </c>
      <c r="B3" s="37" t="str">
        <f>'All-time DF Stats'!B3</f>
        <v>SJU</v>
      </c>
      <c r="C3" s="44">
        <f>'All-time DF Stats'!C3</f>
        <v>400.00072</v>
      </c>
      <c r="D3" s="40">
        <f ca="1">'All-time DF Stats'!E3</f>
        <v>0.76775570057581577</v>
      </c>
      <c r="E3" s="55">
        <f>'All-time DF Stats'!Q3</f>
        <v>1529.75</v>
      </c>
      <c r="F3" s="78" t="s">
        <v>385</v>
      </c>
      <c r="G3" s="78"/>
      <c r="H3" s="80">
        <f ca="1">1/(1-(C3/'All-time DF Stats'!AN3))</f>
        <v>4.3058107453201382</v>
      </c>
      <c r="I3" s="110">
        <f>C3-C4</f>
        <v>34.000260000000026</v>
      </c>
      <c r="J3" s="110">
        <f>$C$2-C3</f>
        <v>10.000079999999912</v>
      </c>
      <c r="K3" s="134">
        <f>1/(C3/$C$2)</f>
        <v>1.0250001549997207</v>
      </c>
      <c r="L3" s="135">
        <f ca="1">E3/('All-time DF Stats'!AN3-'All-time DF Stats'!C3)</f>
        <v>12.642637212386719</v>
      </c>
      <c r="M3" s="40">
        <f>C3/$C$9</f>
        <v>0.20325204309602227</v>
      </c>
      <c r="N3" s="110">
        <v>1</v>
      </c>
      <c r="O3" s="53" t="s">
        <v>3</v>
      </c>
      <c r="P3" s="220">
        <v>42475</v>
      </c>
      <c r="Q3" s="220">
        <f>P3+S3</f>
        <v>46249.050570708969</v>
      </c>
      <c r="S3" s="53">
        <f>$S$2*K3</f>
        <v>3774.0505707089719</v>
      </c>
    </row>
    <row r="4" spans="1:19" ht="15.75">
      <c r="A4" s="45">
        <f>'All-time DF Stats'!A4</f>
        <v>3</v>
      </c>
      <c r="B4" s="37" t="str">
        <f>'All-time DF Stats'!B4</f>
        <v>JWU</v>
      </c>
      <c r="C4" s="44">
        <f>'All-time DF Stats'!C4</f>
        <v>366.00045999999998</v>
      </c>
      <c r="D4" s="40">
        <f ca="1">'All-time DF Stats'!E4</f>
        <v>0.70249608445297496</v>
      </c>
      <c r="E4" s="55">
        <f>'All-time DF Stats'!Q4</f>
        <v>1964</v>
      </c>
      <c r="F4" s="78" t="s">
        <v>386</v>
      </c>
      <c r="G4" s="78"/>
      <c r="H4" s="80">
        <f ca="1">1/(1-(C4/'All-time DF Stats'!AN4))</f>
        <v>3.3613002980524964</v>
      </c>
      <c r="I4" s="110">
        <f>C4-C5</f>
        <v>27.999879999999962</v>
      </c>
      <c r="J4" s="110">
        <f>$C$2-C4</f>
        <v>44.000339999999937</v>
      </c>
      <c r="K4" s="134">
        <f>1/(C4/$C$2)</f>
        <v>1.1202193571013543</v>
      </c>
      <c r="L4" s="135">
        <f ca="1">E4/('All-time DF Stats'!AN4-'All-time DF Stats'!C4)</f>
        <v>12.671005346209412</v>
      </c>
      <c r="M4" s="40">
        <f>C4/$C$9</f>
        <v>0.18597551841677676</v>
      </c>
      <c r="N4" s="110">
        <v>4</v>
      </c>
      <c r="O4" s="53" t="s">
        <v>0</v>
      </c>
      <c r="P4" s="220">
        <f t="shared" ref="P4:P7" si="1">P3</f>
        <v>42475</v>
      </c>
      <c r="Q4" s="220">
        <f>P4+S4</f>
        <v>46599.64767284719</v>
      </c>
      <c r="S4" s="53">
        <f>$S$2*K4</f>
        <v>4124.6476728471871</v>
      </c>
    </row>
    <row r="5" spans="1:19" ht="15.75">
      <c r="A5" s="45">
        <f>'All-time DF Stats'!A5</f>
        <v>4</v>
      </c>
      <c r="B5" s="37" t="str">
        <f>'All-time DF Stats'!B5</f>
        <v>PKN</v>
      </c>
      <c r="C5" s="44">
        <f>'All-time DF Stats'!C5</f>
        <v>338.00058000000001</v>
      </c>
      <c r="D5" s="40">
        <f ca="1">'All-time DF Stats'!E5</f>
        <v>0.64875351247600765</v>
      </c>
      <c r="E5" s="55">
        <f>'All-time DF Stats'!Q5</f>
        <v>2173.0699999999997</v>
      </c>
      <c r="F5" s="78" t="s">
        <v>297</v>
      </c>
      <c r="G5" s="78"/>
      <c r="H5" s="80">
        <f ca="1">1/(1-(C5/'All-time DF Stats'!AN5))</f>
        <v>2.8470035588090932</v>
      </c>
      <c r="I5" s="110">
        <f>C5-C6</f>
        <v>100.00016000000005</v>
      </c>
      <c r="J5" s="110">
        <f t="shared" ref="J5:J7" si="2">$C$2-C5</f>
        <v>72.000219999999899</v>
      </c>
      <c r="K5" s="134">
        <f>1/(C5/$C$2)</f>
        <v>1.2130180368329544</v>
      </c>
      <c r="L5" s="135">
        <f ca="1">E5/('All-time DF Stats'!AN5-'All-time DF Stats'!C5)</f>
        <v>11.874737089330665</v>
      </c>
      <c r="M5" s="40">
        <f t="shared" ref="M5" si="3">C5/$C$9</f>
        <v>0.17174796198526973</v>
      </c>
      <c r="N5" s="110">
        <v>0</v>
      </c>
      <c r="O5" s="53" t="s">
        <v>1</v>
      </c>
      <c r="P5" s="220">
        <f t="shared" si="1"/>
        <v>42475</v>
      </c>
      <c r="Q5" s="220">
        <f>P5+S5</f>
        <v>46941.33241161894</v>
      </c>
      <c r="S5" s="53">
        <f>$S$2*K5</f>
        <v>4466.3324116189378</v>
      </c>
    </row>
    <row r="6" spans="1:19" ht="15.75">
      <c r="A6" s="45">
        <f>'All-time DF Stats'!A6</f>
        <v>5</v>
      </c>
      <c r="B6" s="37" t="str">
        <f>'All-time DF Stats'!B6</f>
        <v>CBO</v>
      </c>
      <c r="C6" s="44">
        <f>'All-time DF Stats'!C6</f>
        <v>238.00041999999996</v>
      </c>
      <c r="D6" s="40">
        <f ca="1">'All-time DF Stats'!E6</f>
        <v>0.45681462571976961</v>
      </c>
      <c r="E6" s="55">
        <f>'All-time DF Stats'!Q6</f>
        <v>2095.5</v>
      </c>
      <c r="F6" s="78" t="s">
        <v>56</v>
      </c>
      <c r="G6" s="78"/>
      <c r="H6" s="80">
        <f ca="1">1/(1-(C6/'All-time DF Stats'!AN6))</f>
        <v>1.8409921315077569</v>
      </c>
      <c r="I6" s="110">
        <f t="shared" si="0"/>
        <v>21.999960000000016</v>
      </c>
      <c r="J6" s="110">
        <f t="shared" si="2"/>
        <v>172.00037999999995</v>
      </c>
      <c r="K6" s="134">
        <f>1/(C6/$C$2)</f>
        <v>1.7226893969346777</v>
      </c>
      <c r="L6" s="135">
        <f ca="1">E6/('All-time DF Stats'!AN6-'All-time DF Stats'!C6)</f>
        <v>7.4046046287418505</v>
      </c>
      <c r="M6" s="40">
        <f>C6/$C$9</f>
        <v>0.120934961373848</v>
      </c>
      <c r="N6" s="110">
        <v>1</v>
      </c>
      <c r="O6" s="53" t="s">
        <v>4</v>
      </c>
      <c r="P6" s="220">
        <f t="shared" si="1"/>
        <v>42475</v>
      </c>
      <c r="Q6" s="220">
        <f>P6+S6</f>
        <v>48817.942359513487</v>
      </c>
      <c r="S6" s="53">
        <f t="shared" ref="S6:S7" si="4">$S$2*K6</f>
        <v>6342.9423595134831</v>
      </c>
    </row>
    <row r="7" spans="1:19" ht="15.75">
      <c r="A7" s="45">
        <f>'All-time DF Stats'!A7</f>
        <v>6</v>
      </c>
      <c r="B7" s="37" t="str">
        <f>'All-time DF Stats'!B7</f>
        <v>YMI</v>
      </c>
      <c r="C7" s="44">
        <f>'All-time DF Stats'!C7</f>
        <v>216.00045999999995</v>
      </c>
      <c r="D7" s="46">
        <f ca="1">'All-time DF Stats'!E7</f>
        <v>0.41458821497120912</v>
      </c>
      <c r="E7" s="55">
        <f>'All-time DF Stats'!Q7</f>
        <v>2791</v>
      </c>
      <c r="F7" s="78" t="s">
        <v>56</v>
      </c>
      <c r="G7" s="78"/>
      <c r="H7" s="80">
        <f ca="1">1/(1-(C7/'All-time DF Stats'!AN7))</f>
        <v>1.7081992976120552</v>
      </c>
      <c r="I7" s="110">
        <f t="shared" si="0"/>
        <v>100000000000216</v>
      </c>
      <c r="J7" s="110">
        <f t="shared" si="2"/>
        <v>194.00033999999997</v>
      </c>
      <c r="K7" s="134">
        <f t="shared" ref="K7" si="5">1/(C7/$C$2)</f>
        <v>1.8981478095000355</v>
      </c>
      <c r="L7" s="135">
        <f ca="1">E7/('All-time DF Stats'!AN7-'All-time DF Stats'!C7)</f>
        <v>9.1508334733881878</v>
      </c>
      <c r="M7" s="40">
        <f>C7/$C$9</f>
        <v>0.10975613945065055</v>
      </c>
      <c r="N7" s="110">
        <v>3</v>
      </c>
      <c r="O7" s="53" t="s">
        <v>2</v>
      </c>
      <c r="P7" s="220">
        <f t="shared" si="1"/>
        <v>42475</v>
      </c>
      <c r="Q7" s="220">
        <f>P7+S7</f>
        <v>49463.980234579132</v>
      </c>
      <c r="S7" s="53">
        <f t="shared" si="4"/>
        <v>6988.9802345791304</v>
      </c>
    </row>
    <row r="8" spans="1:19" ht="15.75">
      <c r="A8" s="111" t="s">
        <v>38</v>
      </c>
      <c r="B8" s="37" t="str">
        <f>'All-time DF Stats'!B8</f>
        <v>Jinderletscht</v>
      </c>
      <c r="C8" s="148">
        <v>-100000000000000</v>
      </c>
      <c r="D8" s="112" t="s">
        <v>39</v>
      </c>
      <c r="E8" s="55" t="s">
        <v>46</v>
      </c>
      <c r="F8" s="78" t="s">
        <v>79</v>
      </c>
      <c r="G8" s="78"/>
      <c r="H8" s="78" t="s">
        <v>78</v>
      </c>
      <c r="I8" s="110"/>
      <c r="J8" s="148">
        <f>$C$2-C8</f>
        <v>100000000000410</v>
      </c>
      <c r="K8" s="135" t="s">
        <v>88</v>
      </c>
      <c r="L8" s="135" t="s">
        <v>88</v>
      </c>
    </row>
    <row r="9" spans="1:19">
      <c r="C9" s="150">
        <f>SUM(C2:C7)</f>
        <v>1968.0034399999997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42578125" defaultRowHeight="16.5"/>
  <cols>
    <col min="1" max="1" width="12.7109375" style="1" customWidth="1"/>
    <col min="2" max="7" width="7.140625" style="131" customWidth="1"/>
    <col min="8" max="9" width="1.5703125" style="132" customWidth="1"/>
    <col min="10" max="10" width="38.5703125" style="57" customWidth="1"/>
    <col min="11" max="11" width="15" style="1" customWidth="1"/>
    <col min="12" max="18" width="11.42578125" style="128" customWidth="1"/>
    <col min="19" max="21" width="11.42578125" style="1"/>
    <col min="22" max="22" width="11.42578125" style="1" customWidth="1"/>
    <col min="23" max="16384" width="11.4257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5"/>
  <cols>
    <col min="1" max="1" width="21.28515625" customWidth="1"/>
  </cols>
  <sheetData>
    <row r="1" spans="1:7" ht="15.75">
      <c r="A1" s="37"/>
      <c r="B1" s="37" t="s">
        <v>0</v>
      </c>
      <c r="C1" s="37" t="s">
        <v>4</v>
      </c>
      <c r="D1" s="37" t="s">
        <v>1</v>
      </c>
      <c r="E1" s="37" t="s">
        <v>2</v>
      </c>
      <c r="F1" s="37" t="s">
        <v>3</v>
      </c>
      <c r="G1" s="37" t="s">
        <v>21</v>
      </c>
    </row>
    <row r="2" spans="1:7" ht="15.75">
      <c r="A2" s="172">
        <v>44533</v>
      </c>
      <c r="B2" s="37">
        <v>220.00000008000001</v>
      </c>
      <c r="C2" s="37">
        <v>88.000000080000007</v>
      </c>
      <c r="D2" s="37">
        <v>220</v>
      </c>
      <c r="E2" s="37">
        <v>130</v>
      </c>
      <c r="F2" s="37">
        <v>218</v>
      </c>
      <c r="G2" s="37">
        <v>236</v>
      </c>
    </row>
    <row r="3" spans="1:7" ht="15.75">
      <c r="A3" s="172">
        <v>45128</v>
      </c>
      <c r="B3" s="37">
        <v>258.00000008000001</v>
      </c>
      <c r="C3" s="37">
        <v>146.00000008000001</v>
      </c>
      <c r="D3" s="37">
        <v>268</v>
      </c>
      <c r="E3" s="37">
        <v>148</v>
      </c>
      <c r="F3" s="37">
        <v>284</v>
      </c>
      <c r="G3" s="37">
        <v>299</v>
      </c>
    </row>
    <row r="4" spans="1:7" ht="15.7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75">
      <c r="A6" s="37" t="s">
        <v>332</v>
      </c>
      <c r="B6" s="37">
        <v>5</v>
      </c>
      <c r="C6" s="37">
        <v>3</v>
      </c>
      <c r="D6" s="37">
        <v>4</v>
      </c>
      <c r="E6" s="37">
        <v>6</v>
      </c>
      <c r="F6" s="37">
        <v>1</v>
      </c>
      <c r="G6" s="37">
        <v>2</v>
      </c>
    </row>
    <row r="7" spans="1:7" ht="15.7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42578125" defaultRowHeight="15"/>
  <cols>
    <col min="1" max="1" width="12" customWidth="1"/>
    <col min="2" max="2" width="16" customWidth="1"/>
    <col min="3" max="6" width="16.42578125" customWidth="1"/>
    <col min="7" max="7" width="28.42578125" bestFit="1" customWidth="1"/>
    <col min="8" max="8" width="16.42578125" customWidth="1"/>
    <col min="9" max="9" width="17.140625" customWidth="1"/>
    <col min="10" max="10" width="24.140625" customWidth="1"/>
    <col min="11" max="11" width="16.42578125" customWidth="1"/>
  </cols>
  <sheetData>
    <row r="1" spans="1:10" s="151" customFormat="1" ht="34.700000000000003"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5.8536576513997058</v>
      </c>
      <c r="G2" s="152">
        <v>3</v>
      </c>
      <c r="H2" s="152">
        <v>0.25</v>
      </c>
      <c r="I2" s="153">
        <f t="shared" ref="I2:I7" si="0">AVERAGE(B2:G2)+H2</f>
        <v>5.7256096085666179</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4.946340299823806</v>
      </c>
      <c r="G4" s="152">
        <v>3</v>
      </c>
      <c r="H4" s="152"/>
      <c r="I4" s="153">
        <f t="shared" si="0"/>
        <v>4.991056716637301</v>
      </c>
      <c r="J4" s="152"/>
    </row>
    <row r="5" spans="1:10">
      <c r="A5" s="157" t="s">
        <v>2</v>
      </c>
      <c r="B5" s="152">
        <v>6</v>
      </c>
      <c r="C5" s="152">
        <v>4</v>
      </c>
      <c r="D5" s="152">
        <v>6</v>
      </c>
      <c r="E5" s="152">
        <v>3</v>
      </c>
      <c r="F5" s="153">
        <f>'Executive Summary für dä JWU'!C7/'Executive Summary für dä JWU'!$C$2*6</f>
        <v>3.1609761737050266</v>
      </c>
      <c r="G5" s="152">
        <v>3</v>
      </c>
      <c r="H5" s="152"/>
      <c r="I5" s="153">
        <f t="shared" si="0"/>
        <v>4.1934960289508378</v>
      </c>
      <c r="J5" s="152"/>
    </row>
    <row r="6" spans="1:10">
      <c r="A6" s="157" t="s">
        <v>4</v>
      </c>
      <c r="B6" s="152">
        <v>6</v>
      </c>
      <c r="C6" s="152">
        <v>2</v>
      </c>
      <c r="D6" s="152">
        <v>6</v>
      </c>
      <c r="E6" s="152">
        <v>3</v>
      </c>
      <c r="F6" s="153">
        <f>'Executive Summary für dä JWU'!C6/'Executive Summary für dä JWU'!$C$2*6</f>
        <v>3.4829261796562347</v>
      </c>
      <c r="G6" s="152">
        <v>3</v>
      </c>
      <c r="H6" s="152">
        <v>0.1</v>
      </c>
      <c r="I6" s="153">
        <f t="shared" si="0"/>
        <v>4.0138210299427062</v>
      </c>
      <c r="J6" s="154" t="s">
        <v>305</v>
      </c>
    </row>
    <row r="7" spans="1:10">
      <c r="A7" s="155" t="s">
        <v>0</v>
      </c>
      <c r="B7" s="152">
        <v>6</v>
      </c>
      <c r="C7" s="152">
        <v>1</v>
      </c>
      <c r="D7" s="152">
        <v>1</v>
      </c>
      <c r="E7" s="152">
        <v>6</v>
      </c>
      <c r="F7" s="153">
        <f>'Executive Summary für dä JWU'!C4/'Executive Summary für dä JWU'!$C$2*6</f>
        <v>5.3560938417681143</v>
      </c>
      <c r="G7" s="152">
        <v>3</v>
      </c>
      <c r="H7" s="152"/>
      <c r="I7" s="153">
        <f t="shared" si="0"/>
        <v>3.7260156402946856</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ht="18">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25"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8.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8">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ht="18">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8.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8">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8">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8">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1.42578125" style="1"/>
    <col min="27" max="27" width="12.140625" style="1" customWidth="1"/>
    <col min="28"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50000000000001"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85546875" style="1" bestFit="1" customWidth="1"/>
    <col min="23" max="23" width="16.7109375" style="1" customWidth="1"/>
    <col min="24" max="24" width="11.7109375" style="1" bestFit="1" customWidth="1"/>
    <col min="25" max="25" width="43.5703125" style="1" customWidth="1"/>
    <col min="26" max="26" width="11.85546875" style="1" bestFit="1" customWidth="1"/>
    <col min="27" max="27" width="12.140625" style="1" customWidth="1"/>
    <col min="28"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1.42578125" style="1"/>
    <col min="27" max="27" width="12.140625" style="1" customWidth="1"/>
    <col min="28" max="16384" width="11.4257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0" width="7.140625" style="1" customWidth="1"/>
    <col min="11" max="12" width="1.42578125" style="1" customWidth="1"/>
    <col min="13" max="13" width="12.1406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4" width="11.7109375" style="1" bestFit="1" customWidth="1"/>
    <col min="25" max="16384" width="11.4257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ht="18">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ht="18">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0" width="7.140625" style="1" customWidth="1"/>
    <col min="11" max="12" width="1.42578125" style="1" customWidth="1"/>
    <col min="13" max="13" width="12.140625" style="29" bestFit="1" customWidth="1"/>
    <col min="14" max="14" width="26.5703125" style="1" customWidth="1"/>
    <col min="15" max="15" width="16.7109375" style="1" customWidth="1"/>
    <col min="16" max="16" width="14.42578125" style="1" hidden="1" customWidth="1"/>
    <col min="17" max="18" width="14.42578125" style="1" customWidth="1"/>
    <col min="19" max="19" width="13.42578125" style="1" customWidth="1"/>
    <col min="20" max="20" width="14.42578125" style="1" customWidth="1"/>
    <col min="21" max="21" width="17" style="1" customWidth="1"/>
    <col min="22" max="22" width="20.5703125" style="1" customWidth="1"/>
    <col min="23" max="23" width="53.28515625" style="1" customWidth="1"/>
    <col min="24" max="24" width="11.7109375" style="1" bestFit="1" customWidth="1"/>
    <col min="25" max="25" width="11.42578125" style="1"/>
    <col min="26" max="27" width="11.7109375" style="1" bestFit="1" customWidth="1"/>
    <col min="28" max="16384" width="11.4257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8">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49.5">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8">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1" width="7.140625" style="1" customWidth="1"/>
    <col min="12" max="13" width="1.42578125" style="1" customWidth="1"/>
    <col min="14" max="14" width="12.140625" style="1" bestFit="1" customWidth="1"/>
    <col min="15" max="15" width="22.140625" style="1" bestFit="1" customWidth="1"/>
    <col min="16" max="16" width="14" style="1" bestFit="1" customWidth="1"/>
    <col min="17" max="17" width="11.7109375" style="1" bestFit="1" customWidth="1"/>
    <col min="18" max="19" width="12.7109375" style="1" bestFit="1" customWidth="1"/>
    <col min="20" max="20" width="12.140625" style="1" customWidth="1"/>
    <col min="21" max="21" width="12.7109375" style="1" bestFit="1" customWidth="1"/>
    <col min="22" max="22" width="11.7109375" style="1" bestFit="1" customWidth="1"/>
    <col min="23" max="23" width="1.42578125" style="1" customWidth="1"/>
    <col min="24" max="24" width="4.140625" style="1" customWidth="1"/>
    <col min="25" max="25" width="11.7109375" style="1" bestFit="1" customWidth="1"/>
    <col min="26" max="16384" width="11.4257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8">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2026-08-07T15:42:39Z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