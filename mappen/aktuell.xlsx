
<file path=[Content_Types].xml><?xml version="1.0" encoding="utf-8"?>
<Types xmlns="http://schemas.openxmlformats.org/package/2006/content-types">
  <Default Extension="bin" ContentType="application/vnd.openxmlformats-officedocument.spreadsheetml.printerSettings"/>
  <Default Extension="jfif" ContentType="image/jpeg"/>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ink/ink1.xml" ContentType="application/inkml+xml"/>
  <Override PartName="/xl/ink/ink2.xml" ContentType="application/inkml+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Matth\Desktop\"/>
    </mc:Choice>
  </mc:AlternateContent>
  <xr:revisionPtr revIDLastSave="0" documentId="13_ncr:1_{A43D6806-10A3-4915-9701-9E6C630054BB}" xr6:coauthVersionLast="47" xr6:coauthVersionMax="47" xr10:uidLastSave="{00000000-0000-0000-0000-000000000000}"/>
  <bookViews>
    <workbookView xWindow="-103" yWindow="-103" windowWidth="27977" windowHeight="18274" tabRatio="785" firstSheet="1" activeTab="1" xr2:uid="{00000000-000D-0000-FFFF-FFFF00000000}"/>
  </bookViews>
  <sheets>
    <sheet name="Graphs" sheetId="2" state="hidden" r:id="rId1"/>
    <sheet name="Stats 2026" sheetId="18" r:id="rId2"/>
    <sheet name="All-time DF Stats" sheetId="3" r:id="rId3"/>
    <sheet name="Executive Summary für dä JWU" sheetId="4" r:id="rId4"/>
    <sheet name="Participation" sheetId="9" r:id="rId5"/>
    <sheet name="CBO Behauptet" sheetId="15" state="hidden" r:id="rId6"/>
    <sheet name="Wär isch dä Bescht" sheetId="12" r:id="rId7"/>
    <sheet name="Stats 2025" sheetId="17" r:id="rId8"/>
    <sheet name="Stats 2024" sheetId="16" r:id="rId9"/>
    <sheet name="Stats 2023" sheetId="14" r:id="rId10"/>
    <sheet name="Stats 2022" sheetId="11" r:id="rId11"/>
    <sheet name="Stats 2021" sheetId="10" r:id="rId12"/>
    <sheet name="Stats 2020" sheetId="1" r:id="rId13"/>
    <sheet name="Stats 2019" sheetId="5" r:id="rId14"/>
    <sheet name="Stats 2018" sheetId="6" r:id="rId15"/>
    <sheet name="Stats 2017" sheetId="7" r:id="rId16"/>
  </sheets>
  <definedNames>
    <definedName name="_xlnm._FilterDatabase" localSheetId="4" hidden="1">Participation!$A$1:$G$402</definedName>
    <definedName name="_tags1" localSheetId="4" hidden="1">"&lt;tags&gt;&lt;tag n=""Palette"" v=""-1"" /&gt;&lt;tag n=""ClosestPalette"" v=""1"" /&gt;&lt;/tags&gt;"</definedName>
    <definedName name="_tags1" localSheetId="15" hidden="1">"&lt;tags&gt;&lt;tag n=""Palette"" v=""-1"" /&gt;&lt;tag n=""ClosestPalette"" v=""1"" /&gt;&lt;/tags&gt;"</definedName>
    <definedName name="_tags1" localSheetId="14" hidden="1">"&lt;tags&gt;&lt;tag n=""Palette"" v=""-1"" /&gt;&lt;tag n=""ClosestPalette"" v=""1"" /&gt;&lt;/tags&gt;"</definedName>
    <definedName name="_tags1" localSheetId="13" hidden="1">"&lt;tags&gt;&lt;tag n=""Palette"" v=""-1"" /&gt;&lt;tag n=""ClosestPalette"" v=""1"" /&gt;&lt;/tags&gt;"</definedName>
    <definedName name="_tags1" localSheetId="12" hidden="1">"&lt;tags&gt;&lt;tag n=""Palette"" v=""-1"" /&gt;&lt;tag n=""ClosestPalette"" v=""1"" /&gt;&lt;/tags&gt;"</definedName>
    <definedName name="_tags1" localSheetId="11" hidden="1">"&lt;tags&gt;&lt;tag n=""Palette"" v=""-1"" /&gt;&lt;tag n=""ClosestPalette"" v=""1"" /&gt;&lt;/tags&gt;"</definedName>
    <definedName name="_tags1" localSheetId="10" hidden="1">"&lt;tags&gt;&lt;tag n=""Palette"" v=""-1"" /&gt;&lt;tag n=""ClosestPalette"" v=""1"" /&gt;&lt;/tags&gt;"</definedName>
    <definedName name="_tags1" localSheetId="9" hidden="1">"&lt;tags&gt;&lt;tag n=""Palette"" v=""-1"" /&gt;&lt;tag n=""ClosestPalette"" v=""1"" /&gt;&lt;/tags&gt;"</definedName>
    <definedName name="_tags1" localSheetId="8" hidden="1">"&lt;tags&gt;&lt;tag n=""Palette"" v=""-1"" /&gt;&lt;tag n=""ClosestPalette"" v=""1"" /&gt;&lt;/tags&gt;"</definedName>
    <definedName name="_tags1" localSheetId="7" hidden="1">"&lt;tags&gt;&lt;tag n=""Palette"" v=""-1"" /&gt;&lt;tag n=""ClosestPalette"" v=""1"" /&gt;&lt;/tags&gt;"</definedName>
    <definedName name="_tags1" localSheetId="1" hidden="1">"&lt;tags&gt;&lt;tag n=""Palette"" v=""-1"" /&gt;&lt;tag n=""ClosestPalette"" v=""1"" /&gt;&lt;/tags&gt;"</definedName>
    <definedName name="cbo_range" localSheetId="4">OFFSET(#REF!,0,3,#REF!,1)</definedName>
    <definedName name="cbo_range" localSheetId="15">OFFSET(#REF!,0,3,#REF!,1)</definedName>
    <definedName name="cbo_range" localSheetId="14">OFFSET(#REF!,0,3,#REF!,1)</definedName>
    <definedName name="cbo_range" localSheetId="13">OFFSET(#REF!,0,3,#REF!,1)</definedName>
    <definedName name="cbo_range" localSheetId="11">OFFSET(#REF!,0,3,#REF!,1)</definedName>
    <definedName name="cbo_range" localSheetId="10">OFFSET(#REF!,0,3,#REF!,1)</definedName>
    <definedName name="cbo_range" localSheetId="9">OFFSET(#REF!,0,3,#REF!,1)</definedName>
    <definedName name="cbo_range" localSheetId="8">OFFSET(#REF!,0,3,#REF!,1)</definedName>
    <definedName name="cbo_range" localSheetId="7">OFFSET(#REF!,0,3,#REF!,1)</definedName>
    <definedName name="cbo_range" localSheetId="1">OFFSET(#REF!,0,3,#REF!,1)</definedName>
    <definedName name="cbo_range">OFFSET(#REF!,0,3,#REF!,1)</definedName>
    <definedName name="date_range" localSheetId="4">OFFSET(#REF!,0,0,#REF!,1)</definedName>
    <definedName name="date_range" localSheetId="15">OFFSET(#REF!,0,0,#REF!,1)</definedName>
    <definedName name="date_range" localSheetId="14">OFFSET(#REF!,0,0,#REF!,1)</definedName>
    <definedName name="date_range" localSheetId="13">OFFSET(#REF!,0,0,#REF!,1)</definedName>
    <definedName name="date_range" localSheetId="11">OFFSET(#REF!,0,0,#REF!,1)</definedName>
    <definedName name="date_range" localSheetId="10">OFFSET(#REF!,0,0,#REF!,1)</definedName>
    <definedName name="date_range" localSheetId="9">OFFSET(#REF!,0,0,#REF!,1)</definedName>
    <definedName name="date_range" localSheetId="8">OFFSET(#REF!,0,0,#REF!,1)</definedName>
    <definedName name="date_range" localSheetId="7">OFFSET(#REF!,0,0,#REF!,1)</definedName>
    <definedName name="date_range" localSheetId="1">OFFSET(#REF!,0,0,#REF!,1)</definedName>
    <definedName name="date_range">OFFSET(#REF!,0,0,#REF!,1)</definedName>
    <definedName name="jwi_range" localSheetId="4">OFFSET(#REF!,0,2,#REF!,1)</definedName>
    <definedName name="jwi_range" localSheetId="15">OFFSET(#REF!,0,2,#REF!,1)</definedName>
    <definedName name="jwi_range" localSheetId="14">OFFSET(#REF!,0,2,#REF!,1)</definedName>
    <definedName name="jwi_range" localSheetId="13">OFFSET(#REF!,0,2,#REF!,1)</definedName>
    <definedName name="jwi_range" localSheetId="11">OFFSET(#REF!,0,2,#REF!,1)</definedName>
    <definedName name="jwi_range" localSheetId="10">OFFSET(#REF!,0,2,#REF!,1)</definedName>
    <definedName name="jwi_range" localSheetId="9">OFFSET(#REF!,0,2,#REF!,1)</definedName>
    <definedName name="jwi_range" localSheetId="8">OFFSET(#REF!,0,2,#REF!,1)</definedName>
    <definedName name="jwi_range" localSheetId="7">OFFSET(#REF!,0,2,#REF!,1)</definedName>
    <definedName name="jwi_range" localSheetId="1">OFFSET(#REF!,0,2,#REF!,1)</definedName>
    <definedName name="jwi_range">OFFSET(#REF!,0,2,#REF!,1)</definedName>
    <definedName name="jwu_range" localSheetId="4">OFFSET(#REF!,0,1,#REF!,1)</definedName>
    <definedName name="jwu_range" localSheetId="15">OFFSET(#REF!,0,1,#REF!,1)</definedName>
    <definedName name="jwu_range" localSheetId="14">OFFSET(#REF!,0,1,#REF!,1)</definedName>
    <definedName name="jwu_range" localSheetId="13">OFFSET(#REF!,0,1,#REF!,1)</definedName>
    <definedName name="jwu_range" localSheetId="11">OFFSET(#REF!,0,1,#REF!,1)</definedName>
    <definedName name="jwu_range" localSheetId="10">OFFSET(#REF!,0,1,#REF!,1)</definedName>
    <definedName name="jwu_range" localSheetId="9">OFFSET(#REF!,0,1,#REF!,1)</definedName>
    <definedName name="jwu_range" localSheetId="8">OFFSET(#REF!,0,1,#REF!,1)</definedName>
    <definedName name="jwu_range" localSheetId="7">OFFSET(#REF!,0,1,#REF!,1)</definedName>
    <definedName name="jwu_range" localSheetId="1">OFFSET(#REF!,0,1,#REF!,1)</definedName>
    <definedName name="jwu_range">OFFSET(#REF!,0,1,#REF!,1)</definedName>
    <definedName name="mst_range" localSheetId="4">OFFSET(#REF!,0,7,#REF!,1)</definedName>
    <definedName name="mst_range" localSheetId="15">OFFSET(#REF!,0,7,#REF!,1)</definedName>
    <definedName name="mst_range" localSheetId="14">OFFSET(#REF!,0,7,#REF!,1)</definedName>
    <definedName name="mst_range" localSheetId="13">OFFSET(#REF!,0,7,#REF!,1)</definedName>
    <definedName name="mst_range" localSheetId="11">OFFSET(#REF!,0,7,#REF!,1)</definedName>
    <definedName name="mst_range" localSheetId="10">OFFSET(#REF!,0,7,#REF!,1)</definedName>
    <definedName name="mst_range" localSheetId="9">OFFSET(#REF!,0,7,#REF!,1)</definedName>
    <definedName name="mst_range" localSheetId="8">OFFSET(#REF!,0,7,#REF!,1)</definedName>
    <definedName name="mst_range" localSheetId="7">OFFSET(#REF!,0,7,#REF!,1)</definedName>
    <definedName name="mst_range" localSheetId="1">OFFSET(#REF!,0,7,#REF!,1)</definedName>
    <definedName name="mst_range">OFFSET(#REF!,0,7,#REF!,1)</definedName>
    <definedName name="pivot_range" localSheetId="4">OFFSET(Participation!#REF!,0,0,Participation!#REF!,9)</definedName>
    <definedName name="pivot_range" localSheetId="15">OFFSET('Stats 2017'!$N$23,0,0,'Stats 2017'!$V$17,9)</definedName>
    <definedName name="pivot_range" localSheetId="14">OFFSET('Stats 2018'!$M$23,0,0,'Stats 2018'!$U$17,9)</definedName>
    <definedName name="pivot_range" localSheetId="13">OFFSET('Stats 2019'!$M$23,0,0,'Stats 2019'!$T$17,9)</definedName>
    <definedName name="pivot_range" localSheetId="11">OFFSET('Stats 2021'!$M$23,0,0,'Stats 2021'!$T$17,9)</definedName>
    <definedName name="pivot_range" localSheetId="10">OFFSET('Stats 2022'!$M$23,0,0,'Stats 2022'!$T$17,9)</definedName>
    <definedName name="pivot_range" localSheetId="9">OFFSET('Stats 2023'!$M$23,0,0,'Stats 2023'!$T$17,9)</definedName>
    <definedName name="pivot_range" localSheetId="8">OFFSET('Stats 2024'!$M$23,0,0,'Stats 2024'!$T$17,9)</definedName>
    <definedName name="pivot_range" localSheetId="7">OFFSET('Stats 2025'!$M$23,0,0,'Stats 2025'!$T$17,9)</definedName>
    <definedName name="pivot_range" localSheetId="1">OFFSET('Stats 2026'!$M$23,0,0,'Stats 2026'!$T$17,9)</definedName>
    <definedName name="pivot_range">OFFSET('Stats 2020'!$M$23,0,0,'Stats 2020'!$T$17,9)</definedName>
    <definedName name="pkn_range" localSheetId="4">OFFSET(#REF!,0,4,#REF!,1)</definedName>
    <definedName name="pkn_range" localSheetId="15">OFFSET(#REF!,0,4,#REF!,1)</definedName>
    <definedName name="pkn_range" localSheetId="14">OFFSET(#REF!,0,4,#REF!,1)</definedName>
    <definedName name="pkn_range" localSheetId="13">OFFSET(#REF!,0,4,#REF!,1)</definedName>
    <definedName name="pkn_range" localSheetId="11">OFFSET(#REF!,0,4,#REF!,1)</definedName>
    <definedName name="pkn_range" localSheetId="10">OFFSET(#REF!,0,4,#REF!,1)</definedName>
    <definedName name="pkn_range" localSheetId="9">OFFSET(#REF!,0,4,#REF!,1)</definedName>
    <definedName name="pkn_range" localSheetId="8">OFFSET(#REF!,0,4,#REF!,1)</definedName>
    <definedName name="pkn_range" localSheetId="7">OFFSET(#REF!,0,4,#REF!,1)</definedName>
    <definedName name="pkn_range" localSheetId="1">OFFSET(#REF!,0,4,#REF!,1)</definedName>
    <definedName name="pkn_range">OFFSET(#REF!,0,4,#REF!,1)</definedName>
    <definedName name="sju_range" localSheetId="4">OFFSET(#REF!,0,6,#REF!,1)</definedName>
    <definedName name="sju_range" localSheetId="15">OFFSET(#REF!,0,6,#REF!,1)</definedName>
    <definedName name="sju_range" localSheetId="14">OFFSET(#REF!,0,6,#REF!,1)</definedName>
    <definedName name="sju_range" localSheetId="13">OFFSET(#REF!,0,6,#REF!,1)</definedName>
    <definedName name="sju_range" localSheetId="11">OFFSET(#REF!,0,6,#REF!,1)</definedName>
    <definedName name="sju_range" localSheetId="10">OFFSET(#REF!,0,6,#REF!,1)</definedName>
    <definedName name="sju_range" localSheetId="9">OFFSET(#REF!,0,6,#REF!,1)</definedName>
    <definedName name="sju_range" localSheetId="8">OFFSET(#REF!,0,6,#REF!,1)</definedName>
    <definedName name="sju_range" localSheetId="7">OFFSET(#REF!,0,6,#REF!,1)</definedName>
    <definedName name="sju_range" localSheetId="1">OFFSET(#REF!,0,6,#REF!,1)</definedName>
    <definedName name="sju_range">OFFSET(#REF!,0,6,#REF!,1)</definedName>
    <definedName name="ymi_range" localSheetId="4">OFFSET(#REF!,0,5,#REF!,1)</definedName>
    <definedName name="ymi_range" localSheetId="15">OFFSET(#REF!,0,5,#REF!,1)</definedName>
    <definedName name="ymi_range" localSheetId="14">OFFSET(#REF!,0,5,#REF!,1)</definedName>
    <definedName name="ymi_range" localSheetId="13">OFFSET(#REF!,0,5,#REF!,1)</definedName>
    <definedName name="ymi_range" localSheetId="11">OFFSET(#REF!,0,5,#REF!,1)</definedName>
    <definedName name="ymi_range" localSheetId="10">OFFSET(#REF!,0,5,#REF!,1)</definedName>
    <definedName name="ymi_range" localSheetId="9">OFFSET(#REF!,0,5,#REF!,1)</definedName>
    <definedName name="ymi_range" localSheetId="8">OFFSET(#REF!,0,5,#REF!,1)</definedName>
    <definedName name="ymi_range" localSheetId="7">OFFSET(#REF!,0,5,#REF!,1)</definedName>
    <definedName name="ymi_range" localSheetId="1">OFFSET(#REF!,0,5,#REF!,1)</definedName>
    <definedName name="ymi_range">OFFSET(#REF!,0,5,#REF!,1)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73" i="18" l="1"/>
  <c r="M72" i="18"/>
  <c r="M71" i="18"/>
  <c r="M70" i="18"/>
  <c r="M69" i="18"/>
  <c r="M68" i="18"/>
  <c r="M67" i="18"/>
  <c r="M66" i="18"/>
  <c r="E63" i="18"/>
  <c r="M63" i="18"/>
  <c r="M62" i="18"/>
  <c r="M59" i="18" l="1"/>
  <c r="M60" i="18" s="1"/>
  <c r="M61" i="18" s="1"/>
  <c r="D61" i="18" s="1"/>
  <c r="C61" i="18" s="1"/>
  <c r="M56" i="18"/>
  <c r="M54" i="18"/>
  <c r="M55" i="18" s="1"/>
  <c r="D55" i="18" s="1"/>
  <c r="C55" i="18" s="1"/>
  <c r="M53" i="18"/>
  <c r="O20" i="18"/>
  <c r="AY4" i="3" s="1"/>
  <c r="P35" i="18"/>
  <c r="M52" i="18"/>
  <c r="D52" i="18"/>
  <c r="C52" i="18" s="1"/>
  <c r="S49" i="18"/>
  <c r="T51" i="18"/>
  <c r="T38" i="18"/>
  <c r="T25" i="18"/>
  <c r="P27" i="18"/>
  <c r="S32" i="18"/>
  <c r="M51" i="18"/>
  <c r="P4" i="4"/>
  <c r="P5" i="4" s="1"/>
  <c r="P6" i="4" s="1"/>
  <c r="P7" i="4" s="1"/>
  <c r="Q2" i="4"/>
  <c r="M50" i="18"/>
  <c r="M49" i="18"/>
  <c r="BU8" i="3"/>
  <c r="BT8" i="3"/>
  <c r="BP8" i="3"/>
  <c r="M48" i="18"/>
  <c r="M47" i="18"/>
  <c r="M46" i="18"/>
  <c r="D46" i="18" s="1"/>
  <c r="C46" i="18" s="1"/>
  <c r="E42" i="18"/>
  <c r="F42" i="18"/>
  <c r="G42" i="18"/>
  <c r="H42" i="18"/>
  <c r="I42" i="18"/>
  <c r="J42" i="18"/>
  <c r="E43" i="18"/>
  <c r="F43" i="18"/>
  <c r="G43" i="18"/>
  <c r="H43" i="18"/>
  <c r="I43" i="18"/>
  <c r="J43" i="18"/>
  <c r="E44" i="18"/>
  <c r="F44" i="18"/>
  <c r="G44" i="18"/>
  <c r="H44" i="18"/>
  <c r="I44" i="18"/>
  <c r="J44" i="18"/>
  <c r="E45" i="18"/>
  <c r="F45" i="18"/>
  <c r="G45" i="18"/>
  <c r="H45" i="18"/>
  <c r="I45" i="18"/>
  <c r="J45" i="18"/>
  <c r="E46" i="18"/>
  <c r="F46" i="18"/>
  <c r="G46" i="18"/>
  <c r="H46" i="18"/>
  <c r="I46" i="18"/>
  <c r="J46" i="18"/>
  <c r="D47" i="18"/>
  <c r="C47" i="18" s="1"/>
  <c r="E47" i="18"/>
  <c r="F47" i="18"/>
  <c r="G47" i="18"/>
  <c r="H47" i="18"/>
  <c r="I47" i="18"/>
  <c r="J47" i="18"/>
  <c r="D48" i="18"/>
  <c r="C48" i="18" s="1"/>
  <c r="E48" i="18"/>
  <c r="F48" i="18"/>
  <c r="G48" i="18"/>
  <c r="H48" i="18"/>
  <c r="I48" i="18"/>
  <c r="J48" i="18"/>
  <c r="D50" i="18"/>
  <c r="C50" i="18" s="1"/>
  <c r="E50" i="18"/>
  <c r="F50" i="18"/>
  <c r="G50" i="18"/>
  <c r="H50" i="18"/>
  <c r="I50" i="18"/>
  <c r="J50" i="18"/>
  <c r="E52" i="18"/>
  <c r="F52" i="18"/>
  <c r="G52" i="18"/>
  <c r="H52" i="18"/>
  <c r="I52" i="18"/>
  <c r="J52" i="18"/>
  <c r="D53" i="18"/>
  <c r="C53" i="18" s="1"/>
  <c r="E53" i="18"/>
  <c r="F53" i="18"/>
  <c r="G53" i="18"/>
  <c r="H53" i="18"/>
  <c r="I53" i="18"/>
  <c r="J53" i="18"/>
  <c r="D54" i="18"/>
  <c r="C54" i="18" s="1"/>
  <c r="E54" i="18"/>
  <c r="F54" i="18"/>
  <c r="G54" i="18"/>
  <c r="H54" i="18"/>
  <c r="I54" i="18"/>
  <c r="J54" i="18"/>
  <c r="E55" i="18"/>
  <c r="F55" i="18"/>
  <c r="G55" i="18"/>
  <c r="H55" i="18"/>
  <c r="I55" i="18"/>
  <c r="J55" i="18"/>
  <c r="D56" i="18"/>
  <c r="C56" i="18" s="1"/>
  <c r="E56" i="18"/>
  <c r="F56" i="18"/>
  <c r="G56" i="18"/>
  <c r="H56" i="18"/>
  <c r="I56" i="18"/>
  <c r="J56" i="18"/>
  <c r="E58" i="18"/>
  <c r="F58" i="18"/>
  <c r="G58" i="18"/>
  <c r="H58" i="18"/>
  <c r="I58" i="18"/>
  <c r="J58" i="18"/>
  <c r="E59" i="18"/>
  <c r="F59" i="18"/>
  <c r="G59" i="18"/>
  <c r="H59" i="18"/>
  <c r="I59" i="18"/>
  <c r="J59" i="18"/>
  <c r="E60" i="18"/>
  <c r="F60" i="18"/>
  <c r="G60" i="18"/>
  <c r="H60" i="18"/>
  <c r="I60" i="18"/>
  <c r="J60" i="18"/>
  <c r="E61" i="18"/>
  <c r="F61" i="18"/>
  <c r="G61" i="18"/>
  <c r="H61" i="18"/>
  <c r="I61" i="18"/>
  <c r="J61" i="18"/>
  <c r="D62" i="18"/>
  <c r="C62" i="18" s="1"/>
  <c r="E62" i="18"/>
  <c r="F62" i="18"/>
  <c r="G62" i="18"/>
  <c r="H62" i="18"/>
  <c r="I62" i="18"/>
  <c r="J62" i="18"/>
  <c r="D63" i="18"/>
  <c r="C63" i="18" s="1"/>
  <c r="F63" i="18"/>
  <c r="G63" i="18"/>
  <c r="H63" i="18"/>
  <c r="I63" i="18"/>
  <c r="J63" i="18"/>
  <c r="D64" i="18"/>
  <c r="C64" i="18" s="1"/>
  <c r="E64" i="18"/>
  <c r="F64" i="18"/>
  <c r="G64" i="18"/>
  <c r="H64" i="18"/>
  <c r="I64" i="18"/>
  <c r="J64" i="18"/>
  <c r="D65" i="18"/>
  <c r="C65" i="18" s="1"/>
  <c r="E65" i="18"/>
  <c r="F65" i="18"/>
  <c r="G65" i="18"/>
  <c r="H65" i="18"/>
  <c r="I65" i="18"/>
  <c r="J65" i="18"/>
  <c r="D66" i="18"/>
  <c r="C66" i="18" s="1"/>
  <c r="E66" i="18"/>
  <c r="F66" i="18"/>
  <c r="G66" i="18"/>
  <c r="H66" i="18"/>
  <c r="I66" i="18"/>
  <c r="J66" i="18"/>
  <c r="D67" i="18"/>
  <c r="C67" i="18" s="1"/>
  <c r="E67" i="18"/>
  <c r="F67" i="18"/>
  <c r="G67" i="18"/>
  <c r="H67" i="18"/>
  <c r="I67" i="18"/>
  <c r="J67" i="18"/>
  <c r="D68" i="18"/>
  <c r="C68" i="18" s="1"/>
  <c r="E68" i="18"/>
  <c r="F68" i="18"/>
  <c r="G68" i="18"/>
  <c r="H68" i="18"/>
  <c r="I68" i="18"/>
  <c r="J68" i="18"/>
  <c r="D69" i="18"/>
  <c r="C69" i="18" s="1"/>
  <c r="E69" i="18"/>
  <c r="F69" i="18"/>
  <c r="G69" i="18"/>
  <c r="H69" i="18"/>
  <c r="I69" i="18"/>
  <c r="J69" i="18"/>
  <c r="D70" i="18"/>
  <c r="C70" i="18" s="1"/>
  <c r="E70" i="18"/>
  <c r="F70" i="18"/>
  <c r="G70" i="18"/>
  <c r="H70" i="18"/>
  <c r="I70" i="18"/>
  <c r="J70" i="18"/>
  <c r="D71" i="18"/>
  <c r="C71" i="18" s="1"/>
  <c r="E71" i="18"/>
  <c r="F71" i="18"/>
  <c r="G71" i="18"/>
  <c r="H71" i="18"/>
  <c r="I71" i="18"/>
  <c r="J71" i="18"/>
  <c r="D72" i="18"/>
  <c r="C72" i="18" s="1"/>
  <c r="E72" i="18"/>
  <c r="F72" i="18"/>
  <c r="G72" i="18"/>
  <c r="H72" i="18"/>
  <c r="I72" i="18"/>
  <c r="J72" i="18"/>
  <c r="D73" i="18"/>
  <c r="C73" i="18" s="1"/>
  <c r="E73" i="18"/>
  <c r="F73" i="18"/>
  <c r="G73" i="18"/>
  <c r="H73" i="18"/>
  <c r="I73" i="18"/>
  <c r="J73" i="18"/>
  <c r="D74" i="18"/>
  <c r="C74" i="18" s="1"/>
  <c r="E74" i="18"/>
  <c r="F74" i="18"/>
  <c r="G74" i="18"/>
  <c r="H74" i="18"/>
  <c r="I74" i="18"/>
  <c r="J74" i="18"/>
  <c r="D75" i="18"/>
  <c r="C75" i="18" s="1"/>
  <c r="E75" i="18"/>
  <c r="F75" i="18"/>
  <c r="G75" i="18"/>
  <c r="H75" i="18"/>
  <c r="I75" i="18"/>
  <c r="J75" i="18"/>
  <c r="D76" i="18"/>
  <c r="C76" i="18" s="1"/>
  <c r="E76" i="18"/>
  <c r="F76" i="18"/>
  <c r="G76" i="18"/>
  <c r="H76" i="18"/>
  <c r="I76" i="18"/>
  <c r="J76" i="18"/>
  <c r="D77" i="18"/>
  <c r="C77" i="18" s="1"/>
  <c r="E77" i="18"/>
  <c r="F77" i="18"/>
  <c r="G77" i="18"/>
  <c r="H77" i="18"/>
  <c r="I77" i="18"/>
  <c r="J77" i="18"/>
  <c r="D78" i="18"/>
  <c r="C78" i="18" s="1"/>
  <c r="E78" i="18"/>
  <c r="F78" i="18"/>
  <c r="G78" i="18"/>
  <c r="H78" i="18"/>
  <c r="I78" i="18"/>
  <c r="J78" i="18"/>
  <c r="D79" i="18"/>
  <c r="C79" i="18" s="1"/>
  <c r="E79" i="18"/>
  <c r="F79" i="18"/>
  <c r="G79" i="18"/>
  <c r="H79" i="18"/>
  <c r="I79" i="18"/>
  <c r="J79" i="18"/>
  <c r="D80" i="18"/>
  <c r="C80" i="18" s="1"/>
  <c r="E80" i="18"/>
  <c r="F80" i="18"/>
  <c r="G80" i="18"/>
  <c r="H80" i="18"/>
  <c r="I80" i="18"/>
  <c r="J80" i="18"/>
  <c r="D81" i="18"/>
  <c r="C81" i="18" s="1"/>
  <c r="E81" i="18"/>
  <c r="F81" i="18"/>
  <c r="G81" i="18"/>
  <c r="H81" i="18"/>
  <c r="I81" i="18"/>
  <c r="J81" i="18"/>
  <c r="D82" i="18"/>
  <c r="C82" i="18" s="1"/>
  <c r="E82" i="18"/>
  <c r="F82" i="18"/>
  <c r="G82" i="18"/>
  <c r="H82" i="18"/>
  <c r="I82" i="18"/>
  <c r="J82" i="18"/>
  <c r="D83" i="18"/>
  <c r="C83" i="18" s="1"/>
  <c r="E83" i="18"/>
  <c r="F83" i="18"/>
  <c r="G83" i="18"/>
  <c r="H83" i="18"/>
  <c r="I83" i="18"/>
  <c r="J83" i="18"/>
  <c r="D84" i="18"/>
  <c r="C84" i="18" s="1"/>
  <c r="E84" i="18"/>
  <c r="F84" i="18"/>
  <c r="G84" i="18"/>
  <c r="H84" i="18"/>
  <c r="I84" i="18"/>
  <c r="J84" i="18"/>
  <c r="D85" i="18"/>
  <c r="C85" i="18" s="1"/>
  <c r="E85" i="18"/>
  <c r="F85" i="18"/>
  <c r="G85" i="18"/>
  <c r="H85" i="18"/>
  <c r="I85" i="18"/>
  <c r="J85" i="18"/>
  <c r="D86" i="18"/>
  <c r="C86" i="18" s="1"/>
  <c r="E86" i="18"/>
  <c r="F86" i="18"/>
  <c r="G86" i="18"/>
  <c r="H86" i="18"/>
  <c r="I86" i="18"/>
  <c r="J86" i="18"/>
  <c r="D87" i="18"/>
  <c r="C87" i="18" s="1"/>
  <c r="E87" i="18"/>
  <c r="F87" i="18"/>
  <c r="G87" i="18"/>
  <c r="H87" i="18"/>
  <c r="I87" i="18"/>
  <c r="J87" i="18"/>
  <c r="D88" i="18"/>
  <c r="C88" i="18" s="1"/>
  <c r="E88" i="18"/>
  <c r="F88" i="18"/>
  <c r="G88" i="18"/>
  <c r="H88" i="18"/>
  <c r="I88" i="18"/>
  <c r="J88" i="18"/>
  <c r="D89" i="18"/>
  <c r="C89" i="18" s="1"/>
  <c r="E89" i="18"/>
  <c r="F89" i="18"/>
  <c r="G89" i="18"/>
  <c r="H89" i="18"/>
  <c r="I89" i="18"/>
  <c r="J89" i="18"/>
  <c r="D90" i="18"/>
  <c r="C90" i="18" s="1"/>
  <c r="E90" i="18"/>
  <c r="F90" i="18"/>
  <c r="G90" i="18"/>
  <c r="H90" i="18"/>
  <c r="I90" i="18"/>
  <c r="J90" i="18"/>
  <c r="D91" i="18"/>
  <c r="C91" i="18" s="1"/>
  <c r="E91" i="18"/>
  <c r="F91" i="18"/>
  <c r="G91" i="18"/>
  <c r="H91" i="18"/>
  <c r="I91" i="18"/>
  <c r="J91" i="18"/>
  <c r="E41" i="18"/>
  <c r="F41" i="18"/>
  <c r="G41" i="18"/>
  <c r="H41" i="18"/>
  <c r="I41" i="18"/>
  <c r="J41" i="18"/>
  <c r="M41" i="18"/>
  <c r="M42" i="18" s="1"/>
  <c r="M43" i="18" s="1"/>
  <c r="M44" i="18" s="1"/>
  <c r="M45" i="18" s="1"/>
  <c r="D45" i="18" s="1"/>
  <c r="C45" i="18" s="1"/>
  <c r="J39" i="18"/>
  <c r="I39" i="18"/>
  <c r="H39" i="18"/>
  <c r="G39" i="18"/>
  <c r="F39" i="18"/>
  <c r="E39" i="18"/>
  <c r="D39" i="18"/>
  <c r="C39" i="18" s="1"/>
  <c r="M36" i="18"/>
  <c r="T20" i="18"/>
  <c r="O13" i="18" s="1"/>
  <c r="M28" i="18"/>
  <c r="AX7" i="3"/>
  <c r="AX6" i="3"/>
  <c r="AX5" i="3"/>
  <c r="AX4" i="3"/>
  <c r="AX3" i="3"/>
  <c r="AX2" i="3"/>
  <c r="P8" i="3"/>
  <c r="J26" i="18"/>
  <c r="E8" i="17"/>
  <c r="H26" i="18"/>
  <c r="S16" i="18"/>
  <c r="AD41" i="18"/>
  <c r="AD40" i="18"/>
  <c r="J40" i="18"/>
  <c r="I40" i="18"/>
  <c r="H40" i="18"/>
  <c r="G40" i="18"/>
  <c r="F40" i="18"/>
  <c r="E40" i="18"/>
  <c r="AD39" i="18"/>
  <c r="AD38" i="18"/>
  <c r="AD37" i="18"/>
  <c r="J37" i="18"/>
  <c r="I37" i="18"/>
  <c r="H37" i="18"/>
  <c r="G37" i="18"/>
  <c r="F37" i="18"/>
  <c r="E37" i="18"/>
  <c r="J36" i="18"/>
  <c r="I36" i="18"/>
  <c r="H36" i="18"/>
  <c r="G36" i="18"/>
  <c r="F36" i="18"/>
  <c r="E36" i="18"/>
  <c r="J34" i="18"/>
  <c r="I34" i="18"/>
  <c r="H34" i="18"/>
  <c r="G34" i="18"/>
  <c r="F34" i="18"/>
  <c r="E34" i="18"/>
  <c r="J33" i="18"/>
  <c r="I33" i="18"/>
  <c r="H33" i="18"/>
  <c r="G33" i="18"/>
  <c r="F33" i="18"/>
  <c r="E33" i="18"/>
  <c r="J31" i="18"/>
  <c r="I31" i="18"/>
  <c r="H31" i="18"/>
  <c r="G31" i="18"/>
  <c r="F31" i="18"/>
  <c r="E31" i="18"/>
  <c r="J29" i="18"/>
  <c r="I29" i="18"/>
  <c r="H29" i="18"/>
  <c r="G29" i="18"/>
  <c r="F29" i="18"/>
  <c r="E29" i="18"/>
  <c r="J28" i="18"/>
  <c r="I28" i="18"/>
  <c r="H28" i="18"/>
  <c r="G28" i="18"/>
  <c r="F28" i="18"/>
  <c r="E28" i="18"/>
  <c r="I26" i="18"/>
  <c r="G26" i="18"/>
  <c r="F26" i="18"/>
  <c r="E26" i="18"/>
  <c r="M25" i="18"/>
  <c r="M26" i="18" s="1"/>
  <c r="R20" i="18"/>
  <c r="O8" i="18" s="1"/>
  <c r="Q20" i="18"/>
  <c r="O11" i="18" s="1"/>
  <c r="P20" i="18"/>
  <c r="O9" i="18" s="1"/>
  <c r="R10" i="3"/>
  <c r="B77" i="3"/>
  <c r="C77" i="3" s="1"/>
  <c r="D77" i="3" s="1"/>
  <c r="E77" i="3" s="1"/>
  <c r="F77" i="3" s="1"/>
  <c r="G77" i="3" s="1"/>
  <c r="H77" i="3" s="1"/>
  <c r="I77" i="3" s="1"/>
  <c r="J77" i="3" s="1"/>
  <c r="AZ8" i="3"/>
  <c r="M73" i="17"/>
  <c r="D73" i="17"/>
  <c r="M72" i="17"/>
  <c r="M71" i="17"/>
  <c r="D71" i="17" s="1"/>
  <c r="C71" i="17" s="1"/>
  <c r="E71" i="17"/>
  <c r="F71" i="17"/>
  <c r="G71" i="17"/>
  <c r="H71" i="17"/>
  <c r="I71" i="17"/>
  <c r="J71" i="17"/>
  <c r="M69" i="17"/>
  <c r="M70" i="17" s="1"/>
  <c r="L70" i="3"/>
  <c r="D70" i="3"/>
  <c r="E70" i="3"/>
  <c r="F70" i="3"/>
  <c r="G70" i="3"/>
  <c r="H70" i="3"/>
  <c r="I70" i="3"/>
  <c r="J70" i="3"/>
  <c r="K70" i="3"/>
  <c r="C70" i="3"/>
  <c r="B65" i="3"/>
  <c r="B66" i="3"/>
  <c r="B67" i="3"/>
  <c r="B68" i="3"/>
  <c r="B69" i="3"/>
  <c r="B64" i="3"/>
  <c r="M62" i="17"/>
  <c r="M63" i="17" s="1"/>
  <c r="M64" i="17" s="1"/>
  <c r="M65" i="17" s="1"/>
  <c r="M66" i="17" s="1"/>
  <c r="M67" i="17" s="1"/>
  <c r="M68" i="17" s="1"/>
  <c r="M61" i="17"/>
  <c r="D60" i="17"/>
  <c r="M59" i="17"/>
  <c r="M53" i="17"/>
  <c r="M54" i="17" s="1"/>
  <c r="M55" i="17" s="1"/>
  <c r="M56" i="17" s="1"/>
  <c r="M57" i="17" s="1"/>
  <c r="M52" i="17"/>
  <c r="M51" i="17"/>
  <c r="M50" i="17"/>
  <c r="M42" i="17"/>
  <c r="M43" i="17" s="1"/>
  <c r="M44" i="17" s="1"/>
  <c r="M45" i="17" s="1"/>
  <c r="M46" i="17" s="1"/>
  <c r="M47" i="17" s="1"/>
  <c r="T20" i="17"/>
  <c r="O13" i="17" s="1"/>
  <c r="E29" i="17"/>
  <c r="F29" i="17"/>
  <c r="G29" i="17"/>
  <c r="H29" i="17"/>
  <c r="I29" i="17"/>
  <c r="J29" i="17"/>
  <c r="O8" i="3"/>
  <c r="J91" i="17"/>
  <c r="I91" i="17"/>
  <c r="H91" i="17"/>
  <c r="G91" i="17"/>
  <c r="F91" i="17"/>
  <c r="E91" i="17"/>
  <c r="D91" i="17"/>
  <c r="C91" i="17" s="1"/>
  <c r="J90" i="17"/>
  <c r="I90" i="17"/>
  <c r="H90" i="17"/>
  <c r="G90" i="17"/>
  <c r="F90" i="17"/>
  <c r="E90" i="17"/>
  <c r="D90" i="17"/>
  <c r="C90" i="17" s="1"/>
  <c r="J89" i="17"/>
  <c r="I89" i="17"/>
  <c r="H89" i="17"/>
  <c r="G89" i="17"/>
  <c r="F89" i="17"/>
  <c r="E89" i="17"/>
  <c r="D89" i="17"/>
  <c r="C89" i="17" s="1"/>
  <c r="J88" i="17"/>
  <c r="I88" i="17"/>
  <c r="H88" i="17"/>
  <c r="G88" i="17"/>
  <c r="F88" i="17"/>
  <c r="E88" i="17"/>
  <c r="D88" i="17"/>
  <c r="C88" i="17" s="1"/>
  <c r="J87" i="17"/>
  <c r="I87" i="17"/>
  <c r="H87" i="17"/>
  <c r="G87" i="17"/>
  <c r="F87" i="17"/>
  <c r="E87" i="17"/>
  <c r="D87" i="17"/>
  <c r="C87" i="17" s="1"/>
  <c r="J86" i="17"/>
  <c r="I86" i="17"/>
  <c r="H86" i="17"/>
  <c r="G86" i="17"/>
  <c r="F86" i="17"/>
  <c r="E86" i="17"/>
  <c r="D86" i="17"/>
  <c r="C86" i="17" s="1"/>
  <c r="J85" i="17"/>
  <c r="I85" i="17"/>
  <c r="H85" i="17"/>
  <c r="G85" i="17"/>
  <c r="F85" i="17"/>
  <c r="E85" i="17"/>
  <c r="D85" i="17"/>
  <c r="C85" i="17" s="1"/>
  <c r="J84" i="17"/>
  <c r="I84" i="17"/>
  <c r="H84" i="17"/>
  <c r="G84" i="17"/>
  <c r="F84" i="17"/>
  <c r="E84" i="17"/>
  <c r="D84" i="17"/>
  <c r="C84" i="17" s="1"/>
  <c r="J83" i="17"/>
  <c r="I83" i="17"/>
  <c r="H83" i="17"/>
  <c r="G83" i="17"/>
  <c r="F83" i="17"/>
  <c r="E83" i="17"/>
  <c r="D83" i="17"/>
  <c r="C83" i="17" s="1"/>
  <c r="J82" i="17"/>
  <c r="I82" i="17"/>
  <c r="H82" i="17"/>
  <c r="G82" i="17"/>
  <c r="F82" i="17"/>
  <c r="E82" i="17"/>
  <c r="D82" i="17"/>
  <c r="C82" i="17" s="1"/>
  <c r="J81" i="17"/>
  <c r="I81" i="17"/>
  <c r="H81" i="17"/>
  <c r="G81" i="17"/>
  <c r="F81" i="17"/>
  <c r="E81" i="17"/>
  <c r="D81" i="17"/>
  <c r="C81" i="17" s="1"/>
  <c r="J80" i="17"/>
  <c r="I80" i="17"/>
  <c r="H80" i="17"/>
  <c r="G80" i="17"/>
  <c r="F80" i="17"/>
  <c r="E80" i="17"/>
  <c r="D80" i="17"/>
  <c r="C80" i="17" s="1"/>
  <c r="J79" i="17"/>
  <c r="I79" i="17"/>
  <c r="H79" i="17"/>
  <c r="G79" i="17"/>
  <c r="F79" i="17"/>
  <c r="E79" i="17"/>
  <c r="D79" i="17"/>
  <c r="C79" i="17" s="1"/>
  <c r="J78" i="17"/>
  <c r="I78" i="17"/>
  <c r="H78" i="17"/>
  <c r="G78" i="17"/>
  <c r="F78" i="17"/>
  <c r="E78" i="17"/>
  <c r="D78" i="17"/>
  <c r="C78" i="17" s="1"/>
  <c r="J77" i="17"/>
  <c r="I77" i="17"/>
  <c r="H77" i="17"/>
  <c r="G77" i="17"/>
  <c r="F77" i="17"/>
  <c r="E77" i="17"/>
  <c r="D77" i="17"/>
  <c r="C77" i="17" s="1"/>
  <c r="J76" i="17"/>
  <c r="I76" i="17"/>
  <c r="H76" i="17"/>
  <c r="G76" i="17"/>
  <c r="F76" i="17"/>
  <c r="E76" i="17"/>
  <c r="D76" i="17"/>
  <c r="C76" i="17" s="1"/>
  <c r="J75" i="17"/>
  <c r="I75" i="17"/>
  <c r="H75" i="17"/>
  <c r="G75" i="17"/>
  <c r="F75" i="17"/>
  <c r="E75" i="17"/>
  <c r="D75" i="17"/>
  <c r="C75" i="17" s="1"/>
  <c r="J74" i="17"/>
  <c r="I74" i="17"/>
  <c r="H74" i="17"/>
  <c r="G74" i="17"/>
  <c r="F74" i="17"/>
  <c r="E74" i="17"/>
  <c r="D74" i="17"/>
  <c r="C74" i="17" s="1"/>
  <c r="J73" i="17"/>
  <c r="I73" i="17"/>
  <c r="H73" i="17"/>
  <c r="G73" i="17"/>
  <c r="F73" i="17"/>
  <c r="E73" i="17"/>
  <c r="J72" i="17"/>
  <c r="I72" i="17"/>
  <c r="H72" i="17"/>
  <c r="G72" i="17"/>
  <c r="F72" i="17"/>
  <c r="E72" i="17"/>
  <c r="J70" i="17"/>
  <c r="I70" i="17"/>
  <c r="H70" i="17"/>
  <c r="G70" i="17"/>
  <c r="F70" i="17"/>
  <c r="E70" i="17"/>
  <c r="J69" i="17"/>
  <c r="I69" i="17"/>
  <c r="H69" i="17"/>
  <c r="G69" i="17"/>
  <c r="F69" i="17"/>
  <c r="E69" i="17"/>
  <c r="J68" i="17"/>
  <c r="I68" i="17"/>
  <c r="H68" i="17"/>
  <c r="G68" i="17"/>
  <c r="F68" i="17"/>
  <c r="E68" i="17"/>
  <c r="J67" i="17"/>
  <c r="I67" i="17"/>
  <c r="H67" i="17"/>
  <c r="G67" i="17"/>
  <c r="F67" i="17"/>
  <c r="E67" i="17"/>
  <c r="J66" i="17"/>
  <c r="I66" i="17"/>
  <c r="H66" i="17"/>
  <c r="G66" i="17"/>
  <c r="F66" i="17"/>
  <c r="E66" i="17"/>
  <c r="J64" i="17"/>
  <c r="I64" i="17"/>
  <c r="H64" i="17"/>
  <c r="G64" i="17"/>
  <c r="F64" i="17"/>
  <c r="E64" i="17"/>
  <c r="J62" i="17"/>
  <c r="I62" i="17"/>
  <c r="H62" i="17"/>
  <c r="G62" i="17"/>
  <c r="F62" i="17"/>
  <c r="E62" i="17"/>
  <c r="J61" i="17"/>
  <c r="I61" i="17"/>
  <c r="H61" i="17"/>
  <c r="G61" i="17"/>
  <c r="F61" i="17"/>
  <c r="E61" i="17"/>
  <c r="J60" i="17"/>
  <c r="I60" i="17"/>
  <c r="H60" i="17"/>
  <c r="G60" i="17"/>
  <c r="F60" i="17"/>
  <c r="E60" i="17"/>
  <c r="J58" i="17"/>
  <c r="I58" i="17"/>
  <c r="H58" i="17"/>
  <c r="G58" i="17"/>
  <c r="F58" i="17"/>
  <c r="E58" i="17"/>
  <c r="J57" i="17"/>
  <c r="I57" i="17"/>
  <c r="H57" i="17"/>
  <c r="G57" i="17"/>
  <c r="F57" i="17"/>
  <c r="E57" i="17"/>
  <c r="J56" i="17"/>
  <c r="I56" i="17"/>
  <c r="H56" i="17"/>
  <c r="G56" i="17"/>
  <c r="F56" i="17"/>
  <c r="E56" i="17"/>
  <c r="J55" i="17"/>
  <c r="I55" i="17"/>
  <c r="H55" i="17"/>
  <c r="G55" i="17"/>
  <c r="F55" i="17"/>
  <c r="E55" i="17"/>
  <c r="J54" i="17"/>
  <c r="I54" i="17"/>
  <c r="H54" i="17"/>
  <c r="G54" i="17"/>
  <c r="F54" i="17"/>
  <c r="E54" i="17"/>
  <c r="J53" i="17"/>
  <c r="I53" i="17"/>
  <c r="H53" i="17"/>
  <c r="G53" i="17"/>
  <c r="F53" i="17"/>
  <c r="E53" i="17"/>
  <c r="J52" i="17"/>
  <c r="I52" i="17"/>
  <c r="H52" i="17"/>
  <c r="G52" i="17"/>
  <c r="F52" i="17"/>
  <c r="E52" i="17"/>
  <c r="J51" i="17"/>
  <c r="I51" i="17"/>
  <c r="H51" i="17"/>
  <c r="G51" i="17"/>
  <c r="F51" i="17"/>
  <c r="E51" i="17"/>
  <c r="J50" i="17"/>
  <c r="I50" i="17"/>
  <c r="H50" i="17"/>
  <c r="G50" i="17"/>
  <c r="F50" i="17"/>
  <c r="E50" i="17"/>
  <c r="J49" i="17"/>
  <c r="I49" i="17"/>
  <c r="H49" i="17"/>
  <c r="G49" i="17"/>
  <c r="F49" i="17"/>
  <c r="E49" i="17"/>
  <c r="J47" i="17"/>
  <c r="I47" i="17"/>
  <c r="H47" i="17"/>
  <c r="G47" i="17"/>
  <c r="F47" i="17"/>
  <c r="E47" i="17"/>
  <c r="J46" i="17"/>
  <c r="I46" i="17"/>
  <c r="H46" i="17"/>
  <c r="G46" i="17"/>
  <c r="F46" i="17"/>
  <c r="E46" i="17"/>
  <c r="J45" i="17"/>
  <c r="I45" i="17"/>
  <c r="H45" i="17"/>
  <c r="G45" i="17"/>
  <c r="F45" i="17"/>
  <c r="E45" i="17"/>
  <c r="J44" i="17"/>
  <c r="I44" i="17"/>
  <c r="H44" i="17"/>
  <c r="G44" i="17"/>
  <c r="F44" i="17"/>
  <c r="E44" i="17"/>
  <c r="J43" i="17"/>
  <c r="I43" i="17"/>
  <c r="H43" i="17"/>
  <c r="G43" i="17"/>
  <c r="F43" i="17"/>
  <c r="E43" i="17"/>
  <c r="J42" i="17"/>
  <c r="I42" i="17"/>
  <c r="H42" i="17"/>
  <c r="G42" i="17"/>
  <c r="F42" i="17"/>
  <c r="E42" i="17"/>
  <c r="AD41" i="17"/>
  <c r="AD40" i="17"/>
  <c r="J40" i="17"/>
  <c r="I40" i="17"/>
  <c r="H40" i="17"/>
  <c r="G40" i="17"/>
  <c r="F40" i="17"/>
  <c r="E40" i="17"/>
  <c r="AD39" i="17"/>
  <c r="J39" i="17"/>
  <c r="I39" i="17"/>
  <c r="H39" i="17"/>
  <c r="G39" i="17"/>
  <c r="F39" i="17"/>
  <c r="E39" i="17"/>
  <c r="AD38" i="17"/>
  <c r="J38" i="17"/>
  <c r="I38" i="17"/>
  <c r="H38" i="17"/>
  <c r="G38" i="17"/>
  <c r="F38" i="17"/>
  <c r="E38" i="17"/>
  <c r="AD37" i="17"/>
  <c r="J37" i="17"/>
  <c r="I37" i="17"/>
  <c r="H37" i="17"/>
  <c r="G37" i="17"/>
  <c r="F37" i="17"/>
  <c r="E37" i="17"/>
  <c r="J36" i="17"/>
  <c r="I36" i="17"/>
  <c r="H36" i="17"/>
  <c r="G36" i="17"/>
  <c r="F36" i="17"/>
  <c r="E36" i="17"/>
  <c r="J34" i="17"/>
  <c r="I34" i="17"/>
  <c r="H34" i="17"/>
  <c r="G34" i="17"/>
  <c r="F34" i="17"/>
  <c r="E34" i="17"/>
  <c r="J33" i="17"/>
  <c r="I33" i="17"/>
  <c r="H33" i="17"/>
  <c r="G33" i="17"/>
  <c r="F33" i="17"/>
  <c r="E33" i="17"/>
  <c r="J32" i="17"/>
  <c r="I32" i="17"/>
  <c r="H32" i="17"/>
  <c r="G32" i="17"/>
  <c r="F32" i="17"/>
  <c r="E32" i="17"/>
  <c r="J31" i="17"/>
  <c r="I31" i="17"/>
  <c r="H31" i="17"/>
  <c r="G31" i="17"/>
  <c r="F31" i="17"/>
  <c r="E31" i="17"/>
  <c r="J30" i="17"/>
  <c r="I30" i="17"/>
  <c r="H30" i="17"/>
  <c r="G30" i="17"/>
  <c r="F30" i="17"/>
  <c r="E30" i="17"/>
  <c r="J28" i="17"/>
  <c r="I28" i="17"/>
  <c r="H28" i="17"/>
  <c r="G28" i="17"/>
  <c r="F28" i="17"/>
  <c r="E28" i="17"/>
  <c r="J27" i="17"/>
  <c r="I27" i="17"/>
  <c r="H27" i="17"/>
  <c r="G27" i="17"/>
  <c r="F27" i="17"/>
  <c r="E27" i="17"/>
  <c r="J26" i="17"/>
  <c r="I26" i="17"/>
  <c r="H26" i="17"/>
  <c r="G26" i="17"/>
  <c r="F26" i="17"/>
  <c r="E26" i="17"/>
  <c r="M25" i="17"/>
  <c r="D25" i="17" s="1"/>
  <c r="J25" i="17"/>
  <c r="I25" i="17"/>
  <c r="H25" i="17"/>
  <c r="G25" i="17"/>
  <c r="F25" i="17"/>
  <c r="E25" i="17"/>
  <c r="S20" i="17"/>
  <c r="O10" i="17" s="1"/>
  <c r="R20" i="17"/>
  <c r="O8" i="17" s="1"/>
  <c r="Q20" i="17"/>
  <c r="O11" i="17" s="1"/>
  <c r="P20" i="17"/>
  <c r="O9" i="17" s="1"/>
  <c r="O20" i="17"/>
  <c r="O12" i="17" s="1"/>
  <c r="C13" i="17"/>
  <c r="C12" i="17"/>
  <c r="C11" i="17"/>
  <c r="C10" i="17"/>
  <c r="C9" i="17"/>
  <c r="C8" i="17"/>
  <c r="E76" i="16"/>
  <c r="M73" i="16"/>
  <c r="B5" i="4"/>
  <c r="M51" i="16"/>
  <c r="M52" i="16" s="1"/>
  <c r="D50" i="16"/>
  <c r="C50" i="16" s="1"/>
  <c r="M46" i="16"/>
  <c r="M47" i="16" s="1"/>
  <c r="S10" i="3"/>
  <c r="M41" i="16"/>
  <c r="M42" i="16" s="1"/>
  <c r="E39" i="16"/>
  <c r="F39" i="16"/>
  <c r="G39" i="16"/>
  <c r="H39" i="16"/>
  <c r="I39" i="16"/>
  <c r="J39" i="16"/>
  <c r="M25" i="16"/>
  <c r="M32" i="16"/>
  <c r="M33" i="16" s="1"/>
  <c r="D46" i="16"/>
  <c r="C46" i="16" s="1"/>
  <c r="E46" i="16"/>
  <c r="F46" i="16"/>
  <c r="G46" i="16"/>
  <c r="H46" i="16"/>
  <c r="I46" i="16"/>
  <c r="J46" i="16"/>
  <c r="E47" i="16"/>
  <c r="F47" i="16"/>
  <c r="G47" i="16"/>
  <c r="H47" i="16"/>
  <c r="I47" i="16"/>
  <c r="J47" i="16"/>
  <c r="E48" i="16"/>
  <c r="F48" i="16"/>
  <c r="G48" i="16"/>
  <c r="H48" i="16"/>
  <c r="I48" i="16"/>
  <c r="J48" i="16"/>
  <c r="E50" i="16"/>
  <c r="F50" i="16"/>
  <c r="G50" i="16"/>
  <c r="H50" i="16"/>
  <c r="I50" i="16"/>
  <c r="J50" i="16"/>
  <c r="E51" i="16"/>
  <c r="F51" i="16"/>
  <c r="G51" i="16"/>
  <c r="H51" i="16"/>
  <c r="I51" i="16"/>
  <c r="J51" i="16"/>
  <c r="E52" i="16"/>
  <c r="F52" i="16"/>
  <c r="G52" i="16"/>
  <c r="H52" i="16"/>
  <c r="I52" i="16"/>
  <c r="J52" i="16"/>
  <c r="E53" i="16"/>
  <c r="F53" i="16"/>
  <c r="G53" i="16"/>
  <c r="H53" i="16"/>
  <c r="I53" i="16"/>
  <c r="J53" i="16"/>
  <c r="E54" i="16"/>
  <c r="F54" i="16"/>
  <c r="G54" i="16"/>
  <c r="H54" i="16"/>
  <c r="I54" i="16"/>
  <c r="J54" i="16"/>
  <c r="E55" i="16"/>
  <c r="F55" i="16"/>
  <c r="G55" i="16"/>
  <c r="H55" i="16"/>
  <c r="I55" i="16"/>
  <c r="J55" i="16"/>
  <c r="E56" i="16"/>
  <c r="F56" i="16"/>
  <c r="G56" i="16"/>
  <c r="H56" i="16"/>
  <c r="I56" i="16"/>
  <c r="J56" i="16"/>
  <c r="E57" i="16"/>
  <c r="F57" i="16"/>
  <c r="G57" i="16"/>
  <c r="H57" i="16"/>
  <c r="I57" i="16"/>
  <c r="J57" i="16"/>
  <c r="E58" i="16"/>
  <c r="F58" i="16"/>
  <c r="G58" i="16"/>
  <c r="H58" i="16"/>
  <c r="I58" i="16"/>
  <c r="J58" i="16"/>
  <c r="E59" i="16"/>
  <c r="F59" i="16"/>
  <c r="G59" i="16"/>
  <c r="H59" i="16"/>
  <c r="I59" i="16"/>
  <c r="J59" i="16"/>
  <c r="E61" i="16"/>
  <c r="F61" i="16"/>
  <c r="G61" i="16"/>
  <c r="H61" i="16"/>
  <c r="I61" i="16"/>
  <c r="J61" i="16"/>
  <c r="E62" i="16"/>
  <c r="F62" i="16"/>
  <c r="G62" i="16"/>
  <c r="H62" i="16"/>
  <c r="I62" i="16"/>
  <c r="J62" i="16"/>
  <c r="E63" i="16"/>
  <c r="F63" i="16"/>
  <c r="G63" i="16"/>
  <c r="H63" i="16"/>
  <c r="I63" i="16"/>
  <c r="J63" i="16"/>
  <c r="E64" i="16"/>
  <c r="F64" i="16"/>
  <c r="G64" i="16"/>
  <c r="H64" i="16"/>
  <c r="I64" i="16"/>
  <c r="J64" i="16"/>
  <c r="E65" i="16"/>
  <c r="F65" i="16"/>
  <c r="G65" i="16"/>
  <c r="H65" i="16"/>
  <c r="I65" i="16"/>
  <c r="J65" i="16"/>
  <c r="E66" i="16"/>
  <c r="F66" i="16"/>
  <c r="G66" i="16"/>
  <c r="H66" i="16"/>
  <c r="I66" i="16"/>
  <c r="J66" i="16"/>
  <c r="E67" i="16"/>
  <c r="F67" i="16"/>
  <c r="G67" i="16"/>
  <c r="H67" i="16"/>
  <c r="I67" i="16"/>
  <c r="J67" i="16"/>
  <c r="E68" i="16"/>
  <c r="F68" i="16"/>
  <c r="G68" i="16"/>
  <c r="H68" i="16"/>
  <c r="I68" i="16"/>
  <c r="J68" i="16"/>
  <c r="E69" i="16"/>
  <c r="F69" i="16"/>
  <c r="G69" i="16"/>
  <c r="H69" i="16"/>
  <c r="I69" i="16"/>
  <c r="J69" i="16"/>
  <c r="E70" i="16"/>
  <c r="F70" i="16"/>
  <c r="G70" i="16"/>
  <c r="H70" i="16"/>
  <c r="I70" i="16"/>
  <c r="J70" i="16"/>
  <c r="E71" i="16"/>
  <c r="F71" i="16"/>
  <c r="G71" i="16"/>
  <c r="H71" i="16"/>
  <c r="I71" i="16"/>
  <c r="J71" i="16"/>
  <c r="E72" i="16"/>
  <c r="F72" i="16"/>
  <c r="G72" i="16"/>
  <c r="H72" i="16"/>
  <c r="I72" i="16"/>
  <c r="J72" i="16"/>
  <c r="E74" i="16"/>
  <c r="F74" i="16"/>
  <c r="G74" i="16"/>
  <c r="H74" i="16"/>
  <c r="I74" i="16"/>
  <c r="J74" i="16"/>
  <c r="E75" i="16"/>
  <c r="F75" i="16"/>
  <c r="G75" i="16"/>
  <c r="H75" i="16"/>
  <c r="I75" i="16"/>
  <c r="J75" i="16"/>
  <c r="F76" i="16"/>
  <c r="G76" i="16"/>
  <c r="H76" i="16"/>
  <c r="I76" i="16"/>
  <c r="J76" i="16"/>
  <c r="E77" i="16"/>
  <c r="F77" i="16"/>
  <c r="G77" i="16"/>
  <c r="H77" i="16"/>
  <c r="I77" i="16"/>
  <c r="J77" i="16"/>
  <c r="E78" i="16"/>
  <c r="F78" i="16"/>
  <c r="G78" i="16"/>
  <c r="H78" i="16"/>
  <c r="I78" i="16"/>
  <c r="J78" i="16"/>
  <c r="D79" i="16"/>
  <c r="C79" i="16" s="1"/>
  <c r="E79" i="16"/>
  <c r="F79" i="16"/>
  <c r="G79" i="16"/>
  <c r="H79" i="16"/>
  <c r="I79" i="16"/>
  <c r="J79" i="16"/>
  <c r="D80" i="16"/>
  <c r="C80" i="16" s="1"/>
  <c r="E80" i="16"/>
  <c r="F80" i="16"/>
  <c r="G80" i="16"/>
  <c r="H80" i="16"/>
  <c r="I80" i="16"/>
  <c r="J80" i="16"/>
  <c r="D81" i="16"/>
  <c r="C81" i="16" s="1"/>
  <c r="E81" i="16"/>
  <c r="F81" i="16"/>
  <c r="G81" i="16"/>
  <c r="H81" i="16"/>
  <c r="I81" i="16"/>
  <c r="J81" i="16"/>
  <c r="D82" i="16"/>
  <c r="C82" i="16" s="1"/>
  <c r="E82" i="16"/>
  <c r="F82" i="16"/>
  <c r="G82" i="16"/>
  <c r="H82" i="16"/>
  <c r="I82" i="16"/>
  <c r="J82" i="16"/>
  <c r="D83" i="16"/>
  <c r="C83" i="16" s="1"/>
  <c r="E83" i="16"/>
  <c r="F83" i="16"/>
  <c r="G83" i="16"/>
  <c r="H83" i="16"/>
  <c r="I83" i="16"/>
  <c r="J83" i="16"/>
  <c r="D84" i="16"/>
  <c r="C84" i="16" s="1"/>
  <c r="E84" i="16"/>
  <c r="F84" i="16"/>
  <c r="G84" i="16"/>
  <c r="H84" i="16"/>
  <c r="I84" i="16"/>
  <c r="J84" i="16"/>
  <c r="D85" i="16"/>
  <c r="C85" i="16" s="1"/>
  <c r="E85" i="16"/>
  <c r="F85" i="16"/>
  <c r="G85" i="16"/>
  <c r="H85" i="16"/>
  <c r="I85" i="16"/>
  <c r="J85" i="16"/>
  <c r="D86" i="16"/>
  <c r="C86" i="16" s="1"/>
  <c r="E86" i="16"/>
  <c r="F86" i="16"/>
  <c r="G86" i="16"/>
  <c r="H86" i="16"/>
  <c r="I86" i="16"/>
  <c r="J86" i="16"/>
  <c r="D87" i="16"/>
  <c r="C87" i="16" s="1"/>
  <c r="E87" i="16"/>
  <c r="F87" i="16"/>
  <c r="G87" i="16"/>
  <c r="H87" i="16"/>
  <c r="I87" i="16"/>
  <c r="J87" i="16"/>
  <c r="D88" i="16"/>
  <c r="C88" i="16" s="1"/>
  <c r="E88" i="16"/>
  <c r="F88" i="16"/>
  <c r="G88" i="16"/>
  <c r="H88" i="16"/>
  <c r="I88" i="16"/>
  <c r="J88" i="16"/>
  <c r="D89" i="16"/>
  <c r="C89" i="16" s="1"/>
  <c r="E89" i="16"/>
  <c r="F89" i="16"/>
  <c r="G89" i="16"/>
  <c r="H89" i="16"/>
  <c r="I89" i="16"/>
  <c r="J89" i="16"/>
  <c r="D90" i="16"/>
  <c r="C90" i="16" s="1"/>
  <c r="E90" i="16"/>
  <c r="F90" i="16"/>
  <c r="G90" i="16"/>
  <c r="H90" i="16"/>
  <c r="I90" i="16"/>
  <c r="J90" i="16"/>
  <c r="D91" i="16"/>
  <c r="C91" i="16" s="1"/>
  <c r="E91" i="16"/>
  <c r="F91" i="16"/>
  <c r="G91" i="16"/>
  <c r="H91" i="16"/>
  <c r="I91" i="16"/>
  <c r="J91" i="16"/>
  <c r="D92" i="16"/>
  <c r="C92" i="16" s="1"/>
  <c r="E92" i="16"/>
  <c r="F92" i="16"/>
  <c r="G92" i="16"/>
  <c r="H92" i="16"/>
  <c r="I92" i="16"/>
  <c r="J92" i="16"/>
  <c r="E27" i="16"/>
  <c r="F27" i="16"/>
  <c r="G27" i="16"/>
  <c r="H27" i="16"/>
  <c r="I27" i="16"/>
  <c r="J27" i="16"/>
  <c r="E28" i="16"/>
  <c r="F28" i="16"/>
  <c r="G28" i="16"/>
  <c r="H28" i="16"/>
  <c r="I28" i="16"/>
  <c r="J28" i="16"/>
  <c r="E29" i="16"/>
  <c r="F29" i="16"/>
  <c r="G29" i="16"/>
  <c r="H29" i="16"/>
  <c r="I29" i="16"/>
  <c r="J29" i="16"/>
  <c r="E30" i="16"/>
  <c r="F30" i="16"/>
  <c r="G30" i="16"/>
  <c r="H30" i="16"/>
  <c r="I30" i="16"/>
  <c r="J30" i="16"/>
  <c r="E31" i="16"/>
  <c r="F31" i="16"/>
  <c r="G31" i="16"/>
  <c r="H31" i="16"/>
  <c r="I31" i="16"/>
  <c r="J31" i="16"/>
  <c r="E32" i="16"/>
  <c r="F32" i="16"/>
  <c r="G32" i="16"/>
  <c r="H32" i="16"/>
  <c r="I32" i="16"/>
  <c r="J32" i="16"/>
  <c r="E33" i="16"/>
  <c r="F33" i="16"/>
  <c r="G33" i="16"/>
  <c r="H33" i="16"/>
  <c r="I33" i="16"/>
  <c r="J33" i="16"/>
  <c r="E34" i="16"/>
  <c r="F34" i="16"/>
  <c r="G34" i="16"/>
  <c r="H34" i="16"/>
  <c r="I34" i="16"/>
  <c r="J34" i="16"/>
  <c r="E35" i="16"/>
  <c r="F35" i="16"/>
  <c r="G35" i="16"/>
  <c r="H35" i="16"/>
  <c r="I35" i="16"/>
  <c r="J35" i="16"/>
  <c r="E36" i="16"/>
  <c r="F36" i="16"/>
  <c r="G36" i="16"/>
  <c r="H36" i="16"/>
  <c r="I36" i="16"/>
  <c r="J36" i="16"/>
  <c r="E37" i="16"/>
  <c r="F37" i="16"/>
  <c r="G37" i="16"/>
  <c r="H37" i="16"/>
  <c r="I37" i="16"/>
  <c r="J37" i="16"/>
  <c r="D39" i="16"/>
  <c r="C39" i="16" s="1"/>
  <c r="D40" i="16"/>
  <c r="C40" i="16" s="1"/>
  <c r="E40" i="16"/>
  <c r="F40" i="16"/>
  <c r="G40" i="16"/>
  <c r="H40" i="16"/>
  <c r="I40" i="16"/>
  <c r="J40" i="16"/>
  <c r="E41" i="16"/>
  <c r="F41" i="16"/>
  <c r="G41" i="16"/>
  <c r="H41" i="16"/>
  <c r="I41" i="16"/>
  <c r="J41" i="16"/>
  <c r="E42" i="16"/>
  <c r="F42" i="16"/>
  <c r="G42" i="16"/>
  <c r="H42" i="16"/>
  <c r="I42" i="16"/>
  <c r="J42" i="16"/>
  <c r="E43" i="16"/>
  <c r="F43" i="16"/>
  <c r="G43" i="16"/>
  <c r="H43" i="16"/>
  <c r="I43" i="16"/>
  <c r="J43" i="16"/>
  <c r="E45" i="16"/>
  <c r="F45" i="16"/>
  <c r="G45" i="16"/>
  <c r="H45" i="16"/>
  <c r="I45" i="16"/>
  <c r="J45" i="16"/>
  <c r="AC26" i="16"/>
  <c r="AC27" i="16"/>
  <c r="AC28" i="16"/>
  <c r="AC29" i="16"/>
  <c r="AC30" i="16"/>
  <c r="AC25" i="16"/>
  <c r="AB32" i="16"/>
  <c r="AW7" i="3"/>
  <c r="AV5" i="3"/>
  <c r="AA31" i="16"/>
  <c r="AC31" i="16" s="1"/>
  <c r="E25" i="16"/>
  <c r="F25" i="16"/>
  <c r="G25" i="16"/>
  <c r="H25" i="16"/>
  <c r="J26" i="16"/>
  <c r="J96" i="16"/>
  <c r="I96" i="16"/>
  <c r="H96" i="16"/>
  <c r="G96" i="16"/>
  <c r="F96" i="16"/>
  <c r="E96" i="16"/>
  <c r="D96" i="16"/>
  <c r="C96" i="16"/>
  <c r="J95" i="16"/>
  <c r="I95" i="16"/>
  <c r="H95" i="16"/>
  <c r="G95" i="16"/>
  <c r="F95" i="16"/>
  <c r="E95" i="16"/>
  <c r="D95" i="16"/>
  <c r="C95" i="16"/>
  <c r="J94" i="16"/>
  <c r="I94" i="16"/>
  <c r="H94" i="16"/>
  <c r="G94" i="16"/>
  <c r="F94" i="16"/>
  <c r="E94" i="16"/>
  <c r="D94" i="16"/>
  <c r="C94" i="16"/>
  <c r="J93" i="16"/>
  <c r="I93" i="16"/>
  <c r="H93" i="16"/>
  <c r="G93" i="16"/>
  <c r="F93" i="16"/>
  <c r="E93" i="16"/>
  <c r="D93" i="16"/>
  <c r="C93" i="16"/>
  <c r="AD42" i="16"/>
  <c r="AD41" i="16"/>
  <c r="AD40" i="16"/>
  <c r="AD39" i="16"/>
  <c r="AD38" i="16"/>
  <c r="AD37" i="16"/>
  <c r="I26" i="16"/>
  <c r="H26" i="16"/>
  <c r="G26" i="16"/>
  <c r="F26" i="16"/>
  <c r="E26" i="16"/>
  <c r="D25" i="16"/>
  <c r="J25" i="16"/>
  <c r="I25" i="16"/>
  <c r="T20" i="16"/>
  <c r="O13" i="16" s="1"/>
  <c r="S20" i="16"/>
  <c r="O10" i="16" s="1"/>
  <c r="R20" i="16"/>
  <c r="O8" i="16" s="1"/>
  <c r="Q20" i="16"/>
  <c r="O11" i="16" s="1"/>
  <c r="P20" i="16"/>
  <c r="O9" i="16" s="1"/>
  <c r="O20" i="16"/>
  <c r="O12" i="16" s="1"/>
  <c r="C13" i="16"/>
  <c r="C12" i="16"/>
  <c r="C11" i="16"/>
  <c r="C10" i="16"/>
  <c r="C9" i="16"/>
  <c r="C8" i="16"/>
  <c r="T20" i="14"/>
  <c r="S20" i="14"/>
  <c r="R20" i="14"/>
  <c r="Q20" i="14"/>
  <c r="P20" i="14"/>
  <c r="O20" i="14"/>
  <c r="I20" i="18" l="1"/>
  <c r="S20" i="18"/>
  <c r="O10" i="18" s="1"/>
  <c r="R2" i="4"/>
  <c r="D44" i="18"/>
  <c r="C44" i="18" s="1"/>
  <c r="D41" i="18"/>
  <c r="C41" i="18" s="1"/>
  <c r="D43" i="18"/>
  <c r="C43" i="18" s="1"/>
  <c r="D42" i="18"/>
  <c r="C42" i="18" s="1"/>
  <c r="O12" i="18"/>
  <c r="AY2" i="3"/>
  <c r="E20" i="18"/>
  <c r="D8" i="18" s="1"/>
  <c r="AY5" i="3"/>
  <c r="AY6" i="3"/>
  <c r="AY7" i="3"/>
  <c r="F20" i="18"/>
  <c r="G20" i="18"/>
  <c r="AB5" i="3" s="1"/>
  <c r="H20" i="18"/>
  <c r="J20" i="18"/>
  <c r="D28" i="18"/>
  <c r="C28" i="18" s="1"/>
  <c r="D26" i="18"/>
  <c r="C26" i="18" s="1"/>
  <c r="E20" i="17"/>
  <c r="B70" i="3"/>
  <c r="D47" i="17"/>
  <c r="C47" i="17" s="1"/>
  <c r="M48" i="17"/>
  <c r="M26" i="17"/>
  <c r="M27" i="17" s="1"/>
  <c r="M28" i="17" s="1"/>
  <c r="M29" i="17" s="1"/>
  <c r="O16" i="17"/>
  <c r="W16" i="17" s="1"/>
  <c r="W15" i="17" s="1"/>
  <c r="G20" i="17"/>
  <c r="AA5" i="3" s="1"/>
  <c r="F20" i="17"/>
  <c r="AA6" i="3" s="1"/>
  <c r="AA4" i="3"/>
  <c r="D28" i="17"/>
  <c r="C28" i="17" s="1"/>
  <c r="H20" i="17"/>
  <c r="AA7" i="3" s="1"/>
  <c r="I20" i="17"/>
  <c r="AA3" i="3" s="1"/>
  <c r="J20" i="17"/>
  <c r="AA2" i="3" s="1"/>
  <c r="D49" i="17"/>
  <c r="C49" i="17" s="1"/>
  <c r="D43" i="17"/>
  <c r="C43" i="17" s="1"/>
  <c r="D42" i="17"/>
  <c r="C42" i="17" s="1"/>
  <c r="D45" i="17"/>
  <c r="C45" i="17" s="1"/>
  <c r="D44" i="17"/>
  <c r="C44" i="17" s="1"/>
  <c r="D47" i="16"/>
  <c r="C47" i="16" s="1"/>
  <c r="M48" i="16"/>
  <c r="D52" i="16"/>
  <c r="C52" i="16" s="1"/>
  <c r="M53" i="16"/>
  <c r="M43" i="16"/>
  <c r="D43" i="16" s="1"/>
  <c r="C43" i="16" s="1"/>
  <c r="D42" i="16"/>
  <c r="C42" i="16" s="1"/>
  <c r="D41" i="16"/>
  <c r="C41" i="16" s="1"/>
  <c r="D51" i="16"/>
  <c r="C51" i="16" s="1"/>
  <c r="D33" i="16"/>
  <c r="C33" i="16" s="1"/>
  <c r="M34" i="16"/>
  <c r="AA32" i="16"/>
  <c r="H20" i="16"/>
  <c r="Z7" i="3" s="1"/>
  <c r="G20" i="16"/>
  <c r="Z5" i="3" s="1"/>
  <c r="E20" i="16"/>
  <c r="Z4" i="3" s="1"/>
  <c r="M26" i="16"/>
  <c r="M27" i="16" s="1"/>
  <c r="I20" i="16"/>
  <c r="Z3" i="3" s="1"/>
  <c r="F20" i="16"/>
  <c r="Z6" i="3" s="1"/>
  <c r="AW2" i="3"/>
  <c r="AW3" i="3"/>
  <c r="AW5" i="3"/>
  <c r="AW6" i="3"/>
  <c r="AW4" i="3"/>
  <c r="J20" i="16"/>
  <c r="Z2" i="3" s="1"/>
  <c r="O16" i="16"/>
  <c r="S16" i="14"/>
  <c r="D87" i="14"/>
  <c r="D88" i="14"/>
  <c r="D89" i="14"/>
  <c r="D90" i="14"/>
  <c r="D91" i="14"/>
  <c r="D92" i="14"/>
  <c r="D93" i="14"/>
  <c r="D94" i="14"/>
  <c r="E87" i="14"/>
  <c r="E88" i="14"/>
  <c r="E89" i="14"/>
  <c r="E83" i="14"/>
  <c r="AD31" i="14"/>
  <c r="AD39" i="14"/>
  <c r="AA37" i="14"/>
  <c r="AA39" i="14"/>
  <c r="AD40" i="14"/>
  <c r="AA40" i="14" s="1"/>
  <c r="AD41" i="14"/>
  <c r="AA41" i="14" s="1"/>
  <c r="AD42" i="14"/>
  <c r="AA42" i="14" s="1"/>
  <c r="AD37" i="14"/>
  <c r="AD38" i="14"/>
  <c r="AA38" i="14" s="1"/>
  <c r="D58" i="18" l="1"/>
  <c r="C58" i="18" s="1"/>
  <c r="AY3" i="3"/>
  <c r="AY9" i="3" s="1"/>
  <c r="O16" i="18"/>
  <c r="W16" i="18" s="1"/>
  <c r="T5" i="18" s="1"/>
  <c r="BT5" i="3"/>
  <c r="BO5" i="3"/>
  <c r="BU5" i="3"/>
  <c r="BP5" i="3"/>
  <c r="BV5" i="3"/>
  <c r="BQ5" i="3"/>
  <c r="BR5" i="3"/>
  <c r="BN5" i="3"/>
  <c r="BS5" i="3"/>
  <c r="D12" i="18"/>
  <c r="AB3" i="3"/>
  <c r="D10" i="18"/>
  <c r="AB2" i="3"/>
  <c r="AB7" i="3"/>
  <c r="D11" i="18"/>
  <c r="AB6" i="3"/>
  <c r="D9" i="18"/>
  <c r="AB4" i="3"/>
  <c r="D13" i="18"/>
  <c r="E17" i="18"/>
  <c r="F17" i="18"/>
  <c r="I17" i="18"/>
  <c r="H17" i="18"/>
  <c r="G17" i="18"/>
  <c r="J17" i="18"/>
  <c r="D29" i="18"/>
  <c r="C29" i="18" s="1"/>
  <c r="M30" i="17"/>
  <c r="D29" i="17"/>
  <c r="C29" i="17" s="1"/>
  <c r="AA10" i="3"/>
  <c r="AX9" i="3"/>
  <c r="AA9" i="3"/>
  <c r="J17" i="17"/>
  <c r="I17" i="17"/>
  <c r="G17" i="17"/>
  <c r="T5" i="17"/>
  <c r="F17" i="17"/>
  <c r="E17" i="17"/>
  <c r="H17" i="17"/>
  <c r="D50" i="17"/>
  <c r="C50" i="17" s="1"/>
  <c r="D26" i="17"/>
  <c r="C26" i="17" s="1"/>
  <c r="D46" i="17"/>
  <c r="C46" i="17" s="1"/>
  <c r="D53" i="16"/>
  <c r="C53" i="16" s="1"/>
  <c r="M54" i="16"/>
  <c r="M45" i="16"/>
  <c r="D45" i="16" s="1"/>
  <c r="C45" i="16" s="1"/>
  <c r="M49" i="16"/>
  <c r="D48" i="16"/>
  <c r="C48" i="16" s="1"/>
  <c r="Z10" i="3"/>
  <c r="D26" i="16"/>
  <c r="C26" i="16" s="1"/>
  <c r="M35" i="16"/>
  <c r="D34" i="16"/>
  <c r="C34" i="16" s="1"/>
  <c r="AW9" i="3"/>
  <c r="E17" i="16"/>
  <c r="M28" i="16"/>
  <c r="D27" i="16"/>
  <c r="C27" i="16" s="1"/>
  <c r="F17" i="16"/>
  <c r="Z9" i="3"/>
  <c r="H17" i="16"/>
  <c r="I17" i="16"/>
  <c r="J17" i="16"/>
  <c r="G17" i="16"/>
  <c r="W16" i="16"/>
  <c r="T5" i="16" s="1"/>
  <c r="B399" i="9"/>
  <c r="F400" i="9"/>
  <c r="AD25" i="14"/>
  <c r="AE26" i="14"/>
  <c r="AE27" i="14"/>
  <c r="AE28" i="14"/>
  <c r="AE29" i="14"/>
  <c r="AE30" i="14"/>
  <c r="AE25" i="14"/>
  <c r="AD27" i="14"/>
  <c r="AB26" i="14"/>
  <c r="AB27" i="14" s="1"/>
  <c r="AB28" i="14" s="1"/>
  <c r="AB29" i="14" s="1"/>
  <c r="AB30" i="14" s="1"/>
  <c r="C388" i="9"/>
  <c r="A380" i="9"/>
  <c r="B380" i="9"/>
  <c r="C380" i="9"/>
  <c r="D380" i="9"/>
  <c r="E380" i="9"/>
  <c r="F380" i="9"/>
  <c r="G380" i="9"/>
  <c r="E82" i="14"/>
  <c r="B394" i="9" s="1"/>
  <c r="F82" i="14"/>
  <c r="C394" i="9" s="1"/>
  <c r="G82" i="14"/>
  <c r="D394" i="9" s="1"/>
  <c r="H82" i="14"/>
  <c r="E394" i="9" s="1"/>
  <c r="I82" i="14"/>
  <c r="F394" i="9" s="1"/>
  <c r="J82" i="14"/>
  <c r="G394" i="9" s="1"/>
  <c r="B395" i="9"/>
  <c r="F83" i="14"/>
  <c r="C395" i="9" s="1"/>
  <c r="G83" i="14"/>
  <c r="D395" i="9" s="1"/>
  <c r="H83" i="14"/>
  <c r="E395" i="9" s="1"/>
  <c r="I83" i="14"/>
  <c r="F395" i="9" s="1"/>
  <c r="J83" i="14"/>
  <c r="G395" i="9" s="1"/>
  <c r="E84" i="14"/>
  <c r="B396" i="9" s="1"/>
  <c r="F84" i="14"/>
  <c r="C396" i="9" s="1"/>
  <c r="G84" i="14"/>
  <c r="D396" i="9" s="1"/>
  <c r="H84" i="14"/>
  <c r="E396" i="9" s="1"/>
  <c r="I84" i="14"/>
  <c r="F396" i="9" s="1"/>
  <c r="J84" i="14"/>
  <c r="G396" i="9" s="1"/>
  <c r="E85" i="14"/>
  <c r="B397" i="9" s="1"/>
  <c r="F85" i="14"/>
  <c r="C397" i="9" s="1"/>
  <c r="G85" i="14"/>
  <c r="D397" i="9" s="1"/>
  <c r="H85" i="14"/>
  <c r="E397" i="9" s="1"/>
  <c r="I85" i="14"/>
  <c r="F397" i="9" s="1"/>
  <c r="J85" i="14"/>
  <c r="G397" i="9" s="1"/>
  <c r="B398" i="9"/>
  <c r="C398" i="9"/>
  <c r="D398" i="9"/>
  <c r="E398" i="9"/>
  <c r="F398" i="9"/>
  <c r="G398" i="9"/>
  <c r="F87" i="14"/>
  <c r="G87" i="14"/>
  <c r="H87" i="14"/>
  <c r="I87" i="14"/>
  <c r="J87" i="14"/>
  <c r="B400" i="9"/>
  <c r="F88" i="14"/>
  <c r="C400" i="9" s="1"/>
  <c r="G88" i="14"/>
  <c r="D400" i="9" s="1"/>
  <c r="H88" i="14"/>
  <c r="E400" i="9" s="1"/>
  <c r="I88" i="14"/>
  <c r="J88" i="14"/>
  <c r="G400" i="9" s="1"/>
  <c r="C89" i="14"/>
  <c r="B401" i="9"/>
  <c r="F89" i="14"/>
  <c r="C401" i="9" s="1"/>
  <c r="G89" i="14"/>
  <c r="D401" i="9" s="1"/>
  <c r="H89" i="14"/>
  <c r="E401" i="9" s="1"/>
  <c r="I89" i="14"/>
  <c r="F401" i="9" s="1"/>
  <c r="J89" i="14"/>
  <c r="G401" i="9" s="1"/>
  <c r="C90" i="14"/>
  <c r="E90" i="14"/>
  <c r="F90" i="14"/>
  <c r="C402" i="9" s="1"/>
  <c r="G90" i="14"/>
  <c r="D402" i="9" s="1"/>
  <c r="H90" i="14"/>
  <c r="E402" i="9" s="1"/>
  <c r="I90" i="14"/>
  <c r="F402" i="9" s="1"/>
  <c r="J90" i="14"/>
  <c r="G402" i="9" s="1"/>
  <c r="C91" i="14"/>
  <c r="E91" i="14"/>
  <c r="F91" i="14"/>
  <c r="G91" i="14"/>
  <c r="H91" i="14"/>
  <c r="I91" i="14"/>
  <c r="J91" i="14"/>
  <c r="C92" i="14"/>
  <c r="E92" i="14"/>
  <c r="F92" i="14"/>
  <c r="G92" i="14"/>
  <c r="H92" i="14"/>
  <c r="I92" i="14"/>
  <c r="J92" i="14"/>
  <c r="C93" i="14"/>
  <c r="E93" i="14"/>
  <c r="F93" i="14"/>
  <c r="G93" i="14"/>
  <c r="H93" i="14"/>
  <c r="I93" i="14"/>
  <c r="J93" i="14"/>
  <c r="C94" i="14"/>
  <c r="E94" i="14"/>
  <c r="F94" i="14"/>
  <c r="G94" i="14"/>
  <c r="H94" i="14"/>
  <c r="I94" i="14"/>
  <c r="J94" i="14"/>
  <c r="M72" i="14"/>
  <c r="M73" i="14" s="1"/>
  <c r="R9" i="3"/>
  <c r="M57" i="14"/>
  <c r="M58" i="14" s="1"/>
  <c r="D58" i="14" s="1"/>
  <c r="C58" i="14" s="1"/>
  <c r="C5" i="15"/>
  <c r="D5" i="15"/>
  <c r="E5" i="15"/>
  <c r="F5" i="15"/>
  <c r="G5" i="15"/>
  <c r="B5" i="15"/>
  <c r="C4" i="15"/>
  <c r="D4" i="15"/>
  <c r="E4" i="15"/>
  <c r="F4" i="15"/>
  <c r="G4" i="15"/>
  <c r="B4" i="15"/>
  <c r="AV4" i="3"/>
  <c r="O9" i="14"/>
  <c r="O11" i="14"/>
  <c r="AV7" i="3"/>
  <c r="O13" i="14"/>
  <c r="O10" i="14"/>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24" i="10"/>
  <c r="M43" i="14"/>
  <c r="M44" i="14" s="1"/>
  <c r="D44" i="14" s="1"/>
  <c r="K349" i="9"/>
  <c r="K350" i="9"/>
  <c r="K351" i="9"/>
  <c r="K352" i="9"/>
  <c r="K353" i="9"/>
  <c r="K354" i="9"/>
  <c r="K355" i="9"/>
  <c r="K356" i="9"/>
  <c r="K357" i="9"/>
  <c r="K358" i="9"/>
  <c r="K359" i="9"/>
  <c r="K360" i="9"/>
  <c r="K361" i="9"/>
  <c r="M38" i="14"/>
  <c r="M39" i="14" s="1"/>
  <c r="AD26" i="14"/>
  <c r="AD28" i="14"/>
  <c r="AD29" i="14"/>
  <c r="AD30" i="14"/>
  <c r="E74" i="14"/>
  <c r="B388" i="9" s="1"/>
  <c r="F74" i="14"/>
  <c r="G74" i="14"/>
  <c r="D388" i="9" s="1"/>
  <c r="H74" i="14"/>
  <c r="E388" i="9" s="1"/>
  <c r="I74" i="14"/>
  <c r="F388" i="9" s="1"/>
  <c r="J74" i="14"/>
  <c r="G388" i="9" s="1"/>
  <c r="E75" i="14"/>
  <c r="B389" i="9" s="1"/>
  <c r="F75" i="14"/>
  <c r="C389" i="9" s="1"/>
  <c r="G75" i="14"/>
  <c r="D389" i="9" s="1"/>
  <c r="H75" i="14"/>
  <c r="E389" i="9" s="1"/>
  <c r="I75" i="14"/>
  <c r="F389" i="9" s="1"/>
  <c r="J75" i="14"/>
  <c r="G389" i="9" s="1"/>
  <c r="E76" i="14"/>
  <c r="B390" i="9" s="1"/>
  <c r="F76" i="14"/>
  <c r="C390" i="9" s="1"/>
  <c r="G76" i="14"/>
  <c r="D390" i="9" s="1"/>
  <c r="H76" i="14"/>
  <c r="E390" i="9" s="1"/>
  <c r="I76" i="14"/>
  <c r="F390" i="9" s="1"/>
  <c r="J76" i="14"/>
  <c r="G390" i="9" s="1"/>
  <c r="E78" i="14"/>
  <c r="B391" i="9" s="1"/>
  <c r="F78" i="14"/>
  <c r="C391" i="9" s="1"/>
  <c r="G78" i="14"/>
  <c r="D391" i="9" s="1"/>
  <c r="H78" i="14"/>
  <c r="E391" i="9" s="1"/>
  <c r="I78" i="14"/>
  <c r="F391" i="9" s="1"/>
  <c r="J78" i="14"/>
  <c r="G391" i="9" s="1"/>
  <c r="E79" i="14"/>
  <c r="B392" i="9" s="1"/>
  <c r="F79" i="14"/>
  <c r="C392" i="9" s="1"/>
  <c r="G79" i="14"/>
  <c r="D392" i="9" s="1"/>
  <c r="H79" i="14"/>
  <c r="E392" i="9" s="1"/>
  <c r="I79" i="14"/>
  <c r="F392" i="9" s="1"/>
  <c r="J79" i="14"/>
  <c r="G392" i="9" s="1"/>
  <c r="E80" i="14"/>
  <c r="B393" i="9" s="1"/>
  <c r="F80" i="14"/>
  <c r="C393" i="9" s="1"/>
  <c r="G80" i="14"/>
  <c r="D393" i="9" s="1"/>
  <c r="H80" i="14"/>
  <c r="E393" i="9" s="1"/>
  <c r="I80" i="14"/>
  <c r="F393" i="9" s="1"/>
  <c r="J80" i="14"/>
  <c r="G393" i="9" s="1"/>
  <c r="E27" i="14"/>
  <c r="F27" i="14"/>
  <c r="G27" i="14"/>
  <c r="H27" i="14"/>
  <c r="I27" i="14"/>
  <c r="J27" i="14"/>
  <c r="E28" i="14"/>
  <c r="F28" i="14"/>
  <c r="G28" i="14"/>
  <c r="H28" i="14"/>
  <c r="I28" i="14"/>
  <c r="J28" i="14"/>
  <c r="E29" i="14"/>
  <c r="F29" i="14"/>
  <c r="G29" i="14"/>
  <c r="H29" i="14"/>
  <c r="I29" i="14"/>
  <c r="J29" i="14"/>
  <c r="D31" i="14"/>
  <c r="C31" i="14" s="1"/>
  <c r="E31" i="14"/>
  <c r="F31" i="14"/>
  <c r="G31" i="14"/>
  <c r="H31" i="14"/>
  <c r="I31" i="14"/>
  <c r="J31" i="14"/>
  <c r="D32" i="14"/>
  <c r="C32" i="14" s="1"/>
  <c r="E32" i="14"/>
  <c r="F32" i="14"/>
  <c r="G32" i="14"/>
  <c r="H32" i="14"/>
  <c r="I32" i="14"/>
  <c r="J32" i="14"/>
  <c r="D33" i="14"/>
  <c r="C33" i="14" s="1"/>
  <c r="E33" i="14"/>
  <c r="F33" i="14"/>
  <c r="G33" i="14"/>
  <c r="H33" i="14"/>
  <c r="I33" i="14"/>
  <c r="J33" i="14"/>
  <c r="D34" i="14"/>
  <c r="C34" i="14" s="1"/>
  <c r="E34" i="14"/>
  <c r="F34" i="14"/>
  <c r="G34" i="14"/>
  <c r="H34" i="14"/>
  <c r="I34" i="14"/>
  <c r="J34" i="14"/>
  <c r="D36" i="14"/>
  <c r="C36" i="14" s="1"/>
  <c r="E36" i="14"/>
  <c r="F36" i="14"/>
  <c r="G36" i="14"/>
  <c r="H36" i="14"/>
  <c r="I36" i="14"/>
  <c r="J36" i="14"/>
  <c r="E38" i="14"/>
  <c r="F38" i="14"/>
  <c r="G38" i="14"/>
  <c r="H38" i="14"/>
  <c r="I38" i="14"/>
  <c r="J38" i="14"/>
  <c r="E39" i="14"/>
  <c r="F39" i="14"/>
  <c r="G39" i="14"/>
  <c r="H39" i="14"/>
  <c r="I39" i="14"/>
  <c r="J39" i="14"/>
  <c r="E40" i="14"/>
  <c r="F40" i="14"/>
  <c r="G40" i="14"/>
  <c r="H40" i="14"/>
  <c r="I40" i="14"/>
  <c r="J40" i="14"/>
  <c r="D42" i="14"/>
  <c r="C42" i="14" s="1"/>
  <c r="E42" i="14"/>
  <c r="B362" i="9" s="1"/>
  <c r="F42" i="14"/>
  <c r="C362" i="9" s="1"/>
  <c r="G42" i="14"/>
  <c r="D362" i="9" s="1"/>
  <c r="H42" i="14"/>
  <c r="E362" i="9" s="1"/>
  <c r="I42" i="14"/>
  <c r="F362" i="9" s="1"/>
  <c r="J42" i="14"/>
  <c r="G362" i="9" s="1"/>
  <c r="E44" i="14"/>
  <c r="B363" i="9" s="1"/>
  <c r="F44" i="14"/>
  <c r="C363" i="9" s="1"/>
  <c r="G44" i="14"/>
  <c r="D363" i="9" s="1"/>
  <c r="H44" i="14"/>
  <c r="E363" i="9" s="1"/>
  <c r="I44" i="14"/>
  <c r="F363" i="9" s="1"/>
  <c r="J44" i="14"/>
  <c r="G363" i="9" s="1"/>
  <c r="E45" i="14"/>
  <c r="B364" i="9" s="1"/>
  <c r="F45" i="14"/>
  <c r="C364" i="9" s="1"/>
  <c r="G45" i="14"/>
  <c r="D364" i="9" s="1"/>
  <c r="H45" i="14"/>
  <c r="E364" i="9" s="1"/>
  <c r="I45" i="14"/>
  <c r="F364" i="9" s="1"/>
  <c r="J45" i="14"/>
  <c r="G364" i="9" s="1"/>
  <c r="E46" i="14"/>
  <c r="B365" i="9" s="1"/>
  <c r="F46" i="14"/>
  <c r="C365" i="9" s="1"/>
  <c r="G46" i="14"/>
  <c r="D365" i="9" s="1"/>
  <c r="H46" i="14"/>
  <c r="E365" i="9" s="1"/>
  <c r="I46" i="14"/>
  <c r="F365" i="9" s="1"/>
  <c r="J46" i="14"/>
  <c r="G365" i="9" s="1"/>
  <c r="E47" i="14"/>
  <c r="B366" i="9" s="1"/>
  <c r="F47" i="14"/>
  <c r="C366" i="9" s="1"/>
  <c r="G47" i="14"/>
  <c r="D366" i="9" s="1"/>
  <c r="H47" i="14"/>
  <c r="E366" i="9" s="1"/>
  <c r="I47" i="14"/>
  <c r="F366" i="9" s="1"/>
  <c r="J47" i="14"/>
  <c r="G366" i="9" s="1"/>
  <c r="E48" i="14"/>
  <c r="B367" i="9" s="1"/>
  <c r="F48" i="14"/>
  <c r="C367" i="9" s="1"/>
  <c r="G48" i="14"/>
  <c r="D367" i="9" s="1"/>
  <c r="H48" i="14"/>
  <c r="E367" i="9" s="1"/>
  <c r="I48" i="14"/>
  <c r="F367" i="9" s="1"/>
  <c r="J48" i="14"/>
  <c r="G367" i="9" s="1"/>
  <c r="E49" i="14"/>
  <c r="B368" i="9" s="1"/>
  <c r="F49" i="14"/>
  <c r="C368" i="9" s="1"/>
  <c r="G49" i="14"/>
  <c r="D368" i="9" s="1"/>
  <c r="H49" i="14"/>
  <c r="E368" i="9" s="1"/>
  <c r="I49" i="14"/>
  <c r="F368" i="9" s="1"/>
  <c r="J49" i="14"/>
  <c r="G368" i="9" s="1"/>
  <c r="E50" i="14"/>
  <c r="B369" i="9" s="1"/>
  <c r="F50" i="14"/>
  <c r="C369" i="9" s="1"/>
  <c r="G50" i="14"/>
  <c r="D369" i="9" s="1"/>
  <c r="H50" i="14"/>
  <c r="E369" i="9" s="1"/>
  <c r="I50" i="14"/>
  <c r="F369" i="9" s="1"/>
  <c r="J50" i="14"/>
  <c r="G369" i="9" s="1"/>
  <c r="E51" i="14"/>
  <c r="F51" i="14"/>
  <c r="C370" i="9" s="1"/>
  <c r="G51" i="14"/>
  <c r="D370" i="9" s="1"/>
  <c r="H51" i="14"/>
  <c r="E370" i="9" s="1"/>
  <c r="I51" i="14"/>
  <c r="F370" i="9" s="1"/>
  <c r="J51" i="14"/>
  <c r="G370" i="9" s="1"/>
  <c r="E52" i="14"/>
  <c r="B371" i="9" s="1"/>
  <c r="F52" i="14"/>
  <c r="C371" i="9" s="1"/>
  <c r="G52" i="14"/>
  <c r="D371" i="9" s="1"/>
  <c r="H52" i="14"/>
  <c r="E371" i="9" s="1"/>
  <c r="I52" i="14"/>
  <c r="F371" i="9" s="1"/>
  <c r="J52" i="14"/>
  <c r="G371" i="9" s="1"/>
  <c r="E53" i="14"/>
  <c r="B372" i="9" s="1"/>
  <c r="F53" i="14"/>
  <c r="C372" i="9" s="1"/>
  <c r="G53" i="14"/>
  <c r="D372" i="9" s="1"/>
  <c r="H53" i="14"/>
  <c r="E372" i="9" s="1"/>
  <c r="I53" i="14"/>
  <c r="F372" i="9" s="1"/>
  <c r="J53" i="14"/>
  <c r="G372" i="9" s="1"/>
  <c r="E54" i="14"/>
  <c r="B373" i="9" s="1"/>
  <c r="F54" i="14"/>
  <c r="C373" i="9" s="1"/>
  <c r="G54" i="14"/>
  <c r="D373" i="9" s="1"/>
  <c r="H54" i="14"/>
  <c r="E373" i="9" s="1"/>
  <c r="I54" i="14"/>
  <c r="F373" i="9" s="1"/>
  <c r="J54" i="14"/>
  <c r="G373" i="9" s="1"/>
  <c r="E55" i="14"/>
  <c r="B374" i="9" s="1"/>
  <c r="F55" i="14"/>
  <c r="C374" i="9" s="1"/>
  <c r="G55" i="14"/>
  <c r="D374" i="9" s="1"/>
  <c r="H55" i="14"/>
  <c r="E374" i="9" s="1"/>
  <c r="I55" i="14"/>
  <c r="F374" i="9" s="1"/>
  <c r="J55" i="14"/>
  <c r="G374" i="9" s="1"/>
  <c r="D56" i="14"/>
  <c r="C56" i="14" s="1"/>
  <c r="E56" i="14"/>
  <c r="F56" i="14"/>
  <c r="G56" i="14"/>
  <c r="H56" i="14"/>
  <c r="I56" i="14"/>
  <c r="J56" i="14"/>
  <c r="E58" i="14"/>
  <c r="B375" i="9" s="1"/>
  <c r="F58" i="14"/>
  <c r="C375" i="9" s="1"/>
  <c r="G58" i="14"/>
  <c r="D375" i="9" s="1"/>
  <c r="H58" i="14"/>
  <c r="E375" i="9" s="1"/>
  <c r="I58" i="14"/>
  <c r="F375" i="9" s="1"/>
  <c r="J58" i="14"/>
  <c r="G375" i="9" s="1"/>
  <c r="E59" i="14"/>
  <c r="B376" i="9" s="1"/>
  <c r="F59" i="14"/>
  <c r="C376" i="9" s="1"/>
  <c r="G59" i="14"/>
  <c r="D376" i="9" s="1"/>
  <c r="H59" i="14"/>
  <c r="E376" i="9" s="1"/>
  <c r="I59" i="14"/>
  <c r="F376" i="9" s="1"/>
  <c r="J59" i="14"/>
  <c r="G376" i="9" s="1"/>
  <c r="E60" i="14"/>
  <c r="B377" i="9" s="1"/>
  <c r="F60" i="14"/>
  <c r="C377" i="9" s="1"/>
  <c r="G60" i="14"/>
  <c r="D377" i="9" s="1"/>
  <c r="H60" i="14"/>
  <c r="E377" i="9" s="1"/>
  <c r="I60" i="14"/>
  <c r="F377" i="9" s="1"/>
  <c r="J60" i="14"/>
  <c r="G377" i="9" s="1"/>
  <c r="E61" i="14"/>
  <c r="B378" i="9" s="1"/>
  <c r="F61" i="14"/>
  <c r="C378" i="9" s="1"/>
  <c r="G61" i="14"/>
  <c r="D378" i="9" s="1"/>
  <c r="H61" i="14"/>
  <c r="E378" i="9" s="1"/>
  <c r="I61" i="14"/>
  <c r="F378" i="9" s="1"/>
  <c r="J61" i="14"/>
  <c r="G378" i="9" s="1"/>
  <c r="E62" i="14"/>
  <c r="B379" i="9" s="1"/>
  <c r="F62" i="14"/>
  <c r="C379" i="9" s="1"/>
  <c r="G62" i="14"/>
  <c r="D379" i="9" s="1"/>
  <c r="H62" i="14"/>
  <c r="E379" i="9" s="1"/>
  <c r="I62" i="14"/>
  <c r="F379" i="9" s="1"/>
  <c r="J62" i="14"/>
  <c r="G379" i="9" s="1"/>
  <c r="E64" i="14"/>
  <c r="B381" i="9" s="1"/>
  <c r="F64" i="14"/>
  <c r="C381" i="9" s="1"/>
  <c r="G64" i="14"/>
  <c r="D381" i="9" s="1"/>
  <c r="H64" i="14"/>
  <c r="E381" i="9" s="1"/>
  <c r="I64" i="14"/>
  <c r="F381" i="9" s="1"/>
  <c r="J64" i="14"/>
  <c r="G381" i="9" s="1"/>
  <c r="E66" i="14"/>
  <c r="B382" i="9" s="1"/>
  <c r="F66" i="14"/>
  <c r="C382" i="9" s="1"/>
  <c r="G66" i="14"/>
  <c r="D382" i="9" s="1"/>
  <c r="H66" i="14"/>
  <c r="E382" i="9" s="1"/>
  <c r="I66" i="14"/>
  <c r="F382" i="9" s="1"/>
  <c r="J66" i="14"/>
  <c r="G382" i="9" s="1"/>
  <c r="E67" i="14"/>
  <c r="B383" i="9" s="1"/>
  <c r="F67" i="14"/>
  <c r="C383" i="9" s="1"/>
  <c r="G67" i="14"/>
  <c r="D383" i="9" s="1"/>
  <c r="H67" i="14"/>
  <c r="E383" i="9" s="1"/>
  <c r="I67" i="14"/>
  <c r="F383" i="9" s="1"/>
  <c r="J67" i="14"/>
  <c r="G383" i="9" s="1"/>
  <c r="E68" i="14"/>
  <c r="B384" i="9" s="1"/>
  <c r="F68" i="14"/>
  <c r="C384" i="9" s="1"/>
  <c r="G68" i="14"/>
  <c r="D384" i="9" s="1"/>
  <c r="H68" i="14"/>
  <c r="E384" i="9" s="1"/>
  <c r="I68" i="14"/>
  <c r="F384" i="9" s="1"/>
  <c r="J68" i="14"/>
  <c r="G384" i="9" s="1"/>
  <c r="E69" i="14"/>
  <c r="B385" i="9" s="1"/>
  <c r="F69" i="14"/>
  <c r="C385" i="9" s="1"/>
  <c r="G69" i="14"/>
  <c r="D385" i="9" s="1"/>
  <c r="H69" i="14"/>
  <c r="E385" i="9" s="1"/>
  <c r="I69" i="14"/>
  <c r="F385" i="9" s="1"/>
  <c r="J69" i="14"/>
  <c r="G385" i="9" s="1"/>
  <c r="E70" i="14"/>
  <c r="B386" i="9" s="1"/>
  <c r="F70" i="14"/>
  <c r="C386" i="9" s="1"/>
  <c r="G70" i="14"/>
  <c r="D386" i="9" s="1"/>
  <c r="H70" i="14"/>
  <c r="E386" i="9" s="1"/>
  <c r="I70" i="14"/>
  <c r="F386" i="9" s="1"/>
  <c r="J70" i="14"/>
  <c r="G386" i="9" s="1"/>
  <c r="D72" i="14"/>
  <c r="C72" i="14" s="1"/>
  <c r="E72" i="14"/>
  <c r="B387" i="9" s="1"/>
  <c r="F72" i="14"/>
  <c r="C387" i="9" s="1"/>
  <c r="G72" i="14"/>
  <c r="D387" i="9" s="1"/>
  <c r="H72" i="14"/>
  <c r="E387" i="9" s="1"/>
  <c r="I72" i="14"/>
  <c r="F387" i="9" s="1"/>
  <c r="J72" i="14"/>
  <c r="G387" i="9" s="1"/>
  <c r="J26" i="14"/>
  <c r="I26" i="14"/>
  <c r="H26" i="14"/>
  <c r="G26" i="14"/>
  <c r="F26" i="14"/>
  <c r="E26" i="14"/>
  <c r="M25" i="14"/>
  <c r="M26" i="14" s="1"/>
  <c r="D26" i="14" s="1"/>
  <c r="C26" i="14" s="1"/>
  <c r="J25" i="14"/>
  <c r="I25" i="14"/>
  <c r="H25" i="14"/>
  <c r="G25" i="14"/>
  <c r="F25" i="14"/>
  <c r="E25" i="14"/>
  <c r="C13" i="14"/>
  <c r="C12" i="14"/>
  <c r="C11" i="14"/>
  <c r="C10" i="14"/>
  <c r="C9" i="14"/>
  <c r="C8" i="14"/>
  <c r="A347" i="9"/>
  <c r="K347" i="9" s="1"/>
  <c r="B347" i="9"/>
  <c r="C347" i="9"/>
  <c r="D347" i="9"/>
  <c r="F347" i="9"/>
  <c r="G347" i="9"/>
  <c r="A348" i="9"/>
  <c r="K348" i="9" s="1"/>
  <c r="B348" i="9"/>
  <c r="C348" i="9"/>
  <c r="D348" i="9"/>
  <c r="F348" i="9"/>
  <c r="G348" i="9"/>
  <c r="M79" i="11"/>
  <c r="M78" i="11"/>
  <c r="M77" i="11"/>
  <c r="J80" i="11"/>
  <c r="M76" i="11"/>
  <c r="M75" i="11"/>
  <c r="G73" i="11"/>
  <c r="C9" i="11"/>
  <c r="F8" i="3"/>
  <c r="AD9" i="3"/>
  <c r="AE9" i="3"/>
  <c r="S9" i="3"/>
  <c r="AD65" i="3"/>
  <c r="AE65" i="3" s="1"/>
  <c r="AF65" i="3" s="1"/>
  <c r="AG65" i="3" s="1"/>
  <c r="AH65" i="3" s="1"/>
  <c r="AI65" i="3" s="1"/>
  <c r="AJ65" i="3" s="1"/>
  <c r="AK65" i="3" s="1"/>
  <c r="I68" i="11"/>
  <c r="G68" i="11"/>
  <c r="I66" i="11"/>
  <c r="G66" i="11"/>
  <c r="F63" i="11"/>
  <c r="C335" i="9" s="1"/>
  <c r="I61" i="11"/>
  <c r="G61" i="11"/>
  <c r="E61" i="11"/>
  <c r="I59" i="11"/>
  <c r="G59" i="11"/>
  <c r="G57" i="11"/>
  <c r="I57" i="11"/>
  <c r="I3" i="12"/>
  <c r="O20" i="11"/>
  <c r="H52" i="11"/>
  <c r="H53" i="11"/>
  <c r="H51" i="11"/>
  <c r="H50" i="11"/>
  <c r="H49" i="11"/>
  <c r="H48" i="11"/>
  <c r="H47" i="11"/>
  <c r="M46" i="11"/>
  <c r="M47" i="11" s="1"/>
  <c r="M48" i="11" s="1"/>
  <c r="M49" i="11" s="1"/>
  <c r="M50" i="11" s="1"/>
  <c r="M51" i="11" s="1"/>
  <c r="M52" i="11" s="1"/>
  <c r="M53" i="11" s="1"/>
  <c r="M54" i="11" s="1"/>
  <c r="M55" i="11" s="1"/>
  <c r="M56" i="11" s="1"/>
  <c r="M58" i="11" s="1"/>
  <c r="M60" i="11" s="1"/>
  <c r="M59" i="11" s="1"/>
  <c r="D60" i="18" l="1"/>
  <c r="C60" i="18" s="1"/>
  <c r="D59" i="18"/>
  <c r="C59" i="18" s="1"/>
  <c r="W15" i="18"/>
  <c r="BN7" i="3"/>
  <c r="BS7" i="3"/>
  <c r="BT7" i="3"/>
  <c r="BO7" i="3"/>
  <c r="BV7" i="3"/>
  <c r="BU7" i="3"/>
  <c r="BP7" i="3"/>
  <c r="BR7" i="3"/>
  <c r="BQ7" i="3"/>
  <c r="BQ2" i="3"/>
  <c r="BS2" i="3"/>
  <c r="BR2" i="3"/>
  <c r="BN2" i="3"/>
  <c r="BV2" i="3"/>
  <c r="BT2" i="3"/>
  <c r="BO2" i="3"/>
  <c r="BU2" i="3"/>
  <c r="BP2" i="3"/>
  <c r="BV3" i="3"/>
  <c r="BP3" i="3"/>
  <c r="BQ3" i="3"/>
  <c r="BN3" i="3"/>
  <c r="BU3" i="3"/>
  <c r="BR3" i="3"/>
  <c r="BS3" i="3"/>
  <c r="BT3" i="3"/>
  <c r="BO3" i="3"/>
  <c r="BU4" i="3"/>
  <c r="BP4" i="3"/>
  <c r="BV4" i="3"/>
  <c r="BR4" i="3"/>
  <c r="BO4" i="3"/>
  <c r="BQ4" i="3"/>
  <c r="BT4" i="3"/>
  <c r="BN4" i="3"/>
  <c r="BS4" i="3"/>
  <c r="BS6" i="3"/>
  <c r="BT6" i="3"/>
  <c r="BO6" i="3"/>
  <c r="BU6" i="3"/>
  <c r="BP6" i="3"/>
  <c r="BV6" i="3"/>
  <c r="BQ6" i="3"/>
  <c r="BR6" i="3"/>
  <c r="BN6" i="3"/>
  <c r="G9" i="18"/>
  <c r="AB9" i="3"/>
  <c r="AB10" i="3"/>
  <c r="G8" i="18"/>
  <c r="G10" i="18"/>
  <c r="G11" i="18"/>
  <c r="G12" i="18"/>
  <c r="G13" i="18"/>
  <c r="D30" i="17"/>
  <c r="M31" i="17"/>
  <c r="D10" i="17"/>
  <c r="E10" i="17" s="1"/>
  <c r="D13" i="17"/>
  <c r="E13" i="17" s="1"/>
  <c r="D9" i="17"/>
  <c r="E9" i="17" s="1"/>
  <c r="D11" i="17"/>
  <c r="E11" i="17" s="1"/>
  <c r="D8" i="17"/>
  <c r="D12" i="17"/>
  <c r="E12" i="17" s="1"/>
  <c r="D51" i="17"/>
  <c r="C51" i="17" s="1"/>
  <c r="D27" i="17"/>
  <c r="C27" i="17" s="1"/>
  <c r="D54" i="16"/>
  <c r="C54" i="16" s="1"/>
  <c r="M55" i="16"/>
  <c r="D35" i="16"/>
  <c r="C35" i="16" s="1"/>
  <c r="M36" i="16"/>
  <c r="D12" i="16"/>
  <c r="E12" i="16" s="1"/>
  <c r="D8" i="16"/>
  <c r="E8" i="16" s="1"/>
  <c r="M29" i="16"/>
  <c r="D28" i="16"/>
  <c r="C28" i="16" s="1"/>
  <c r="D32" i="16"/>
  <c r="C32" i="16" s="1"/>
  <c r="D11" i="16"/>
  <c r="E11" i="16" s="1"/>
  <c r="D13" i="16"/>
  <c r="E13" i="16" s="1"/>
  <c r="D9" i="16"/>
  <c r="E9" i="16" s="1"/>
  <c r="D10" i="16"/>
  <c r="E10" i="16" s="1"/>
  <c r="B402" i="9"/>
  <c r="E20" i="14"/>
  <c r="G399" i="9"/>
  <c r="J20" i="14"/>
  <c r="Y2" i="3" s="1"/>
  <c r="F399" i="9"/>
  <c r="I20" i="14"/>
  <c r="Y3" i="3" s="1"/>
  <c r="E399" i="9"/>
  <c r="H20" i="14"/>
  <c r="Y7" i="3" s="1"/>
  <c r="D399" i="9"/>
  <c r="G20" i="14"/>
  <c r="C399" i="9"/>
  <c r="F20" i="14"/>
  <c r="Y6" i="3" s="1"/>
  <c r="A375" i="9"/>
  <c r="M74" i="14"/>
  <c r="M75" i="14" s="1"/>
  <c r="D75" i="14" s="1"/>
  <c r="C75" i="14" s="1"/>
  <c r="A401" i="9"/>
  <c r="A402" i="9"/>
  <c r="Y4" i="3"/>
  <c r="A387" i="9"/>
  <c r="D38" i="14"/>
  <c r="C38" i="14" s="1"/>
  <c r="M40" i="14"/>
  <c r="M41" i="14" s="1"/>
  <c r="D39" i="14"/>
  <c r="C39" i="14" s="1"/>
  <c r="A362" i="9"/>
  <c r="K362" i="9" s="1"/>
  <c r="M59" i="14"/>
  <c r="M60" i="14" s="1"/>
  <c r="M61" i="14" s="1"/>
  <c r="M62" i="14" s="1"/>
  <c r="M63" i="14" s="1"/>
  <c r="M64" i="14" s="1"/>
  <c r="C44" i="14"/>
  <c r="A363" i="9"/>
  <c r="K363" i="9" s="1"/>
  <c r="M45" i="14"/>
  <c r="B370" i="9"/>
  <c r="M27" i="14"/>
  <c r="AV6" i="3"/>
  <c r="AV2" i="3"/>
  <c r="AV3" i="3"/>
  <c r="O8" i="14"/>
  <c r="D25" i="14"/>
  <c r="O12" i="14"/>
  <c r="O16" i="14" s="1"/>
  <c r="W16" i="14" s="1"/>
  <c r="M62" i="11"/>
  <c r="M61" i="11" s="1"/>
  <c r="M63" i="11" s="1"/>
  <c r="M64" i="11" s="1"/>
  <c r="M65" i="11" s="1"/>
  <c r="M66" i="11" s="1"/>
  <c r="M67" i="11" s="1"/>
  <c r="M68" i="11" s="1"/>
  <c r="M69" i="11" s="1"/>
  <c r="M70" i="11" s="1"/>
  <c r="M71" i="11" s="1"/>
  <c r="M72" i="11" s="1"/>
  <c r="M74" i="11" s="1"/>
  <c r="G9" i="3"/>
  <c r="M57" i="11"/>
  <c r="I44" i="11"/>
  <c r="G44" i="11"/>
  <c r="I40" i="11"/>
  <c r="G40" i="11"/>
  <c r="H33" i="11"/>
  <c r="E310" i="9" s="1"/>
  <c r="D31" i="18" l="1"/>
  <c r="C31" i="18" s="1"/>
  <c r="M32" i="17"/>
  <c r="D31" i="17"/>
  <c r="C31" i="17" s="1"/>
  <c r="D52" i="17"/>
  <c r="C52" i="17" s="1"/>
  <c r="D55" i="16"/>
  <c r="C55" i="16" s="1"/>
  <c r="M56" i="16"/>
  <c r="D36" i="16"/>
  <c r="C36" i="16" s="1"/>
  <c r="M37" i="16"/>
  <c r="D37" i="16" s="1"/>
  <c r="C37" i="16" s="1"/>
  <c r="M30" i="16"/>
  <c r="D29" i="16"/>
  <c r="C29" i="16" s="1"/>
  <c r="M76" i="14"/>
  <c r="D74" i="14"/>
  <c r="A389" i="9"/>
  <c r="AE31" i="14"/>
  <c r="D40" i="14"/>
  <c r="C40" i="14" s="1"/>
  <c r="C74" i="14"/>
  <c r="A388" i="9"/>
  <c r="D76" i="14"/>
  <c r="M78" i="14"/>
  <c r="M77" i="14" s="1"/>
  <c r="M65" i="14"/>
  <c r="M66" i="14" s="1"/>
  <c r="D64" i="14"/>
  <c r="D60" i="14"/>
  <c r="D59" i="14"/>
  <c r="M46" i="14"/>
  <c r="D45" i="14"/>
  <c r="D62" i="14"/>
  <c r="D61" i="14"/>
  <c r="D27" i="14"/>
  <c r="C27" i="14" s="1"/>
  <c r="M28" i="14"/>
  <c r="G17" i="14"/>
  <c r="Y5" i="3"/>
  <c r="Y9" i="3" s="1"/>
  <c r="AV9" i="3"/>
  <c r="F17" i="14"/>
  <c r="H17" i="14"/>
  <c r="E17" i="14"/>
  <c r="J17" i="14"/>
  <c r="I17" i="14"/>
  <c r="I28" i="11"/>
  <c r="G28" i="11"/>
  <c r="L8" i="3"/>
  <c r="D42" i="11"/>
  <c r="D43" i="11"/>
  <c r="D45" i="11"/>
  <c r="D46" i="11"/>
  <c r="D47" i="11"/>
  <c r="D48" i="11"/>
  <c r="D49" i="11"/>
  <c r="D50" i="11"/>
  <c r="D51" i="11"/>
  <c r="D52" i="11"/>
  <c r="D53" i="11"/>
  <c r="D54" i="11"/>
  <c r="D55" i="11"/>
  <c r="D56" i="11"/>
  <c r="D58" i="11"/>
  <c r="A332" i="9" s="1"/>
  <c r="K332" i="9" s="1"/>
  <c r="D60" i="11"/>
  <c r="A333" i="9" s="1"/>
  <c r="K333" i="9" s="1"/>
  <c r="D62" i="11"/>
  <c r="A334" i="9" s="1"/>
  <c r="K334" i="9" s="1"/>
  <c r="D63" i="11"/>
  <c r="A335" i="9" s="1"/>
  <c r="K335" i="9" s="1"/>
  <c r="D64" i="11"/>
  <c r="A336" i="9" s="1"/>
  <c r="K336" i="9" s="1"/>
  <c r="D65" i="11"/>
  <c r="A337" i="9" s="1"/>
  <c r="K337" i="9" s="1"/>
  <c r="D67" i="11"/>
  <c r="A338" i="9" s="1"/>
  <c r="K338" i="9" s="1"/>
  <c r="D69" i="11"/>
  <c r="A339" i="9" s="1"/>
  <c r="K339" i="9" s="1"/>
  <c r="D70" i="11"/>
  <c r="A340" i="9" s="1"/>
  <c r="K340" i="9" s="1"/>
  <c r="D71" i="11"/>
  <c r="A341" i="9" s="1"/>
  <c r="K341" i="9" s="1"/>
  <c r="D72" i="11"/>
  <c r="D74" i="11"/>
  <c r="C74" i="11" s="1"/>
  <c r="D75" i="11"/>
  <c r="D76" i="11"/>
  <c r="D77" i="11"/>
  <c r="C77" i="11" s="1"/>
  <c r="D78" i="11"/>
  <c r="C78" i="11" s="1"/>
  <c r="D79" i="11"/>
  <c r="C79" i="11" s="1"/>
  <c r="D80" i="11"/>
  <c r="C80" i="11" s="1"/>
  <c r="D81" i="11"/>
  <c r="C81" i="11" s="1"/>
  <c r="C52" i="10"/>
  <c r="D56" i="10"/>
  <c r="E30" i="11"/>
  <c r="B307" i="9" s="1"/>
  <c r="F30" i="11"/>
  <c r="C307" i="9" s="1"/>
  <c r="G30" i="11"/>
  <c r="D307" i="9" s="1"/>
  <c r="H30" i="11"/>
  <c r="E307" i="9" s="1"/>
  <c r="I30" i="11"/>
  <c r="F307" i="9" s="1"/>
  <c r="J30" i="11"/>
  <c r="G307" i="9" s="1"/>
  <c r="E31" i="11"/>
  <c r="B308" i="9" s="1"/>
  <c r="F31" i="11"/>
  <c r="C308" i="9" s="1"/>
  <c r="G31" i="11"/>
  <c r="D308" i="9" s="1"/>
  <c r="H31" i="11"/>
  <c r="E308" i="9" s="1"/>
  <c r="I31" i="11"/>
  <c r="F308" i="9" s="1"/>
  <c r="J31" i="11"/>
  <c r="G308" i="9" s="1"/>
  <c r="E32" i="11"/>
  <c r="B309" i="9" s="1"/>
  <c r="F32" i="11"/>
  <c r="C309" i="9" s="1"/>
  <c r="G32" i="11"/>
  <c r="D309" i="9" s="1"/>
  <c r="H32" i="11"/>
  <c r="E309" i="9" s="1"/>
  <c r="I32" i="11"/>
  <c r="F309" i="9" s="1"/>
  <c r="J32" i="11"/>
  <c r="G309" i="9" s="1"/>
  <c r="E33" i="11"/>
  <c r="B310" i="9" s="1"/>
  <c r="F33" i="11"/>
  <c r="C310" i="9" s="1"/>
  <c r="G33" i="11"/>
  <c r="D310" i="9" s="1"/>
  <c r="I33" i="11"/>
  <c r="F310" i="9" s="1"/>
  <c r="J33" i="11"/>
  <c r="G310" i="9" s="1"/>
  <c r="E34" i="11"/>
  <c r="B311" i="9" s="1"/>
  <c r="F34" i="11"/>
  <c r="C311" i="9" s="1"/>
  <c r="G34" i="11"/>
  <c r="D311" i="9" s="1"/>
  <c r="H34" i="11"/>
  <c r="E311" i="9" s="1"/>
  <c r="I34" i="11"/>
  <c r="F311" i="9" s="1"/>
  <c r="J34" i="11"/>
  <c r="G311" i="9" s="1"/>
  <c r="E35" i="11"/>
  <c r="B312" i="9" s="1"/>
  <c r="F35" i="11"/>
  <c r="C312" i="9" s="1"/>
  <c r="G35" i="11"/>
  <c r="D312" i="9" s="1"/>
  <c r="H35" i="11"/>
  <c r="E312" i="9" s="1"/>
  <c r="I35" i="11"/>
  <c r="F312" i="9" s="1"/>
  <c r="J35" i="11"/>
  <c r="G312" i="9" s="1"/>
  <c r="E36" i="11"/>
  <c r="B313" i="9" s="1"/>
  <c r="F36" i="11"/>
  <c r="C313" i="9" s="1"/>
  <c r="G36" i="11"/>
  <c r="D313" i="9" s="1"/>
  <c r="H36" i="11"/>
  <c r="E313" i="9" s="1"/>
  <c r="I36" i="11"/>
  <c r="F313" i="9" s="1"/>
  <c r="J36" i="11"/>
  <c r="G313" i="9" s="1"/>
  <c r="E37" i="11"/>
  <c r="B314" i="9" s="1"/>
  <c r="F37" i="11"/>
  <c r="C314" i="9" s="1"/>
  <c r="G37" i="11"/>
  <c r="D314" i="9" s="1"/>
  <c r="H37" i="11"/>
  <c r="E314" i="9" s="1"/>
  <c r="I37" i="11"/>
  <c r="F314" i="9" s="1"/>
  <c r="J37" i="11"/>
  <c r="G314" i="9" s="1"/>
  <c r="E38" i="11"/>
  <c r="B315" i="9" s="1"/>
  <c r="F38" i="11"/>
  <c r="C315" i="9" s="1"/>
  <c r="G38" i="11"/>
  <c r="D315" i="9" s="1"/>
  <c r="H38" i="11"/>
  <c r="E315" i="9" s="1"/>
  <c r="I38" i="11"/>
  <c r="F315" i="9" s="1"/>
  <c r="J38" i="11"/>
  <c r="G315" i="9" s="1"/>
  <c r="E39" i="11"/>
  <c r="B316" i="9" s="1"/>
  <c r="F39" i="11"/>
  <c r="C316" i="9" s="1"/>
  <c r="G39" i="11"/>
  <c r="D316" i="9" s="1"/>
  <c r="H39" i="11"/>
  <c r="E316" i="9" s="1"/>
  <c r="I39" i="11"/>
  <c r="F316" i="9" s="1"/>
  <c r="J39" i="11"/>
  <c r="G316" i="9" s="1"/>
  <c r="E41" i="11"/>
  <c r="B317" i="9" s="1"/>
  <c r="F41" i="11"/>
  <c r="C317" i="9" s="1"/>
  <c r="G41" i="11"/>
  <c r="D317" i="9" s="1"/>
  <c r="H41" i="11"/>
  <c r="E317" i="9" s="1"/>
  <c r="I41" i="11"/>
  <c r="F317" i="9" s="1"/>
  <c r="J41" i="11"/>
  <c r="G317" i="9" s="1"/>
  <c r="E42" i="11"/>
  <c r="B318" i="9" s="1"/>
  <c r="F42" i="11"/>
  <c r="C318" i="9" s="1"/>
  <c r="G42" i="11"/>
  <c r="D318" i="9" s="1"/>
  <c r="H42" i="11"/>
  <c r="E318" i="9" s="1"/>
  <c r="I42" i="11"/>
  <c r="F318" i="9" s="1"/>
  <c r="J42" i="11"/>
  <c r="G318" i="9" s="1"/>
  <c r="E43" i="11"/>
  <c r="B319" i="9" s="1"/>
  <c r="F43" i="11"/>
  <c r="C319" i="9" s="1"/>
  <c r="G43" i="11"/>
  <c r="D319" i="9" s="1"/>
  <c r="H43" i="11"/>
  <c r="E319" i="9" s="1"/>
  <c r="I43" i="11"/>
  <c r="F319" i="9" s="1"/>
  <c r="J43" i="11"/>
  <c r="G319" i="9" s="1"/>
  <c r="E45" i="11"/>
  <c r="B320" i="9" s="1"/>
  <c r="F45" i="11"/>
  <c r="C320" i="9" s="1"/>
  <c r="G45" i="11"/>
  <c r="D320" i="9" s="1"/>
  <c r="H45" i="11"/>
  <c r="E320" i="9" s="1"/>
  <c r="I45" i="11"/>
  <c r="F320" i="9" s="1"/>
  <c r="J45" i="11"/>
  <c r="G320" i="9" s="1"/>
  <c r="E46" i="11"/>
  <c r="B321" i="9" s="1"/>
  <c r="F46" i="11"/>
  <c r="C321" i="9" s="1"/>
  <c r="G46" i="11"/>
  <c r="D321" i="9" s="1"/>
  <c r="H46" i="11"/>
  <c r="E321" i="9" s="1"/>
  <c r="I46" i="11"/>
  <c r="F321" i="9" s="1"/>
  <c r="J46" i="11"/>
  <c r="G321" i="9" s="1"/>
  <c r="E47" i="11"/>
  <c r="B322" i="9" s="1"/>
  <c r="F47" i="11"/>
  <c r="C322" i="9" s="1"/>
  <c r="G47" i="11"/>
  <c r="D322" i="9" s="1"/>
  <c r="I47" i="11"/>
  <c r="F322" i="9" s="1"/>
  <c r="J47" i="11"/>
  <c r="G322" i="9" s="1"/>
  <c r="E48" i="11"/>
  <c r="B323" i="9" s="1"/>
  <c r="F48" i="11"/>
  <c r="C323" i="9" s="1"/>
  <c r="G48" i="11"/>
  <c r="D323" i="9" s="1"/>
  <c r="I48" i="11"/>
  <c r="F323" i="9" s="1"/>
  <c r="J48" i="11"/>
  <c r="G323" i="9" s="1"/>
  <c r="E49" i="11"/>
  <c r="B324" i="9" s="1"/>
  <c r="F49" i="11"/>
  <c r="C324" i="9" s="1"/>
  <c r="G49" i="11"/>
  <c r="D324" i="9" s="1"/>
  <c r="I49" i="11"/>
  <c r="F324" i="9" s="1"/>
  <c r="J49" i="11"/>
  <c r="G324" i="9" s="1"/>
  <c r="E50" i="11"/>
  <c r="B325" i="9" s="1"/>
  <c r="F50" i="11"/>
  <c r="C325" i="9" s="1"/>
  <c r="G50" i="11"/>
  <c r="D325" i="9" s="1"/>
  <c r="I50" i="11"/>
  <c r="F325" i="9" s="1"/>
  <c r="J50" i="11"/>
  <c r="G325" i="9" s="1"/>
  <c r="E51" i="11"/>
  <c r="B326" i="9" s="1"/>
  <c r="F51" i="11"/>
  <c r="C326" i="9" s="1"/>
  <c r="G51" i="11"/>
  <c r="D326" i="9" s="1"/>
  <c r="I51" i="11"/>
  <c r="F326" i="9" s="1"/>
  <c r="J51" i="11"/>
  <c r="G326" i="9" s="1"/>
  <c r="E52" i="11"/>
  <c r="B327" i="9" s="1"/>
  <c r="F52" i="11"/>
  <c r="C327" i="9" s="1"/>
  <c r="G52" i="11"/>
  <c r="D327" i="9" s="1"/>
  <c r="I52" i="11"/>
  <c r="F327" i="9" s="1"/>
  <c r="J52" i="11"/>
  <c r="G327" i="9" s="1"/>
  <c r="E53" i="11"/>
  <c r="B328" i="9" s="1"/>
  <c r="F53" i="11"/>
  <c r="C328" i="9" s="1"/>
  <c r="G53" i="11"/>
  <c r="D328" i="9" s="1"/>
  <c r="I53" i="11"/>
  <c r="F328" i="9" s="1"/>
  <c r="J53" i="11"/>
  <c r="G328" i="9" s="1"/>
  <c r="E54" i="11"/>
  <c r="B329" i="9" s="1"/>
  <c r="F54" i="11"/>
  <c r="C329" i="9" s="1"/>
  <c r="G54" i="11"/>
  <c r="D329" i="9" s="1"/>
  <c r="H54" i="11"/>
  <c r="I54" i="11"/>
  <c r="F329" i="9" s="1"/>
  <c r="J54" i="11"/>
  <c r="G329" i="9" s="1"/>
  <c r="E55" i="11"/>
  <c r="B330" i="9" s="1"/>
  <c r="F55" i="11"/>
  <c r="C330" i="9" s="1"/>
  <c r="G55" i="11"/>
  <c r="D330" i="9" s="1"/>
  <c r="H55" i="11"/>
  <c r="I55" i="11"/>
  <c r="F330" i="9" s="1"/>
  <c r="J55" i="11"/>
  <c r="G330" i="9" s="1"/>
  <c r="E56" i="11"/>
  <c r="B331" i="9" s="1"/>
  <c r="F56" i="11"/>
  <c r="C331" i="9" s="1"/>
  <c r="G56" i="11"/>
  <c r="D331" i="9" s="1"/>
  <c r="H56" i="11"/>
  <c r="I56" i="11"/>
  <c r="F331" i="9" s="1"/>
  <c r="J56" i="11"/>
  <c r="G331" i="9" s="1"/>
  <c r="E58" i="11"/>
  <c r="B332" i="9" s="1"/>
  <c r="F58" i="11"/>
  <c r="C332" i="9" s="1"/>
  <c r="G58" i="11"/>
  <c r="D332" i="9" s="1"/>
  <c r="H58" i="11"/>
  <c r="I58" i="11"/>
  <c r="F332" i="9" s="1"/>
  <c r="J58" i="11"/>
  <c r="G332" i="9" s="1"/>
  <c r="E60" i="11"/>
  <c r="B333" i="9" s="1"/>
  <c r="F60" i="11"/>
  <c r="C333" i="9" s="1"/>
  <c r="G60" i="11"/>
  <c r="H60" i="11"/>
  <c r="I60" i="11"/>
  <c r="F333" i="9" s="1"/>
  <c r="J60" i="11"/>
  <c r="G333" i="9" s="1"/>
  <c r="E62" i="11"/>
  <c r="B334" i="9" s="1"/>
  <c r="F62" i="11"/>
  <c r="C334" i="9" s="1"/>
  <c r="G62" i="11"/>
  <c r="D334" i="9" s="1"/>
  <c r="H62" i="11"/>
  <c r="I62" i="11"/>
  <c r="F334" i="9" s="1"/>
  <c r="J62" i="11"/>
  <c r="G334" i="9" s="1"/>
  <c r="E63" i="11"/>
  <c r="B335" i="9" s="1"/>
  <c r="G63" i="11"/>
  <c r="D335" i="9" s="1"/>
  <c r="H63" i="11"/>
  <c r="I63" i="11"/>
  <c r="F335" i="9" s="1"/>
  <c r="J63" i="11"/>
  <c r="G335" i="9" s="1"/>
  <c r="E64" i="11"/>
  <c r="B336" i="9" s="1"/>
  <c r="F64" i="11"/>
  <c r="C336" i="9" s="1"/>
  <c r="G64" i="11"/>
  <c r="D336" i="9" s="1"/>
  <c r="H64" i="11"/>
  <c r="I64" i="11"/>
  <c r="F336" i="9" s="1"/>
  <c r="J64" i="11"/>
  <c r="G336" i="9" s="1"/>
  <c r="E65" i="11"/>
  <c r="B337" i="9" s="1"/>
  <c r="F65" i="11"/>
  <c r="C337" i="9" s="1"/>
  <c r="G65" i="11"/>
  <c r="D337" i="9" s="1"/>
  <c r="H65" i="11"/>
  <c r="I65" i="11"/>
  <c r="F337" i="9" s="1"/>
  <c r="J65" i="11"/>
  <c r="G337" i="9" s="1"/>
  <c r="E67" i="11"/>
  <c r="B338" i="9" s="1"/>
  <c r="F67" i="11"/>
  <c r="C338" i="9" s="1"/>
  <c r="G67" i="11"/>
  <c r="D338" i="9" s="1"/>
  <c r="H67" i="11"/>
  <c r="I67" i="11"/>
  <c r="F338" i="9" s="1"/>
  <c r="J67" i="11"/>
  <c r="G338" i="9" s="1"/>
  <c r="E69" i="11"/>
  <c r="B339" i="9" s="1"/>
  <c r="F69" i="11"/>
  <c r="C339" i="9" s="1"/>
  <c r="G69" i="11"/>
  <c r="D339" i="9" s="1"/>
  <c r="H69" i="11"/>
  <c r="I69" i="11"/>
  <c r="F339" i="9" s="1"/>
  <c r="J69" i="11"/>
  <c r="G339" i="9" s="1"/>
  <c r="E70" i="11"/>
  <c r="B340" i="9" s="1"/>
  <c r="F70" i="11"/>
  <c r="C340" i="9" s="1"/>
  <c r="G70" i="11"/>
  <c r="D340" i="9" s="1"/>
  <c r="H70" i="11"/>
  <c r="I70" i="11"/>
  <c r="F340" i="9" s="1"/>
  <c r="J70" i="11"/>
  <c r="G340" i="9" s="1"/>
  <c r="E71" i="11"/>
  <c r="B341" i="9" s="1"/>
  <c r="F71" i="11"/>
  <c r="C341" i="9" s="1"/>
  <c r="G71" i="11"/>
  <c r="D341" i="9" s="1"/>
  <c r="H71" i="11"/>
  <c r="I71" i="11"/>
  <c r="F341" i="9" s="1"/>
  <c r="J71" i="11"/>
  <c r="G341" i="9" s="1"/>
  <c r="E72" i="11"/>
  <c r="B342" i="9" s="1"/>
  <c r="F72" i="11"/>
  <c r="C342" i="9" s="1"/>
  <c r="G72" i="11"/>
  <c r="D342" i="9" s="1"/>
  <c r="H72" i="11"/>
  <c r="I72" i="11"/>
  <c r="F342" i="9" s="1"/>
  <c r="J72" i="11"/>
  <c r="G342" i="9" s="1"/>
  <c r="E74" i="11"/>
  <c r="B343" i="9" s="1"/>
  <c r="F74" i="11"/>
  <c r="C343" i="9" s="1"/>
  <c r="G74" i="11"/>
  <c r="D343" i="9" s="1"/>
  <c r="H74" i="11"/>
  <c r="I74" i="11"/>
  <c r="F343" i="9" s="1"/>
  <c r="J74" i="11"/>
  <c r="G343" i="9" s="1"/>
  <c r="E75" i="11"/>
  <c r="B344" i="9" s="1"/>
  <c r="F75" i="11"/>
  <c r="C344" i="9" s="1"/>
  <c r="G75" i="11"/>
  <c r="D344" i="9" s="1"/>
  <c r="H75" i="11"/>
  <c r="I75" i="11"/>
  <c r="F344" i="9" s="1"/>
  <c r="J75" i="11"/>
  <c r="G344" i="9" s="1"/>
  <c r="E76" i="11"/>
  <c r="B345" i="9" s="1"/>
  <c r="F76" i="11"/>
  <c r="C345" i="9" s="1"/>
  <c r="G76" i="11"/>
  <c r="D345" i="9" s="1"/>
  <c r="H76" i="11"/>
  <c r="I76" i="11"/>
  <c r="F345" i="9" s="1"/>
  <c r="J76" i="11"/>
  <c r="G345" i="9" s="1"/>
  <c r="E77" i="11"/>
  <c r="B346" i="9" s="1"/>
  <c r="F77" i="11"/>
  <c r="C346" i="9" s="1"/>
  <c r="G77" i="11"/>
  <c r="D346" i="9" s="1"/>
  <c r="H77" i="11"/>
  <c r="I77" i="11"/>
  <c r="F346" i="9" s="1"/>
  <c r="J77" i="11"/>
  <c r="G346" i="9" s="1"/>
  <c r="E78" i="11"/>
  <c r="F78" i="11"/>
  <c r="G78" i="11"/>
  <c r="H78" i="11"/>
  <c r="I78" i="11"/>
  <c r="J78" i="11"/>
  <c r="E79" i="11"/>
  <c r="F79" i="11"/>
  <c r="G79" i="11"/>
  <c r="H79" i="11"/>
  <c r="I79" i="11"/>
  <c r="J79" i="11"/>
  <c r="E80" i="11"/>
  <c r="F80" i="11"/>
  <c r="G80" i="11"/>
  <c r="H80" i="11"/>
  <c r="I80" i="11"/>
  <c r="E81" i="11"/>
  <c r="F81" i="11"/>
  <c r="G81" i="11"/>
  <c r="H81" i="11"/>
  <c r="I81" i="11"/>
  <c r="J81" i="11"/>
  <c r="E27" i="11"/>
  <c r="B305" i="9" s="1"/>
  <c r="F27" i="11"/>
  <c r="C305" i="9" s="1"/>
  <c r="G27" i="11"/>
  <c r="D305" i="9" s="1"/>
  <c r="H27" i="11"/>
  <c r="E305" i="9" s="1"/>
  <c r="I27" i="11"/>
  <c r="F305" i="9" s="1"/>
  <c r="J27" i="11"/>
  <c r="G305" i="9" s="1"/>
  <c r="E29" i="11"/>
  <c r="B306" i="9" s="1"/>
  <c r="F29" i="11"/>
  <c r="C306" i="9" s="1"/>
  <c r="G29" i="11"/>
  <c r="D306" i="9" s="1"/>
  <c r="H29" i="11"/>
  <c r="E306" i="9" s="1"/>
  <c r="I29" i="11"/>
  <c r="F306" i="9" s="1"/>
  <c r="J29" i="11"/>
  <c r="G306" i="9" s="1"/>
  <c r="E26" i="11"/>
  <c r="B304" i="9" s="1"/>
  <c r="F26" i="11"/>
  <c r="C304" i="9" s="1"/>
  <c r="G26" i="11"/>
  <c r="D304" i="9" s="1"/>
  <c r="H26" i="11"/>
  <c r="E304" i="9" s="1"/>
  <c r="I26" i="11"/>
  <c r="F304" i="9" s="1"/>
  <c r="J26" i="11"/>
  <c r="G304" i="9" s="1"/>
  <c r="J92" i="11"/>
  <c r="I92" i="11"/>
  <c r="H92" i="11"/>
  <c r="G92" i="11"/>
  <c r="F92" i="11"/>
  <c r="E92" i="11"/>
  <c r="D92" i="11"/>
  <c r="C92" i="11" s="1"/>
  <c r="J91" i="11"/>
  <c r="I91" i="11"/>
  <c r="H91" i="11"/>
  <c r="G91" i="11"/>
  <c r="E91" i="11"/>
  <c r="D91" i="11"/>
  <c r="C91" i="11" s="1"/>
  <c r="J90" i="11"/>
  <c r="I90" i="11"/>
  <c r="H90" i="11"/>
  <c r="G90" i="11"/>
  <c r="F90" i="11"/>
  <c r="E90" i="11"/>
  <c r="D90" i="11"/>
  <c r="C90" i="11" s="1"/>
  <c r="J89" i="11"/>
  <c r="I89" i="11"/>
  <c r="H89" i="11"/>
  <c r="G89" i="11"/>
  <c r="F89" i="11"/>
  <c r="E89" i="11"/>
  <c r="D89" i="11"/>
  <c r="C89" i="11" s="1"/>
  <c r="J88" i="11"/>
  <c r="I88" i="11"/>
  <c r="H88" i="11"/>
  <c r="G88" i="11"/>
  <c r="F88" i="11"/>
  <c r="E88" i="11"/>
  <c r="D88" i="11"/>
  <c r="C88" i="11" s="1"/>
  <c r="M25" i="11"/>
  <c r="M26" i="11" s="1"/>
  <c r="M27" i="11" s="1"/>
  <c r="J25" i="11"/>
  <c r="G303" i="9" s="1"/>
  <c r="I25" i="11"/>
  <c r="F303" i="9" s="1"/>
  <c r="H25" i="11"/>
  <c r="E303" i="9" s="1"/>
  <c r="G25" i="11"/>
  <c r="D303" i="9" s="1"/>
  <c r="F25" i="11"/>
  <c r="C303" i="9" s="1"/>
  <c r="E25" i="11"/>
  <c r="B303" i="9" s="1"/>
  <c r="T20" i="11"/>
  <c r="O13" i="11" s="1"/>
  <c r="S20" i="11"/>
  <c r="O10" i="11" s="1"/>
  <c r="Q20" i="11"/>
  <c r="O11" i="11" s="1"/>
  <c r="P20" i="11"/>
  <c r="AU6" i="3" s="1"/>
  <c r="O12" i="11"/>
  <c r="C13" i="11"/>
  <c r="C12" i="11"/>
  <c r="C11" i="11"/>
  <c r="C10" i="11"/>
  <c r="C8" i="11"/>
  <c r="A301" i="9"/>
  <c r="K301" i="9" s="1"/>
  <c r="B301" i="9"/>
  <c r="C301" i="9"/>
  <c r="D301" i="9"/>
  <c r="E301" i="9"/>
  <c r="F301" i="9"/>
  <c r="G301" i="9"/>
  <c r="A302" i="9"/>
  <c r="K302" i="9" s="1"/>
  <c r="B302" i="9"/>
  <c r="C302" i="9"/>
  <c r="D302" i="9"/>
  <c r="E302" i="9"/>
  <c r="F302" i="9"/>
  <c r="G302" i="9"/>
  <c r="E70" i="10"/>
  <c r="M70" i="10"/>
  <c r="M71" i="10" s="1"/>
  <c r="A300" i="9"/>
  <c r="K300" i="9" s="1"/>
  <c r="B300" i="9"/>
  <c r="C300" i="9"/>
  <c r="D300" i="9"/>
  <c r="E300" i="9"/>
  <c r="F300" i="9"/>
  <c r="G300" i="9"/>
  <c r="M69" i="10"/>
  <c r="A299" i="9"/>
  <c r="K299" i="9" s="1"/>
  <c r="B299" i="9"/>
  <c r="C299" i="9"/>
  <c r="D299" i="9"/>
  <c r="E299" i="9"/>
  <c r="F299" i="9"/>
  <c r="G299" i="9"/>
  <c r="M68" i="10"/>
  <c r="A298" i="9"/>
  <c r="K298" i="9" s="1"/>
  <c r="B298" i="9"/>
  <c r="C298" i="9"/>
  <c r="D298" i="9"/>
  <c r="E298" i="9"/>
  <c r="F298" i="9"/>
  <c r="G298" i="9"/>
  <c r="M67" i="10"/>
  <c r="A297" i="9"/>
  <c r="K297" i="9" s="1"/>
  <c r="B297" i="9"/>
  <c r="C297" i="9"/>
  <c r="D297" i="9"/>
  <c r="E297" i="9"/>
  <c r="F297" i="9"/>
  <c r="G297" i="9"/>
  <c r="M66" i="10"/>
  <c r="A294" i="9"/>
  <c r="K294" i="9" s="1"/>
  <c r="B294" i="9"/>
  <c r="C294" i="9"/>
  <c r="D294" i="9"/>
  <c r="E294" i="9"/>
  <c r="F294" i="9"/>
  <c r="G294" i="9"/>
  <c r="A295" i="9"/>
  <c r="K295" i="9" s="1"/>
  <c r="B295" i="9"/>
  <c r="C295" i="9"/>
  <c r="D295" i="9"/>
  <c r="E295" i="9"/>
  <c r="F295" i="9"/>
  <c r="G295" i="9"/>
  <c r="A296" i="9"/>
  <c r="K296" i="9" s="1"/>
  <c r="B296" i="9"/>
  <c r="C296" i="9"/>
  <c r="D296" i="9"/>
  <c r="E296" i="9"/>
  <c r="F296" i="9"/>
  <c r="G296" i="9"/>
  <c r="M65" i="10"/>
  <c r="M64" i="10"/>
  <c r="I64" i="10"/>
  <c r="G64" i="10"/>
  <c r="M63" i="10"/>
  <c r="M62" i="10"/>
  <c r="E61" i="10"/>
  <c r="F61" i="10"/>
  <c r="G61" i="10"/>
  <c r="H61" i="10"/>
  <c r="I61" i="10"/>
  <c r="J61" i="10"/>
  <c r="M61" i="10"/>
  <c r="M60" i="10"/>
  <c r="M59" i="10"/>
  <c r="M58" i="10"/>
  <c r="M57" i="10"/>
  <c r="D32" i="17" l="1"/>
  <c r="C32" i="17" s="1"/>
  <c r="M33" i="17"/>
  <c r="D53" i="17"/>
  <c r="C53" i="17" s="1"/>
  <c r="C30" i="17"/>
  <c r="M57" i="16"/>
  <c r="D56" i="16"/>
  <c r="C56" i="16" s="1"/>
  <c r="Y10" i="3"/>
  <c r="D31" i="16"/>
  <c r="C31" i="16" s="1"/>
  <c r="D30" i="16"/>
  <c r="C30" i="16" s="1"/>
  <c r="C60" i="14"/>
  <c r="A377" i="9"/>
  <c r="C64" i="14"/>
  <c r="A381" i="9"/>
  <c r="C59" i="14"/>
  <c r="A376" i="9"/>
  <c r="C61" i="14"/>
  <c r="A378" i="9"/>
  <c r="C62" i="14"/>
  <c r="A379" i="9"/>
  <c r="C76" i="14"/>
  <c r="A390" i="9"/>
  <c r="M79" i="14"/>
  <c r="D78" i="14"/>
  <c r="D66" i="14"/>
  <c r="M67" i="14"/>
  <c r="C45" i="14"/>
  <c r="A364" i="9"/>
  <c r="K364" i="9" s="1"/>
  <c r="M47" i="14"/>
  <c r="D46" i="14"/>
  <c r="M29" i="14"/>
  <c r="D28" i="14"/>
  <c r="C28" i="14" s="1"/>
  <c r="T5" i="14"/>
  <c r="D11" i="14"/>
  <c r="E11" i="14" s="1"/>
  <c r="D13" i="14"/>
  <c r="E13" i="14" s="1"/>
  <c r="D10" i="14"/>
  <c r="E10" i="14" s="1"/>
  <c r="D9" i="14"/>
  <c r="E9" i="14" s="1"/>
  <c r="D8" i="14"/>
  <c r="E8" i="14" s="1"/>
  <c r="D12" i="14"/>
  <c r="E12" i="14" s="1"/>
  <c r="A346" i="9"/>
  <c r="K346" i="9" s="1"/>
  <c r="C76" i="11"/>
  <c r="A345" i="9"/>
  <c r="K345" i="9" s="1"/>
  <c r="C75" i="11"/>
  <c r="A344" i="9"/>
  <c r="K344" i="9" s="1"/>
  <c r="A343" i="9"/>
  <c r="K343" i="9" s="1"/>
  <c r="C72" i="11"/>
  <c r="A342" i="9"/>
  <c r="K342" i="9" s="1"/>
  <c r="C56" i="11"/>
  <c r="A331" i="9"/>
  <c r="K331" i="9" s="1"/>
  <c r="C65" i="11"/>
  <c r="C54" i="11"/>
  <c r="A329" i="9"/>
  <c r="K329" i="9" s="1"/>
  <c r="C46" i="11"/>
  <c r="A321" i="9"/>
  <c r="K321" i="9" s="1"/>
  <c r="C64" i="11"/>
  <c r="C53" i="11"/>
  <c r="A328" i="9"/>
  <c r="K328" i="9" s="1"/>
  <c r="C45" i="11"/>
  <c r="A320" i="9"/>
  <c r="K320" i="9" s="1"/>
  <c r="C63" i="11"/>
  <c r="C52" i="11"/>
  <c r="A327" i="9"/>
  <c r="K327" i="9" s="1"/>
  <c r="C43" i="11"/>
  <c r="A319" i="9"/>
  <c r="K319" i="9" s="1"/>
  <c r="C62" i="11"/>
  <c r="C51" i="11"/>
  <c r="A326" i="9"/>
  <c r="K326" i="9" s="1"/>
  <c r="C42" i="11"/>
  <c r="A318" i="9"/>
  <c r="K318" i="9" s="1"/>
  <c r="C71" i="11"/>
  <c r="C60" i="11"/>
  <c r="C50" i="11"/>
  <c r="A325" i="9"/>
  <c r="K325" i="9" s="1"/>
  <c r="C70" i="11"/>
  <c r="C58" i="11"/>
  <c r="C49" i="11"/>
  <c r="A324" i="9"/>
  <c r="K324" i="9" s="1"/>
  <c r="C69" i="11"/>
  <c r="C48" i="11"/>
  <c r="A323" i="9"/>
  <c r="K323" i="9" s="1"/>
  <c r="C67" i="11"/>
  <c r="C55" i="11"/>
  <c r="A330" i="9"/>
  <c r="K330" i="9" s="1"/>
  <c r="C47" i="11"/>
  <c r="A322" i="9"/>
  <c r="K322" i="9" s="1"/>
  <c r="R20" i="11"/>
  <c r="O8" i="11" s="1"/>
  <c r="O9" i="11"/>
  <c r="D25" i="11"/>
  <c r="A303" i="9" s="1"/>
  <c r="K303" i="9" s="1"/>
  <c r="M29" i="11"/>
  <c r="M30" i="11" s="1"/>
  <c r="D27" i="11"/>
  <c r="D26" i="11"/>
  <c r="AU5" i="3"/>
  <c r="AU2" i="3"/>
  <c r="AU3" i="3"/>
  <c r="AU4" i="3"/>
  <c r="H20" i="11"/>
  <c r="X7" i="3" s="1"/>
  <c r="I20" i="11"/>
  <c r="X3" i="3" s="1"/>
  <c r="E20" i="11"/>
  <c r="X4" i="3" s="1"/>
  <c r="G20" i="11"/>
  <c r="X5" i="3" s="1"/>
  <c r="J20" i="11"/>
  <c r="X2" i="3" s="1"/>
  <c r="F20" i="11"/>
  <c r="X6" i="3" s="1"/>
  <c r="R20" i="10"/>
  <c r="I45" i="10"/>
  <c r="G45" i="10"/>
  <c r="D33" i="18" l="1"/>
  <c r="C33" i="18" s="1"/>
  <c r="M34" i="17"/>
  <c r="D33" i="17"/>
  <c r="C33" i="17" s="1"/>
  <c r="D54" i="17"/>
  <c r="C54" i="17" s="1"/>
  <c r="M58" i="16"/>
  <c r="D57" i="16"/>
  <c r="C57" i="16" s="1"/>
  <c r="X10" i="3"/>
  <c r="C78" i="14"/>
  <c r="A391" i="9"/>
  <c r="C66" i="14"/>
  <c r="A382" i="9"/>
  <c r="D79" i="14"/>
  <c r="M80" i="14"/>
  <c r="M68" i="14"/>
  <c r="D67" i="14"/>
  <c r="C46" i="14"/>
  <c r="A365" i="9"/>
  <c r="K365" i="9" s="1"/>
  <c r="D47" i="14"/>
  <c r="M48" i="14"/>
  <c r="D29" i="14"/>
  <c r="C29" i="14" s="1"/>
  <c r="M30" i="14"/>
  <c r="O16" i="11"/>
  <c r="W16" i="11" s="1"/>
  <c r="T5" i="11" s="1"/>
  <c r="C26" i="11"/>
  <c r="A304" i="9"/>
  <c r="K304" i="9" s="1"/>
  <c r="C27" i="11"/>
  <c r="A305" i="9"/>
  <c r="K305" i="9" s="1"/>
  <c r="X9" i="3"/>
  <c r="AU7" i="3"/>
  <c r="AU9" i="3" s="1"/>
  <c r="M31" i="11"/>
  <c r="D30" i="11"/>
  <c r="D29" i="11"/>
  <c r="M28" i="11"/>
  <c r="J17" i="11"/>
  <c r="H17" i="11"/>
  <c r="G17" i="11"/>
  <c r="F17" i="11"/>
  <c r="I17" i="11"/>
  <c r="E17" i="11"/>
  <c r="I43" i="10"/>
  <c r="G43" i="10"/>
  <c r="F43" i="10"/>
  <c r="D34" i="18" l="1"/>
  <c r="C34" i="18" s="1"/>
  <c r="M35" i="17"/>
  <c r="M36" i="17" s="1"/>
  <c r="D34" i="17"/>
  <c r="C34" i="17" s="1"/>
  <c r="D55" i="17"/>
  <c r="C55" i="17" s="1"/>
  <c r="M59" i="16"/>
  <c r="D58" i="16"/>
  <c r="C58" i="16" s="1"/>
  <c r="C67" i="14"/>
  <c r="A383" i="9"/>
  <c r="C79" i="14"/>
  <c r="A392" i="9"/>
  <c r="M82" i="14"/>
  <c r="D80" i="14"/>
  <c r="M69" i="14"/>
  <c r="D68" i="14"/>
  <c r="C47" i="14"/>
  <c r="A366" i="9"/>
  <c r="K366" i="9" s="1"/>
  <c r="M49" i="14"/>
  <c r="D48" i="14"/>
  <c r="C30" i="11"/>
  <c r="A307" i="9"/>
  <c r="K307" i="9" s="1"/>
  <c r="C29" i="11"/>
  <c r="A306" i="9"/>
  <c r="K306" i="9" s="1"/>
  <c r="D31" i="11"/>
  <c r="M32" i="11"/>
  <c r="D11" i="11"/>
  <c r="E11" i="11" s="1"/>
  <c r="D13" i="11"/>
  <c r="E13" i="11" s="1"/>
  <c r="D12" i="11"/>
  <c r="E12" i="11" s="1"/>
  <c r="D8" i="11"/>
  <c r="E8" i="11" s="1"/>
  <c r="D10" i="11"/>
  <c r="E10" i="11" s="1"/>
  <c r="D9" i="11"/>
  <c r="E9" i="11" s="1"/>
  <c r="E42" i="10"/>
  <c r="F42" i="10"/>
  <c r="G42" i="10"/>
  <c r="H42" i="10"/>
  <c r="I42" i="10"/>
  <c r="J42" i="10"/>
  <c r="D36" i="18" l="1"/>
  <c r="C36" i="18" s="1"/>
  <c r="M37" i="17"/>
  <c r="D36" i="17"/>
  <c r="C36" i="17" s="1"/>
  <c r="D56" i="17"/>
  <c r="C56" i="17" s="1"/>
  <c r="M60" i="16"/>
  <c r="M61" i="16" s="1"/>
  <c r="D59" i="16"/>
  <c r="C59" i="16" s="1"/>
  <c r="C80" i="14"/>
  <c r="A393" i="9"/>
  <c r="C68" i="14"/>
  <c r="A384" i="9"/>
  <c r="D82" i="14"/>
  <c r="M83" i="14"/>
  <c r="D69" i="14"/>
  <c r="M70" i="14"/>
  <c r="D70" i="14" s="1"/>
  <c r="M50" i="14"/>
  <c r="D49" i="14"/>
  <c r="A367" i="9"/>
  <c r="K367" i="9" s="1"/>
  <c r="C48" i="14"/>
  <c r="C31" i="11"/>
  <c r="A308" i="9"/>
  <c r="K308" i="9" s="1"/>
  <c r="M33" i="11"/>
  <c r="D32" i="11"/>
  <c r="E37" i="10"/>
  <c r="I36" i="10"/>
  <c r="G36" i="10"/>
  <c r="F36" i="10"/>
  <c r="D37" i="18" l="1"/>
  <c r="C37" i="18" s="1"/>
  <c r="M38" i="17"/>
  <c r="D37" i="17"/>
  <c r="C37" i="17" s="1"/>
  <c r="D57" i="17"/>
  <c r="C57" i="17" s="1"/>
  <c r="D61" i="16"/>
  <c r="C61" i="16" s="1"/>
  <c r="M62" i="16"/>
  <c r="C69" i="14"/>
  <c r="A385" i="9"/>
  <c r="C82" i="14"/>
  <c r="A394" i="9"/>
  <c r="C70" i="14"/>
  <c r="A386" i="9"/>
  <c r="M84" i="14"/>
  <c r="D83" i="14"/>
  <c r="C49" i="14"/>
  <c r="A368" i="9"/>
  <c r="K368" i="9" s="1"/>
  <c r="D50" i="14"/>
  <c r="M51" i="14"/>
  <c r="C32" i="11"/>
  <c r="A309" i="9"/>
  <c r="K309" i="9" s="1"/>
  <c r="M34" i="11"/>
  <c r="D33" i="11"/>
  <c r="E33" i="10"/>
  <c r="F33" i="10"/>
  <c r="M39" i="17" l="1"/>
  <c r="D38" i="17"/>
  <c r="C38" i="17" s="1"/>
  <c r="D58" i="17"/>
  <c r="C58" i="17" s="1"/>
  <c r="M63" i="16"/>
  <c r="D62" i="16"/>
  <c r="C62" i="16" s="1"/>
  <c r="C83" i="14"/>
  <c r="A395" i="9"/>
  <c r="D84" i="14"/>
  <c r="M85" i="14"/>
  <c r="D51" i="14"/>
  <c r="M52" i="14"/>
  <c r="C50" i="14"/>
  <c r="A369" i="9"/>
  <c r="K369" i="9" s="1"/>
  <c r="C33" i="11"/>
  <c r="A310" i="9"/>
  <c r="K310" i="9" s="1"/>
  <c r="M35" i="11"/>
  <c r="D34" i="11"/>
  <c r="J30" i="10"/>
  <c r="I30" i="10"/>
  <c r="G30" i="10"/>
  <c r="F30" i="10"/>
  <c r="D40" i="18" l="1"/>
  <c r="C40" i="18" s="1"/>
  <c r="C20" i="18" s="1"/>
  <c r="E12" i="18" s="1"/>
  <c r="M40" i="17"/>
  <c r="D40" i="17" s="1"/>
  <c r="C40" i="17" s="1"/>
  <c r="D39" i="17"/>
  <c r="C39" i="17" s="1"/>
  <c r="D63" i="16"/>
  <c r="C63" i="16" s="1"/>
  <c r="M64" i="16"/>
  <c r="C84" i="14"/>
  <c r="A396" i="9"/>
  <c r="D85" i="14"/>
  <c r="D52" i="14"/>
  <c r="M53" i="14"/>
  <c r="C51" i="14"/>
  <c r="A370" i="9"/>
  <c r="K370" i="9" s="1"/>
  <c r="C34" i="11"/>
  <c r="A311" i="9"/>
  <c r="K311" i="9" s="1"/>
  <c r="M36" i="11"/>
  <c r="D35" i="11"/>
  <c r="AA243" i="9"/>
  <c r="AB243" i="9" s="1"/>
  <c r="E22" i="18" l="1"/>
  <c r="J22" i="18"/>
  <c r="C60" i="17"/>
  <c r="M65" i="16"/>
  <c r="D64" i="16"/>
  <c r="C64" i="16" s="1"/>
  <c r="C85" i="14"/>
  <c r="A397" i="9"/>
  <c r="D53" i="14"/>
  <c r="M54" i="14"/>
  <c r="C52" i="14"/>
  <c r="A371" i="9"/>
  <c r="K371" i="9" s="1"/>
  <c r="C35" i="11"/>
  <c r="A312" i="9"/>
  <c r="K312" i="9" s="1"/>
  <c r="M37" i="11"/>
  <c r="D36" i="11"/>
  <c r="S16" i="1"/>
  <c r="I22" i="18" l="1"/>
  <c r="G22" i="18"/>
  <c r="F22" i="18"/>
  <c r="H22" i="18"/>
  <c r="AM2" i="3"/>
  <c r="E13" i="18"/>
  <c r="F13" i="18" s="1"/>
  <c r="E9" i="18"/>
  <c r="E11" i="18"/>
  <c r="E8" i="18"/>
  <c r="E10" i="18"/>
  <c r="D61" i="17"/>
  <c r="C61" i="17" s="1"/>
  <c r="D65" i="16"/>
  <c r="C65" i="16" s="1"/>
  <c r="M66" i="16"/>
  <c r="A398" i="9"/>
  <c r="C53" i="14"/>
  <c r="A372" i="9"/>
  <c r="M55" i="14"/>
  <c r="D55" i="14" s="1"/>
  <c r="D54" i="14"/>
  <c r="C36" i="11"/>
  <c r="A313" i="9"/>
  <c r="K313" i="9" s="1"/>
  <c r="M38" i="11"/>
  <c r="D37" i="11"/>
  <c r="A261" i="9"/>
  <c r="K261" i="9" s="1"/>
  <c r="B23" i="3"/>
  <c r="D23" i="3" s="1"/>
  <c r="B24" i="3"/>
  <c r="D24" i="3" s="1"/>
  <c r="B20" i="3"/>
  <c r="D20" i="3" s="1"/>
  <c r="B21" i="3"/>
  <c r="D21" i="3" s="1"/>
  <c r="B22" i="3"/>
  <c r="D22" i="3" s="1"/>
  <c r="B19" i="3"/>
  <c r="D19" i="3" s="1"/>
  <c r="P2" i="3" l="1"/>
  <c r="BK2" i="3"/>
  <c r="H9" i="18"/>
  <c r="H13" i="18"/>
  <c r="AM3" i="3"/>
  <c r="H12" i="18"/>
  <c r="H11" i="18"/>
  <c r="H10" i="18"/>
  <c r="H8" i="18"/>
  <c r="F12" i="18"/>
  <c r="F10" i="18"/>
  <c r="F11" i="18"/>
  <c r="F8" i="18"/>
  <c r="F9" i="18"/>
  <c r="D62" i="17"/>
  <c r="C62" i="17" s="1"/>
  <c r="M67" i="16"/>
  <c r="D66" i="16"/>
  <c r="C66" i="16" s="1"/>
  <c r="C88" i="14"/>
  <c r="A400" i="9"/>
  <c r="C87" i="14"/>
  <c r="A399" i="9"/>
  <c r="C54" i="14"/>
  <c r="A373" i="9"/>
  <c r="C55" i="14"/>
  <c r="A374" i="9"/>
  <c r="C37" i="11"/>
  <c r="A314" i="9"/>
  <c r="K314" i="9" s="1"/>
  <c r="M39" i="11"/>
  <c r="D38" i="11"/>
  <c r="B271" i="9"/>
  <c r="H25" i="10"/>
  <c r="E261" i="9" s="1"/>
  <c r="P20" i="10"/>
  <c r="O9" i="10" s="1"/>
  <c r="Q20" i="10"/>
  <c r="O11" i="10" s="1"/>
  <c r="O8" i="10"/>
  <c r="M25" i="10"/>
  <c r="M26" i="10" s="1"/>
  <c r="M27" i="10" s="1"/>
  <c r="M28" i="10" s="1"/>
  <c r="M29" i="10" s="1"/>
  <c r="M31" i="10" s="1"/>
  <c r="C259" i="9"/>
  <c r="J93" i="10"/>
  <c r="I93" i="10"/>
  <c r="H93" i="10"/>
  <c r="G93" i="10"/>
  <c r="F93" i="10"/>
  <c r="E93" i="10"/>
  <c r="J92" i="10"/>
  <c r="I92" i="10"/>
  <c r="H92" i="10"/>
  <c r="G92" i="10"/>
  <c r="E92" i="10"/>
  <c r="J91" i="10"/>
  <c r="I91" i="10"/>
  <c r="H91" i="10"/>
  <c r="G91" i="10"/>
  <c r="F91" i="10"/>
  <c r="E91" i="10"/>
  <c r="J90" i="10"/>
  <c r="I90" i="10"/>
  <c r="H90" i="10"/>
  <c r="G90" i="10"/>
  <c r="F90" i="10"/>
  <c r="E90" i="10"/>
  <c r="J89" i="10"/>
  <c r="I89" i="10"/>
  <c r="H89" i="10"/>
  <c r="G89" i="10"/>
  <c r="F89" i="10"/>
  <c r="E89" i="10"/>
  <c r="J88" i="10"/>
  <c r="I88" i="10"/>
  <c r="H88" i="10"/>
  <c r="G88" i="10"/>
  <c r="F88" i="10"/>
  <c r="E88" i="10"/>
  <c r="J87" i="10"/>
  <c r="I87" i="10"/>
  <c r="H87" i="10"/>
  <c r="G87" i="10"/>
  <c r="F87" i="10"/>
  <c r="E87" i="10"/>
  <c r="J86" i="10"/>
  <c r="I86" i="10"/>
  <c r="H86" i="10"/>
  <c r="G86" i="10"/>
  <c r="F86" i="10"/>
  <c r="E86" i="10"/>
  <c r="J85" i="10"/>
  <c r="I85" i="10"/>
  <c r="H85" i="10"/>
  <c r="G85" i="10"/>
  <c r="F85" i="10"/>
  <c r="E85" i="10"/>
  <c r="J84" i="10"/>
  <c r="I84" i="10"/>
  <c r="H84" i="10"/>
  <c r="G84" i="10"/>
  <c r="F84" i="10"/>
  <c r="E84" i="10"/>
  <c r="J83" i="10"/>
  <c r="I83" i="10"/>
  <c r="H83" i="10"/>
  <c r="G83" i="10"/>
  <c r="F83" i="10"/>
  <c r="E83" i="10"/>
  <c r="J82" i="10"/>
  <c r="I82" i="10"/>
  <c r="H82" i="10"/>
  <c r="G82" i="10"/>
  <c r="F82" i="10"/>
  <c r="E82" i="10"/>
  <c r="J81" i="10"/>
  <c r="I81" i="10"/>
  <c r="H81" i="10"/>
  <c r="G81" i="10"/>
  <c r="F81" i="10"/>
  <c r="E81" i="10"/>
  <c r="J80" i="10"/>
  <c r="I80" i="10"/>
  <c r="H80" i="10"/>
  <c r="G80" i="10"/>
  <c r="F80" i="10"/>
  <c r="E80" i="10"/>
  <c r="J79" i="10"/>
  <c r="I79" i="10"/>
  <c r="H79" i="10"/>
  <c r="G79" i="10"/>
  <c r="F79" i="10"/>
  <c r="E79" i="10"/>
  <c r="J78" i="10"/>
  <c r="I78" i="10"/>
  <c r="H78" i="10"/>
  <c r="G78" i="10"/>
  <c r="F78" i="10"/>
  <c r="E78" i="10"/>
  <c r="J77" i="10"/>
  <c r="I77" i="10"/>
  <c r="H77" i="10"/>
  <c r="G77" i="10"/>
  <c r="F77" i="10"/>
  <c r="E77" i="10"/>
  <c r="J76" i="10"/>
  <c r="I76" i="10"/>
  <c r="H76" i="10"/>
  <c r="G76" i="10"/>
  <c r="F76" i="10"/>
  <c r="E76" i="10"/>
  <c r="J75" i="10"/>
  <c r="I75" i="10"/>
  <c r="H75" i="10"/>
  <c r="G75" i="10"/>
  <c r="F75" i="10"/>
  <c r="E75" i="10"/>
  <c r="D75" i="10"/>
  <c r="C75" i="10" s="1"/>
  <c r="J74" i="10"/>
  <c r="I74" i="10"/>
  <c r="H74" i="10"/>
  <c r="G74" i="10"/>
  <c r="F74" i="10"/>
  <c r="E74" i="10"/>
  <c r="J73" i="10"/>
  <c r="I73" i="10"/>
  <c r="H73" i="10"/>
  <c r="G73" i="10"/>
  <c r="F73" i="10"/>
  <c r="E73" i="10"/>
  <c r="J72" i="10"/>
  <c r="I72" i="10"/>
  <c r="H72" i="10"/>
  <c r="G72" i="10"/>
  <c r="F72" i="10"/>
  <c r="E72" i="10"/>
  <c r="J71" i="10"/>
  <c r="I71" i="10"/>
  <c r="H71" i="10"/>
  <c r="G71" i="10"/>
  <c r="F71" i="10"/>
  <c r="E71" i="10"/>
  <c r="J70" i="10"/>
  <c r="I70" i="10"/>
  <c r="H70" i="10"/>
  <c r="G70" i="10"/>
  <c r="F70" i="10"/>
  <c r="J69" i="10"/>
  <c r="I69" i="10"/>
  <c r="H69" i="10"/>
  <c r="G69" i="10"/>
  <c r="F69" i="10"/>
  <c r="E69" i="10"/>
  <c r="J68" i="10"/>
  <c r="I68" i="10"/>
  <c r="H68" i="10"/>
  <c r="G68" i="10"/>
  <c r="F68" i="10"/>
  <c r="E68" i="10"/>
  <c r="J67" i="10"/>
  <c r="I67" i="10"/>
  <c r="H67" i="10"/>
  <c r="G67" i="10"/>
  <c r="F67" i="10"/>
  <c r="E67" i="10"/>
  <c r="J66" i="10"/>
  <c r="I66" i="10"/>
  <c r="H66" i="10"/>
  <c r="G66" i="10"/>
  <c r="F66" i="10"/>
  <c r="E66" i="10"/>
  <c r="J65" i="10"/>
  <c r="I65" i="10"/>
  <c r="H65" i="10"/>
  <c r="G65" i="10"/>
  <c r="F65" i="10"/>
  <c r="E65" i="10"/>
  <c r="J63" i="10"/>
  <c r="I63" i="10"/>
  <c r="H63" i="10"/>
  <c r="G63" i="10"/>
  <c r="F63" i="10"/>
  <c r="E63" i="10"/>
  <c r="J62" i="10"/>
  <c r="I62" i="10"/>
  <c r="H62" i="10"/>
  <c r="G62" i="10"/>
  <c r="F62" i="10"/>
  <c r="E62" i="10"/>
  <c r="G293" i="9"/>
  <c r="F293" i="9"/>
  <c r="E293" i="9"/>
  <c r="D293" i="9"/>
  <c r="C293" i="9"/>
  <c r="B293" i="9"/>
  <c r="J60" i="10"/>
  <c r="G292" i="9" s="1"/>
  <c r="I60" i="10"/>
  <c r="F292" i="9" s="1"/>
  <c r="H60" i="10"/>
  <c r="E292" i="9" s="1"/>
  <c r="G60" i="10"/>
  <c r="D292" i="9" s="1"/>
  <c r="F60" i="10"/>
  <c r="C292" i="9" s="1"/>
  <c r="E60" i="10"/>
  <c r="B292" i="9" s="1"/>
  <c r="J59" i="10"/>
  <c r="G291" i="9" s="1"/>
  <c r="I59" i="10"/>
  <c r="H59" i="10"/>
  <c r="E291" i="9" s="1"/>
  <c r="G59" i="10"/>
  <c r="D291" i="9" s="1"/>
  <c r="F59" i="10"/>
  <c r="C291" i="9" s="1"/>
  <c r="E59" i="10"/>
  <c r="B291" i="9" s="1"/>
  <c r="J58" i="10"/>
  <c r="G290" i="9" s="1"/>
  <c r="I58" i="10"/>
  <c r="F290" i="9" s="1"/>
  <c r="H58" i="10"/>
  <c r="E290" i="9" s="1"/>
  <c r="G58" i="10"/>
  <c r="D290" i="9" s="1"/>
  <c r="F58" i="10"/>
  <c r="C290" i="9" s="1"/>
  <c r="E58" i="10"/>
  <c r="B290" i="9" s="1"/>
  <c r="J57" i="10"/>
  <c r="G289" i="9" s="1"/>
  <c r="I57" i="10"/>
  <c r="F289" i="9" s="1"/>
  <c r="H57" i="10"/>
  <c r="E289" i="9" s="1"/>
  <c r="G57" i="10"/>
  <c r="D289" i="9" s="1"/>
  <c r="F57" i="10"/>
  <c r="C289" i="9" s="1"/>
  <c r="E57" i="10"/>
  <c r="B289" i="9" s="1"/>
  <c r="J56" i="10"/>
  <c r="G288" i="9" s="1"/>
  <c r="I56" i="10"/>
  <c r="F288" i="9" s="1"/>
  <c r="H56" i="10"/>
  <c r="E288" i="9" s="1"/>
  <c r="G56" i="10"/>
  <c r="D288" i="9" s="1"/>
  <c r="F56" i="10"/>
  <c r="C288" i="9" s="1"/>
  <c r="E56" i="10"/>
  <c r="B288" i="9" s="1"/>
  <c r="J55" i="10"/>
  <c r="G287" i="9" s="1"/>
  <c r="I55" i="10"/>
  <c r="F287" i="9" s="1"/>
  <c r="H55" i="10"/>
  <c r="E287" i="9" s="1"/>
  <c r="G55" i="10"/>
  <c r="D287" i="9" s="1"/>
  <c r="F55" i="10"/>
  <c r="C287" i="9" s="1"/>
  <c r="E55" i="10"/>
  <c r="B287" i="9" s="1"/>
  <c r="J54" i="10"/>
  <c r="G286" i="9" s="1"/>
  <c r="I54" i="10"/>
  <c r="F286" i="9" s="1"/>
  <c r="H54" i="10"/>
  <c r="E286" i="9" s="1"/>
  <c r="G54" i="10"/>
  <c r="D286" i="9" s="1"/>
  <c r="F54" i="10"/>
  <c r="C286" i="9" s="1"/>
  <c r="E54" i="10"/>
  <c r="B286" i="9" s="1"/>
  <c r="J53" i="10"/>
  <c r="G285" i="9" s="1"/>
  <c r="I53" i="10"/>
  <c r="F285" i="9" s="1"/>
  <c r="H53" i="10"/>
  <c r="E285" i="9" s="1"/>
  <c r="G53" i="10"/>
  <c r="D285" i="9" s="1"/>
  <c r="F53" i="10"/>
  <c r="C285" i="9" s="1"/>
  <c r="E53" i="10"/>
  <c r="B285" i="9" s="1"/>
  <c r="J52" i="10"/>
  <c r="G284" i="9" s="1"/>
  <c r="I52" i="10"/>
  <c r="F284" i="9" s="1"/>
  <c r="H52" i="10"/>
  <c r="E284" i="9" s="1"/>
  <c r="G52" i="10"/>
  <c r="D284" i="9" s="1"/>
  <c r="F52" i="10"/>
  <c r="C284" i="9" s="1"/>
  <c r="E52" i="10"/>
  <c r="B284" i="9" s="1"/>
  <c r="J51" i="10"/>
  <c r="G283" i="9" s="1"/>
  <c r="I51" i="10"/>
  <c r="F283" i="9" s="1"/>
  <c r="H51" i="10"/>
  <c r="E283" i="9" s="1"/>
  <c r="G51" i="10"/>
  <c r="D283" i="9" s="1"/>
  <c r="F51" i="10"/>
  <c r="C283" i="9" s="1"/>
  <c r="E51" i="10"/>
  <c r="B283" i="9" s="1"/>
  <c r="J50" i="10"/>
  <c r="G282" i="9" s="1"/>
  <c r="I50" i="10"/>
  <c r="F282" i="9" s="1"/>
  <c r="H50" i="10"/>
  <c r="E282" i="9" s="1"/>
  <c r="G50" i="10"/>
  <c r="D282" i="9" s="1"/>
  <c r="F50" i="10"/>
  <c r="C282" i="9" s="1"/>
  <c r="E50" i="10"/>
  <c r="B282" i="9" s="1"/>
  <c r="J49" i="10"/>
  <c r="G281" i="9" s="1"/>
  <c r="I49" i="10"/>
  <c r="F281" i="9" s="1"/>
  <c r="H49" i="10"/>
  <c r="E281" i="9" s="1"/>
  <c r="G49" i="10"/>
  <c r="D281" i="9" s="1"/>
  <c r="F49" i="10"/>
  <c r="C281" i="9" s="1"/>
  <c r="E49" i="10"/>
  <c r="B281" i="9" s="1"/>
  <c r="J48" i="10"/>
  <c r="G280" i="9" s="1"/>
  <c r="I48" i="10"/>
  <c r="F280" i="9" s="1"/>
  <c r="H48" i="10"/>
  <c r="E280" i="9" s="1"/>
  <c r="G48" i="10"/>
  <c r="D280" i="9" s="1"/>
  <c r="F48" i="10"/>
  <c r="C280" i="9" s="1"/>
  <c r="E48" i="10"/>
  <c r="B280" i="9" s="1"/>
  <c r="J47" i="10"/>
  <c r="G279" i="9" s="1"/>
  <c r="I47" i="10"/>
  <c r="F279" i="9" s="1"/>
  <c r="H47" i="10"/>
  <c r="E279" i="9" s="1"/>
  <c r="G47" i="10"/>
  <c r="D279" i="9" s="1"/>
  <c r="F47" i="10"/>
  <c r="E47" i="10"/>
  <c r="B279" i="9" s="1"/>
  <c r="J46" i="10"/>
  <c r="G278" i="9" s="1"/>
  <c r="I46" i="10"/>
  <c r="F278" i="9" s="1"/>
  <c r="H46" i="10"/>
  <c r="E278" i="9" s="1"/>
  <c r="G46" i="10"/>
  <c r="D278" i="9" s="1"/>
  <c r="F46" i="10"/>
  <c r="C278" i="9" s="1"/>
  <c r="E46" i="10"/>
  <c r="B278" i="9" s="1"/>
  <c r="J44" i="10"/>
  <c r="G277" i="9" s="1"/>
  <c r="I44" i="10"/>
  <c r="F277" i="9" s="1"/>
  <c r="H44" i="10"/>
  <c r="E277" i="9" s="1"/>
  <c r="G44" i="10"/>
  <c r="D277" i="9" s="1"/>
  <c r="F44" i="10"/>
  <c r="C277" i="9" s="1"/>
  <c r="E44" i="10"/>
  <c r="B277" i="9" s="1"/>
  <c r="G276" i="9"/>
  <c r="F276" i="9"/>
  <c r="E276" i="9"/>
  <c r="D276" i="9"/>
  <c r="C276" i="9"/>
  <c r="B276" i="9"/>
  <c r="J41" i="10"/>
  <c r="G275" i="9" s="1"/>
  <c r="I41" i="10"/>
  <c r="F275" i="9" s="1"/>
  <c r="H41" i="10"/>
  <c r="E275" i="9" s="1"/>
  <c r="G41" i="10"/>
  <c r="D275" i="9" s="1"/>
  <c r="F41" i="10"/>
  <c r="C275" i="9" s="1"/>
  <c r="E41" i="10"/>
  <c r="B275" i="9" s="1"/>
  <c r="J40" i="10"/>
  <c r="G274" i="9" s="1"/>
  <c r="I40" i="10"/>
  <c r="F274" i="9" s="1"/>
  <c r="H40" i="10"/>
  <c r="E274" i="9" s="1"/>
  <c r="G40" i="10"/>
  <c r="D274" i="9" s="1"/>
  <c r="F40" i="10"/>
  <c r="C274" i="9" s="1"/>
  <c r="E40" i="10"/>
  <c r="B274" i="9" s="1"/>
  <c r="J39" i="10"/>
  <c r="G273" i="9" s="1"/>
  <c r="I39" i="10"/>
  <c r="F273" i="9" s="1"/>
  <c r="H39" i="10"/>
  <c r="E273" i="9" s="1"/>
  <c r="G39" i="10"/>
  <c r="D273" i="9" s="1"/>
  <c r="F39" i="10"/>
  <c r="C273" i="9" s="1"/>
  <c r="E39" i="10"/>
  <c r="B273" i="9" s="1"/>
  <c r="J38" i="10"/>
  <c r="G272" i="9" s="1"/>
  <c r="I38" i="10"/>
  <c r="F272" i="9" s="1"/>
  <c r="H38" i="10"/>
  <c r="E272" i="9" s="1"/>
  <c r="G38" i="10"/>
  <c r="D272" i="9" s="1"/>
  <c r="F38" i="10"/>
  <c r="C272" i="9" s="1"/>
  <c r="E38" i="10"/>
  <c r="B272" i="9" s="1"/>
  <c r="J37" i="10"/>
  <c r="G271" i="9" s="1"/>
  <c r="I37" i="10"/>
  <c r="F271" i="9" s="1"/>
  <c r="H37" i="10"/>
  <c r="E271" i="9" s="1"/>
  <c r="G37" i="10"/>
  <c r="D271" i="9" s="1"/>
  <c r="F37" i="10"/>
  <c r="C271" i="9" s="1"/>
  <c r="J35" i="10"/>
  <c r="G270" i="9" s="1"/>
  <c r="I35" i="10"/>
  <c r="F270" i="9" s="1"/>
  <c r="H35" i="10"/>
  <c r="E270" i="9" s="1"/>
  <c r="G35" i="10"/>
  <c r="D270" i="9" s="1"/>
  <c r="F35" i="10"/>
  <c r="C270" i="9" s="1"/>
  <c r="E35" i="10"/>
  <c r="B270" i="9" s="1"/>
  <c r="J34" i="10"/>
  <c r="G269" i="9" s="1"/>
  <c r="I34" i="10"/>
  <c r="F269" i="9" s="1"/>
  <c r="H34" i="10"/>
  <c r="E269" i="9" s="1"/>
  <c r="G34" i="10"/>
  <c r="D269" i="9" s="1"/>
  <c r="F34" i="10"/>
  <c r="C269" i="9" s="1"/>
  <c r="E34" i="10"/>
  <c r="B269" i="9" s="1"/>
  <c r="J33" i="10"/>
  <c r="G268" i="9" s="1"/>
  <c r="I33" i="10"/>
  <c r="F268" i="9" s="1"/>
  <c r="H33" i="10"/>
  <c r="E268" i="9" s="1"/>
  <c r="G33" i="10"/>
  <c r="D268" i="9" s="1"/>
  <c r="C268" i="9"/>
  <c r="B268" i="9"/>
  <c r="J32" i="10"/>
  <c r="G267" i="9" s="1"/>
  <c r="I32" i="10"/>
  <c r="F267" i="9" s="1"/>
  <c r="H32" i="10"/>
  <c r="E267" i="9" s="1"/>
  <c r="G32" i="10"/>
  <c r="D267" i="9" s="1"/>
  <c r="F32" i="10"/>
  <c r="C267" i="9" s="1"/>
  <c r="E32" i="10"/>
  <c r="B267" i="9" s="1"/>
  <c r="J31" i="10"/>
  <c r="G266" i="9" s="1"/>
  <c r="I31" i="10"/>
  <c r="F266" i="9" s="1"/>
  <c r="H31" i="10"/>
  <c r="E266" i="9" s="1"/>
  <c r="G31" i="10"/>
  <c r="D266" i="9" s="1"/>
  <c r="F31" i="10"/>
  <c r="C266" i="9" s="1"/>
  <c r="E31" i="10"/>
  <c r="B266" i="9" s="1"/>
  <c r="J29" i="10"/>
  <c r="G265" i="9" s="1"/>
  <c r="I29" i="10"/>
  <c r="F265" i="9" s="1"/>
  <c r="H29" i="10"/>
  <c r="E265" i="9" s="1"/>
  <c r="G29" i="10"/>
  <c r="D265" i="9" s="1"/>
  <c r="F29" i="10"/>
  <c r="C265" i="9" s="1"/>
  <c r="E29" i="10"/>
  <c r="B265" i="9" s="1"/>
  <c r="J28" i="10"/>
  <c r="G264" i="9" s="1"/>
  <c r="I28" i="10"/>
  <c r="F264" i="9" s="1"/>
  <c r="H28" i="10"/>
  <c r="E264" i="9" s="1"/>
  <c r="G28" i="10"/>
  <c r="D264" i="9" s="1"/>
  <c r="F28" i="10"/>
  <c r="C264" i="9" s="1"/>
  <c r="E28" i="10"/>
  <c r="B264" i="9" s="1"/>
  <c r="J27" i="10"/>
  <c r="G263" i="9" s="1"/>
  <c r="I27" i="10"/>
  <c r="F263" i="9" s="1"/>
  <c r="H27" i="10"/>
  <c r="E263" i="9" s="1"/>
  <c r="G27" i="10"/>
  <c r="D263" i="9" s="1"/>
  <c r="F27" i="10"/>
  <c r="C263" i="9" s="1"/>
  <c r="E27" i="10"/>
  <c r="B263" i="9" s="1"/>
  <c r="J26" i="10"/>
  <c r="I26" i="10"/>
  <c r="F262" i="9" s="1"/>
  <c r="H26" i="10"/>
  <c r="G26" i="10"/>
  <c r="D262" i="9" s="1"/>
  <c r="F26" i="10"/>
  <c r="E26" i="10"/>
  <c r="B262" i="9" s="1"/>
  <c r="J25" i="10"/>
  <c r="G261" i="9" s="1"/>
  <c r="I25" i="10"/>
  <c r="F261" i="9" s="1"/>
  <c r="G25" i="10"/>
  <c r="D261" i="9" s="1"/>
  <c r="F25" i="10"/>
  <c r="C261" i="9" s="1"/>
  <c r="E25" i="10"/>
  <c r="B261" i="9" s="1"/>
  <c r="T20" i="10"/>
  <c r="AT2" i="3" s="1"/>
  <c r="S20" i="10"/>
  <c r="O10" i="10" s="1"/>
  <c r="O20" i="10"/>
  <c r="O12" i="10" s="1"/>
  <c r="C13" i="10"/>
  <c r="C12" i="10"/>
  <c r="C11" i="10"/>
  <c r="C10" i="10"/>
  <c r="C9" i="10"/>
  <c r="C8" i="10"/>
  <c r="B8" i="18" l="1"/>
  <c r="AM4" i="3"/>
  <c r="BK4" i="3" s="1"/>
  <c r="BK3" i="3"/>
  <c r="B9" i="18"/>
  <c r="B13" i="18"/>
  <c r="P3" i="3"/>
  <c r="B10" i="18"/>
  <c r="B11" i="18"/>
  <c r="B12" i="18"/>
  <c r="D67" i="16"/>
  <c r="C67" i="16" s="1"/>
  <c r="M68" i="16"/>
  <c r="C20" i="14"/>
  <c r="C38" i="11"/>
  <c r="A315" i="9"/>
  <c r="K315" i="9" s="1"/>
  <c r="M40" i="11"/>
  <c r="M41" i="11" s="1"/>
  <c r="D41" i="11" s="1"/>
  <c r="D39" i="11"/>
  <c r="F291" i="9"/>
  <c r="I20" i="10"/>
  <c r="W3" i="3" s="1"/>
  <c r="C279" i="9"/>
  <c r="F20" i="10"/>
  <c r="W6" i="3" s="1"/>
  <c r="M32" i="10"/>
  <c r="M30" i="10"/>
  <c r="AT5" i="3"/>
  <c r="O13" i="10"/>
  <c r="O16" i="10" s="1"/>
  <c r="W16" i="10" s="1"/>
  <c r="J20" i="10"/>
  <c r="W2" i="3" s="1"/>
  <c r="G262" i="9"/>
  <c r="AT3" i="3"/>
  <c r="AT7" i="3"/>
  <c r="E262" i="9"/>
  <c r="H20" i="10"/>
  <c r="W7" i="3" s="1"/>
  <c r="AT6" i="3"/>
  <c r="C262" i="9"/>
  <c r="AT4" i="3"/>
  <c r="G20" i="10"/>
  <c r="W5" i="3" s="1"/>
  <c r="D26" i="10"/>
  <c r="D28" i="10"/>
  <c r="D27" i="10"/>
  <c r="D57" i="10"/>
  <c r="D77" i="10"/>
  <c r="C77" i="10" s="1"/>
  <c r="E20" i="10"/>
  <c r="W4" i="3" s="1"/>
  <c r="D76" i="10"/>
  <c r="C76" i="10" s="1"/>
  <c r="T20" i="1"/>
  <c r="AS2" i="3" s="1"/>
  <c r="Q20" i="1"/>
  <c r="AS5" i="3" s="1"/>
  <c r="G105" i="1"/>
  <c r="H105" i="1"/>
  <c r="E260" i="9" s="1"/>
  <c r="I105" i="1"/>
  <c r="F260" i="9" s="1"/>
  <c r="J105" i="1"/>
  <c r="F105" i="1"/>
  <c r="F101" i="1"/>
  <c r="C257" i="9" s="1"/>
  <c r="E105" i="1"/>
  <c r="AM5" i="3" l="1"/>
  <c r="BK5" i="3" s="1"/>
  <c r="P4" i="3"/>
  <c r="W10" i="3"/>
  <c r="D64" i="17"/>
  <c r="C64" i="17" s="1"/>
  <c r="D68" i="16"/>
  <c r="C68" i="16" s="1"/>
  <c r="M69" i="16"/>
  <c r="F8" i="14"/>
  <c r="F10" i="14"/>
  <c r="C41" i="11"/>
  <c r="A317" i="9"/>
  <c r="K317" i="9" s="1"/>
  <c r="C39" i="11"/>
  <c r="A316" i="9"/>
  <c r="K316" i="9" s="1"/>
  <c r="W9" i="3"/>
  <c r="D32" i="10"/>
  <c r="M33" i="10"/>
  <c r="O11" i="1"/>
  <c r="G260" i="9"/>
  <c r="D260" i="9"/>
  <c r="B260" i="9"/>
  <c r="C57" i="10"/>
  <c r="A289" i="9"/>
  <c r="K289" i="9" s="1"/>
  <c r="C260" i="9"/>
  <c r="C28" i="10"/>
  <c r="A264" i="9"/>
  <c r="K264" i="9" s="1"/>
  <c r="C27" i="10"/>
  <c r="A263" i="9"/>
  <c r="K263" i="9" s="1"/>
  <c r="AT9" i="3"/>
  <c r="C26" i="10"/>
  <c r="A262" i="9"/>
  <c r="K262" i="9" s="1"/>
  <c r="H17" i="10"/>
  <c r="E17" i="10"/>
  <c r="G17" i="10"/>
  <c r="D78" i="10"/>
  <c r="C78" i="10" s="1"/>
  <c r="D58" i="10"/>
  <c r="J17" i="10"/>
  <c r="F17" i="10"/>
  <c r="I17" i="10"/>
  <c r="D31" i="10"/>
  <c r="D29" i="10"/>
  <c r="O13" i="1"/>
  <c r="I103" i="1"/>
  <c r="F259" i="9" s="1"/>
  <c r="E103" i="1"/>
  <c r="B259" i="9" s="1"/>
  <c r="G103" i="1"/>
  <c r="D259" i="9" s="1"/>
  <c r="H103" i="1"/>
  <c r="J103" i="1"/>
  <c r="G259" i="9" s="1"/>
  <c r="J104" i="1"/>
  <c r="I104" i="1"/>
  <c r="G104" i="1"/>
  <c r="F104" i="1"/>
  <c r="P5" i="3" l="1"/>
  <c r="AM6" i="3"/>
  <c r="BK6" i="3" s="1"/>
  <c r="D69" i="16"/>
  <c r="C69" i="16" s="1"/>
  <c r="M70" i="16"/>
  <c r="M34" i="10"/>
  <c r="D33" i="10"/>
  <c r="C32" i="10"/>
  <c r="A267" i="9"/>
  <c r="K267" i="9" s="1"/>
  <c r="C58" i="10"/>
  <c r="A290" i="9"/>
  <c r="K290" i="9" s="1"/>
  <c r="A266" i="9"/>
  <c r="K266" i="9" s="1"/>
  <c r="C29" i="10"/>
  <c r="A265" i="9"/>
  <c r="K265" i="9" s="1"/>
  <c r="D10" i="10"/>
  <c r="E10" i="10" s="1"/>
  <c r="D9" i="10"/>
  <c r="E9" i="10" s="1"/>
  <c r="D12" i="10"/>
  <c r="E12" i="10" s="1"/>
  <c r="D11" i="10"/>
  <c r="E11" i="10" s="1"/>
  <c r="D79" i="10"/>
  <c r="C79" i="10" s="1"/>
  <c r="D59" i="10"/>
  <c r="D8" i="10"/>
  <c r="E8" i="10" s="1"/>
  <c r="D13" i="10"/>
  <c r="E13" i="10" s="1"/>
  <c r="P6" i="3" l="1"/>
  <c r="AM7" i="3"/>
  <c r="BK7" i="3" s="1"/>
  <c r="BK9" i="3" s="1"/>
  <c r="D66" i="17"/>
  <c r="C66" i="17" s="1"/>
  <c r="D70" i="16"/>
  <c r="C70" i="16" s="1"/>
  <c r="M71" i="16"/>
  <c r="A268" i="9"/>
  <c r="K268" i="9" s="1"/>
  <c r="C33" i="10"/>
  <c r="M35" i="10"/>
  <c r="D35" i="10" s="1"/>
  <c r="A270" i="9" s="1"/>
  <c r="K270" i="9" s="1"/>
  <c r="D34" i="10"/>
  <c r="C59" i="10"/>
  <c r="A291" i="9"/>
  <c r="K291" i="9" s="1"/>
  <c r="D60" i="10"/>
  <c r="D80" i="10"/>
  <c r="C80" i="10" s="1"/>
  <c r="T5" i="10"/>
  <c r="AM9" i="3" l="1"/>
  <c r="P9" i="3" s="1"/>
  <c r="P7" i="3"/>
  <c r="D67" i="17"/>
  <c r="C67" i="17" s="1"/>
  <c r="M72" i="16"/>
  <c r="D71" i="16"/>
  <c r="C71" i="16" s="1"/>
  <c r="C35" i="10"/>
  <c r="C34" i="10"/>
  <c r="A269" i="9"/>
  <c r="K269" i="9" s="1"/>
  <c r="C60" i="10"/>
  <c r="A292" i="9"/>
  <c r="K292" i="9" s="1"/>
  <c r="D81" i="10"/>
  <c r="C81" i="10" s="1"/>
  <c r="D61" i="10"/>
  <c r="D68" i="17" l="1"/>
  <c r="C68" i="17" s="1"/>
  <c r="M74" i="16"/>
  <c r="D72" i="16"/>
  <c r="C72" i="16" s="1"/>
  <c r="C61" i="10"/>
  <c r="A293" i="9"/>
  <c r="K293" i="9" s="1"/>
  <c r="D62" i="10"/>
  <c r="C62" i="10" s="1"/>
  <c r="D82" i="10"/>
  <c r="C82" i="10" s="1"/>
  <c r="D69" i="17" l="1"/>
  <c r="C69" i="17" s="1"/>
  <c r="D74" i="16"/>
  <c r="C74" i="16" s="1"/>
  <c r="M75" i="16"/>
  <c r="D63" i="10"/>
  <c r="C63" i="10" s="1"/>
  <c r="D83" i="10"/>
  <c r="C83" i="10" s="1"/>
  <c r="D70" i="17" l="1"/>
  <c r="C70" i="17" s="1"/>
  <c r="D75" i="16"/>
  <c r="C75" i="16" s="1"/>
  <c r="M76" i="16"/>
  <c r="D84" i="10"/>
  <c r="C84" i="10" s="1"/>
  <c r="E96" i="1"/>
  <c r="B252" i="9" s="1"/>
  <c r="F96" i="1"/>
  <c r="G96" i="1"/>
  <c r="D252" i="9" s="1"/>
  <c r="H96" i="1"/>
  <c r="E252" i="9" s="1"/>
  <c r="I96" i="1"/>
  <c r="F252" i="9" s="1"/>
  <c r="J96" i="1"/>
  <c r="G252" i="9" s="1"/>
  <c r="E97" i="1"/>
  <c r="B253" i="9" s="1"/>
  <c r="F97" i="1"/>
  <c r="C253" i="9" s="1"/>
  <c r="G97" i="1"/>
  <c r="D253" i="9" s="1"/>
  <c r="H97" i="1"/>
  <c r="I97" i="1"/>
  <c r="F253" i="9" s="1"/>
  <c r="J97" i="1"/>
  <c r="G253" i="9" s="1"/>
  <c r="M77" i="16" l="1"/>
  <c r="D76" i="16"/>
  <c r="C76" i="16" s="1"/>
  <c r="D85" i="10"/>
  <c r="C85" i="10" s="1"/>
  <c r="D65" i="10"/>
  <c r="C65" i="10" s="1"/>
  <c r="E99" i="1"/>
  <c r="B255" i="9" s="1"/>
  <c r="F99" i="1"/>
  <c r="C255" i="9" s="1"/>
  <c r="G99" i="1"/>
  <c r="D255" i="9" s="1"/>
  <c r="H99" i="1"/>
  <c r="E255" i="9" s="1"/>
  <c r="I99" i="1"/>
  <c r="F255" i="9" s="1"/>
  <c r="J99" i="1"/>
  <c r="G255" i="9" s="1"/>
  <c r="E100" i="1"/>
  <c r="B256" i="9" s="1"/>
  <c r="F100" i="1"/>
  <c r="C256" i="9" s="1"/>
  <c r="G100" i="1"/>
  <c r="D256" i="9" s="1"/>
  <c r="H100" i="1"/>
  <c r="I100" i="1"/>
  <c r="F256" i="9" s="1"/>
  <c r="J100" i="1"/>
  <c r="G256" i="9" s="1"/>
  <c r="E101" i="1"/>
  <c r="B257" i="9" s="1"/>
  <c r="G101" i="1"/>
  <c r="D257" i="9" s="1"/>
  <c r="H101" i="1"/>
  <c r="I101" i="1"/>
  <c r="F257" i="9" s="1"/>
  <c r="J101" i="1"/>
  <c r="G257" i="9" s="1"/>
  <c r="E102" i="1"/>
  <c r="B258" i="9" s="1"/>
  <c r="F102" i="1"/>
  <c r="C258" i="9" s="1"/>
  <c r="G102" i="1"/>
  <c r="D258" i="9" s="1"/>
  <c r="H102" i="1"/>
  <c r="I102" i="1"/>
  <c r="F258" i="9" s="1"/>
  <c r="J102" i="1"/>
  <c r="G258" i="9" s="1"/>
  <c r="C73" i="17" l="1"/>
  <c r="D72" i="17"/>
  <c r="C72" i="17" s="1"/>
  <c r="M78" i="16"/>
  <c r="D78" i="16" s="1"/>
  <c r="C78" i="16" s="1"/>
  <c r="D77" i="16"/>
  <c r="C77" i="16" s="1"/>
  <c r="D66" i="10"/>
  <c r="C66" i="10" s="1"/>
  <c r="D86" i="10"/>
  <c r="C86" i="10" s="1"/>
  <c r="P78" i="2"/>
  <c r="E93" i="1"/>
  <c r="B249" i="9" s="1"/>
  <c r="F93" i="1"/>
  <c r="C249" i="9" s="1"/>
  <c r="G93" i="1"/>
  <c r="D249" i="9" s="1"/>
  <c r="H93" i="1"/>
  <c r="E249" i="9" s="1"/>
  <c r="I93" i="1"/>
  <c r="F249" i="9" s="1"/>
  <c r="J93" i="1"/>
  <c r="G249" i="9" s="1"/>
  <c r="E88" i="1"/>
  <c r="B244" i="9" s="1"/>
  <c r="C20" i="17" l="1"/>
  <c r="C20" i="16"/>
  <c r="F8" i="16" s="1"/>
  <c r="G8" i="16" s="1"/>
  <c r="D67" i="10"/>
  <c r="C67" i="10" s="1"/>
  <c r="D87" i="10"/>
  <c r="C87" i="10" s="1"/>
  <c r="E94" i="1"/>
  <c r="B250" i="9" s="1"/>
  <c r="F94" i="1"/>
  <c r="C250" i="9" s="1"/>
  <c r="G94" i="1"/>
  <c r="D250" i="9" s="1"/>
  <c r="H94" i="1"/>
  <c r="I94" i="1"/>
  <c r="F250" i="9" s="1"/>
  <c r="J94" i="1"/>
  <c r="G250" i="9" s="1"/>
  <c r="E95" i="1"/>
  <c r="B251" i="9" s="1"/>
  <c r="F95" i="1"/>
  <c r="C251" i="9" s="1"/>
  <c r="G95" i="1"/>
  <c r="D251" i="9" s="1"/>
  <c r="H95" i="1"/>
  <c r="E251" i="9" s="1"/>
  <c r="I95" i="1"/>
  <c r="F251" i="9" s="1"/>
  <c r="J95" i="1"/>
  <c r="G251" i="9" s="1"/>
  <c r="E98" i="1"/>
  <c r="F98" i="1"/>
  <c r="G98" i="1"/>
  <c r="H98" i="1"/>
  <c r="I98" i="1"/>
  <c r="J98" i="1"/>
  <c r="G254" i="9" s="1"/>
  <c r="F8" i="17" l="1"/>
  <c r="G8" i="17" s="1"/>
  <c r="AL2" i="3"/>
  <c r="F13" i="17"/>
  <c r="G13" i="17" s="1"/>
  <c r="F9" i="17"/>
  <c r="G9" i="17" s="1"/>
  <c r="F10" i="17"/>
  <c r="G10" i="17" s="1"/>
  <c r="F12" i="17"/>
  <c r="G12" i="17" s="1"/>
  <c r="F11" i="17"/>
  <c r="G11" i="17" s="1"/>
  <c r="AK2" i="3"/>
  <c r="BI2" i="3" s="1"/>
  <c r="F11" i="16"/>
  <c r="G11" i="16" s="1"/>
  <c r="F10" i="16"/>
  <c r="G10" i="16" s="1"/>
  <c r="F12" i="16"/>
  <c r="G12" i="16" s="1"/>
  <c r="F9" i="16"/>
  <c r="G9" i="16" s="1"/>
  <c r="F13" i="16"/>
  <c r="G13" i="16" s="1"/>
  <c r="F254" i="9"/>
  <c r="E254" i="9"/>
  <c r="D254" i="9"/>
  <c r="C254" i="9"/>
  <c r="B254" i="9"/>
  <c r="D88" i="10"/>
  <c r="C88" i="10" s="1"/>
  <c r="D68" i="10"/>
  <c r="C68" i="10" s="1"/>
  <c r="E89" i="1"/>
  <c r="B245" i="9" s="1"/>
  <c r="F89" i="1"/>
  <c r="G89" i="1"/>
  <c r="D245" i="9" s="1"/>
  <c r="H89" i="1"/>
  <c r="I89" i="1"/>
  <c r="F245" i="9" s="1"/>
  <c r="J89" i="1"/>
  <c r="G245" i="9" s="1"/>
  <c r="O2" i="3" l="1"/>
  <c r="BJ2" i="3"/>
  <c r="AL3" i="3"/>
  <c r="BJ3" i="3" s="1"/>
  <c r="AK3" i="3"/>
  <c r="N2" i="3"/>
  <c r="D69" i="10"/>
  <c r="C69" i="10" s="1"/>
  <c r="D89" i="10"/>
  <c r="C89" i="10" s="1"/>
  <c r="E90" i="1"/>
  <c r="B246" i="9" s="1"/>
  <c r="F90" i="1"/>
  <c r="C246" i="9" s="1"/>
  <c r="G90" i="1"/>
  <c r="D246" i="9" s="1"/>
  <c r="H90" i="1"/>
  <c r="E246" i="9" s="1"/>
  <c r="I90" i="1"/>
  <c r="F246" i="9" s="1"/>
  <c r="J90" i="1"/>
  <c r="G246" i="9" s="1"/>
  <c r="E91" i="1"/>
  <c r="B247" i="9" s="1"/>
  <c r="F91" i="1"/>
  <c r="C247" i="9" s="1"/>
  <c r="G91" i="1"/>
  <c r="D247" i="9" s="1"/>
  <c r="H91" i="1"/>
  <c r="I91" i="1"/>
  <c r="F247" i="9" s="1"/>
  <c r="J91" i="1"/>
  <c r="G247" i="9" s="1"/>
  <c r="E92" i="1"/>
  <c r="B248" i="9" s="1"/>
  <c r="F92" i="1"/>
  <c r="C248" i="9" s="1"/>
  <c r="G92" i="1"/>
  <c r="D248" i="9" s="1"/>
  <c r="H92" i="1"/>
  <c r="I92" i="1"/>
  <c r="F248" i="9" s="1"/>
  <c r="J92" i="1"/>
  <c r="G248" i="9" s="1"/>
  <c r="I87" i="1"/>
  <c r="G87" i="1"/>
  <c r="M86" i="1"/>
  <c r="M87" i="1" s="1"/>
  <c r="M88" i="1" s="1"/>
  <c r="M89" i="1" s="1"/>
  <c r="N3" i="3" l="1"/>
  <c r="BI3" i="3"/>
  <c r="AL4" i="3"/>
  <c r="BJ4" i="3" s="1"/>
  <c r="O3" i="3"/>
  <c r="AK5" i="3"/>
  <c r="D70" i="10"/>
  <c r="C70" i="10" s="1"/>
  <c r="D90" i="10"/>
  <c r="C90" i="10" s="1"/>
  <c r="D89" i="1"/>
  <c r="A245" i="9" s="1"/>
  <c r="K245" i="9" s="1"/>
  <c r="M90" i="1"/>
  <c r="J83" i="1"/>
  <c r="I83" i="1"/>
  <c r="G83" i="1"/>
  <c r="F83" i="1"/>
  <c r="N5" i="3" l="1"/>
  <c r="BI5" i="3"/>
  <c r="AL5" i="3"/>
  <c r="O4" i="3"/>
  <c r="AK4" i="3"/>
  <c r="F13" i="14"/>
  <c r="G13" i="14" s="1"/>
  <c r="AJ2" i="3"/>
  <c r="G10" i="14"/>
  <c r="F12" i="14"/>
  <c r="G12" i="14" s="1"/>
  <c r="F11" i="14"/>
  <c r="G11" i="14" s="1"/>
  <c r="F9" i="14"/>
  <c r="G9" i="14" s="1"/>
  <c r="G8" i="14"/>
  <c r="D71" i="10"/>
  <c r="C71" i="10" s="1"/>
  <c r="D91" i="10"/>
  <c r="C91" i="10" s="1"/>
  <c r="M91" i="1"/>
  <c r="D90" i="1"/>
  <c r="J81" i="1"/>
  <c r="I81" i="1"/>
  <c r="H81" i="1"/>
  <c r="G81" i="1"/>
  <c r="F81" i="1"/>
  <c r="BJ5" i="3" l="1"/>
  <c r="M2" i="3"/>
  <c r="BH2" i="3"/>
  <c r="N4" i="3"/>
  <c r="BI4" i="3"/>
  <c r="AL6" i="3"/>
  <c r="BJ6" i="3" s="1"/>
  <c r="O5" i="3"/>
  <c r="AK6" i="3"/>
  <c r="AJ3" i="3"/>
  <c r="BH3" i="3" s="1"/>
  <c r="C90" i="1"/>
  <c r="A246" i="9"/>
  <c r="K246" i="9" s="1"/>
  <c r="D93" i="10"/>
  <c r="C93" i="10" s="1"/>
  <c r="D92" i="10"/>
  <c r="C92" i="10" s="1"/>
  <c r="D72" i="10"/>
  <c r="C72" i="10" s="1"/>
  <c r="M92" i="1"/>
  <c r="D91" i="1"/>
  <c r="J70" i="1"/>
  <c r="I70" i="1"/>
  <c r="H70" i="1"/>
  <c r="G70" i="1"/>
  <c r="F70" i="1"/>
  <c r="J73" i="1"/>
  <c r="I73" i="1"/>
  <c r="H73" i="1"/>
  <c r="G73" i="1"/>
  <c r="F73" i="1"/>
  <c r="N6" i="3" l="1"/>
  <c r="BI6" i="3"/>
  <c r="AL7" i="3"/>
  <c r="O6" i="3"/>
  <c r="AK7" i="3"/>
  <c r="M3" i="3"/>
  <c r="AJ5" i="3"/>
  <c r="C91" i="1"/>
  <c r="A247" i="9"/>
  <c r="K247" i="9" s="1"/>
  <c r="D74" i="10"/>
  <c r="C74" i="10" s="1"/>
  <c r="D73" i="10"/>
  <c r="C73" i="10" s="1"/>
  <c r="D92" i="1"/>
  <c r="M93" i="1"/>
  <c r="J67" i="1"/>
  <c r="I67" i="1"/>
  <c r="H67" i="1"/>
  <c r="G67" i="1"/>
  <c r="F67" i="1"/>
  <c r="AK9" i="3" l="1"/>
  <c r="N9" i="3" s="1"/>
  <c r="BI7" i="3"/>
  <c r="BI9" i="3" s="1"/>
  <c r="O7" i="3"/>
  <c r="BJ7" i="3"/>
  <c r="BJ9" i="3" s="1"/>
  <c r="BH5" i="3"/>
  <c r="AL9" i="3"/>
  <c r="O9" i="3" s="1"/>
  <c r="N7" i="3"/>
  <c r="AK8" i="3"/>
  <c r="N8" i="3" s="1"/>
  <c r="AJ4" i="3"/>
  <c r="BH4" i="3" s="1"/>
  <c r="M5" i="3"/>
  <c r="C92" i="1"/>
  <c r="A248" i="9"/>
  <c r="K248" i="9" s="1"/>
  <c r="M94" i="1"/>
  <c r="D93" i="1"/>
  <c r="BA5" i="3"/>
  <c r="BB5" i="3"/>
  <c r="BA4" i="3"/>
  <c r="BB4" i="3"/>
  <c r="BA3" i="3"/>
  <c r="BB3" i="3"/>
  <c r="BA7" i="3"/>
  <c r="BB7" i="3"/>
  <c r="BA6" i="3"/>
  <c r="BB6" i="3"/>
  <c r="BB2" i="3"/>
  <c r="BB9" i="3" l="1"/>
  <c r="AJ7" i="3"/>
  <c r="BH7" i="3" s="1"/>
  <c r="M4" i="3"/>
  <c r="C93" i="1"/>
  <c r="A249" i="9"/>
  <c r="K249" i="9" s="1"/>
  <c r="M95" i="1"/>
  <c r="D94" i="1"/>
  <c r="J63" i="1"/>
  <c r="I63" i="1"/>
  <c r="H63" i="1"/>
  <c r="G63" i="1"/>
  <c r="F63" i="1"/>
  <c r="AJ6" i="3" l="1"/>
  <c r="M7" i="3"/>
  <c r="C94" i="1"/>
  <c r="A250" i="9"/>
  <c r="K250" i="9" s="1"/>
  <c r="D95" i="1"/>
  <c r="M96" i="1"/>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K189" i="9"/>
  <c r="K190" i="9"/>
  <c r="K191" i="9"/>
  <c r="K192" i="9"/>
  <c r="K193" i="9"/>
  <c r="K194" i="9"/>
  <c r="B206" i="9"/>
  <c r="M6" i="3" l="1"/>
  <c r="BH6" i="3"/>
  <c r="BH9" i="3" s="1"/>
  <c r="AJ9" i="3"/>
  <c r="M9" i="3" s="1"/>
  <c r="C20" i="11"/>
  <c r="F12" i="11" s="1"/>
  <c r="M97" i="1"/>
  <c r="D96" i="1"/>
  <c r="C95" i="1"/>
  <c r="A251" i="9"/>
  <c r="K251" i="9" s="1"/>
  <c r="M2" i="9"/>
  <c r="O2" i="9"/>
  <c r="P2" i="9"/>
  <c r="Q2" i="9"/>
  <c r="W2" i="9" s="1"/>
  <c r="L2" i="9"/>
  <c r="C3" i="9"/>
  <c r="C4" i="9" s="1"/>
  <c r="E3" i="9"/>
  <c r="E4" i="9" s="1"/>
  <c r="F3" i="9"/>
  <c r="F4" i="9" s="1"/>
  <c r="B3" i="9"/>
  <c r="B4" i="9" s="1"/>
  <c r="G9" i="9"/>
  <c r="G10" i="9" s="1"/>
  <c r="G11" i="9" s="1"/>
  <c r="G12" i="9" s="1"/>
  <c r="G13" i="9" s="1"/>
  <c r="G14" i="9" s="1"/>
  <c r="G15" i="9" s="1"/>
  <c r="G16" i="9" s="1"/>
  <c r="G17" i="9" s="1"/>
  <c r="G18" i="9" s="1"/>
  <c r="G19" i="9" s="1"/>
  <c r="G20" i="9" s="1"/>
  <c r="G21" i="9" s="1"/>
  <c r="G22" i="9" s="1"/>
  <c r="G23" i="9" s="1"/>
  <c r="G24" i="9" s="1"/>
  <c r="G25" i="9" s="1"/>
  <c r="G26" i="9" s="1"/>
  <c r="G27" i="9" s="1"/>
  <c r="G28" i="9" s="1"/>
  <c r="G29" i="9" s="1"/>
  <c r="G30" i="9" s="1"/>
  <c r="G31" i="9" s="1"/>
  <c r="G32" i="9" s="1"/>
  <c r="G33" i="9" s="1"/>
  <c r="G34" i="9" s="1"/>
  <c r="G35" i="9" s="1"/>
  <c r="G36" i="9" s="1"/>
  <c r="G37" i="9" s="1"/>
  <c r="D2" i="9"/>
  <c r="D3" i="9" s="1"/>
  <c r="D4" i="9" s="1"/>
  <c r="A37" i="9"/>
  <c r="X2" i="9" l="1"/>
  <c r="F9" i="11"/>
  <c r="G9" i="11" s="1"/>
  <c r="F10" i="11"/>
  <c r="G10" i="11" s="1"/>
  <c r="F8" i="11"/>
  <c r="G8" i="11" s="1"/>
  <c r="Q3" i="9"/>
  <c r="W3" i="9" s="1"/>
  <c r="AI2" i="3"/>
  <c r="BG2" i="3" s="1"/>
  <c r="F13" i="11"/>
  <c r="G13" i="11" s="1"/>
  <c r="G12" i="11"/>
  <c r="F11" i="11"/>
  <c r="G11" i="11" s="1"/>
  <c r="C96" i="1"/>
  <c r="A252" i="9"/>
  <c r="K252" i="9" s="1"/>
  <c r="D97" i="1"/>
  <c r="M98" i="1"/>
  <c r="D5" i="9"/>
  <c r="D6" i="9" s="1"/>
  <c r="D7" i="9" s="1"/>
  <c r="D8" i="9" s="1"/>
  <c r="E5" i="9"/>
  <c r="C5" i="9"/>
  <c r="B5" i="9"/>
  <c r="B6" i="9" s="1"/>
  <c r="A36" i="9"/>
  <c r="K37" i="9"/>
  <c r="F5" i="9"/>
  <c r="F6" i="9" s="1"/>
  <c r="O3" i="9"/>
  <c r="O4" i="9" s="1"/>
  <c r="L3" i="9"/>
  <c r="M3" i="9"/>
  <c r="N2" i="9"/>
  <c r="N3" i="9" s="1"/>
  <c r="N4" i="9" s="1"/>
  <c r="P3" i="9"/>
  <c r="P4" i="9" s="1"/>
  <c r="G72" i="7"/>
  <c r="G71" i="7"/>
  <c r="G70" i="7"/>
  <c r="G69" i="7"/>
  <c r="G68" i="7"/>
  <c r="G67" i="7"/>
  <c r="G66" i="7"/>
  <c r="G65" i="7"/>
  <c r="G64" i="7"/>
  <c r="G63" i="7"/>
  <c r="G62" i="7"/>
  <c r="G61" i="7"/>
  <c r="G60" i="7"/>
  <c r="G59" i="7"/>
  <c r="G57" i="7"/>
  <c r="G56" i="7"/>
  <c r="G55" i="7"/>
  <c r="K40" i="7"/>
  <c r="J40" i="7"/>
  <c r="I40" i="7"/>
  <c r="H40" i="7"/>
  <c r="G40" i="7"/>
  <c r="F40" i="7"/>
  <c r="E40" i="7"/>
  <c r="K39" i="7"/>
  <c r="J39" i="7"/>
  <c r="I39" i="7"/>
  <c r="H39" i="7"/>
  <c r="G39" i="7"/>
  <c r="F39" i="7"/>
  <c r="E39" i="7"/>
  <c r="K38" i="7"/>
  <c r="J38" i="7"/>
  <c r="I38" i="7"/>
  <c r="H38" i="7"/>
  <c r="G38" i="7"/>
  <c r="F38" i="7"/>
  <c r="E38" i="7"/>
  <c r="K37" i="7"/>
  <c r="J37" i="7"/>
  <c r="I37" i="7"/>
  <c r="H37" i="7"/>
  <c r="G37" i="7"/>
  <c r="F37" i="7"/>
  <c r="E37" i="7"/>
  <c r="K36" i="7"/>
  <c r="J36" i="7"/>
  <c r="I36" i="7"/>
  <c r="H36" i="7"/>
  <c r="G36" i="7"/>
  <c r="F36" i="7"/>
  <c r="E36" i="7"/>
  <c r="K35" i="7"/>
  <c r="J35" i="7"/>
  <c r="I35" i="7"/>
  <c r="H35" i="7"/>
  <c r="G35" i="7"/>
  <c r="F35" i="7"/>
  <c r="E35" i="7"/>
  <c r="K34" i="7"/>
  <c r="J34" i="7"/>
  <c r="I34" i="7"/>
  <c r="H34" i="7"/>
  <c r="G34" i="7"/>
  <c r="F34" i="7"/>
  <c r="E34" i="7"/>
  <c r="K33" i="7"/>
  <c r="J33" i="7"/>
  <c r="I33" i="7"/>
  <c r="H33" i="7"/>
  <c r="G33" i="7"/>
  <c r="F33" i="7"/>
  <c r="E33" i="7"/>
  <c r="K32" i="7"/>
  <c r="J32" i="7"/>
  <c r="I32" i="7"/>
  <c r="H32" i="7"/>
  <c r="G32" i="7"/>
  <c r="F32" i="7"/>
  <c r="E32" i="7"/>
  <c r="K31" i="7"/>
  <c r="J31" i="7"/>
  <c r="I31" i="7"/>
  <c r="H31" i="7"/>
  <c r="G31" i="7"/>
  <c r="F31" i="7"/>
  <c r="E31" i="7"/>
  <c r="K30" i="7"/>
  <c r="J30" i="7"/>
  <c r="I30" i="7"/>
  <c r="H30" i="7"/>
  <c r="G30" i="7"/>
  <c r="F30" i="7"/>
  <c r="E30" i="7"/>
  <c r="K29" i="7"/>
  <c r="J29" i="7"/>
  <c r="I29" i="7"/>
  <c r="H29" i="7"/>
  <c r="G29" i="7"/>
  <c r="F29" i="7"/>
  <c r="E29" i="7"/>
  <c r="K28" i="7"/>
  <c r="J28" i="7"/>
  <c r="I28" i="7"/>
  <c r="H28" i="7"/>
  <c r="G28" i="7"/>
  <c r="F28" i="7"/>
  <c r="E28" i="7"/>
  <c r="N26" i="7"/>
  <c r="N27" i="7" s="1"/>
  <c r="N28" i="7" s="1"/>
  <c r="N29" i="7" s="1"/>
  <c r="N30" i="7" s="1"/>
  <c r="N31" i="7" s="1"/>
  <c r="N32" i="7" s="1"/>
  <c r="N33" i="7" s="1"/>
  <c r="N34" i="7" s="1"/>
  <c r="N35" i="7" s="1"/>
  <c r="N36" i="7" s="1"/>
  <c r="N37" i="7" s="1"/>
  <c r="N38" i="7" s="1"/>
  <c r="N39" i="7" s="1"/>
  <c r="N40" i="7" s="1"/>
  <c r="N42" i="7" s="1"/>
  <c r="N43" i="7" s="1"/>
  <c r="K27" i="7"/>
  <c r="J27" i="7"/>
  <c r="I27" i="7"/>
  <c r="H27" i="7"/>
  <c r="G27" i="7"/>
  <c r="F27" i="7"/>
  <c r="E27" i="7"/>
  <c r="K26" i="7"/>
  <c r="J26" i="7"/>
  <c r="I26" i="7"/>
  <c r="H26" i="7"/>
  <c r="G26" i="7"/>
  <c r="F26" i="7"/>
  <c r="E26" i="7"/>
  <c r="D26" i="7"/>
  <c r="D27" i="7" s="1"/>
  <c r="C27" i="7" s="1"/>
  <c r="C25" i="7"/>
  <c r="V20" i="7"/>
  <c r="U20" i="7"/>
  <c r="T20" i="7"/>
  <c r="P8" i="7" s="1"/>
  <c r="S20" i="7"/>
  <c r="P12" i="7" s="1"/>
  <c r="R20" i="7"/>
  <c r="P10" i="7" s="1"/>
  <c r="Q20" i="7"/>
  <c r="P14" i="7" s="1"/>
  <c r="P20" i="7"/>
  <c r="P9" i="7" s="1"/>
  <c r="V17" i="7"/>
  <c r="P13" i="7"/>
  <c r="P11" i="7"/>
  <c r="C8" i="7"/>
  <c r="M4" i="9" l="1"/>
  <c r="X4" i="9" s="1"/>
  <c r="X3" i="9"/>
  <c r="R2" i="9"/>
  <c r="Q4" i="9"/>
  <c r="W4" i="9" s="1"/>
  <c r="R3" i="9"/>
  <c r="L2" i="3"/>
  <c r="AI5" i="3"/>
  <c r="L4" i="9"/>
  <c r="L5" i="9" s="1"/>
  <c r="U3" i="9"/>
  <c r="U2" i="9"/>
  <c r="M99" i="1"/>
  <c r="D98" i="1"/>
  <c r="P5" i="9"/>
  <c r="P6" i="9" s="1"/>
  <c r="C97" i="1"/>
  <c r="A253" i="9"/>
  <c r="K253" i="9" s="1"/>
  <c r="N5" i="9"/>
  <c r="N6" i="9" s="1"/>
  <c r="N7" i="9" s="1"/>
  <c r="N8" i="9" s="1"/>
  <c r="F7" i="9"/>
  <c r="F8" i="9" s="1"/>
  <c r="F9" i="9" s="1"/>
  <c r="F10" i="9" s="1"/>
  <c r="F11" i="9" s="1"/>
  <c r="F12" i="9" s="1"/>
  <c r="F13" i="9" s="1"/>
  <c r="F14" i="9" s="1"/>
  <c r="F15" i="9" s="1"/>
  <c r="F16" i="9" s="1"/>
  <c r="F17" i="9" s="1"/>
  <c r="F18" i="9" s="1"/>
  <c r="F19" i="9" s="1"/>
  <c r="F20" i="9" s="1"/>
  <c r="F21" i="9" s="1"/>
  <c r="F22" i="9" s="1"/>
  <c r="F23" i="9" s="1"/>
  <c r="F24" i="9" s="1"/>
  <c r="F25" i="9" s="1"/>
  <c r="F26" i="9" s="1"/>
  <c r="F27" i="9" s="1"/>
  <c r="F28" i="9" s="1"/>
  <c r="F29" i="9" s="1"/>
  <c r="F30" i="9" s="1"/>
  <c r="F31" i="9" s="1"/>
  <c r="F32" i="9" s="1"/>
  <c r="F33" i="9" s="1"/>
  <c r="F34" i="9" s="1"/>
  <c r="F35" i="9" s="1"/>
  <c r="F36" i="9" s="1"/>
  <c r="F37" i="9" s="1"/>
  <c r="B7" i="9"/>
  <c r="B8" i="9" s="1"/>
  <c r="B9" i="9" s="1"/>
  <c r="B10" i="9" s="1"/>
  <c r="E6" i="9"/>
  <c r="E7" i="9" s="1"/>
  <c r="E8" i="9" s="1"/>
  <c r="E9" i="9" s="1"/>
  <c r="O5" i="9"/>
  <c r="A35" i="9"/>
  <c r="K36" i="9"/>
  <c r="C6" i="9"/>
  <c r="C7" i="9" s="1"/>
  <c r="C8" i="9" s="1"/>
  <c r="C9" i="9" s="1"/>
  <c r="C10" i="9" s="1"/>
  <c r="C11" i="9" s="1"/>
  <c r="C12" i="9" s="1"/>
  <c r="C13" i="9" s="1"/>
  <c r="C14" i="9" s="1"/>
  <c r="C15" i="9" s="1"/>
  <c r="C16" i="9" s="1"/>
  <c r="C17" i="9" s="1"/>
  <c r="C18" i="9" s="1"/>
  <c r="C19" i="9" s="1"/>
  <c r="C20" i="9" s="1"/>
  <c r="C21" i="9" s="1"/>
  <c r="C22" i="9" s="1"/>
  <c r="C23" i="9" s="1"/>
  <c r="C24" i="9" s="1"/>
  <c r="C25" i="9" s="1"/>
  <c r="C26" i="9" s="1"/>
  <c r="C27" i="9" s="1"/>
  <c r="C28" i="9" s="1"/>
  <c r="C29" i="9" s="1"/>
  <c r="C30" i="9" s="1"/>
  <c r="C31" i="9" s="1"/>
  <c r="C32" i="9" s="1"/>
  <c r="C33" i="9" s="1"/>
  <c r="C34" i="9" s="1"/>
  <c r="C35" i="9" s="1"/>
  <c r="C36" i="9" s="1"/>
  <c r="C37" i="9" s="1"/>
  <c r="D9" i="9"/>
  <c r="D10" i="9" s="1"/>
  <c r="D11" i="9" s="1"/>
  <c r="D12" i="9" s="1"/>
  <c r="C26" i="7"/>
  <c r="P16" i="7"/>
  <c r="D28" i="7"/>
  <c r="O43" i="7"/>
  <c r="N44" i="7"/>
  <c r="M5" i="9" l="1"/>
  <c r="M6" i="9" s="1"/>
  <c r="AI4" i="3"/>
  <c r="BG4" i="3" s="1"/>
  <c r="BG5" i="3"/>
  <c r="U4" i="9"/>
  <c r="Q5" i="9"/>
  <c r="R4" i="9"/>
  <c r="L5" i="3"/>
  <c r="L6" i="9"/>
  <c r="L7" i="9" s="1"/>
  <c r="A254" i="9"/>
  <c r="K254" i="9" s="1"/>
  <c r="C98" i="1"/>
  <c r="M100" i="1"/>
  <c r="D99" i="1"/>
  <c r="E10" i="9"/>
  <c r="E11" i="9" s="1"/>
  <c r="E12" i="9" s="1"/>
  <c r="E13" i="9" s="1"/>
  <c r="N9" i="9"/>
  <c r="N10" i="9" s="1"/>
  <c r="N11" i="9" s="1"/>
  <c r="N12" i="9" s="1"/>
  <c r="D13" i="9"/>
  <c r="D14" i="9" s="1"/>
  <c r="D15" i="9" s="1"/>
  <c r="D16" i="9" s="1"/>
  <c r="A34" i="9"/>
  <c r="K35" i="9"/>
  <c r="B11" i="9"/>
  <c r="B12" i="9" s="1"/>
  <c r="B13" i="9" s="1"/>
  <c r="B14" i="9" s="1"/>
  <c r="O6" i="9"/>
  <c r="O7" i="9" s="1"/>
  <c r="O8" i="9" s="1"/>
  <c r="O9" i="9" s="1"/>
  <c r="P7" i="9"/>
  <c r="P8" i="9" s="1"/>
  <c r="P9" i="9" s="1"/>
  <c r="P10" i="9" s="1"/>
  <c r="P11" i="9" s="1"/>
  <c r="P12" i="9" s="1"/>
  <c r="P13" i="9" s="1"/>
  <c r="P14" i="9" s="1"/>
  <c r="P15" i="9" s="1"/>
  <c r="P16" i="9" s="1"/>
  <c r="P17" i="9" s="1"/>
  <c r="P18" i="9" s="1"/>
  <c r="P19" i="9" s="1"/>
  <c r="P20" i="9" s="1"/>
  <c r="P21" i="9" s="1"/>
  <c r="P22" i="9" s="1"/>
  <c r="P23" i="9" s="1"/>
  <c r="P24" i="9" s="1"/>
  <c r="P25" i="9" s="1"/>
  <c r="P26" i="9" s="1"/>
  <c r="P27" i="9" s="1"/>
  <c r="P28" i="9" s="1"/>
  <c r="P29" i="9" s="1"/>
  <c r="P30" i="9" s="1"/>
  <c r="P31" i="9" s="1"/>
  <c r="P32" i="9" s="1"/>
  <c r="P33" i="9" s="1"/>
  <c r="P34" i="9" s="1"/>
  <c r="P35" i="9" s="1"/>
  <c r="P36" i="9" s="1"/>
  <c r="P37" i="9" s="1"/>
  <c r="P38" i="9" s="1"/>
  <c r="P39" i="9" s="1"/>
  <c r="P40" i="9" s="1"/>
  <c r="P41" i="9" s="1"/>
  <c r="P42" i="9" s="1"/>
  <c r="P43" i="9" s="1"/>
  <c r="P44" i="9" s="1"/>
  <c r="P45" i="9" s="1"/>
  <c r="P46" i="9" s="1"/>
  <c r="P47" i="9" s="1"/>
  <c r="P48" i="9" s="1"/>
  <c r="P49" i="9" s="1"/>
  <c r="P50" i="9" s="1"/>
  <c r="P51" i="9" s="1"/>
  <c r="P52" i="9" s="1"/>
  <c r="P53" i="9" s="1"/>
  <c r="P54" i="9" s="1"/>
  <c r="P55" i="9" s="1"/>
  <c r="P56" i="9" s="1"/>
  <c r="P57" i="9" s="1"/>
  <c r="P58" i="9" s="1"/>
  <c r="P59" i="9" s="1"/>
  <c r="P60" i="9" s="1"/>
  <c r="P61" i="9" s="1"/>
  <c r="P62" i="9" s="1"/>
  <c r="P63" i="9" s="1"/>
  <c r="P64" i="9" s="1"/>
  <c r="P65" i="9" s="1"/>
  <c r="P66" i="9" s="1"/>
  <c r="P67" i="9" s="1"/>
  <c r="P68" i="9" s="1"/>
  <c r="P69" i="9" s="1"/>
  <c r="P70" i="9" s="1"/>
  <c r="P71" i="9" s="1"/>
  <c r="P72" i="9" s="1"/>
  <c r="P73" i="9" s="1"/>
  <c r="P74" i="9" s="1"/>
  <c r="P75" i="9" s="1"/>
  <c r="P76" i="9" s="1"/>
  <c r="P77" i="9" s="1"/>
  <c r="P78" i="9" s="1"/>
  <c r="P79" i="9" s="1"/>
  <c r="P80" i="9" s="1"/>
  <c r="P81" i="9" s="1"/>
  <c r="P82" i="9" s="1"/>
  <c r="P83" i="9" s="1"/>
  <c r="P84" i="9" s="1"/>
  <c r="P85" i="9" s="1"/>
  <c r="P86" i="9" s="1"/>
  <c r="P87" i="9" s="1"/>
  <c r="P88" i="9" s="1"/>
  <c r="P89" i="9" s="1"/>
  <c r="P90" i="9" s="1"/>
  <c r="P91" i="9" s="1"/>
  <c r="P92" i="9" s="1"/>
  <c r="P93" i="9" s="1"/>
  <c r="P94" i="9" s="1"/>
  <c r="P95" i="9" s="1"/>
  <c r="P96" i="9" s="1"/>
  <c r="P97" i="9" s="1"/>
  <c r="P98" i="9" s="1"/>
  <c r="P99" i="9" s="1"/>
  <c r="P100" i="9" s="1"/>
  <c r="P101" i="9" s="1"/>
  <c r="P102" i="9" s="1"/>
  <c r="P103" i="9" s="1"/>
  <c r="P104" i="9" s="1"/>
  <c r="P105" i="9" s="1"/>
  <c r="P106" i="9" s="1"/>
  <c r="P107" i="9" s="1"/>
  <c r="P108" i="9" s="1"/>
  <c r="P109" i="9" s="1"/>
  <c r="P110" i="9" s="1"/>
  <c r="P111" i="9" s="1"/>
  <c r="P112" i="9" s="1"/>
  <c r="P113" i="9" s="1"/>
  <c r="P114" i="9" s="1"/>
  <c r="P115" i="9" s="1"/>
  <c r="P116" i="9" s="1"/>
  <c r="P117" i="9" s="1"/>
  <c r="P118" i="9" s="1"/>
  <c r="P119" i="9" s="1"/>
  <c r="P120" i="9" s="1"/>
  <c r="P121" i="9" s="1"/>
  <c r="P122" i="9" s="1"/>
  <c r="P123" i="9" s="1"/>
  <c r="P124" i="9" s="1"/>
  <c r="P125" i="9" s="1"/>
  <c r="P126" i="9" s="1"/>
  <c r="P127" i="9" s="1"/>
  <c r="P128" i="9" s="1"/>
  <c r="P129" i="9" s="1"/>
  <c r="P130" i="9" s="1"/>
  <c r="P131" i="9" s="1"/>
  <c r="P132" i="9" s="1"/>
  <c r="P133" i="9" s="1"/>
  <c r="P134" i="9" s="1"/>
  <c r="P135" i="9" s="1"/>
  <c r="P136" i="9" s="1"/>
  <c r="P137" i="9" s="1"/>
  <c r="P138" i="9" s="1"/>
  <c r="P139" i="9" s="1"/>
  <c r="P140" i="9" s="1"/>
  <c r="P141" i="9" s="1"/>
  <c r="P142" i="9" s="1"/>
  <c r="P143" i="9" s="1"/>
  <c r="P144" i="9" s="1"/>
  <c r="P145" i="9" s="1"/>
  <c r="P146" i="9" s="1"/>
  <c r="P147" i="9" s="1"/>
  <c r="P148" i="9" s="1"/>
  <c r="P149" i="9" s="1"/>
  <c r="P150" i="9" s="1"/>
  <c r="P151" i="9" s="1"/>
  <c r="P152" i="9" s="1"/>
  <c r="P153" i="9" s="1"/>
  <c r="P154" i="9" s="1"/>
  <c r="P155" i="9" s="1"/>
  <c r="P156" i="9" s="1"/>
  <c r="P157" i="9" s="1"/>
  <c r="P158" i="9" s="1"/>
  <c r="P159" i="9" s="1"/>
  <c r="P160" i="9" s="1"/>
  <c r="P161" i="9" s="1"/>
  <c r="P162" i="9" s="1"/>
  <c r="P163" i="9" s="1"/>
  <c r="P164" i="9" s="1"/>
  <c r="P165" i="9" s="1"/>
  <c r="P166" i="9" s="1"/>
  <c r="P167" i="9" s="1"/>
  <c r="P168" i="9" s="1"/>
  <c r="P169" i="9" s="1"/>
  <c r="P170" i="9" s="1"/>
  <c r="P171" i="9" s="1"/>
  <c r="P172" i="9" s="1"/>
  <c r="P173" i="9" s="1"/>
  <c r="P174" i="9" s="1"/>
  <c r="P175" i="9" s="1"/>
  <c r="P176" i="9" s="1"/>
  <c r="P177" i="9" s="1"/>
  <c r="P178" i="9" s="1"/>
  <c r="P179" i="9" s="1"/>
  <c r="P180" i="9" s="1"/>
  <c r="P181" i="9" s="1"/>
  <c r="P182" i="9" s="1"/>
  <c r="P183" i="9" s="1"/>
  <c r="P184" i="9" s="1"/>
  <c r="P185" i="9" s="1"/>
  <c r="P186" i="9" s="1"/>
  <c r="P187" i="9" s="1"/>
  <c r="P188" i="9" s="1"/>
  <c r="P189" i="9" s="1"/>
  <c r="P190" i="9" s="1"/>
  <c r="P191" i="9" s="1"/>
  <c r="P192" i="9" s="1"/>
  <c r="P193" i="9" s="1"/>
  <c r="P194" i="9" s="1"/>
  <c r="O44" i="7"/>
  <c r="N45" i="7"/>
  <c r="C28" i="7"/>
  <c r="D29" i="7"/>
  <c r="X5" i="9" l="1"/>
  <c r="U5" i="9"/>
  <c r="W5" i="9"/>
  <c r="M7" i="9"/>
  <c r="X6" i="9"/>
  <c r="L4" i="3"/>
  <c r="AI3" i="3"/>
  <c r="O10" i="9"/>
  <c r="O11" i="9" s="1"/>
  <c r="O12" i="9" s="1"/>
  <c r="O13" i="9" s="1"/>
  <c r="Q6" i="9"/>
  <c r="R5" i="9"/>
  <c r="L8" i="9"/>
  <c r="C99" i="1"/>
  <c r="A255" i="9"/>
  <c r="K255" i="9" s="1"/>
  <c r="M101" i="1"/>
  <c r="D100" i="1"/>
  <c r="N13" i="9"/>
  <c r="N14" i="9" s="1"/>
  <c r="N15" i="9" s="1"/>
  <c r="N16" i="9" s="1"/>
  <c r="B15" i="9"/>
  <c r="B16" i="9" s="1"/>
  <c r="B17" i="9" s="1"/>
  <c r="B18" i="9" s="1"/>
  <c r="D17" i="9"/>
  <c r="D18" i="9" s="1"/>
  <c r="D19" i="9" s="1"/>
  <c r="D20" i="9" s="1"/>
  <c r="E14" i="9"/>
  <c r="E15" i="9" s="1"/>
  <c r="E16" i="9" s="1"/>
  <c r="E17" i="9" s="1"/>
  <c r="A33" i="9"/>
  <c r="K34" i="9"/>
  <c r="N46" i="7"/>
  <c r="O45" i="7"/>
  <c r="C29" i="7"/>
  <c r="D30" i="7"/>
  <c r="BG3" i="3" l="1"/>
  <c r="M8" i="9"/>
  <c r="X7" i="9"/>
  <c r="U6" i="9"/>
  <c r="W6" i="9"/>
  <c r="L3" i="3"/>
  <c r="AI7" i="3"/>
  <c r="AI6" i="3" s="1"/>
  <c r="BG6" i="3" s="1"/>
  <c r="Q7" i="9"/>
  <c r="W7" i="9" s="1"/>
  <c r="R6" i="9"/>
  <c r="L9" i="9"/>
  <c r="C100" i="1"/>
  <c r="A256" i="9"/>
  <c r="K256" i="9" s="1"/>
  <c r="M102" i="1"/>
  <c r="D101" i="1"/>
  <c r="O14" i="9"/>
  <c r="O15" i="9" s="1"/>
  <c r="O16" i="9" s="1"/>
  <c r="O17" i="9" s="1"/>
  <c r="N17" i="9"/>
  <c r="N18" i="9" s="1"/>
  <c r="N19" i="9" s="1"/>
  <c r="N20" i="9" s="1"/>
  <c r="A32" i="9"/>
  <c r="K33" i="9"/>
  <c r="D21" i="9"/>
  <c r="D22" i="9" s="1"/>
  <c r="D23" i="9" s="1"/>
  <c r="D24" i="9" s="1"/>
  <c r="E18" i="9"/>
  <c r="E19" i="9" s="1"/>
  <c r="E20" i="9" s="1"/>
  <c r="E21" i="9" s="1"/>
  <c r="B19" i="9"/>
  <c r="B20" i="9" s="1"/>
  <c r="B21" i="9" s="1"/>
  <c r="B22" i="9" s="1"/>
  <c r="C30" i="7"/>
  <c r="D31" i="7"/>
  <c r="N47" i="7"/>
  <c r="O46" i="7"/>
  <c r="M9" i="9" l="1"/>
  <c r="X8" i="9"/>
  <c r="L7" i="3"/>
  <c r="BG7" i="3"/>
  <c r="BG9" i="3" s="1"/>
  <c r="L6" i="3"/>
  <c r="AI9" i="3"/>
  <c r="L9" i="3" s="1"/>
  <c r="Q8" i="9"/>
  <c r="W8" i="9" s="1"/>
  <c r="R7" i="9"/>
  <c r="U7" i="9"/>
  <c r="L10" i="9"/>
  <c r="M103" i="1"/>
  <c r="D102" i="1"/>
  <c r="C101" i="1"/>
  <c r="A257" i="9"/>
  <c r="K257" i="9" s="1"/>
  <c r="O18" i="9"/>
  <c r="O19" i="9" s="1"/>
  <c r="O20" i="9" s="1"/>
  <c r="O21" i="9" s="1"/>
  <c r="B23" i="9"/>
  <c r="B24" i="9" s="1"/>
  <c r="B25" i="9" s="1"/>
  <c r="B26" i="9" s="1"/>
  <c r="N21" i="9"/>
  <c r="N22" i="9" s="1"/>
  <c r="N23" i="9" s="1"/>
  <c r="N24" i="9" s="1"/>
  <c r="D25" i="9"/>
  <c r="D26" i="9" s="1"/>
  <c r="D27" i="9" s="1"/>
  <c r="D28" i="9" s="1"/>
  <c r="E22" i="9"/>
  <c r="E23" i="9" s="1"/>
  <c r="E24" i="9" s="1"/>
  <c r="E25" i="9" s="1"/>
  <c r="A31" i="9"/>
  <c r="K32" i="9"/>
  <c r="O47" i="7"/>
  <c r="N48" i="7"/>
  <c r="D32" i="7"/>
  <c r="C31" i="7"/>
  <c r="M10" i="9" l="1"/>
  <c r="X9" i="9"/>
  <c r="R8" i="9"/>
  <c r="Q9" i="9"/>
  <c r="W9" i="9" s="1"/>
  <c r="U8" i="9"/>
  <c r="L11" i="9"/>
  <c r="C102" i="1"/>
  <c r="A258" i="9"/>
  <c r="K258" i="9" s="1"/>
  <c r="M105" i="1"/>
  <c r="D105" i="1" s="1"/>
  <c r="M104" i="1"/>
  <c r="D103" i="1"/>
  <c r="E26" i="9"/>
  <c r="E27" i="9" s="1"/>
  <c r="E28" i="9" s="1"/>
  <c r="E29" i="9" s="1"/>
  <c r="A30" i="9"/>
  <c r="K31" i="9"/>
  <c r="D29" i="9"/>
  <c r="D30" i="9" s="1"/>
  <c r="D31" i="9" s="1"/>
  <c r="D32" i="9" s="1"/>
  <c r="B27" i="9"/>
  <c r="B28" i="9" s="1"/>
  <c r="B29" i="9" s="1"/>
  <c r="B30" i="9" s="1"/>
  <c r="O22" i="9"/>
  <c r="O23" i="9" s="1"/>
  <c r="O24" i="9" s="1"/>
  <c r="O25" i="9" s="1"/>
  <c r="N25" i="9"/>
  <c r="N26" i="9" s="1"/>
  <c r="N27" i="9" s="1"/>
  <c r="N28" i="9" s="1"/>
  <c r="C32" i="7"/>
  <c r="D33" i="7"/>
  <c r="N49" i="7"/>
  <c r="O48" i="7"/>
  <c r="M11" i="9" l="1"/>
  <c r="X10" i="9"/>
  <c r="Q10" i="9"/>
  <c r="W10" i="9" s="1"/>
  <c r="R9" i="9"/>
  <c r="U9" i="9"/>
  <c r="L12" i="9"/>
  <c r="A260" i="9"/>
  <c r="K260" i="9" s="1"/>
  <c r="C105" i="1"/>
  <c r="C103" i="1"/>
  <c r="A259" i="9"/>
  <c r="K259" i="9" s="1"/>
  <c r="N29" i="9"/>
  <c r="N30" i="9" s="1"/>
  <c r="N31" i="9" s="1"/>
  <c r="N32" i="9" s="1"/>
  <c r="O26" i="9"/>
  <c r="O27" i="9" s="1"/>
  <c r="O28" i="9" s="1"/>
  <c r="O29" i="9" s="1"/>
  <c r="D33" i="9"/>
  <c r="D34" i="9" s="1"/>
  <c r="D35" i="9" s="1"/>
  <c r="D36" i="9" s="1"/>
  <c r="B31" i="9"/>
  <c r="B32" i="9" s="1"/>
  <c r="B33" i="9" s="1"/>
  <c r="B34" i="9" s="1"/>
  <c r="A29" i="9"/>
  <c r="K30" i="9"/>
  <c r="E30" i="9"/>
  <c r="E31" i="9" s="1"/>
  <c r="E32" i="9" s="1"/>
  <c r="E33" i="9" s="1"/>
  <c r="N50" i="7"/>
  <c r="O49" i="7"/>
  <c r="D34" i="7"/>
  <c r="C33" i="7"/>
  <c r="M12" i="9" l="1"/>
  <c r="X11" i="9"/>
  <c r="Q11" i="9"/>
  <c r="W11" i="9" s="1"/>
  <c r="R10" i="9"/>
  <c r="U10" i="9"/>
  <c r="L13" i="9"/>
  <c r="N33" i="9"/>
  <c r="N34" i="9" s="1"/>
  <c r="N35" i="9" s="1"/>
  <c r="N36" i="9" s="1"/>
  <c r="O30" i="9"/>
  <c r="O31" i="9" s="1"/>
  <c r="O32" i="9" s="1"/>
  <c r="O33" i="9" s="1"/>
  <c r="D37" i="9"/>
  <c r="E34" i="9"/>
  <c r="E35" i="9" s="1"/>
  <c r="E36" i="9" s="1"/>
  <c r="E37" i="9" s="1"/>
  <c r="B35" i="9"/>
  <c r="B36" i="9" s="1"/>
  <c r="B37" i="9" s="1"/>
  <c r="A28" i="9"/>
  <c r="K29" i="9"/>
  <c r="C34" i="7"/>
  <c r="D35" i="7"/>
  <c r="O50" i="7"/>
  <c r="N51" i="7"/>
  <c r="M13" i="9" l="1"/>
  <c r="X12" i="9"/>
  <c r="Q12" i="9"/>
  <c r="W12" i="9" s="1"/>
  <c r="R11" i="9"/>
  <c r="U11" i="9"/>
  <c r="L14" i="9"/>
  <c r="N37" i="9"/>
  <c r="N38" i="9" s="1"/>
  <c r="N39" i="9" s="1"/>
  <c r="N40" i="9" s="1"/>
  <c r="N41" i="9" s="1"/>
  <c r="N42" i="9" s="1"/>
  <c r="N43" i="9" s="1"/>
  <c r="N44" i="9" s="1"/>
  <c r="N45" i="9" s="1"/>
  <c r="N46" i="9" s="1"/>
  <c r="N47" i="9" s="1"/>
  <c r="N48" i="9" s="1"/>
  <c r="N49" i="9" s="1"/>
  <c r="N50" i="9" s="1"/>
  <c r="N51" i="9" s="1"/>
  <c r="N52" i="9" s="1"/>
  <c r="N53" i="9" s="1"/>
  <c r="N54" i="9" s="1"/>
  <c r="N55" i="9" s="1"/>
  <c r="N56" i="9" s="1"/>
  <c r="N57" i="9" s="1"/>
  <c r="N58" i="9" s="1"/>
  <c r="N59" i="9" s="1"/>
  <c r="N60" i="9" s="1"/>
  <c r="N61" i="9" s="1"/>
  <c r="N62" i="9" s="1"/>
  <c r="N63" i="9" s="1"/>
  <c r="N64" i="9" s="1"/>
  <c r="N65" i="9" s="1"/>
  <c r="N66" i="9" s="1"/>
  <c r="N67" i="9" s="1"/>
  <c r="N68" i="9" s="1"/>
  <c r="N69" i="9" s="1"/>
  <c r="N70" i="9" s="1"/>
  <c r="N71" i="9" s="1"/>
  <c r="N72" i="9" s="1"/>
  <c r="N73" i="9" s="1"/>
  <c r="N74" i="9" s="1"/>
  <c r="N75" i="9" s="1"/>
  <c r="N76" i="9" s="1"/>
  <c r="N77" i="9" s="1"/>
  <c r="N78" i="9" s="1"/>
  <c r="N79" i="9" s="1"/>
  <c r="N80" i="9" s="1"/>
  <c r="N81" i="9" s="1"/>
  <c r="N82" i="9" s="1"/>
  <c r="N83" i="9" s="1"/>
  <c r="N84" i="9" s="1"/>
  <c r="N85" i="9" s="1"/>
  <c r="N86" i="9" s="1"/>
  <c r="N87" i="9" s="1"/>
  <c r="N88" i="9" s="1"/>
  <c r="N89" i="9" s="1"/>
  <c r="N90" i="9" s="1"/>
  <c r="N91" i="9" s="1"/>
  <c r="N92" i="9" s="1"/>
  <c r="N93" i="9" s="1"/>
  <c r="N94" i="9" s="1"/>
  <c r="N95" i="9" s="1"/>
  <c r="N96" i="9" s="1"/>
  <c r="N97" i="9" s="1"/>
  <c r="N98" i="9" s="1"/>
  <c r="N99" i="9" s="1"/>
  <c r="N100" i="9" s="1"/>
  <c r="N101" i="9" s="1"/>
  <c r="N102" i="9" s="1"/>
  <c r="N103" i="9" s="1"/>
  <c r="N104" i="9" s="1"/>
  <c r="N105" i="9" s="1"/>
  <c r="N106" i="9" s="1"/>
  <c r="N107" i="9" s="1"/>
  <c r="N108" i="9" s="1"/>
  <c r="N109" i="9" s="1"/>
  <c r="N110" i="9" s="1"/>
  <c r="N111" i="9" s="1"/>
  <c r="N112" i="9" s="1"/>
  <c r="N113" i="9" s="1"/>
  <c r="N114" i="9" s="1"/>
  <c r="N115" i="9" s="1"/>
  <c r="N116" i="9" s="1"/>
  <c r="N117" i="9" s="1"/>
  <c r="N118" i="9" s="1"/>
  <c r="N119" i="9" s="1"/>
  <c r="N120" i="9" s="1"/>
  <c r="N121" i="9" s="1"/>
  <c r="N122" i="9" s="1"/>
  <c r="N123" i="9" s="1"/>
  <c r="N124" i="9" s="1"/>
  <c r="N125" i="9" s="1"/>
  <c r="N126" i="9" s="1"/>
  <c r="N127" i="9" s="1"/>
  <c r="N128" i="9" s="1"/>
  <c r="N129" i="9" s="1"/>
  <c r="N130" i="9" s="1"/>
  <c r="N131" i="9" s="1"/>
  <c r="N132" i="9" s="1"/>
  <c r="N133" i="9" s="1"/>
  <c r="N134" i="9" s="1"/>
  <c r="N135" i="9" s="1"/>
  <c r="N136" i="9" s="1"/>
  <c r="N137" i="9" s="1"/>
  <c r="N138" i="9" s="1"/>
  <c r="N139" i="9" s="1"/>
  <c r="N140" i="9" s="1"/>
  <c r="N141" i="9" s="1"/>
  <c r="N142" i="9" s="1"/>
  <c r="N143" i="9" s="1"/>
  <c r="N144" i="9" s="1"/>
  <c r="N145" i="9" s="1"/>
  <c r="N146" i="9" s="1"/>
  <c r="N147" i="9" s="1"/>
  <c r="N148" i="9" s="1"/>
  <c r="N149" i="9" s="1"/>
  <c r="N150" i="9" s="1"/>
  <c r="N151" i="9" s="1"/>
  <c r="N152" i="9" s="1"/>
  <c r="N153" i="9" s="1"/>
  <c r="N154" i="9" s="1"/>
  <c r="N155" i="9" s="1"/>
  <c r="N156" i="9" s="1"/>
  <c r="N157" i="9" s="1"/>
  <c r="N158" i="9" s="1"/>
  <c r="N159" i="9" s="1"/>
  <c r="N160" i="9" s="1"/>
  <c r="N161" i="9" s="1"/>
  <c r="N162" i="9" s="1"/>
  <c r="N163" i="9" s="1"/>
  <c r="N164" i="9" s="1"/>
  <c r="N165" i="9" s="1"/>
  <c r="N166" i="9" s="1"/>
  <c r="N167" i="9" s="1"/>
  <c r="N168" i="9" s="1"/>
  <c r="N169" i="9" s="1"/>
  <c r="N170" i="9" s="1"/>
  <c r="N171" i="9" s="1"/>
  <c r="N172" i="9" s="1"/>
  <c r="N173" i="9" s="1"/>
  <c r="N174" i="9" s="1"/>
  <c r="N175" i="9" s="1"/>
  <c r="N176" i="9" s="1"/>
  <c r="N177" i="9" s="1"/>
  <c r="N178" i="9" s="1"/>
  <c r="N179" i="9" s="1"/>
  <c r="N180" i="9" s="1"/>
  <c r="N181" i="9" s="1"/>
  <c r="N182" i="9" s="1"/>
  <c r="N183" i="9" s="1"/>
  <c r="N184" i="9" s="1"/>
  <c r="N185" i="9" s="1"/>
  <c r="N186" i="9" s="1"/>
  <c r="N187" i="9" s="1"/>
  <c r="N188" i="9" s="1"/>
  <c r="N189" i="9" s="1"/>
  <c r="N190" i="9" s="1"/>
  <c r="N191" i="9" s="1"/>
  <c r="N192" i="9" s="1"/>
  <c r="N193" i="9" s="1"/>
  <c r="N194" i="9" s="1"/>
  <c r="O34" i="9"/>
  <c r="O35" i="9" s="1"/>
  <c r="O36" i="9" s="1"/>
  <c r="O37" i="9" s="1"/>
  <c r="O38" i="9" s="1"/>
  <c r="O39" i="9" s="1"/>
  <c r="O40" i="9" s="1"/>
  <c r="O41" i="9" s="1"/>
  <c r="O42" i="9" s="1"/>
  <c r="O43" i="9" s="1"/>
  <c r="O44" i="9" s="1"/>
  <c r="O45" i="9" s="1"/>
  <c r="O46" i="9" s="1"/>
  <c r="O47" i="9" s="1"/>
  <c r="O48" i="9" s="1"/>
  <c r="O49" i="9" s="1"/>
  <c r="O50" i="9" s="1"/>
  <c r="O51" i="9" s="1"/>
  <c r="O52" i="9" s="1"/>
  <c r="O53" i="9" s="1"/>
  <c r="O54" i="9" s="1"/>
  <c r="O55" i="9" s="1"/>
  <c r="O56" i="9" s="1"/>
  <c r="O57" i="9" s="1"/>
  <c r="O58" i="9" s="1"/>
  <c r="O59" i="9" s="1"/>
  <c r="O60" i="9" s="1"/>
  <c r="O61" i="9" s="1"/>
  <c r="O62" i="9" s="1"/>
  <c r="O63" i="9" s="1"/>
  <c r="O64" i="9" s="1"/>
  <c r="O65" i="9" s="1"/>
  <c r="O66" i="9" s="1"/>
  <c r="O67" i="9" s="1"/>
  <c r="O68" i="9" s="1"/>
  <c r="O69" i="9" s="1"/>
  <c r="O70" i="9" s="1"/>
  <c r="O71" i="9" s="1"/>
  <c r="O72" i="9" s="1"/>
  <c r="O73" i="9" s="1"/>
  <c r="O74" i="9" s="1"/>
  <c r="O75" i="9" s="1"/>
  <c r="O76" i="9" s="1"/>
  <c r="O77" i="9" s="1"/>
  <c r="O78" i="9" s="1"/>
  <c r="O79" i="9" s="1"/>
  <c r="O80" i="9" s="1"/>
  <c r="O81" i="9" s="1"/>
  <c r="O82" i="9" s="1"/>
  <c r="O83" i="9" s="1"/>
  <c r="O84" i="9" s="1"/>
  <c r="O85" i="9" s="1"/>
  <c r="O86" i="9" s="1"/>
  <c r="O87" i="9" s="1"/>
  <c r="O88" i="9" s="1"/>
  <c r="O89" i="9" s="1"/>
  <c r="O90" i="9" s="1"/>
  <c r="O91" i="9" s="1"/>
  <c r="O92" i="9" s="1"/>
  <c r="O93" i="9" s="1"/>
  <c r="O94" i="9" s="1"/>
  <c r="O95" i="9" s="1"/>
  <c r="O96" i="9" s="1"/>
  <c r="O97" i="9" s="1"/>
  <c r="O98" i="9" s="1"/>
  <c r="O99" i="9" s="1"/>
  <c r="O100" i="9" s="1"/>
  <c r="O101" i="9" s="1"/>
  <c r="O102" i="9" s="1"/>
  <c r="O103" i="9" s="1"/>
  <c r="O104" i="9" s="1"/>
  <c r="O105" i="9" s="1"/>
  <c r="O106" i="9" s="1"/>
  <c r="O107" i="9" s="1"/>
  <c r="O108" i="9" s="1"/>
  <c r="O109" i="9" s="1"/>
  <c r="O110" i="9" s="1"/>
  <c r="O111" i="9" s="1"/>
  <c r="O112" i="9" s="1"/>
  <c r="O113" i="9" s="1"/>
  <c r="O114" i="9" s="1"/>
  <c r="O115" i="9" s="1"/>
  <c r="O116" i="9" s="1"/>
  <c r="O117" i="9" s="1"/>
  <c r="O118" i="9" s="1"/>
  <c r="O119" i="9" s="1"/>
  <c r="O120" i="9" s="1"/>
  <c r="O121" i="9" s="1"/>
  <c r="O122" i="9" s="1"/>
  <c r="O123" i="9" s="1"/>
  <c r="O124" i="9" s="1"/>
  <c r="O125" i="9" s="1"/>
  <c r="O126" i="9" s="1"/>
  <c r="O127" i="9" s="1"/>
  <c r="O128" i="9" s="1"/>
  <c r="O129" i="9" s="1"/>
  <c r="O130" i="9" s="1"/>
  <c r="O131" i="9" s="1"/>
  <c r="O132" i="9" s="1"/>
  <c r="O133" i="9" s="1"/>
  <c r="O134" i="9" s="1"/>
  <c r="O135" i="9" s="1"/>
  <c r="O136" i="9" s="1"/>
  <c r="O137" i="9" s="1"/>
  <c r="O138" i="9" s="1"/>
  <c r="O139" i="9" s="1"/>
  <c r="O140" i="9" s="1"/>
  <c r="O141" i="9" s="1"/>
  <c r="O142" i="9" s="1"/>
  <c r="O143" i="9" s="1"/>
  <c r="O144" i="9" s="1"/>
  <c r="O145" i="9" s="1"/>
  <c r="O146" i="9" s="1"/>
  <c r="O147" i="9" s="1"/>
  <c r="O148" i="9" s="1"/>
  <c r="O149" i="9" s="1"/>
  <c r="O150" i="9" s="1"/>
  <c r="O151" i="9" s="1"/>
  <c r="O152" i="9" s="1"/>
  <c r="O153" i="9" s="1"/>
  <c r="O154" i="9" s="1"/>
  <c r="O155" i="9" s="1"/>
  <c r="O156" i="9" s="1"/>
  <c r="O157" i="9" s="1"/>
  <c r="O158" i="9" s="1"/>
  <c r="O159" i="9" s="1"/>
  <c r="O160" i="9" s="1"/>
  <c r="O161" i="9" s="1"/>
  <c r="O162" i="9" s="1"/>
  <c r="O163" i="9" s="1"/>
  <c r="O164" i="9" s="1"/>
  <c r="O165" i="9" s="1"/>
  <c r="O166" i="9" s="1"/>
  <c r="O167" i="9" s="1"/>
  <c r="O168" i="9" s="1"/>
  <c r="O169" i="9" s="1"/>
  <c r="O170" i="9" s="1"/>
  <c r="O171" i="9" s="1"/>
  <c r="O172" i="9" s="1"/>
  <c r="O173" i="9" s="1"/>
  <c r="O174" i="9" s="1"/>
  <c r="O175" i="9" s="1"/>
  <c r="O176" i="9" s="1"/>
  <c r="O177" i="9" s="1"/>
  <c r="O178" i="9" s="1"/>
  <c r="O179" i="9" s="1"/>
  <c r="O180" i="9" s="1"/>
  <c r="O181" i="9" s="1"/>
  <c r="O182" i="9" s="1"/>
  <c r="O183" i="9" s="1"/>
  <c r="O184" i="9" s="1"/>
  <c r="O185" i="9" s="1"/>
  <c r="O186" i="9" s="1"/>
  <c r="O187" i="9" s="1"/>
  <c r="O188" i="9" s="1"/>
  <c r="O189" i="9" s="1"/>
  <c r="O190" i="9" s="1"/>
  <c r="O191" i="9" s="1"/>
  <c r="O192" i="9" s="1"/>
  <c r="O193" i="9" s="1"/>
  <c r="O194" i="9" s="1"/>
  <c r="O195" i="9" s="1"/>
  <c r="O196" i="9" s="1"/>
  <c r="O197" i="9" s="1"/>
  <c r="O198" i="9" s="1"/>
  <c r="O199" i="9" s="1"/>
  <c r="O200" i="9" s="1"/>
  <c r="O201" i="9" s="1"/>
  <c r="O202" i="9" s="1"/>
  <c r="A27" i="9"/>
  <c r="K28" i="9"/>
  <c r="O51" i="7"/>
  <c r="N52" i="7"/>
  <c r="C35" i="7"/>
  <c r="D36" i="7"/>
  <c r="M14" i="9" l="1"/>
  <c r="X13" i="9"/>
  <c r="Q13" i="9"/>
  <c r="W13" i="9" s="1"/>
  <c r="R12" i="9"/>
  <c r="U12" i="9"/>
  <c r="L15" i="9"/>
  <c r="A26" i="9"/>
  <c r="K27" i="9"/>
  <c r="N53" i="7"/>
  <c r="O52" i="7"/>
  <c r="C36" i="7"/>
  <c r="D37" i="7"/>
  <c r="M15" i="9" l="1"/>
  <c r="X14" i="9"/>
  <c r="Q14" i="9"/>
  <c r="W14" i="9" s="1"/>
  <c r="R13" i="9"/>
  <c r="U13" i="9"/>
  <c r="L16" i="9"/>
  <c r="A25" i="9"/>
  <c r="K26" i="9"/>
  <c r="D38" i="7"/>
  <c r="C37" i="7"/>
  <c r="N54" i="7"/>
  <c r="O53" i="7"/>
  <c r="M16" i="9" l="1"/>
  <c r="X15" i="9"/>
  <c r="Q15" i="9"/>
  <c r="W15" i="9" s="1"/>
  <c r="R14" i="9"/>
  <c r="U14" i="9"/>
  <c r="L17" i="9"/>
  <c r="A24" i="9"/>
  <c r="K25" i="9"/>
  <c r="C38" i="7"/>
  <c r="D39" i="7"/>
  <c r="O54" i="7"/>
  <c r="N55" i="7"/>
  <c r="M17" i="9" l="1"/>
  <c r="X16" i="9"/>
  <c r="Q16" i="9"/>
  <c r="W16" i="9" s="1"/>
  <c r="R15" i="9"/>
  <c r="U15" i="9"/>
  <c r="L18" i="9"/>
  <c r="A23" i="9"/>
  <c r="K24" i="9"/>
  <c r="O55" i="7"/>
  <c r="N56" i="7"/>
  <c r="D40" i="7"/>
  <c r="C39" i="7"/>
  <c r="M18" i="9" l="1"/>
  <c r="X17" i="9"/>
  <c r="Q17" i="9"/>
  <c r="W17" i="9" s="1"/>
  <c r="R16" i="9"/>
  <c r="U16" i="9"/>
  <c r="L19" i="9"/>
  <c r="A22" i="9"/>
  <c r="K23" i="9"/>
  <c r="D42" i="7"/>
  <c r="C40" i="7"/>
  <c r="N57" i="7"/>
  <c r="O56" i="7"/>
  <c r="M19" i="9" l="1"/>
  <c r="X18" i="9"/>
  <c r="Q18" i="9"/>
  <c r="W18" i="9" s="1"/>
  <c r="R17" i="9"/>
  <c r="U17" i="9"/>
  <c r="L20" i="9"/>
  <c r="A21" i="9"/>
  <c r="K22" i="9"/>
  <c r="N58" i="7"/>
  <c r="O57" i="7"/>
  <c r="D43" i="7"/>
  <c r="C42" i="7"/>
  <c r="M20" i="9" l="1"/>
  <c r="X19" i="9"/>
  <c r="Q19" i="9"/>
  <c r="W19" i="9" s="1"/>
  <c r="R18" i="9"/>
  <c r="U18" i="9"/>
  <c r="L21" i="9"/>
  <c r="A20" i="9"/>
  <c r="K21" i="9"/>
  <c r="D44" i="7"/>
  <c r="C43" i="7"/>
  <c r="O58" i="7"/>
  <c r="N59" i="7"/>
  <c r="M21" i="9" l="1"/>
  <c r="X20" i="9"/>
  <c r="Q20" i="9"/>
  <c r="W20" i="9" s="1"/>
  <c r="R19" i="9"/>
  <c r="U19" i="9"/>
  <c r="L22" i="9"/>
  <c r="A19" i="9"/>
  <c r="K20" i="9"/>
  <c r="O59" i="7"/>
  <c r="N60" i="7"/>
  <c r="C44" i="7"/>
  <c r="D45" i="7"/>
  <c r="M22" i="9" l="1"/>
  <c r="X21" i="9"/>
  <c r="Q21" i="9"/>
  <c r="W21" i="9" s="1"/>
  <c r="R20" i="9"/>
  <c r="U20" i="9"/>
  <c r="L23" i="9"/>
  <c r="A18" i="9"/>
  <c r="K19" i="9"/>
  <c r="N61" i="7"/>
  <c r="O60" i="7"/>
  <c r="C45" i="7"/>
  <c r="D46" i="7"/>
  <c r="M23" i="9" l="1"/>
  <c r="X22" i="9"/>
  <c r="Q22" i="9"/>
  <c r="W22" i="9" s="1"/>
  <c r="R21" i="9"/>
  <c r="U21" i="9"/>
  <c r="L24" i="9"/>
  <c r="A17" i="9"/>
  <c r="K18" i="9"/>
  <c r="D47" i="7"/>
  <c r="C46" i="7"/>
  <c r="N62" i="7"/>
  <c r="O61" i="7"/>
  <c r="M24" i="9" l="1"/>
  <c r="X23" i="9"/>
  <c r="Q23" i="9"/>
  <c r="W23" i="9" s="1"/>
  <c r="R22" i="9"/>
  <c r="U22" i="9"/>
  <c r="L25" i="9"/>
  <c r="A16" i="9"/>
  <c r="K17" i="9"/>
  <c r="O62" i="7"/>
  <c r="N63" i="7"/>
  <c r="D48" i="7"/>
  <c r="C47" i="7"/>
  <c r="M25" i="9" l="1"/>
  <c r="X24" i="9"/>
  <c r="Q24" i="9"/>
  <c r="W24" i="9" s="1"/>
  <c r="R23" i="9"/>
  <c r="U23" i="9"/>
  <c r="L26" i="9"/>
  <c r="A15" i="9"/>
  <c r="K16" i="9"/>
  <c r="D49" i="7"/>
  <c r="C48" i="7"/>
  <c r="O63" i="7"/>
  <c r="N64" i="7"/>
  <c r="E48" i="7" s="1"/>
  <c r="M26" i="9" l="1"/>
  <c r="X25" i="9"/>
  <c r="Q25" i="9"/>
  <c r="W25" i="9" s="1"/>
  <c r="R24" i="9"/>
  <c r="U24" i="9"/>
  <c r="L27" i="9"/>
  <c r="A14" i="9"/>
  <c r="K15" i="9"/>
  <c r="G48" i="7"/>
  <c r="F48" i="7"/>
  <c r="J48" i="7"/>
  <c r="N65" i="7"/>
  <c r="O64" i="7"/>
  <c r="F42" i="7"/>
  <c r="G42" i="7"/>
  <c r="I42" i="7"/>
  <c r="K42" i="7"/>
  <c r="H42" i="7"/>
  <c r="E42" i="7"/>
  <c r="J42" i="7"/>
  <c r="E43" i="7"/>
  <c r="I43" i="7"/>
  <c r="F43" i="7"/>
  <c r="J43" i="7"/>
  <c r="G43" i="7"/>
  <c r="H43" i="7"/>
  <c r="K43" i="7"/>
  <c r="G44" i="7"/>
  <c r="J44" i="7"/>
  <c r="F44" i="7"/>
  <c r="H44" i="7"/>
  <c r="E44" i="7"/>
  <c r="I44" i="7"/>
  <c r="K44" i="7"/>
  <c r="I45" i="7"/>
  <c r="G45" i="7"/>
  <c r="E45" i="7"/>
  <c r="J45" i="7"/>
  <c r="H45" i="7"/>
  <c r="K45" i="7"/>
  <c r="F45" i="7"/>
  <c r="J46" i="7"/>
  <c r="H46" i="7"/>
  <c r="K46" i="7"/>
  <c r="F46" i="7"/>
  <c r="G46" i="7"/>
  <c r="E46" i="7"/>
  <c r="I46" i="7"/>
  <c r="I48" i="7"/>
  <c r="K48" i="7"/>
  <c r="I49" i="7"/>
  <c r="E49" i="7"/>
  <c r="H49" i="7"/>
  <c r="K49" i="7"/>
  <c r="C49" i="7"/>
  <c r="J49" i="7"/>
  <c r="G49" i="7"/>
  <c r="D50" i="7"/>
  <c r="F49" i="7"/>
  <c r="H48" i="7"/>
  <c r="M27" i="9" l="1"/>
  <c r="X26" i="9"/>
  <c r="Q26" i="9"/>
  <c r="W26" i="9" s="1"/>
  <c r="R25" i="9"/>
  <c r="U25" i="9"/>
  <c r="L28" i="9"/>
  <c r="A13" i="9"/>
  <c r="K14" i="9"/>
  <c r="D51" i="7"/>
  <c r="K50" i="7"/>
  <c r="G50" i="7"/>
  <c r="J50" i="7"/>
  <c r="F50" i="7"/>
  <c r="I50" i="7"/>
  <c r="H50" i="7"/>
  <c r="E50" i="7"/>
  <c r="N66" i="7"/>
  <c r="O65" i="7"/>
  <c r="M28" i="9" l="1"/>
  <c r="X27" i="9"/>
  <c r="Q27" i="9"/>
  <c r="W27" i="9" s="1"/>
  <c r="R26" i="9"/>
  <c r="U26" i="9"/>
  <c r="L29" i="9"/>
  <c r="A12" i="9"/>
  <c r="K13" i="9"/>
  <c r="O66" i="7"/>
  <c r="N67" i="7"/>
  <c r="H51" i="7"/>
  <c r="D52" i="7"/>
  <c r="K51" i="7"/>
  <c r="G51" i="7"/>
  <c r="C51" i="7"/>
  <c r="F51" i="7"/>
  <c r="I51" i="7"/>
  <c r="E51" i="7"/>
  <c r="J51" i="7"/>
  <c r="M29" i="9" l="1"/>
  <c r="X28" i="9"/>
  <c r="Q28" i="9"/>
  <c r="W28" i="9" s="1"/>
  <c r="R27" i="9"/>
  <c r="U27" i="9"/>
  <c r="L30" i="9"/>
  <c r="A11" i="9"/>
  <c r="K12" i="9"/>
  <c r="I52" i="7"/>
  <c r="E52" i="7"/>
  <c r="H52" i="7"/>
  <c r="K52" i="7"/>
  <c r="C52" i="7"/>
  <c r="J52" i="7"/>
  <c r="D53" i="7"/>
  <c r="G52" i="7"/>
  <c r="F52" i="7"/>
  <c r="O67" i="7"/>
  <c r="N68" i="7"/>
  <c r="M30" i="9" l="1"/>
  <c r="X29" i="9"/>
  <c r="Q29" i="9"/>
  <c r="W29" i="9" s="1"/>
  <c r="R28" i="9"/>
  <c r="U28" i="9"/>
  <c r="L31" i="9"/>
  <c r="A10" i="9"/>
  <c r="K11" i="9"/>
  <c r="N69" i="7"/>
  <c r="O68" i="7"/>
  <c r="J53" i="7"/>
  <c r="F53" i="7"/>
  <c r="I53" i="7"/>
  <c r="E53" i="7"/>
  <c r="H53" i="7"/>
  <c r="K53" i="7"/>
  <c r="D54" i="7"/>
  <c r="G53" i="7"/>
  <c r="C53" i="7"/>
  <c r="M31" i="9" l="1"/>
  <c r="X30" i="9"/>
  <c r="Q30" i="9"/>
  <c r="W30" i="9" s="1"/>
  <c r="R29" i="9"/>
  <c r="U29" i="9"/>
  <c r="L32" i="9"/>
  <c r="A9" i="9"/>
  <c r="K10" i="9"/>
  <c r="D55" i="7"/>
  <c r="K54" i="7"/>
  <c r="G54" i="7"/>
  <c r="C54" i="7"/>
  <c r="J54" i="7"/>
  <c r="F54" i="7"/>
  <c r="E54" i="7"/>
  <c r="I54" i="7"/>
  <c r="H54" i="7"/>
  <c r="N70" i="7"/>
  <c r="O69" i="7"/>
  <c r="M32" i="9" l="1"/>
  <c r="X31" i="9"/>
  <c r="Q31" i="9"/>
  <c r="W31" i="9" s="1"/>
  <c r="R30" i="9"/>
  <c r="U30" i="9"/>
  <c r="L33" i="9"/>
  <c r="A8" i="9"/>
  <c r="K9" i="9"/>
  <c r="O70" i="7"/>
  <c r="N71" i="7"/>
  <c r="H55" i="7"/>
  <c r="D56" i="7"/>
  <c r="K55" i="7"/>
  <c r="C55" i="7"/>
  <c r="I55" i="7"/>
  <c r="F55" i="7"/>
  <c r="J55" i="7"/>
  <c r="E55" i="7"/>
  <c r="M33" i="9" l="1"/>
  <c r="X32" i="9"/>
  <c r="Q32" i="9"/>
  <c r="W32" i="9" s="1"/>
  <c r="R31" i="9"/>
  <c r="U31" i="9"/>
  <c r="L34" i="9"/>
  <c r="A7" i="9"/>
  <c r="K8" i="9"/>
  <c r="I56" i="7"/>
  <c r="E56" i="7"/>
  <c r="H56" i="7"/>
  <c r="F56" i="7"/>
  <c r="K56" i="7"/>
  <c r="C56" i="7"/>
  <c r="J56" i="7"/>
  <c r="D57" i="7"/>
  <c r="O71" i="7"/>
  <c r="N72" i="7"/>
  <c r="M34" i="9" l="1"/>
  <c r="X33" i="9"/>
  <c r="Q33" i="9"/>
  <c r="W33" i="9" s="1"/>
  <c r="R32" i="9"/>
  <c r="U32" i="9"/>
  <c r="L35" i="9"/>
  <c r="A6" i="9"/>
  <c r="K7" i="9"/>
  <c r="J57" i="7"/>
  <c r="F57" i="7"/>
  <c r="I57" i="7"/>
  <c r="E57" i="7"/>
  <c r="K57" i="7"/>
  <c r="C57" i="7"/>
  <c r="H57" i="7"/>
  <c r="D58" i="7"/>
  <c r="N73" i="7"/>
  <c r="O72" i="7"/>
  <c r="M35" i="9" l="1"/>
  <c r="X34" i="9"/>
  <c r="Q34" i="9"/>
  <c r="W34" i="9" s="1"/>
  <c r="R33" i="9"/>
  <c r="U33" i="9"/>
  <c r="L36" i="9"/>
  <c r="A5" i="9"/>
  <c r="K6" i="9"/>
  <c r="D59" i="7"/>
  <c r="K58" i="7"/>
  <c r="G58" i="7"/>
  <c r="C58" i="7"/>
  <c r="J58" i="7"/>
  <c r="F58" i="7"/>
  <c r="H58" i="7"/>
  <c r="E58" i="7"/>
  <c r="I58" i="7"/>
  <c r="O73" i="7"/>
  <c r="M36" i="9" l="1"/>
  <c r="X35" i="9"/>
  <c r="Q35" i="9"/>
  <c r="W35" i="9" s="1"/>
  <c r="R34" i="9"/>
  <c r="U34" i="9"/>
  <c r="L37" i="9"/>
  <c r="A4" i="9"/>
  <c r="K5" i="9"/>
  <c r="H59" i="7"/>
  <c r="D60" i="7"/>
  <c r="K59" i="7"/>
  <c r="C59" i="7"/>
  <c r="J59" i="7"/>
  <c r="E59" i="7"/>
  <c r="I59" i="7"/>
  <c r="F59" i="7"/>
  <c r="M37" i="9" l="1"/>
  <c r="X36" i="9"/>
  <c r="Q36" i="9"/>
  <c r="W36" i="9" s="1"/>
  <c r="R35" i="9"/>
  <c r="U35" i="9"/>
  <c r="L38" i="9"/>
  <c r="T38" i="9" s="1"/>
  <c r="A3" i="9"/>
  <c r="K4" i="9"/>
  <c r="I60" i="7"/>
  <c r="E60" i="7"/>
  <c r="H60" i="7"/>
  <c r="D61" i="7"/>
  <c r="F60" i="7"/>
  <c r="K60" i="7"/>
  <c r="C60" i="7"/>
  <c r="J60" i="7"/>
  <c r="M38" i="9" l="1"/>
  <c r="X37" i="9"/>
  <c r="Q37" i="9"/>
  <c r="W37" i="9" s="1"/>
  <c r="R36" i="9"/>
  <c r="U36" i="9"/>
  <c r="L39" i="9"/>
  <c r="T39" i="9" s="1"/>
  <c r="A2" i="9"/>
  <c r="K2" i="9" s="1"/>
  <c r="K3" i="9"/>
  <c r="J61" i="7"/>
  <c r="F61" i="7"/>
  <c r="I61" i="7"/>
  <c r="E61" i="7"/>
  <c r="K61" i="7"/>
  <c r="C61" i="7"/>
  <c r="H61" i="7"/>
  <c r="D62" i="7"/>
  <c r="M39" i="9" l="1"/>
  <c r="X38" i="9"/>
  <c r="Q38" i="9"/>
  <c r="W38" i="9" s="1"/>
  <c r="R37" i="9"/>
  <c r="U37" i="9"/>
  <c r="L40" i="9"/>
  <c r="T40" i="9" s="1"/>
  <c r="D63" i="7"/>
  <c r="K62" i="7"/>
  <c r="C62" i="7"/>
  <c r="J62" i="7"/>
  <c r="F62" i="7"/>
  <c r="H62" i="7"/>
  <c r="I62" i="7"/>
  <c r="E62" i="7"/>
  <c r="M40" i="9" l="1"/>
  <c r="X39" i="9"/>
  <c r="Q39" i="9"/>
  <c r="W39" i="9" s="1"/>
  <c r="R38" i="9"/>
  <c r="U38" i="9"/>
  <c r="L41" i="9"/>
  <c r="T41" i="9" s="1"/>
  <c r="H63" i="7"/>
  <c r="D64" i="7"/>
  <c r="K63" i="7"/>
  <c r="C63" i="7"/>
  <c r="J63" i="7"/>
  <c r="E63" i="7"/>
  <c r="I63" i="7"/>
  <c r="F63" i="7"/>
  <c r="M41" i="9" l="1"/>
  <c r="X40" i="9"/>
  <c r="Q40" i="9"/>
  <c r="W40" i="9" s="1"/>
  <c r="R39" i="9"/>
  <c r="U39" i="9"/>
  <c r="L42" i="9"/>
  <c r="T42" i="9" s="1"/>
  <c r="I64" i="7"/>
  <c r="E64" i="7"/>
  <c r="H64" i="7"/>
  <c r="D65" i="7"/>
  <c r="J64" i="7"/>
  <c r="F64" i="7"/>
  <c r="K64" i="7"/>
  <c r="C64" i="7"/>
  <c r="M42" i="9" l="1"/>
  <c r="X41" i="9"/>
  <c r="Q41" i="9"/>
  <c r="W41" i="9" s="1"/>
  <c r="R40" i="9"/>
  <c r="U40" i="9"/>
  <c r="L43" i="9"/>
  <c r="T43" i="9" s="1"/>
  <c r="J65" i="7"/>
  <c r="F65" i="7"/>
  <c r="I65" i="7"/>
  <c r="E65" i="7"/>
  <c r="K65" i="7"/>
  <c r="C65" i="7"/>
  <c r="H65" i="7"/>
  <c r="D66" i="7"/>
  <c r="M43" i="9" l="1"/>
  <c r="X42" i="9"/>
  <c r="Q42" i="9"/>
  <c r="W42" i="9" s="1"/>
  <c r="R41" i="9"/>
  <c r="U41" i="9"/>
  <c r="L44" i="9"/>
  <c r="T44" i="9" s="1"/>
  <c r="D67" i="7"/>
  <c r="K66" i="7"/>
  <c r="C66" i="7"/>
  <c r="J66" i="7"/>
  <c r="F66" i="7"/>
  <c r="H66" i="7"/>
  <c r="I66" i="7"/>
  <c r="E66" i="7"/>
  <c r="M44" i="9" l="1"/>
  <c r="X43" i="9"/>
  <c r="Q43" i="9"/>
  <c r="W43" i="9" s="1"/>
  <c r="R42" i="9"/>
  <c r="U42" i="9"/>
  <c r="L45" i="9"/>
  <c r="T45" i="9" s="1"/>
  <c r="H67" i="7"/>
  <c r="D68" i="7"/>
  <c r="K67" i="7"/>
  <c r="C67" i="7"/>
  <c r="J67" i="7"/>
  <c r="E67" i="7"/>
  <c r="I67" i="7"/>
  <c r="F67" i="7"/>
  <c r="M45" i="9" l="1"/>
  <c r="X44" i="9"/>
  <c r="Q44" i="9"/>
  <c r="W44" i="9" s="1"/>
  <c r="R43" i="9"/>
  <c r="U43" i="9"/>
  <c r="L46" i="9"/>
  <c r="T46" i="9" s="1"/>
  <c r="I68" i="7"/>
  <c r="E68" i="7"/>
  <c r="H68" i="7"/>
  <c r="D69" i="7"/>
  <c r="J68" i="7"/>
  <c r="F68" i="7"/>
  <c r="K68" i="7"/>
  <c r="C68" i="7"/>
  <c r="M46" i="9" l="1"/>
  <c r="X45" i="9"/>
  <c r="Q45" i="9"/>
  <c r="W45" i="9" s="1"/>
  <c r="R44" i="9"/>
  <c r="U44" i="9"/>
  <c r="L47" i="9"/>
  <c r="T47" i="9" s="1"/>
  <c r="J69" i="7"/>
  <c r="F69" i="7"/>
  <c r="I69" i="7"/>
  <c r="E69" i="7"/>
  <c r="D70" i="7"/>
  <c r="K69" i="7"/>
  <c r="C69" i="7"/>
  <c r="H69" i="7"/>
  <c r="M47" i="9" l="1"/>
  <c r="X46" i="9"/>
  <c r="Q46" i="9"/>
  <c r="W46" i="9" s="1"/>
  <c r="R45" i="9"/>
  <c r="U45" i="9"/>
  <c r="L48" i="9"/>
  <c r="T48" i="9" s="1"/>
  <c r="D71" i="7"/>
  <c r="K70" i="7"/>
  <c r="C70" i="7"/>
  <c r="J70" i="7"/>
  <c r="F70" i="7"/>
  <c r="H70" i="7"/>
  <c r="E70" i="7"/>
  <c r="I70" i="7"/>
  <c r="M48" i="9" l="1"/>
  <c r="X47" i="9"/>
  <c r="Q47" i="9"/>
  <c r="W47" i="9" s="1"/>
  <c r="R46" i="9"/>
  <c r="U46" i="9"/>
  <c r="L49" i="9"/>
  <c r="T49" i="9" s="1"/>
  <c r="H71" i="7"/>
  <c r="D72" i="7"/>
  <c r="K71" i="7"/>
  <c r="C71" i="7"/>
  <c r="J71" i="7"/>
  <c r="E71" i="7"/>
  <c r="I71" i="7"/>
  <c r="F71" i="7"/>
  <c r="M49" i="9" l="1"/>
  <c r="X48" i="9"/>
  <c r="Q48" i="9"/>
  <c r="W48" i="9" s="1"/>
  <c r="R47" i="9"/>
  <c r="U47" i="9"/>
  <c r="L50" i="9"/>
  <c r="T50" i="9" s="1"/>
  <c r="I72" i="7"/>
  <c r="E72" i="7"/>
  <c r="H72" i="7"/>
  <c r="D73" i="7"/>
  <c r="G73" i="7" s="1"/>
  <c r="G20" i="7" s="1"/>
  <c r="F72" i="7"/>
  <c r="K72" i="7"/>
  <c r="C72" i="7"/>
  <c r="J72" i="7"/>
  <c r="M50" i="9" l="1"/>
  <c r="X49" i="9"/>
  <c r="Q49" i="9"/>
  <c r="W49" i="9" s="1"/>
  <c r="R48" i="9"/>
  <c r="U48" i="9"/>
  <c r="L51" i="9"/>
  <c r="T51" i="9" s="1"/>
  <c r="J73" i="7"/>
  <c r="J20" i="7" s="1"/>
  <c r="K73" i="7"/>
  <c r="K20" i="7" s="1"/>
  <c r="H73" i="7"/>
  <c r="H20" i="7" s="1"/>
  <c r="I73" i="7"/>
  <c r="I20" i="7" s="1"/>
  <c r="E73" i="7"/>
  <c r="E20" i="7" s="1"/>
  <c r="F73" i="7"/>
  <c r="F20" i="7" s="1"/>
  <c r="C73" i="7"/>
  <c r="M51" i="9" l="1"/>
  <c r="X50" i="9"/>
  <c r="Q50" i="9"/>
  <c r="W50" i="9" s="1"/>
  <c r="R49" i="9"/>
  <c r="U49" i="9"/>
  <c r="L52" i="9"/>
  <c r="T52" i="9" s="1"/>
  <c r="F17" i="7"/>
  <c r="H17" i="7"/>
  <c r="I17" i="7"/>
  <c r="K17" i="7"/>
  <c r="E17" i="7"/>
  <c r="J17" i="7"/>
  <c r="G17" i="7"/>
  <c r="M52" i="9" l="1"/>
  <c r="X51" i="9"/>
  <c r="Q51" i="9"/>
  <c r="W51" i="9" s="1"/>
  <c r="R50" i="9"/>
  <c r="U50" i="9"/>
  <c r="L53" i="9"/>
  <c r="T53" i="9" s="1"/>
  <c r="D14" i="7"/>
  <c r="E14" i="7" s="1"/>
  <c r="D10" i="7"/>
  <c r="E10" i="7" s="1"/>
  <c r="D13" i="7"/>
  <c r="E13" i="7" s="1"/>
  <c r="D11" i="7"/>
  <c r="E11" i="7" s="1"/>
  <c r="D9" i="7"/>
  <c r="E9" i="7" s="1"/>
  <c r="D8" i="7"/>
  <c r="E8" i="7" s="1"/>
  <c r="D12" i="7"/>
  <c r="E12" i="7" s="1"/>
  <c r="M53" i="9" l="1"/>
  <c r="X52" i="9"/>
  <c r="Q52" i="9"/>
  <c r="W52" i="9" s="1"/>
  <c r="R51" i="9"/>
  <c r="U51" i="9"/>
  <c r="L54" i="9"/>
  <c r="T54" i="9" s="1"/>
  <c r="C13" i="7"/>
  <c r="C11" i="7"/>
  <c r="C12" i="7" s="1"/>
  <c r="C14" i="7"/>
  <c r="C10" i="7"/>
  <c r="C9" i="7"/>
  <c r="C20" i="7"/>
  <c r="F8" i="7" s="1"/>
  <c r="G8" i="7" s="1"/>
  <c r="M54" i="9" l="1"/>
  <c r="X53" i="9"/>
  <c r="Q53" i="9"/>
  <c r="W53" i="9" s="1"/>
  <c r="R52" i="9"/>
  <c r="U52" i="9"/>
  <c r="L55" i="9"/>
  <c r="T55" i="9" s="1"/>
  <c r="F11" i="7"/>
  <c r="G11" i="7" s="1"/>
  <c r="F12" i="7"/>
  <c r="G12" i="7" s="1"/>
  <c r="F13" i="7"/>
  <c r="G13" i="7" s="1"/>
  <c r="F10" i="7"/>
  <c r="G10" i="7" s="1"/>
  <c r="F14" i="7"/>
  <c r="G14" i="7" s="1"/>
  <c r="F9" i="7"/>
  <c r="G9" i="7" s="1"/>
  <c r="M55" i="9" l="1"/>
  <c r="X54" i="9"/>
  <c r="Q54" i="9"/>
  <c r="W54" i="9" s="1"/>
  <c r="R53" i="9"/>
  <c r="U53" i="9"/>
  <c r="L56" i="9"/>
  <c r="T56" i="9" s="1"/>
  <c r="F1" i="2"/>
  <c r="G1" i="2"/>
  <c r="C1" i="2"/>
  <c r="D1" i="2"/>
  <c r="M56" i="9" l="1"/>
  <c r="X55" i="9"/>
  <c r="Q55" i="9"/>
  <c r="W55" i="9" s="1"/>
  <c r="R54" i="9"/>
  <c r="U54" i="9"/>
  <c r="L57" i="9"/>
  <c r="T57" i="9" s="1"/>
  <c r="E64" i="1"/>
  <c r="B226" i="9" s="1"/>
  <c r="G64" i="1"/>
  <c r="D226" i="9" s="1"/>
  <c r="I64" i="1"/>
  <c r="F226" i="9" s="1"/>
  <c r="J64" i="1"/>
  <c r="G226" i="9" s="1"/>
  <c r="M57" i="9" l="1"/>
  <c r="X56" i="9"/>
  <c r="Q56" i="9"/>
  <c r="W56" i="9" s="1"/>
  <c r="R55" i="9"/>
  <c r="U55" i="9"/>
  <c r="L58" i="9"/>
  <c r="T58" i="9" s="1"/>
  <c r="M61" i="1"/>
  <c r="M62" i="1" s="1"/>
  <c r="M58" i="9" l="1"/>
  <c r="X57" i="9"/>
  <c r="Q57" i="9"/>
  <c r="W57" i="9" s="1"/>
  <c r="R56" i="9"/>
  <c r="U56" i="9"/>
  <c r="L59" i="9"/>
  <c r="T59" i="9" s="1"/>
  <c r="M63" i="1"/>
  <c r="M64" i="1"/>
  <c r="M65" i="1" s="1"/>
  <c r="M66" i="1" s="1"/>
  <c r="M67" i="1" s="1"/>
  <c r="M68" i="1" s="1"/>
  <c r="J59" i="1"/>
  <c r="I59" i="1"/>
  <c r="H59" i="1"/>
  <c r="G59" i="1"/>
  <c r="F59" i="1"/>
  <c r="M59" i="9" l="1"/>
  <c r="X58" i="9"/>
  <c r="Q58" i="9"/>
  <c r="W58" i="9" s="1"/>
  <c r="R57" i="9"/>
  <c r="U57" i="9"/>
  <c r="L60" i="9"/>
  <c r="T60" i="9" s="1"/>
  <c r="D68" i="1"/>
  <c r="M69" i="1"/>
  <c r="M71" i="1" s="1"/>
  <c r="D66" i="1"/>
  <c r="A228" i="9" s="1"/>
  <c r="K228" i="9" s="1"/>
  <c r="D65" i="1"/>
  <c r="D64" i="1"/>
  <c r="D62" i="1"/>
  <c r="D61" i="1"/>
  <c r="A224" i="9" s="1"/>
  <c r="K224" i="9" s="1"/>
  <c r="D60" i="1"/>
  <c r="A223" i="9" s="1"/>
  <c r="K223" i="9" s="1"/>
  <c r="E68" i="1"/>
  <c r="B229" i="9" s="1"/>
  <c r="F68" i="1"/>
  <c r="G68" i="1"/>
  <c r="D229" i="9" s="1"/>
  <c r="H68" i="1"/>
  <c r="I68" i="1"/>
  <c r="F229" i="9" s="1"/>
  <c r="J68" i="1"/>
  <c r="G229" i="9" s="1"/>
  <c r="E69" i="1"/>
  <c r="B230" i="9" s="1"/>
  <c r="F69" i="1"/>
  <c r="G69" i="1"/>
  <c r="D230" i="9" s="1"/>
  <c r="H69" i="1"/>
  <c r="I69" i="1"/>
  <c r="F230" i="9" s="1"/>
  <c r="J69" i="1"/>
  <c r="G230" i="9" s="1"/>
  <c r="D71" i="1"/>
  <c r="E71" i="1"/>
  <c r="B231" i="9" s="1"/>
  <c r="F71" i="1"/>
  <c r="G71" i="1"/>
  <c r="D231" i="9" s="1"/>
  <c r="H71" i="1"/>
  <c r="I71" i="1"/>
  <c r="F231" i="9" s="1"/>
  <c r="J71" i="1"/>
  <c r="G231" i="9" s="1"/>
  <c r="E72" i="1"/>
  <c r="B232" i="9" s="1"/>
  <c r="F72" i="1"/>
  <c r="G72" i="1"/>
  <c r="D232" i="9" s="1"/>
  <c r="H72" i="1"/>
  <c r="I72" i="1"/>
  <c r="F232" i="9" s="1"/>
  <c r="J72" i="1"/>
  <c r="G232" i="9" s="1"/>
  <c r="E74" i="1"/>
  <c r="B233" i="9" s="1"/>
  <c r="F74" i="1"/>
  <c r="C233" i="9" s="1"/>
  <c r="G74" i="1"/>
  <c r="D233" i="9" s="1"/>
  <c r="H74" i="1"/>
  <c r="I74" i="1"/>
  <c r="F233" i="9" s="1"/>
  <c r="J74" i="1"/>
  <c r="G233" i="9" s="1"/>
  <c r="E75" i="1"/>
  <c r="B234" i="9" s="1"/>
  <c r="F75" i="1"/>
  <c r="C234" i="9" s="1"/>
  <c r="G75" i="1"/>
  <c r="D234" i="9" s="1"/>
  <c r="H75" i="1"/>
  <c r="E234" i="9" s="1"/>
  <c r="I75" i="1"/>
  <c r="F234" i="9" s="1"/>
  <c r="J75" i="1"/>
  <c r="G234" i="9" s="1"/>
  <c r="E76" i="1"/>
  <c r="B235" i="9" s="1"/>
  <c r="F76" i="1"/>
  <c r="C235" i="9" s="1"/>
  <c r="G76" i="1"/>
  <c r="D235" i="9" s="1"/>
  <c r="H76" i="1"/>
  <c r="I76" i="1"/>
  <c r="F235" i="9" s="1"/>
  <c r="J76" i="1"/>
  <c r="G235" i="9" s="1"/>
  <c r="C60" i="1"/>
  <c r="E60" i="1"/>
  <c r="B223" i="9" s="1"/>
  <c r="F60" i="1"/>
  <c r="C223" i="9" s="1"/>
  <c r="G60" i="1"/>
  <c r="D223" i="9" s="1"/>
  <c r="H60" i="1"/>
  <c r="I60" i="1"/>
  <c r="F223" i="9" s="1"/>
  <c r="J60" i="1"/>
  <c r="G223" i="9" s="1"/>
  <c r="C61" i="1"/>
  <c r="E61" i="1"/>
  <c r="B224" i="9" s="1"/>
  <c r="F61" i="1"/>
  <c r="G61" i="1"/>
  <c r="D224" i="9" s="1"/>
  <c r="H61" i="1"/>
  <c r="E224" i="9" s="1"/>
  <c r="I61" i="1"/>
  <c r="F224" i="9" s="1"/>
  <c r="J61" i="1"/>
  <c r="G224" i="9" s="1"/>
  <c r="E62" i="1"/>
  <c r="B225" i="9" s="1"/>
  <c r="F62" i="1"/>
  <c r="G62" i="1"/>
  <c r="D225" i="9" s="1"/>
  <c r="H62" i="1"/>
  <c r="E225" i="9" s="1"/>
  <c r="I62" i="1"/>
  <c r="F225" i="9" s="1"/>
  <c r="J62" i="1"/>
  <c r="G225" i="9" s="1"/>
  <c r="F64" i="1"/>
  <c r="H64" i="1"/>
  <c r="E65" i="1"/>
  <c r="B227" i="9" s="1"/>
  <c r="F65" i="1"/>
  <c r="G65" i="1"/>
  <c r="D227" i="9" s="1"/>
  <c r="H65" i="1"/>
  <c r="I65" i="1"/>
  <c r="F227" i="9" s="1"/>
  <c r="J65" i="1"/>
  <c r="G227" i="9" s="1"/>
  <c r="E66" i="1"/>
  <c r="B228" i="9" s="1"/>
  <c r="F66" i="1"/>
  <c r="G66" i="1"/>
  <c r="D228" i="9" s="1"/>
  <c r="H66" i="1"/>
  <c r="E228" i="9" s="1"/>
  <c r="I66" i="1"/>
  <c r="F228" i="9" s="1"/>
  <c r="J66" i="1"/>
  <c r="G228" i="9" s="1"/>
  <c r="M60" i="9" l="1"/>
  <c r="X59" i="9"/>
  <c r="Q59" i="9"/>
  <c r="W59" i="9" s="1"/>
  <c r="R58" i="9"/>
  <c r="U58" i="9"/>
  <c r="C66" i="1"/>
  <c r="L61" i="9"/>
  <c r="T61" i="9" s="1"/>
  <c r="D69" i="1"/>
  <c r="A230" i="9" s="1"/>
  <c r="K230" i="9" s="1"/>
  <c r="M72" i="1"/>
  <c r="M70" i="1"/>
  <c r="A227" i="9"/>
  <c r="K227" i="9" s="1"/>
  <c r="C65" i="1"/>
  <c r="C62" i="1"/>
  <c r="A225" i="9"/>
  <c r="K225" i="9" s="1"/>
  <c r="A226" i="9"/>
  <c r="K226" i="9" s="1"/>
  <c r="C64" i="1"/>
  <c r="C71" i="1"/>
  <c r="A231" i="9"/>
  <c r="K231" i="9" s="1"/>
  <c r="A229" i="9"/>
  <c r="K229" i="9" s="1"/>
  <c r="C69" i="1"/>
  <c r="M54" i="1"/>
  <c r="M55" i="1" s="1"/>
  <c r="M56" i="1" s="1"/>
  <c r="M57" i="1" s="1"/>
  <c r="M58" i="1" s="1"/>
  <c r="M61" i="9" l="1"/>
  <c r="X60" i="9"/>
  <c r="Q60" i="9"/>
  <c r="W60" i="9" s="1"/>
  <c r="R59" i="9"/>
  <c r="U59" i="9"/>
  <c r="L62" i="9"/>
  <c r="T62" i="9" s="1"/>
  <c r="M74" i="1"/>
  <c r="M75" i="1" s="1"/>
  <c r="D72" i="1"/>
  <c r="M59" i="1"/>
  <c r="D58" i="1"/>
  <c r="A222" i="9" s="1"/>
  <c r="K222" i="9" s="1"/>
  <c r="C90" i="6"/>
  <c r="C89" i="6"/>
  <c r="C88" i="6"/>
  <c r="C87" i="6"/>
  <c r="C86" i="6"/>
  <c r="C85" i="6"/>
  <c r="C84" i="6"/>
  <c r="C82" i="6"/>
  <c r="C81" i="6"/>
  <c r="C80" i="6"/>
  <c r="C79" i="6"/>
  <c r="C78" i="6"/>
  <c r="C77" i="6"/>
  <c r="C76" i="6"/>
  <c r="C75" i="6"/>
  <c r="C74" i="6"/>
  <c r="C73" i="6"/>
  <c r="C72" i="6"/>
  <c r="C71" i="6"/>
  <c r="C70" i="6"/>
  <c r="C69" i="6"/>
  <c r="C68" i="6"/>
  <c r="C67" i="6"/>
  <c r="C66" i="6"/>
  <c r="C65"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4" i="6"/>
  <c r="C33" i="6"/>
  <c r="C32" i="6"/>
  <c r="C31" i="6"/>
  <c r="C30" i="6"/>
  <c r="C29" i="6"/>
  <c r="C27" i="6"/>
  <c r="I20" i="6"/>
  <c r="E20" i="6"/>
  <c r="C26" i="6"/>
  <c r="C25" i="6"/>
  <c r="U20" i="6"/>
  <c r="O13" i="6" s="1"/>
  <c r="AQ2" i="3" s="1"/>
  <c r="T20" i="6"/>
  <c r="O10" i="6" s="1"/>
  <c r="AQ3" i="3" s="1"/>
  <c r="R20" i="6"/>
  <c r="O11" i="6" s="1"/>
  <c r="AQ5" i="3" s="1"/>
  <c r="O20" i="6"/>
  <c r="O12" i="6" s="1"/>
  <c r="AQ4" i="3" s="1"/>
  <c r="J20" i="6"/>
  <c r="H20" i="6"/>
  <c r="G20" i="6"/>
  <c r="F20" i="6"/>
  <c r="C8" i="6"/>
  <c r="M62" i="9" l="1"/>
  <c r="X61" i="9"/>
  <c r="Q61" i="9"/>
  <c r="W61" i="9" s="1"/>
  <c r="R60" i="9"/>
  <c r="U60" i="9"/>
  <c r="L63" i="9"/>
  <c r="T63" i="9" s="1"/>
  <c r="A232" i="9"/>
  <c r="K232" i="9" s="1"/>
  <c r="C72" i="1"/>
  <c r="M76" i="1"/>
  <c r="D75" i="1"/>
  <c r="O9" i="6"/>
  <c r="Q20" i="6" s="1"/>
  <c r="H17" i="6"/>
  <c r="I17" i="6"/>
  <c r="C20" i="6"/>
  <c r="F17" i="6"/>
  <c r="G17" i="6"/>
  <c r="J17" i="6"/>
  <c r="E17" i="6"/>
  <c r="M63" i="9" l="1"/>
  <c r="X62" i="9"/>
  <c r="Q62" i="9"/>
  <c r="W62" i="9" s="1"/>
  <c r="R61" i="9"/>
  <c r="U61" i="9"/>
  <c r="L64" i="9"/>
  <c r="T64" i="9" s="1"/>
  <c r="A234" i="9"/>
  <c r="K234" i="9" s="1"/>
  <c r="C75" i="1"/>
  <c r="M77" i="1"/>
  <c r="M78" i="1" s="1"/>
  <c r="M79" i="1" s="1"/>
  <c r="M80" i="1" s="1"/>
  <c r="M81" i="1" s="1"/>
  <c r="M82" i="1" s="1"/>
  <c r="D76" i="1"/>
  <c r="O8" i="6"/>
  <c r="AQ7" i="3" s="1"/>
  <c r="D12" i="6"/>
  <c r="E12" i="6" s="1"/>
  <c r="T7" i="3" s="1"/>
  <c r="D10" i="6"/>
  <c r="E10" i="6" s="1"/>
  <c r="T5" i="3" s="1"/>
  <c r="D8" i="6"/>
  <c r="E8" i="6" s="1"/>
  <c r="D11" i="6"/>
  <c r="E11" i="6" s="1"/>
  <c r="D9" i="6"/>
  <c r="E9" i="6" s="1"/>
  <c r="T4" i="3" s="1"/>
  <c r="D13" i="6"/>
  <c r="E13" i="6" s="1"/>
  <c r="T6" i="3" s="1"/>
  <c r="O16" i="6"/>
  <c r="M64" i="9" l="1"/>
  <c r="X63" i="9"/>
  <c r="Q63" i="9"/>
  <c r="W63" i="9" s="1"/>
  <c r="R62" i="9"/>
  <c r="U62" i="9"/>
  <c r="AQ6" i="3"/>
  <c r="L65" i="9"/>
  <c r="T65" i="9" s="1"/>
  <c r="S20" i="6"/>
  <c r="F22" i="3"/>
  <c r="F23" i="3"/>
  <c r="F21" i="3"/>
  <c r="F24" i="3"/>
  <c r="BC6" i="3"/>
  <c r="A235" i="9"/>
  <c r="K235" i="9" s="1"/>
  <c r="C76" i="1"/>
  <c r="BC5" i="3"/>
  <c r="M83" i="1"/>
  <c r="M84" i="1" s="1"/>
  <c r="D82" i="1"/>
  <c r="A240" i="9" s="1"/>
  <c r="K240" i="9" s="1"/>
  <c r="BC7" i="3"/>
  <c r="BC4" i="3"/>
  <c r="F8" i="6"/>
  <c r="G8" i="6" s="1"/>
  <c r="T2" i="3"/>
  <c r="F11" i="6"/>
  <c r="G11" i="6" s="1"/>
  <c r="C11" i="6"/>
  <c r="C10" i="6"/>
  <c r="F10" i="6"/>
  <c r="G10" i="6" s="1"/>
  <c r="F13" i="6"/>
  <c r="G13" i="6" s="1"/>
  <c r="C13" i="6"/>
  <c r="F9" i="6"/>
  <c r="G9" i="6" s="1"/>
  <c r="C9" i="6"/>
  <c r="C12" i="6"/>
  <c r="F12" i="6"/>
  <c r="G12" i="6" s="1"/>
  <c r="M65" i="9" l="1"/>
  <c r="X64" i="9"/>
  <c r="Q64" i="9"/>
  <c r="W64" i="9" s="1"/>
  <c r="R63" i="9"/>
  <c r="U63" i="9"/>
  <c r="L66" i="9"/>
  <c r="T66" i="9" s="1"/>
  <c r="F19" i="3"/>
  <c r="BC2" i="3"/>
  <c r="J45" i="1"/>
  <c r="G212" i="9" s="1"/>
  <c r="I45" i="1"/>
  <c r="F212" i="9" s="1"/>
  <c r="H45" i="1"/>
  <c r="G45" i="1"/>
  <c r="D212" i="9" s="1"/>
  <c r="F45" i="1"/>
  <c r="E45" i="1"/>
  <c r="B212" i="9" s="1"/>
  <c r="M66" i="9" l="1"/>
  <c r="X65" i="9"/>
  <c r="Q65" i="9"/>
  <c r="W65" i="9" s="1"/>
  <c r="R64" i="9"/>
  <c r="U64" i="9"/>
  <c r="L67" i="9"/>
  <c r="T67" i="9" s="1"/>
  <c r="E43" i="1"/>
  <c r="B211" i="9" s="1"/>
  <c r="F43" i="1"/>
  <c r="G43" i="1"/>
  <c r="D211" i="9" s="1"/>
  <c r="H43" i="1"/>
  <c r="I43" i="1"/>
  <c r="F211" i="9" s="1"/>
  <c r="J43" i="1"/>
  <c r="G211" i="9" s="1"/>
  <c r="M67" i="9" l="1"/>
  <c r="X66" i="9"/>
  <c r="Q66" i="9"/>
  <c r="W66" i="9" s="1"/>
  <c r="R65" i="9"/>
  <c r="U65" i="9"/>
  <c r="L68" i="9"/>
  <c r="T68" i="9" s="1"/>
  <c r="E46" i="1"/>
  <c r="B213" i="9" s="1"/>
  <c r="F46" i="1"/>
  <c r="G46" i="1"/>
  <c r="D213" i="9" s="1"/>
  <c r="H46" i="1"/>
  <c r="I46" i="1"/>
  <c r="F213" i="9" s="1"/>
  <c r="J46" i="1"/>
  <c r="G213" i="9" s="1"/>
  <c r="E47" i="1"/>
  <c r="B214" i="9" s="1"/>
  <c r="F47" i="1"/>
  <c r="G47" i="1"/>
  <c r="D214" i="9" s="1"/>
  <c r="H47" i="1"/>
  <c r="E214" i="9" s="1"/>
  <c r="I47" i="1"/>
  <c r="F214" i="9" s="1"/>
  <c r="J47" i="1"/>
  <c r="G214" i="9" s="1"/>
  <c r="M68" i="9" l="1"/>
  <c r="X67" i="9"/>
  <c r="Q67" i="9"/>
  <c r="W67" i="9" s="1"/>
  <c r="R66" i="9"/>
  <c r="U66" i="9"/>
  <c r="L69" i="9"/>
  <c r="T69" i="9" s="1"/>
  <c r="H1" i="2"/>
  <c r="M69" i="9" l="1"/>
  <c r="X68" i="9"/>
  <c r="Q68" i="9"/>
  <c r="W68" i="9" s="1"/>
  <c r="R67" i="9"/>
  <c r="U67" i="9"/>
  <c r="L70" i="9"/>
  <c r="T70" i="9" s="1"/>
  <c r="C9" i="1"/>
  <c r="C10" i="1"/>
  <c r="C11" i="1"/>
  <c r="C12" i="1"/>
  <c r="C13" i="1"/>
  <c r="M70" i="9" l="1"/>
  <c r="X69" i="9"/>
  <c r="Q69" i="9"/>
  <c r="W69" i="9" s="1"/>
  <c r="R68" i="9"/>
  <c r="U68" i="9"/>
  <c r="L71" i="9"/>
  <c r="T71" i="9" s="1"/>
  <c r="F36" i="1"/>
  <c r="C204" i="9" s="1"/>
  <c r="M71" i="9" l="1"/>
  <c r="X70" i="9"/>
  <c r="Q70" i="9"/>
  <c r="W70" i="9" s="1"/>
  <c r="R69" i="9"/>
  <c r="U69" i="9"/>
  <c r="L72" i="9"/>
  <c r="T72" i="9" s="1"/>
  <c r="M32" i="1"/>
  <c r="M33" i="1" s="1"/>
  <c r="M34" i="1" s="1"/>
  <c r="M35" i="1" s="1"/>
  <c r="M36" i="1" s="1"/>
  <c r="M37" i="1" s="1"/>
  <c r="M38" i="1" s="1"/>
  <c r="M39" i="1" s="1"/>
  <c r="S31" i="1"/>
  <c r="S20" i="1" s="1"/>
  <c r="O31" i="1"/>
  <c r="O20" i="1" s="1"/>
  <c r="M72" i="9" l="1"/>
  <c r="X71" i="9"/>
  <c r="Q71" i="9"/>
  <c r="W71" i="9" s="1"/>
  <c r="R70" i="9"/>
  <c r="U70" i="9"/>
  <c r="L73" i="9"/>
  <c r="T73" i="9" s="1"/>
  <c r="O10" i="1"/>
  <c r="AS3" i="3"/>
  <c r="AS4" i="3"/>
  <c r="O12" i="1"/>
  <c r="O8" i="1" s="1"/>
  <c r="M40" i="1"/>
  <c r="M41" i="1" s="1"/>
  <c r="M42" i="1" s="1"/>
  <c r="M43" i="1" s="1"/>
  <c r="M44" i="1" s="1"/>
  <c r="M45" i="1" s="1"/>
  <c r="M46" i="1" s="1"/>
  <c r="I30" i="1"/>
  <c r="F200" i="9" s="1"/>
  <c r="E30" i="1"/>
  <c r="B200" i="9" s="1"/>
  <c r="M73" i="9" l="1"/>
  <c r="X72" i="9"/>
  <c r="Q72" i="9"/>
  <c r="W72" i="9" s="1"/>
  <c r="R71" i="9"/>
  <c r="U71" i="9"/>
  <c r="L74" i="9"/>
  <c r="T74" i="9" s="1"/>
  <c r="O9" i="1"/>
  <c r="P20" i="1" s="1"/>
  <c r="AS6" i="3" s="1"/>
  <c r="R20" i="1"/>
  <c r="AS7" i="3" s="1"/>
  <c r="D45" i="1"/>
  <c r="C45" i="1" s="1"/>
  <c r="M47" i="1"/>
  <c r="D46" i="1"/>
  <c r="AL1" i="2"/>
  <c r="X2" i="2"/>
  <c r="A2" i="2"/>
  <c r="F29" i="1"/>
  <c r="E29" i="1"/>
  <c r="B199" i="9" s="1"/>
  <c r="G29" i="1"/>
  <c r="D199" i="9" s="1"/>
  <c r="H29" i="1"/>
  <c r="I29" i="1"/>
  <c r="F199" i="9" s="1"/>
  <c r="J29" i="1"/>
  <c r="G199" i="9" s="1"/>
  <c r="M74" i="9" l="1"/>
  <c r="X73" i="9"/>
  <c r="Q73" i="9"/>
  <c r="W73" i="9" s="1"/>
  <c r="R72" i="9"/>
  <c r="U72" i="9"/>
  <c r="L75" i="9"/>
  <c r="T75" i="9" s="1"/>
  <c r="O16" i="1"/>
  <c r="W16" i="1" s="1"/>
  <c r="A212" i="9"/>
  <c r="K212" i="9" s="1"/>
  <c r="C46" i="1"/>
  <c r="A213" i="9"/>
  <c r="K213" i="9" s="1"/>
  <c r="M49" i="1"/>
  <c r="D47" i="1"/>
  <c r="A1" i="4"/>
  <c r="P2" i="2"/>
  <c r="M75" i="9" l="1"/>
  <c r="X74" i="9"/>
  <c r="Q74" i="9"/>
  <c r="W74" i="9" s="1"/>
  <c r="R73" i="9"/>
  <c r="U73" i="9"/>
  <c r="L76" i="9"/>
  <c r="T76" i="9" s="1"/>
  <c r="M50" i="1"/>
  <c r="C47" i="1"/>
  <c r="A214" i="9"/>
  <c r="K214" i="9" s="1"/>
  <c r="E26" i="1"/>
  <c r="B196" i="9" s="1"/>
  <c r="G26" i="1"/>
  <c r="D196" i="9" s="1"/>
  <c r="I26" i="1"/>
  <c r="F196" i="9" s="1"/>
  <c r="M76" i="9" l="1"/>
  <c r="X75" i="9"/>
  <c r="Q75" i="9"/>
  <c r="W75" i="9" s="1"/>
  <c r="R74" i="9"/>
  <c r="U74" i="9"/>
  <c r="L77" i="9"/>
  <c r="T77" i="9" s="1"/>
  <c r="M51" i="1"/>
  <c r="M25" i="1"/>
  <c r="M76" i="5"/>
  <c r="C76" i="5" s="1"/>
  <c r="C75" i="5"/>
  <c r="M71" i="5"/>
  <c r="M72" i="5" s="1"/>
  <c r="M73" i="5" s="1"/>
  <c r="C70" i="5"/>
  <c r="M69" i="5"/>
  <c r="C69" i="5" s="1"/>
  <c r="C68" i="5"/>
  <c r="M65" i="5"/>
  <c r="C65" i="5" s="1"/>
  <c r="M64" i="5"/>
  <c r="M66" i="5" s="1"/>
  <c r="M67" i="5" s="1"/>
  <c r="C63" i="5"/>
  <c r="M59" i="5"/>
  <c r="M60" i="5" s="1"/>
  <c r="M50" i="5"/>
  <c r="M51" i="5" s="1"/>
  <c r="C49" i="5"/>
  <c r="C48" i="5"/>
  <c r="C47" i="5"/>
  <c r="M36" i="5"/>
  <c r="M37" i="5" s="1"/>
  <c r="C35" i="5"/>
  <c r="C34" i="5"/>
  <c r="M28" i="5"/>
  <c r="M29" i="5" s="1"/>
  <c r="C27" i="5"/>
  <c r="C26" i="5"/>
  <c r="T20" i="5"/>
  <c r="AR2" i="3" s="1"/>
  <c r="AZ2" i="3" s="1"/>
  <c r="S20" i="5"/>
  <c r="AR3" i="3" s="1"/>
  <c r="AZ3" i="3" s="1"/>
  <c r="Q20" i="5"/>
  <c r="O11" i="5" s="1"/>
  <c r="O20" i="5"/>
  <c r="AR4" i="3" s="1"/>
  <c r="AZ4" i="3" s="1"/>
  <c r="O13" i="5"/>
  <c r="C8" i="5"/>
  <c r="Q2" i="3" l="1"/>
  <c r="Q3" i="3"/>
  <c r="Q4" i="3"/>
  <c r="M77" i="9"/>
  <c r="X76" i="9"/>
  <c r="Q76" i="9"/>
  <c r="W76" i="9" s="1"/>
  <c r="R75" i="9"/>
  <c r="U75" i="9"/>
  <c r="L78" i="9"/>
  <c r="T78" i="9" s="1"/>
  <c r="O12" i="5"/>
  <c r="M52" i="1"/>
  <c r="J20" i="5"/>
  <c r="U2" i="3" s="1"/>
  <c r="H20" i="5"/>
  <c r="U7" i="3" s="1"/>
  <c r="O10" i="5"/>
  <c r="E20" i="5"/>
  <c r="U4" i="3" s="1"/>
  <c r="I20" i="5"/>
  <c r="U3" i="3" s="1"/>
  <c r="F20" i="5"/>
  <c r="U6" i="3" s="1"/>
  <c r="C28" i="5"/>
  <c r="M26" i="1"/>
  <c r="M27" i="1" s="1"/>
  <c r="M28" i="1" s="1"/>
  <c r="M29" i="1" s="1"/>
  <c r="M30" i="5"/>
  <c r="M31" i="5" s="1"/>
  <c r="M32" i="5" s="1"/>
  <c r="C29" i="5"/>
  <c r="AR5" i="3"/>
  <c r="AZ5" i="3" s="1"/>
  <c r="C50" i="5"/>
  <c r="C71" i="5"/>
  <c r="G20" i="5"/>
  <c r="C59" i="5"/>
  <c r="M38" i="5"/>
  <c r="C37" i="5"/>
  <c r="M74" i="5"/>
  <c r="C74" i="5" s="1"/>
  <c r="C73" i="5"/>
  <c r="M52" i="5"/>
  <c r="C51" i="5"/>
  <c r="M61" i="5"/>
  <c r="C60" i="5"/>
  <c r="C36" i="5"/>
  <c r="C66" i="5"/>
  <c r="C72" i="5"/>
  <c r="Q5" i="3" l="1"/>
  <c r="E5" i="4" s="1"/>
  <c r="M78" i="9"/>
  <c r="X77" i="9"/>
  <c r="Q77" i="9"/>
  <c r="W77" i="9" s="1"/>
  <c r="R76" i="9"/>
  <c r="U76" i="9"/>
  <c r="E2" i="4"/>
  <c r="L79" i="9"/>
  <c r="T79" i="9" s="1"/>
  <c r="O9" i="5"/>
  <c r="P20" i="5" s="1"/>
  <c r="AR6" i="3" s="1"/>
  <c r="AZ6" i="3" s="1"/>
  <c r="H23" i="3"/>
  <c r="H24" i="3"/>
  <c r="H19" i="3"/>
  <c r="H21" i="3"/>
  <c r="C31" i="5"/>
  <c r="H17" i="5"/>
  <c r="C30" i="5"/>
  <c r="I17" i="5"/>
  <c r="J17" i="5"/>
  <c r="D29" i="1"/>
  <c r="M30" i="1"/>
  <c r="G17" i="5"/>
  <c r="U5" i="3"/>
  <c r="E17" i="5"/>
  <c r="O8" i="5"/>
  <c r="R20" i="5" s="1"/>
  <c r="AR7" i="3" s="1"/>
  <c r="AZ7" i="3" s="1"/>
  <c r="F17" i="5"/>
  <c r="M53" i="5"/>
  <c r="C52" i="5"/>
  <c r="M62" i="5"/>
  <c r="C62" i="5" s="1"/>
  <c r="C61" i="5"/>
  <c r="M33" i="5"/>
  <c r="C33" i="5" s="1"/>
  <c r="C32" i="5"/>
  <c r="O16" i="5"/>
  <c r="T5" i="5" s="1"/>
  <c r="M39" i="5"/>
  <c r="C38" i="5"/>
  <c r="Q6" i="3" l="1"/>
  <c r="U10" i="3"/>
  <c r="Q7" i="3"/>
  <c r="U9" i="3"/>
  <c r="M79" i="9"/>
  <c r="X78" i="9"/>
  <c r="Q78" i="9"/>
  <c r="W78" i="9" s="1"/>
  <c r="R77" i="9"/>
  <c r="U77" i="9"/>
  <c r="AR9" i="3"/>
  <c r="L80" i="9"/>
  <c r="T80" i="9" s="1"/>
  <c r="H22" i="3"/>
  <c r="C29" i="1"/>
  <c r="A199" i="9"/>
  <c r="K199" i="9" s="1"/>
  <c r="D8" i="5"/>
  <c r="E8" i="5" s="1"/>
  <c r="D10" i="5"/>
  <c r="E10" i="5" s="1"/>
  <c r="D13" i="5"/>
  <c r="E13" i="5" s="1"/>
  <c r="D11" i="5"/>
  <c r="E11" i="5" s="1"/>
  <c r="D12" i="5"/>
  <c r="E12" i="5" s="1"/>
  <c r="D9" i="5"/>
  <c r="E9" i="5" s="1"/>
  <c r="T3" i="3" s="1"/>
  <c r="C39" i="5"/>
  <c r="M40" i="5"/>
  <c r="M54" i="5"/>
  <c r="C53" i="5"/>
  <c r="B3" i="4"/>
  <c r="B4" i="4"/>
  <c r="J1" i="2"/>
  <c r="E1" i="2"/>
  <c r="K1" i="2" s="1"/>
  <c r="L1" i="2"/>
  <c r="M1" i="2"/>
  <c r="N1" i="2"/>
  <c r="I1" i="2"/>
  <c r="AZ9" i="3" l="1"/>
  <c r="T10" i="3"/>
  <c r="M80" i="9"/>
  <c r="X79" i="9"/>
  <c r="T9" i="3"/>
  <c r="H9" i="3" s="1"/>
  <c r="Q79" i="9"/>
  <c r="W79" i="9" s="1"/>
  <c r="R78" i="9"/>
  <c r="U78" i="9"/>
  <c r="L81" i="9"/>
  <c r="T81" i="9" s="1"/>
  <c r="F20" i="3"/>
  <c r="H20" i="3" s="1"/>
  <c r="BC3" i="3"/>
  <c r="BC9" i="3" s="1"/>
  <c r="C12" i="5"/>
  <c r="C9" i="5"/>
  <c r="C11" i="5"/>
  <c r="J2" i="2"/>
  <c r="L2" i="2"/>
  <c r="N2" i="2"/>
  <c r="M2" i="2"/>
  <c r="I2" i="2"/>
  <c r="K2" i="2"/>
  <c r="C10" i="5"/>
  <c r="C13" i="5"/>
  <c r="M55" i="5"/>
  <c r="C54" i="5"/>
  <c r="M41" i="5"/>
  <c r="C40" i="5"/>
  <c r="R1" i="2"/>
  <c r="U1" i="2"/>
  <c r="T1" i="2"/>
  <c r="Q1" i="2"/>
  <c r="S1" i="2"/>
  <c r="M81" i="9" l="1"/>
  <c r="X80" i="9"/>
  <c r="Q80" i="9"/>
  <c r="W80" i="9" s="1"/>
  <c r="R79" i="9"/>
  <c r="U79" i="9"/>
  <c r="L82" i="9"/>
  <c r="T82" i="9" s="1"/>
  <c r="Z1" i="2"/>
  <c r="AG1" i="2" s="1"/>
  <c r="AC1" i="2"/>
  <c r="AJ1" i="2" s="1"/>
  <c r="AA1" i="2"/>
  <c r="AH1" i="2" s="1"/>
  <c r="Y1" i="2"/>
  <c r="AD1" i="2"/>
  <c r="AK1" i="2" s="1"/>
  <c r="AB1" i="2"/>
  <c r="AI1" i="2" s="1"/>
  <c r="M42" i="5"/>
  <c r="C41" i="5"/>
  <c r="C55" i="5"/>
  <c r="M56" i="5"/>
  <c r="M82" i="9" l="1"/>
  <c r="X81" i="9"/>
  <c r="Q81" i="9"/>
  <c r="W81" i="9" s="1"/>
  <c r="R80" i="9"/>
  <c r="U80" i="9"/>
  <c r="L83" i="9"/>
  <c r="T83" i="9" s="1"/>
  <c r="AL2" i="2"/>
  <c r="AK2" i="2"/>
  <c r="AJ2" i="2"/>
  <c r="AI2" i="2"/>
  <c r="AH2" i="2"/>
  <c r="AG2" i="2"/>
  <c r="AF1" i="2"/>
  <c r="AF2" i="2" s="1"/>
  <c r="M57" i="5"/>
  <c r="C58" i="5" s="1"/>
  <c r="C56" i="5"/>
  <c r="M43" i="5"/>
  <c r="C42" i="5"/>
  <c r="M83" i="9" l="1"/>
  <c r="X82" i="9"/>
  <c r="Q82" i="9"/>
  <c r="W82" i="9" s="1"/>
  <c r="R81" i="9"/>
  <c r="U81" i="9"/>
  <c r="L84" i="9"/>
  <c r="T84" i="9" s="1"/>
  <c r="M44" i="5"/>
  <c r="C43" i="5"/>
  <c r="M84" i="9" l="1"/>
  <c r="X83" i="9"/>
  <c r="Q83" i="9"/>
  <c r="W83" i="9" s="1"/>
  <c r="R82" i="9"/>
  <c r="U82" i="9"/>
  <c r="L85" i="9"/>
  <c r="T85" i="9" s="1"/>
  <c r="M45" i="5"/>
  <c r="C44" i="5"/>
  <c r="C20" i="5" s="1"/>
  <c r="AF2" i="3" s="1"/>
  <c r="M85" i="9" l="1"/>
  <c r="X84" i="9"/>
  <c r="Q84" i="9"/>
  <c r="W84" i="9" s="1"/>
  <c r="R83" i="9"/>
  <c r="U83" i="9"/>
  <c r="L86" i="9"/>
  <c r="T86" i="9" s="1"/>
  <c r="I2" i="3"/>
  <c r="F11" i="5"/>
  <c r="G11" i="5" s="1"/>
  <c r="F12" i="5"/>
  <c r="G12" i="5" s="1"/>
  <c r="F13" i="5"/>
  <c r="G13" i="5" s="1"/>
  <c r="F8" i="5"/>
  <c r="G8" i="5" s="1"/>
  <c r="F9" i="5"/>
  <c r="G9" i="5" s="1"/>
  <c r="F10" i="5"/>
  <c r="G10" i="5" s="1"/>
  <c r="B2" i="4"/>
  <c r="B7" i="4"/>
  <c r="B6" i="4"/>
  <c r="B8" i="4"/>
  <c r="B1" i="4"/>
  <c r="D1" i="4"/>
  <c r="M86" i="9" l="1"/>
  <c r="X85" i="9"/>
  <c r="Q85" i="9"/>
  <c r="W85" i="9" s="1"/>
  <c r="R84" i="9"/>
  <c r="U84" i="9"/>
  <c r="L87" i="9"/>
  <c r="T87" i="9" s="1"/>
  <c r="D52" i="1"/>
  <c r="F34" i="1"/>
  <c r="M87" i="9" l="1"/>
  <c r="X86" i="9"/>
  <c r="Q86" i="9"/>
  <c r="W86" i="9" s="1"/>
  <c r="R85" i="9"/>
  <c r="U85" i="9"/>
  <c r="L88" i="9"/>
  <c r="T88" i="9" s="1"/>
  <c r="C52" i="1"/>
  <c r="A217" i="9"/>
  <c r="K217" i="9" s="1"/>
  <c r="J41" i="1"/>
  <c r="G209" i="9" s="1"/>
  <c r="M88" i="9" l="1"/>
  <c r="X87" i="9"/>
  <c r="Q87" i="9"/>
  <c r="W87" i="9" s="1"/>
  <c r="R86" i="9"/>
  <c r="U86" i="9"/>
  <c r="L89" i="9"/>
  <c r="T89" i="9" s="1"/>
  <c r="D43" i="1"/>
  <c r="A211" i="9" s="1"/>
  <c r="K211" i="9" s="1"/>
  <c r="M89" i="9" l="1"/>
  <c r="X88" i="9"/>
  <c r="Q88" i="9"/>
  <c r="W88" i="9" s="1"/>
  <c r="R87" i="9"/>
  <c r="U87" i="9"/>
  <c r="L90" i="9"/>
  <c r="T90" i="9" s="1"/>
  <c r="AP9" i="3"/>
  <c r="M90" i="9" l="1"/>
  <c r="X89" i="9"/>
  <c r="Q89" i="9"/>
  <c r="W89" i="9" s="1"/>
  <c r="R88" i="9"/>
  <c r="U88" i="9"/>
  <c r="L91" i="9"/>
  <c r="T91" i="9" s="1"/>
  <c r="AQ9" i="3"/>
  <c r="M91" i="9" l="1"/>
  <c r="X90" i="9"/>
  <c r="Q90" i="9"/>
  <c r="W90" i="9" s="1"/>
  <c r="R89" i="9"/>
  <c r="U89" i="9"/>
  <c r="L92" i="9"/>
  <c r="T92" i="9" s="1"/>
  <c r="AC2" i="3"/>
  <c r="M92" i="9" l="1"/>
  <c r="X91" i="9"/>
  <c r="Q91" i="9"/>
  <c r="W91" i="9" s="1"/>
  <c r="R90" i="9"/>
  <c r="U90" i="9"/>
  <c r="BA2" i="3"/>
  <c r="BA9" i="3" s="1"/>
  <c r="AC9" i="3"/>
  <c r="F9" i="3" s="1"/>
  <c r="L93" i="9"/>
  <c r="T93" i="9" s="1"/>
  <c r="AO9" i="3"/>
  <c r="C8" i="3"/>
  <c r="M93" i="9" l="1"/>
  <c r="X92" i="9"/>
  <c r="Q92" i="9"/>
  <c r="W92" i="9" s="1"/>
  <c r="R91" i="9"/>
  <c r="U91" i="9"/>
  <c r="L94" i="9"/>
  <c r="T94" i="9" s="1"/>
  <c r="F7" i="3"/>
  <c r="Q8" i="3"/>
  <c r="Q9" i="3" s="1"/>
  <c r="M94" i="9" l="1"/>
  <c r="X93" i="9"/>
  <c r="Q93" i="9"/>
  <c r="W93" i="9" s="1"/>
  <c r="R92" i="9"/>
  <c r="U92" i="9"/>
  <c r="L95" i="9"/>
  <c r="T95" i="9" s="1"/>
  <c r="F2" i="3"/>
  <c r="F4" i="3"/>
  <c r="F3" i="3"/>
  <c r="D28" i="1"/>
  <c r="A198" i="9" s="1"/>
  <c r="K198" i="9" s="1"/>
  <c r="M95" i="9" l="1"/>
  <c r="X94" i="9"/>
  <c r="Q94" i="9"/>
  <c r="W94" i="9" s="1"/>
  <c r="R93" i="9"/>
  <c r="U93" i="9"/>
  <c r="L96" i="9"/>
  <c r="T96" i="9" s="1"/>
  <c r="F5" i="3"/>
  <c r="F6" i="3"/>
  <c r="M96" i="9" l="1"/>
  <c r="X95" i="9"/>
  <c r="Q95" i="9"/>
  <c r="W95" i="9" s="1"/>
  <c r="R94" i="9"/>
  <c r="U94" i="9"/>
  <c r="L97" i="9"/>
  <c r="T97" i="9" s="1"/>
  <c r="B3" i="2"/>
  <c r="F26" i="1"/>
  <c r="H26" i="1"/>
  <c r="J26" i="1"/>
  <c r="G196" i="9" s="1"/>
  <c r="C8" i="1"/>
  <c r="M97" i="9" l="1"/>
  <c r="X96" i="9"/>
  <c r="Q96" i="9"/>
  <c r="W96" i="9" s="1"/>
  <c r="R95" i="9"/>
  <c r="U95" i="9"/>
  <c r="L98" i="9"/>
  <c r="T98" i="9" s="1"/>
  <c r="P3" i="2"/>
  <c r="A3" i="2"/>
  <c r="AK3" i="2" s="1"/>
  <c r="X3" i="2"/>
  <c r="B4" i="2"/>
  <c r="M98" i="9" l="1"/>
  <c r="X97" i="9"/>
  <c r="Q97" i="9"/>
  <c r="W97" i="9" s="1"/>
  <c r="R96" i="9"/>
  <c r="U96" i="9"/>
  <c r="L99" i="9"/>
  <c r="T99" i="9" s="1"/>
  <c r="P4" i="2"/>
  <c r="AI3" i="2"/>
  <c r="AG3" i="2"/>
  <c r="L3" i="2"/>
  <c r="AJ3" i="2"/>
  <c r="M3" i="2"/>
  <c r="N3" i="2"/>
  <c r="AL3" i="2"/>
  <c r="AF3" i="2"/>
  <c r="J3" i="2"/>
  <c r="AH3" i="2"/>
  <c r="K3" i="2"/>
  <c r="I3" i="2"/>
  <c r="A4" i="2"/>
  <c r="AG4" i="2" s="1"/>
  <c r="X4" i="2"/>
  <c r="B5" i="2"/>
  <c r="M99" i="9" l="1"/>
  <c r="X98" i="9"/>
  <c r="Q98" i="9"/>
  <c r="W98" i="9" s="1"/>
  <c r="R97" i="9"/>
  <c r="U97" i="9"/>
  <c r="L100" i="9"/>
  <c r="T100" i="9" s="1"/>
  <c r="P5" i="2"/>
  <c r="AJ4" i="2"/>
  <c r="J4" i="2"/>
  <c r="AL4" i="2"/>
  <c r="K4" i="2"/>
  <c r="M4" i="2"/>
  <c r="AH4" i="2"/>
  <c r="I4" i="2"/>
  <c r="AF4" i="2"/>
  <c r="AK4" i="2"/>
  <c r="A5" i="2"/>
  <c r="AH5" i="2" s="1"/>
  <c r="X5" i="2"/>
  <c r="N4" i="2"/>
  <c r="L4" i="2"/>
  <c r="AI4" i="2"/>
  <c r="B6" i="2"/>
  <c r="M100" i="9" l="1"/>
  <c r="X99" i="9"/>
  <c r="Q99" i="9"/>
  <c r="W99" i="9" s="1"/>
  <c r="R98" i="9"/>
  <c r="U98" i="9"/>
  <c r="L101" i="9"/>
  <c r="T101" i="9" s="1"/>
  <c r="P6" i="2"/>
  <c r="M5" i="2"/>
  <c r="AJ5" i="2"/>
  <c r="L5" i="2"/>
  <c r="N5" i="2"/>
  <c r="AG5" i="2"/>
  <c r="AI5" i="2"/>
  <c r="K5" i="2"/>
  <c r="I5" i="2"/>
  <c r="AF5" i="2"/>
  <c r="J5" i="2"/>
  <c r="AK5" i="2"/>
  <c r="AL5" i="2"/>
  <c r="A6" i="2"/>
  <c r="AG6" i="2" s="1"/>
  <c r="X6" i="2"/>
  <c r="B7" i="2"/>
  <c r="M101" i="9" l="1"/>
  <c r="X100" i="9"/>
  <c r="Q100" i="9"/>
  <c r="W100" i="9" s="1"/>
  <c r="R99" i="9"/>
  <c r="U99" i="9"/>
  <c r="L102" i="9"/>
  <c r="T102" i="9" s="1"/>
  <c r="P7" i="2"/>
  <c r="M6" i="2"/>
  <c r="K6" i="2"/>
  <c r="AF6" i="2"/>
  <c r="N6" i="2"/>
  <c r="AH6" i="2"/>
  <c r="I6" i="2"/>
  <c r="AJ6" i="2"/>
  <c r="AL6" i="2"/>
  <c r="AK6" i="2"/>
  <c r="AI6" i="2"/>
  <c r="A7" i="2"/>
  <c r="X7" i="2"/>
  <c r="L6" i="2"/>
  <c r="J6" i="2"/>
  <c r="B8" i="2"/>
  <c r="M102" i="9" l="1"/>
  <c r="X101" i="9"/>
  <c r="Q101" i="9"/>
  <c r="W101" i="9" s="1"/>
  <c r="R100" i="9"/>
  <c r="U100" i="9"/>
  <c r="L103" i="9"/>
  <c r="T103" i="9" s="1"/>
  <c r="P8" i="2"/>
  <c r="M7" i="2"/>
  <c r="K7" i="2"/>
  <c r="N7" i="2"/>
  <c r="I7" i="2"/>
  <c r="A8" i="2"/>
  <c r="X8" i="2"/>
  <c r="L7" i="2"/>
  <c r="J7" i="2"/>
  <c r="B9" i="2"/>
  <c r="M103" i="9" l="1"/>
  <c r="X102" i="9"/>
  <c r="Q102" i="9"/>
  <c r="W102" i="9" s="1"/>
  <c r="R101" i="9"/>
  <c r="U101" i="9"/>
  <c r="L104" i="9"/>
  <c r="T104" i="9" s="1"/>
  <c r="P9" i="2"/>
  <c r="K8" i="2"/>
  <c r="M8" i="2"/>
  <c r="I8" i="2"/>
  <c r="A9" i="2"/>
  <c r="X9" i="2"/>
  <c r="J8" i="2"/>
  <c r="N8" i="2"/>
  <c r="L8" i="2"/>
  <c r="B10" i="2"/>
  <c r="M104" i="9" l="1"/>
  <c r="X103" i="9"/>
  <c r="Q103" i="9"/>
  <c r="W103" i="9" s="1"/>
  <c r="R102" i="9"/>
  <c r="U102" i="9"/>
  <c r="L105" i="9"/>
  <c r="T105" i="9" s="1"/>
  <c r="B11" i="2"/>
  <c r="P10" i="2"/>
  <c r="K9" i="2"/>
  <c r="N9" i="2"/>
  <c r="A10" i="2"/>
  <c r="X10" i="2"/>
  <c r="I9" i="2"/>
  <c r="B12" i="2"/>
  <c r="M105" i="9" l="1"/>
  <c r="X104" i="9"/>
  <c r="Q104" i="9"/>
  <c r="W104" i="9" s="1"/>
  <c r="R103" i="9"/>
  <c r="U103" i="9"/>
  <c r="L106" i="9"/>
  <c r="T106" i="9" s="1"/>
  <c r="X11" i="2"/>
  <c r="A11" i="2"/>
  <c r="AI11" i="2" s="1"/>
  <c r="P12" i="2"/>
  <c r="P11" i="2"/>
  <c r="N10" i="2"/>
  <c r="K10" i="2"/>
  <c r="M10" i="2"/>
  <c r="B13" i="2"/>
  <c r="P13" i="2" s="1"/>
  <c r="A12" i="2"/>
  <c r="X12" i="2"/>
  <c r="L10" i="2"/>
  <c r="J10" i="2"/>
  <c r="I10" i="2"/>
  <c r="M106" i="9" l="1"/>
  <c r="X105" i="9"/>
  <c r="Q105" i="9"/>
  <c r="W105" i="9" s="1"/>
  <c r="R104" i="9"/>
  <c r="U104" i="9"/>
  <c r="L107" i="9"/>
  <c r="T107" i="9" s="1"/>
  <c r="I11" i="2"/>
  <c r="J11" i="2"/>
  <c r="AL11" i="2"/>
  <c r="AG11" i="2"/>
  <c r="AJ11" i="2"/>
  <c r="AF11" i="2"/>
  <c r="M11" i="2"/>
  <c r="N11" i="2"/>
  <c r="K11" i="2"/>
  <c r="AH11" i="2"/>
  <c r="L11" i="2"/>
  <c r="AK11" i="2"/>
  <c r="I12" i="2"/>
  <c r="X13" i="2"/>
  <c r="A13" i="2"/>
  <c r="M12" i="2"/>
  <c r="N12" i="2"/>
  <c r="K12" i="2"/>
  <c r="L12" i="2"/>
  <c r="J12" i="2"/>
  <c r="B14" i="2"/>
  <c r="M107" i="9" l="1"/>
  <c r="X106" i="9"/>
  <c r="Q106" i="9"/>
  <c r="W106" i="9" s="1"/>
  <c r="R105" i="9"/>
  <c r="U105" i="9"/>
  <c r="L108" i="9"/>
  <c r="T108" i="9" s="1"/>
  <c r="P14" i="2"/>
  <c r="J13" i="2"/>
  <c r="N13" i="2"/>
  <c r="AF13" i="2"/>
  <c r="AJ13" i="2"/>
  <c r="L13" i="2"/>
  <c r="AH13" i="2"/>
  <c r="K13" i="2"/>
  <c r="AG13" i="2"/>
  <c r="AK13" i="2"/>
  <c r="AL13" i="2"/>
  <c r="I13" i="2"/>
  <c r="M13" i="2"/>
  <c r="AI13" i="2"/>
  <c r="A14" i="2"/>
  <c r="X14" i="2"/>
  <c r="B15" i="2"/>
  <c r="M108" i="9" l="1"/>
  <c r="X107" i="9"/>
  <c r="Q107" i="9"/>
  <c r="W107" i="9" s="1"/>
  <c r="R106" i="9"/>
  <c r="U106" i="9"/>
  <c r="L109" i="9"/>
  <c r="T109" i="9" s="1"/>
  <c r="P15" i="2"/>
  <c r="K14" i="2"/>
  <c r="B16" i="2"/>
  <c r="A15" i="2"/>
  <c r="M14" i="2"/>
  <c r="N14" i="2"/>
  <c r="X15" i="2"/>
  <c r="J14" i="2"/>
  <c r="L14" i="2"/>
  <c r="I14" i="2"/>
  <c r="M109" i="9" l="1"/>
  <c r="X108" i="9"/>
  <c r="Q108" i="9"/>
  <c r="W108" i="9" s="1"/>
  <c r="R107" i="9"/>
  <c r="U107" i="9"/>
  <c r="L110" i="9"/>
  <c r="T110" i="9" s="1"/>
  <c r="P16" i="2"/>
  <c r="N15" i="2"/>
  <c r="B17" i="2"/>
  <c r="A16" i="2"/>
  <c r="K15" i="2"/>
  <c r="M15" i="2"/>
  <c r="L15" i="2"/>
  <c r="J15" i="2"/>
  <c r="I15" i="2"/>
  <c r="M110" i="9" l="1"/>
  <c r="X109" i="9"/>
  <c r="Q109" i="9"/>
  <c r="W109" i="9" s="1"/>
  <c r="R108" i="9"/>
  <c r="U108" i="9"/>
  <c r="L111" i="9"/>
  <c r="T111" i="9" s="1"/>
  <c r="P17" i="2"/>
  <c r="B18" i="2"/>
  <c r="A17" i="2"/>
  <c r="E27" i="1"/>
  <c r="B197" i="9" s="1"/>
  <c r="F27" i="1"/>
  <c r="G27" i="1"/>
  <c r="D197" i="9" s="1"/>
  <c r="H27" i="1"/>
  <c r="I27" i="1"/>
  <c r="F197" i="9" s="1"/>
  <c r="J27" i="1"/>
  <c r="G197" i="9" s="1"/>
  <c r="E28" i="1"/>
  <c r="B198" i="9" s="1"/>
  <c r="F28" i="1"/>
  <c r="G28" i="1"/>
  <c r="D198" i="9" s="1"/>
  <c r="H28" i="1"/>
  <c r="I28" i="1"/>
  <c r="F198" i="9" s="1"/>
  <c r="J28" i="1"/>
  <c r="G198" i="9" s="1"/>
  <c r="F30" i="1"/>
  <c r="G30" i="1"/>
  <c r="D200" i="9" s="1"/>
  <c r="H30" i="1"/>
  <c r="J30" i="1"/>
  <c r="G200" i="9" s="1"/>
  <c r="E32" i="1"/>
  <c r="B201" i="9" s="1"/>
  <c r="F32" i="1"/>
  <c r="G32" i="1"/>
  <c r="D201" i="9" s="1"/>
  <c r="H32" i="1"/>
  <c r="I32" i="1"/>
  <c r="F201" i="9" s="1"/>
  <c r="J32" i="1"/>
  <c r="G201" i="9" s="1"/>
  <c r="E34" i="1"/>
  <c r="B202" i="9" s="1"/>
  <c r="G34" i="1"/>
  <c r="D202" i="9" s="1"/>
  <c r="H34" i="1"/>
  <c r="I34" i="1"/>
  <c r="F202" i="9" s="1"/>
  <c r="J34" i="1"/>
  <c r="G202" i="9" s="1"/>
  <c r="E35" i="1"/>
  <c r="B203" i="9" s="1"/>
  <c r="F35" i="1"/>
  <c r="G35" i="1"/>
  <c r="D203" i="9" s="1"/>
  <c r="H35" i="1"/>
  <c r="E203" i="9" s="1"/>
  <c r="O203" i="9" s="1"/>
  <c r="I35" i="1"/>
  <c r="F203" i="9" s="1"/>
  <c r="J35" i="1"/>
  <c r="G203" i="9" s="1"/>
  <c r="E36" i="1"/>
  <c r="B204" i="9" s="1"/>
  <c r="G36" i="1"/>
  <c r="D204" i="9" s="1"/>
  <c r="H36" i="1"/>
  <c r="E204" i="9" s="1"/>
  <c r="I36" i="1"/>
  <c r="F204" i="9" s="1"/>
  <c r="J36" i="1"/>
  <c r="G204" i="9" s="1"/>
  <c r="E37" i="1"/>
  <c r="B205" i="9" s="1"/>
  <c r="F37" i="1"/>
  <c r="G37" i="1"/>
  <c r="D205" i="9" s="1"/>
  <c r="H37" i="1"/>
  <c r="E205" i="9" s="1"/>
  <c r="I37" i="1"/>
  <c r="F205" i="9" s="1"/>
  <c r="J37" i="1"/>
  <c r="G205" i="9" s="1"/>
  <c r="F38" i="1"/>
  <c r="G38" i="1"/>
  <c r="D206" i="9" s="1"/>
  <c r="H38" i="1"/>
  <c r="I38" i="1"/>
  <c r="F206" i="9" s="1"/>
  <c r="J38" i="1"/>
  <c r="G206" i="9" s="1"/>
  <c r="E39" i="1"/>
  <c r="B207" i="9" s="1"/>
  <c r="F39" i="1"/>
  <c r="G39" i="1"/>
  <c r="D207" i="9" s="1"/>
  <c r="H39" i="1"/>
  <c r="E207" i="9" s="1"/>
  <c r="I39" i="1"/>
  <c r="F207" i="9" s="1"/>
  <c r="J39" i="1"/>
  <c r="G207" i="9" s="1"/>
  <c r="E40" i="1"/>
  <c r="B208" i="9" s="1"/>
  <c r="F40" i="1"/>
  <c r="G40" i="1"/>
  <c r="D208" i="9" s="1"/>
  <c r="H40" i="1"/>
  <c r="E208" i="9" s="1"/>
  <c r="I40" i="1"/>
  <c r="F208" i="9" s="1"/>
  <c r="J40" i="1"/>
  <c r="G208" i="9" s="1"/>
  <c r="E41" i="1"/>
  <c r="B209" i="9" s="1"/>
  <c r="F41" i="1"/>
  <c r="G41" i="1"/>
  <c r="D209" i="9" s="1"/>
  <c r="H41" i="1"/>
  <c r="I41" i="1"/>
  <c r="F209" i="9" s="1"/>
  <c r="E42" i="1"/>
  <c r="B210" i="9" s="1"/>
  <c r="F42" i="1"/>
  <c r="G42" i="1"/>
  <c r="D210" i="9" s="1"/>
  <c r="H42" i="1"/>
  <c r="I42" i="1"/>
  <c r="F210" i="9" s="1"/>
  <c r="J42" i="1"/>
  <c r="G210" i="9" s="1"/>
  <c r="E49" i="1"/>
  <c r="B215" i="9" s="1"/>
  <c r="F49" i="1"/>
  <c r="G49" i="1"/>
  <c r="D215" i="9" s="1"/>
  <c r="H49" i="1"/>
  <c r="E215" i="9" s="1"/>
  <c r="I49" i="1"/>
  <c r="F215" i="9" s="1"/>
  <c r="J49" i="1"/>
  <c r="G215" i="9" s="1"/>
  <c r="E50" i="1"/>
  <c r="B216" i="9" s="1"/>
  <c r="F50" i="1"/>
  <c r="G50" i="1"/>
  <c r="D216" i="9" s="1"/>
  <c r="H50" i="1"/>
  <c r="I50" i="1"/>
  <c r="F216" i="9" s="1"/>
  <c r="J50" i="1"/>
  <c r="G216" i="9" s="1"/>
  <c r="E52" i="1"/>
  <c r="B217" i="9" s="1"/>
  <c r="F52" i="1"/>
  <c r="G52" i="1"/>
  <c r="D217" i="9" s="1"/>
  <c r="H52" i="1"/>
  <c r="I52" i="1"/>
  <c r="F217" i="9" s="1"/>
  <c r="J52" i="1"/>
  <c r="G217" i="9" s="1"/>
  <c r="F53" i="1"/>
  <c r="G53" i="1"/>
  <c r="H53" i="1"/>
  <c r="I53" i="1"/>
  <c r="J53" i="1"/>
  <c r="E54" i="1"/>
  <c r="B218" i="9" s="1"/>
  <c r="F54" i="1"/>
  <c r="G54" i="1"/>
  <c r="D218" i="9" s="1"/>
  <c r="H54" i="1"/>
  <c r="I54" i="1"/>
  <c r="F218" i="9" s="1"/>
  <c r="J54" i="1"/>
  <c r="G218" i="9" s="1"/>
  <c r="E55" i="1"/>
  <c r="B219" i="9" s="1"/>
  <c r="F55" i="1"/>
  <c r="G55" i="1"/>
  <c r="D219" i="9" s="1"/>
  <c r="H55" i="1"/>
  <c r="I55" i="1"/>
  <c r="F219" i="9" s="1"/>
  <c r="J55" i="1"/>
  <c r="G219" i="9" s="1"/>
  <c r="E56" i="1"/>
  <c r="B220" i="9" s="1"/>
  <c r="F56" i="1"/>
  <c r="C220" i="9" s="1"/>
  <c r="G56" i="1"/>
  <c r="D220" i="9" s="1"/>
  <c r="H56" i="1"/>
  <c r="E220" i="9" s="1"/>
  <c r="I56" i="1"/>
  <c r="F220" i="9" s="1"/>
  <c r="J56" i="1"/>
  <c r="G220" i="9" s="1"/>
  <c r="E57" i="1"/>
  <c r="B221" i="9" s="1"/>
  <c r="F57" i="1"/>
  <c r="G57" i="1"/>
  <c r="D221" i="9" s="1"/>
  <c r="H57" i="1"/>
  <c r="I57" i="1"/>
  <c r="F221" i="9" s="1"/>
  <c r="J57" i="1"/>
  <c r="G221" i="9" s="1"/>
  <c r="E58" i="1"/>
  <c r="B222" i="9" s="1"/>
  <c r="F58" i="1"/>
  <c r="G58" i="1"/>
  <c r="D222" i="9" s="1"/>
  <c r="H58" i="1"/>
  <c r="I58" i="1"/>
  <c r="F222" i="9" s="1"/>
  <c r="J58" i="1"/>
  <c r="G222" i="9" s="1"/>
  <c r="E77" i="1"/>
  <c r="B236" i="9" s="1"/>
  <c r="F77" i="1"/>
  <c r="C236" i="9" s="1"/>
  <c r="G77" i="1"/>
  <c r="D236" i="9" s="1"/>
  <c r="H77" i="1"/>
  <c r="I77" i="1"/>
  <c r="F236" i="9" s="1"/>
  <c r="J77" i="1"/>
  <c r="G236" i="9" s="1"/>
  <c r="E78" i="1"/>
  <c r="B237" i="9" s="1"/>
  <c r="F78" i="1"/>
  <c r="C237" i="9" s="1"/>
  <c r="G78" i="1"/>
  <c r="D237" i="9" s="1"/>
  <c r="H78" i="1"/>
  <c r="E237" i="9" s="1"/>
  <c r="I78" i="1"/>
  <c r="F237" i="9" s="1"/>
  <c r="J78" i="1"/>
  <c r="G237" i="9" s="1"/>
  <c r="E79" i="1"/>
  <c r="B238" i="9" s="1"/>
  <c r="F79" i="1"/>
  <c r="G79" i="1"/>
  <c r="D238" i="9" s="1"/>
  <c r="H79" i="1"/>
  <c r="E238" i="9" s="1"/>
  <c r="I79" i="1"/>
  <c r="F238" i="9" s="1"/>
  <c r="J79" i="1"/>
  <c r="G238" i="9" s="1"/>
  <c r="E80" i="1"/>
  <c r="B239" i="9" s="1"/>
  <c r="F80" i="1"/>
  <c r="C239" i="9" s="1"/>
  <c r="G80" i="1"/>
  <c r="D239" i="9" s="1"/>
  <c r="H80" i="1"/>
  <c r="I80" i="1"/>
  <c r="F239" i="9" s="1"/>
  <c r="J80" i="1"/>
  <c r="G239" i="9" s="1"/>
  <c r="E82" i="1"/>
  <c r="B240" i="9" s="1"/>
  <c r="F82" i="1"/>
  <c r="C240" i="9" s="1"/>
  <c r="G82" i="1"/>
  <c r="D240" i="9" s="1"/>
  <c r="H82" i="1"/>
  <c r="I82" i="1"/>
  <c r="F240" i="9" s="1"/>
  <c r="J82" i="1"/>
  <c r="G240" i="9" s="1"/>
  <c r="E84" i="1"/>
  <c r="B241" i="9" s="1"/>
  <c r="F84" i="1"/>
  <c r="C241" i="9" s="1"/>
  <c r="G84" i="1"/>
  <c r="D241" i="9" s="1"/>
  <c r="H84" i="1"/>
  <c r="E241" i="9" s="1"/>
  <c r="I84" i="1"/>
  <c r="F241" i="9" s="1"/>
  <c r="J84" i="1"/>
  <c r="G241" i="9" s="1"/>
  <c r="E85" i="1"/>
  <c r="B242" i="9" s="1"/>
  <c r="F85" i="1"/>
  <c r="G85" i="1"/>
  <c r="D242" i="9" s="1"/>
  <c r="H85" i="1"/>
  <c r="I85" i="1"/>
  <c r="F242" i="9" s="1"/>
  <c r="J85" i="1"/>
  <c r="G242" i="9" s="1"/>
  <c r="E86" i="1"/>
  <c r="B243" i="9" s="1"/>
  <c r="F86" i="1"/>
  <c r="C243" i="9" s="1"/>
  <c r="G86" i="1"/>
  <c r="D243" i="9" s="1"/>
  <c r="H86" i="1"/>
  <c r="E243" i="9" s="1"/>
  <c r="I86" i="1"/>
  <c r="F243" i="9" s="1"/>
  <c r="J86" i="1"/>
  <c r="G243" i="9" s="1"/>
  <c r="F88" i="1"/>
  <c r="C244" i="9" s="1"/>
  <c r="G88" i="1"/>
  <c r="D244" i="9" s="1"/>
  <c r="H88" i="1"/>
  <c r="E244" i="9" s="1"/>
  <c r="I88" i="1"/>
  <c r="F244" i="9" s="1"/>
  <c r="J88" i="1"/>
  <c r="G244" i="9" s="1"/>
  <c r="F25" i="1"/>
  <c r="H25" i="1"/>
  <c r="D26" i="1"/>
  <c r="A196" i="9" s="1"/>
  <c r="K196" i="9" s="1"/>
  <c r="D27" i="1"/>
  <c r="A197" i="9" s="1"/>
  <c r="K197" i="9" s="1"/>
  <c r="D30" i="1"/>
  <c r="A200" i="9" s="1"/>
  <c r="K200" i="9" s="1"/>
  <c r="D32" i="1"/>
  <c r="D34" i="1"/>
  <c r="A202" i="9" s="1"/>
  <c r="K202" i="9" s="1"/>
  <c r="D35" i="1"/>
  <c r="A203" i="9" s="1"/>
  <c r="K203" i="9" s="1"/>
  <c r="D36" i="1"/>
  <c r="A204" i="9" s="1"/>
  <c r="K204" i="9" s="1"/>
  <c r="D37" i="1"/>
  <c r="A205" i="9" s="1"/>
  <c r="K205" i="9" s="1"/>
  <c r="D38" i="1"/>
  <c r="A206" i="9" s="1"/>
  <c r="K206" i="9" s="1"/>
  <c r="D39" i="1"/>
  <c r="A207" i="9" s="1"/>
  <c r="K207" i="9" s="1"/>
  <c r="D40" i="1"/>
  <c r="D41" i="1"/>
  <c r="A209" i="9" s="1"/>
  <c r="K209" i="9" s="1"/>
  <c r="D42" i="1"/>
  <c r="A210" i="9" s="1"/>
  <c r="K210" i="9" s="1"/>
  <c r="D49" i="1"/>
  <c r="A215" i="9" s="1"/>
  <c r="K215" i="9" s="1"/>
  <c r="D50" i="1"/>
  <c r="A216" i="9" s="1"/>
  <c r="K216" i="9" s="1"/>
  <c r="D54" i="1"/>
  <c r="A218" i="9" s="1"/>
  <c r="K218" i="9" s="1"/>
  <c r="D55" i="1"/>
  <c r="A219" i="9" s="1"/>
  <c r="K219" i="9" s="1"/>
  <c r="D56" i="1"/>
  <c r="D57" i="1"/>
  <c r="A221" i="9" s="1"/>
  <c r="K221" i="9" s="1"/>
  <c r="D77" i="1"/>
  <c r="A236" i="9" s="1"/>
  <c r="K236" i="9" s="1"/>
  <c r="D78" i="1"/>
  <c r="A237" i="9" s="1"/>
  <c r="K237" i="9" s="1"/>
  <c r="D79" i="1"/>
  <c r="A238" i="9" s="1"/>
  <c r="K238" i="9" s="1"/>
  <c r="D80" i="1"/>
  <c r="A239" i="9" s="1"/>
  <c r="K239" i="9" s="1"/>
  <c r="D84" i="1"/>
  <c r="D85" i="1"/>
  <c r="A242" i="9" s="1"/>
  <c r="K242" i="9" s="1"/>
  <c r="D86" i="1"/>
  <c r="A243" i="9" s="1"/>
  <c r="K243" i="9" s="1"/>
  <c r="D88" i="1"/>
  <c r="A244" i="9" s="1"/>
  <c r="K244" i="9" s="1"/>
  <c r="D25" i="1"/>
  <c r="E25" i="1"/>
  <c r="J25" i="1"/>
  <c r="I25" i="1"/>
  <c r="G25" i="1"/>
  <c r="M111" i="9" l="1"/>
  <c r="X110" i="9"/>
  <c r="Q110" i="9"/>
  <c r="W110" i="9" s="1"/>
  <c r="R109" i="9"/>
  <c r="U109" i="9"/>
  <c r="L112" i="9"/>
  <c r="T112" i="9" s="1"/>
  <c r="S3" i="2"/>
  <c r="T3" i="2"/>
  <c r="U3" i="2"/>
  <c r="V3" i="2"/>
  <c r="Q3" i="2"/>
  <c r="R3" i="2"/>
  <c r="U4" i="2"/>
  <c r="V4" i="2"/>
  <c r="T4" i="2"/>
  <c r="Q4" i="2"/>
  <c r="R4" i="2"/>
  <c r="S4" i="2"/>
  <c r="V5" i="2"/>
  <c r="Q5" i="2"/>
  <c r="R5" i="2"/>
  <c r="S5" i="2"/>
  <c r="T5" i="2"/>
  <c r="U5" i="2"/>
  <c r="Q6" i="2"/>
  <c r="R6" i="2"/>
  <c r="S6" i="2"/>
  <c r="T6" i="2"/>
  <c r="U6" i="2"/>
  <c r="V6" i="2"/>
  <c r="S7" i="2"/>
  <c r="R7" i="2"/>
  <c r="T7" i="2"/>
  <c r="U7" i="2"/>
  <c r="V7" i="2"/>
  <c r="Q7" i="2"/>
  <c r="U8" i="2"/>
  <c r="V8" i="2"/>
  <c r="Q8" i="2"/>
  <c r="T8" i="2"/>
  <c r="R8" i="2"/>
  <c r="S8" i="2"/>
  <c r="Q9" i="2"/>
  <c r="V9" i="2"/>
  <c r="R9" i="2"/>
  <c r="S9" i="2"/>
  <c r="T9" i="2"/>
  <c r="U9" i="2"/>
  <c r="Q10" i="2"/>
  <c r="R10" i="2"/>
  <c r="S10" i="2"/>
  <c r="U10" i="2"/>
  <c r="V10" i="2"/>
  <c r="T10" i="2"/>
  <c r="U12" i="2"/>
  <c r="U11" i="2"/>
  <c r="V12" i="2"/>
  <c r="V11" i="2"/>
  <c r="S11" i="2"/>
  <c r="Q12" i="2"/>
  <c r="R11" i="2"/>
  <c r="R12" i="2"/>
  <c r="Q11" i="2"/>
  <c r="T11" i="2"/>
  <c r="S12" i="2"/>
  <c r="T12" i="2"/>
  <c r="R14" i="2"/>
  <c r="S14" i="2"/>
  <c r="Q14" i="2"/>
  <c r="T14" i="2"/>
  <c r="U14" i="2"/>
  <c r="V14" i="2"/>
  <c r="Q15" i="2"/>
  <c r="R15" i="2"/>
  <c r="S15" i="2"/>
  <c r="T15" i="2"/>
  <c r="U15" i="2"/>
  <c r="V15" i="2"/>
  <c r="S16" i="2"/>
  <c r="T16" i="2"/>
  <c r="U16" i="2"/>
  <c r="V16" i="2"/>
  <c r="Q16" i="2"/>
  <c r="R16" i="2"/>
  <c r="Q18" i="2"/>
  <c r="R18" i="2"/>
  <c r="S18" i="2"/>
  <c r="T18" i="2"/>
  <c r="U18" i="2"/>
  <c r="V18" i="2"/>
  <c r="S17" i="2"/>
  <c r="C84" i="1"/>
  <c r="A241" i="9"/>
  <c r="K241" i="9" s="1"/>
  <c r="H20" i="1"/>
  <c r="V7" i="3" s="1"/>
  <c r="C7" i="3" s="1"/>
  <c r="R17" i="2"/>
  <c r="B195" i="9"/>
  <c r="E20" i="1"/>
  <c r="V4" i="3" s="1"/>
  <c r="C4" i="3" s="1"/>
  <c r="D195" i="9"/>
  <c r="N195" i="9" s="1"/>
  <c r="N196" i="9" s="1"/>
  <c r="N197" i="9" s="1"/>
  <c r="N198" i="9" s="1"/>
  <c r="N199" i="9" s="1"/>
  <c r="N200" i="9" s="1"/>
  <c r="N201" i="9" s="1"/>
  <c r="N202" i="9" s="1"/>
  <c r="N203" i="9" s="1"/>
  <c r="N204" i="9" s="1"/>
  <c r="N205" i="9" s="1"/>
  <c r="N206" i="9" s="1"/>
  <c r="N207" i="9" s="1"/>
  <c r="N208" i="9" s="1"/>
  <c r="N209" i="9" s="1"/>
  <c r="N210" i="9" s="1"/>
  <c r="N211" i="9" s="1"/>
  <c r="N212" i="9" s="1"/>
  <c r="N213" i="9" s="1"/>
  <c r="N214" i="9" s="1"/>
  <c r="N215" i="9" s="1"/>
  <c r="N216" i="9" s="1"/>
  <c r="N217" i="9" s="1"/>
  <c r="N218" i="9" s="1"/>
  <c r="N219" i="9" s="1"/>
  <c r="N220" i="9" s="1"/>
  <c r="N221" i="9" s="1"/>
  <c r="N222" i="9" s="1"/>
  <c r="N223" i="9" s="1"/>
  <c r="N224" i="9" s="1"/>
  <c r="N225" i="9" s="1"/>
  <c r="N226" i="9" s="1"/>
  <c r="N227" i="9" s="1"/>
  <c r="N228" i="9" s="1"/>
  <c r="N229" i="9" s="1"/>
  <c r="N230" i="9" s="1"/>
  <c r="N231" i="9" s="1"/>
  <c r="N232" i="9" s="1"/>
  <c r="N233" i="9" s="1"/>
  <c r="N234" i="9" s="1"/>
  <c r="N235" i="9" s="1"/>
  <c r="N236" i="9" s="1"/>
  <c r="N237" i="9" s="1"/>
  <c r="N238" i="9" s="1"/>
  <c r="N239" i="9" s="1"/>
  <c r="N240" i="9" s="1"/>
  <c r="N241" i="9" s="1"/>
  <c r="N242" i="9" s="1"/>
  <c r="N243" i="9" s="1"/>
  <c r="N244" i="9" s="1"/>
  <c r="N245" i="9" s="1"/>
  <c r="N246" i="9" s="1"/>
  <c r="N247" i="9" s="1"/>
  <c r="N248" i="9" s="1"/>
  <c r="N249" i="9" s="1"/>
  <c r="N250" i="9" s="1"/>
  <c r="N251" i="9" s="1"/>
  <c r="N252" i="9" s="1"/>
  <c r="N253" i="9" s="1"/>
  <c r="N254" i="9" s="1"/>
  <c r="N255" i="9" s="1"/>
  <c r="N256" i="9" s="1"/>
  <c r="N257" i="9" s="1"/>
  <c r="N258" i="9" s="1"/>
  <c r="N259" i="9" s="1"/>
  <c r="N260" i="9" s="1"/>
  <c r="N261" i="9" s="1"/>
  <c r="N262" i="9" s="1"/>
  <c r="N263" i="9" s="1"/>
  <c r="N264" i="9" s="1"/>
  <c r="N265" i="9" s="1"/>
  <c r="N266" i="9" s="1"/>
  <c r="N267" i="9" s="1"/>
  <c r="N268" i="9" s="1"/>
  <c r="N269" i="9" s="1"/>
  <c r="N270" i="9" s="1"/>
  <c r="N271" i="9" s="1"/>
  <c r="N272" i="9" s="1"/>
  <c r="N273" i="9" s="1"/>
  <c r="N274" i="9" s="1"/>
  <c r="N275" i="9" s="1"/>
  <c r="N276" i="9" s="1"/>
  <c r="N277" i="9" s="1"/>
  <c r="N278" i="9" s="1"/>
  <c r="N279" i="9" s="1"/>
  <c r="N280" i="9" s="1"/>
  <c r="N281" i="9" s="1"/>
  <c r="N282" i="9" s="1"/>
  <c r="G20" i="1"/>
  <c r="V5" i="3" s="1"/>
  <c r="C5" i="3" s="1"/>
  <c r="F195" i="9"/>
  <c r="P195" i="9" s="1"/>
  <c r="P196" i="9" s="1"/>
  <c r="P197" i="9" s="1"/>
  <c r="P198" i="9" s="1"/>
  <c r="P199" i="9" s="1"/>
  <c r="P200" i="9" s="1"/>
  <c r="P201" i="9" s="1"/>
  <c r="P202" i="9" s="1"/>
  <c r="P203" i="9" s="1"/>
  <c r="P204" i="9" s="1"/>
  <c r="P205" i="9" s="1"/>
  <c r="P206" i="9" s="1"/>
  <c r="P207" i="9" s="1"/>
  <c r="P208" i="9" s="1"/>
  <c r="P209" i="9" s="1"/>
  <c r="P210" i="9" s="1"/>
  <c r="P211" i="9" s="1"/>
  <c r="P212" i="9" s="1"/>
  <c r="P213" i="9" s="1"/>
  <c r="P214" i="9" s="1"/>
  <c r="P215" i="9" s="1"/>
  <c r="P216" i="9" s="1"/>
  <c r="P217" i="9" s="1"/>
  <c r="P218" i="9" s="1"/>
  <c r="P219" i="9" s="1"/>
  <c r="P220" i="9" s="1"/>
  <c r="P221" i="9" s="1"/>
  <c r="P222" i="9" s="1"/>
  <c r="P223" i="9" s="1"/>
  <c r="P224" i="9" s="1"/>
  <c r="P225" i="9" s="1"/>
  <c r="P226" i="9" s="1"/>
  <c r="P227" i="9" s="1"/>
  <c r="P228" i="9" s="1"/>
  <c r="P229" i="9" s="1"/>
  <c r="P230" i="9" s="1"/>
  <c r="P231" i="9" s="1"/>
  <c r="P232" i="9" s="1"/>
  <c r="P233" i="9" s="1"/>
  <c r="P234" i="9" s="1"/>
  <c r="P235" i="9" s="1"/>
  <c r="P236" i="9" s="1"/>
  <c r="P237" i="9" s="1"/>
  <c r="P238" i="9" s="1"/>
  <c r="P239" i="9" s="1"/>
  <c r="P240" i="9" s="1"/>
  <c r="P241" i="9" s="1"/>
  <c r="P242" i="9" s="1"/>
  <c r="P243" i="9" s="1"/>
  <c r="P244" i="9" s="1"/>
  <c r="P245" i="9" s="1"/>
  <c r="P246" i="9" s="1"/>
  <c r="P247" i="9" s="1"/>
  <c r="P248" i="9" s="1"/>
  <c r="P249" i="9" s="1"/>
  <c r="P250" i="9" s="1"/>
  <c r="P251" i="9" s="1"/>
  <c r="P252" i="9" s="1"/>
  <c r="P253" i="9" s="1"/>
  <c r="P254" i="9" s="1"/>
  <c r="P255" i="9" s="1"/>
  <c r="P256" i="9" s="1"/>
  <c r="P257" i="9" s="1"/>
  <c r="P258" i="9" s="1"/>
  <c r="P259" i="9" s="1"/>
  <c r="P260" i="9" s="1"/>
  <c r="P261" i="9" s="1"/>
  <c r="P262" i="9" s="1"/>
  <c r="P263" i="9" s="1"/>
  <c r="P264" i="9" s="1"/>
  <c r="P265" i="9" s="1"/>
  <c r="P266" i="9" s="1"/>
  <c r="P267" i="9" s="1"/>
  <c r="P268" i="9" s="1"/>
  <c r="P269" i="9" s="1"/>
  <c r="P270" i="9" s="1"/>
  <c r="P271" i="9" s="1"/>
  <c r="P272" i="9" s="1"/>
  <c r="P273" i="9" s="1"/>
  <c r="P274" i="9" s="1"/>
  <c r="P275" i="9" s="1"/>
  <c r="P276" i="9" s="1"/>
  <c r="P277" i="9" s="1"/>
  <c r="P278" i="9" s="1"/>
  <c r="P279" i="9" s="1"/>
  <c r="P280" i="9" s="1"/>
  <c r="P281" i="9" s="1"/>
  <c r="P282" i="9" s="1"/>
  <c r="P283" i="9" s="1"/>
  <c r="P284" i="9" s="1"/>
  <c r="P285" i="9" s="1"/>
  <c r="P286" i="9" s="1"/>
  <c r="P287" i="9" s="1"/>
  <c r="P288" i="9" s="1"/>
  <c r="P289" i="9" s="1"/>
  <c r="P290" i="9" s="1"/>
  <c r="P291" i="9" s="1"/>
  <c r="P292" i="9" s="1"/>
  <c r="P293" i="9" s="1"/>
  <c r="P294" i="9" s="1"/>
  <c r="P295" i="9" s="1"/>
  <c r="P296" i="9" s="1"/>
  <c r="P297" i="9" s="1"/>
  <c r="P298" i="9" s="1"/>
  <c r="P299" i="9" s="1"/>
  <c r="P300" i="9" s="1"/>
  <c r="P301" i="9" s="1"/>
  <c r="P302" i="9" s="1"/>
  <c r="P303" i="9" s="1"/>
  <c r="P304" i="9" s="1"/>
  <c r="P305" i="9" s="1"/>
  <c r="P306" i="9" s="1"/>
  <c r="P307" i="9" s="1"/>
  <c r="P308" i="9" s="1"/>
  <c r="P309" i="9" s="1"/>
  <c r="P310" i="9" s="1"/>
  <c r="P311" i="9" s="1"/>
  <c r="P312" i="9" s="1"/>
  <c r="P313" i="9" s="1"/>
  <c r="P314" i="9" s="1"/>
  <c r="P315" i="9" s="1"/>
  <c r="P316" i="9" s="1"/>
  <c r="P317" i="9" s="1"/>
  <c r="P318" i="9" s="1"/>
  <c r="P319" i="9" s="1"/>
  <c r="P320" i="9" s="1"/>
  <c r="P321" i="9" s="1"/>
  <c r="P322" i="9" s="1"/>
  <c r="P323" i="9" s="1"/>
  <c r="P324" i="9" s="1"/>
  <c r="P325" i="9" s="1"/>
  <c r="P326" i="9" s="1"/>
  <c r="P327" i="9" s="1"/>
  <c r="P328" i="9" s="1"/>
  <c r="P329" i="9" s="1"/>
  <c r="P330" i="9" s="1"/>
  <c r="I20" i="1"/>
  <c r="V3" i="3" s="1"/>
  <c r="C3" i="3" s="1"/>
  <c r="F20" i="1"/>
  <c r="V6" i="3" s="1"/>
  <c r="C6" i="3" s="1"/>
  <c r="Q17" i="2"/>
  <c r="G195" i="9"/>
  <c r="J20" i="1"/>
  <c r="V2" i="3" s="1"/>
  <c r="T17" i="2"/>
  <c r="V17" i="2"/>
  <c r="U17" i="2"/>
  <c r="P18" i="2"/>
  <c r="A195" i="9"/>
  <c r="K195" i="9" s="1"/>
  <c r="V2" i="2"/>
  <c r="T2" i="2"/>
  <c r="Q2" i="2"/>
  <c r="R2" i="2"/>
  <c r="S2" i="2"/>
  <c r="U2" i="2"/>
  <c r="C56" i="1"/>
  <c r="A220" i="9"/>
  <c r="K220" i="9" s="1"/>
  <c r="C32" i="1"/>
  <c r="A201" i="9"/>
  <c r="K201" i="9" s="1"/>
  <c r="C40" i="1"/>
  <c r="A208" i="9"/>
  <c r="K208" i="9" s="1"/>
  <c r="O204" i="9"/>
  <c r="O205" i="9" s="1"/>
  <c r="O206" i="9" s="1"/>
  <c r="O207" i="9" s="1"/>
  <c r="O208" i="9" s="1"/>
  <c r="O209" i="9" s="1"/>
  <c r="O210" i="9" s="1"/>
  <c r="O211" i="9" s="1"/>
  <c r="O212" i="9" s="1"/>
  <c r="O213" i="9" s="1"/>
  <c r="O214" i="9" s="1"/>
  <c r="O215" i="9" s="1"/>
  <c r="O216" i="9" s="1"/>
  <c r="O217" i="9" s="1"/>
  <c r="O218" i="9" s="1"/>
  <c r="O219" i="9" s="1"/>
  <c r="O220" i="9" s="1"/>
  <c r="O221" i="9" s="1"/>
  <c r="O222" i="9" s="1"/>
  <c r="O223" i="9" s="1"/>
  <c r="O224" i="9" s="1"/>
  <c r="O225" i="9" s="1"/>
  <c r="O226" i="9" s="1"/>
  <c r="O227" i="9" s="1"/>
  <c r="O228" i="9" s="1"/>
  <c r="O229" i="9" s="1"/>
  <c r="O230" i="9" s="1"/>
  <c r="O231" i="9" s="1"/>
  <c r="O232" i="9" s="1"/>
  <c r="O233" i="9" s="1"/>
  <c r="O234" i="9" s="1"/>
  <c r="O235" i="9" s="1"/>
  <c r="O236" i="9" s="1"/>
  <c r="O237" i="9" s="1"/>
  <c r="O238" i="9" s="1"/>
  <c r="O239" i="9" s="1"/>
  <c r="O240" i="9" s="1"/>
  <c r="O241" i="9" s="1"/>
  <c r="O242" i="9" s="1"/>
  <c r="O243" i="9" s="1"/>
  <c r="O244" i="9" s="1"/>
  <c r="O245" i="9" s="1"/>
  <c r="O246" i="9" s="1"/>
  <c r="O247" i="9" s="1"/>
  <c r="O248" i="9" s="1"/>
  <c r="O249" i="9" s="1"/>
  <c r="O250" i="9" s="1"/>
  <c r="O251" i="9" s="1"/>
  <c r="O252" i="9" s="1"/>
  <c r="O253" i="9" s="1"/>
  <c r="O254" i="9" s="1"/>
  <c r="O255" i="9" s="1"/>
  <c r="O256" i="9" s="1"/>
  <c r="O257" i="9" s="1"/>
  <c r="O258" i="9" s="1"/>
  <c r="O259" i="9" s="1"/>
  <c r="O260" i="9" s="1"/>
  <c r="O261" i="9" s="1"/>
  <c r="O262" i="9" s="1"/>
  <c r="O263" i="9" s="1"/>
  <c r="O264" i="9" s="1"/>
  <c r="O265" i="9" s="1"/>
  <c r="O266" i="9" s="1"/>
  <c r="O267" i="9" s="1"/>
  <c r="O268" i="9" s="1"/>
  <c r="O269" i="9" s="1"/>
  <c r="O270" i="9" s="1"/>
  <c r="O271" i="9" s="1"/>
  <c r="O272" i="9" s="1"/>
  <c r="O273" i="9" s="1"/>
  <c r="O274" i="9" s="1"/>
  <c r="O275" i="9" s="1"/>
  <c r="O276" i="9" s="1"/>
  <c r="O277" i="9" s="1"/>
  <c r="O278" i="9" s="1"/>
  <c r="O279" i="9" s="1"/>
  <c r="O280" i="9" s="1"/>
  <c r="O281" i="9" s="1"/>
  <c r="O282" i="9" s="1"/>
  <c r="O283" i="9" s="1"/>
  <c r="O284" i="9" s="1"/>
  <c r="O285" i="9" s="1"/>
  <c r="O286" i="9" s="1"/>
  <c r="O287" i="9" s="1"/>
  <c r="O288" i="9" s="1"/>
  <c r="O289" i="9" s="1"/>
  <c r="O290" i="9" s="1"/>
  <c r="O291" i="9" s="1"/>
  <c r="O292" i="9" s="1"/>
  <c r="O293" i="9" s="1"/>
  <c r="O294" i="9" s="1"/>
  <c r="O295" i="9" s="1"/>
  <c r="O296" i="9" s="1"/>
  <c r="O297" i="9" s="1"/>
  <c r="O298" i="9" s="1"/>
  <c r="O299" i="9" s="1"/>
  <c r="O300" i="9" s="1"/>
  <c r="O301" i="9" s="1"/>
  <c r="O302" i="9" s="1"/>
  <c r="O303" i="9" s="1"/>
  <c r="O304" i="9" s="1"/>
  <c r="O305" i="9" s="1"/>
  <c r="O306" i="9" s="1"/>
  <c r="O307" i="9" s="1"/>
  <c r="O308" i="9" s="1"/>
  <c r="O309" i="9" s="1"/>
  <c r="O310" i="9" s="1"/>
  <c r="O311" i="9" s="1"/>
  <c r="O312" i="9" s="1"/>
  <c r="O313" i="9" s="1"/>
  <c r="O314" i="9" s="1"/>
  <c r="O315" i="9" s="1"/>
  <c r="O316" i="9" s="1"/>
  <c r="O317" i="9" s="1"/>
  <c r="O318" i="9" s="1"/>
  <c r="O319" i="9" s="1"/>
  <c r="O320" i="9" s="1"/>
  <c r="O321" i="9" s="1"/>
  <c r="O322" i="9" s="1"/>
  <c r="O323" i="9" s="1"/>
  <c r="O324" i="9" s="1"/>
  <c r="O325" i="9" s="1"/>
  <c r="O326" i="9" s="1"/>
  <c r="O327" i="9" s="1"/>
  <c r="O328" i="9" s="1"/>
  <c r="O329" i="9" s="1"/>
  <c r="O330" i="9" s="1"/>
  <c r="O331" i="9" s="1"/>
  <c r="O332" i="9" s="1"/>
  <c r="O333" i="9" s="1"/>
  <c r="O334" i="9" s="1"/>
  <c r="O335" i="9" s="1"/>
  <c r="O336" i="9" s="1"/>
  <c r="O337" i="9" s="1"/>
  <c r="O338" i="9" s="1"/>
  <c r="O339" i="9" s="1"/>
  <c r="O340" i="9" s="1"/>
  <c r="O341" i="9" s="1"/>
  <c r="O342" i="9" s="1"/>
  <c r="O343" i="9" s="1"/>
  <c r="O344" i="9" s="1"/>
  <c r="O345" i="9" s="1"/>
  <c r="O346" i="9" s="1"/>
  <c r="O347" i="9" s="1"/>
  <c r="O348" i="9" s="1"/>
  <c r="O349" i="9" s="1"/>
  <c r="O350" i="9" s="1"/>
  <c r="O351" i="9" s="1"/>
  <c r="O352" i="9" s="1"/>
  <c r="O353" i="9" s="1"/>
  <c r="O354" i="9" s="1"/>
  <c r="O355" i="9" s="1"/>
  <c r="O356" i="9" s="1"/>
  <c r="O357" i="9" s="1"/>
  <c r="O358" i="9" s="1"/>
  <c r="O359" i="9" s="1"/>
  <c r="O360" i="9" s="1"/>
  <c r="O361" i="9" s="1"/>
  <c r="O362" i="9" s="1"/>
  <c r="O363" i="9" s="1"/>
  <c r="O364" i="9" s="1"/>
  <c r="O365" i="9" s="1"/>
  <c r="O366" i="9" s="1"/>
  <c r="O367" i="9" s="1"/>
  <c r="O368" i="9" s="1"/>
  <c r="O369" i="9" s="1"/>
  <c r="O370" i="9" s="1"/>
  <c r="O371" i="9" s="1"/>
  <c r="B19" i="2"/>
  <c r="A18" i="2"/>
  <c r="C2" i="3" l="1"/>
  <c r="C2" i="4" s="1"/>
  <c r="C5" i="4"/>
  <c r="V10" i="3"/>
  <c r="C6" i="4"/>
  <c r="M112" i="9"/>
  <c r="X111" i="9"/>
  <c r="P331" i="9"/>
  <c r="P332" i="9" s="1"/>
  <c r="P333" i="9" s="1"/>
  <c r="P334" i="9" s="1"/>
  <c r="P335" i="9" s="1"/>
  <c r="P336" i="9" s="1"/>
  <c r="P337" i="9" s="1"/>
  <c r="P338" i="9" s="1"/>
  <c r="P339" i="9" s="1"/>
  <c r="P340" i="9" s="1"/>
  <c r="P341" i="9" s="1"/>
  <c r="P342" i="9" s="1"/>
  <c r="P343" i="9" s="1"/>
  <c r="P344" i="9" s="1"/>
  <c r="P345" i="9" s="1"/>
  <c r="P346" i="9" s="1"/>
  <c r="P347" i="9" s="1"/>
  <c r="P348" i="9" s="1"/>
  <c r="P349" i="9" s="1"/>
  <c r="P350" i="9" s="1"/>
  <c r="P351" i="9" s="1"/>
  <c r="P352" i="9" s="1"/>
  <c r="P353" i="9" s="1"/>
  <c r="P354" i="9" s="1"/>
  <c r="P355" i="9" s="1"/>
  <c r="P356" i="9" s="1"/>
  <c r="P357" i="9" s="1"/>
  <c r="P358" i="9" s="1"/>
  <c r="P359" i="9" s="1"/>
  <c r="P360" i="9" s="1"/>
  <c r="P361" i="9" s="1"/>
  <c r="P362" i="9" s="1"/>
  <c r="P363" i="9" s="1"/>
  <c r="P364" i="9" s="1"/>
  <c r="P365" i="9" s="1"/>
  <c r="P366" i="9" s="1"/>
  <c r="P367" i="9" s="1"/>
  <c r="P368" i="9" s="1"/>
  <c r="P369" i="9" s="1"/>
  <c r="P370" i="9" s="1"/>
  <c r="P371" i="9" s="1"/>
  <c r="R110" i="9"/>
  <c r="Q111" i="9"/>
  <c r="W111" i="9" s="1"/>
  <c r="U110" i="9"/>
  <c r="S110" i="9"/>
  <c r="J22" i="3"/>
  <c r="L22" i="3" s="1"/>
  <c r="N22" i="3" s="1"/>
  <c r="P22" i="3" s="1"/>
  <c r="R22" i="3" s="1"/>
  <c r="T22" i="3" s="1"/>
  <c r="V9" i="3"/>
  <c r="J19" i="3"/>
  <c r="L19" i="3" s="1"/>
  <c r="N19" i="3" s="1"/>
  <c r="P19" i="3" s="1"/>
  <c r="R19" i="3" s="1"/>
  <c r="N283" i="9"/>
  <c r="N284" i="9" s="1"/>
  <c r="L113" i="9"/>
  <c r="T113" i="9" s="1"/>
  <c r="C7" i="4"/>
  <c r="I7" i="4" s="1"/>
  <c r="J24" i="3"/>
  <c r="L24" i="3" s="1"/>
  <c r="N24" i="3" s="1"/>
  <c r="P24" i="3" s="1"/>
  <c r="R24" i="3" s="1"/>
  <c r="C4" i="4"/>
  <c r="J21" i="3"/>
  <c r="L21" i="3" s="1"/>
  <c r="N21" i="3" s="1"/>
  <c r="P21" i="3" s="1"/>
  <c r="R21" i="3" s="1"/>
  <c r="T21" i="3" s="1"/>
  <c r="Q19" i="2"/>
  <c r="R19" i="2"/>
  <c r="S19" i="2"/>
  <c r="T19" i="2"/>
  <c r="U19" i="2"/>
  <c r="V19" i="2"/>
  <c r="J23" i="3"/>
  <c r="L23" i="3" s="1"/>
  <c r="N23" i="3" s="1"/>
  <c r="P23" i="3" s="1"/>
  <c r="R23" i="3" s="1"/>
  <c r="T23" i="3" s="1"/>
  <c r="C3" i="4"/>
  <c r="J20" i="3"/>
  <c r="L20" i="3" s="1"/>
  <c r="N20" i="3" s="1"/>
  <c r="P20" i="3" s="1"/>
  <c r="Y13" i="2"/>
  <c r="Y14" i="2"/>
  <c r="AC14" i="2"/>
  <c r="AC17" i="2"/>
  <c r="AC16" i="2"/>
  <c r="AC15" i="2"/>
  <c r="AC18" i="2"/>
  <c r="Z16" i="2"/>
  <c r="Z17" i="2"/>
  <c r="Z15" i="2"/>
  <c r="Z18" i="2"/>
  <c r="Z14" i="2"/>
  <c r="Y15" i="2"/>
  <c r="Y16" i="2"/>
  <c r="Y18" i="2"/>
  <c r="Y17" i="2"/>
  <c r="AD14" i="2"/>
  <c r="AD15" i="2"/>
  <c r="AD18" i="2"/>
  <c r="AD16" i="2"/>
  <c r="AD17" i="2"/>
  <c r="AB17" i="2"/>
  <c r="AB18" i="2"/>
  <c r="AB14" i="2"/>
  <c r="AB16" i="2"/>
  <c r="AB15" i="2"/>
  <c r="A19" i="2"/>
  <c r="P19" i="2"/>
  <c r="Y19" i="2" s="1"/>
  <c r="AA14" i="2"/>
  <c r="AA16" i="2"/>
  <c r="AA18" i="2"/>
  <c r="AA15" i="2"/>
  <c r="AA17" i="2"/>
  <c r="AC11" i="2"/>
  <c r="AB11" i="2"/>
  <c r="Z11" i="2"/>
  <c r="Y11" i="2"/>
  <c r="AA11" i="2"/>
  <c r="AD11" i="2"/>
  <c r="AB2" i="2"/>
  <c r="AB13" i="2"/>
  <c r="Z2" i="2"/>
  <c r="Z13" i="2"/>
  <c r="AA2" i="2"/>
  <c r="AA13" i="2"/>
  <c r="AC2" i="2"/>
  <c r="AC13" i="2"/>
  <c r="AD2" i="2"/>
  <c r="AD13" i="2"/>
  <c r="Y2" i="2"/>
  <c r="AB3" i="2"/>
  <c r="AB5" i="2"/>
  <c r="AB6" i="2"/>
  <c r="AA3" i="2"/>
  <c r="AA4" i="2"/>
  <c r="AA5" i="2"/>
  <c r="AA6" i="2"/>
  <c r="AC3" i="2"/>
  <c r="AC4" i="2"/>
  <c r="AC5" i="2"/>
  <c r="AC6" i="2"/>
  <c r="AB4" i="2"/>
  <c r="Z3" i="2"/>
  <c r="Z4" i="2"/>
  <c r="Z5" i="2"/>
  <c r="Z6" i="2"/>
  <c r="AD3" i="2"/>
  <c r="AD4" i="2"/>
  <c r="AD5" i="2"/>
  <c r="AD6" i="2"/>
  <c r="AB7" i="2"/>
  <c r="AI7" i="2" s="1"/>
  <c r="AB8" i="2"/>
  <c r="AI8" i="2" s="1"/>
  <c r="AB9" i="2"/>
  <c r="AI9" i="2" s="1"/>
  <c r="AB10" i="2"/>
  <c r="AI10" i="2" s="1"/>
  <c r="AB12" i="2"/>
  <c r="AI12" i="2" s="1"/>
  <c r="AI14" i="2"/>
  <c r="AI15" i="2"/>
  <c r="Z7" i="2"/>
  <c r="AG7" i="2" s="1"/>
  <c r="Z8" i="2"/>
  <c r="AG8" i="2" s="1"/>
  <c r="Z9" i="2"/>
  <c r="AG9" i="2" s="1"/>
  <c r="Z10" i="2"/>
  <c r="AG10" i="2" s="1"/>
  <c r="Z12" i="2"/>
  <c r="AG12" i="2" s="1"/>
  <c r="AG14" i="2"/>
  <c r="AG15" i="2"/>
  <c r="AC7" i="2"/>
  <c r="AJ7" i="2" s="1"/>
  <c r="AC8" i="2"/>
  <c r="AJ8" i="2" s="1"/>
  <c r="AC9" i="2"/>
  <c r="AJ9" i="2" s="1"/>
  <c r="AC10" i="2"/>
  <c r="AJ10" i="2" s="1"/>
  <c r="AC12" i="2"/>
  <c r="AJ12" i="2" s="1"/>
  <c r="AJ14" i="2"/>
  <c r="AJ15" i="2"/>
  <c r="AD7" i="2"/>
  <c r="AK7" i="2" s="1"/>
  <c r="AD8" i="2"/>
  <c r="AK8" i="2" s="1"/>
  <c r="AD9" i="2"/>
  <c r="AK9" i="2" s="1"/>
  <c r="AD10" i="2"/>
  <c r="AK10" i="2" s="1"/>
  <c r="AD12" i="2"/>
  <c r="AK12" i="2" s="1"/>
  <c r="AK14" i="2"/>
  <c r="AK15" i="2"/>
  <c r="AA7" i="2"/>
  <c r="AH7" i="2" s="1"/>
  <c r="AA8" i="2"/>
  <c r="AH8" i="2" s="1"/>
  <c r="AA9" i="2"/>
  <c r="AH9" i="2" s="1"/>
  <c r="AA10" i="2"/>
  <c r="AH10" i="2" s="1"/>
  <c r="AA12" i="2"/>
  <c r="AH12" i="2" s="1"/>
  <c r="AH14" i="2"/>
  <c r="AH15" i="2"/>
  <c r="E17" i="1"/>
  <c r="C85" i="1"/>
  <c r="T19" i="3" l="1"/>
  <c r="V19" i="3" s="1"/>
  <c r="AN66" i="3" s="1"/>
  <c r="AM68" i="3"/>
  <c r="V21" i="3"/>
  <c r="AN68" i="3" s="1"/>
  <c r="AM67" i="3"/>
  <c r="V22" i="3"/>
  <c r="AN67" i="3" s="1"/>
  <c r="AM71" i="3"/>
  <c r="V23" i="3"/>
  <c r="AN71" i="3" s="1"/>
  <c r="T24" i="3"/>
  <c r="AL71" i="3"/>
  <c r="I5" i="4"/>
  <c r="I4" i="4"/>
  <c r="I3" i="4"/>
  <c r="AK69" i="3"/>
  <c r="AL69" i="3" s="1"/>
  <c r="R20" i="3"/>
  <c r="T20" i="3" s="1"/>
  <c r="AK70" i="3"/>
  <c r="AL70" i="3" s="1"/>
  <c r="AK71" i="3"/>
  <c r="AK66" i="3"/>
  <c r="AL66" i="3" s="1"/>
  <c r="AK68" i="3"/>
  <c r="AL68" i="3" s="1"/>
  <c r="AK67" i="3"/>
  <c r="AL67" i="3" s="1"/>
  <c r="I6" i="4"/>
  <c r="C9" i="3"/>
  <c r="M113" i="9"/>
  <c r="X112" i="9"/>
  <c r="R111" i="9"/>
  <c r="S111" i="9"/>
  <c r="Q112" i="9"/>
  <c r="W112" i="9" s="1"/>
  <c r="U111" i="9"/>
  <c r="A5" i="3"/>
  <c r="A5" i="4" s="1"/>
  <c r="A4" i="3"/>
  <c r="A4" i="4" s="1"/>
  <c r="A8" i="3"/>
  <c r="A3" i="3"/>
  <c r="A3" i="4" s="1"/>
  <c r="A7" i="3"/>
  <c r="A7" i="4" s="1"/>
  <c r="A6" i="3"/>
  <c r="A6" i="4" s="1"/>
  <c r="A2" i="3"/>
  <c r="A2" i="4" s="1"/>
  <c r="N285" i="9"/>
  <c r="N286" i="9" s="1"/>
  <c r="N287" i="9" s="1"/>
  <c r="N288" i="9" s="1"/>
  <c r="N289" i="9" s="1"/>
  <c r="L114" i="9"/>
  <c r="T114" i="9" s="1"/>
  <c r="AE18" i="2"/>
  <c r="AE17" i="2"/>
  <c r="AE16" i="2"/>
  <c r="AC19" i="2"/>
  <c r="AE14" i="2"/>
  <c r="Z19" i="2"/>
  <c r="AA19" i="2"/>
  <c r="AB19" i="2"/>
  <c r="AD19" i="2"/>
  <c r="AE15" i="2"/>
  <c r="AE11" i="2"/>
  <c r="AE13" i="2"/>
  <c r="AM69" i="3" l="1"/>
  <c r="V20" i="3"/>
  <c r="AN69" i="3" s="1"/>
  <c r="AM70" i="3"/>
  <c r="V24" i="3"/>
  <c r="AN70" i="3" s="1"/>
  <c r="AM66" i="3"/>
  <c r="J4" i="4"/>
  <c r="K5" i="4"/>
  <c r="S5" i="4" s="1"/>
  <c r="I2" i="4"/>
  <c r="J5" i="4"/>
  <c r="K7" i="4"/>
  <c r="S7" i="4" s="1"/>
  <c r="J6" i="4"/>
  <c r="J7" i="4"/>
  <c r="J3" i="4"/>
  <c r="M114" i="9"/>
  <c r="X113" i="9"/>
  <c r="F5" i="12"/>
  <c r="I5" i="12" s="1"/>
  <c r="R112" i="9"/>
  <c r="Q113" i="9"/>
  <c r="W113" i="9" s="1"/>
  <c r="U112" i="9"/>
  <c r="S112" i="9"/>
  <c r="J8" i="4"/>
  <c r="F6" i="12"/>
  <c r="I6" i="12" s="1"/>
  <c r="F7" i="12"/>
  <c r="I7" i="12" s="1"/>
  <c r="F2" i="12"/>
  <c r="I2" i="12" s="1"/>
  <c r="F4" i="12"/>
  <c r="I4" i="12" s="1"/>
  <c r="C9" i="4"/>
  <c r="M2" i="4" s="1"/>
  <c r="N290" i="9"/>
  <c r="N291" i="9" s="1"/>
  <c r="N292" i="9" s="1"/>
  <c r="N293" i="9" s="1"/>
  <c r="N294" i="9" s="1"/>
  <c r="N295" i="9" s="1"/>
  <c r="N296" i="9" s="1"/>
  <c r="N297" i="9" s="1"/>
  <c r="N298" i="9" s="1"/>
  <c r="N299" i="9" s="1"/>
  <c r="N300" i="9" s="1"/>
  <c r="N301" i="9" s="1"/>
  <c r="N302" i="9" s="1"/>
  <c r="N303" i="9" s="1"/>
  <c r="N304" i="9" s="1"/>
  <c r="N305" i="9" s="1"/>
  <c r="N306" i="9" s="1"/>
  <c r="L115" i="9"/>
  <c r="T115" i="9" s="1"/>
  <c r="AE19" i="2"/>
  <c r="K3" i="4"/>
  <c r="S3" i="4" s="1"/>
  <c r="K6" i="4"/>
  <c r="S6" i="4" s="1"/>
  <c r="K4" i="4"/>
  <c r="S4" i="4" s="1"/>
  <c r="C77" i="1"/>
  <c r="C78" i="1"/>
  <c r="C79" i="1"/>
  <c r="C80" i="1"/>
  <c r="C82" i="1"/>
  <c r="C86" i="1"/>
  <c r="C88" i="1"/>
  <c r="M5" i="4" l="1"/>
  <c r="M115" i="9"/>
  <c r="X114" i="9"/>
  <c r="M6" i="4"/>
  <c r="M3" i="4"/>
  <c r="N307" i="9"/>
  <c r="N308" i="9" s="1"/>
  <c r="N309" i="9" s="1"/>
  <c r="N310" i="9" s="1"/>
  <c r="N311" i="9" s="1"/>
  <c r="N312" i="9" s="1"/>
  <c r="N313" i="9" s="1"/>
  <c r="R113" i="9"/>
  <c r="Q114" i="9"/>
  <c r="W114" i="9" s="1"/>
  <c r="S113" i="9"/>
  <c r="U113" i="9"/>
  <c r="M7" i="4"/>
  <c r="M4" i="4"/>
  <c r="L116" i="9"/>
  <c r="T116" i="9" s="1"/>
  <c r="C54" i="1"/>
  <c r="C55" i="1"/>
  <c r="C57" i="1"/>
  <c r="C58" i="1"/>
  <c r="C35" i="1"/>
  <c r="M116" i="9" l="1"/>
  <c r="X115" i="9"/>
  <c r="N314" i="9"/>
  <c r="N315" i="9" s="1"/>
  <c r="N316" i="9" s="1"/>
  <c r="N317" i="9" s="1"/>
  <c r="N318" i="9" s="1"/>
  <c r="N319" i="9" s="1"/>
  <c r="N320" i="9" s="1"/>
  <c r="N321" i="9" s="1"/>
  <c r="N322" i="9" s="1"/>
  <c r="N323" i="9" s="1"/>
  <c r="N324" i="9" s="1"/>
  <c r="N325" i="9" s="1"/>
  <c r="N326" i="9" s="1"/>
  <c r="N327" i="9" s="1"/>
  <c r="N328" i="9" s="1"/>
  <c r="N329" i="9" s="1"/>
  <c r="N330" i="9" s="1"/>
  <c r="N331" i="9" s="1"/>
  <c r="R114" i="9"/>
  <c r="Q115" i="9"/>
  <c r="W115" i="9" s="1"/>
  <c r="U114" i="9"/>
  <c r="S114" i="9"/>
  <c r="L117" i="9"/>
  <c r="T117" i="9" s="1"/>
  <c r="C28" i="1"/>
  <c r="M117" i="9" l="1"/>
  <c r="X116" i="9"/>
  <c r="N332" i="9"/>
  <c r="N333" i="9" s="1"/>
  <c r="R115" i="9"/>
  <c r="Q116" i="9"/>
  <c r="W116" i="9" s="1"/>
  <c r="U115" i="9"/>
  <c r="S115" i="9"/>
  <c r="L118" i="9"/>
  <c r="T118" i="9" s="1"/>
  <c r="M118" i="9" l="1"/>
  <c r="X117" i="9"/>
  <c r="N334" i="9"/>
  <c r="N335" i="9" s="1"/>
  <c r="N336" i="9" s="1"/>
  <c r="N337" i="9" s="1"/>
  <c r="N338" i="9" s="1"/>
  <c r="N339" i="9" s="1"/>
  <c r="R116" i="9"/>
  <c r="Q117" i="9"/>
  <c r="W117" i="9" s="1"/>
  <c r="S116" i="9"/>
  <c r="U116" i="9"/>
  <c r="L119" i="9"/>
  <c r="T119" i="9" s="1"/>
  <c r="E4" i="4"/>
  <c r="M119" i="9" l="1"/>
  <c r="X118" i="9"/>
  <c r="N340" i="9"/>
  <c r="R117" i="9"/>
  <c r="Q118" i="9"/>
  <c r="W118" i="9" s="1"/>
  <c r="U117" i="9"/>
  <c r="S117" i="9"/>
  <c r="L120" i="9"/>
  <c r="T120" i="9" s="1"/>
  <c r="E3" i="4"/>
  <c r="M120" i="9" l="1"/>
  <c r="X119" i="9"/>
  <c r="N341" i="9"/>
  <c r="R118" i="9"/>
  <c r="Q119" i="9"/>
  <c r="W119" i="9" s="1"/>
  <c r="S118" i="9"/>
  <c r="U118" i="9"/>
  <c r="L121" i="9"/>
  <c r="T121" i="9" s="1"/>
  <c r="M121" i="9" l="1"/>
  <c r="X120" i="9"/>
  <c r="N342" i="9"/>
  <c r="R119" i="9"/>
  <c r="Q120" i="9"/>
  <c r="W120" i="9" s="1"/>
  <c r="U119" i="9"/>
  <c r="S119" i="9"/>
  <c r="L122" i="9"/>
  <c r="T122" i="9" s="1"/>
  <c r="C27" i="1"/>
  <c r="C26" i="1"/>
  <c r="M122" i="9" l="1"/>
  <c r="X121" i="9"/>
  <c r="N343" i="9"/>
  <c r="N344" i="9" s="1"/>
  <c r="N345" i="9" s="1"/>
  <c r="N346" i="9" s="1"/>
  <c r="N347" i="9" s="1"/>
  <c r="N348" i="9" s="1"/>
  <c r="N349" i="9" s="1"/>
  <c r="N350" i="9" s="1"/>
  <c r="N351" i="9" s="1"/>
  <c r="N352" i="9" s="1"/>
  <c r="N353" i="9" s="1"/>
  <c r="N354" i="9" s="1"/>
  <c r="N355" i="9" s="1"/>
  <c r="N356" i="9" s="1"/>
  <c r="N357" i="9" s="1"/>
  <c r="N358" i="9" s="1"/>
  <c r="N359" i="9" s="1"/>
  <c r="N360" i="9" s="1"/>
  <c r="N361" i="9" s="1"/>
  <c r="N362" i="9" s="1"/>
  <c r="N363" i="9" s="1"/>
  <c r="N364" i="9" s="1"/>
  <c r="N365" i="9" s="1"/>
  <c r="R120" i="9"/>
  <c r="Q121" i="9"/>
  <c r="W121" i="9" s="1"/>
  <c r="S120" i="9"/>
  <c r="U120" i="9"/>
  <c r="L123" i="9"/>
  <c r="T123" i="9" s="1"/>
  <c r="C30" i="1"/>
  <c r="N366" i="9" l="1"/>
  <c r="N367" i="9" s="1"/>
  <c r="N368" i="9" s="1"/>
  <c r="N369" i="9" s="1"/>
  <c r="N370" i="9" s="1"/>
  <c r="N371" i="9" s="1"/>
  <c r="M123" i="9"/>
  <c r="X122" i="9"/>
  <c r="R121" i="9"/>
  <c r="Q122" i="9"/>
  <c r="W122" i="9" s="1"/>
  <c r="S121" i="9"/>
  <c r="U121" i="9"/>
  <c r="L124" i="9"/>
  <c r="T124" i="9" s="1"/>
  <c r="C34" i="1"/>
  <c r="M124" i="9" l="1"/>
  <c r="X123" i="9"/>
  <c r="R122" i="9"/>
  <c r="Q123" i="9"/>
  <c r="W123" i="9" s="1"/>
  <c r="S122" i="9"/>
  <c r="U122" i="9"/>
  <c r="L125" i="9"/>
  <c r="T125" i="9" s="1"/>
  <c r="T5" i="1"/>
  <c r="C36" i="1"/>
  <c r="M125" i="9" l="1"/>
  <c r="X124" i="9"/>
  <c r="R123" i="9"/>
  <c r="Q124" i="9"/>
  <c r="W124" i="9" s="1"/>
  <c r="U123" i="9"/>
  <c r="S123" i="9"/>
  <c r="L126" i="9"/>
  <c r="T126" i="9" s="1"/>
  <c r="C37" i="1"/>
  <c r="M126" i="9" l="1"/>
  <c r="X125" i="9"/>
  <c r="R124" i="9"/>
  <c r="Q125" i="9"/>
  <c r="W125" i="9" s="1"/>
  <c r="S124" i="9"/>
  <c r="U124" i="9"/>
  <c r="L127" i="9"/>
  <c r="T127" i="9" s="1"/>
  <c r="C38" i="1"/>
  <c r="M127" i="9" l="1"/>
  <c r="X126" i="9"/>
  <c r="R125" i="9"/>
  <c r="Q126" i="9"/>
  <c r="W126" i="9" s="1"/>
  <c r="S125" i="9"/>
  <c r="U125" i="9"/>
  <c r="L128" i="9"/>
  <c r="T128" i="9" s="1"/>
  <c r="C39" i="1"/>
  <c r="M128" i="9" l="1"/>
  <c r="X127" i="9"/>
  <c r="R126" i="9"/>
  <c r="Q127" i="9"/>
  <c r="W127" i="9" s="1"/>
  <c r="S126" i="9"/>
  <c r="U126" i="9"/>
  <c r="L129" i="9"/>
  <c r="T129" i="9" s="1"/>
  <c r="C42" i="1"/>
  <c r="C41" i="1"/>
  <c r="M129" i="9" l="1"/>
  <c r="X128" i="9"/>
  <c r="R127" i="9"/>
  <c r="Q128" i="9"/>
  <c r="W128" i="9" s="1"/>
  <c r="U127" i="9"/>
  <c r="S127" i="9"/>
  <c r="L130" i="9"/>
  <c r="T130" i="9" s="1"/>
  <c r="C43" i="1"/>
  <c r="M130" i="9" l="1"/>
  <c r="X129" i="9"/>
  <c r="R128" i="9"/>
  <c r="Q129" i="9"/>
  <c r="W129" i="9" s="1"/>
  <c r="S128" i="9"/>
  <c r="U128" i="9"/>
  <c r="L131" i="9"/>
  <c r="T131" i="9" s="1"/>
  <c r="C49" i="1"/>
  <c r="M131" i="9" l="1"/>
  <c r="X130" i="9"/>
  <c r="R129" i="9"/>
  <c r="Q130" i="9"/>
  <c r="W130" i="9" s="1"/>
  <c r="U129" i="9"/>
  <c r="S129" i="9"/>
  <c r="L132" i="9"/>
  <c r="T132" i="9" s="1"/>
  <c r="C50" i="1"/>
  <c r="M132" i="9" l="1"/>
  <c r="X131" i="9"/>
  <c r="R130" i="9"/>
  <c r="Q131" i="9"/>
  <c r="W131" i="9" s="1"/>
  <c r="S130" i="9"/>
  <c r="U130" i="9"/>
  <c r="L133" i="9"/>
  <c r="T133" i="9" s="1"/>
  <c r="AE2" i="2"/>
  <c r="Y6" i="2"/>
  <c r="Y10" i="2"/>
  <c r="F17" i="1"/>
  <c r="H17" i="1"/>
  <c r="G17" i="1"/>
  <c r="J17" i="1"/>
  <c r="I17" i="1"/>
  <c r="M133" i="9" l="1"/>
  <c r="X132" i="9"/>
  <c r="R131" i="9"/>
  <c r="Q132" i="9"/>
  <c r="W132" i="9" s="1"/>
  <c r="U131" i="9"/>
  <c r="S131" i="9"/>
  <c r="L134" i="9"/>
  <c r="T134" i="9" s="1"/>
  <c r="AL15" i="2"/>
  <c r="AF15" i="2"/>
  <c r="AE10" i="2"/>
  <c r="AL10" i="2" s="1"/>
  <c r="AF10" i="2"/>
  <c r="AE6" i="2"/>
  <c r="Y9" i="2"/>
  <c r="Y5" i="2"/>
  <c r="AE5" i="2" s="1"/>
  <c r="Y8" i="2"/>
  <c r="Y4" i="2"/>
  <c r="AE4" i="2" s="1"/>
  <c r="Y12" i="2"/>
  <c r="Y7" i="2"/>
  <c r="Y3" i="2"/>
  <c r="AE3" i="2" s="1"/>
  <c r="D9" i="1"/>
  <c r="E9" i="1" s="1"/>
  <c r="D12" i="1"/>
  <c r="E12" i="1" s="1"/>
  <c r="D11" i="1"/>
  <c r="E11" i="1" s="1"/>
  <c r="D8" i="1"/>
  <c r="E8" i="1" s="1"/>
  <c r="D13" i="1"/>
  <c r="E13" i="1" s="1"/>
  <c r="D10" i="1"/>
  <c r="E10" i="1" s="1"/>
  <c r="M134" i="9" l="1"/>
  <c r="X133" i="9"/>
  <c r="R132" i="9"/>
  <c r="Q133" i="9"/>
  <c r="W133" i="9" s="1"/>
  <c r="S132" i="9"/>
  <c r="U132" i="9"/>
  <c r="L135" i="9"/>
  <c r="T135" i="9" s="1"/>
  <c r="AL14" i="2"/>
  <c r="AF14" i="2"/>
  <c r="AE12" i="2"/>
  <c r="AL12" i="2" s="1"/>
  <c r="AF12" i="2"/>
  <c r="AE9" i="2"/>
  <c r="AL9" i="2" s="1"/>
  <c r="AF9" i="2"/>
  <c r="AE8" i="2"/>
  <c r="AL8" i="2" s="1"/>
  <c r="AF8" i="2"/>
  <c r="AE7" i="2"/>
  <c r="AL7" i="2" s="1"/>
  <c r="AF7" i="2"/>
  <c r="AF5" i="3"/>
  <c r="BD9" i="3" s="1"/>
  <c r="M135" i="9" l="1"/>
  <c r="X134" i="9"/>
  <c r="R133" i="9"/>
  <c r="Q134" i="9"/>
  <c r="W134" i="9" s="1"/>
  <c r="U133" i="9"/>
  <c r="S133" i="9"/>
  <c r="L136" i="9"/>
  <c r="T136" i="9" s="1"/>
  <c r="AF4" i="3"/>
  <c r="I5" i="3"/>
  <c r="M136" i="9" l="1"/>
  <c r="X135" i="9"/>
  <c r="R134" i="9"/>
  <c r="Q135" i="9"/>
  <c r="W135" i="9" s="1"/>
  <c r="S134" i="9"/>
  <c r="U134" i="9"/>
  <c r="L137" i="9"/>
  <c r="T137" i="9" s="1"/>
  <c r="AF3" i="3"/>
  <c r="I4" i="3"/>
  <c r="M137" i="9" l="1"/>
  <c r="X136" i="9"/>
  <c r="R135" i="9"/>
  <c r="Q136" i="9"/>
  <c r="W136" i="9" s="1"/>
  <c r="U135" i="9"/>
  <c r="S135" i="9"/>
  <c r="AF7" i="3"/>
  <c r="L138" i="9"/>
  <c r="T138" i="9" s="1"/>
  <c r="I3" i="3"/>
  <c r="AF6" i="3" l="1"/>
  <c r="M138" i="9"/>
  <c r="X137" i="9"/>
  <c r="R136" i="9"/>
  <c r="Q137" i="9"/>
  <c r="W137" i="9" s="1"/>
  <c r="S136" i="9"/>
  <c r="U136" i="9"/>
  <c r="L139" i="9"/>
  <c r="T139" i="9" s="1"/>
  <c r="I7" i="3"/>
  <c r="AF9" i="3" l="1"/>
  <c r="I9" i="3" s="1"/>
  <c r="M139" i="9"/>
  <c r="X138" i="9"/>
  <c r="R137" i="9"/>
  <c r="Q138" i="9"/>
  <c r="W138" i="9" s="1"/>
  <c r="S137" i="9"/>
  <c r="U137" i="9"/>
  <c r="L140" i="9"/>
  <c r="T140" i="9" s="1"/>
  <c r="AF8" i="3"/>
  <c r="E8" i="3" s="1"/>
  <c r="I6" i="3"/>
  <c r="M140" i="9" l="1"/>
  <c r="X139" i="9"/>
  <c r="R138" i="9"/>
  <c r="Q139" i="9"/>
  <c r="W139" i="9" s="1"/>
  <c r="S138" i="9"/>
  <c r="U138" i="9"/>
  <c r="L141" i="9"/>
  <c r="T141" i="9" s="1"/>
  <c r="E6" i="4"/>
  <c r="M141" i="9" l="1"/>
  <c r="X140" i="9"/>
  <c r="R139" i="9"/>
  <c r="Q140" i="9"/>
  <c r="W140" i="9" s="1"/>
  <c r="U139" i="9"/>
  <c r="S139" i="9"/>
  <c r="L142" i="9"/>
  <c r="T142" i="9" s="1"/>
  <c r="E7" i="4"/>
  <c r="AS9" i="3"/>
  <c r="M142" i="9" l="1"/>
  <c r="X141" i="9"/>
  <c r="R140" i="9"/>
  <c r="Q141" i="9"/>
  <c r="W141" i="9" s="1"/>
  <c r="U140" i="9"/>
  <c r="S140" i="9"/>
  <c r="L143" i="9"/>
  <c r="T143" i="9" s="1"/>
  <c r="M143" i="9" l="1"/>
  <c r="X142" i="9"/>
  <c r="R141" i="9"/>
  <c r="Q142" i="9"/>
  <c r="W142" i="9" s="1"/>
  <c r="U141" i="9"/>
  <c r="S141" i="9"/>
  <c r="L144" i="9"/>
  <c r="T144" i="9" s="1"/>
  <c r="J9" i="2"/>
  <c r="L9" i="2"/>
  <c r="M9" i="2"/>
  <c r="M144" i="9" l="1"/>
  <c r="X143" i="9"/>
  <c r="R142" i="9"/>
  <c r="Q143" i="9"/>
  <c r="W143" i="9" s="1"/>
  <c r="U142" i="9"/>
  <c r="S142" i="9"/>
  <c r="L145" i="9"/>
  <c r="T145" i="9" s="1"/>
  <c r="I16" i="2"/>
  <c r="X16" i="2"/>
  <c r="M16" i="2"/>
  <c r="M145" i="9" l="1"/>
  <c r="X144" i="9"/>
  <c r="R143" i="9"/>
  <c r="Q144" i="9"/>
  <c r="W144" i="9" s="1"/>
  <c r="S143" i="9"/>
  <c r="U143" i="9"/>
  <c r="L146" i="9"/>
  <c r="T146" i="9" s="1"/>
  <c r="K16" i="2"/>
  <c r="J16" i="2"/>
  <c r="L16" i="2"/>
  <c r="AF16" i="2"/>
  <c r="AH16" i="2"/>
  <c r="AJ16" i="2"/>
  <c r="AI16" i="2"/>
  <c r="AK16" i="2"/>
  <c r="X17" i="2"/>
  <c r="AG16" i="2"/>
  <c r="M146" i="9" l="1"/>
  <c r="X145" i="9"/>
  <c r="R144" i="9"/>
  <c r="Q145" i="9"/>
  <c r="W145" i="9" s="1"/>
  <c r="U144" i="9"/>
  <c r="S144" i="9"/>
  <c r="L147" i="9"/>
  <c r="T147" i="9" s="1"/>
  <c r="M17" i="2"/>
  <c r="I17" i="2"/>
  <c r="L17" i="2"/>
  <c r="N17" i="2"/>
  <c r="J17" i="2"/>
  <c r="K17" i="2"/>
  <c r="AH17" i="2"/>
  <c r="AL16" i="2"/>
  <c r="AI17" i="2"/>
  <c r="AK17" i="2"/>
  <c r="AF17" i="2"/>
  <c r="X18" i="2"/>
  <c r="AG17" i="2"/>
  <c r="AJ17" i="2"/>
  <c r="M147" i="9" l="1"/>
  <c r="X146" i="9"/>
  <c r="R145" i="9"/>
  <c r="Q146" i="9"/>
  <c r="W146" i="9" s="1"/>
  <c r="U145" i="9"/>
  <c r="S145" i="9"/>
  <c r="L148" i="9"/>
  <c r="T148" i="9" s="1"/>
  <c r="L18" i="2"/>
  <c r="AK18" i="2"/>
  <c r="AL17" i="2"/>
  <c r="M18" i="2"/>
  <c r="AJ18" i="2"/>
  <c r="N18" i="2"/>
  <c r="I18" i="2"/>
  <c r="J18" i="2"/>
  <c r="K18" i="2"/>
  <c r="AI18" i="2"/>
  <c r="X19" i="2"/>
  <c r="B20" i="2"/>
  <c r="AH18" i="2"/>
  <c r="AF18" i="2"/>
  <c r="AG18" i="2"/>
  <c r="M148" i="9" l="1"/>
  <c r="X147" i="9"/>
  <c r="R146" i="9"/>
  <c r="Q147" i="9"/>
  <c r="W147" i="9" s="1"/>
  <c r="S146" i="9"/>
  <c r="U146" i="9"/>
  <c r="L149" i="9"/>
  <c r="T149" i="9" s="1"/>
  <c r="S20" i="2"/>
  <c r="T20" i="2"/>
  <c r="U20" i="2"/>
  <c r="R20" i="2"/>
  <c r="V20" i="2"/>
  <c r="Q20" i="2"/>
  <c r="P20" i="2"/>
  <c r="A20" i="2"/>
  <c r="J19" i="2"/>
  <c r="L19" i="2"/>
  <c r="AG19" i="2"/>
  <c r="AL18" i="2"/>
  <c r="AK19" i="2"/>
  <c r="AJ19" i="2"/>
  <c r="N19" i="2"/>
  <c r="I19" i="2"/>
  <c r="AH19" i="2"/>
  <c r="M19" i="2"/>
  <c r="K19" i="2"/>
  <c r="AI19" i="2"/>
  <c r="X20" i="2"/>
  <c r="B21" i="2"/>
  <c r="M149" i="9" l="1"/>
  <c r="X148" i="9"/>
  <c r="R147" i="9"/>
  <c r="Q148" i="9"/>
  <c r="W148" i="9" s="1"/>
  <c r="U147" i="9"/>
  <c r="S147" i="9"/>
  <c r="L150" i="9"/>
  <c r="T150" i="9" s="1"/>
  <c r="U21" i="2"/>
  <c r="V21" i="2"/>
  <c r="Q21" i="2"/>
  <c r="T21" i="2"/>
  <c r="R21" i="2"/>
  <c r="S21" i="2"/>
  <c r="Z20" i="2"/>
  <c r="AA20" i="2"/>
  <c r="AC20" i="2"/>
  <c r="A21" i="2"/>
  <c r="P21" i="2"/>
  <c r="AC21" i="2" s="1"/>
  <c r="AB20" i="2"/>
  <c r="Y20" i="2"/>
  <c r="AD20" i="2"/>
  <c r="J20" i="2"/>
  <c r="AL19" i="2"/>
  <c r="AF19" i="2"/>
  <c r="AJ20" i="2"/>
  <c r="AK20" i="2"/>
  <c r="AI20" i="2"/>
  <c r="M20" i="2"/>
  <c r="N20" i="2"/>
  <c r="AH20" i="2"/>
  <c r="AF20" i="2"/>
  <c r="K20" i="2"/>
  <c r="L20" i="2"/>
  <c r="I20" i="2"/>
  <c r="X21" i="2"/>
  <c r="B22" i="2"/>
  <c r="AG20" i="2"/>
  <c r="M150" i="9" l="1"/>
  <c r="X149" i="9"/>
  <c r="R148" i="9"/>
  <c r="Q149" i="9"/>
  <c r="W149" i="9" s="1"/>
  <c r="S148" i="9"/>
  <c r="U148" i="9"/>
  <c r="L151" i="9"/>
  <c r="T151" i="9" s="1"/>
  <c r="Y21" i="2"/>
  <c r="Q22" i="2"/>
  <c r="R22" i="2"/>
  <c r="S22" i="2"/>
  <c r="T22" i="2"/>
  <c r="U22" i="2"/>
  <c r="V22" i="2"/>
  <c r="AD21" i="2"/>
  <c r="AB21" i="2"/>
  <c r="AE20" i="2"/>
  <c r="A22" i="2"/>
  <c r="P22" i="2"/>
  <c r="Z22" i="2" s="1"/>
  <c r="AA21" i="2"/>
  <c r="Z21" i="2"/>
  <c r="J21" i="2"/>
  <c r="L21" i="2"/>
  <c r="AF21" i="2"/>
  <c r="AL20" i="2"/>
  <c r="AI21" i="2"/>
  <c r="AK21" i="2"/>
  <c r="X22" i="2"/>
  <c r="B23" i="2"/>
  <c r="AJ21" i="2"/>
  <c r="N21" i="2"/>
  <c r="AH21" i="2"/>
  <c r="K21" i="2"/>
  <c r="I21" i="2"/>
  <c r="M21" i="2"/>
  <c r="AG21" i="2"/>
  <c r="M151" i="9" l="1"/>
  <c r="X150" i="9"/>
  <c r="R149" i="9"/>
  <c r="Q150" i="9"/>
  <c r="W150" i="9" s="1"/>
  <c r="U149" i="9"/>
  <c r="S149" i="9"/>
  <c r="L152" i="9"/>
  <c r="T152" i="9" s="1"/>
  <c r="Q23" i="2"/>
  <c r="R23" i="2"/>
  <c r="S23" i="2"/>
  <c r="T23" i="2"/>
  <c r="U23" i="2"/>
  <c r="V23" i="2"/>
  <c r="AE21" i="2"/>
  <c r="Y22" i="2"/>
  <c r="AA22" i="2"/>
  <c r="AD22" i="2"/>
  <c r="AB22" i="2"/>
  <c r="A23" i="2"/>
  <c r="P23" i="2"/>
  <c r="AC22" i="2"/>
  <c r="J22" i="2"/>
  <c r="AJ22" i="2"/>
  <c r="AL21" i="2"/>
  <c r="X23" i="2"/>
  <c r="B24" i="2"/>
  <c r="I22" i="2"/>
  <c r="K22" i="2"/>
  <c r="L22" i="2"/>
  <c r="N22" i="2"/>
  <c r="M22" i="2"/>
  <c r="AG22" i="2"/>
  <c r="AK22" i="2"/>
  <c r="AH22" i="2"/>
  <c r="AI22" i="2"/>
  <c r="M152" i="9" l="1"/>
  <c r="X151" i="9"/>
  <c r="R150" i="9"/>
  <c r="Q151" i="9"/>
  <c r="W151" i="9" s="1"/>
  <c r="S150" i="9"/>
  <c r="U150" i="9"/>
  <c r="L153" i="9"/>
  <c r="T153" i="9" s="1"/>
  <c r="S24" i="2"/>
  <c r="T24" i="2"/>
  <c r="U24" i="2"/>
  <c r="R24" i="2"/>
  <c r="V24" i="2"/>
  <c r="Q24" i="2"/>
  <c r="Z23" i="2"/>
  <c r="AE22" i="2"/>
  <c r="AD23" i="2"/>
  <c r="A24" i="2"/>
  <c r="P24" i="2"/>
  <c r="Z25" i="2" s="1"/>
  <c r="AB23" i="2"/>
  <c r="Y23" i="2"/>
  <c r="AC23" i="2"/>
  <c r="AD25" i="2"/>
  <c r="AA23" i="2"/>
  <c r="J23" i="2"/>
  <c r="L23" i="2"/>
  <c r="AL22" i="2"/>
  <c r="AF22" i="2"/>
  <c r="X24" i="2"/>
  <c r="B25" i="2"/>
  <c r="AJ23" i="2"/>
  <c r="AH23" i="2"/>
  <c r="AK23" i="2"/>
  <c r="AF23" i="2"/>
  <c r="K23" i="2"/>
  <c r="AG23" i="2"/>
  <c r="AI23" i="2"/>
  <c r="I23" i="2"/>
  <c r="N23" i="2"/>
  <c r="M23" i="2"/>
  <c r="M153" i="9" l="1"/>
  <c r="X152" i="9"/>
  <c r="R151" i="9"/>
  <c r="Q152" i="9"/>
  <c r="W152" i="9" s="1"/>
  <c r="S151" i="9"/>
  <c r="U151" i="9"/>
  <c r="AD24" i="2"/>
  <c r="AB24" i="2"/>
  <c r="L154" i="9"/>
  <c r="T154" i="9" s="1"/>
  <c r="Y25" i="2"/>
  <c r="U25" i="2"/>
  <c r="V25" i="2"/>
  <c r="T25" i="2"/>
  <c r="Q25" i="2"/>
  <c r="R25" i="2"/>
  <c r="S25" i="2"/>
  <c r="AA25" i="2"/>
  <c r="A25" i="2"/>
  <c r="P25" i="2"/>
  <c r="AA24" i="2"/>
  <c r="AC25" i="2"/>
  <c r="AB25" i="2"/>
  <c r="Y24" i="2"/>
  <c r="AE23" i="2"/>
  <c r="AC24" i="2"/>
  <c r="Z24" i="2"/>
  <c r="AL23" i="2"/>
  <c r="X25" i="2"/>
  <c r="B26" i="2"/>
  <c r="J24" i="2"/>
  <c r="N24" i="2"/>
  <c r="L24" i="2"/>
  <c r="K24" i="2"/>
  <c r="M24" i="2"/>
  <c r="I24" i="2"/>
  <c r="AH24" i="2"/>
  <c r="AF24" i="2"/>
  <c r="AI24" i="2"/>
  <c r="AJ24" i="2"/>
  <c r="AK24" i="2"/>
  <c r="AG24" i="2"/>
  <c r="M154" i="9" l="1"/>
  <c r="X153" i="9"/>
  <c r="R152" i="9"/>
  <c r="Q153" i="9"/>
  <c r="W153" i="9" s="1"/>
  <c r="U152" i="9"/>
  <c r="S152" i="9"/>
  <c r="L155" i="9"/>
  <c r="T155" i="9" s="1"/>
  <c r="Q26" i="2"/>
  <c r="R26" i="2"/>
  <c r="S26" i="2"/>
  <c r="T26" i="2"/>
  <c r="V26" i="2"/>
  <c r="AD26" i="2" s="1"/>
  <c r="U26" i="2"/>
  <c r="AE25" i="2"/>
  <c r="A26" i="2"/>
  <c r="P26" i="2"/>
  <c r="AA26" i="2"/>
  <c r="AB26" i="2"/>
  <c r="AE24" i="2"/>
  <c r="AL24" i="2"/>
  <c r="X26" i="2"/>
  <c r="B27" i="2"/>
  <c r="AJ25" i="2"/>
  <c r="AH25" i="2"/>
  <c r="AG25" i="2"/>
  <c r="L25" i="2"/>
  <c r="J25" i="2"/>
  <c r="AF25" i="2"/>
  <c r="AI25" i="2"/>
  <c r="M25" i="2"/>
  <c r="AK25" i="2"/>
  <c r="I25" i="2"/>
  <c r="N25" i="2"/>
  <c r="K25" i="2"/>
  <c r="M155" i="9" l="1"/>
  <c r="X154" i="9"/>
  <c r="R153" i="9"/>
  <c r="Q154" i="9"/>
  <c r="W154" i="9" s="1"/>
  <c r="U153" i="9"/>
  <c r="S153" i="9"/>
  <c r="L156" i="9"/>
  <c r="T156" i="9" s="1"/>
  <c r="Q27" i="2"/>
  <c r="R27" i="2"/>
  <c r="S27" i="2"/>
  <c r="T27" i="2"/>
  <c r="U27" i="2"/>
  <c r="V27" i="2"/>
  <c r="Z26" i="2"/>
  <c r="AC26" i="2"/>
  <c r="Y26" i="2"/>
  <c r="A27" i="2"/>
  <c r="P27" i="2"/>
  <c r="AC27" i="2"/>
  <c r="J26" i="2"/>
  <c r="L26" i="2"/>
  <c r="AL25" i="2"/>
  <c r="X27" i="2"/>
  <c r="B28" i="2"/>
  <c r="I26" i="2"/>
  <c r="K26" i="2"/>
  <c r="M26" i="2"/>
  <c r="N26" i="2"/>
  <c r="AK26" i="2"/>
  <c r="AJ26" i="2"/>
  <c r="AG26" i="2"/>
  <c r="AH26" i="2"/>
  <c r="AI26" i="2"/>
  <c r="M156" i="9" l="1"/>
  <c r="X155" i="9"/>
  <c r="R154" i="9"/>
  <c r="Q155" i="9"/>
  <c r="W155" i="9" s="1"/>
  <c r="U154" i="9"/>
  <c r="S154" i="9"/>
  <c r="AD27" i="2"/>
  <c r="AB27" i="2"/>
  <c r="Y27" i="2"/>
  <c r="L157" i="9"/>
  <c r="T157" i="9" s="1"/>
  <c r="Z27" i="2"/>
  <c r="AA27" i="2"/>
  <c r="S28" i="2"/>
  <c r="T28" i="2"/>
  <c r="U28" i="2"/>
  <c r="V28" i="2"/>
  <c r="Q28" i="2"/>
  <c r="R28" i="2"/>
  <c r="AE26" i="2"/>
  <c r="A28" i="2"/>
  <c r="P28" i="2"/>
  <c r="AD28" i="2" s="1"/>
  <c r="AC28" i="2"/>
  <c r="AE27" i="2"/>
  <c r="AL26" i="2"/>
  <c r="AF26" i="2"/>
  <c r="X28" i="2"/>
  <c r="B29" i="2"/>
  <c r="K27" i="2"/>
  <c r="J27" i="2"/>
  <c r="L27" i="2"/>
  <c r="I27" i="2"/>
  <c r="N27" i="2"/>
  <c r="AK27" i="2"/>
  <c r="M27" i="2"/>
  <c r="AJ27" i="2"/>
  <c r="AI27" i="2"/>
  <c r="AF27" i="2"/>
  <c r="AH27" i="2"/>
  <c r="AG27" i="2"/>
  <c r="M157" i="9" l="1"/>
  <c r="X156" i="9"/>
  <c r="R155" i="9"/>
  <c r="Q156" i="9"/>
  <c r="W156" i="9" s="1"/>
  <c r="U155" i="9"/>
  <c r="S155" i="9"/>
  <c r="Z28" i="2"/>
  <c r="AB28" i="2"/>
  <c r="Y28" i="2"/>
  <c r="L158" i="9"/>
  <c r="T158" i="9" s="1"/>
  <c r="AA28" i="2"/>
  <c r="U29" i="2"/>
  <c r="V29" i="2"/>
  <c r="T29" i="2"/>
  <c r="Q29" i="2"/>
  <c r="R29" i="2"/>
  <c r="S29" i="2"/>
  <c r="AE28" i="2"/>
  <c r="A29" i="2"/>
  <c r="P29" i="2"/>
  <c r="AC29" i="2"/>
  <c r="AL27" i="2"/>
  <c r="X29" i="2"/>
  <c r="B30" i="2"/>
  <c r="L28" i="2"/>
  <c r="I28" i="2"/>
  <c r="J28" i="2"/>
  <c r="M28" i="2"/>
  <c r="N28" i="2"/>
  <c r="K28" i="2"/>
  <c r="AK28" i="2"/>
  <c r="AJ28" i="2"/>
  <c r="AI28" i="2"/>
  <c r="AH28" i="2"/>
  <c r="AG28" i="2"/>
  <c r="M158" i="9" l="1"/>
  <c r="X157" i="9"/>
  <c r="R156" i="9"/>
  <c r="Q157" i="9"/>
  <c r="W157" i="9" s="1"/>
  <c r="U156" i="9"/>
  <c r="S156" i="9"/>
  <c r="L159" i="9"/>
  <c r="T159" i="9" s="1"/>
  <c r="Q30" i="2"/>
  <c r="V30" i="2"/>
  <c r="R30" i="2"/>
  <c r="S30" i="2"/>
  <c r="T30" i="2"/>
  <c r="U30" i="2"/>
  <c r="A30" i="2"/>
  <c r="P30" i="2"/>
  <c r="Z30" i="2" s="1"/>
  <c r="Y29" i="2"/>
  <c r="AA29" i="2"/>
  <c r="AD29" i="2"/>
  <c r="Z29" i="2"/>
  <c r="AB29" i="2"/>
  <c r="AL28" i="2"/>
  <c r="AF28" i="2"/>
  <c r="X30" i="2"/>
  <c r="B31" i="2"/>
  <c r="N29" i="2"/>
  <c r="K29" i="2"/>
  <c r="I29" i="2"/>
  <c r="M29" i="2"/>
  <c r="J29" i="2"/>
  <c r="L29" i="2"/>
  <c r="AF29" i="2"/>
  <c r="AK29" i="2"/>
  <c r="AJ29" i="2"/>
  <c r="AH29" i="2"/>
  <c r="AI29" i="2"/>
  <c r="AG29" i="2"/>
  <c r="M159" i="9" l="1"/>
  <c r="X158" i="9"/>
  <c r="R157" i="9"/>
  <c r="Q158" i="9"/>
  <c r="W158" i="9" s="1"/>
  <c r="U157" i="9"/>
  <c r="S157" i="9"/>
  <c r="AB30" i="2"/>
  <c r="L160" i="9"/>
  <c r="T160" i="9" s="1"/>
  <c r="Q31" i="2"/>
  <c r="R31" i="2"/>
  <c r="S31" i="2"/>
  <c r="T31" i="2"/>
  <c r="U31" i="2"/>
  <c r="V31" i="2"/>
  <c r="AA30" i="2"/>
  <c r="AC30" i="2"/>
  <c r="Y30" i="2"/>
  <c r="A31" i="2"/>
  <c r="P31" i="2"/>
  <c r="Z31" i="2" s="1"/>
  <c r="AE29" i="2"/>
  <c r="AD30" i="2"/>
  <c r="AL29" i="2"/>
  <c r="X31" i="2"/>
  <c r="B32" i="2"/>
  <c r="AF30" i="2"/>
  <c r="AK30" i="2"/>
  <c r="AI30" i="2"/>
  <c r="AG30" i="2"/>
  <c r="N30" i="2"/>
  <c r="AJ30" i="2"/>
  <c r="I30" i="2"/>
  <c r="AH30" i="2"/>
  <c r="M30" i="2"/>
  <c r="L30" i="2"/>
  <c r="K30" i="2"/>
  <c r="J30" i="2"/>
  <c r="M160" i="9" l="1"/>
  <c r="X159" i="9"/>
  <c r="R158" i="9"/>
  <c r="Q159" i="9"/>
  <c r="W159" i="9" s="1"/>
  <c r="U158" i="9"/>
  <c r="S158" i="9"/>
  <c r="AA31" i="2"/>
  <c r="AD31" i="2"/>
  <c r="L161" i="9"/>
  <c r="T161" i="9" s="1"/>
  <c r="AC31" i="2"/>
  <c r="AB31" i="2"/>
  <c r="Y31" i="2"/>
  <c r="S32" i="2"/>
  <c r="T32" i="2"/>
  <c r="U32" i="2"/>
  <c r="V32" i="2"/>
  <c r="R32" i="2"/>
  <c r="Q32" i="2"/>
  <c r="A32" i="2"/>
  <c r="P32" i="2"/>
  <c r="AB32" i="2" s="1"/>
  <c r="AE30" i="2"/>
  <c r="AE31" i="2"/>
  <c r="J31" i="2"/>
  <c r="AL30" i="2"/>
  <c r="X32" i="2"/>
  <c r="B33" i="2"/>
  <c r="AJ31" i="2"/>
  <c r="AI31" i="2"/>
  <c r="AK31" i="2"/>
  <c r="AG31" i="2"/>
  <c r="K31" i="2"/>
  <c r="M31" i="2"/>
  <c r="AF31" i="2"/>
  <c r="L31" i="2"/>
  <c r="AH31" i="2"/>
  <c r="N31" i="2"/>
  <c r="I31" i="2"/>
  <c r="M161" i="9" l="1"/>
  <c r="X160" i="9"/>
  <c r="R159" i="9"/>
  <c r="Q160" i="9"/>
  <c r="W160" i="9" s="1"/>
  <c r="S159" i="9"/>
  <c r="U159" i="9"/>
  <c r="L162" i="9"/>
  <c r="T162" i="9" s="1"/>
  <c r="AD32" i="2"/>
  <c r="AC32" i="2"/>
  <c r="Y32" i="2"/>
  <c r="Z32" i="2"/>
  <c r="AA32" i="2"/>
  <c r="AE32" i="2" s="1"/>
  <c r="U33" i="2"/>
  <c r="V33" i="2"/>
  <c r="Q33" i="2"/>
  <c r="R33" i="2"/>
  <c r="S33" i="2"/>
  <c r="T33" i="2"/>
  <c r="A33" i="2"/>
  <c r="P33" i="2"/>
  <c r="AD33" i="2" s="1"/>
  <c r="Z33" i="2"/>
  <c r="L32" i="2"/>
  <c r="J32" i="2"/>
  <c r="AL31" i="2"/>
  <c r="AK32" i="2"/>
  <c r="AH32" i="2"/>
  <c r="I32" i="2"/>
  <c r="N32" i="2"/>
  <c r="AJ32" i="2"/>
  <c r="M32" i="2"/>
  <c r="AI32" i="2"/>
  <c r="K32" i="2"/>
  <c r="AG32" i="2"/>
  <c r="X33" i="2"/>
  <c r="B34" i="2"/>
  <c r="M162" i="9" l="1"/>
  <c r="X161" i="9"/>
  <c r="R160" i="9"/>
  <c r="Q161" i="9"/>
  <c r="W161" i="9" s="1"/>
  <c r="S160" i="9"/>
  <c r="U160" i="9"/>
  <c r="AC33" i="2"/>
  <c r="L163" i="9"/>
  <c r="T163" i="9" s="1"/>
  <c r="AA33" i="2"/>
  <c r="Y33" i="2"/>
  <c r="AB33" i="2"/>
  <c r="Q34" i="2"/>
  <c r="V34" i="2"/>
  <c r="R34" i="2"/>
  <c r="S34" i="2"/>
  <c r="T34" i="2"/>
  <c r="U34" i="2"/>
  <c r="A34" i="2"/>
  <c r="P34" i="2"/>
  <c r="AE33" i="2"/>
  <c r="AL32" i="2"/>
  <c r="AF32" i="2"/>
  <c r="AJ33" i="2"/>
  <c r="AK33" i="2"/>
  <c r="AG33" i="2"/>
  <c r="X34" i="2"/>
  <c r="B35" i="2"/>
  <c r="AH33" i="2"/>
  <c r="N33" i="2"/>
  <c r="K33" i="2"/>
  <c r="AI33" i="2"/>
  <c r="M33" i="2"/>
  <c r="I33" i="2"/>
  <c r="M163" i="9" l="1"/>
  <c r="X162" i="9"/>
  <c r="R161" i="9"/>
  <c r="Q162" i="9"/>
  <c r="W162" i="9" s="1"/>
  <c r="U161" i="9"/>
  <c r="S161" i="9"/>
  <c r="AD34" i="2"/>
  <c r="L164" i="9"/>
  <c r="T164" i="9" s="1"/>
  <c r="AB34" i="2"/>
  <c r="AA34" i="2"/>
  <c r="Z34" i="2"/>
  <c r="AC34" i="2"/>
  <c r="Q35" i="2"/>
  <c r="R35" i="2"/>
  <c r="S35" i="2"/>
  <c r="T35" i="2"/>
  <c r="U35" i="2"/>
  <c r="V35" i="2"/>
  <c r="A35" i="2"/>
  <c r="P35" i="2"/>
  <c r="Y34" i="2"/>
  <c r="AL33" i="2"/>
  <c r="AF33" i="2"/>
  <c r="AJ34" i="2"/>
  <c r="AH34" i="2"/>
  <c r="AI34" i="2"/>
  <c r="X35" i="2"/>
  <c r="B36" i="2"/>
  <c r="N34" i="2"/>
  <c r="AG34" i="2"/>
  <c r="AK34" i="2"/>
  <c r="AF34" i="2"/>
  <c r="M34" i="2"/>
  <c r="K34" i="2"/>
  <c r="I34" i="2"/>
  <c r="M164" i="9" l="1"/>
  <c r="X163" i="9"/>
  <c r="R162" i="9"/>
  <c r="Q163" i="9"/>
  <c r="W163" i="9" s="1"/>
  <c r="U162" i="9"/>
  <c r="S162" i="9"/>
  <c r="L165" i="9"/>
  <c r="T165" i="9" s="1"/>
  <c r="AA35" i="2"/>
  <c r="AC35" i="2"/>
  <c r="AE34" i="2"/>
  <c r="AD35" i="2"/>
  <c r="Z35" i="2"/>
  <c r="AB35" i="2"/>
  <c r="Y35" i="2"/>
  <c r="S36" i="2"/>
  <c r="T36" i="2"/>
  <c r="U36" i="2"/>
  <c r="V36" i="2"/>
  <c r="R36" i="2"/>
  <c r="Q36" i="2"/>
  <c r="A36" i="2"/>
  <c r="P36" i="2"/>
  <c r="AL34" i="2"/>
  <c r="AH35" i="2"/>
  <c r="AJ35" i="2"/>
  <c r="AI35" i="2"/>
  <c r="AG35" i="2"/>
  <c r="X36" i="2"/>
  <c r="B37" i="2"/>
  <c r="AF35" i="2"/>
  <c r="K35" i="2"/>
  <c r="M35" i="2"/>
  <c r="N35" i="2"/>
  <c r="I35" i="2"/>
  <c r="L35" i="2"/>
  <c r="J35" i="2"/>
  <c r="AK35" i="2"/>
  <c r="M165" i="9" l="1"/>
  <c r="X164" i="9"/>
  <c r="R163" i="9"/>
  <c r="Q164" i="9"/>
  <c r="W164" i="9" s="1"/>
  <c r="S163" i="9"/>
  <c r="U163" i="9"/>
  <c r="AE35" i="2"/>
  <c r="L166" i="9"/>
  <c r="T166" i="9" s="1"/>
  <c r="U37" i="2"/>
  <c r="V37" i="2"/>
  <c r="Q37" i="2"/>
  <c r="R37" i="2"/>
  <c r="T37" i="2"/>
  <c r="S37" i="2"/>
  <c r="AC36" i="2"/>
  <c r="AC37" i="2"/>
  <c r="AB36" i="2"/>
  <c r="AB37" i="2"/>
  <c r="Y37" i="2"/>
  <c r="Y36" i="2"/>
  <c r="AA37" i="2"/>
  <c r="AA36" i="2"/>
  <c r="AD37" i="2"/>
  <c r="AD36" i="2"/>
  <c r="A37" i="2"/>
  <c r="P37" i="2"/>
  <c r="Z36" i="2"/>
  <c r="Z37" i="2"/>
  <c r="AL35" i="2"/>
  <c r="X37" i="2"/>
  <c r="B38" i="2"/>
  <c r="N36" i="2"/>
  <c r="I36" i="2"/>
  <c r="M36" i="2"/>
  <c r="K36" i="2"/>
  <c r="AI36" i="2"/>
  <c r="AF36" i="2"/>
  <c r="AK36" i="2"/>
  <c r="AJ36" i="2"/>
  <c r="AH36" i="2"/>
  <c r="AG36" i="2"/>
  <c r="M166" i="9" l="1"/>
  <c r="X165" i="9"/>
  <c r="R164" i="9"/>
  <c r="Q165" i="9"/>
  <c r="W165" i="9" s="1"/>
  <c r="U164" i="9"/>
  <c r="S164" i="9"/>
  <c r="L167" i="9"/>
  <c r="T167" i="9" s="1"/>
  <c r="V38" i="2"/>
  <c r="Q38" i="2"/>
  <c r="R38" i="2"/>
  <c r="S38" i="2"/>
  <c r="T38" i="2"/>
  <c r="U38" i="2"/>
  <c r="A38" i="2"/>
  <c r="P38" i="2"/>
  <c r="AE36" i="2"/>
  <c r="AE37" i="2"/>
  <c r="AL36" i="2"/>
  <c r="X38" i="2"/>
  <c r="B39" i="2"/>
  <c r="N37" i="2"/>
  <c r="M37" i="2"/>
  <c r="I37" i="2"/>
  <c r="K37" i="2"/>
  <c r="J37" i="2"/>
  <c r="AF37" i="2"/>
  <c r="AJ37" i="2"/>
  <c r="AI37" i="2"/>
  <c r="AK37" i="2"/>
  <c r="AH37" i="2"/>
  <c r="AG37" i="2"/>
  <c r="M167" i="9" l="1"/>
  <c r="X166" i="9"/>
  <c r="R165" i="9"/>
  <c r="Q166" i="9"/>
  <c r="W166" i="9" s="1"/>
  <c r="S165" i="9"/>
  <c r="U165" i="9"/>
  <c r="AB38" i="2"/>
  <c r="L168" i="9"/>
  <c r="T168" i="9" s="1"/>
  <c r="Q39" i="2"/>
  <c r="R39" i="2"/>
  <c r="S39" i="2"/>
  <c r="AA39" i="2" s="1"/>
  <c r="T39" i="2"/>
  <c r="U39" i="2"/>
  <c r="V39" i="2"/>
  <c r="Z38" i="2"/>
  <c r="AC38" i="2"/>
  <c r="AA38" i="2"/>
  <c r="Y38" i="2"/>
  <c r="A39" i="2"/>
  <c r="P39" i="2"/>
  <c r="Y39" i="2" s="1"/>
  <c r="Z39" i="2"/>
  <c r="AD38" i="2"/>
  <c r="AL37" i="2"/>
  <c r="X39" i="2"/>
  <c r="B40" i="2"/>
  <c r="I38" i="2"/>
  <c r="J38" i="2"/>
  <c r="M38" i="2"/>
  <c r="K38" i="2"/>
  <c r="N38" i="2"/>
  <c r="L38" i="2"/>
  <c r="AI38" i="2"/>
  <c r="AH38" i="2"/>
  <c r="AJ38" i="2"/>
  <c r="AK38" i="2"/>
  <c r="AF38" i="2"/>
  <c r="AG38" i="2"/>
  <c r="M168" i="9" l="1"/>
  <c r="X167" i="9"/>
  <c r="R166" i="9"/>
  <c r="Q167" i="9"/>
  <c r="W167" i="9" s="1"/>
  <c r="S166" i="9"/>
  <c r="U166" i="9"/>
  <c r="AD39" i="2"/>
  <c r="AB39" i="2"/>
  <c r="AC39" i="2"/>
  <c r="L169" i="9"/>
  <c r="T169" i="9" s="1"/>
  <c r="S40" i="2"/>
  <c r="T40" i="2"/>
  <c r="AB40" i="2" s="1"/>
  <c r="U40" i="2"/>
  <c r="R40" i="2"/>
  <c r="V40" i="2"/>
  <c r="Q40" i="2"/>
  <c r="AE39" i="2"/>
  <c r="A40" i="2"/>
  <c r="P40" i="2"/>
  <c r="AE38" i="2"/>
  <c r="AL38" i="2"/>
  <c r="X40" i="2"/>
  <c r="B41" i="2"/>
  <c r="K39" i="2"/>
  <c r="L39" i="2"/>
  <c r="I39" i="2"/>
  <c r="J39" i="2"/>
  <c r="M39" i="2"/>
  <c r="N39" i="2"/>
  <c r="AH39" i="2"/>
  <c r="AI39" i="2"/>
  <c r="AK39" i="2"/>
  <c r="AJ39" i="2"/>
  <c r="AF39" i="2"/>
  <c r="AG39" i="2"/>
  <c r="M169" i="9" l="1"/>
  <c r="X168" i="9"/>
  <c r="R167" i="9"/>
  <c r="Q168" i="9"/>
  <c r="W168" i="9" s="1"/>
  <c r="U167" i="9"/>
  <c r="S167" i="9"/>
  <c r="AC40" i="2"/>
  <c r="AD40" i="2"/>
  <c r="L170" i="9"/>
  <c r="T170" i="9" s="1"/>
  <c r="Z40" i="2"/>
  <c r="Y40" i="2"/>
  <c r="AE40" i="2" s="1"/>
  <c r="AA40" i="2"/>
  <c r="A41" i="2"/>
  <c r="P41" i="2"/>
  <c r="AL39" i="2"/>
  <c r="X41" i="2"/>
  <c r="B42" i="2"/>
  <c r="N40" i="2"/>
  <c r="I40" i="2"/>
  <c r="L40" i="2"/>
  <c r="M40" i="2"/>
  <c r="K40" i="2"/>
  <c r="AH40" i="2"/>
  <c r="AK40" i="2"/>
  <c r="AG40" i="2"/>
  <c r="AF40" i="2"/>
  <c r="AI40" i="2"/>
  <c r="AJ40" i="2"/>
  <c r="M170" i="9" l="1"/>
  <c r="X169" i="9"/>
  <c r="R168" i="9"/>
  <c r="Q169" i="9"/>
  <c r="W169" i="9" s="1"/>
  <c r="S168" i="9"/>
  <c r="U168" i="9"/>
  <c r="L171" i="9"/>
  <c r="T171" i="9" s="1"/>
  <c r="P42" i="2"/>
  <c r="A42" i="2"/>
  <c r="AL40" i="2"/>
  <c r="X42" i="2"/>
  <c r="B43" i="2"/>
  <c r="M171" i="9" l="1"/>
  <c r="X170" i="9"/>
  <c r="R169" i="9"/>
  <c r="Q170" i="9"/>
  <c r="W170" i="9" s="1"/>
  <c r="U169" i="9"/>
  <c r="S169" i="9"/>
  <c r="L172" i="9"/>
  <c r="T172" i="9" s="1"/>
  <c r="P43" i="2"/>
  <c r="A43" i="2"/>
  <c r="X43" i="2"/>
  <c r="B44" i="2"/>
  <c r="N42" i="2"/>
  <c r="M42" i="2"/>
  <c r="I42" i="2"/>
  <c r="K42" i="2"/>
  <c r="M172" i="9" l="1"/>
  <c r="X171" i="9"/>
  <c r="R170" i="9"/>
  <c r="Q171" i="9"/>
  <c r="W171" i="9" s="1"/>
  <c r="S170" i="9"/>
  <c r="U170" i="9"/>
  <c r="L173" i="9"/>
  <c r="T173" i="9" s="1"/>
  <c r="P44" i="2"/>
  <c r="A44" i="2"/>
  <c r="M43" i="2"/>
  <c r="I43" i="2"/>
  <c r="K43" i="2"/>
  <c r="N43" i="2"/>
  <c r="L43" i="2"/>
  <c r="X44" i="2"/>
  <c r="B45" i="2"/>
  <c r="M173" i="9" l="1"/>
  <c r="X172" i="9"/>
  <c r="R171" i="9"/>
  <c r="Q172" i="9"/>
  <c r="W172" i="9" s="1"/>
  <c r="U171" i="9"/>
  <c r="S171" i="9"/>
  <c r="L174" i="9"/>
  <c r="T174" i="9" s="1"/>
  <c r="P45" i="2"/>
  <c r="A45" i="2"/>
  <c r="X45" i="2"/>
  <c r="B46" i="2"/>
  <c r="J44" i="2"/>
  <c r="I44" i="2"/>
  <c r="K44" i="2"/>
  <c r="N44" i="2"/>
  <c r="L44" i="2"/>
  <c r="M44" i="2"/>
  <c r="M174" i="9" l="1"/>
  <c r="X173" i="9"/>
  <c r="R172" i="9"/>
  <c r="Q173" i="9"/>
  <c r="W173" i="9" s="1"/>
  <c r="S172" i="9"/>
  <c r="U172" i="9"/>
  <c r="L175" i="9"/>
  <c r="T175" i="9" s="1"/>
  <c r="P46" i="2"/>
  <c r="A46" i="2"/>
  <c r="X46" i="2"/>
  <c r="B47" i="2"/>
  <c r="K45" i="2"/>
  <c r="N45" i="2"/>
  <c r="I45" i="2"/>
  <c r="M45" i="2"/>
  <c r="M175" i="9" l="1"/>
  <c r="X174" i="9"/>
  <c r="R173" i="9"/>
  <c r="Q174" i="9"/>
  <c r="W174" i="9" s="1"/>
  <c r="U173" i="9"/>
  <c r="S173" i="9"/>
  <c r="L176" i="9"/>
  <c r="T176" i="9" s="1"/>
  <c r="P47" i="2"/>
  <c r="A47" i="2"/>
  <c r="N46" i="2"/>
  <c r="K46" i="2"/>
  <c r="M46" i="2"/>
  <c r="J46" i="2"/>
  <c r="I46" i="2"/>
  <c r="X47" i="2"/>
  <c r="B48" i="2"/>
  <c r="M176" i="9" l="1"/>
  <c r="X175" i="9"/>
  <c r="R174" i="9"/>
  <c r="Q175" i="9"/>
  <c r="W175" i="9" s="1"/>
  <c r="U174" i="9"/>
  <c r="S174" i="9"/>
  <c r="L177" i="9"/>
  <c r="T177" i="9" s="1"/>
  <c r="P48" i="2"/>
  <c r="A48" i="2"/>
  <c r="X48" i="2"/>
  <c r="B49" i="2"/>
  <c r="N47" i="2"/>
  <c r="I47" i="2"/>
  <c r="K47" i="2"/>
  <c r="M47" i="2"/>
  <c r="M177" i="9" l="1"/>
  <c r="X176" i="9"/>
  <c r="R175" i="9"/>
  <c r="Q176" i="9"/>
  <c r="W176" i="9" s="1"/>
  <c r="U175" i="9"/>
  <c r="S175" i="9"/>
  <c r="L178" i="9"/>
  <c r="T178" i="9" s="1"/>
  <c r="P49" i="2"/>
  <c r="A49" i="2"/>
  <c r="X49" i="2"/>
  <c r="B50" i="2"/>
  <c r="P50" i="2" s="1"/>
  <c r="J48" i="2"/>
  <c r="K48" i="2"/>
  <c r="I48" i="2"/>
  <c r="N48" i="2"/>
  <c r="M48" i="2"/>
  <c r="M178" i="9" l="1"/>
  <c r="X177" i="9"/>
  <c r="R176" i="9"/>
  <c r="Q177" i="9"/>
  <c r="W177" i="9" s="1"/>
  <c r="U176" i="9"/>
  <c r="S176" i="9"/>
  <c r="L179" i="9"/>
  <c r="T179" i="9" s="1"/>
  <c r="K49" i="2"/>
  <c r="I49" i="2"/>
  <c r="N49" i="2"/>
  <c r="M49" i="2"/>
  <c r="X50" i="2"/>
  <c r="A50" i="2"/>
  <c r="B51" i="2"/>
  <c r="P51" i="2" s="1"/>
  <c r="M179" i="9" l="1"/>
  <c r="X178" i="9"/>
  <c r="R177" i="9"/>
  <c r="Q178" i="9"/>
  <c r="W178" i="9" s="1"/>
  <c r="S177" i="9"/>
  <c r="U177" i="9"/>
  <c r="L180" i="9"/>
  <c r="T180" i="9" s="1"/>
  <c r="X51" i="2"/>
  <c r="A51" i="2"/>
  <c r="B52" i="2"/>
  <c r="AK50" i="2"/>
  <c r="AF50" i="2"/>
  <c r="AG50" i="2"/>
  <c r="L50" i="2"/>
  <c r="AJ50" i="2"/>
  <c r="I50" i="2"/>
  <c r="J50" i="2"/>
  <c r="N50" i="2"/>
  <c r="AI50" i="2"/>
  <c r="AL50" i="2"/>
  <c r="M50" i="2"/>
  <c r="AH50" i="2"/>
  <c r="K50" i="2"/>
  <c r="M180" i="9" l="1"/>
  <c r="X179" i="9"/>
  <c r="R178" i="9"/>
  <c r="Q179" i="9"/>
  <c r="W179" i="9" s="1"/>
  <c r="U178" i="9"/>
  <c r="S178" i="9"/>
  <c r="L181" i="9"/>
  <c r="T181" i="9" s="1"/>
  <c r="P52" i="2"/>
  <c r="X52" i="2"/>
  <c r="A52" i="2"/>
  <c r="B53" i="2"/>
  <c r="AG51" i="2"/>
  <c r="AK51" i="2"/>
  <c r="AH51" i="2"/>
  <c r="N51" i="2"/>
  <c r="AL51" i="2"/>
  <c r="AI51" i="2"/>
  <c r="M51" i="2"/>
  <c r="I51" i="2"/>
  <c r="AF51" i="2"/>
  <c r="AJ51" i="2"/>
  <c r="K51" i="2"/>
  <c r="J51" i="2"/>
  <c r="L51" i="2"/>
  <c r="M181" i="9" l="1"/>
  <c r="X180" i="9"/>
  <c r="R179" i="9"/>
  <c r="Q180" i="9"/>
  <c r="W180" i="9" s="1"/>
  <c r="U179" i="9"/>
  <c r="S179" i="9"/>
  <c r="L182" i="9"/>
  <c r="T182" i="9" s="1"/>
  <c r="P53" i="2"/>
  <c r="X53" i="2"/>
  <c r="A53" i="2"/>
  <c r="B54" i="2"/>
  <c r="AJ52" i="2"/>
  <c r="AG52" i="2"/>
  <c r="AI52" i="2"/>
  <c r="K52" i="2"/>
  <c r="N52" i="2"/>
  <c r="J52" i="2"/>
  <c r="L52" i="2"/>
  <c r="M52" i="2"/>
  <c r="AK52" i="2"/>
  <c r="AH52" i="2"/>
  <c r="AL52" i="2"/>
  <c r="I52" i="2"/>
  <c r="AF52" i="2"/>
  <c r="M182" i="9" l="1"/>
  <c r="X181" i="9"/>
  <c r="R180" i="9"/>
  <c r="Q181" i="9"/>
  <c r="W181" i="9" s="1"/>
  <c r="S180" i="9"/>
  <c r="U180" i="9"/>
  <c r="L183" i="9"/>
  <c r="T183" i="9" s="1"/>
  <c r="P54" i="2"/>
  <c r="A54" i="2"/>
  <c r="X54" i="2"/>
  <c r="B55" i="2"/>
  <c r="K53" i="2"/>
  <c r="N53" i="2"/>
  <c r="I53" i="2"/>
  <c r="M53" i="2"/>
  <c r="J53" i="2"/>
  <c r="M183" i="9" l="1"/>
  <c r="X182" i="9"/>
  <c r="R181" i="9"/>
  <c r="Q182" i="9"/>
  <c r="W182" i="9" s="1"/>
  <c r="S181" i="9"/>
  <c r="U181" i="9"/>
  <c r="L184" i="9"/>
  <c r="T184" i="9" s="1"/>
  <c r="P55" i="2"/>
  <c r="A55" i="2"/>
  <c r="X55" i="2"/>
  <c r="B56" i="2"/>
  <c r="I54" i="2"/>
  <c r="L54" i="2"/>
  <c r="K54" i="2"/>
  <c r="N54" i="2"/>
  <c r="J54" i="2"/>
  <c r="M54" i="2"/>
  <c r="M184" i="9" l="1"/>
  <c r="X183" i="9"/>
  <c r="R182" i="9"/>
  <c r="Q183" i="9"/>
  <c r="W183" i="9" s="1"/>
  <c r="U182" i="9"/>
  <c r="S182" i="9"/>
  <c r="L185" i="9"/>
  <c r="T185" i="9" s="1"/>
  <c r="P56" i="2"/>
  <c r="X56" i="2"/>
  <c r="A56" i="2"/>
  <c r="B57" i="2"/>
  <c r="M185" i="9" l="1"/>
  <c r="X184" i="9"/>
  <c r="R183" i="9"/>
  <c r="Q184" i="9"/>
  <c r="W184" i="9" s="1"/>
  <c r="S183" i="9"/>
  <c r="U183" i="9"/>
  <c r="L186" i="9"/>
  <c r="T186" i="9" s="1"/>
  <c r="P57" i="2"/>
  <c r="A57" i="2"/>
  <c r="X57" i="2"/>
  <c r="B58" i="2"/>
  <c r="M56" i="2"/>
  <c r="L56" i="2"/>
  <c r="N56" i="2"/>
  <c r="K56" i="2"/>
  <c r="I56" i="2"/>
  <c r="J56" i="2"/>
  <c r="M186" i="9" l="1"/>
  <c r="X185" i="9"/>
  <c r="R184" i="9"/>
  <c r="Q185" i="9"/>
  <c r="W185" i="9" s="1"/>
  <c r="S184" i="9"/>
  <c r="U184" i="9"/>
  <c r="L187" i="9"/>
  <c r="T187" i="9" s="1"/>
  <c r="P58" i="2"/>
  <c r="X58" i="2"/>
  <c r="A58" i="2"/>
  <c r="B59" i="2"/>
  <c r="K57" i="2"/>
  <c r="AF57" i="2"/>
  <c r="AK57" i="2"/>
  <c r="AJ57" i="2"/>
  <c r="AL57" i="2"/>
  <c r="AG57" i="2"/>
  <c r="M57" i="2"/>
  <c r="I57" i="2"/>
  <c r="AH57" i="2"/>
  <c r="L57" i="2"/>
  <c r="AI57" i="2"/>
  <c r="J57" i="2"/>
  <c r="N57" i="2"/>
  <c r="M187" i="9" l="1"/>
  <c r="X186" i="9"/>
  <c r="R185" i="9"/>
  <c r="Q186" i="9"/>
  <c r="W186" i="9" s="1"/>
  <c r="U185" i="9"/>
  <c r="S185" i="9"/>
  <c r="L188" i="9"/>
  <c r="T188" i="9" s="1"/>
  <c r="P59" i="2"/>
  <c r="B60" i="2"/>
  <c r="AJ58" i="2"/>
  <c r="AF58" i="2"/>
  <c r="L58" i="2"/>
  <c r="M58" i="2"/>
  <c r="AH58" i="2"/>
  <c r="N58" i="2"/>
  <c r="K58" i="2"/>
  <c r="AG58" i="2"/>
  <c r="I58" i="2"/>
  <c r="AK58" i="2"/>
  <c r="AI58" i="2"/>
  <c r="AL58" i="2"/>
  <c r="X59" i="2"/>
  <c r="A59" i="2"/>
  <c r="M188" i="9" l="1"/>
  <c r="X187" i="9"/>
  <c r="R186" i="9"/>
  <c r="Q187" i="9"/>
  <c r="W187" i="9" s="1"/>
  <c r="U186" i="9"/>
  <c r="S186" i="9"/>
  <c r="L189" i="9"/>
  <c r="T189" i="9" s="1"/>
  <c r="B61" i="2"/>
  <c r="A60" i="2"/>
  <c r="G60" i="2"/>
  <c r="X60" i="2"/>
  <c r="J40" i="2"/>
  <c r="L37" i="2"/>
  <c r="J36" i="2"/>
  <c r="L36" i="2"/>
  <c r="L34" i="2"/>
  <c r="J34" i="2"/>
  <c r="L33" i="2"/>
  <c r="J33" i="2"/>
  <c r="N16" i="2"/>
  <c r="M73" i="1"/>
  <c r="H60" i="2" s="1"/>
  <c r="D74" i="1"/>
  <c r="R60" i="2" s="1"/>
  <c r="M189" i="9" l="1"/>
  <c r="X188" i="9"/>
  <c r="R187" i="9"/>
  <c r="Q188" i="9"/>
  <c r="W188" i="9" s="1"/>
  <c r="S187" i="9"/>
  <c r="U187" i="9"/>
  <c r="L190" i="9"/>
  <c r="T190" i="9" s="1"/>
  <c r="U60" i="2"/>
  <c r="C74" i="1"/>
  <c r="C20" i="1" s="1"/>
  <c r="AG2" i="3" s="1"/>
  <c r="T60" i="2"/>
  <c r="S60" i="2"/>
  <c r="U41" i="2"/>
  <c r="AC41" i="2" s="1"/>
  <c r="V41" i="2"/>
  <c r="Q41" i="2"/>
  <c r="R41" i="2"/>
  <c r="S41" i="2"/>
  <c r="AA41" i="2" s="1"/>
  <c r="T41" i="2"/>
  <c r="V42" i="2"/>
  <c r="Q42" i="2"/>
  <c r="Y42" i="2" s="1"/>
  <c r="R42" i="2"/>
  <c r="U42" i="2"/>
  <c r="S42" i="2"/>
  <c r="T42" i="2"/>
  <c r="Q43" i="2"/>
  <c r="R43" i="2"/>
  <c r="S43" i="2"/>
  <c r="V43" i="2"/>
  <c r="T43" i="2"/>
  <c r="AB43" i="2" s="1"/>
  <c r="U43" i="2"/>
  <c r="S44" i="2"/>
  <c r="T44" i="2"/>
  <c r="Q44" i="2"/>
  <c r="U44" i="2"/>
  <c r="V44" i="2"/>
  <c r="R44" i="2"/>
  <c r="U45" i="2"/>
  <c r="V45" i="2"/>
  <c r="S45" i="2"/>
  <c r="T45" i="2"/>
  <c r="R45" i="2"/>
  <c r="Q45" i="2"/>
  <c r="Q46" i="2"/>
  <c r="U46" i="2"/>
  <c r="R46" i="2"/>
  <c r="V46" i="2"/>
  <c r="T46" i="2"/>
  <c r="S46" i="2"/>
  <c r="Q47" i="2"/>
  <c r="V47" i="2"/>
  <c r="R47" i="2"/>
  <c r="S47" i="2"/>
  <c r="T47" i="2"/>
  <c r="U47" i="2"/>
  <c r="S48" i="2"/>
  <c r="R48" i="2"/>
  <c r="T48" i="2"/>
  <c r="Q48" i="2"/>
  <c r="U48" i="2"/>
  <c r="V48" i="2"/>
  <c r="U49" i="2"/>
  <c r="V49" i="2"/>
  <c r="T49" i="2"/>
  <c r="Q49" i="2"/>
  <c r="R49" i="2"/>
  <c r="S49" i="2"/>
  <c r="V52" i="2"/>
  <c r="Q52" i="2"/>
  <c r="R52" i="2"/>
  <c r="S52" i="2"/>
  <c r="T52" i="2"/>
  <c r="U52" i="2"/>
  <c r="Q53" i="2"/>
  <c r="S53" i="2"/>
  <c r="U53" i="2"/>
  <c r="R53" i="2"/>
  <c r="T53" i="2"/>
  <c r="V53" i="2"/>
  <c r="S54" i="2"/>
  <c r="T54" i="2"/>
  <c r="U54" i="2"/>
  <c r="R54" i="2"/>
  <c r="V54" i="2"/>
  <c r="Q54" i="2"/>
  <c r="U55" i="2"/>
  <c r="V55" i="2"/>
  <c r="Q55" i="2"/>
  <c r="T55" i="2"/>
  <c r="R55" i="2"/>
  <c r="S55" i="2"/>
  <c r="Q56" i="2"/>
  <c r="U56" i="2"/>
  <c r="R56" i="2"/>
  <c r="V56" i="2"/>
  <c r="S56" i="2"/>
  <c r="T56" i="2"/>
  <c r="Q57" i="2"/>
  <c r="R57" i="2"/>
  <c r="U57" i="2"/>
  <c r="S57" i="2"/>
  <c r="V57" i="2"/>
  <c r="T57" i="2"/>
  <c r="S58" i="2"/>
  <c r="V58" i="2"/>
  <c r="R58" i="2"/>
  <c r="T58" i="2"/>
  <c r="U58" i="2"/>
  <c r="Q58" i="2"/>
  <c r="U59" i="2"/>
  <c r="V59" i="2"/>
  <c r="Q59" i="2"/>
  <c r="R59" i="2"/>
  <c r="T59" i="2"/>
  <c r="S59" i="2"/>
  <c r="V60" i="2"/>
  <c r="Q61" i="2"/>
  <c r="R61" i="2"/>
  <c r="S61" i="2"/>
  <c r="T61" i="2"/>
  <c r="C61" i="2"/>
  <c r="U61" i="2"/>
  <c r="E61" i="2"/>
  <c r="V61" i="2"/>
  <c r="G61" i="2"/>
  <c r="H61" i="2"/>
  <c r="B62" i="2"/>
  <c r="Q60" i="2"/>
  <c r="C3" i="2"/>
  <c r="E60" i="2"/>
  <c r="X61" i="2"/>
  <c r="P60" i="2"/>
  <c r="A61" i="2"/>
  <c r="G41" i="2"/>
  <c r="M41" i="2" s="1"/>
  <c r="C60" i="2"/>
  <c r="A233" i="9"/>
  <c r="K233" i="9" s="1"/>
  <c r="V78" i="2"/>
  <c r="R78" i="2"/>
  <c r="U78" i="2"/>
  <c r="T78" i="2"/>
  <c r="S78" i="2"/>
  <c r="Q78" i="2"/>
  <c r="AD41" i="2"/>
  <c r="Y41" i="2"/>
  <c r="Z41" i="2"/>
  <c r="AB41" i="2"/>
  <c r="AL60" i="2"/>
  <c r="AH60" i="2"/>
  <c r="J60" i="2"/>
  <c r="K60" i="2"/>
  <c r="N60" i="2"/>
  <c r="AK60" i="2"/>
  <c r="AF60" i="2"/>
  <c r="AI60" i="2"/>
  <c r="I60" i="2"/>
  <c r="AG60" i="2"/>
  <c r="L60" i="2"/>
  <c r="M60" i="2"/>
  <c r="AJ60" i="2"/>
  <c r="C56" i="2"/>
  <c r="G56" i="2"/>
  <c r="E56" i="2"/>
  <c r="H56" i="2"/>
  <c r="H57" i="2"/>
  <c r="C57" i="2"/>
  <c r="E57" i="2"/>
  <c r="G57" i="2"/>
  <c r="E58" i="2"/>
  <c r="H58" i="2"/>
  <c r="C58" i="2"/>
  <c r="G58" i="2"/>
  <c r="G59" i="2"/>
  <c r="M59" i="2" s="1"/>
  <c r="C59" i="2"/>
  <c r="H59" i="2"/>
  <c r="N59" i="2" s="1"/>
  <c r="E59" i="2"/>
  <c r="K59" i="2" s="1"/>
  <c r="AJ41" i="2"/>
  <c r="C9" i="2"/>
  <c r="G42" i="2"/>
  <c r="E42" i="2"/>
  <c r="C42" i="2"/>
  <c r="H42" i="2"/>
  <c r="H43" i="2"/>
  <c r="C43" i="2"/>
  <c r="G43" i="2"/>
  <c r="E43" i="2"/>
  <c r="H44" i="2"/>
  <c r="G44" i="2"/>
  <c r="E44" i="2"/>
  <c r="C44" i="2"/>
  <c r="H45" i="2"/>
  <c r="G45" i="2"/>
  <c r="C45" i="2"/>
  <c r="E45" i="2"/>
  <c r="H46" i="2"/>
  <c r="C46" i="2"/>
  <c r="E46" i="2"/>
  <c r="G46" i="2"/>
  <c r="E47" i="2"/>
  <c r="C47" i="2"/>
  <c r="G47" i="2"/>
  <c r="H47" i="2"/>
  <c r="H48" i="2"/>
  <c r="G48" i="2"/>
  <c r="C48" i="2"/>
  <c r="E48" i="2"/>
  <c r="H49" i="2"/>
  <c r="G49" i="2"/>
  <c r="C49" i="2"/>
  <c r="E49" i="2"/>
  <c r="G50" i="2"/>
  <c r="C50" i="2"/>
  <c r="H50" i="2"/>
  <c r="E50" i="2"/>
  <c r="G51" i="2"/>
  <c r="C51" i="2"/>
  <c r="H51" i="2"/>
  <c r="E51" i="2"/>
  <c r="G52" i="2"/>
  <c r="C52" i="2"/>
  <c r="H52" i="2"/>
  <c r="E52" i="2"/>
  <c r="C53" i="2"/>
  <c r="E53" i="2"/>
  <c r="G53" i="2"/>
  <c r="H53" i="2"/>
  <c r="C54" i="2"/>
  <c r="H54" i="2"/>
  <c r="G54" i="2"/>
  <c r="E54" i="2"/>
  <c r="H55" i="2"/>
  <c r="N55" i="2" s="1"/>
  <c r="E55" i="2"/>
  <c r="K55" i="2" s="1"/>
  <c r="G55" i="2"/>
  <c r="M55" i="2" s="1"/>
  <c r="C55" i="2"/>
  <c r="C41" i="2"/>
  <c r="I41" i="2" s="1"/>
  <c r="C7" i="2"/>
  <c r="E38" i="2"/>
  <c r="H30" i="2"/>
  <c r="H22" i="2"/>
  <c r="E14" i="2"/>
  <c r="E6" i="2"/>
  <c r="G35" i="2"/>
  <c r="G38" i="2"/>
  <c r="E21" i="2"/>
  <c r="H5" i="2"/>
  <c r="H33" i="2"/>
  <c r="H25" i="2"/>
  <c r="E10" i="2"/>
  <c r="H34" i="2"/>
  <c r="H18" i="2"/>
  <c r="H2" i="2"/>
  <c r="G17" i="2"/>
  <c r="H8" i="2"/>
  <c r="G27" i="2"/>
  <c r="H31" i="2"/>
  <c r="G10" i="2"/>
  <c r="H37" i="2"/>
  <c r="H21" i="2"/>
  <c r="E5" i="2"/>
  <c r="G14" i="2"/>
  <c r="G39" i="2"/>
  <c r="E27" i="2"/>
  <c r="G29" i="2"/>
  <c r="H40" i="2"/>
  <c r="H24" i="2"/>
  <c r="C38" i="2"/>
  <c r="C30" i="2"/>
  <c r="C22" i="2"/>
  <c r="C12" i="2"/>
  <c r="C4" i="2"/>
  <c r="E41" i="2"/>
  <c r="K41" i="2" s="1"/>
  <c r="E36" i="2"/>
  <c r="E28" i="2"/>
  <c r="H20" i="2"/>
  <c r="H12" i="2"/>
  <c r="E4" i="2"/>
  <c r="G32" i="2"/>
  <c r="G2" i="2"/>
  <c r="H17" i="2"/>
  <c r="H39" i="2"/>
  <c r="E31" i="2"/>
  <c r="E23" i="2"/>
  <c r="H7" i="2"/>
  <c r="E30" i="2"/>
  <c r="H14" i="2"/>
  <c r="G5" i="2"/>
  <c r="G37" i="2"/>
  <c r="H4" i="2"/>
  <c r="G30" i="2"/>
  <c r="H23" i="2"/>
  <c r="G18" i="2"/>
  <c r="E33" i="2"/>
  <c r="E17" i="2"/>
  <c r="G9" i="2"/>
  <c r="G26" i="2"/>
  <c r="E12" i="2"/>
  <c r="E19" i="2"/>
  <c r="G13" i="2"/>
  <c r="H36" i="2"/>
  <c r="E20" i="2"/>
  <c r="C40" i="2"/>
  <c r="C32" i="2"/>
  <c r="C24" i="2"/>
  <c r="C16" i="2"/>
  <c r="C14" i="2"/>
  <c r="C6" i="2"/>
  <c r="H41" i="2"/>
  <c r="N41" i="2" s="1"/>
  <c r="E34" i="2"/>
  <c r="E26" i="2"/>
  <c r="E18" i="2"/>
  <c r="H11" i="2"/>
  <c r="E2" i="2"/>
  <c r="G7" i="2"/>
  <c r="G25" i="2"/>
  <c r="E13" i="2"/>
  <c r="E37" i="2"/>
  <c r="H29" i="2"/>
  <c r="H19" i="2"/>
  <c r="H3" i="2"/>
  <c r="H26" i="2"/>
  <c r="H10" i="2"/>
  <c r="G16" i="2"/>
  <c r="G24" i="2"/>
  <c r="G4" i="2"/>
  <c r="G20" i="2"/>
  <c r="E15" i="2"/>
  <c r="G6" i="2"/>
  <c r="E29" i="2"/>
  <c r="H13" i="2"/>
  <c r="G28" i="2"/>
  <c r="G31" i="2"/>
  <c r="G23" i="2"/>
  <c r="E11" i="2"/>
  <c r="G8" i="2"/>
  <c r="H32" i="2"/>
  <c r="H16" i="2"/>
  <c r="C34" i="2"/>
  <c r="C26" i="2"/>
  <c r="C18" i="2"/>
  <c r="C8" i="2"/>
  <c r="E40" i="2"/>
  <c r="E32" i="2"/>
  <c r="E24" i="2"/>
  <c r="E16" i="2"/>
  <c r="E8" i="2"/>
  <c r="G21" i="2"/>
  <c r="G3" i="2"/>
  <c r="G33" i="2"/>
  <c r="H9" i="2"/>
  <c r="E35" i="2"/>
  <c r="H27" i="2"/>
  <c r="H15" i="2"/>
  <c r="H38" i="2"/>
  <c r="E22" i="2"/>
  <c r="H6" i="2"/>
  <c r="G36" i="2"/>
  <c r="G19" i="2"/>
  <c r="G12" i="2"/>
  <c r="E39" i="2"/>
  <c r="E7" i="2"/>
  <c r="G15" i="2"/>
  <c r="E25" i="2"/>
  <c r="E9" i="2"/>
  <c r="G11" i="2"/>
  <c r="G22" i="2"/>
  <c r="H35" i="2"/>
  <c r="E3" i="2"/>
  <c r="G40" i="2"/>
  <c r="H28" i="2"/>
  <c r="G34" i="2"/>
  <c r="C36" i="2"/>
  <c r="C28" i="2"/>
  <c r="C20" i="2"/>
  <c r="C10" i="2"/>
  <c r="C2" i="2"/>
  <c r="C5" i="2"/>
  <c r="C23" i="2"/>
  <c r="C31" i="2"/>
  <c r="C39" i="2"/>
  <c r="C15" i="2"/>
  <c r="C21" i="2"/>
  <c r="C29" i="2"/>
  <c r="C37" i="2"/>
  <c r="C13" i="2"/>
  <c r="C19" i="2"/>
  <c r="C27" i="2"/>
  <c r="C35" i="2"/>
  <c r="C11" i="2"/>
  <c r="C17" i="2"/>
  <c r="C25" i="2"/>
  <c r="C33" i="2"/>
  <c r="M190" i="9" l="1"/>
  <c r="X189" i="9"/>
  <c r="R188" i="9"/>
  <c r="Q189" i="9"/>
  <c r="W189" i="9" s="1"/>
  <c r="U188" i="9"/>
  <c r="S188" i="9"/>
  <c r="AG5" i="3"/>
  <c r="AG3" i="3"/>
  <c r="BE2" i="3"/>
  <c r="AA42" i="2"/>
  <c r="L191" i="9"/>
  <c r="T191" i="9" s="1"/>
  <c r="F10" i="1"/>
  <c r="G10" i="1" s="1"/>
  <c r="J2" i="3"/>
  <c r="F9" i="1"/>
  <c r="G9" i="1" s="1"/>
  <c r="F11" i="1"/>
  <c r="G11" i="1" s="1"/>
  <c r="F12" i="1"/>
  <c r="G12" i="1" s="1"/>
  <c r="F13" i="1"/>
  <c r="G13" i="1" s="1"/>
  <c r="F8" i="1"/>
  <c r="G8" i="1" s="1"/>
  <c r="Z60" i="2"/>
  <c r="AB61" i="2"/>
  <c r="Z61" i="2"/>
  <c r="D61" i="2"/>
  <c r="Z57" i="2"/>
  <c r="Z56" i="2"/>
  <c r="Z53" i="2"/>
  <c r="Z52" i="2"/>
  <c r="AC51" i="2"/>
  <c r="AC50" i="2"/>
  <c r="Y59" i="2"/>
  <c r="Y58" i="2"/>
  <c r="AC56" i="2"/>
  <c r="AC57" i="2"/>
  <c r="Y55" i="2"/>
  <c r="Y54" i="2"/>
  <c r="Y52" i="2"/>
  <c r="Y53" i="2"/>
  <c r="AA61" i="2"/>
  <c r="AA60" i="2"/>
  <c r="AD60" i="2"/>
  <c r="AD61" i="2"/>
  <c r="AC59" i="2"/>
  <c r="AC58" i="2"/>
  <c r="Y57" i="2"/>
  <c r="Y56" i="2"/>
  <c r="AD54" i="2"/>
  <c r="AD55" i="2"/>
  <c r="AD52" i="2"/>
  <c r="AD53" i="2"/>
  <c r="AB60" i="2"/>
  <c r="AB59" i="2"/>
  <c r="AB58" i="2"/>
  <c r="Z54" i="2"/>
  <c r="Z55" i="2"/>
  <c r="AA50" i="2"/>
  <c r="AA51" i="2"/>
  <c r="Y61" i="2"/>
  <c r="Y60" i="2"/>
  <c r="Z58" i="2"/>
  <c r="Z59" i="2"/>
  <c r="AC55" i="2"/>
  <c r="AC54" i="2"/>
  <c r="Z51" i="2"/>
  <c r="Z50" i="2"/>
  <c r="AC61" i="2"/>
  <c r="F61" i="2"/>
  <c r="AD59" i="2"/>
  <c r="AD58" i="2"/>
  <c r="AB57" i="2"/>
  <c r="AB56" i="2"/>
  <c r="AB55" i="2"/>
  <c r="AB54" i="2"/>
  <c r="AC53" i="2"/>
  <c r="AC52" i="2"/>
  <c r="Y50" i="2"/>
  <c r="Y51" i="2"/>
  <c r="AC60" i="2"/>
  <c r="AA58" i="2"/>
  <c r="AA59" i="2"/>
  <c r="AA57" i="2"/>
  <c r="AA56" i="2"/>
  <c r="AA54" i="2"/>
  <c r="AA55" i="2"/>
  <c r="AB53" i="2"/>
  <c r="AB52" i="2"/>
  <c r="AB51" i="2"/>
  <c r="AB50" i="2"/>
  <c r="E62" i="2"/>
  <c r="S62" i="2"/>
  <c r="C62" i="2"/>
  <c r="T62" i="2"/>
  <c r="G62" i="2"/>
  <c r="R62" i="2"/>
  <c r="U62" i="2"/>
  <c r="H62" i="2"/>
  <c r="V62" i="2"/>
  <c r="B63" i="2"/>
  <c r="Q62" i="2"/>
  <c r="AD57" i="2"/>
  <c r="AD56" i="2"/>
  <c r="AA53" i="2"/>
  <c r="AA52" i="2"/>
  <c r="AD51" i="2"/>
  <c r="AD50" i="2"/>
  <c r="AG7" i="3"/>
  <c r="AG6" i="3"/>
  <c r="AG4" i="3"/>
  <c r="D60" i="2"/>
  <c r="J61" i="2"/>
  <c r="N61" i="2"/>
  <c r="K61" i="2"/>
  <c r="L61" i="2"/>
  <c r="I61" i="2"/>
  <c r="M61" i="2"/>
  <c r="AB42" i="2"/>
  <c r="AD42" i="2"/>
  <c r="AD44" i="2"/>
  <c r="AD43" i="2"/>
  <c r="Z42" i="2"/>
  <c r="AB46" i="2"/>
  <c r="AC44" i="2"/>
  <c r="AC43" i="2"/>
  <c r="AB45" i="2"/>
  <c r="Z47" i="2"/>
  <c r="AC47" i="2"/>
  <c r="AD45" i="2"/>
  <c r="Y45" i="2"/>
  <c r="Z43" i="2"/>
  <c r="AA49" i="2"/>
  <c r="AA48" i="2"/>
  <c r="X62" i="2"/>
  <c r="A62" i="2"/>
  <c r="AB48" i="2"/>
  <c r="AB49" i="2"/>
  <c r="Y47" i="2"/>
  <c r="AA47" i="2"/>
  <c r="AC46" i="2"/>
  <c r="Z45" i="2"/>
  <c r="AA45" i="2"/>
  <c r="AB44" i="2"/>
  <c r="Y43" i="2"/>
  <c r="AA43" i="2"/>
  <c r="AC42" i="2"/>
  <c r="AG61" i="2"/>
  <c r="AH61" i="2"/>
  <c r="AI61" i="2"/>
  <c r="AK61" i="2"/>
  <c r="AL61" i="2"/>
  <c r="AF61" i="2"/>
  <c r="AJ61" i="2"/>
  <c r="Z49" i="2"/>
  <c r="Z48" i="2"/>
  <c r="Y48" i="2"/>
  <c r="Y49" i="2"/>
  <c r="AD47" i="2"/>
  <c r="AD46" i="2"/>
  <c r="AA46" i="2"/>
  <c r="Z44" i="2"/>
  <c r="Y44" i="2"/>
  <c r="F60" i="2"/>
  <c r="AC49" i="2"/>
  <c r="AC48" i="2"/>
  <c r="AD48" i="2"/>
  <c r="AD49" i="2"/>
  <c r="AB47" i="2"/>
  <c r="Z46" i="2"/>
  <c r="Y46" i="2"/>
  <c r="AC45" i="2"/>
  <c r="AA44" i="2"/>
  <c r="AE41" i="2"/>
  <c r="D3" i="2"/>
  <c r="D58" i="2"/>
  <c r="J58" i="2" s="1"/>
  <c r="F58" i="2"/>
  <c r="F59" i="2"/>
  <c r="L59" i="2" s="1"/>
  <c r="D59" i="2"/>
  <c r="J59" i="2" s="1"/>
  <c r="I59" i="2"/>
  <c r="D57" i="2"/>
  <c r="F57" i="2"/>
  <c r="D56" i="2"/>
  <c r="F56" i="2"/>
  <c r="D52" i="2"/>
  <c r="F52" i="2"/>
  <c r="F51" i="2"/>
  <c r="D51" i="2"/>
  <c r="F50" i="2"/>
  <c r="D50" i="2"/>
  <c r="D47" i="2"/>
  <c r="J47" i="2" s="1"/>
  <c r="F47" i="2"/>
  <c r="L47" i="2" s="1"/>
  <c r="F46" i="2"/>
  <c r="L46" i="2" s="1"/>
  <c r="D46" i="2"/>
  <c r="F43" i="2"/>
  <c r="D43" i="2"/>
  <c r="J43" i="2" s="1"/>
  <c r="D54" i="2"/>
  <c r="F54" i="2"/>
  <c r="D53" i="2"/>
  <c r="F53" i="2"/>
  <c r="L53" i="2" s="1"/>
  <c r="F55" i="2"/>
  <c r="L55" i="2" s="1"/>
  <c r="D55" i="2"/>
  <c r="J55" i="2" s="1"/>
  <c r="I55" i="2"/>
  <c r="F44" i="2"/>
  <c r="D44" i="2"/>
  <c r="D49" i="2"/>
  <c r="J49" i="2" s="1"/>
  <c r="F49" i="2"/>
  <c r="L49" i="2" s="1"/>
  <c r="F48" i="2"/>
  <c r="L48" i="2" s="1"/>
  <c r="D48" i="2"/>
  <c r="D45" i="2"/>
  <c r="J45" i="2" s="1"/>
  <c r="F45" i="2"/>
  <c r="L45" i="2" s="1"/>
  <c r="F42" i="2"/>
  <c r="L42" i="2" s="1"/>
  <c r="D42" i="2"/>
  <c r="J42" i="2" s="1"/>
  <c r="AJ53" i="2"/>
  <c r="AJ56" i="2"/>
  <c r="AJ46" i="2"/>
  <c r="F9" i="2"/>
  <c r="AJ43" i="2"/>
  <c r="AJ44" i="2"/>
  <c r="F41" i="2"/>
  <c r="L41" i="2" s="1"/>
  <c r="AJ55" i="2"/>
  <c r="D41" i="2"/>
  <c r="J41" i="2" s="1"/>
  <c r="AJ59" i="2"/>
  <c r="D7" i="2"/>
  <c r="AJ45" i="2"/>
  <c r="AJ48" i="2"/>
  <c r="D9" i="2"/>
  <c r="AJ47" i="2"/>
  <c r="AJ54" i="2"/>
  <c r="AJ42" i="2"/>
  <c r="AJ49" i="2"/>
  <c r="F25" i="2"/>
  <c r="D25" i="2"/>
  <c r="F27" i="2"/>
  <c r="D27" i="2"/>
  <c r="D15" i="2"/>
  <c r="F15" i="2"/>
  <c r="AH55" i="2"/>
  <c r="AH42" i="2"/>
  <c r="AH53" i="2"/>
  <c r="AH48" i="2"/>
  <c r="AH54" i="2"/>
  <c r="AH49" i="2"/>
  <c r="AH44" i="2"/>
  <c r="AH47" i="2"/>
  <c r="AH45" i="2"/>
  <c r="AH56" i="2"/>
  <c r="AH59" i="2"/>
  <c r="AH43" i="2"/>
  <c r="AH46" i="2"/>
  <c r="AH41" i="2"/>
  <c r="F10" i="2"/>
  <c r="D10" i="2"/>
  <c r="F26" i="2"/>
  <c r="D26" i="2"/>
  <c r="F6" i="2"/>
  <c r="D6" i="2"/>
  <c r="F32" i="2"/>
  <c r="D32" i="2"/>
  <c r="F4" i="2"/>
  <c r="D4" i="2"/>
  <c r="F38" i="2"/>
  <c r="D38" i="2"/>
  <c r="F17" i="2"/>
  <c r="D17" i="2"/>
  <c r="F19" i="2"/>
  <c r="D19" i="2"/>
  <c r="F37" i="2"/>
  <c r="D37" i="2"/>
  <c r="F39" i="2"/>
  <c r="D39" i="2"/>
  <c r="D20" i="2"/>
  <c r="F20" i="2"/>
  <c r="F34" i="2"/>
  <c r="D34" i="2"/>
  <c r="D14" i="2"/>
  <c r="F14" i="2"/>
  <c r="F40" i="2"/>
  <c r="D40" i="2"/>
  <c r="F12" i="2"/>
  <c r="D12" i="2"/>
  <c r="AK49" i="2"/>
  <c r="AK48" i="2"/>
  <c r="AK42" i="2"/>
  <c r="AK41" i="2"/>
  <c r="AK45" i="2"/>
  <c r="AK44" i="2"/>
  <c r="AK47" i="2"/>
  <c r="AK54" i="2"/>
  <c r="AK56" i="2"/>
  <c r="AK59" i="2"/>
  <c r="AK43" i="2"/>
  <c r="AK53" i="2"/>
  <c r="AK55" i="2"/>
  <c r="AK46" i="2"/>
  <c r="AI48" i="2"/>
  <c r="AI54" i="2"/>
  <c r="AI49" i="2"/>
  <c r="AI44" i="2"/>
  <c r="AI47" i="2"/>
  <c r="AI45" i="2"/>
  <c r="AI56" i="2"/>
  <c r="AI59" i="2"/>
  <c r="AI43" i="2"/>
  <c r="AI46" i="2"/>
  <c r="AI55" i="2"/>
  <c r="AI42" i="2"/>
  <c r="AI53" i="2"/>
  <c r="AI41" i="2"/>
  <c r="F13" i="2"/>
  <c r="D13" i="2"/>
  <c r="D29" i="2"/>
  <c r="F29" i="2"/>
  <c r="D31" i="2"/>
  <c r="F31" i="2"/>
  <c r="F5" i="2"/>
  <c r="D5" i="2"/>
  <c r="D28" i="2"/>
  <c r="F28" i="2"/>
  <c r="D8" i="2"/>
  <c r="F8" i="2"/>
  <c r="F16" i="2"/>
  <c r="D16" i="2"/>
  <c r="F22" i="2"/>
  <c r="D22" i="2"/>
  <c r="F7" i="2"/>
  <c r="F11" i="2"/>
  <c r="D11" i="2"/>
  <c r="AF41" i="2"/>
  <c r="F33" i="2"/>
  <c r="D33" i="2"/>
  <c r="D35" i="2"/>
  <c r="F35" i="2"/>
  <c r="D21" i="2"/>
  <c r="F21" i="2"/>
  <c r="D23" i="2"/>
  <c r="F23" i="2"/>
  <c r="D2" i="2"/>
  <c r="F2" i="2"/>
  <c r="D36" i="2"/>
  <c r="F36" i="2"/>
  <c r="D18" i="2"/>
  <c r="F18" i="2"/>
  <c r="F24" i="2"/>
  <c r="D24" i="2"/>
  <c r="D30" i="2"/>
  <c r="F30" i="2"/>
  <c r="AG55" i="2"/>
  <c r="AG42" i="2"/>
  <c r="AG45" i="2"/>
  <c r="AG48" i="2"/>
  <c r="AG54" i="2"/>
  <c r="AG44" i="2"/>
  <c r="AG41" i="2"/>
  <c r="AG47" i="2"/>
  <c r="AG53" i="2"/>
  <c r="AG56" i="2"/>
  <c r="AG59" i="2"/>
  <c r="AG43" i="2"/>
  <c r="AG46" i="2"/>
  <c r="AG49" i="2"/>
  <c r="F3" i="2"/>
  <c r="M191" i="9" l="1"/>
  <c r="X190" i="9"/>
  <c r="R189" i="9"/>
  <c r="Q190" i="9"/>
  <c r="W190" i="9" s="1"/>
  <c r="U189" i="9"/>
  <c r="S189" i="9"/>
  <c r="AG9" i="3"/>
  <c r="J9" i="3" s="1"/>
  <c r="L192" i="9"/>
  <c r="T192" i="9" s="1"/>
  <c r="AE58" i="2"/>
  <c r="AE57" i="2"/>
  <c r="D62" i="2"/>
  <c r="F62" i="2"/>
  <c r="AE59" i="2"/>
  <c r="AE56" i="2"/>
  <c r="AE53" i="2"/>
  <c r="AE51" i="2"/>
  <c r="AE52" i="2"/>
  <c r="AE50" i="2"/>
  <c r="AE54" i="2"/>
  <c r="AE60" i="2"/>
  <c r="AE55" i="2"/>
  <c r="U63" i="2"/>
  <c r="T63" i="2"/>
  <c r="V63" i="2"/>
  <c r="Q63" i="2"/>
  <c r="C63" i="2"/>
  <c r="R63" i="2"/>
  <c r="G63" i="2"/>
  <c r="S63" i="2"/>
  <c r="B64" i="2"/>
  <c r="E63" i="2"/>
  <c r="H63" i="2"/>
  <c r="AE61" i="2"/>
  <c r="J6" i="3"/>
  <c r="J7" i="3"/>
  <c r="J3" i="3"/>
  <c r="J4" i="3"/>
  <c r="J5" i="3"/>
  <c r="AE42" i="2"/>
  <c r="I62" i="2"/>
  <c r="M62" i="2"/>
  <c r="K62" i="2"/>
  <c r="J62" i="2"/>
  <c r="N62" i="2"/>
  <c r="L62" i="2"/>
  <c r="AE43" i="2"/>
  <c r="AE45" i="2"/>
  <c r="AE46" i="2"/>
  <c r="AE44" i="2"/>
  <c r="AG62" i="2"/>
  <c r="AK62" i="2"/>
  <c r="AI62" i="2"/>
  <c r="AL62" i="2"/>
  <c r="AF62" i="2"/>
  <c r="AH62" i="2"/>
  <c r="AJ62" i="2"/>
  <c r="A63" i="2"/>
  <c r="X63" i="2"/>
  <c r="P62" i="2"/>
  <c r="AB62" i="2" s="1"/>
  <c r="AE49" i="2"/>
  <c r="AE47" i="2"/>
  <c r="AE48" i="2"/>
  <c r="AL59" i="2"/>
  <c r="AF59" i="2"/>
  <c r="AL56" i="2"/>
  <c r="AF56" i="2"/>
  <c r="AL55" i="2"/>
  <c r="AF55" i="2"/>
  <c r="AL54" i="2"/>
  <c r="AF54" i="2"/>
  <c r="AL53" i="2"/>
  <c r="AF53" i="2"/>
  <c r="AL49" i="2"/>
  <c r="AF49" i="2"/>
  <c r="AL48" i="2"/>
  <c r="AF48" i="2"/>
  <c r="AL47" i="2"/>
  <c r="AF47" i="2"/>
  <c r="AL46" i="2"/>
  <c r="AF46" i="2"/>
  <c r="AL45" i="2"/>
  <c r="AF45" i="2"/>
  <c r="AL44" i="2"/>
  <c r="AF44" i="2"/>
  <c r="AL43" i="2"/>
  <c r="AF43" i="2"/>
  <c r="AL42" i="2"/>
  <c r="AF42" i="2"/>
  <c r="BE4" i="3"/>
  <c r="BE5" i="3"/>
  <c r="BE7" i="3"/>
  <c r="AL41" i="2"/>
  <c r="M192" i="9" l="1"/>
  <c r="X191" i="9"/>
  <c r="R190" i="9"/>
  <c r="Q191" i="9"/>
  <c r="W191" i="9" s="1"/>
  <c r="U190" i="9"/>
  <c r="S190" i="9"/>
  <c r="L193" i="9"/>
  <c r="T193" i="9" s="1"/>
  <c r="AD63" i="2"/>
  <c r="AA63" i="2"/>
  <c r="AB63" i="2"/>
  <c r="F63" i="2"/>
  <c r="D63" i="2"/>
  <c r="AA62" i="2"/>
  <c r="Y63" i="2"/>
  <c r="Y62" i="2"/>
  <c r="AC62" i="2"/>
  <c r="AC63" i="2"/>
  <c r="Z63" i="2"/>
  <c r="Z62" i="2"/>
  <c r="AD62" i="2"/>
  <c r="C64" i="2"/>
  <c r="P63" i="2"/>
  <c r="AB64" i="2" s="1"/>
  <c r="B65" i="2"/>
  <c r="H64" i="2"/>
  <c r="E64" i="2"/>
  <c r="G64" i="2"/>
  <c r="L63" i="2"/>
  <c r="J63" i="2"/>
  <c r="N63" i="2"/>
  <c r="I63" i="2"/>
  <c r="M63" i="2"/>
  <c r="K63" i="2"/>
  <c r="X64" i="2"/>
  <c r="A64" i="2"/>
  <c r="AJ63" i="2"/>
  <c r="AI63" i="2"/>
  <c r="AK63" i="2"/>
  <c r="AF63" i="2"/>
  <c r="AG63" i="2"/>
  <c r="AH63" i="2"/>
  <c r="AL63" i="2"/>
  <c r="BE6" i="3"/>
  <c r="BE3" i="3"/>
  <c r="BE9" i="3" l="1"/>
  <c r="M193" i="9"/>
  <c r="X192" i="9"/>
  <c r="R191" i="9"/>
  <c r="Q192" i="9"/>
  <c r="W192" i="9" s="1"/>
  <c r="S191" i="9"/>
  <c r="U191" i="9"/>
  <c r="L194" i="9"/>
  <c r="T194" i="9" s="1"/>
  <c r="AD64" i="2"/>
  <c r="D64" i="2"/>
  <c r="B66" i="2"/>
  <c r="E65" i="2"/>
  <c r="G65" i="2"/>
  <c r="H65" i="2"/>
  <c r="C65" i="2"/>
  <c r="Q65" i="2"/>
  <c r="S65" i="2"/>
  <c r="R65" i="2"/>
  <c r="V65" i="2"/>
  <c r="T65" i="2"/>
  <c r="U65" i="2"/>
  <c r="AA64" i="2"/>
  <c r="F64" i="2"/>
  <c r="Y64" i="2"/>
  <c r="AE62" i="2"/>
  <c r="AC64" i="2"/>
  <c r="AE63" i="2"/>
  <c r="Z64" i="2"/>
  <c r="K64" i="2"/>
  <c r="I64" i="2"/>
  <c r="M64" i="2"/>
  <c r="L64" i="2"/>
  <c r="J64" i="2"/>
  <c r="N64" i="2"/>
  <c r="AH64" i="2"/>
  <c r="AG64" i="2"/>
  <c r="AL64" i="2"/>
  <c r="AI64" i="2"/>
  <c r="AK64" i="2"/>
  <c r="AJ64" i="2"/>
  <c r="AF64" i="2"/>
  <c r="A65" i="2"/>
  <c r="X65" i="2"/>
  <c r="M194" i="9" l="1"/>
  <c r="X193" i="9"/>
  <c r="R192" i="9"/>
  <c r="Q193" i="9"/>
  <c r="W193" i="9" s="1"/>
  <c r="U192" i="9"/>
  <c r="S192" i="9"/>
  <c r="L195" i="9"/>
  <c r="T195" i="9" s="1"/>
  <c r="F65" i="2"/>
  <c r="D65" i="2"/>
  <c r="AE64" i="2"/>
  <c r="G66" i="2"/>
  <c r="B67" i="2"/>
  <c r="H66" i="2"/>
  <c r="C66" i="2"/>
  <c r="E66" i="2"/>
  <c r="J65" i="2"/>
  <c r="N65" i="2"/>
  <c r="L65" i="2"/>
  <c r="K65" i="2"/>
  <c r="I65" i="2"/>
  <c r="M65" i="2"/>
  <c r="AB65" i="2"/>
  <c r="AA65" i="2"/>
  <c r="AG65" i="2"/>
  <c r="AH65" i="2"/>
  <c r="AI65" i="2"/>
  <c r="AF65" i="2"/>
  <c r="AK65" i="2"/>
  <c r="AL65" i="2"/>
  <c r="AJ65" i="2"/>
  <c r="AC65" i="2"/>
  <c r="Y65" i="2"/>
  <c r="AD65" i="2"/>
  <c r="Z65" i="2"/>
  <c r="A66" i="2"/>
  <c r="X66" i="2"/>
  <c r="M195" i="9" l="1"/>
  <c r="X194" i="9"/>
  <c r="R193" i="9"/>
  <c r="Q194" i="9"/>
  <c r="W194" i="9" s="1"/>
  <c r="U193" i="9"/>
  <c r="S193" i="9"/>
  <c r="L196" i="9"/>
  <c r="T196" i="9" s="1"/>
  <c r="F66" i="2"/>
  <c r="D66" i="2"/>
  <c r="G67" i="2"/>
  <c r="B68" i="2"/>
  <c r="H67" i="2"/>
  <c r="E67" i="2"/>
  <c r="C67" i="2"/>
  <c r="AE65" i="2"/>
  <c r="I66" i="2"/>
  <c r="M66" i="2"/>
  <c r="K66" i="2"/>
  <c r="J66" i="2"/>
  <c r="N66" i="2"/>
  <c r="L66" i="2"/>
  <c r="S66" i="2"/>
  <c r="X67" i="2"/>
  <c r="R66" i="2"/>
  <c r="T66" i="2"/>
  <c r="A67" i="2"/>
  <c r="U66" i="2"/>
  <c r="P66" i="2"/>
  <c r="V66" i="2"/>
  <c r="Q66" i="2"/>
  <c r="AH66" i="2"/>
  <c r="AJ66" i="2"/>
  <c r="AG66" i="2"/>
  <c r="AI66" i="2"/>
  <c r="AF66" i="2"/>
  <c r="AK66" i="2"/>
  <c r="AL66" i="2"/>
  <c r="M196" i="9" l="1"/>
  <c r="X195" i="9"/>
  <c r="R194" i="9"/>
  <c r="Q195" i="9"/>
  <c r="W195" i="9" s="1"/>
  <c r="S194" i="9"/>
  <c r="U194" i="9"/>
  <c r="L197" i="9"/>
  <c r="T197" i="9" s="1"/>
  <c r="F67" i="2"/>
  <c r="D67" i="2"/>
  <c r="G68" i="2"/>
  <c r="E68" i="2"/>
  <c r="H68" i="2"/>
  <c r="C68" i="2"/>
  <c r="L67" i="2"/>
  <c r="J67" i="2"/>
  <c r="N67" i="2"/>
  <c r="I67" i="2"/>
  <c r="M67" i="2"/>
  <c r="K67" i="2"/>
  <c r="AC67" i="2"/>
  <c r="AC66" i="2"/>
  <c r="Z67" i="2"/>
  <c r="Z66" i="2"/>
  <c r="Y67" i="2"/>
  <c r="AE67" i="2" s="1"/>
  <c r="Y66" i="2"/>
  <c r="AE66" i="2" s="1"/>
  <c r="B69" i="2"/>
  <c r="A68" i="2"/>
  <c r="X68" i="2"/>
  <c r="AD67" i="2"/>
  <c r="AD66" i="2"/>
  <c r="AH67" i="2"/>
  <c r="AF67" i="2"/>
  <c r="AL67" i="2"/>
  <c r="AI67" i="2"/>
  <c r="AJ67" i="2"/>
  <c r="AG67" i="2"/>
  <c r="AK67" i="2"/>
  <c r="AB67" i="2"/>
  <c r="AB66" i="2"/>
  <c r="AA67" i="2"/>
  <c r="AA66" i="2"/>
  <c r="M197" i="9" l="1"/>
  <c r="X196" i="9"/>
  <c r="Q196" i="9"/>
  <c r="W196" i="9" s="1"/>
  <c r="R195" i="9"/>
  <c r="S195" i="9"/>
  <c r="U195" i="9"/>
  <c r="L198" i="9"/>
  <c r="T198" i="9" s="1"/>
  <c r="D68" i="2"/>
  <c r="F68" i="2"/>
  <c r="K68" i="2"/>
  <c r="I68" i="2"/>
  <c r="M68" i="2"/>
  <c r="L68" i="2"/>
  <c r="J68" i="2"/>
  <c r="N68" i="2"/>
  <c r="V68" i="2"/>
  <c r="C69" i="2"/>
  <c r="X69" i="2"/>
  <c r="U68" i="2"/>
  <c r="S68" i="2"/>
  <c r="Q68" i="2"/>
  <c r="A69" i="2"/>
  <c r="H69" i="2"/>
  <c r="B70" i="2"/>
  <c r="E69" i="2"/>
  <c r="T68" i="2"/>
  <c r="P68" i="2"/>
  <c r="G69" i="2"/>
  <c r="R68" i="2"/>
  <c r="AI68" i="2"/>
  <c r="AF68" i="2"/>
  <c r="AG68" i="2"/>
  <c r="AK68" i="2"/>
  <c r="AJ68" i="2"/>
  <c r="AL68" i="2"/>
  <c r="AH68" i="2"/>
  <c r="M198" i="9" l="1"/>
  <c r="X197" i="9"/>
  <c r="R196" i="9"/>
  <c r="Q197" i="9"/>
  <c r="W197" i="9" s="1"/>
  <c r="U196" i="9"/>
  <c r="S196" i="9"/>
  <c r="L199" i="9"/>
  <c r="T199" i="9" s="1"/>
  <c r="F69" i="2"/>
  <c r="D69" i="2"/>
  <c r="AC69" i="2"/>
  <c r="AC68" i="2"/>
  <c r="Z68" i="2"/>
  <c r="Z69" i="2"/>
  <c r="AH69" i="2"/>
  <c r="J69" i="2"/>
  <c r="AF69" i="2"/>
  <c r="AI69" i="2"/>
  <c r="AL69" i="2"/>
  <c r="AJ69" i="2"/>
  <c r="I69" i="2"/>
  <c r="N69" i="2"/>
  <c r="K69" i="2"/>
  <c r="AK69" i="2"/>
  <c r="M69" i="2"/>
  <c r="AG69" i="2"/>
  <c r="L69" i="2"/>
  <c r="AB68" i="2"/>
  <c r="AB69" i="2"/>
  <c r="Y69" i="2"/>
  <c r="AE69" i="2" s="1"/>
  <c r="Y68" i="2"/>
  <c r="AE68" i="2" s="1"/>
  <c r="H70" i="2"/>
  <c r="X70" i="2"/>
  <c r="A70" i="2"/>
  <c r="B71" i="2"/>
  <c r="C70" i="2"/>
  <c r="G70" i="2"/>
  <c r="E70" i="2"/>
  <c r="AA69" i="2"/>
  <c r="AA68" i="2"/>
  <c r="AD68" i="2"/>
  <c r="AD69" i="2"/>
  <c r="M199" i="9" l="1"/>
  <c r="X198" i="9"/>
  <c r="R197" i="9"/>
  <c r="Q198" i="9"/>
  <c r="W198" i="9" s="1"/>
  <c r="S197" i="9"/>
  <c r="U197" i="9"/>
  <c r="L200" i="9"/>
  <c r="T200" i="9" s="1"/>
  <c r="D70" i="2"/>
  <c r="F70" i="2"/>
  <c r="AI70" i="2"/>
  <c r="N70" i="2"/>
  <c r="AK70" i="2"/>
  <c r="M70" i="2"/>
  <c r="AG70" i="2"/>
  <c r="J70" i="2"/>
  <c r="L70" i="2"/>
  <c r="AF70" i="2"/>
  <c r="AH70" i="2"/>
  <c r="AL70" i="2"/>
  <c r="K70" i="2"/>
  <c r="AJ70" i="2"/>
  <c r="I70" i="2"/>
  <c r="R70" i="2"/>
  <c r="S70" i="2"/>
  <c r="B72" i="2"/>
  <c r="V70" i="2"/>
  <c r="T70" i="2"/>
  <c r="U70" i="2"/>
  <c r="A71" i="2"/>
  <c r="C71" i="2"/>
  <c r="G71" i="2"/>
  <c r="H71" i="2"/>
  <c r="Q70" i="2"/>
  <c r="E71" i="2"/>
  <c r="P70" i="2"/>
  <c r="X71" i="2"/>
  <c r="M200" i="9" l="1"/>
  <c r="X199" i="9"/>
  <c r="Q199" i="9"/>
  <c r="W199" i="9" s="1"/>
  <c r="R198" i="9"/>
  <c r="S198" i="9"/>
  <c r="U198" i="9"/>
  <c r="L201" i="9"/>
  <c r="T201" i="9" s="1"/>
  <c r="F71" i="2"/>
  <c r="D71" i="2"/>
  <c r="AA71" i="2"/>
  <c r="AA70" i="2"/>
  <c r="AB70" i="2"/>
  <c r="AB71" i="2"/>
  <c r="AD71" i="2"/>
  <c r="AD70" i="2"/>
  <c r="Z70" i="2"/>
  <c r="Z71" i="2"/>
  <c r="Y71" i="2"/>
  <c r="AE71" i="2" s="1"/>
  <c r="Y70" i="2"/>
  <c r="AE70" i="2" s="1"/>
  <c r="AL71" i="2"/>
  <c r="K71" i="2"/>
  <c r="AF71" i="2"/>
  <c r="I71" i="2"/>
  <c r="J71" i="2"/>
  <c r="AJ71" i="2"/>
  <c r="AG71" i="2"/>
  <c r="M71" i="2"/>
  <c r="N71" i="2"/>
  <c r="L71" i="2"/>
  <c r="AH71" i="2"/>
  <c r="AI71" i="2"/>
  <c r="AK71" i="2"/>
  <c r="AC70" i="2"/>
  <c r="AC71" i="2"/>
  <c r="X72" i="2"/>
  <c r="H72" i="2"/>
  <c r="B73" i="2"/>
  <c r="A72" i="2"/>
  <c r="G72" i="2"/>
  <c r="E72" i="2"/>
  <c r="C72" i="2"/>
  <c r="M201" i="9" l="1"/>
  <c r="X200" i="9"/>
  <c r="R199" i="9"/>
  <c r="Q200" i="9"/>
  <c r="W200" i="9" s="1"/>
  <c r="S199" i="9"/>
  <c r="U199" i="9"/>
  <c r="L202" i="9"/>
  <c r="T202" i="9" s="1"/>
  <c r="F72" i="2"/>
  <c r="D72" i="2"/>
  <c r="L72" i="2"/>
  <c r="M72" i="2"/>
  <c r="J72" i="2"/>
  <c r="AG72" i="2"/>
  <c r="AH72" i="2"/>
  <c r="AI72" i="2"/>
  <c r="AJ72" i="2"/>
  <c r="AL72" i="2"/>
  <c r="N72" i="2"/>
  <c r="K72" i="2"/>
  <c r="I72" i="2"/>
  <c r="AF72" i="2"/>
  <c r="AK72" i="2"/>
  <c r="H73" i="2"/>
  <c r="E73" i="2"/>
  <c r="B74" i="2"/>
  <c r="Q72" i="2"/>
  <c r="R72" i="2"/>
  <c r="C73" i="2"/>
  <c r="T72" i="2"/>
  <c r="U72" i="2"/>
  <c r="V72" i="2"/>
  <c r="P72" i="2"/>
  <c r="G73" i="2"/>
  <c r="A73" i="2"/>
  <c r="S72" i="2"/>
  <c r="X73" i="2"/>
  <c r="M202" i="9" l="1"/>
  <c r="X201" i="9"/>
  <c r="R200" i="9"/>
  <c r="Q201" i="9"/>
  <c r="W201" i="9" s="1"/>
  <c r="U200" i="9"/>
  <c r="S200" i="9"/>
  <c r="L203" i="9"/>
  <c r="T203" i="9" s="1"/>
  <c r="D73" i="2"/>
  <c r="F73" i="2"/>
  <c r="AA73" i="2"/>
  <c r="AA72" i="2"/>
  <c r="AD73" i="2"/>
  <c r="AD72" i="2"/>
  <c r="Z73" i="2"/>
  <c r="Z72" i="2"/>
  <c r="AC73" i="2"/>
  <c r="AC72" i="2"/>
  <c r="Y73" i="2"/>
  <c r="AE73" i="2" s="1"/>
  <c r="Y72" i="2"/>
  <c r="AE72" i="2" s="1"/>
  <c r="I73" i="2"/>
  <c r="AJ73" i="2"/>
  <c r="J73" i="2"/>
  <c r="L73" i="2"/>
  <c r="M73" i="2"/>
  <c r="N73" i="2"/>
  <c r="K73" i="2"/>
  <c r="AG73" i="2"/>
  <c r="AH73" i="2"/>
  <c r="AI73" i="2"/>
  <c r="AK73" i="2"/>
  <c r="AL73" i="2"/>
  <c r="AF73" i="2"/>
  <c r="AB72" i="2"/>
  <c r="AB73" i="2"/>
  <c r="X74" i="2"/>
  <c r="E74" i="2"/>
  <c r="H74" i="2"/>
  <c r="B75" i="2"/>
  <c r="A74" i="2"/>
  <c r="G74" i="2"/>
  <c r="C74" i="2"/>
  <c r="M203" i="9" l="1"/>
  <c r="X202" i="9"/>
  <c r="R201" i="9"/>
  <c r="Q202" i="9"/>
  <c r="W202" i="9" s="1"/>
  <c r="U201" i="9"/>
  <c r="S201" i="9"/>
  <c r="L204" i="9"/>
  <c r="T204" i="9" s="1"/>
  <c r="F74" i="2"/>
  <c r="D74" i="2"/>
  <c r="L74" i="2"/>
  <c r="K74" i="2"/>
  <c r="AK74" i="2"/>
  <c r="AG74" i="2"/>
  <c r="AH74" i="2"/>
  <c r="AI74" i="2"/>
  <c r="M74" i="2"/>
  <c r="AL74" i="2"/>
  <c r="I74" i="2"/>
  <c r="AJ74" i="2"/>
  <c r="J74" i="2"/>
  <c r="AF74" i="2"/>
  <c r="N74" i="2"/>
  <c r="H75" i="2"/>
  <c r="E75" i="2"/>
  <c r="P74" i="2"/>
  <c r="B76" i="2"/>
  <c r="Q74" i="2"/>
  <c r="R74" i="2"/>
  <c r="X75" i="2"/>
  <c r="A75" i="2"/>
  <c r="U74" i="2"/>
  <c r="G75" i="2"/>
  <c r="S74" i="2"/>
  <c r="V74" i="2"/>
  <c r="T74" i="2"/>
  <c r="C75" i="2"/>
  <c r="X203" i="9" l="1"/>
  <c r="M204" i="9"/>
  <c r="R202" i="9"/>
  <c r="Q203" i="9"/>
  <c r="W203" i="9" s="1"/>
  <c r="U202" i="9"/>
  <c r="S202" i="9"/>
  <c r="L205" i="9"/>
  <c r="T205" i="9" s="1"/>
  <c r="F75" i="2"/>
  <c r="D75" i="2"/>
  <c r="AB75" i="2"/>
  <c r="AB74" i="2"/>
  <c r="Z75" i="2"/>
  <c r="Z74" i="2"/>
  <c r="AC74" i="2"/>
  <c r="AC75" i="2"/>
  <c r="Y75" i="2"/>
  <c r="AE75" i="2" s="1"/>
  <c r="Y74" i="2"/>
  <c r="AE74" i="2" s="1"/>
  <c r="AA75" i="2"/>
  <c r="AA74" i="2"/>
  <c r="AD75" i="2"/>
  <c r="AD74" i="2"/>
  <c r="L75" i="2"/>
  <c r="AF75" i="2"/>
  <c r="N75" i="2"/>
  <c r="K75" i="2"/>
  <c r="AG75" i="2"/>
  <c r="AK75" i="2"/>
  <c r="AH75" i="2"/>
  <c r="AI75" i="2"/>
  <c r="J75" i="2"/>
  <c r="AL75" i="2"/>
  <c r="M75" i="2"/>
  <c r="I75" i="2"/>
  <c r="AJ75" i="2"/>
  <c r="X76" i="2"/>
  <c r="A76" i="2"/>
  <c r="H76" i="2"/>
  <c r="B77" i="2"/>
  <c r="C76" i="2"/>
  <c r="E76" i="2"/>
  <c r="G76" i="2"/>
  <c r="M205" i="9" l="1"/>
  <c r="X204" i="9"/>
  <c r="R203" i="9"/>
  <c r="Q204" i="9"/>
  <c r="W204" i="9" s="1"/>
  <c r="U203" i="9"/>
  <c r="S203" i="9"/>
  <c r="L206" i="9"/>
  <c r="T206" i="9" s="1"/>
  <c r="D76" i="2"/>
  <c r="F76" i="2"/>
  <c r="AG76" i="2"/>
  <c r="AH76" i="2"/>
  <c r="AF76" i="2"/>
  <c r="I76" i="2"/>
  <c r="AK76" i="2"/>
  <c r="AL76" i="2"/>
  <c r="AJ76" i="2"/>
  <c r="M76" i="2"/>
  <c r="AI76" i="2"/>
  <c r="J76" i="2"/>
  <c r="K76" i="2"/>
  <c r="L76" i="2"/>
  <c r="N76" i="2"/>
  <c r="T76" i="2"/>
  <c r="B78" i="2"/>
  <c r="S76" i="2"/>
  <c r="V76" i="2"/>
  <c r="C77" i="2"/>
  <c r="E77" i="2"/>
  <c r="H77" i="2"/>
  <c r="A77" i="2"/>
  <c r="G77" i="2"/>
  <c r="Q76" i="2"/>
  <c r="R76" i="2"/>
  <c r="P76" i="2"/>
  <c r="X77" i="2"/>
  <c r="U76" i="2"/>
  <c r="M206" i="9" l="1"/>
  <c r="X205" i="9"/>
  <c r="R204" i="9"/>
  <c r="Q205" i="9"/>
  <c r="W205" i="9" s="1"/>
  <c r="U204" i="9"/>
  <c r="S204" i="9"/>
  <c r="L207" i="9"/>
  <c r="T207" i="9" s="1"/>
  <c r="F77" i="2"/>
  <c r="D77" i="2"/>
  <c r="Y77" i="2"/>
  <c r="AE77" i="2" s="1"/>
  <c r="Y76" i="2"/>
  <c r="AE76" i="2" s="1"/>
  <c r="X78" i="2"/>
  <c r="H78" i="2"/>
  <c r="C78" i="2"/>
  <c r="E78" i="2"/>
  <c r="G78" i="2"/>
  <c r="A78" i="2"/>
  <c r="M77" i="2"/>
  <c r="I77" i="2"/>
  <c r="AH77" i="2"/>
  <c r="N77" i="2"/>
  <c r="K77" i="2"/>
  <c r="L77" i="2"/>
  <c r="AL77" i="2"/>
  <c r="AF77" i="2"/>
  <c r="AG77" i="2"/>
  <c r="J77" i="2"/>
  <c r="AJ77" i="2"/>
  <c r="AK77" i="2"/>
  <c r="AI77" i="2"/>
  <c r="AD77" i="2"/>
  <c r="AD76" i="2"/>
  <c r="AB76" i="2"/>
  <c r="AB77" i="2"/>
  <c r="AC77" i="2"/>
  <c r="AC76" i="2"/>
  <c r="AC78" i="2"/>
  <c r="AD78" i="2"/>
  <c r="AA78" i="2"/>
  <c r="Y78" i="2"/>
  <c r="AE78" i="2" s="1"/>
  <c r="Z78" i="2"/>
  <c r="AB78" i="2"/>
  <c r="Z76" i="2"/>
  <c r="Z77" i="2"/>
  <c r="AA76" i="2"/>
  <c r="AA77" i="2"/>
  <c r="M207" i="9" l="1"/>
  <c r="X206" i="9"/>
  <c r="R205" i="9"/>
  <c r="Q206" i="9"/>
  <c r="W206" i="9" s="1"/>
  <c r="S205" i="9"/>
  <c r="U205" i="9"/>
  <c r="L208" i="9"/>
  <c r="T208" i="9" s="1"/>
  <c r="F78" i="2"/>
  <c r="D78" i="2"/>
  <c r="AH78" i="2"/>
  <c r="AF78" i="2"/>
  <c r="AK78" i="2"/>
  <c r="AI78" i="2"/>
  <c r="AL78" i="2"/>
  <c r="AJ78" i="2"/>
  <c r="L78" i="2"/>
  <c r="J78" i="2"/>
  <c r="K78" i="2"/>
  <c r="I78" i="2"/>
  <c r="N78" i="2"/>
  <c r="AG78" i="2"/>
  <c r="M78" i="2"/>
  <c r="M37" i="10"/>
  <c r="M208" i="9" l="1"/>
  <c r="X207" i="9"/>
  <c r="R206" i="9"/>
  <c r="Q207" i="9"/>
  <c r="W207" i="9" s="1"/>
  <c r="S206" i="9"/>
  <c r="U206" i="9"/>
  <c r="L209" i="9"/>
  <c r="T209" i="9" s="1"/>
  <c r="D37" i="10"/>
  <c r="C37" i="10" s="1"/>
  <c r="M38" i="10"/>
  <c r="M209" i="9" l="1"/>
  <c r="X208" i="9"/>
  <c r="R207" i="9"/>
  <c r="Q208" i="9"/>
  <c r="W208" i="9" s="1"/>
  <c r="S207" i="9"/>
  <c r="U207" i="9"/>
  <c r="A271" i="9"/>
  <c r="K271" i="9" s="1"/>
  <c r="L210" i="9"/>
  <c r="T210" i="9" s="1"/>
  <c r="M39" i="10"/>
  <c r="D38" i="10"/>
  <c r="M210" i="9" l="1"/>
  <c r="X209" i="9"/>
  <c r="R208" i="9"/>
  <c r="Q209" i="9"/>
  <c r="W209" i="9" s="1"/>
  <c r="S208" i="9"/>
  <c r="U208" i="9"/>
  <c r="L211" i="9"/>
  <c r="T211" i="9" s="1"/>
  <c r="C38" i="10"/>
  <c r="A272" i="9"/>
  <c r="K272" i="9" s="1"/>
  <c r="M40" i="10"/>
  <c r="D39" i="10"/>
  <c r="M211" i="9" l="1"/>
  <c r="X210" i="9"/>
  <c r="R209" i="9"/>
  <c r="Q210" i="9"/>
  <c r="W210" i="9" s="1"/>
  <c r="S209" i="9"/>
  <c r="U209" i="9"/>
  <c r="L212" i="9"/>
  <c r="T212" i="9" s="1"/>
  <c r="A273" i="9"/>
  <c r="K273" i="9" s="1"/>
  <c r="C39" i="10"/>
  <c r="M41" i="10"/>
  <c r="D40" i="10"/>
  <c r="M212" i="9" l="1"/>
  <c r="X211" i="9"/>
  <c r="R210" i="9"/>
  <c r="Q211" i="9"/>
  <c r="W211" i="9" s="1"/>
  <c r="U210" i="9"/>
  <c r="S210" i="9"/>
  <c r="D41" i="10"/>
  <c r="M42" i="10"/>
  <c r="L213" i="9"/>
  <c r="T213" i="9" s="1"/>
  <c r="C40" i="10"/>
  <c r="A274" i="9"/>
  <c r="K274" i="9" s="1"/>
  <c r="C41" i="10"/>
  <c r="A275" i="9"/>
  <c r="K275" i="9" s="1"/>
  <c r="M213" i="9" l="1"/>
  <c r="X212" i="9"/>
  <c r="R211" i="9"/>
  <c r="Q212" i="9"/>
  <c r="W212" i="9" s="1"/>
  <c r="S211" i="9"/>
  <c r="U211" i="9"/>
  <c r="L214" i="9"/>
  <c r="T214" i="9" s="1"/>
  <c r="D42" i="10"/>
  <c r="M44" i="10"/>
  <c r="M214" i="9" l="1"/>
  <c r="X213" i="9"/>
  <c r="R212" i="9"/>
  <c r="Q213" i="9"/>
  <c r="W213" i="9" s="1"/>
  <c r="S212" i="9"/>
  <c r="U212" i="9"/>
  <c r="C42" i="10"/>
  <c r="A276" i="9"/>
  <c r="K276" i="9" s="1"/>
  <c r="M46" i="10"/>
  <c r="M43" i="10"/>
  <c r="D44" i="10"/>
  <c r="L215" i="9"/>
  <c r="T215" i="9" s="1"/>
  <c r="M215" i="9" l="1"/>
  <c r="X214" i="9"/>
  <c r="R213" i="9"/>
  <c r="Q214" i="9"/>
  <c r="W214" i="9" s="1"/>
  <c r="S213" i="9"/>
  <c r="U213" i="9"/>
  <c r="L216" i="9"/>
  <c r="T216" i="9" s="1"/>
  <c r="D46" i="10"/>
  <c r="M47" i="10"/>
  <c r="M45" i="10"/>
  <c r="C44" i="10"/>
  <c r="A277" i="9"/>
  <c r="K277" i="9" s="1"/>
  <c r="M216" i="9" l="1"/>
  <c r="X215" i="9"/>
  <c r="R214" i="9"/>
  <c r="Q215" i="9"/>
  <c r="W215" i="9" s="1"/>
  <c r="U214" i="9"/>
  <c r="S214" i="9"/>
  <c r="C46" i="10"/>
  <c r="A278" i="9"/>
  <c r="K278" i="9" s="1"/>
  <c r="M48" i="10"/>
  <c r="D47" i="10"/>
  <c r="L217" i="9"/>
  <c r="T217" i="9" s="1"/>
  <c r="M217" i="9" l="1"/>
  <c r="X216" i="9"/>
  <c r="R215" i="9"/>
  <c r="Q216" i="9"/>
  <c r="W216" i="9" s="1"/>
  <c r="U215" i="9"/>
  <c r="S215" i="9"/>
  <c r="C47" i="10"/>
  <c r="A279" i="9"/>
  <c r="K279" i="9" s="1"/>
  <c r="M49" i="10"/>
  <c r="D48" i="10"/>
  <c r="L218" i="9"/>
  <c r="T218" i="9" s="1"/>
  <c r="M218" i="9" l="1"/>
  <c r="X217" i="9"/>
  <c r="R216" i="9"/>
  <c r="Q217" i="9"/>
  <c r="W217" i="9" s="1"/>
  <c r="S216" i="9"/>
  <c r="U216" i="9"/>
  <c r="D49" i="10"/>
  <c r="M50" i="10"/>
  <c r="C48" i="10"/>
  <c r="A280" i="9"/>
  <c r="K280" i="9" s="1"/>
  <c r="C49" i="10"/>
  <c r="A281" i="9"/>
  <c r="K281" i="9" s="1"/>
  <c r="L219" i="9"/>
  <c r="T219" i="9" s="1"/>
  <c r="M219" i="9" l="1"/>
  <c r="X218" i="9"/>
  <c r="R217" i="9"/>
  <c r="Q218" i="9"/>
  <c r="W218" i="9" s="1"/>
  <c r="S217" i="9"/>
  <c r="U217" i="9"/>
  <c r="M51" i="10"/>
  <c r="D50" i="10"/>
  <c r="L220" i="9"/>
  <c r="T220" i="9" s="1"/>
  <c r="X219" i="9" l="1"/>
  <c r="M220" i="9"/>
  <c r="R218" i="9"/>
  <c r="Q219" i="9"/>
  <c r="W219" i="9" s="1"/>
  <c r="S218" i="9"/>
  <c r="U218" i="9"/>
  <c r="C50" i="10"/>
  <c r="A282" i="9"/>
  <c r="K282" i="9" s="1"/>
  <c r="M52" i="10"/>
  <c r="D51" i="10"/>
  <c r="L221" i="9"/>
  <c r="T221" i="9" s="1"/>
  <c r="M221" i="9" l="1"/>
  <c r="X220" i="9"/>
  <c r="R219" i="9"/>
  <c r="Q220" i="9"/>
  <c r="W220" i="9" s="1"/>
  <c r="S219" i="9"/>
  <c r="U219" i="9"/>
  <c r="M53" i="10"/>
  <c r="D52" i="10"/>
  <c r="A283" i="9"/>
  <c r="K283" i="9" s="1"/>
  <c r="C51" i="10"/>
  <c r="L222" i="9"/>
  <c r="T222" i="9" s="1"/>
  <c r="M222" i="9" l="1"/>
  <c r="X221" i="9"/>
  <c r="R220" i="9"/>
  <c r="Q221" i="9"/>
  <c r="W221" i="9" s="1"/>
  <c r="U220" i="9"/>
  <c r="S220" i="9"/>
  <c r="A284" i="9"/>
  <c r="K284" i="9" s="1"/>
  <c r="M54" i="10"/>
  <c r="D53" i="10"/>
  <c r="L223" i="9"/>
  <c r="T223" i="9" s="1"/>
  <c r="M223" i="9" l="1"/>
  <c r="X222" i="9"/>
  <c r="R221" i="9"/>
  <c r="Q222" i="9"/>
  <c r="W222" i="9" s="1"/>
  <c r="S221" i="9"/>
  <c r="U221" i="9"/>
  <c r="M55" i="10"/>
  <c r="D54" i="10"/>
  <c r="C53" i="10"/>
  <c r="A285" i="9"/>
  <c r="K285" i="9" s="1"/>
  <c r="L224" i="9"/>
  <c r="T224" i="9" s="1"/>
  <c r="M224" i="9" l="1"/>
  <c r="X223" i="9"/>
  <c r="R222" i="9"/>
  <c r="Q223" i="9"/>
  <c r="W223" i="9" s="1"/>
  <c r="U222" i="9"/>
  <c r="S222" i="9"/>
  <c r="C54" i="10"/>
  <c r="A286" i="9"/>
  <c r="K286" i="9" s="1"/>
  <c r="M56" i="10"/>
  <c r="D55" i="10"/>
  <c r="L225" i="9"/>
  <c r="T225" i="9" s="1"/>
  <c r="M225" i="9" l="1"/>
  <c r="X224" i="9"/>
  <c r="R223" i="9"/>
  <c r="Q224" i="9"/>
  <c r="W224" i="9" s="1"/>
  <c r="U223" i="9"/>
  <c r="S223" i="9"/>
  <c r="C55" i="10"/>
  <c r="A287" i="9"/>
  <c r="K287" i="9" s="1"/>
  <c r="C56" i="10"/>
  <c r="A288" i="9"/>
  <c r="K288" i="9" s="1"/>
  <c r="L226" i="9"/>
  <c r="T226" i="9" s="1"/>
  <c r="M226" i="9" l="1"/>
  <c r="X225" i="9"/>
  <c r="R224" i="9"/>
  <c r="Q225" i="9"/>
  <c r="W225" i="9" s="1"/>
  <c r="U224" i="9"/>
  <c r="S224" i="9"/>
  <c r="C20" i="10"/>
  <c r="F13" i="10" s="1"/>
  <c r="G13" i="10" s="1"/>
  <c r="L227" i="9"/>
  <c r="T227" i="9" s="1"/>
  <c r="M227" i="9" l="1"/>
  <c r="X226" i="9"/>
  <c r="R225" i="9"/>
  <c r="Q226" i="9"/>
  <c r="W226" i="9" s="1"/>
  <c r="U225" i="9"/>
  <c r="S225" i="9"/>
  <c r="F9" i="10"/>
  <c r="G9" i="10" s="1"/>
  <c r="F11" i="10"/>
  <c r="G11" i="10" s="1"/>
  <c r="F10" i="10"/>
  <c r="G10" i="10" s="1"/>
  <c r="F12" i="10"/>
  <c r="G12" i="10" s="1"/>
  <c r="AH2" i="3"/>
  <c r="AN2" i="3" s="1"/>
  <c r="F8" i="10"/>
  <c r="G8" i="10" s="1"/>
  <c r="L228" i="9"/>
  <c r="T228" i="9" s="1"/>
  <c r="M228" i="9" l="1"/>
  <c r="X227" i="9"/>
  <c r="R226" i="9"/>
  <c r="Q227" i="9"/>
  <c r="W227" i="9" s="1"/>
  <c r="U226" i="9"/>
  <c r="S226" i="9"/>
  <c r="K2" i="3"/>
  <c r="AH5" i="3"/>
  <c r="BF2" i="3"/>
  <c r="L229" i="9"/>
  <c r="T229" i="9" s="1"/>
  <c r="AN5" i="3" l="1"/>
  <c r="E5" i="3" s="1"/>
  <c r="D5" i="4" s="1"/>
  <c r="E2" i="3"/>
  <c r="M229" i="9"/>
  <c r="X228" i="9"/>
  <c r="R227" i="9"/>
  <c r="Q228" i="9"/>
  <c r="W228" i="9" s="1"/>
  <c r="U227" i="9"/>
  <c r="S227" i="9"/>
  <c r="L2" i="4"/>
  <c r="H2" i="4"/>
  <c r="AH4" i="3"/>
  <c r="K5" i="3"/>
  <c r="BF5" i="3"/>
  <c r="L230" i="9"/>
  <c r="T230" i="9" s="1"/>
  <c r="H5" i="4" l="1"/>
  <c r="Q5" i="4" s="1"/>
  <c r="L5" i="4"/>
  <c r="AN4" i="3"/>
  <c r="E4" i="3" s="1"/>
  <c r="D4" i="4" s="1"/>
  <c r="D2" i="4"/>
  <c r="M230" i="9"/>
  <c r="X229" i="9"/>
  <c r="R228" i="9"/>
  <c r="Q229" i="9"/>
  <c r="W229" i="9" s="1"/>
  <c r="U228" i="9"/>
  <c r="S228" i="9"/>
  <c r="BF4" i="3"/>
  <c r="AH3" i="3"/>
  <c r="AN3" i="3" s="1"/>
  <c r="K4" i="3"/>
  <c r="L231" i="9"/>
  <c r="T231" i="9" s="1"/>
  <c r="H3" i="4" l="1"/>
  <c r="M231" i="9"/>
  <c r="X230" i="9"/>
  <c r="R229" i="9"/>
  <c r="Q230" i="9"/>
  <c r="W230" i="9" s="1"/>
  <c r="S229" i="9"/>
  <c r="U229" i="9"/>
  <c r="K3" i="3"/>
  <c r="AH7" i="3"/>
  <c r="BF3" i="3"/>
  <c r="H4" i="4"/>
  <c r="Q4" i="4" s="1"/>
  <c r="L4" i="4"/>
  <c r="L232" i="9"/>
  <c r="T232" i="9" s="1"/>
  <c r="Q3" i="4" l="1"/>
  <c r="AN7" i="3"/>
  <c r="M232" i="9"/>
  <c r="X231" i="9"/>
  <c r="E3" i="3"/>
  <c r="R230" i="9"/>
  <c r="Q231" i="9"/>
  <c r="W231" i="9" s="1"/>
  <c r="U230" i="9"/>
  <c r="S230" i="9"/>
  <c r="BF7" i="3"/>
  <c r="AH6" i="3"/>
  <c r="K7" i="3"/>
  <c r="L3" i="4"/>
  <c r="L233" i="9"/>
  <c r="T233" i="9" s="1"/>
  <c r="AN6" i="3" l="1"/>
  <c r="L6" i="4" s="1"/>
  <c r="M233" i="9"/>
  <c r="X232" i="9"/>
  <c r="D3" i="4"/>
  <c r="R231" i="9"/>
  <c r="Q232" i="9"/>
  <c r="W232" i="9" s="1"/>
  <c r="S231" i="9"/>
  <c r="U231" i="9"/>
  <c r="H7" i="4"/>
  <c r="Q7" i="4" s="1"/>
  <c r="E7" i="3"/>
  <c r="D7" i="4" s="1"/>
  <c r="AH9" i="3"/>
  <c r="K9" i="3" s="1"/>
  <c r="BF6" i="3"/>
  <c r="BF9" i="3" s="1"/>
  <c r="K6" i="3"/>
  <c r="L7" i="4"/>
  <c r="L234" i="9"/>
  <c r="T234" i="9" s="1"/>
  <c r="M234" i="9" l="1"/>
  <c r="X233" i="9"/>
  <c r="R232" i="9"/>
  <c r="Q233" i="9"/>
  <c r="W233" i="9" s="1"/>
  <c r="U232" i="9"/>
  <c r="S232" i="9"/>
  <c r="AN9" i="3"/>
  <c r="E6" i="3"/>
  <c r="H6" i="4"/>
  <c r="Q6" i="4" s="1"/>
  <c r="L235" i="9"/>
  <c r="T235" i="9" s="1"/>
  <c r="E9" i="3" l="1"/>
  <c r="M235" i="9"/>
  <c r="X234" i="9"/>
  <c r="D6" i="4"/>
  <c r="R233" i="9"/>
  <c r="Q234" i="9"/>
  <c r="W234" i="9" s="1"/>
  <c r="U233" i="9"/>
  <c r="S233" i="9"/>
  <c r="L236" i="9"/>
  <c r="T236" i="9" s="1"/>
  <c r="X235" i="9" l="1"/>
  <c r="M236" i="9"/>
  <c r="R234" i="9"/>
  <c r="Q235" i="9"/>
  <c r="W235" i="9" s="1"/>
  <c r="U234" i="9"/>
  <c r="S234" i="9"/>
  <c r="L237" i="9"/>
  <c r="T237" i="9" s="1"/>
  <c r="M237" i="9" l="1"/>
  <c r="X236" i="9"/>
  <c r="R235" i="9"/>
  <c r="Q236" i="9"/>
  <c r="W236" i="9" s="1"/>
  <c r="U235" i="9"/>
  <c r="S235" i="9"/>
  <c r="L238" i="9"/>
  <c r="T238" i="9" s="1"/>
  <c r="M238" i="9" l="1"/>
  <c r="X237" i="9"/>
  <c r="R236" i="9"/>
  <c r="Q237" i="9"/>
  <c r="W237" i="9" s="1"/>
  <c r="U236" i="9"/>
  <c r="S236" i="9"/>
  <c r="L239" i="9"/>
  <c r="T239" i="9" s="1"/>
  <c r="M239" i="9" l="1"/>
  <c r="X238" i="9"/>
  <c r="R237" i="9"/>
  <c r="Q238" i="9"/>
  <c r="W238" i="9" s="1"/>
  <c r="U237" i="9"/>
  <c r="S237" i="9"/>
  <c r="L240" i="9"/>
  <c r="T240" i="9" s="1"/>
  <c r="M240" i="9" l="1"/>
  <c r="X239" i="9"/>
  <c r="R238" i="9"/>
  <c r="Q239" i="9"/>
  <c r="W239" i="9" s="1"/>
  <c r="U238" i="9"/>
  <c r="S238" i="9"/>
  <c r="L241" i="9"/>
  <c r="T241" i="9" s="1"/>
  <c r="M241" i="9" l="1"/>
  <c r="X240" i="9"/>
  <c r="R239" i="9"/>
  <c r="Q240" i="9"/>
  <c r="W240" i="9" s="1"/>
  <c r="U239" i="9"/>
  <c r="S239" i="9"/>
  <c r="L242" i="9"/>
  <c r="T242" i="9" s="1"/>
  <c r="M242" i="9" l="1"/>
  <c r="X241" i="9"/>
  <c r="Q241" i="9"/>
  <c r="W241" i="9" s="1"/>
  <c r="R240" i="9"/>
  <c r="U240" i="9"/>
  <c r="S240" i="9"/>
  <c r="L243" i="9"/>
  <c r="T243" i="9" s="1"/>
  <c r="M243" i="9" l="1"/>
  <c r="X242" i="9"/>
  <c r="Q242" i="9"/>
  <c r="W242" i="9" s="1"/>
  <c r="R241" i="9"/>
  <c r="U241" i="9"/>
  <c r="S241" i="9"/>
  <c r="L244" i="9"/>
  <c r="T244" i="9" s="1"/>
  <c r="M244" i="9" l="1"/>
  <c r="X243" i="9"/>
  <c r="Q243" i="9"/>
  <c r="W243" i="9" s="1"/>
  <c r="R242" i="9"/>
  <c r="U242" i="9"/>
  <c r="S242" i="9"/>
  <c r="L245" i="9"/>
  <c r="T245" i="9" s="1"/>
  <c r="M245" i="9" l="1"/>
  <c r="X244" i="9"/>
  <c r="Q244" i="9"/>
  <c r="W244" i="9" s="1"/>
  <c r="R243" i="9"/>
  <c r="U243" i="9"/>
  <c r="S243" i="9"/>
  <c r="L246" i="9"/>
  <c r="T246" i="9" s="1"/>
  <c r="M246" i="9" l="1"/>
  <c r="X245" i="9"/>
  <c r="Q245" i="9"/>
  <c r="W245" i="9" s="1"/>
  <c r="R244" i="9"/>
  <c r="S244" i="9"/>
  <c r="U244" i="9"/>
  <c r="L247" i="9"/>
  <c r="T247" i="9" s="1"/>
  <c r="M247" i="9" l="1"/>
  <c r="X246" i="9"/>
  <c r="Q246" i="9"/>
  <c r="W246" i="9" s="1"/>
  <c r="R245" i="9"/>
  <c r="S245" i="9"/>
  <c r="U245" i="9"/>
  <c r="L248" i="9"/>
  <c r="T248" i="9" s="1"/>
  <c r="M248" i="9" l="1"/>
  <c r="X247" i="9"/>
  <c r="Q247" i="9"/>
  <c r="W247" i="9" s="1"/>
  <c r="R246" i="9"/>
  <c r="S246" i="9"/>
  <c r="U246" i="9"/>
  <c r="L249" i="9"/>
  <c r="T249" i="9" s="1"/>
  <c r="M249" i="9" l="1"/>
  <c r="X248" i="9"/>
  <c r="Q248" i="9"/>
  <c r="W248" i="9" s="1"/>
  <c r="R247" i="9"/>
  <c r="U247" i="9"/>
  <c r="S247" i="9"/>
  <c r="L250" i="9"/>
  <c r="T250" i="9" s="1"/>
  <c r="M250" i="9" l="1"/>
  <c r="X249" i="9"/>
  <c r="Q249" i="9"/>
  <c r="W249" i="9" s="1"/>
  <c r="R248" i="9"/>
  <c r="U248" i="9"/>
  <c r="S248" i="9"/>
  <c r="L251" i="9"/>
  <c r="T251" i="9" s="1"/>
  <c r="M251" i="9" l="1"/>
  <c r="X250" i="9"/>
  <c r="Q250" i="9"/>
  <c r="W250" i="9" s="1"/>
  <c r="R249" i="9"/>
  <c r="S249" i="9"/>
  <c r="U249" i="9"/>
  <c r="L252" i="9"/>
  <c r="T252" i="9" s="1"/>
  <c r="M252" i="9" l="1"/>
  <c r="X251" i="9"/>
  <c r="Q251" i="9"/>
  <c r="W251" i="9" s="1"/>
  <c r="R250" i="9"/>
  <c r="U250" i="9"/>
  <c r="S250" i="9"/>
  <c r="L253" i="9"/>
  <c r="T253" i="9" s="1"/>
  <c r="M253" i="9" l="1"/>
  <c r="X252" i="9"/>
  <c r="Q252" i="9"/>
  <c r="W252" i="9" s="1"/>
  <c r="R251" i="9"/>
  <c r="S251" i="9"/>
  <c r="U251" i="9"/>
  <c r="L254" i="9"/>
  <c r="T254" i="9" s="1"/>
  <c r="M254" i="9" l="1"/>
  <c r="X253" i="9"/>
  <c r="Q253" i="9"/>
  <c r="W253" i="9" s="1"/>
  <c r="R252" i="9"/>
  <c r="U252" i="9"/>
  <c r="S252" i="9"/>
  <c r="L255" i="9"/>
  <c r="T255" i="9" s="1"/>
  <c r="M255" i="9" l="1"/>
  <c r="X254" i="9"/>
  <c r="Q254" i="9"/>
  <c r="W254" i="9" s="1"/>
  <c r="R253" i="9"/>
  <c r="U253" i="9"/>
  <c r="S253" i="9"/>
  <c r="L256" i="9"/>
  <c r="T256" i="9" s="1"/>
  <c r="M256" i="9" l="1"/>
  <c r="X255" i="9"/>
  <c r="Q255" i="9"/>
  <c r="W255" i="9" s="1"/>
  <c r="R254" i="9"/>
  <c r="S254" i="9"/>
  <c r="U254" i="9"/>
  <c r="L257" i="9"/>
  <c r="T257" i="9" s="1"/>
  <c r="M257" i="9" l="1"/>
  <c r="X256" i="9"/>
  <c r="Q256" i="9"/>
  <c r="W256" i="9" s="1"/>
  <c r="R255" i="9"/>
  <c r="U255" i="9"/>
  <c r="S255" i="9"/>
  <c r="L258" i="9"/>
  <c r="T258" i="9" s="1"/>
  <c r="M258" i="9" l="1"/>
  <c r="X257" i="9"/>
  <c r="Q257" i="9"/>
  <c r="W257" i="9" s="1"/>
  <c r="R256" i="9"/>
  <c r="S256" i="9"/>
  <c r="U256" i="9"/>
  <c r="L259" i="9"/>
  <c r="T259" i="9" s="1"/>
  <c r="M259" i="9" l="1"/>
  <c r="X258" i="9"/>
  <c r="Q258" i="9"/>
  <c r="W258" i="9" s="1"/>
  <c r="R257" i="9"/>
  <c r="U257" i="9"/>
  <c r="S257" i="9"/>
  <c r="L260" i="9"/>
  <c r="T260" i="9" s="1"/>
  <c r="M260" i="9" l="1"/>
  <c r="X259" i="9"/>
  <c r="Q259" i="9"/>
  <c r="W259" i="9" s="1"/>
  <c r="R258" i="9"/>
  <c r="S258" i="9"/>
  <c r="U258" i="9"/>
  <c r="L261" i="9"/>
  <c r="T261" i="9" s="1"/>
  <c r="M261" i="9" l="1"/>
  <c r="X260" i="9"/>
  <c r="Q260" i="9"/>
  <c r="W260" i="9" s="1"/>
  <c r="R259" i="9"/>
  <c r="U259" i="9"/>
  <c r="S259" i="9"/>
  <c r="L262" i="9"/>
  <c r="T262" i="9" s="1"/>
  <c r="M262" i="9" l="1"/>
  <c r="X261" i="9"/>
  <c r="Q261" i="9"/>
  <c r="W261" i="9" s="1"/>
  <c r="R260" i="9"/>
  <c r="U260" i="9"/>
  <c r="S260" i="9"/>
  <c r="L263" i="9"/>
  <c r="T263" i="9" s="1"/>
  <c r="M263" i="9" l="1"/>
  <c r="X262" i="9"/>
  <c r="Q262" i="9"/>
  <c r="W262" i="9" s="1"/>
  <c r="R261" i="9"/>
  <c r="U261" i="9"/>
  <c r="S261" i="9"/>
  <c r="L264" i="9"/>
  <c r="T264" i="9" s="1"/>
  <c r="M264" i="9" l="1"/>
  <c r="X263" i="9"/>
  <c r="R262" i="9"/>
  <c r="Q263" i="9"/>
  <c r="W263" i="9" s="1"/>
  <c r="U262" i="9"/>
  <c r="S262" i="9"/>
  <c r="L265" i="9"/>
  <c r="T265" i="9" s="1"/>
  <c r="M265" i="9" l="1"/>
  <c r="X264" i="9"/>
  <c r="R263" i="9"/>
  <c r="Q264" i="9"/>
  <c r="W264" i="9" s="1"/>
  <c r="S263" i="9"/>
  <c r="U263" i="9"/>
  <c r="L266" i="9"/>
  <c r="T266" i="9" s="1"/>
  <c r="M266" i="9" l="1"/>
  <c r="X265" i="9"/>
  <c r="R264" i="9"/>
  <c r="Q265" i="9"/>
  <c r="W265" i="9" s="1"/>
  <c r="S264" i="9"/>
  <c r="U264" i="9"/>
  <c r="L267" i="9"/>
  <c r="T267" i="9" s="1"/>
  <c r="M267" i="9" l="1"/>
  <c r="X266" i="9"/>
  <c r="R265" i="9"/>
  <c r="Q266" i="9"/>
  <c r="W266" i="9" s="1"/>
  <c r="U265" i="9"/>
  <c r="S265" i="9"/>
  <c r="L268" i="9"/>
  <c r="T268" i="9" s="1"/>
  <c r="M268" i="9" l="1"/>
  <c r="X267" i="9"/>
  <c r="R266" i="9"/>
  <c r="Q267" i="9"/>
  <c r="W267" i="9" s="1"/>
  <c r="U266" i="9"/>
  <c r="S266" i="9"/>
  <c r="L269" i="9"/>
  <c r="T269" i="9" s="1"/>
  <c r="M269" i="9" l="1"/>
  <c r="X268" i="9"/>
  <c r="R267" i="9"/>
  <c r="Q268" i="9"/>
  <c r="W268" i="9" s="1"/>
  <c r="U267" i="9"/>
  <c r="S267" i="9"/>
  <c r="L270" i="9"/>
  <c r="T270" i="9" s="1"/>
  <c r="M270" i="9" l="1"/>
  <c r="X269" i="9"/>
  <c r="R268" i="9"/>
  <c r="Q269" i="9"/>
  <c r="W269" i="9" s="1"/>
  <c r="U268" i="9"/>
  <c r="S268" i="9"/>
  <c r="L271" i="9"/>
  <c r="T271" i="9" s="1"/>
  <c r="M271" i="9" l="1"/>
  <c r="X270" i="9"/>
  <c r="R269" i="9"/>
  <c r="Q270" i="9"/>
  <c r="W270" i="9" s="1"/>
  <c r="U269" i="9"/>
  <c r="S269" i="9"/>
  <c r="L272" i="9"/>
  <c r="T272" i="9" s="1"/>
  <c r="M272" i="9" l="1"/>
  <c r="X271" i="9"/>
  <c r="R270" i="9"/>
  <c r="Q271" i="9"/>
  <c r="W271" i="9" s="1"/>
  <c r="S270" i="9"/>
  <c r="U270" i="9"/>
  <c r="L273" i="9"/>
  <c r="T273" i="9" s="1"/>
  <c r="M273" i="9" l="1"/>
  <c r="X272" i="9"/>
  <c r="R271" i="9"/>
  <c r="Q272" i="9"/>
  <c r="W272" i="9" s="1"/>
  <c r="U271" i="9"/>
  <c r="S271" i="9"/>
  <c r="L274" i="9"/>
  <c r="T274" i="9" s="1"/>
  <c r="M274" i="9" l="1"/>
  <c r="X273" i="9"/>
  <c r="R272" i="9"/>
  <c r="Q273" i="9"/>
  <c r="W273" i="9" s="1"/>
  <c r="S272" i="9"/>
  <c r="U272" i="9"/>
  <c r="L275" i="9"/>
  <c r="T275" i="9" s="1"/>
  <c r="M275" i="9" l="1"/>
  <c r="X274" i="9"/>
  <c r="R273" i="9"/>
  <c r="Q274" i="9"/>
  <c r="W274" i="9" s="1"/>
  <c r="U273" i="9"/>
  <c r="S273" i="9"/>
  <c r="L276" i="9"/>
  <c r="T276" i="9" s="1"/>
  <c r="M276" i="9" l="1"/>
  <c r="X275" i="9"/>
  <c r="R274" i="9"/>
  <c r="Q275" i="9"/>
  <c r="W275" i="9" s="1"/>
  <c r="S274" i="9"/>
  <c r="U274" i="9"/>
  <c r="L277" i="9"/>
  <c r="T277" i="9" s="1"/>
  <c r="M277" i="9" l="1"/>
  <c r="X276" i="9"/>
  <c r="R275" i="9"/>
  <c r="Q276" i="9"/>
  <c r="W276" i="9" s="1"/>
  <c r="U275" i="9"/>
  <c r="S275" i="9"/>
  <c r="L278" i="9"/>
  <c r="T278" i="9" s="1"/>
  <c r="M278" i="9" l="1"/>
  <c r="X277" i="9"/>
  <c r="R276" i="9"/>
  <c r="Q277" i="9"/>
  <c r="W277" i="9" s="1"/>
  <c r="U276" i="9"/>
  <c r="S276" i="9"/>
  <c r="L279" i="9"/>
  <c r="T279" i="9" s="1"/>
  <c r="M279" i="9" l="1"/>
  <c r="X278" i="9"/>
  <c r="R277" i="9"/>
  <c r="Q278" i="9"/>
  <c r="W278" i="9" s="1"/>
  <c r="U277" i="9"/>
  <c r="S277" i="9"/>
  <c r="L280" i="9"/>
  <c r="T280" i="9" s="1"/>
  <c r="M280" i="9" l="1"/>
  <c r="X279" i="9"/>
  <c r="R278" i="9"/>
  <c r="Q279" i="9"/>
  <c r="W279" i="9" s="1"/>
  <c r="U278" i="9"/>
  <c r="S278" i="9"/>
  <c r="L281" i="9"/>
  <c r="M281" i="9" l="1"/>
  <c r="X280" i="9"/>
  <c r="L282" i="9"/>
  <c r="T282" i="9" s="1"/>
  <c r="T281" i="9"/>
  <c r="R279" i="9"/>
  <c r="Q280" i="9"/>
  <c r="W280" i="9" s="1"/>
  <c r="U279" i="9"/>
  <c r="S279" i="9"/>
  <c r="L283" i="9" l="1"/>
  <c r="T283" i="9" s="1"/>
  <c r="M282" i="9"/>
  <c r="X281" i="9"/>
  <c r="R280" i="9"/>
  <c r="Q281" i="9"/>
  <c r="W281" i="9" s="1"/>
  <c r="U280" i="9"/>
  <c r="S280" i="9"/>
  <c r="L284" i="9"/>
  <c r="T284" i="9" s="1"/>
  <c r="M283" i="9" l="1"/>
  <c r="X282" i="9"/>
  <c r="Q282" i="9"/>
  <c r="W282" i="9" s="1"/>
  <c r="R281" i="9"/>
  <c r="U281" i="9"/>
  <c r="S281" i="9"/>
  <c r="L285" i="9"/>
  <c r="T285" i="9" s="1"/>
  <c r="M284" i="9" l="1"/>
  <c r="X283" i="9"/>
  <c r="R282" i="9"/>
  <c r="Q283" i="9"/>
  <c r="W283" i="9" s="1"/>
  <c r="S282" i="9"/>
  <c r="U282" i="9"/>
  <c r="L286" i="9"/>
  <c r="T286" i="9" s="1"/>
  <c r="M285" i="9" l="1"/>
  <c r="X284" i="9"/>
  <c r="R283" i="9"/>
  <c r="Q284" i="9"/>
  <c r="W284" i="9" s="1"/>
  <c r="U283" i="9"/>
  <c r="S283" i="9"/>
  <c r="L287" i="9"/>
  <c r="T287" i="9" s="1"/>
  <c r="M286" i="9" l="1"/>
  <c r="X285" i="9"/>
  <c r="R284" i="9"/>
  <c r="Q285" i="9"/>
  <c r="W285" i="9" s="1"/>
  <c r="U284" i="9"/>
  <c r="S284" i="9"/>
  <c r="L288" i="9"/>
  <c r="M287" i="9" l="1"/>
  <c r="X286" i="9"/>
  <c r="L289" i="9"/>
  <c r="T289" i="9" s="1"/>
  <c r="T288" i="9"/>
  <c r="R285" i="9"/>
  <c r="Q286" i="9"/>
  <c r="W286" i="9" s="1"/>
  <c r="U285" i="9"/>
  <c r="S285" i="9"/>
  <c r="M288" i="9" l="1"/>
  <c r="X287" i="9"/>
  <c r="L290" i="9"/>
  <c r="T290" i="9" s="1"/>
  <c r="R286" i="9"/>
  <c r="Q287" i="9"/>
  <c r="W287" i="9" s="1"/>
  <c r="U286" i="9"/>
  <c r="S286" i="9"/>
  <c r="L291" i="9"/>
  <c r="T291" i="9" s="1"/>
  <c r="M289" i="9" l="1"/>
  <c r="X288" i="9"/>
  <c r="R287" i="9"/>
  <c r="Q288" i="9"/>
  <c r="W288" i="9" s="1"/>
  <c r="U287" i="9"/>
  <c r="S287" i="9"/>
  <c r="L292" i="9"/>
  <c r="T292" i="9" s="1"/>
  <c r="M290" i="9" l="1"/>
  <c r="X289" i="9"/>
  <c r="Q289" i="9"/>
  <c r="W289" i="9" s="1"/>
  <c r="R288" i="9"/>
  <c r="U288" i="9"/>
  <c r="S288" i="9"/>
  <c r="L293" i="9"/>
  <c r="M291" i="9" l="1"/>
  <c r="X290" i="9"/>
  <c r="T293" i="9"/>
  <c r="L294" i="9"/>
  <c r="R289" i="9"/>
  <c r="Q290" i="9"/>
  <c r="W290" i="9" s="1"/>
  <c r="S289" i="9"/>
  <c r="U289" i="9"/>
  <c r="M292" i="9" l="1"/>
  <c r="X291" i="9"/>
  <c r="R290" i="9"/>
  <c r="Q291" i="9"/>
  <c r="W291" i="9" s="1"/>
  <c r="U290" i="9"/>
  <c r="S290" i="9"/>
  <c r="T294" i="9"/>
  <c r="L295" i="9"/>
  <c r="M293" i="9" l="1"/>
  <c r="X292" i="9"/>
  <c r="T295" i="9"/>
  <c r="L296" i="9"/>
  <c r="R291" i="9"/>
  <c r="Q292" i="9"/>
  <c r="W292" i="9" s="1"/>
  <c r="U291" i="9"/>
  <c r="S291" i="9"/>
  <c r="M294" i="9" l="1"/>
  <c r="X293" i="9"/>
  <c r="R292" i="9"/>
  <c r="Q293" i="9"/>
  <c r="W293" i="9" s="1"/>
  <c r="U292" i="9"/>
  <c r="S292" i="9"/>
  <c r="T296" i="9"/>
  <c r="L297" i="9"/>
  <c r="M295" i="9" l="1"/>
  <c r="X294" i="9"/>
  <c r="T297" i="9"/>
  <c r="L298" i="9"/>
  <c r="R293" i="9"/>
  <c r="Q294" i="9"/>
  <c r="W294" i="9" s="1"/>
  <c r="U293" i="9"/>
  <c r="S293" i="9"/>
  <c r="X295" i="9" l="1"/>
  <c r="M296" i="9"/>
  <c r="R294" i="9"/>
  <c r="S294" i="9"/>
  <c r="Q295" i="9"/>
  <c r="W295" i="9" s="1"/>
  <c r="U294" i="9"/>
  <c r="T298" i="9"/>
  <c r="L299" i="9"/>
  <c r="M297" i="9" l="1"/>
  <c r="X296" i="9"/>
  <c r="T299" i="9"/>
  <c r="L300" i="9"/>
  <c r="S295" i="9"/>
  <c r="R295" i="9"/>
  <c r="Q296" i="9"/>
  <c r="W296" i="9" s="1"/>
  <c r="U295" i="9"/>
  <c r="M298" i="9" l="1"/>
  <c r="X297" i="9"/>
  <c r="S296" i="9"/>
  <c r="R296" i="9"/>
  <c r="Q297" i="9"/>
  <c r="W297" i="9" s="1"/>
  <c r="U296" i="9"/>
  <c r="T300" i="9"/>
  <c r="L301" i="9"/>
  <c r="M299" i="9" l="1"/>
  <c r="X298" i="9"/>
  <c r="T301" i="9"/>
  <c r="L302" i="9"/>
  <c r="R297" i="9"/>
  <c r="Q298" i="9"/>
  <c r="W298" i="9" s="1"/>
  <c r="S297" i="9"/>
  <c r="U297" i="9"/>
  <c r="M300" i="9" l="1"/>
  <c r="X299" i="9"/>
  <c r="Q299" i="9"/>
  <c r="W299" i="9" s="1"/>
  <c r="S298" i="9"/>
  <c r="R298" i="9"/>
  <c r="U298" i="9"/>
  <c r="L303" i="9"/>
  <c r="T302" i="9"/>
  <c r="M301" i="9" l="1"/>
  <c r="X300" i="9"/>
  <c r="T303" i="9"/>
  <c r="L304" i="9"/>
  <c r="S299" i="9"/>
  <c r="R299" i="9"/>
  <c r="Q300" i="9"/>
  <c r="W300" i="9" s="1"/>
  <c r="U299" i="9"/>
  <c r="M302" i="9" l="1"/>
  <c r="X301" i="9"/>
  <c r="R300" i="9"/>
  <c r="Q301" i="9"/>
  <c r="W301" i="9" s="1"/>
  <c r="S300" i="9"/>
  <c r="U300" i="9"/>
  <c r="L305" i="9"/>
  <c r="L306" i="9" s="1"/>
  <c r="T304" i="9"/>
  <c r="M303" i="9" l="1"/>
  <c r="X302" i="9"/>
  <c r="L307" i="9"/>
  <c r="T306" i="9"/>
  <c r="T305" i="9"/>
  <c r="R301" i="9"/>
  <c r="S301" i="9"/>
  <c r="Q302" i="9"/>
  <c r="W302" i="9" s="1"/>
  <c r="U301" i="9"/>
  <c r="M304" i="9" l="1"/>
  <c r="X303" i="9"/>
  <c r="L308" i="9"/>
  <c r="T307" i="9"/>
  <c r="S302" i="9"/>
  <c r="Q303" i="9"/>
  <c r="W303" i="9" s="1"/>
  <c r="R302" i="9"/>
  <c r="U302" i="9"/>
  <c r="M305" i="9" l="1"/>
  <c r="X304" i="9"/>
  <c r="L309" i="9"/>
  <c r="T308" i="9"/>
  <c r="S303" i="9"/>
  <c r="R303" i="9"/>
  <c r="Q304" i="9"/>
  <c r="W304" i="9" s="1"/>
  <c r="U303" i="9"/>
  <c r="M306" i="9" l="1"/>
  <c r="X305" i="9"/>
  <c r="L310" i="9"/>
  <c r="T309" i="9"/>
  <c r="S304" i="9"/>
  <c r="Q305" i="9"/>
  <c r="R304" i="9"/>
  <c r="U304" i="9"/>
  <c r="Q306" i="9" l="1"/>
  <c r="W306" i="9" s="1"/>
  <c r="W305" i="9"/>
  <c r="M307" i="9"/>
  <c r="X306" i="9"/>
  <c r="U306" i="9"/>
  <c r="L311" i="9"/>
  <c r="T310" i="9"/>
  <c r="R305" i="9"/>
  <c r="S305" i="9"/>
  <c r="U305" i="9"/>
  <c r="Q307" i="9" l="1"/>
  <c r="W307" i="9" s="1"/>
  <c r="S306" i="9"/>
  <c r="R306" i="9"/>
  <c r="M308" i="9"/>
  <c r="X307" i="9"/>
  <c r="L312" i="9"/>
  <c r="T311" i="9"/>
  <c r="Q308" i="9"/>
  <c r="W308" i="9" s="1"/>
  <c r="S307" i="9"/>
  <c r="R307" i="9"/>
  <c r="U307" i="9"/>
  <c r="M309" i="9" l="1"/>
  <c r="X308" i="9"/>
  <c r="S308" i="9"/>
  <c r="Q309" i="9"/>
  <c r="W309" i="9" s="1"/>
  <c r="R308" i="9"/>
  <c r="U308" i="9"/>
  <c r="L313" i="9"/>
  <c r="T312" i="9"/>
  <c r="M310" i="9" l="1"/>
  <c r="X309" i="9"/>
  <c r="L314" i="9"/>
  <c r="T313" i="9"/>
  <c r="Q310" i="9"/>
  <c r="W310" i="9" s="1"/>
  <c r="R309" i="9"/>
  <c r="S309" i="9"/>
  <c r="U309" i="9"/>
  <c r="M311" i="9" l="1"/>
  <c r="X310" i="9"/>
  <c r="S310" i="9"/>
  <c r="Q311" i="9"/>
  <c r="W311" i="9" s="1"/>
  <c r="R310" i="9"/>
  <c r="U310" i="9"/>
  <c r="L315" i="9"/>
  <c r="T314" i="9"/>
  <c r="M312" i="9" l="1"/>
  <c r="X311" i="9"/>
  <c r="L316" i="9"/>
  <c r="T315" i="9"/>
  <c r="S311" i="9"/>
  <c r="Q312" i="9"/>
  <c r="W312" i="9" s="1"/>
  <c r="R311" i="9"/>
  <c r="U311" i="9"/>
  <c r="M313" i="9" l="1"/>
  <c r="X312" i="9"/>
  <c r="S312" i="9"/>
  <c r="Q313" i="9"/>
  <c r="W313" i="9" s="1"/>
  <c r="R312" i="9"/>
  <c r="U312" i="9"/>
  <c r="L317" i="9"/>
  <c r="T316" i="9"/>
  <c r="M314" i="9" l="1"/>
  <c r="X313" i="9"/>
  <c r="L318" i="9"/>
  <c r="T317" i="9"/>
  <c r="S313" i="9"/>
  <c r="Q314" i="9"/>
  <c r="W314" i="9" s="1"/>
  <c r="R313" i="9"/>
  <c r="U313" i="9"/>
  <c r="M315" i="9" l="1"/>
  <c r="X314" i="9"/>
  <c r="S314" i="9"/>
  <c r="Q315" i="9"/>
  <c r="W315" i="9" s="1"/>
  <c r="R314" i="9"/>
  <c r="U314" i="9"/>
  <c r="L319" i="9"/>
  <c r="T318" i="9"/>
  <c r="M316" i="9" l="1"/>
  <c r="X315" i="9"/>
  <c r="L320" i="9"/>
  <c r="T319" i="9"/>
  <c r="S315" i="9"/>
  <c r="R315" i="9"/>
  <c r="Q316" i="9"/>
  <c r="W316" i="9" s="1"/>
  <c r="U315" i="9"/>
  <c r="M317" i="9" l="1"/>
  <c r="X316" i="9"/>
  <c r="Q317" i="9"/>
  <c r="W317" i="9" s="1"/>
  <c r="S316" i="9"/>
  <c r="R316" i="9"/>
  <c r="U316" i="9"/>
  <c r="L321" i="9"/>
  <c r="T320" i="9"/>
  <c r="M318" i="9" l="1"/>
  <c r="X317" i="9"/>
  <c r="L322" i="9"/>
  <c r="T321" i="9"/>
  <c r="R317" i="9"/>
  <c r="S317" i="9"/>
  <c r="Q318" i="9"/>
  <c r="W318" i="9" s="1"/>
  <c r="U317" i="9"/>
  <c r="M319" i="9" l="1"/>
  <c r="X318" i="9"/>
  <c r="S318" i="9"/>
  <c r="Q319" i="9"/>
  <c r="W319" i="9" s="1"/>
  <c r="R318" i="9"/>
  <c r="U318" i="9"/>
  <c r="L323" i="9"/>
  <c r="T322" i="9"/>
  <c r="M320" i="9" l="1"/>
  <c r="X319" i="9"/>
  <c r="L324" i="9"/>
  <c r="T323" i="9"/>
  <c r="S319" i="9"/>
  <c r="Q320" i="9"/>
  <c r="W320" i="9" s="1"/>
  <c r="R319" i="9"/>
  <c r="U319" i="9"/>
  <c r="M321" i="9" l="1"/>
  <c r="X320" i="9"/>
  <c r="R320" i="9"/>
  <c r="Q321" i="9"/>
  <c r="W321" i="9" s="1"/>
  <c r="S320" i="9"/>
  <c r="U320" i="9"/>
  <c r="L325" i="9"/>
  <c r="T324" i="9"/>
  <c r="M322" i="9" l="1"/>
  <c r="X321" i="9"/>
  <c r="L326" i="9"/>
  <c r="T325" i="9"/>
  <c r="S321" i="9"/>
  <c r="Q322" i="9"/>
  <c r="W322" i="9" s="1"/>
  <c r="R321" i="9"/>
  <c r="U321" i="9"/>
  <c r="M323" i="9" l="1"/>
  <c r="X322" i="9"/>
  <c r="R322" i="9"/>
  <c r="S322" i="9"/>
  <c r="Q323" i="9"/>
  <c r="W323" i="9" s="1"/>
  <c r="U322" i="9"/>
  <c r="L327" i="9"/>
  <c r="T326" i="9"/>
  <c r="M324" i="9" l="1"/>
  <c r="X323" i="9"/>
  <c r="L328" i="9"/>
  <c r="T327" i="9"/>
  <c r="S323" i="9"/>
  <c r="R323" i="9"/>
  <c r="Q324" i="9"/>
  <c r="W324" i="9" s="1"/>
  <c r="U323" i="9"/>
  <c r="M325" i="9" l="1"/>
  <c r="X324" i="9"/>
  <c r="Q325" i="9"/>
  <c r="W325" i="9" s="1"/>
  <c r="S324" i="9"/>
  <c r="R324" i="9"/>
  <c r="U324" i="9"/>
  <c r="L329" i="9"/>
  <c r="T328" i="9"/>
  <c r="M326" i="9" l="1"/>
  <c r="X325" i="9"/>
  <c r="L330" i="9"/>
  <c r="L331" i="9" s="1"/>
  <c r="T329" i="9"/>
  <c r="R325" i="9"/>
  <c r="Q326" i="9"/>
  <c r="W326" i="9" s="1"/>
  <c r="S325" i="9"/>
  <c r="U325" i="9"/>
  <c r="M327" i="9" l="1"/>
  <c r="X326" i="9"/>
  <c r="L332" i="9"/>
  <c r="L333" i="9" s="1"/>
  <c r="T331" i="9"/>
  <c r="Q327" i="9"/>
  <c r="W327" i="9" s="1"/>
  <c r="S326" i="9"/>
  <c r="R326" i="9"/>
  <c r="U326" i="9"/>
  <c r="T330" i="9"/>
  <c r="M328" i="9" l="1"/>
  <c r="X327" i="9"/>
  <c r="L334" i="9"/>
  <c r="T333" i="9"/>
  <c r="T332" i="9"/>
  <c r="Q328" i="9"/>
  <c r="W328" i="9" s="1"/>
  <c r="R327" i="9"/>
  <c r="S327" i="9"/>
  <c r="U327" i="9"/>
  <c r="M329" i="9" l="1"/>
  <c r="X328" i="9"/>
  <c r="T334" i="9"/>
  <c r="L335" i="9"/>
  <c r="S328" i="9"/>
  <c r="Q329" i="9"/>
  <c r="W329" i="9" s="1"/>
  <c r="R328" i="9"/>
  <c r="U328" i="9"/>
  <c r="M330" i="9" l="1"/>
  <c r="X329" i="9"/>
  <c r="L336" i="9"/>
  <c r="T335" i="9"/>
  <c r="Q330" i="9"/>
  <c r="R329" i="9"/>
  <c r="S329" i="9"/>
  <c r="U329" i="9"/>
  <c r="Q331" i="9" l="1"/>
  <c r="W331" i="9" s="1"/>
  <c r="W330" i="9"/>
  <c r="M331" i="9"/>
  <c r="X330" i="9"/>
  <c r="L337" i="9"/>
  <c r="T336" i="9"/>
  <c r="R330" i="9"/>
  <c r="S330" i="9"/>
  <c r="U330" i="9"/>
  <c r="R331" i="9" l="1"/>
  <c r="Q332" i="9"/>
  <c r="S331" i="9"/>
  <c r="M332" i="9"/>
  <c r="R332" i="9" s="1"/>
  <c r="X331" i="9"/>
  <c r="U331" i="9"/>
  <c r="Q333" i="9"/>
  <c r="W333" i="9" s="1"/>
  <c r="W332" i="9"/>
  <c r="L338" i="9"/>
  <c r="L339" i="9" s="1"/>
  <c r="T337" i="9"/>
  <c r="S332" i="9"/>
  <c r="U332" i="9"/>
  <c r="S333" i="9" l="1"/>
  <c r="Q334" i="9"/>
  <c r="W334" i="9" s="1"/>
  <c r="M333" i="9"/>
  <c r="X332" i="9"/>
  <c r="L340" i="9"/>
  <c r="T339" i="9"/>
  <c r="T338" i="9"/>
  <c r="S334" i="9"/>
  <c r="Q335" i="9" l="1"/>
  <c r="W335" i="9" s="1"/>
  <c r="M334" i="9"/>
  <c r="X333" i="9"/>
  <c r="U333" i="9"/>
  <c r="R333" i="9"/>
  <c r="L341" i="9"/>
  <c r="T340" i="9"/>
  <c r="S335" i="9"/>
  <c r="Q336" i="9"/>
  <c r="W336" i="9" s="1"/>
  <c r="M335" i="9" l="1"/>
  <c r="X334" i="9"/>
  <c r="R334" i="9"/>
  <c r="U334" i="9"/>
  <c r="L342" i="9"/>
  <c r="T341" i="9"/>
  <c r="Q337" i="9"/>
  <c r="W337" i="9" s="1"/>
  <c r="S336" i="9"/>
  <c r="M336" i="9" l="1"/>
  <c r="X335" i="9"/>
  <c r="U335" i="9"/>
  <c r="R335" i="9"/>
  <c r="L343" i="9"/>
  <c r="L344" i="9" s="1"/>
  <c r="T342" i="9"/>
  <c r="S337" i="9"/>
  <c r="Q338" i="9"/>
  <c r="Q339" i="9" l="1"/>
  <c r="W339" i="9" s="1"/>
  <c r="W338" i="9"/>
  <c r="L345" i="9"/>
  <c r="T344" i="9"/>
  <c r="M337" i="9"/>
  <c r="X336" i="9"/>
  <c r="U336" i="9"/>
  <c r="R336" i="9"/>
  <c r="T343" i="9"/>
  <c r="S338" i="9"/>
  <c r="S339" i="9" l="1"/>
  <c r="Q340" i="9"/>
  <c r="W340" i="9" s="1"/>
  <c r="L346" i="9"/>
  <c r="T345" i="9"/>
  <c r="M338" i="9"/>
  <c r="X337" i="9"/>
  <c r="U337" i="9"/>
  <c r="R337" i="9"/>
  <c r="Q341" i="9" l="1"/>
  <c r="W341" i="9" s="1"/>
  <c r="S340" i="9"/>
  <c r="M339" i="9"/>
  <c r="X338" i="9"/>
  <c r="R338" i="9"/>
  <c r="U338" i="9"/>
  <c r="L347" i="9"/>
  <c r="T346" i="9"/>
  <c r="Q342" i="9"/>
  <c r="W342" i="9" s="1"/>
  <c r="S341" i="9" l="1"/>
  <c r="L348" i="9"/>
  <c r="L349" i="9" s="1"/>
  <c r="T347" i="9"/>
  <c r="M340" i="9"/>
  <c r="X339" i="9"/>
  <c r="U339" i="9"/>
  <c r="R339" i="9"/>
  <c r="S342" i="9"/>
  <c r="Q343" i="9"/>
  <c r="L350" i="9" l="1"/>
  <c r="T349" i="9"/>
  <c r="M341" i="9"/>
  <c r="X340" i="9"/>
  <c r="R340" i="9"/>
  <c r="U340" i="9"/>
  <c r="T348" i="9"/>
  <c r="W343" i="9"/>
  <c r="Q344" i="9"/>
  <c r="S343" i="9"/>
  <c r="L351" i="9" l="1"/>
  <c r="T350" i="9"/>
  <c r="W344" i="9"/>
  <c r="S344" i="9"/>
  <c r="Q345" i="9"/>
  <c r="M342" i="9"/>
  <c r="X341" i="9"/>
  <c r="R341" i="9"/>
  <c r="U341" i="9"/>
  <c r="T351" i="9" l="1"/>
  <c r="L352" i="9"/>
  <c r="Q346" i="9"/>
  <c r="W345" i="9"/>
  <c r="S345" i="9"/>
  <c r="M343" i="9"/>
  <c r="X342" i="9"/>
  <c r="R342" i="9"/>
  <c r="U342" i="9"/>
  <c r="T352" i="9" l="1"/>
  <c r="L353" i="9"/>
  <c r="X343" i="9"/>
  <c r="M344" i="9"/>
  <c r="U343" i="9"/>
  <c r="R343" i="9"/>
  <c r="W346" i="9"/>
  <c r="Q347" i="9"/>
  <c r="S346" i="9"/>
  <c r="T353" i="9" l="1"/>
  <c r="L354" i="9"/>
  <c r="W347" i="9"/>
  <c r="Q348" i="9"/>
  <c r="Q349" i="9" s="1"/>
  <c r="S347" i="9"/>
  <c r="X344" i="9"/>
  <c r="M345" i="9"/>
  <c r="U344" i="9"/>
  <c r="R344" i="9"/>
  <c r="Q350" i="9" l="1"/>
  <c r="W349" i="9"/>
  <c r="S349" i="9"/>
  <c r="L355" i="9"/>
  <c r="T354" i="9"/>
  <c r="W348" i="9"/>
  <c r="S348" i="9"/>
  <c r="M346" i="9"/>
  <c r="X345" i="9"/>
  <c r="U345" i="9"/>
  <c r="R345" i="9"/>
  <c r="T355" i="9" l="1"/>
  <c r="L356" i="9"/>
  <c r="W350" i="9"/>
  <c r="Q351" i="9"/>
  <c r="S350" i="9"/>
  <c r="X346" i="9"/>
  <c r="M347" i="9"/>
  <c r="U346" i="9"/>
  <c r="R346" i="9"/>
  <c r="W351" i="9" l="1"/>
  <c r="Q352" i="9"/>
  <c r="S351" i="9"/>
  <c r="T356" i="9"/>
  <c r="L357" i="9"/>
  <c r="X347" i="9"/>
  <c r="M348" i="9"/>
  <c r="M349" i="9" s="1"/>
  <c r="U347" i="9"/>
  <c r="R347" i="9"/>
  <c r="W352" i="9" l="1"/>
  <c r="Q353" i="9"/>
  <c r="S352" i="9"/>
  <c r="T357" i="9"/>
  <c r="L358" i="9"/>
  <c r="X349" i="9"/>
  <c r="M350" i="9"/>
  <c r="U349" i="9"/>
  <c r="R349" i="9"/>
  <c r="X348" i="9"/>
  <c r="U348" i="9"/>
  <c r="R348" i="9"/>
  <c r="T358" i="9" l="1"/>
  <c r="L359" i="9"/>
  <c r="Q354" i="9"/>
  <c r="W353" i="9"/>
  <c r="S353" i="9"/>
  <c r="M351" i="9"/>
  <c r="X350" i="9"/>
  <c r="U350" i="9"/>
  <c r="R350" i="9"/>
  <c r="Q355" i="9" l="1"/>
  <c r="S354" i="9"/>
  <c r="W354" i="9"/>
  <c r="M352" i="9"/>
  <c r="X351" i="9"/>
  <c r="U351" i="9"/>
  <c r="R351" i="9"/>
  <c r="L360" i="9"/>
  <c r="L361" i="9" s="1"/>
  <c r="L362" i="9" s="1"/>
  <c r="T359" i="9"/>
  <c r="L363" i="9" l="1"/>
  <c r="T362" i="9"/>
  <c r="X352" i="9"/>
  <c r="M353" i="9"/>
  <c r="U352" i="9"/>
  <c r="R352" i="9"/>
  <c r="T360" i="9"/>
  <c r="W355" i="9"/>
  <c r="Q356" i="9"/>
  <c r="S355" i="9"/>
  <c r="L364" i="9" l="1"/>
  <c r="T363" i="9"/>
  <c r="T361" i="9"/>
  <c r="W356" i="9"/>
  <c r="Q357" i="9"/>
  <c r="S356" i="9"/>
  <c r="X353" i="9"/>
  <c r="M354" i="9"/>
  <c r="U353" i="9"/>
  <c r="R353" i="9"/>
  <c r="L365" i="9" l="1"/>
  <c r="T364" i="9"/>
  <c r="Q358" i="9"/>
  <c r="W357" i="9"/>
  <c r="S357" i="9"/>
  <c r="M355" i="9"/>
  <c r="X354" i="9"/>
  <c r="U354" i="9"/>
  <c r="R354" i="9"/>
  <c r="L366" i="9" l="1"/>
  <c r="T365" i="9"/>
  <c r="M356" i="9"/>
  <c r="X355" i="9"/>
  <c r="U355" i="9"/>
  <c r="R355" i="9"/>
  <c r="S358" i="9"/>
  <c r="Q359" i="9"/>
  <c r="W358" i="9"/>
  <c r="L367" i="9" l="1"/>
  <c r="T366" i="9"/>
  <c r="W359" i="9"/>
  <c r="Q360" i="9"/>
  <c r="S359" i="9"/>
  <c r="X356" i="9"/>
  <c r="M357" i="9"/>
  <c r="U356" i="9"/>
  <c r="R356" i="9"/>
  <c r="L368" i="9" l="1"/>
  <c r="T367" i="9"/>
  <c r="X357" i="9"/>
  <c r="M358" i="9"/>
  <c r="U357" i="9"/>
  <c r="R357" i="9"/>
  <c r="W360" i="9"/>
  <c r="Q361" i="9"/>
  <c r="Q362" i="9" s="1"/>
  <c r="S360" i="9"/>
  <c r="W362" i="9" l="1"/>
  <c r="S362" i="9"/>
  <c r="Q363" i="9"/>
  <c r="L369" i="9"/>
  <c r="T368" i="9"/>
  <c r="W361" i="9"/>
  <c r="S361" i="9"/>
  <c r="M359" i="9"/>
  <c r="X358" i="9"/>
  <c r="U358" i="9"/>
  <c r="R358" i="9"/>
  <c r="L370" i="9" l="1"/>
  <c r="T369" i="9"/>
  <c r="W363" i="9"/>
  <c r="Q364" i="9"/>
  <c r="S363" i="9"/>
  <c r="M360" i="9"/>
  <c r="X359" i="9"/>
  <c r="U359" i="9"/>
  <c r="R359" i="9"/>
  <c r="Q365" i="9" l="1"/>
  <c r="S364" i="9"/>
  <c r="W364" i="9"/>
  <c r="L371" i="9"/>
  <c r="T370" i="9"/>
  <c r="M361" i="9"/>
  <c r="M362" i="9" s="1"/>
  <c r="X360" i="9"/>
  <c r="U360" i="9"/>
  <c r="R360" i="9"/>
  <c r="T371" i="9" l="1"/>
  <c r="M363" i="9"/>
  <c r="X362" i="9"/>
  <c r="U362" i="9"/>
  <c r="R362" i="9"/>
  <c r="S365" i="9"/>
  <c r="Q366" i="9"/>
  <c r="W365" i="9"/>
  <c r="X361" i="9"/>
  <c r="U361" i="9"/>
  <c r="R361" i="9"/>
  <c r="Q367" i="9" l="1"/>
  <c r="S366" i="9"/>
  <c r="W366" i="9"/>
  <c r="M364" i="9"/>
  <c r="X363" i="9"/>
  <c r="U363" i="9"/>
  <c r="R363" i="9"/>
  <c r="M365" i="9" l="1"/>
  <c r="X364" i="9"/>
  <c r="U364" i="9"/>
  <c r="R364" i="9"/>
  <c r="Q368" i="9"/>
  <c r="S367" i="9"/>
  <c r="W367" i="9"/>
  <c r="W368" i="9" l="1"/>
  <c r="Q369" i="9"/>
  <c r="S368" i="9"/>
  <c r="M366" i="9"/>
  <c r="X365" i="9"/>
  <c r="U365" i="9"/>
  <c r="R365" i="9"/>
  <c r="X366" i="9" l="1"/>
  <c r="M367" i="9"/>
  <c r="U366" i="9"/>
  <c r="R366" i="9"/>
  <c r="S369" i="9"/>
  <c r="Q370" i="9"/>
  <c r="W369" i="9"/>
  <c r="Q371" i="9" l="1"/>
  <c r="S370" i="9"/>
  <c r="W370" i="9"/>
  <c r="X367" i="9"/>
  <c r="M368" i="9"/>
  <c r="U367" i="9"/>
  <c r="R367" i="9"/>
  <c r="X368" i="9" l="1"/>
  <c r="M369" i="9"/>
  <c r="U368" i="9"/>
  <c r="R368" i="9"/>
  <c r="W371" i="9"/>
  <c r="S371" i="9"/>
  <c r="M370" i="9" l="1"/>
  <c r="X369" i="9"/>
  <c r="U369" i="9"/>
  <c r="R369" i="9"/>
  <c r="M371" i="9" l="1"/>
  <c r="X370" i="9"/>
  <c r="U370" i="9"/>
  <c r="R370" i="9"/>
  <c r="X371" i="9" l="1"/>
  <c r="U371" i="9"/>
  <c r="R371" i="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<sst xmlns="http://schemas.openxmlformats.org/spreadsheetml/2006/main" count="1932" uniqueCount="393">
  <si>
    <t>JWU</t>
  </si>
  <si>
    <t>PKN</t>
  </si>
  <si>
    <t>YMI</t>
  </si>
  <si>
    <t>SJU</t>
  </si>
  <si>
    <t>CBO</t>
  </si>
  <si>
    <t>DF Statistics</t>
  </si>
  <si>
    <t>Name:</t>
  </si>
  <si>
    <t>Points:</t>
  </si>
  <si>
    <t>%:</t>
  </si>
  <si>
    <t>%m:</t>
  </si>
  <si>
    <t>E:</t>
  </si>
  <si>
    <t>Date:</t>
  </si>
  <si>
    <t>Part:</t>
  </si>
  <si>
    <t>Participation:</t>
  </si>
  <si>
    <t>Debitors:</t>
  </si>
  <si>
    <t>Reason:</t>
  </si>
  <si>
    <t>Amount:</t>
  </si>
  <si>
    <t>Paid:</t>
  </si>
  <si>
    <t>njet</t>
  </si>
  <si>
    <t>DEBITORS TOTAL:</t>
  </si>
  <si>
    <t>Yearly Amount</t>
  </si>
  <si>
    <t>MSO</t>
  </si>
  <si>
    <t>MST</t>
  </si>
  <si>
    <r>
      <t>nje</t>
    </r>
    <r>
      <rPr>
        <sz val="11"/>
        <color theme="1"/>
        <rFont val="Consolas"/>
        <family val="3"/>
      </rPr>
      <t>t</t>
    </r>
  </si>
  <si>
    <t>Missing Penalty</t>
  </si>
  <si>
    <t>si</t>
  </si>
  <si>
    <t>Access to DF chlopfetä:</t>
  </si>
  <si>
    <t>Special Treatment:</t>
  </si>
  <si>
    <t>njet, sehr ehrevoll</t>
  </si>
  <si>
    <t>si, unehrevoll, aber verständlich</t>
  </si>
  <si>
    <t>CÄSHRESERVES TOTAL:</t>
  </si>
  <si>
    <t>TOTAL ASSETS</t>
  </si>
  <si>
    <t>MSO/MST</t>
  </si>
  <si>
    <t>Jinderletscht</t>
  </si>
  <si>
    <t>Name</t>
  </si>
  <si>
    <t>Points</t>
  </si>
  <si>
    <t>Penalties</t>
  </si>
  <si>
    <t>Total $</t>
  </si>
  <si>
    <t>Huso</t>
  </si>
  <si>
    <t>Juso</t>
  </si>
  <si>
    <t>Points 16</t>
  </si>
  <si>
    <t>inkl. Spende</t>
  </si>
  <si>
    <t>Rang und</t>
  </si>
  <si>
    <t>LIFO</t>
  </si>
  <si>
    <t>Uninformed Absence</t>
  </si>
  <si>
    <t>Total PR%</t>
  </si>
  <si>
    <t>Was machsch du so</t>
  </si>
  <si>
    <t>LI</t>
  </si>
  <si>
    <t>Overall</t>
  </si>
  <si>
    <t>si, grande</t>
  </si>
  <si>
    <t>njet, vergesse im Estrich</t>
  </si>
  <si>
    <t>njet, vergesse bi dä Erika</t>
  </si>
  <si>
    <t>si, scho am Flughafe blöfft</t>
  </si>
  <si>
    <t>Has proudly worn his own DF Shirt and PIN at QUO VADIS V1 (2020)</t>
  </si>
  <si>
    <t>LIFO+</t>
  </si>
  <si>
    <t>Coronas</t>
  </si>
  <si>
    <t>Zero</t>
  </si>
  <si>
    <t>Ämtli</t>
  </si>
  <si>
    <t>Massregler, DFQV-Mitorganisierer</t>
  </si>
  <si>
    <t>Kassier, DFQV-Mitorganisierer</t>
  </si>
  <si>
    <t>Auditor</t>
  </si>
  <si>
    <t>Präsident, Iladigsversender</t>
  </si>
  <si>
    <t>Other titles</t>
  </si>
  <si>
    <t>Statistikskönig</t>
  </si>
  <si>
    <t>Blöffer, Wiederiträtter</t>
  </si>
  <si>
    <t>Marketingchef</t>
  </si>
  <si>
    <t>Symposierer</t>
  </si>
  <si>
    <t>Loyalitätspokalhalter</t>
  </si>
  <si>
    <t>Brügler Ultralight</t>
  </si>
  <si>
    <t>Fehlt jede xti DF</t>
  </si>
  <si>
    <t>Total</t>
  </si>
  <si>
    <t>Prognose-und-Estimation-Nonprofit-Institute of Safran</t>
  </si>
  <si>
    <t>(PENIS)</t>
  </si>
  <si>
    <r>
      <t>1.</t>
    </r>
    <r>
      <rPr>
        <sz val="7"/>
        <color theme="1"/>
        <rFont val="Times New Roman"/>
        <family val="1"/>
      </rPr>
      <t xml:space="preserve">      </t>
    </r>
    <r>
      <rPr>
        <sz val="11"/>
        <color theme="1"/>
        <rFont val="Comic Sans MS"/>
        <family val="4"/>
      </rPr>
      <t>YMI (203.8%)</t>
    </r>
  </si>
  <si>
    <r>
      <t>2.</t>
    </r>
    <r>
      <rPr>
        <sz val="7"/>
        <color theme="1"/>
        <rFont val="Times New Roman"/>
        <family val="1"/>
      </rPr>
      <t xml:space="preserve">      </t>
    </r>
    <r>
      <rPr>
        <sz val="11"/>
        <color theme="1"/>
        <rFont val="Comic Sans MS"/>
        <family val="4"/>
      </rPr>
      <t>SJU (134.6%)</t>
    </r>
  </si>
  <si>
    <r>
      <t>3.</t>
    </r>
    <r>
      <rPr>
        <sz val="7"/>
        <color theme="1"/>
        <rFont val="Times New Roman"/>
        <family val="1"/>
      </rPr>
      <t xml:space="preserve">      </t>
    </r>
    <r>
      <rPr>
        <sz val="11"/>
        <color theme="1"/>
        <rFont val="Comic Sans MS"/>
        <family val="4"/>
      </rPr>
      <t>PKN (123.1%)</t>
    </r>
  </si>
  <si>
    <r>
      <t>4.</t>
    </r>
    <r>
      <rPr>
        <sz val="7"/>
        <color theme="1"/>
        <rFont val="Times New Roman"/>
        <family val="1"/>
      </rPr>
      <t xml:space="preserve">      </t>
    </r>
    <r>
      <rPr>
        <sz val="11"/>
        <color theme="1"/>
        <rFont val="Comic Sans MS"/>
        <family val="4"/>
      </rPr>
      <t>MSO/MST und JWU (je 116.5%)</t>
    </r>
  </si>
  <si>
    <r>
      <t>5.</t>
    </r>
    <r>
      <rPr>
        <sz val="7"/>
        <color theme="1"/>
        <rFont val="Times New Roman"/>
        <family val="1"/>
      </rPr>
      <t xml:space="preserve">      </t>
    </r>
    <r>
      <rPr>
        <sz val="11"/>
        <color theme="1"/>
        <rFont val="Comic Sans MS"/>
        <family val="4"/>
      </rPr>
      <t>CBO (-11.5%)</t>
    </r>
  </si>
  <si>
    <t>Jede, zum Glück</t>
  </si>
  <si>
    <t>Virus ja, Chrönli njet</t>
  </si>
  <si>
    <t>Weize</t>
  </si>
  <si>
    <t>Bizli beides</t>
  </si>
  <si>
    <t>Spreu or Weizen?</t>
  </si>
  <si>
    <t>Crevette-Bouquet-Onion</t>
  </si>
  <si>
    <t>Ex-Statistiker (entlah)</t>
  </si>
  <si>
    <t>*1 via Call</t>
  </si>
  <si>
    <t>Win 4 Life Return</t>
  </si>
  <si>
    <t>Schäresteipapier-Bättul - Best of 19 um äs Bière</t>
  </si>
  <si>
    <t>-</t>
  </si>
  <si>
    <t>Jin (alias JUSO, verdient kei DF abchürzig)</t>
  </si>
  <si>
    <t>njet, well giizig</t>
  </si>
  <si>
    <t>extra vill verachtig, well giizig</t>
  </si>
  <si>
    <t>Hät scho verlorä im läbe</t>
  </si>
  <si>
    <t>Cha sich weder ä Schär, än Stei, und scho gar kei Papier leischtä</t>
  </si>
  <si>
    <t>J dä verräter</t>
  </si>
  <si>
    <t>22.12.2017</t>
  </si>
  <si>
    <t xml:space="preserve">Missing Penalty </t>
  </si>
  <si>
    <t>DFs '16</t>
  </si>
  <si>
    <t>DFs '17</t>
  </si>
  <si>
    <t>DFs '18</t>
  </si>
  <si>
    <t>DFs '19</t>
  </si>
  <si>
    <t>DFs '20</t>
  </si>
  <si>
    <t>Vorsprung zum Nächschte</t>
  </si>
  <si>
    <t>Spreu und Gurke</t>
  </si>
  <si>
    <t>1 (+5)</t>
  </si>
  <si>
    <t>3 (-2)</t>
  </si>
  <si>
    <t>6 (-4)</t>
  </si>
  <si>
    <t>2 (-1)</t>
  </si>
  <si>
    <t>5 (-1)</t>
  </si>
  <si>
    <t>1 (+1)</t>
  </si>
  <si>
    <t>2 (+1)</t>
  </si>
  <si>
    <t>3 (-1)</t>
  </si>
  <si>
    <t>Rang</t>
  </si>
  <si>
    <t>JWI</t>
  </si>
  <si>
    <t>LIFO Penalty</t>
  </si>
  <si>
    <t/>
  </si>
  <si>
    <t>Rückstand zum König</t>
  </si>
  <si>
    <t>Miss 16</t>
  </si>
  <si>
    <t>Miss 17</t>
  </si>
  <si>
    <t>Miss 18</t>
  </si>
  <si>
    <t>Miss 19</t>
  </si>
  <si>
    <t>Miss 20</t>
  </si>
  <si>
    <t>Hauptstatistiker,  Vizepräsident, Vize-iladigsversender, Frauebeuftreite, Glichberechtigungsbeamte</t>
  </si>
  <si>
    <t>König isch x Mal so vill am DF gsi</t>
  </si>
  <si>
    <t>SCHNIFO</t>
  </si>
  <si>
    <t>Available</t>
  </si>
  <si>
    <t>CÄSHRESERVES + Paid</t>
  </si>
  <si>
    <t>PR% 20</t>
  </si>
  <si>
    <t>PR% 19</t>
  </si>
  <si>
    <t>PR% 18</t>
  </si>
  <si>
    <t>PR% 17</t>
  </si>
  <si>
    <t>PR% 16</t>
  </si>
  <si>
    <t>DFs 21</t>
  </si>
  <si>
    <t>Pen 16</t>
  </si>
  <si>
    <t>Pen 17</t>
  </si>
  <si>
    <t>Pen 18</t>
  </si>
  <si>
    <t>Pen 19</t>
  </si>
  <si>
    <t>Pen 20</t>
  </si>
  <si>
    <t>Miss 21</t>
  </si>
  <si>
    <t>Pen 21</t>
  </si>
  <si>
    <t>P17</t>
  </si>
  <si>
    <t>P18</t>
  </si>
  <si>
    <t>P19</t>
  </si>
  <si>
    <t>P20</t>
  </si>
  <si>
    <t>P21</t>
  </si>
  <si>
    <t>DF Stat Comments</t>
  </si>
  <si>
    <t>Stats mit chline apassige nach äm ustritt vo dä obergurkä</t>
  </si>
  <si>
    <t xml:space="preserve">DF Stats mit neuer Logik für dä YMI (171.00 wie dä CBO). 
Mir wünsched äm selbsternenntä König und Präsident vom DF schöni Feriä und vill Nasemehl
</t>
  </si>
  <si>
    <t>Projektion vo dä DF Buesse bis dä SJU wieder zrugg isch (Afang September): 1056.5 CHF</t>
  </si>
  <si>
    <t xml:space="preserve">Grande YMI isch wieder mal däbi gsi, und hät dämit sin obligatorischä DF Bsuech vom 2. Halbjahr 2018 scho erfüllt. </t>
  </si>
  <si>
    <t>So än DF im Schattä isch doch öppis schöns, da lacht das Herz. Ab jetzt gits jedi Wuche mindestens 33.- Zuewachs zum DF Vermögä bis Afang September, es chunnt chnüppeldick für alli mit Sonderregelig</t>
  </si>
  <si>
    <t>Ohne Worte</t>
  </si>
  <si>
    <t>Nächscht wuche simmer über 1000.- (das sind 90.9 kebabs ohni dosegetränk)</t>
  </si>
  <si>
    <t xml:space="preserve">Miserablè, bin eifach dä einzig gsi letschte Fritig und han grad na ä LIFO gchlöpft. Projektion für nächscht Wuche sind 1095.-
Oooooh ich freu mi so dass dä SJU bald wieder zrugg isch, und ich wär so enttüscht wänn dä Jin nöd vo mä Krokodil verspiese wird!
</t>
  </si>
  <si>
    <t xml:space="preserve">DF Stats, ab jetzt gahts nüme so steil ufä, ussert dä Knechtli chunnt wiiterhin nöd an DF. Aber glich scho 1062.- CHF im Topf, nur na bäreschwach.
GGG
Gurkä und alli Tomatä
</t>
  </si>
  <si>
    <t xml:space="preserve">Alles wo Rang und Name hät isch hüt am Start gsi!
Und de Schoggi
</t>
  </si>
  <si>
    <t xml:space="preserve">Ola
Da no dStats vo hüt. Danke für nüt MSO/MST.
@Annique: Darf ich dich bitten, aufgrund von Yannicks Abwesenheit die DF Stats auf ihre Korrektheit zu überprüfen. Besten Dank
</t>
  </si>
  <si>
    <t>Cyril, chunsch nögscht wuche?</t>
  </si>
  <si>
    <t xml:space="preserve">Wie scho im DF-Chat atönt chönnts knapp werdä für dä CBO, und drum au für dä Yannick. Villicht gits äs 2000.- Budget zum verchlöpfä. </t>
  </si>
  <si>
    <t xml:space="preserve">Mit bitzeli verspätig (scusi) chömmed endlich d’DF stats. Grande Statistiker. 
GGG
MSO/MST 
</t>
  </si>
  <si>
    <t xml:space="preserve">DF Stats, extra Stei wo vom DF Statistiker grüehrt wordä sind (und Lob an bärestarche und ehrewertä SJU), sind gelb markiert. 
Schöne Hinnich, und bis am Fritig
</t>
  </si>
  <si>
    <t>Momentan ligemer bi stolze CHF 1‘265.50 (CHF 210.90 pro DF™-Mitglied)</t>
  </si>
  <si>
    <t xml:space="preserve">Momentan ligemer bi stoRze CHF 1‘276.50 (CHF 212.75 pro DF™-Mitglied)
Forecast Betrag DF™–Chlopfetä: CHF 1320.50 (CHF 220.08333333333333 pro DF™-Mitglied)
Frohs Pokerä hüt abig
</t>
  </si>
  <si>
    <t xml:space="preserve">Werti Dame und Herrä, 
Unglaublichi CHF 1'320.50 sind bereits i dä virtuelle DF™-Kasse. Vill Spass bim isammle und umeträge, Miller  
Projection für DF™-Chlopfetä gseht wie folgt us (chönnt au falsch si, isch hald ä Projection):
Rang und Name                                     Betrag (CHF)     Verdikt
1. MSO/MST                                                        149.00                  König, 2 Mal am Stuck am meischtä DF™-Bsüech
2. JWU                                                                194.50                  Überhaupt na Mitglied? Je Mitglied gsi? Usträtte ohni öppis z’säge? Jedefalls scho lang nüme gseh im Kebabstübli am Waffeplatz
3. PKN                                                                  215.00                  Immer am Platz bsetze für eus, endlich mal nützlich für d‘Gsellschaft
4. SJU                                                                 251.00                  Legendä und verdientä President, äs Vorbild für alli, insbesondere für dä Jin, diä giizigi Rattä
5. CBO                                                                 262.00                 Unehremitglied 1, immerhin na Supporter vom grande EVZ
5. YMI                                                                 262.00                 Unehremitglied 2, än grosse Fan vom Arno und sinä neue Jünger, wo das Jahr d’Playoffs werded verpasse
Letschtä und sowiso keis Mitglied meh: Jin             53.00                 Dä Jinderletscht
Durchschnitt                                                       231.06
Total                                                  1'386.50 
Freundlich grüsst
MSO/MST
Hauptstatistiker, Vize-Iladigsversänder, neue Vizepräsident ad-interim (selbschternannt)
</t>
  </si>
  <si>
    <t xml:space="preserve">Unglaublichi CHF 1430.50 sind i dä virtuelle Kasse, mal luege was a dem letschte DF vom Fiskaljahr na passiert. 
Ä chlini Vorwarnig für die beide Schmarotzer wo s’ganze Jahr nüt mached:
• PKN (au Chnächtli gnannt): Bitte am Fritig nach dä letschtä Statistik dini Revisionskünscht waltä lah
• YMI: bitte am Fritig alles Geld itribe, au vom Jinderletschtä!
Grande grande grande
Hauptstatistiker
Vize-Iladigsversender
Vize-Präsident
MSO/MST
</t>
  </si>
  <si>
    <t xml:space="preserve">Mini werte Dame und Herre, 
Das sind di letschtä DF Stats vom derzitige Fiskaljahr. 
Bitte revisionidierä und dänn d’Beträg unde bestätige:
YMI CHF 273.00
CBO CHF 273.00
SJU CHF 262.00
JWU CHF 216.50
PKN CHF 215.00
MST CHF 149.00
Jin (alias JUSO, verdient kei DF abchürzig) CHF 53.00
DEBITORS TOTAL: CHF 1'441.50
Miller, bitte au bim Jinderletschtä go Geld itribe. 
Grand Salutations und bis hüt Abig
</t>
  </si>
  <si>
    <t xml:space="preserve">Die Wuche gits än Donner  voll geil
Es wird bald Früehlig  bärestarch
Dä Z isch nöd i dä Playoffs (wie akündet)  unbezahlbar 
</t>
  </si>
  <si>
    <t xml:space="preserve">Werti Mitglieder und Teamleader Data Management &amp; Development.
Im Ahang finded si di aktuellschtä DF-Stats, inklusive dä vill besprochene (und höchscht unfründlich verlangte) all-time history stats vom ehrewerte DF. Es paar interessanti Fakte gits jetzt grad, oder im aghänkte File. 
2 disclaimer a alli wo sich die Zahle wennd gnauer aluege: 
• Dä Jinderletscht dä Juso isch au i dä Statistik, aber versteckt, well er so än niedere Mensch isch
• Dä MSO/MST isch nach 7 initiale DF-Bsüech zum grossartigschte Verein uf dä Welt gstosse, und hät drum ä schiinbar zu hochi Partizipationsrate, wo aber korrekt isch
1. Ustritt us äm DF: 
JWU                                      1
Jinderletscht dä Juso        1
2. LIFOs:
JWU                                      3
MSO/MST                            2
Jinderletscht dä Juso        1
3. Totali Bsüech am DF und %
Rank Name Points Points %
1 MSO/MST 122 84.7%
2 PKN 115 76.2%
2 JWU 115 76.2%
4 SJU 109 72.2%
5 YMI 83 55.0%
6 CBO 45 29.8%
4. Topbitragszahler
Die beide Herre YMI und CBO händ scho bereits 645 CHF respektive 685 CHF zum DF bigstüüret, herzliche Dank
Ich wünsche ihne allnä es wunderbars Endi vo dä Wuche, und än schöne Hinnich
MSO/MST
Hauptstatistiker / Vize-Iladigsversänder / Vizepräsident
</t>
  </si>
  <si>
    <t>Werti Herrä
Nach dem wunderbare Cordon-bleu Schmaus gescht gahts hüt mehrere DF-Legendä nöd so guet, und äm Schoggi au nöd. Aber es isch grande gsi, trotz dä schmerzliche Molotov-Niederlag vom MSO/MST. 
Nennenswert am Jinderletscht sini ussag, nöd us Züri wegzzieh wenn er im Lotto würd günne und chönnt 7 Mio. CHF Stüüre spare. Grossartig aber dänn dä JWU, wo ihn druf hiigwiese hät, dass er ja wäge es paar Fränkli usem DF usträtte isch, die Rattä, und daher lieber Stüüre zahlt als mit eus Ziit zverbringe. 
Interessantä Fakt: Mit äm hütige Bsuech hämmer als Verein 600 Kebabs/Dürüms/Pides/Donnerboxä gchlöpft (ohni Jinderletscht, dä zellt ja für nüt meh). Da dä MSO/MST eimal 2 gha hät, aber dä JWU mal än Salat vor äm nä bedütigslose Playoffspiel gchlöpft hät, heb sich das wieder uf. Ich gratuliere eus zu dem Meilestei. 
Ich wünsche es schöns Endi vo dä Wuchä, und am SJU wohlverdienti Ferie. 
Freundlich Grüsst
MSO/MST
Hauptstatistiker (wenn er si dänn verschickt)
Vize-Präsident
Vize-Iladigsversänder
Leader i dä folgendä Statistike:
- Total DF visits
- Overall participation rate
- Participation rate 2016/2017//2018
- DF visits 2017/2018</t>
  </si>
  <si>
    <t xml:space="preserve">Halli Hallo,
Git nöd vill zsäge, ussert dass dä Schoggi zuegseit hät und nöd cho isch, wahrschinlich um sin 4. LIFO zverhinderä, dass dur s’fehlä vom SWU und SJU CHF 44 id kasse sprudled, und dass mer nächscht Wuchä namal än schöne Batzä meh i dä Kasse händ (Forecast = +CHF 55). Wänn dä Miller nöd chunnt, gits än LIFO für dä Chnächtli, oder er chunnt au nöd und chan sini Füehrig nöd usbauä. Ah ja, und dä YMI hät zuegseit aber gschribe dass er nöd chan cho, bitte nächschmal luege, suscht gits ä Flättere
Also gits doch einiges zsäge. 
Schöns weekend, und ich freu mi mächtig uf es grossartigs Donnerä im Oschtä
GGG
</t>
  </si>
  <si>
    <t xml:space="preserve">Bon Mäntig allersiits,
Mir hand alli s’gröschtä Vergnüegä, wieder mal offizielli DF-Stats z’erhaltä, nach dä grandiosä Brügletä in Bratislava aka Breitislava aka Waldislava. Es hät gchlöpft, nöd nur äm SJU sin Stuehl im Irish Pub, sondern au i dä virtuellä Kasse vom DF. 
Usserordentlich vor allem am MSO/MST sini Performance bim Düümelä, wo dä Leader i dä meischte DF-Statistikä (siehe unten) brilliert und alli vernascht hät. Bärestarch. Es git Grücht dass au anderi Teilnehmer vo derä Kulturreis öpper vernascht händ (z.B. ä lokali Schönheit), aber di final Bestätigung isch na usstehend. 
Dä Chnächtli hät sis wahre Gsicht zeigt und isch vorletscht Wuchä nöd cho, nur um sin erschtä Franchise History LIFO zverhinderä, und hät drum sin unverdiente Vorsprung nöd wiiter usbaut. Angscht und kei Geld hani kei, aber dä Chnächtli scho. Bittère. 
Somit wünsch ich eu allnä (au am SJU) ä schöni Wuche, und ich hoffe es findet sich doch na dä eint oder anderi Kamerad am Fritig zum nä Donner i, obwohl d’Uffahrtsbrugg sehr verlockend isch. 
Gurkä und alli Tomatä
MSO/MST
Hauptstatistiker (wenn er si dänn verschickt, die Wuchä scho)
Vize-Präsident
Vize-Iladigsversänder
Leader i dä folgendä Statistike:
- Total DF visits
- Overall participation rate
- Participation rate 2016/2017/2018
- DF visits 2017/2018
- Most consecutive DF visits (21, 3.2-30.6.2017)
</t>
  </si>
  <si>
    <t>Wunderschön isches gsi hüt, alli am verusse hockä ussert dä YMI wo ja so gern dusse isch. Danke an CBO dass er sich da ane traut hät vom Kanton Zug, exceptionèlléé. 
Leider isch s’Quo Vadis ines Quo Squashish umgwandlet worde, womit im Ruum staht ob das na richtig duregfühert wird. Und obs mal äs London Quo Vadis git, oder wie schön gseit vom CBO äs Quo Vadis Thames Edition. Es blibt spannend. 
Suscht gits nüt zsäge, ussert schöni Feriä an SJU, dä erschti offizielli Arbetslosi i eusere Mitti. Immer na besser als für d’ZKB schaffe. Oder d’CS. Luuserbanke alli zäme. 
Freundlich grüsst
MSO/MST
Hauptstatistiker (wenn er si dänn verschickt, die Wuchä scho, letscht Wuche nöd)
Vize-Präsident
Vize-Iladigsversänder
Grund für d’LIFO+ Buess wänn mer sich ameldet und nöd chunnt
Leader i dä folgendä Statistike:
- Total DF visits
- Overall participation rate
- Participation rate 2016/2017/2018
- DF visits 2017/2018
- Most consecutive DF visits (21, 3.2-30.6.2017)</t>
  </si>
  <si>
    <t xml:space="preserve">Zu dem historischä Tag und äm erschtä DF während mä Frauästreik isch es mis Vergnüegä, eu diä Ereignis vo hüt z’überlieferä.
• Dä SJU isch hüt abwesend, gemäss eigenä Agabe in Indonesiä am chille, aber es gönd Grücht umä dass er immer na i dä Schwiiz hockt und an Streik gaht go brüglä. #brügläforequality
• Dä PKN hät sich mit zahlriichä frauäfindlichä Ussage gründlich is Abseits gstellt, zum Glück häts dä JWU Protokol gfüehrt und wird das hoffentlich ad Sozialgrechtigkeitspolizei wiiterleitä. Guet so. 
• Dä JWU hät Details zu sinerä grossartigä Brüglerreis bekanntgeh, oder meh dass er nüt vo einerä weiss. Also alli wo sich uf äs Abendtür in Tatsischickistan mit quatorze Tequilas pro Person pro Abig gfreut händ, muess ich leider enttüschä.
Freundlich grüsst
MSO/MST
Hauptstatistiker (wenn er si dänn verschickt, die Wuchä scho, letscht Wuche au, Wahnsinn)
Vize-Präsident
Vize-Iladigsversänder
Neue selbsternannte Frauebeuftragtä von DF, wo sich über ä möglichi Implementierig vonerä Frauäquotä wird informierä. Update folgt villicht, villicht au nöd. 
Grund für d’LIFO+ Buess wänn mer sich ameldet und nöd chunnt
Leader i dä folgendä Statistike:
- Total DF visits
- Overall participation rate
- Participation rate 2016/2017/2018
- DF visits 2017/2018
- Most consecutive DF visits (21, 3.2-30.6.2017
</t>
  </si>
  <si>
    <t xml:space="preserve">Morgä mitenand
Es isch mir ä usserordentlichi Freud, eu d’Statistik vom DF us dä letschtä Kalenderwuchä zpresentierä. Leider sind kei politische Statements und Manifescht vorgfühert wordä, sondern meh ä Ergründig was sWort Krise für äs Unternehmä bedüted, und ob d’Tamedia und d’Ziitigsbranche tatsächlich in einerä steckt. Kei Angscht, mir händ än Expertä i dä Rundi gha, dä Schoggi isch i dä Branchää, und hät scho än Porschee
Usserdem häts am Fritig na ä Pokerchlöpfetä geh, wo zahlrichi DF Mitglieder (also 3) teilgnoh händ. D‘Qualität vom Verein hät sich wieder mal zeigt wo das ganze zur absolute Farce usgartet isch, und dä CBO und dä MSO/MST ohni grosse Widerstand alles abgruumt händ. Aber au da hät sich wieder zeigt, dass es Mitglied mit Sonderstatus hald ebä doch es Mitglied zweiter Klass isch, wo dä MSO/MST glorrich dävozogä isch. Dä JWU hät au na än churze Isatz zeigt, nachdem er sini Akunft über 4 Stund konstant mit „ich chume i 15 Minutä“ akündet hät. Er hät sich aber nöd chönne uszeichnä, weder mit gwitztä Spielzüg, na mit mä finanziellä Gwünn. Unter ferner liefen sind na dä Jinderletscht, zwei spendabli Geldgeber und Kollegä vom ihm, dä Päsche, dä Ebi und dä Lö (au er hät guet investiert) gsi. Bis tüüf id Nacht häts gchlöpft, und dänn sind alli hässig hei gange. 
Die Wuche gits hoffentlich wieder än feinä Dürüm, Donner, ä Donnerbox oder än Pide, und ich freue mich scho mächtig druf.
Freundlich grüsst
MSO/MST
Hauptstatistiker (wenn er si dänn verschickt, die Wuchä chli zspat, isch scho gmassreglet wordä im offiziellä DF Chat vom el presidente wo sich grad im Exil befindet) 
Vize-Präsident
Vize-Iladigsversänder
Selbsternannte Frauebeuftragtä von DF, es git na keis Update zunerä Frauäquotä.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</si>
  <si>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Die Wuche gits leider kein lange und unterhaltsame Biitrag, han vill ztuä und gange bald id Ferie. Ich verpasse drum die nächschte zwei DFs, was fascht so schlimm isch wiä dä PKN wo diä nächschte 3 nöd chan cho. Eieiei, es chlöpft und tätscht i dä virtuellä DF-Kasse. 
Vill Spass denä wo chömed, und bitte dStats rechtziitig schickä, was ich ja immer machä. Und gratulation an neue ZKB-Juso-Banker SJU, wo hoffentlich guet agfange hät, und mir na sini Mailadresse muess schickä. 
Freundlich grüsst
MSO/MST
Hauptstatistiker (wenn er si dänn verschickt, die Wuchä scho wieder zspat, aber so isch life) 
Vize-Präsident
Vize-Iladigsversänder
Selbsternannte Frauebeuftragtä von DF, es git immer na keis Update zunerä Frauäquotä, wird wahrschinlich au nie eis cho. Aber who’s know.  
Grund für d’LIFO+ Buess wänn mer sich ameldet und nöd chunnt #Influencer
Leader i dä folgendä Statistike:
- Total DF visits
- Overall participation rate
- Participation rate 2016/2017/2018
- DF visits 2017/2018
- Most consecutive DF visits (21, 3.2-30.6.2017)
</t>
  </si>
  <si>
    <t xml:space="preserve">Werti Herre
In Abwesenheit vo eusem Hauptstatistiker freu ich mich, eu persönlich über de aktuellsti Stand vo de DF Stats chöne z'informiere. Es hät wiiteri 22 CHF id Kasse gspüelt und mittlerwiile stömmer im Fiskaljahr 2019/2020 bi knapp 500 CHF. Unter Berücksichtigung von de Reserve vo 2017/2018/2019 und em vergangene Abweseheitstrend werdemer ide nögschte Wuche wohl dTusigermarke knacke.
Danke a all Abwesende wo bim Berlusconi italienischi Meitschis gönd go aluege (PKN, MSO/MST), bim Patriote-Trump 2.5 Mio USD Füürwerk gönd go bestuune (CBO), oder irgendwo ufem Camino de Compostela vo de HSGler – also uf Strecki zwüsche St. Galle und Züri - mit em Velo gad under de 30-grädige Hitz liided (YMI).
Hüt gits übrigens paar ad Schnurre am Züri-Fäscht, ich freu mi!
Adios muchachos
El presidente
Sascha Jucker
Economic Research
</t>
  </si>
  <si>
    <t xml:space="preserve">Liebi Mitglieder
Han scho gmüetlicheri DFs erlebt.
Immerhin hani de schnellscht Weg mitm Velo vo de ZKB zum DF gfunde. Und dStempelcharte isch au voll. Apropos voll: Ich freu mich uf dBrüglete vo morn.
Liebe Gruess
SJU
</t>
  </si>
  <si>
    <t xml:space="preserve">Hoi zäme
Im Ahang wie gewohnt DF Stats.
Debitors FY 2019/2020:                    CHF 594.50
Übertrag FY 2017/2018/2019:           CHF 447.70
Total nach Wertberichtigungen:         CHF 1'042.20
Am 2. August git's eventuell en Szenewechsel. Details folged no.
Happy weekend!
Säschi
</t>
  </si>
  <si>
    <t xml:space="preserve">Hallo,
Es isch mir ä wahri freud eu die aktuellschtä df stats z’präsentierä. Hüt hämmer fascht full house gha, und es isch dementsprechend blöfft wordä über Uhre und lokali fuessballspiel i dä niederä liigä. 
S’motto vo hüt isch ultra casual gsi, und dä SJU hät sich nach sinerä areis als wahrä schwi(i)tzer chönne uszeichnä. Höhöhö. 
Wunderbar, und mir (also ich) würded eus freuä, wänn dä PKN mal wieder würdi fehlä, so dass ich au das df-jahr wieder als oberschti df-legendä dastah chan. 
Freundlich grüsst
MSO/MST
Hauptstatistiker (wenn er si dänn verschickt, die wuchä unglaublicherwiis mal pünktlich) 
Vize-Präsident
Vize-Iladigsversänder
Selbsternannte Frauebeuftragtä von DF. Update: Ä gsetzlichi Frauequotä wird nöd implementiert, aber es wird äm Verein wird nahegleit ä freiwilligi Quote z‘berücksichtigä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</si>
  <si>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Unglaublich härt isch politisiert wordä am letschtä Fritig, und d’Quintessenz isch gsi dass es ganz vill Amateur git, sowohl ganz links wie au ganz rechts. 
Usserdem isch dä Service exceptionèlle gsi, well dä SJU sin Pide separat bstellt hät. Mer munklet aber, dass es nur so schnell gange isch well dä JWU so effizient bstellt hät (also so schnell gredet hät dass dä Serviertürgg dä armi Tropf nur hät chönne rate, was dä JWU gmeint hät). 
A meh channi mi grad nüme erinnerä, aber who’s care. 
Bis am Fritig, und wie immer freundlich grüsst
MSO/MST
Hauptstatistiker (wenn er si dänn verschickt, die wuchä bevor er ä Mahnig vom Presidente erhaltä hät)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t>
  </si>
  <si>
    <t xml:space="preserve">Sehr geehrti Dame und Herre, liebs Publikum, und hallo
Bin gwese Safran, sitzä, und dänn hät mer eifach azwiflet dass das flitzige rote Rennvelo am MSO/MST ghört. So ä Farce, insbesondere well ich nur wege dem so schnell wieder im Üetlihof obe gsi bin und jetzt drum meh Ziit han eu än schöne DF Report zlieferä 
(danke Schoggi für dä inexistenti Input, häsch der endlich äs eignigs Symbol i dä DF Stats verdient, obwohl mich häsch welle mit dim Hooliganpulli ischüchterä). 
Es hät alles ganz unschuldig agfange, es isch blöfft worde wer wievill Lahmacuns bstellt hät, und dänn isches so richtig los gange. Dur dä Ehregascht Ebito-Ebito isch s’Thema Veganismus ufcho, woruf alli churz verzellt händ was si dävo halted (wenig bis gar nüt). 
Nachher isch dä Boge gschlage wordä zum Sport, und wie dä Jinderletscht i dä Gurkäliiga Züri West es Offside-Goal gschosse hät wo zurecht nöd zellt hät, und dänn zu allem ane na vor äm leere Goal verseit hät. Er seg na nie so hässig gsi, brichted Augezüge, was mis Herz zutüfscht erfreut. 
Lang isches gange bis die erschtä Donner anedonneret wordä sind, und dänn am Schluss na die beide Pides. Und dänn isch zum Glück dä Hugo cho, und mir sind gange (bravo). 
Ich wünsche äs bonne weekend, ä gueti Wiediker Biertour a alli wo gönd (also niemert), und es freut mi jetzt scho uf dä letschti Kebab vom August 2019 nächscht Wuchä. 
Freundlich grüsst
MSO/MST
Hauptstatistiker (wenn er si dänn verschickt, die Wuchä blitzschnell wie sis Velo)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t>
  </si>
  <si>
    <t xml:space="preserve">Morgä mitenand, 
Wie völlig zurecht vom el Presidente erwähnt, häts dä MSO/MST wieder mal versäumt, rechtziitig d’Stats zverschickä. Schande über ihn und alli wo ihn kenned (also über mich, nöd über dä SJU, obwohl dänn scho well er mich ja kennt). 
Es isch än wunderschöne Fritig gsi, ohni Blitz, aber mit vill Donner. Zwei Gäscht händ dä Weg zu eus gfundä, dä Ebito Ebito, und dä Jinderletscht, wo dänn grad agfangä hät mit äm einzigä woner wüki chan: blöffe (als gröschte und zweitgröschte Blöffsack vo allnä isch das au z’erwartä gsi). Aber dennoch werded sini zahllosä Stundä vo allnä Bsuecher vom Schlierefescht nie vergesse werde, ussert vo dene wo es Bière zvill gha händ und drum än Movierip händ. 
Es isch wie immer vill verzellt wordä, wo ich mich jetzt leider nüme chan dra erinnerä, wells scho Mäntig isch. Am YMI sini Presenz hät alles wie immer chli beruhigt, bsunders wenn d’Stimmig fascht kehrt hät well dä SJU dä Fux sin Pide scho vorbstellt und übercho hät und dänn zwei wiiteri Gurkä namal eine gnoh händ, was wie immer zu grausame Warteziitä gfüehrt hät. Und da dä JWU nöd cho isch, hät dä YMI nur ominös chönne säge dass er eigentlich ä Red vorbereitet hät und si leider die Wuche nöd chan vorträge. Es blibt spannend. 
A dere Stell möcht ich na am SJU danke für sini witzige und lehrriche Grafikä, und alli bitte, dä liechti Ufwärtstrend a dä durchschnittlichä Partizipationsratä wiiter z’unterstützä. Und ich gratulierä am MSO/MST na persönlich, well er nach äm nächschte DF wieder die klar Nummerä zwei i dem Fiskaljahr wird si, am luure bis dä PKN mal endlich 3 mal am Stuck fehlt, und dänn isch alles wieder picco bello und wie gehabt. 
Freundlich grüsst
MSO/MST
Hauptstatistiker (wenn er si dänn verschickt, die Wuchä blitzlangsam, wie sin Verstand)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t>
  </si>
  <si>
    <t xml:space="preserve">Liebi Mitglieder, 
Hüt isch wieder mal nur dä härti Chern da gsi, und dä PKN und dä Ebito Ebito au. Abwesend wieder mal JWU, was eusi Kasse mächtig freut (da +33CHF), und dä SJU (also namal +11CHF). Es tätscht und chlöpft also, und mer stönd bi 1128CHF FYTD (Fiscal year to date). 
Es isch hüt eher ruhig diskutiert wordä, über d’Ufteilig vo dä streaming services, und wie illegal es isch irgend somnä dude 100 Stutz aneztätschä um Zuegriff zha uf alli. Konsens: nöd sehr illegal. 
Usserdem isch über dä viel erwarteti Afang vo dä Ishockeysaison 19/20 diskutiert wordä, mer hät blöfft wer scho mal alli heimspiel vom EV ZUG inerä Saison gseh hät (MSO/MST), und wie geil dä Transfer vom Gregory uf di richtig Siite vom Gotthard (also id Schwiiz) isch. 
Höhepunkt: Wo dä MSO/MST s’Lokal beträtte hät, sind di andere beide Herre scho am Platz ghockt und händ ihre Pide bestellt gha. Nach 5 Minute warte i dä Schlangä hät dä DF Rekordhalter i fascht allnä Statistikä (siehe Signatur) sin Dürüm ohni Wasser aber glich schneller übercho, und sogar scho g’esse bevor ihri Bstellig cho isch. Dä Respekt vor mir isch anschinend tüüf im Safran verwurzlet, und das völlig zurecht. 
Freundlich grüsst
MSO/MST
Hauptstatistiker (wenn er si dänn verschickt, die Wuchä blitzblitzblitzschnell, also wie dä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</si>
  <si>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Liebi Fründe
Es freut mich schampar eu chöne mitzteile, dass dBrauhaus AG Sterne no paar Aktie zum vergäh hät (unde d'Antwort vo de nette Frau Egger).
Bitte prüefed zerst no de Gschäftsbricht 2018 und kläred für eu ab, öb ihr sfinanzielle Risiko chönd und wännd igah. Luut Bricht isch sJahr 2018 nöd eifach gsi. Wegem Hitzesummer sind vill Chunde uf alkoholfreii Getränk usgwiche. 
Zudem sind die quartalswiise Fassastich nüm komplett gratis, Bier werded aber zum "Rampepriis" sehr günstig vergäh. De Grund isch geil [Uszug Gschäftsbricht 2018]:
8. Fassanstiche
Immer wieder eine besondere Freude ist der grosse Aktionärsaufmarsch an unseren vier Saisonbier-Fassanstichen.  Sie  sind  Teil  der  «Naturaldividende».
Durch  die  vielen  neuen  Aktionärinnen  und  Aktionäre  sind  wir  logistisch  an  Grenzen  gestossen  und  mussten ausbauen. Der Bierkonsum an den Anstichen
hat sich ebenfalls verdoppelt. Es freut uns zwar,  dass  Ihnen  unsere  Bierspezialitäten  so  gut  schmecken,  trotzdem  sollte  es  nicht Ihr erstes Ziel sein,
Literrekorde mit Gratisbier zu trinken. Das hat bei Altaktionären zu Reklamationen  geführt.  Wir  werden  darum,  auch  in  Ihrem  Interesse,  die  Grenzen  etwas  
enger setzen und in Zukunft die Gratis-Bierhahnen um 15 Uhr schliessen. Man darf danach ruhig weiterfeiern – allerdings nicht mehr gratis, sondern gegen
ordentliche Bezahlung. Wir danken Ihnen für das Verständnis.
Ich han mer scho mal en Zeichnigsschiin usdruckt (siehe Anhang). Wär cool wenn er au mitmached. Fassanstich-Termine 2019/2020:
21.9.2019      Oktoberfest-Bier (wird wohl knapp^^)
30.11.2019    Schneeflöckli-Bier (quasi als Warm-Up für dBierkreistour zwei Wuche spöter)
21.3.2019      Osterhäsli-Bier (ufgrund vom Name min persönliche Favorit)
27.6.2020     Sommerfest-Bier
26.9.2020     Oktoberfest-Bier
28.11.2020    Schneeflöckli-Bier
dDF-Stats sind au no im Ahang.
LG und schöns Wuchenend,
Säschi
</t>
  </si>
  <si>
    <t xml:space="preserve">Liebi Mitglieder,
A dem sehr spezielle Tag därf ich eu hüt wieder mal ä Zämefassig vo dä neuschtä Ereignis zu dä Topics Döner, Fritig, und Dönerfritig™ verfasse. Wunderschön sind eusi neue DF-Shirts wo nach gfühltä 7 Jahr endlich dur dä Zoll, und nach 2 Mönet endlich us äm YMI sim Chäller sind, inklusive sehr verdächtige wiisse Fläcke. Grossartig gmacht vo allne beteiligtä, und dä Pin isch natürlich es absoluts Highlight. Dä SJU hät jetzt äs chliises Loch i sim Hemd, däfür es grande Selfie, was eigentlich än faire Priis isch. 
Hüt isch wie immer vill blöfft wordä, aber nöd so fescht wiä dä Nikci (Rang: Bankangestellter) mit sim Mail am Abig am 7ni, inklusive Rechtschriibefehler. Lieber in Schwiizerdütsch schribe, det gits kei Grammmmmatikfehler. 
D’Affaire IQ-Ball vs Titi vo dä GS CS isch natürlich im Vordergrund gstandä, mit Vertretter vo dä Journalischtä (JWU) und vo dä Bänker (MSO/MST, SJU) und äm Rescht. Es wird vill spekuliert, und d’Meinige gönd usenand, aber so isches im Läbe. Villicht heisst für dä Herr a dä Spitze bald GO!
Es sind usserdem na es paar Unklarheite ufklärt wordä über das agstrebtä Investment i die Brauerei, und erstunlicherwiis isch s’Quo Vadis vo Londrès ohni Doodle ganz fix abgmacht wordä für dä 17-19 Jänner. Details folged na vo dene wos organisiered (ich nöd). 
Mit dem wünsch ich eu allnä es schöns Wuchenend, und vill Spass mit äm neue DF-Dress. 
Freundlich grüsst
MSO/MST (Nr.  7)
Hauptstatistiker (wenn er si dänn verschickt, die Wuchä schneller als dä Usain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</si>
  <si>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Grüeziwohl, 
Trotz äm Rege (huere seich) hät hüt dä DF stattgfundä, und es isch flissig diskutiert wordä. Sehr zur Entrüschtig vo JWU und MSO/MST hät dä PKN hüt sin Ahang mitgnoh, statt grad direkt in Spa zgah. Mir sind alli sehr enttüscht vo dir, Chnächtli, aber all-time-attendance- history- record-technisch wird sich so schnell nüt veränderä. Gang glich mal id Ferie, suscht kontaktier ich das Team woner us euerä Liga usewerfä lah händ, dänn wird brüglet. Oder das anderä Team woner ohni Grund au na usegecklet händ. Inside Paradeplatz isch scho informiert. 
Trotzdem isches luschtig gsi und es isch philosophiert wordä, vo dä chinesischä Überwachig zu Wohnigä mit zwei Duschä bis hii zu Trips im Südtirol. Wie immer ä wahri Freud. Usserdem hät dä SJU ändlich mitübercho, dass dä JWU die geilä Formlä im Stats-Excel (see attached) programmiert hät wie än wahrä Häcker, was dä JWU natürlich zur Weissglut tribä hät. Aber euses Excel isch es Gmeinschaftswerk vo all denä wo sich immer na aktiv um dä Verein bemüehed (nöd so wie die Passivmitglieder wo eimal im Jahr 2 Minute öppis mached), drum isch alles guet. Usserdem hät dä JWU d’Idee ufbracht, dass mer für 200 CHF än Aweseheitspunkt vom ä anderä DF Mitglied chan abchauffe, er isch aber nöd uf offeni Ohre gstosse. Wird na diskutiert am Quo Vadis. 
Apropos, Londrès sött mal buecht werde (dä YMI söll sich na üsserä ob er jetzt au scho am Fritig dä Tag dur chan), und mir freued eus alli am Flughafä mit dä grande DF Shirts (mit Clip) ufzdonnerä. 
Mir wünsched am SJU schöni Ferie, und eu allnä es schöns Wuchenend. Und zum Schluss na än luschtigä Fakt, dä MSO/MST hät 6 Donner/Pides/Donnerboxä meh verspiesä im Rahme vom DF als YMI und CBO zäme (eigentlich 7 well er mal 2 gha hät a eim glorriche Fritig). Nahrig für Gedankä. 
Petri heil und freundlich grüsst
MSO/MST (Nr.  7)
Hauptstatistiker (wenn er si dänn verschickt, scho 3 mal in Folge am Fritig, gratulation an MSO/MST)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</si>
  <si>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Morgä mitenand.
A dem wünderschöne Tag han ich das grosse Vergnüegä, eu die aktuellschtä DF Stats zschickä. Dä YMI hät sich hüt zum hartä DF Chärn (und äm JWU) gsellt, und obwohl das kein Ifluss uf sini Penalty hät, isches doch einigermasse schön gsi. Dä SJU gnüsst sini wohlverdiente Ferie im Öster-Reich, nachdem er sicherlich ganz härt gschafft hät i sinere Buurebank. Nöd das ich inere bessere Bank schaffe, si isch eifach chli grösser. 
Aber genug mit dem Vorgeplänkel, eusi treue Leser interessiert was so passiert isch hüt, insbesondere dä CBO wo immer schön schriftlich danke seit für die zuegegebenermasse sehr amüsanti Zämefassig. Er hät sich übrigens wäge sine T-Shirts grad selber zum Chief Marketing Officer vom DF ernannt und um es speziells Symbol bemüeht. Falls YMI und PKN au na eis wännd, bitte melde. 
Es hät alles agfange mit am Topic Unihockey, und äm übliche geblöffe vom JWU über ihre neuschti Top-Transfer, wo angeblich inere Bar id Weg gleitet worde isch. Er tönt nach mä guete Speler wo sich ab und zue mit sine dumme Sprüch chli is Abseits stellt. Und nachdem dä Nikci ihn druf ufmerksam gmacht hät, er sölli doch sini Persönlichkeit chli ändere, chunnt glaubs alles guet. 
Euses Quo Vadis isch natürlich es grosses Thema gsi, obwohl mer ja eigentlich wüssed quo mer ane vadissed. Die Person wo dänn Flug und Hotel buecht söll sich doch bitte mit äm YMI abstimme, aber dä Flug macht er glaubs uf sini eigeni Fuscht (und es funktioniert). Es fangt offiziell im 200er Bus vo Affolterä a, und alli wo nöd detä afanged sind eigentlich nöd däbi gsi (Vorschlag vom JWU). Ganz passend findi dä Vorschlag dass mer alli am brüglä und Tequilas chlöpfä sind während dä YMI am schaffe isch, am beschte na am gliche Tisch. 
YMI und PKN gönd im Winter mal na uf Riga, und dä JWU hät sich scho negativ über die angeblich usserordentlich gross Entepopulation enerviert, was mich doch sehr starch a di legenderä Flamingos vo Karlruhe und ä ähnlichi Reaktion vo ihm erinneret. 
Am Schluss sind mer (leider) wieder bim Unihockey glandet, mit ere durchus beluschtigende Gschicht über ä knappi Niederlag vom Team Feldwaldundwiese Albis. Die isch dänn leider aber schnell abdrifted i ä langwiiligi strategischi Diskussion zwüsched dä zwei Unihockeyfanatiker, und ich bin vom PKN bette worä, das na churz z’erwähne. 
The circle closes itself. All in butter
MSO/MST (Nr.  7)
- Hauptstatistiker (wenn er si dänn verschickt, scho 4 mal in Folge am Fritig, und so schnell wie na nie. Na ä grösseri gratulation an MSO/MST) 
- Vize-Präsident
- Vize-Iladigsversänder
- Selbsternannte Frauebeuftragtä von DF. Update: Ä gsetzlichi Frauequotä wird nöd implementiert, aber es wird äm Verein nahegleit ä freiwilligi Quote z’berücksichtigä (wo nöd gmacht wird, us Prinzip)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All the statements above about the supreme leader have been evaluated by a dedicated excel professional, and are in fact correct
</t>
  </si>
  <si>
    <t xml:space="preserve">Sehr geehrti Mitglieder, 
Au hüt sind wieder es paar lebhafti Diskussionä produziert wordä im Safran. Mit däbi eusi Top 3 vo dem Kalenderjahr, und dä Ebito Ebito. Los gahts
Es hät alles agfange mit mä Blöffcontest vo dä beide Velobsitzer MSO/MST und SJU, wo dänn sehr schnell in es Review vo Late Night Berlin (nöd z’verwechsle mit Berlin Tag und Nacht, wo doch di ganze 24 Stund abdeckt vom Gschehe in Berlin) abgwanderet isch. Für alli wos wänd naluege, es isch ä sehr amüsanti Gschicht wo zeigt wie mer die fiese Velodieb chan blossstelle, wänn mer nur es massivs Büdget und Berüehmti Kollegä hät. Es isch au d’Frag ufcho was dä Joko jetzt so macht, was eus dänn zu witzige Streich gfüehrt hät, und somit zur Überleitig zum nächschte Thema: Polteräbig. Quintessenz (los uf dini Frau), isch dass mer im Allgemeine eher uf äs Tequila-Chlöpfe söll abziele als dä zuekünftig Brütigam blosszstelle, obwohl da d’Meinige doch es bitzeli usenand gange sind. Wie jedi Wuchä wird d’Vorfreud uf dä Jänner in London grösser, insbesondere dä Teil mitem Tequila chlöpfä. 
Mer hät sich gfragt ob mer wieder s’Oktoberfescht ufem Schänzli söll bsueche, und warum dä Fassastich (oder wie au immer das gnennt wird) ä absoluti Farce isch wo nur C-Promis us dä Gastrobranche bsueched damits chönd blöffe. Apropos blöffe, dä PKN hät härt über sini Muetter blöfft und dass si grad 2 UBS Jassturnier gwunne hät, und dass er si STORZ mache will indem er hüt (oder morn, han nöd ufpasst) bim Jasse au will gwünne. Ähnlich wird bim SJU am ehrewerte Schwiizer Chartesport gfrönt hüt (oder morn, au da hani nöd ufpasst). Bonne chance. 
Alles anderä isch mer nüme so present, aber irgendöppis mit dä Olma, dä unfaire Behandlig vo Appezeller Säuli, und es paar Gurkä/Legendä (je nach Blickwinkel) wo Golf über 2000km gspielt händ isch au na besprochä wordä. Und chan bitte öpper luege wie alt d’Greta isch, falls under 18i hät dä PKN villicht bald Ärger mitem Gsetz. 
Somit äs schöns Weekend, macheds guet
MSO/MST (Nr.  7)
- Hauptstatistiker (wenn er si dänn verschickt, scho 5 Mal in Folge am Fritig, eifach unfassbar, immer am Bière trinkä i dä Flachpassbar)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</si>
  <si>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Freunde des Donners
Wie fascht jedi Wuchä gits hüt wieder mal äs grossartigs Update zum legendäre Dönerfritig, und was so alles glaberet worde isch. 
Dä PKN häts grad na so gschafft, sich us sich Chundemeeting dävozschlichä und am 12:15 im Safran azcho. Dä JWU isch da weniger genau gsi, und hät sich somit dä erschti LI vom DF-Kalenderjahr 2018/19(villicht 20) gsicheret. Gratulation a dere Stell. 
Er hät sich dänn aber grad wieder mit unqualifizierte Ussage is Abseits gstellt, nämlich mit dä Ischätzig dass dä Johann M. die alti Verteidigergranatä dä wichtigschti Spieler vo dä Liga seg, und dass dä EVZ i dä nächschtä Jahr eh kein Titel holt und somit das Geld lieber spared. Was natürlich nöd stimmt, wie mir alli wüssed. #Meischter 2020-2030 (mindeschtens). Dä JWU isch aber nanig fertig gsi, und hät eus ä tragischi Gschicht verzellt vom nä Schlagafall am Arbeitsplatz vom R.C. (Name der Redaktion bekannt, aber scho wieder vergesse). Leider isch das aber scho z’erwarte gsi, da dä Herr doch vor allem mit sinere Konsumation vo Alkohol, Zigarettä und 4 Mayonäääsbrötli pro Tag (und nüt anderem) ufgfalle isch, was dänn in ä churzi Diskussion abdrifted isch was mer mit so lüüt söll mache. Quintessenz: di Schwache chlöpfts. 
Ganz churz isch na dä Ufruef cho dass Safran sich gfälligscht mal än richtige Stammtisch für eus söll zuetue mit passender Flagge, insbesondere well gwüssi Legendä hüt scho mit offiziellem DF Liibli und Pin erschiene sind (grossartig gmacht vom MSO/MST, Nr. 7). 
Dä PKN plant äs chlises Reisli mit äm Jinderletscht und es paar andere Gurkä gen Italien (hehehe), genauer gseit uf Torino. Han nöd ufpasst was genau dete passiert, aber es wird äs Spiel gchlöpft. Dä JWU wär au mal än Teil vo dem gsi, aber er gaht jetzt doch lieber uf Brazil, und übernimmt grad zwei Drogäkartell, um sich dänn mit dem in Sao Paolo azlegä (Codename El Choco). Er hät scho ä Vorussag gwagt dass er am Mittwoch scho im Blick erschiint als «Schwiizer Antwort uf dä Drogechrieg», und am nächschtä Sunntig durchlöcheret vo Pischtolechuglä. Darum au sini Bitt, d’Statutä so azpasse, dass alli DF Mitglieder wo im Drogechrieg sterbed a jedem DF än Aweseheitspunkt überchömed. Findi eigentlich nur fair, und mir wünsched gutes Gelingen. 
Ich wünsche es schöns Weekend, und bis nächscht Wuchä wenns wieder heisst: 1 Pide mit Kebabfleisch, 1 Dürüm mit allem und Cocktail-Sauce, 1 Donnerbox ohni Zwieble und Tomatä (also nur Salat). 
MSO/MST (Nr.  7)
- Hauptstatistiker (wenn er si dänn verschickt, wieder zrugg us äm Nordoschtä, und so schnell wie wänn er nie weg gsi wer)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</si>
  <si>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mini Herre und und JWUsos, 
Ich freu mich die Wuche bald abzschlüsse, und was gits schöners als än Pide / Dürüum mit oder ohni Wasser zgnüsse und dänn dä grossartig Bricht zläse. Voll geil, und vill Spass:
Ich bin als einzige da gsi am Donner schnabulierä, und han au äs Bewiisfoti gmacht, aber leider sind es paar Hooligans cho und händ mi zwunge s’Foti wieder z’löschä. Si händ mi usserdem gfolteret mit schwerem Rauch, wie damals dä klei Eric Wääber vo Basel. 
Aber Spass beiseite, ich bin hüt natürlich nöd ällei gsi, und weiss wieder mal nüme alles was so diskutiert worde isch. Jänu. 
Dä SJU sch wieder mal uf dä letschti Drücker uftaucht, und hät ganz gekonnt sin LI verhinderä chönne. Isch aber au schwieriger wänn mer sini Akunft nöd so genau chan bestimme, mitem Velo isches hald scho na eifacher als mit dem verflixtä ÖV. Das findet au dä MSO/MST, wo ebefalls nöd hät chönne abedüse mit sim Flitzer. 
Das hät ä wunderbari Diskussion usglöst wie mer di andere Mitglieder chönnti hinder sLiecht füehre (for our readers in London: how to beat somebody in the pan), und säge mer chunnt nöd und dänn chunnt mer glich. Natürlich ufd Choschtä vom nä LIFO, aber däfür hät mer die sehr begehrte DF Partizipationspünkt und die ganzi Ehre grad na gratis däzuä. Der langen Rede langer Sinn: Ich finds schön dass dä Vereinsspirit vom zäme Esse so schön glebt wird, und dass alli lieber ällei am Kebi esse währed, wänns nur am meischtä Pünkt überchömed. Isch doch wunderbar.
Suscht weissi leider nüme meh, wie am Afang erwähnt. Drum jetzt ä chlises Summary:
• Dä PKN isch mit sim Wüsse über Canabis- und Whyskyburger am blöffe gsi, und freut sich uf sini Reis uf Riga.
• Dä SJU hät mit Räuberpistolä nur so um sich gworfä, woner die Reis vom Jinderletscht wiedergeh hät, obwohl dä PKN wo ja däbi gsi isch grad näbeddra ghockt isch. Höchscht amüsant. Aber angeblich segs äs riese Fiasko gsi, aber so isch Läbe. 
• Dä MSO/MST hät wieder mal es paar dummi Sprüch uselah, was au nöd überraschend isch. Trotzdem hät mindeschtens immer eine drüber glacht (also er selber), und das isch doch dHauptsach. 
Sex drum, und ich wünsche eu allne es schöns Weekend. 
MSO/MST (Nr.  7)
- Hauptstatistiker (wenn er si dänn verschickt, hüt chli verspätet well Tram verpasst, und han glich mal na öppis ztue gha #bittère)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</si>
  <si>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Werti Mitglieder und Quasi-Mitglieder, 
Leider bin ich am Fritig nüme däzue cho, die legenderä DF Stats usezschickä, und sit am Mäntig häts leider au nie klappt. Schande über mich und mini Familie, aber immerhin gits grad zwei hoffentlich unterhaltsami Nachrichtä innerhalb vo 24 Stund. Immer luege uf di helli Siitä vom Lebe. 
Dä Start in DF isch meh als harzig gsi, und die Wuche bini würklich (ich schwöre) ganz ällei im Safran ghockt. Allerdings händ sich dä SJU und JWU via DF Chat doch na agmeldet, obwohl ich natürlich liebend gern än guete LIFO izoge hett um endlich mini miserabli Fiskaljahresbilanz 2019 chli ufzbesserä. Churz nach minere Akunft häts än Asturm geh wo dä alti Donnerladä na nie gseh hät, und öppe 30 Tourischtä sind inespaziert und händ mi so steihässig gmacht wie nüme sit mer im Klub in Zagreb s’Liecht agstellt und eus effektiv usebrüglet hät. Nach heroischem Kampf um Tisch und Stüehl isch dänn dä JWU uftaucht, allerdings scho nach dä berüchtigte LI-Grenze vom 12:16. Nach chli Smalltalk über die enttüschend Leischtig vom JWU in Brazil (2 Drogekartell überneh, im Drogechrieg sterbe agseit, 2 Drogekartell übernoh, Differenz vill) isch dänn au na dä SJU itrudlet, und hät ganz grossi Augä gmacht (er hät ja scho sehr grossi Auge) über dBeliebtheit vo dere Spelunkä. Au er hät sich mit mä LI chönne uszeichnä. 
Er suecht grad ä Wohnig mit sim Schatz, und dä JWU hät sich natürlich grad um dWohnig vom SJU beworbä, obwohl (oder grad well) er gemäss eigener Ussag jedi Sekunde i dere Wohnig am liide gsi seg. Tönt nach vill Spass, obwohl dErika natürlich masslos enttüscht wär, und mir au. Eeeeerikaaaa. 
Suscht chani mi leider nüme a vill erinnerä, dasmal wells so lang her isch, aber da na zwei chlini Leckerbisse, zumindescht us dä Sicht vom MSO/MST: 
• Dä grande PKN isch endlich mal nöd cho, und hät drum sini Chance uf dä All-Time Record in DF Visits wohl ufgeh (Partizipationsrate vom MSO/MST wird wohl nie meh ufgholt). Man dankt. 
• Dä no granderer JWU isch am Mittwoch Abig i dä Unterfüehrig vo dä Saalsporthalle gsichtet wordä, wie er sich uf dä Weg zum Coiffeur gmacht hät um sini neu Hooligan-Frisur z’erneuerä. Man freut sich darauf. 
Vill Spass und bis zur Nachricht, wo hoffentlich morn Namitag chunnt, suscht wäri sehr enttüscht vo mir. 
MSO/MST (Nr.  7)
- Hauptstatistiker (wenn er si dänn verschickt, die Wuche skandalöserwiis erscht jetzt. Ich gelobe Besserung)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</si>
  <si>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liebi Kebabfründe,
Es git es Update, scho wieder. Wie akündet bini dasmal nöd zspat, und uf los gahts los. 
Los
Hüt häts dä MSO/MST fascht verwütscht mit mä LI, aber well er wiä dä Tüüfel abedüüst isch vom Uetlihof 2 hät ers doch na knapp gschafft. Er hät aber nach eigenä Ussage mindeschtens 5 Verkehrsreglä brochä mit sim Velo, was ä Diskussion lostrette wie mer dä Polizei will erkläre, dass mer doch scho vom DF ä LI-Buess erwartet, und drum kei Verkehrsbuess sött übercho. Oder ob mer kei Buess überchunnt, wänn mer feschtgnoh wird, und dänn mit ere offizielle Bestätigung chunnt dass mer verhinderet gsi isch (nöd behinderet). Wär sicherlich amüsant zum erkläre warum mer jetzt die Bestätigung brucht, aber wänns eine schafft wär das sicherlich ä Abstimmig wert. 
Topic of the day isch wieder mal d’Wohnigssuechi gsi, und mer isch sich nöd einig gsi ob mer meh als 1 Wohnig in Züri chan mietä. Hitzig isch diskutiert wordä, und dä JWU hät (minere Meinig na zurecht) gseit was wänn er als Künschtler äs Atelier brucht i dä gliche Stadt? Es durchus realistischs Bispiil, wänn öpper meh weiss bitte melde. 
Und wiiter gahts. Dä JWU hät afange blöffe dass er hüt i sones Lokal gaht mit dä Tamedia go Wiehnachtsesse fiire, und hät druf bestandä dass es nöd so wichtig isch, bim Esse hocke zchöne. Trotz dere gwagte Ussag hät sich dä JWU na wiiter ufs Glattiis gwagt, und gfragt ob dCS amigs au äs Wiehnachtsfescht mit allne CS Mitarbeiter zäme macht. Villicht wänn dCS wieder ä gueti Bank isch. Also nie meh. 
Au dä PKN isch da gsi, leider chli am chränkle, und na leiderer ischer trotzdem an DF cho. Mir wünsched gueti Besserig, und leged ihm nah, nächscht mal lieber dihei zblibe. Trotzdem hät er eus vo sinere Wiehnachtsparty verzellt, wo sich dä Lehrling/Praktikant wo grad neu agfange hät härt abgschosse hät. Chapeau. Und dänn hät mer na chli umeblöfft und sich gstrite ob dKronehalle jetzt äs guets oder massiv übertürets Restaurant seg. 
Das sött au gnueg si für hüt, und mir hoffed alli dass dä SJU endlich euse Quo Vadis Flüg uf London buecht. Schöne Hinnich, und guets Wuchenend
MSO/MST (Nr.  7)
- Hauptstatistiker (wenn er si dänn verschickt: Ein Mann von Wort)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</si>
  <si>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Morgä mitenand. 
Es isch eu ä grossi Ehr, die letscht Nachricht vom Hauptstatistiker das Jahr (aber nöd vom DF Fiskaljahr) z’empfange. Glichzitig möcht ich mich für mis Versäumnis entschuldige, d’Stats vo letscht Wuche zverschicke. Glücklicherwiis händ mir än Präsident wo sich um sini Schäfli und Chnächtli kümmeret, und als Vize-Statistiker alles zämehebed. So, gnueg umegsäuslet, jetzt gahts los. 
Dä MSO/MST isch wieder mal ganz knapp am nä Li verbizischt, und chum isch er abghockt sind scho Pischtole uspackt wordä. Angeblich häts dä Ebito Ebito in Madagaskar uf äm WC zämegleit, und dä Jinderletscht hät än müese mit Schimpf und Schand und mä Boot zum nächschtä Medizinmaa bringä. Isch grad namal guet gange, aber di Schwache chlöpfts ebä mängisch. Mit grosser Entrüschtig isch s’Schlimmschtä itroffe, und die einzig guet Bedienig vom Safran isch im Mueterschaftsurlaub. Ihri Schwöschter (aka ihri Muetter) hät trotz ihrere suschtige Unfähigkeit alli Bstellige richtig usghändiget, und nur d’Sauce und s’Scharf vergesse. Trotzdem isch die alti Idee wieder ufcho, mit ere vordrucktä Bstellig ufzchrüze, dämit si au ja nüt falsch mache chan. 
Dä PKN hät eus dänn na gseit dass nur di koolschtä keis Whatsapp Bild händ, so wiä dä Mark. Oder die wo kei (richtigi) Ämtli im DF händ, nöd so wie dä JWU wo ja immer Zämefassige schribt und dStats verschickt. Danke JWU. Es wird gmunklet dass dä YMI in London unbedingt is Restaurant vo dem Typ will gah wo sini Spiise so elegant mit Salz bestreut (wird au Salt Bae gnennt), und sis goldige Steak für nume 500 CHF/EUR/GBP wär sicherlich es wunderbars Schmankerl. Oder lieber 100 Bière im nä Pöb go chlöpfe? Quatorze Tequilas? Es blibt spannend. 
Zum Abschluss isch na d’Bièrechreistour Vol. III besproche worde, und alli händ blöfft wie vill sie selber (und wie wenig alli andere) trunkä händ letscht Mal. Wird sicher nöd so läss ohni dä MSO/MST, aber wer weiss. 
Und somit wünsche eu än schöne Hinnich, gueti Festtäg, äm PKN äs wunderbars Reisli uf Riga (pass uf wege dä grosse Entepopulation), äs guet Neus, und bis im Jänner in London. Oder scho vorher, wänn dä grande MSO/MST zrugg i dä Schwiiz isch, und än Donner chlöpft. 
GGG
MSO/MST (Nr.  7)
- Hauptstatistiker (wenn er si dänn verschickt: ich gseh än miserablè Trend, hoffe aber dass ich mich da wieder chan steigere. Staht alles im MyPerformance)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</si>
  <si>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Grüezi mitenand
Luut minere Prognose knackemer d'1000er-Marke leider knapp NÖD.
Prognostizierti CHF 991.75 lönd sich aber au gseh!
LG
Säschi
Infos zur Grafik
Balke links: DF Stats per heute
Balke rechts: DF Stats Prognose bis DF Quo Vadis
Datenquellen: DF Stats, Safran Kebap, 99, eigene Recherchen
Bildquellen: DF Stats, socialbakers.com, Symposium St. Gallen
</t>
  </si>
  <si>
    <t xml:space="preserve">Grüezi mitenand
Wie sich's für en richtige Ökonom ghört, wird dPrognose vo letscht Mal scho wider revidiert:
Prognose alt: CHF 991.75
Prognose neu: CHF 969.75
Zudem sind dDF Stats agriichered mit Logos, z.B. Gurkene – und neue Stats, wie z.B. die unde/im Ahang. Afrage für wiiteri Uswärtige chönd abracht werde under:
requests@dfstats.ch.vu
Protokoll in Kürze:
Sit Langem wider mal sind meh Ehregäst awesend gsi als Kern-Mitglieder. z.B. de Ebli, de Jinny-Boy und dSophia. Service wie immer überragend.
Gspröchsthema mehrheitlich dErika und de gestrig Namittag/Abig im Calvados mit em entsprechende Ziitigsartikel:
https://www.tagesanzeiger.ch/zuerich/stadt/panettone-und-spiele/story/14346702
Shabbat Shalom und en guete Rutsch
Säschi
Abb. 1: Partizipationsrate über die Zeit
Abb. 2: Durchschnittlich Anz. anwesender (Kern-)Mitglieder
</t>
  </si>
  <si>
    <t xml:space="preserve">Hoi zäme, und willkomme zum Endi vom 4. DF Fiskaljahr, 5. Kalenderjahr und dä 2. Dekade wos dä DF git. Wahnsinn. 
Ich bin zrugg us äm neue Seeland, und möcht mich da ganz herzlich a mim Vize-Statistiker SJU für die präzis Statistiksfüehrig und die wunderbare Grafike bedanke. Sehr schön. Und na äs fründlichs figgdihärt an CBO, wo zwar keis aktivs Ämtli hät, däfür mit sine 4.3% Partizipationsrate glänzt, das Jahr ganzi 0.9 Prozentpünkt meh hät als letschts Fiskaljahr, und trotzdem dä all-time König vom DF (siehe Symbol vom MSO/MST) dumm amacht wänn er nach sine wohlverdiente Ferie am Mäntig Morgä d’Stats nanig gschickt hät. Danke  Und wämmer scho am bäshe sind, bald chunnt wieder dä einzig Tag im DF-Fiskaljahr wo die beide Herre PKN und YMI öppis für dä Verein mached. So schön. Dennoch möcht ich am PKN gratuliere zum erschtä Chrönli sit äm Fiskaljahr 2016 wo nöd am MSO/MST gaht. 
Am Fritig hät sich wieder alles wo Rang und Name hät im Safran troffe, und dä Jinderletscht. Und dä Schoggi. Grundsätzlich hät sich nüt g’änderet, alli sind am blöffe, und alli sind enttüscht wänn öpper doch na chunnt. 
D’Vorfreud uf London isch riesig, und mer hät gwerweisst was die zwei Langziitabwesende YMI und CBO alles so vorbereitet händ. Alli hoffed uf ä prima Präsentation, vill Bière und Tequilas, und dass sich niemert übernimmt mit äm Onkel Alkohol, nöd wie Anno 2018.
Zrugg zum blöffe. Es hät sich äs übels Bättle abzeichnet, wär jetzt dä einzig wahri Neuseeländer isch: 
I dä lingge Egge, dä MSO/MST (steihässig dass er i dä lingge Egge isch), wo z’letscht dunne gsi isch, und vo dä Maori (Uuuuriwohner, Anmerkung der Redaktion) zum nä Haka ufgforderet worde isch
I dä rechte Egge, dä PKN, wo angeblich scho es paar Mal dete gsi isch, und behauptet, än neuseeländische Pass zha. 
Dä JWU hät es paar stei grüehrt, und gseit dä MSO/MST seg dä einzig Neuseeländer, und dä Rescht häts eigentlich nöd so kümmeret. Dä glichi JWU hät au na vo sinere Winterreis in hochä Nordä vo Tromsöö (oder so ähnlich) verzellt, woner mit sinere Asiä-Affaire absolviert hät. Leider sind di meischte Aktivitäte wege schlechtem Wetter gstriche worde, aber das hät dä JWU na nie dävo abghalte, ganz ä tolli Ziit zha. 
Dä PKN isch mitem YMI in Riga und Tallinn gsi, und hät zwar kei übergrossi Entepopulation gsichtet, aber än Unterschied vo dä Tourischte gmerkt (Tallinn hä meh). Es seg chalt und dunkel gsi, was dä MSO/MST bestätige chan, und mer hät für alli Restaurant müese reserviere. 
Dä SJU isch leider chli under äm Wetter gsi, und mir wünsched ihm gueti Besserig. 
Dä Jinderletscht… isch au dete gsi. 
Somit ä frohi Wuche bim Skifahre, und mer gseht sich am DF oder a dä Chlöpfete Vadis. Vergessed eui Shirts und Pins nöd, suscht gits ä Buess.
MSO/MST (Nr.  7)
- Hauptstatistiker (wenn er si dänn verschickt: ab hüt wieder pünktlich, isch eine vo mine Vorsätz)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</si>
  <si>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vom ehrevollschtä Verein wos jeh häts gits. 
Ich freu mi usserordentlich, di letscht Statistik vom 4. DF Fiskaljahr zverschicke. Alli lesenswerte Nummere und Kennzahle sind ja bereits im Excel ersichtlich, inklusive grossartige Grafike, also gang ich jetzt nöd wiiter gross druf i. Ussert euses rekortverdächtige Vereinsvermöge, zimmli starch.
Hüt händ sich d’Ereignis überschlage. Bim Itreffe vom MSO/MST (12:12) hät sich usegstellt, dass än Ersatz für die Jung Tochter/Schwöschter von ä unfähige Bedienig igstellt worde isch. Das wird später na relevant. 
Dä PKN isch scho dete gsi mitem Ebito Ebito als Ehregascht, und ein Blick hät glanget zum bestätige dass da öppis nöd ganz stimmt. Dä Häärlidieb hät zuegschlage, und dä PKN isch sit langem mal wieder aständig unterwegs, zumindescht wänns nach sim Swiss Partners Chef gaht. Allerdings gseht er doch na so us wie uf dä offizielle Swisspartners Internjetsiitä. Sehr beidruckend. 
Und wiiter gahts. Dä SJU isch am 12:14 ineplatzt, liecht am perspirierä, und er isch dänn glich namal use um sis Velo abzschlüsse, ohni än LI zkassierä. Allerdings wärs än Itrag id DF-Gschichtsbüecher wert gsi, wänner nüme use wär, und dänn sis Velo klaut wordä wär. Schön hät alles äs guets Endi gnoh, obwohl angeblich Velodieb ihres Unwese triebed in Züri. Da die andere zwei Gurkä scho bstellt händ, aber dä PKN gar nüm so Luscht ufen Pide gha hät, sind er und dä MSO/MST än sogenannte Pide-Donner-Swap igange, und dä PKN hät dänn bi dä neue Bedienig (zu ihrere Verwirrig) namal bstellt (Donner ohni Zwieble und ohni Tomate). Nachdem sin Dürüm (ohni Wasser) dänn endlich cho isch, hät sich zu sim Erschreckä usegstellt, dass es sowohl Zwieble als au Tomate dine gha hät. Das hät zum Novum gfühert dass dä PKN sin Dürüm umtusche lah hät, obwohl di neu Bedienig gseit hät es seg besser mit Zwieble. Dä Ersatzkebab hät dänn däfür ganz vill Mais dine gha. 
Dä SJU hät sich guet erholt vo sinere Chrankheit, und isch frisch und munter vom Skifahre zruggcho. Bi sim Kebab hät alles gstumme, ussert dass er kei Sauce dine hät welle, was für mich doch sehr gspässig isch. Er hät dänn na blöfft wie er sich ganz fuxig und schnell für ä Wohnig im Tiergarte beworbe hät, wo aber nur 90 Quadratmeter hät. Es isch dänn na es dunkels Gheimnis usecho, nämlich dass dä MSO/MST i sinere Chindheit au scho mal im Tiergarte glebt hät, und dass er in St. Galle gebore isch. Bittère. 
Suscht freut mer sich ufs Quo Vadis, isch zwar chli enttüscht dass es jetzt offesichtlich nöd an Ishockey Match vo dä London Ice Knights gaht, aber grundsätzlich sind alli frohen Mutes. 
Somit äs herzlichs Dankeschön a alli wo so zahlrich erschiene sind das Fiskaljahr, und a alli wo so grosszügig mit ihrem Fehle eusi Kasse fülled. Petri heil, und bis bald
MSO/MST (Nr.  7)
- Hauptstatistiker (wenn er si dänn verschickt: rekordverdächtig früeh am 13:20 verschickt)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</si>
  <si>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und anderi Gurkä, 
Willkomme im 5. DF-Fiskaljahr. Nach dä turbulente Events vom Quo Vadis wo au als Chlöpfete aneghebet hät, zeigt sich ä gwüssi Tendenz wo entweder d’Uflösig vom Verein gforderet wird (siehe letschti Chlöpfete), dur Diskussione zu Strafbiiträäg vo dä zwei mit äm Sonderstatus so gstritte wird dass dä DF fascht ufglöst wird (siehe vorletschti Chlöpfete), oder wie in Londres, wo dur das heldehafte Versteckspiel vo einzelne Schueh zwei Mitglieder so hässig gsi sind dass si sich atrötzled und s’Wohlergehä vom ganze Verein gfährded händ. Wie dä Amateur vom Tele Züri mal gseit hät wo dä grande Ueli Maurer us sim Interview usegloffe isch: Findi schwach Herr Maurer. 
Aber se(x)gs drum, mir händ alles erlebt (Stoleschüss) und überlebt, und sind nur na stärcher als vorher. Ussert die wo nöd stärcher sind, die sind schwächer (siehe Jinderletscht). Und es git ä neui Statistik, han di letschtjährig na versteckt i dä Täääbs falls sich öpper wunderet. 
Hüt isch dä DF Core wieder mal friedlich am schnabulierä gsi, und es hät nur so donneret und gchlöpft. Schnell isch klar worde, dass d’Vorfreud ufs neue Fiskaljahr riesig isch, well 3 vo 4 Mitglieder vorem 12:11 und dä SJU nur churz nach dem Ziitpunkt itroffe isch. Kommentar SJU: Mis Ghirn isch igfrorä. Ja bravo. 
Es hät dä eint oder ander Nadelstich geh wägem DFQV, aber suscht isch alles friedlich underwägs gsi. Süd Afrique isch äs Thema gsi, well dä SJU eus jetzt mit sinere Abweseheit än guete Huni id Kasse spüehlt, und mer hät sich im Kollektiv sehr ungläubig d’Auge gribe über eusi wiibliche Gegeteil wo immer 1000 Kleidigsstück bruched für 2 Täg Ferie. Wahnsinn. Di neu Chellnerin isch immer na da, und arrogant / selbschtsicher wie eh und jeh. Isch au alles cho wie bstellt, ussert dass alli Donner mit dä falsche Sauce cho sind. Jänu. 
Es isch na churz über die ville Ämtli gredet worde, und dä SJU hät sich gwunderet was passiere würd mit sim Pokal (dä i dä Statistik) wänn er us- und wieder itritt, ob er än därf bhalte aber ä Gurkä überchunnt, oder ob er sis achievement entchieft und mer sind Pokal wegnehmed. Hoffentlich müemer eus über dä fall nie Gedanke mache. Und dä sogenannti LILA (Last in last Aout) isch na vorgschlage wordä, aber mir rated am PKN sini Englischkenntniss zverbessere bevor er da so muetigi Aträg stellt. 
Als Abschluss na es paar Afrage a diversi/alli Mitglieder (Ufzgi werded kontrolliert nächscht Fritig, ussert dä SJU wo angeblich kei Mails chan läse): 
• SJU: Bitte all Formle im «graph» Tab apasse, weiss nöd was du da genau gmacht häsch, bin nöd so än Excelfux wiä du. Dangge tausig
• YMI: Bitte bestätige wie gross eusi Kapitalreserve sind (falls vorhande) und äm Statistiker mitteile, dämit er sini Statistik au richtig chan nafüehre. Und dä Hebel mal chlöpfe uf Tesla. Merci mille
• JWU: Bitte säge wänn eusi DF-Homepage endlich staht. Und schick mal na d’Zämefassig vom Quo Vadis. Grazi millano
• CBO: Bitte luege ob na all dini Schueh vollständig sind. Grazia fitg diesch tschient (hehehe)
• PKN: Bitte mal fehle, um z’zeige dass s’letschte Fiskaljahr än klare Outlier gsi isch. Gracias mil
• MSO/MST: Bitte so blibe wied bisch, eifach grossartig
• ALLI: Bitte 50 CHF überwiese an YMI falls nanig gmacht, dass er dä Melon Usk ändlich mal chan go shortä
Apassige i minere legenderä Signatur wie immer in Gelb
MSO/MST (Nr.  7)
- Hauptstatistiker (wenn er si dänn verschickt: er verschickt) 
- Vize-Präsident (selbsternannt, aber bim DFQV bestätigt)
- Vize-Iladigsversänder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Landner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</si>
  <si>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Hallo, willkomme zum wüchentliche Update vom DF.
Zerscht gits mal ä chlini Scheltä a alli wo ihri Ufgabe nöd gmacht händ (und bsunders a alli wo ihri 50 Höger nanig an YMI überwiese händ, oder nöd mal gwüsst händ dass mer das muss mache):
• SJU: Isch i dä Ferie (danke fürs Bild und dass mer dich uf dem Bild fascht nöd gseht). Excused
• YMI: Betrag isch mitteilt, Hebel chan erscht gchlöpft werde wänn alli ihre Cäsch überwiese händ. Top 
• JWU: Homepage isch da, weiss aber nöd ob das au dä DFQV-Vorgabe entspricht. Zämefassig vom DFQV nanig gschickt. Knapp ungenügend
• CBO: Schueh sind anschinend vollständig, Top
• PKN: Grandios gscheiteret weller glich cho isch, aber villicht fehlt er nächscht mal. Klar ungenügend. 
• MSO/MST: Hät gar kei Ufzgi gha, drum hätter automatisch au nöd bestandä. Sehr schwach, Note 1
So jetzt chömmemer zum eigentliche DF. Bevor dä JWU mit 10 Minute Verspätig und äm erschtä LI im neue Fiskaljahr itroffe isch, hät dä PKN dä neue Bedienig grad mal dä Tarif duregeh und ihre gseit er erwartet dänn scho dass sie bald mal eusi Bstellige uswändig kennt. Zimmli starch, weiss aber nöd ob sie das so ernscht gnoh hät, sie isch mängisch zimmli arrogant. Aber sie cha sichs ja au erlaube, wie dä Roger damals woner na dNummere 1 gsi isch gseit hät: es git dä Bescht und dä Rescht. Voila. Dä PKN hät dänn agfange umeträume vom nä Stammtisch und hät über exorbitanti Trinkgelder und anders Gschmäus gschwaflet, während dä MSO/MST sich über sini Problem i sinere neue Wohnig beklagt hät (wo jetzt endlich glöst sind, danke der Nachfrage). Und dänn isch zum Glück dä JWU cho, bravo. 
Di ganz Diskussion isch chli lockerer worde und hät sich dänn natürlich äm Sport gwidmet und dä herrlich Uftritt vo dä Cote d’Ivoire (Statement PKN: so ä Farce) isch heiss diskutiert wordä. Jede hät blöfft wie er di ganz Mannschaft vo Afrique au selber gschlage hetti, und dä JWU hät mit sim Wüsse uftrumpft und behauptet dass alli Spiel gäge afrikanischi Mannschafte eifach nöd zelled (weiss nöd ob das stimmt, wär aber zimmli legendär). Das isch hald wänn d’Hälfti vo dä Mannschaft keis Visum überchunnt. 
Dä JWU gaht nächscht Wuche go brügle, glaubs uf Tampere, han nöd so genau zueglost, und wänn dä PKN wie agseit villicht äs Gschäftsmittagesse hät, wär dä MSO/MST endlich wieder mal dä strahlend Leader vom nä Fiskaljahr (sowohl i dä Partizipationspünkt/-Rate als au i dä LIFO Statistik). Dä rescht laht sich mit wenige Wort zämefasse: American Football und Awält. Wär nöd däbi gsi isch hät hald nöd chönne mitlache. 
Danke für die wo ihri Ufzgi gmacht händ, und namal Schande über die wos nöd fertigbracht händ. 
Grüss Gott
MSO/MST (Nr.  7)
- Hauptstatistiker (wenn er si dänn verschickt: er verschickt und verschickt)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</si>
  <si>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Namittag, 
Ich bin so Stei-glücklich und trurig gsi wo dä PKN für dä hütig DF zuegseit hät. Diä neu Bedienig hät sich erlaubt es paar Gott-Stei zrüehre wo mer grad än Tisch gfunde händ, und gseit mir heged s’erscht mal da än Tisch. Die Gurkä, als ob sie scho immer da gsi wär. Glücklicherwiis hät dä Onkel Schicksal grad zuegschlage und si hät ihri Cocktailsauce ghei lah. Statement MSO/MST: hehehe
S’romantische Dejeunér isch i vollem Gang gsi und trotzdem sind d’Funke nöd so gfloge, vor allem well dä MSO/MST Gott-Stei trurig gsi isch dass dä TiTj hüt abgsaget worde isch. Es isch än rabeschwarzä Tag für dGS CS, was mer au a dä Finanzmärkt gseht (Stand jetzt: isch gar nüme so schlimm). Suscht sind na es paar anderi Topics agsproche worde, aber die blibed under dä zwei Verliebte. Und ich han au chli vill ztue, drum chani nöd ewigs umeplaudere.
Jetzt na öppis wo mi Gott-Stei trurig macht und mer bald es Herzchriesi und än NiereGottStei git. Ufgabe werded eifach nöd konsequent durezoge, und ich bitte drum alli di folgende Herre öffentlich an Prange zstelle: 
• YMI: Für sini fehlende Kenntnis vo finanzielle Produkt, um endlich dä lang erwarteti Hebel zsetze
• JWU: Für sini gurkigi DF «Homepage» und well er d’Zämefassig vom DFQV immer nanig gschickt hät
• PKN: Für sini Vereinstreui und well ers glich immer na an DF schafft, fehl mal
Grüss Gott-Stei
MSO/MST (Nr.  7)
- Hauptstatistiker (wenn er si dänn verschickt: chli spat, aber besser nie als spat)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</si>
  <si>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Ooooh, die Wuche gits grad zwei Zämefassige, well ich di Erscht erscht jetzt verschick. Däfür gits nächscht Wuche eini vom SJU nach sinere triumphale Rückkehr id Zivilisation (danke Vatter fürs Apasse vo dä komplizierte Stats).
Uf los gahts los. Los. Komischerwiis sind am Fritig alli meh oder weniger pünktlich cho, und dä PKN hät sini Ufzgi immer nanig gmacht, well er nie fehlt. Findi starch und schwach glichziitig. Dä JWU hät hoch und heilig versproche d’DFQV Zämefassig zschicke die Wuche, aber hald nur für die Ziit wo er da gsi isch. Isch vo dä Awesende goutiert worde, und mir warted jetzt mal bis er eus wieder mal enttüscht (nöd so wie mit sinere grandiose DF-Website). Dä YMI hät gseit er müessi än Tescht mache dämit er därf go komplexi finanzielli Produkt handle, und mir sind gspannt wie schnell mer Millionär sind als Verein. 
Dä MSO/MST hät än prestigeträchtige Goldbarre übercho vo som nä Typ us dä UK wonen zerscht dumm agmacht hät und dänn offesichtlich glich sehr positiv überrascht worde isch vo sinere Brillianz. Dadruf händ PKN und JWU vorgschlagä dass es nöd nur Goldbarre sondern au Gurke sött geh womer chan verteile a die sehr unfähige Mitarbeiter (git es paar da woni grad würd nominiere), was au sinn würd mache für d’CS als Gurkebank. Au dä Vorschlag wär schnell umgsetzt bim DF, wo nöd so ä komplizierti Governance hät wie besagti Cucumberbank. 
Dä JWU hät blöfft dass sis Team (Gurkeball Albis / Bonstette / Wettswil) sbescht wos jeh häts gits seg vo dä Rückrundi, und zwar über alli Unihockeyligene i dä Schwiiz. Ussert die ab dä 4. Liga woner nöd agluegt hät. Gratulation a dere Stell. Irgendwie simmer dänn uf dä Fuessball cho und händ churz dä Jinderletscht erwähnt, wo angeblich gseit hät «lieber i dä 1. Liga interregional als dä Uli Forte als Trainer» (Anmerkung der Redaktion: mir überprüefed eusi Quelle nöd, wie alli andere «Ziitige» hützutags), und dä JWU hät beluschtigt festgstellt dass es nur na ufwärts gaht mit Servette sit dä Jinderletscht gseit hät si heged än schlechte Trainer. Die ganz Diskussion isch dänn abschweift i Räuberpischtole über Spieler wo sich in Vertrag schriebe lah händ dass dä Brüeder au mal därf spiele wänn si zum nä Verein wechsled, und zur Versteigerig vo Teamplätz für vill Geld. Als Abschluss vo dem isch dänn d’Frag vom Tag (Reim Reim Reim) ufcho, und mir bitted um eues Feedback: Wänn öpper als Spion ines Team chunnt und dem will schade, und än Spieler vom eigene Team foult, gits dänn ä gelbi/roti Charte? Ich weiss es nöd, aber wär na geil wänn jedes Team ein Verräter dine hett, das würd Fuessball chli geiler mache, aber natürlich nie so geil wie Iiiiishockey (#ZSCLionshänddiedümmschtehäshtägswellsididümmschtesind) 
(Leider blockt mer d’GSCS alles Social Media, und mer gseht drum dä lächerlich Leu nöd wos na anedah händ. Nichtsdestotrotz isches #wiederdebii)
Ich entschuldige mich da na offiziell für dä sehr sportlaschtig Text, aber mer chan nöd immer günne. Tschüss
MSO/MST (Nr.  7)
- Hauptstatistiker (wenn er si dänn verschickt: na später, bin hald dä uMSOMST)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</si>
  <si>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zäme, 
Es isch än schöne Tag gsi hüt, dä härti Kern vom DF (und dä JWU) isch wieder mal awesend gsi im edle Safran, und alli hand mä wunderbare Donner (oder –Box) gfröhnt. Es sind fascht alli zfrüeh cho, und mer hät scho mal agfange über die grandios DF Website zschwärme. Es sind erschti Ufrüef cho zum si z’erwiitere mit mä Login und si z’integriere i di nanig bestehndi Safran Website. Dä SJU isch dänn auna cho und hät es paar wunderbari Vorschläg vo sinere Siite bracht, woner sicher gern na wird in nächschte Invite chläbe. Wichtigs Feature: Bilder vo jedem, euses DF-Symbol (z.B. Gurke für dä JWU) vor eusem Gsicht, und eusi Abchürzig mit allne Titel und Ämtli under dem. 
Dä SJU isch wie atönt wieder zrugg usem tüüfe Afriquè, bruun wie än iigebohrenä, und am lache über sin ZKB 150-Jahr Bonus, obwohl er gar nöd die ganze 150 Jahr dete gschafft hät. Er hät blöfft über sini Reis, aber erscht womer än gfragt händ wies gsi isch. Er hät alli Tier gseh wos git, isch mal fascht vom nä Nashorn ohni Horn überrent worde (es hät aber anschinend au nur blöfft), und isch usgraubt worde im Land vo dä Bauern und Ziegenhirten (Lesotho), obwohl die agsprochene Hirte nur Kaugummi und Riegel entwendet händ, aber kei Powerbank (die händ scho solarbetriebeni Bänks gha zum Radio lose) oder Handys. Die schiined meh zwüsse als mir bezüglich was wertvoll isch und was nöd. Usserdem ischer mal mit mä Frankokanadier go wandere wo uf 3000 M.ü.M. höhechrank worde isch. Fantastisch, aber wiederspricht chli äm Motto «French Canada is the real Canada». Aber es grosses Lob an SJU, wo sini Ufzgi gmacht hät sobald er wieder im Office gsi isch, und dänn hätter sogar die hütige Teilnehmer korrekt vorhergseit und i dä Stats feschtghalte. Danke und Chapeau. 
Dä PKN gaht go brügle light das Weekend im Beerlab, und hät akündet dass er plant im ganze 2020 nieh mitem JWU gaht go brügle. Er hät sini Ussag am end aber scho bereut, isch aber beruhigt worde vom JWU wo versproche hät dass er hald suscht mitem PKN Ziit verbringe wird, eifach ohni Brügle. Und mir wüssed all wie heilig am JWU sini Verspreche sind. Wämmer scho bim JWU sind, er gaht hüt endlich wieder uf Londrès, und freut sich scho dass dä Jinderletscht wie immer alles plant hät. Au wänn er dä schlechtischti Planer isch wos jeh häts gits, isches besser als nöd plant. Er schuldet eus immer na sini DFQV Zämefassig, woner mer scho än chline Iblick gwährt hät. Er wird sicherlich die leidig Episode vo «wer hät min Schueh versteckt» wieder ufneh, und mit äm UNO Sonderbeuftragte für Folter die ganz Gschicht ufrolle. 
Dä MSO/MST isch wie immer da gsi, obwohl er dänn nächscht Fritig am Skifahre isch. Aber er freut sich dass meh Geld id Kasse gspüehlt wird, und wänn er dänn wieder zrugg isch im alte Safran. 
Wie immer mit unfründliche Grüess
MSO/MST (Nr.  7)
- Hauptstatistiker (wenn er si dänn verschickt: ganz früeh, während dem er mit es paar Topshots im nä Meeting hockt)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Da no dstats mit krass vollautomatisierte grafike.
Bis baldrian
Sascha Jucker
</t>
  </si>
  <si>
    <t xml:space="preserve">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</si>
  <si>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Wieder mal häts dä MSO/MST versäumt, am Fritig na d’Stats und ä churzi Nachricht usezschicke. Ich möchte mich damit herzlich entschuldige, insbesondere an CBO wo sich jedi Wuche so druf freut und sich amigs bedankt. Und dänn ischer wiedermal ganz knapp nöd zspat cho, aber er hät mer gseit er gelobt Besserig. #sorryyessorry
Es hät alles ganz unschuldig agfange mit dä Erwähnig vom sogenante Cheebab, was nöd än kubanischä revoluzzer sondern än chäääskebab bezeichnet. Also meh ä Chäässchnitte, eifach feschter, oder äs Raclett am Dönerspiess. Das gäbs irgendwo im Zürcher Oberland und bi dä Frösch äne, und ich bitte oi für ä chlini Abstimmig was besser isch vo dä untere zwei Vorschläg, um dem Cheebab endlich än guete Name zgeh: 
Option 1: Chöner Rabab
Option 2: Donnerchääs Kelett
Wänn eine mit mä bessere Vorschlag chunnt, därf er min Stempfel am Fritig ha, oder wänn au immer er/sie/es uftaucht. Danke. Und ich gib dem än Bidon wo mis grossartige Wortspiel 4 Linie wiiter unde zerscht verstaht. Und dä JWU hät sini DFQV Zämefassig immer nanig gschickt, und ich wirf äm irgendwänn mal än Chöner Rabab a wäni eine finde. 
Es wird immer na gwerweisst über dä YMI und sin Tescht zum Tesla shortä, und obs würklich än Tescht isch oder eifach än Frageboge, und mir bittet um Feedback ob dä YMI sich jetzt Wüsse aeignet über komplexi finanzielli Produkt um än eifache Frageboge uszfülle. Und mir sind alli enttüscht dass mer nöd am grandiose Abwärtstrend chönd partizipiere, und dass gwüssi Gurkäbanke jetzt ihri Aktie für weniger als än Dürüm (ohni Wasser) vertschutted. 
Bevors so richtig gchlöpft hät a dä Börse isch am Fritig scho ä Frag ufcho wer wie investiert, insbesondere zwüsched dä zwei Finanzfüx am Tisch. Dä MSO/MST hät dänn am SJU gseit, er glaubt dass jetzt (Stand Fritig) investiere nanig so Sinn macht, wells glaubs na chli duuret bis dä Markt sich erholt, woruf dä Nödexperte JWU ä philosophischi Diskussion usglöst hät ob mer überhaupt ä Ussag über so Sache därf treffe ohni genau zwüsse was passiere wird. Fünftessenz: Mer chan kei objektivi Ussage meh mache, und dä JWU hät objektiv betrachtet kei Ahnig. 
Grundsätzlich hät mer sich drüber amüsiert, wie i dä Buurebank 3 nur 10% chönnted im Home Office schaffe ohni dass sSystem überlaschtet wär, und dass das besagte Cucumberinstitut alli 2 Wuche in unbezahlte Urlaub schickt wo wüssentlich i Sperrgebiet gönd. Mer weiss nöd so recht ob das legal isch, aber die Staatsbanke chönd sich hald so Gaunereie erlaube. Es isch usserdem plant worde wie mer das chan usnutze und Ferie i 1-2 Mönet asetze inere Region wo dänn wahrschinlich au gsperrt wird, dänn chunnt mer nämlich 2 Wuche bezahlte Urlaub / Home Office (isch ja eigentlich sGliche) über. Oder eifach mal unbezahlt Ferie mache. Grossartig. 
Na drü chlini Amerkigä zum Schluss: 
• Dä Nikci Grass isch ä Legendä und so än effizientä Geburtstagsfeschtplaner, wo grosszügigerwiis au dä SJU iglade hät
• Mir händ jetzt endlich ä Handynummerä vom Safran, wo über die Jahre immer uf dä Stempfelcharte gsi isch und niemert häts gmerkt. Die neu Bedienig hät ihre Wert zeigt und eus gseit mir chönned scho vorbstelle, findi fantastisch. Aber ä Donnerbox ohni Tomate für dä PKN bringe hät si trotzdem nanig gschafft. 
• Platz 1-4 i dä alltimedfstats trenned jewils 4 Pünkt (MSO/MST 157, PKN 153, JWU 149, SJU 145). Wer hetts denkt. 
A Bien tot
MSO/MST (Nr.  7)
- Hauptstatistiker (wenn er si dänn verschickt: Es zeigt sich äs Muschter, nämlich dass dä MSO/MST kein Muschterschüeler isch im Verschicke vo denä Zämefassige)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</si>
  <si>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Ehrewerti Herre, 
I dene düschtere Ziite han ichs mir zur Ufgab gnoh, oi än chline Liechtblick z’übermittle: Die mittlerwiile legendär DF-Zämefassig und –Statistik. Trotz Fritig äm 13tä gits also na good news. 
Nach dere chline Selbschtbeweihräucherig gömmer grad is Haupttopic ine: Chlöpfe. DCorinna chlöpft ganz unbeschwert vor sich hii, und mittlerwiile grenzt die ganzi Gschicht an ä Farce wos na nie häts gits. Fascht alles wo Spass macht isch igschrenkt, und dä MSO/MST isch ab hüt 2 Wuche in Selbstquarantäne gemäss GSCS Policy, well irgend än Schlufi nach mä churze Meeting mit ihm und sim Team jetzt dihei hockt und gwüssi Symposium ääääh Symptom ufzeigt wo eher verdächtig sind. Glücklicherwiis gits dä Safran, obwohl mer sich nach Insiderinfos vom SJU scho Gedanke muess mache wie lang na. 
Dä gueti Firat häts au scho gchlöpft, aber er hät trotzdem ganz pflichtbewusst die 3 Bstellige fehlerlos wiitergleitet. Allerdings müesstemer na spezifiziere dass mer dä Donner nöd zum mitneh wänd, und für die wos nöd so gern händ au nöd grilliert. Aber suscht alles im Butter, und bitte wünsched ihm au na gueti Besserig (scho agstosse vom SJU, danke a dere Stell). Ich beuftrage dä JWU mit äm Ämtli, mal potentielli Alternative uszcheckä. Ich han au scho mal umegluegt und das folgende Establishméént gfunde, wo offesichtlich sehr druf Wert leit dass dLüüt meh Wasser trinked:
Es isch au suscht drunter und drüber gange am DF, und dä JWU gaht hüt uf Wenge mit es paar Amatöör go brügle, inklusive YMI, wo schändlicherwiis nöd uftaucht isch trotz Zuesag (git än schöne LIFO+). Es gaht dHoffnig ume dass sich eine dete asteckt und dänn 2 Wuche durebrüglet wird, inklusive es paar Todesfäll, wo dänn i dä Medie natürlich dä Corinna zuegschribe werded. Dä PKN isch i dä Ferie und isch somit endlich mal nüme ufem erschte Platz i dä Fiskaljahreswertig, und jetzt  chan sich dä Verein au wieder gseh lah i dä Öffentlichkeit. 
Es isch au na über Tolgge i dä DF-Heft gredet worde, a alli wo nöd dete gsi sind, damit meint dä JWU die Errungeschafte und Versäumnis vo jedem Mitglied im Zämehang vom DF. Dä JWU hät gseit er würds sich scho einiges choschte lah wänn er sin Tolgge vom Us- und Wiederitritt chönnti entferne lah (aber nöd sovill wie dä grossartig Stoffdinosaurier wo zwüsched 2 und 2 Meter gross isch), woruf d’Frag ufcho isch ob das überhaupt möglich isch mit Tolgge (Anmerkung der Redaktion: Ja, mit mä Tintetipexkiller). Und d’Redaktion isch da au sehr glücklich gsi dass wieder mal über dä Jinderletscht gschimpft worde isch, wo nöd nur dä gröschti Tolgge vo allne im Heft hät, aber au dä Umstand dass mer ihm sis DF-Heft eigentlich weggnoh hät. Freude herrscht (Adolf Ogi, 1901). 
Das mitem Ishockey isch ä leidig Gschicht, und dä Experte Essig seit dass Chlote will ufstige am grüene Tisch und d’Liga ufgstockt wird, und dass Visp seit wänn die Zürcher ufewänd chömed mir grad au. Dä MSO/MST hät dänn na äs Finalturnier vorgschlage zum dä Meister zbestimme, 3:3, und dä SJU hät igworfe es git nur je 1 Spiel pro Team und dä wo am meischte goal schüsst wird Meischter. Wär zimmli geil. 
Und zum Schluss chlöpfts na eis letschts mal, well angeblich i dä Zürcher Kommerzbank am JWU sis «die Schwache chlöpfts» eher frei interpretiert wird mit dä untere Ussage: 
• Die Schwache nimmts
• Die Einte chlöpfts
• Die hani gescht härt gchlöpft
• Mir chlöpfed än Jass
Hoffentlich bis bald, und suscht nöd
MSO/MST (Nr.  7)
- Hauptstatistiker (wenn er si dänn verschickt: Ab hüt wieder rechtziitig, ich schwöre uf dä Safran und dä Firat)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</si>
  <si>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I dene schwirige Ziite gits wie immer ä chlini Ufmunterig mit dä DF Zämefassig und Stats. 
Hüt isch usserordentlichs passiert: Än Donner (ohni Blitz) im Park bi schönem Wetter und Usnahmezueschtand. Natürlich hät mer sich (mit einere Usnahm, Herr Wullimann) ad Awiisige vom BAG ghalte und nur mitem Ellboge hoi und tschau gseit, und na meh als suscht s’lokale Gastgwerb unterstützt (jedefalls relativ gseh). Das macht mich extrem STORZ. Usserdem hät dä Firat wie immer (also zweimal) eusi Bstellige richtig wiitergleitet. Nach dere positive Afangsbotschaft chömmed mer zum neuschte Segment vo dä Zämefassig: Freunde des Kebab in Zeiten des Wahnsinns:
•        Dä CBO isch dä grossi Abwesend gsi, und hät leider eme wichtigere Call müese biwohne (obwohl eigentlich nüt wichtiger isch als dä DF). Aber im Herze isch er natürlich immer da, und gaht eus all ufd Nerve
•        Dä YMI dasmal agmeldet gsi und au verbicho, wunderschön mal wieder än 5/6tel DF zfiire Er hät grad mitere Donnerbox uftrumpft, und Churzarbeit besproche. Usserdem ischer mitem Skateboard cho, und mer munklet er seg nachher via Uetlibergtunnel heigfahre
•        Dä PKN hät sich wieder mal an DF getraut, obwohl er ja jetzt nur na 3tä isch i dä Fiskaljahresstatistik. Er hät na Ferie, und muess sich erscht nächscht Wuche wieder dä harte Realität vom Büro stelle well er sini «Arbeit» nur bedingt online chan verrichte. Mir wünsched äs guets und keimfreis Pendle.
•        Dä JWU hät Geburi gha und hät (wer hettis denkt) 30 Jahr überlebt. Die einte säged das sind gfühlti 210 Jahr, was sini Leischtig aber nur na beidruckender macht. Er hät mit mä Schmankerl uftrumpft dass abem Mäntig Ziitige zwar wiiterhin produziert werded (da Notversorgig), aber d’Uslieferer nöd under dä Artikel falled, also händ alti Lüüt bald kei Printmedie meh vorem Huus. Isch villicht au nöd so dumm, well im urchige Uuuuri därfeds ja eh nüme use. 
•        Dä SJU isch chli hässig uf sin chaotische Vorgsetztä wo anschinend dä Spruch «wänns nüt nützt schadets nüt» nöd verstaht, und die Split Operations vo dä ZättKaBee (jede zweiti Tag is Büro) isch au eher bedenklich. Immerhin hätter chöne mit solide Aktiemarktvorussage glänze (es chunnt alles guet und gaht ab jetzt nur na ufe). Sovill zum positive Twist vo dä daily market news. 
•        Dä MSO/MST isch enttüscht enttüscht dass niemert sin Schnauz globt hät, und isch chli dumm agmacht worde vom PKN weller mit sinere Stämpelcharte zahlt hät. Allerdings hät er au äs Dosegetränk gno und fantastischi 14.141414141414% Trinkgeld geh. Chapeau ab.
Und na ä chlini Amerkig, ich bitte dä SJU nächscht mal mitem Helm zcho, Statistike zeiged dass sich s’Infektionsrisiko vom Chronävirus 19 drastisch erhöht wänn mer mit mä Loch im Chopf umelauft. Ich wünsche eu allne Petri heil, wäsched eu d’Händ nachem bislä, und hoffentlich bis näschte Fritig wänns heisst: die Schwache chlöpfts, die Starche chlöpfed än Donner im Park.
MSO/MST (Nr.  7)
- Hauptstatistiker (wenn er si dänn verschickt: rechtziitig wie gschwore uf dä Firat Punto)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</si>
  <si>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es isch mer wie immer ä Freud eu mit dä DF Stats und ere churze Zämefassig zbeglückä. 
Am Fritig hät mer sich welle d’Auge riibe vor Erstuune (aber nöd därfe wäge dä aktuelle Lag) wer sich da so alles uf dä Wiese nebem Safran agsammlet hät. Nebed dä Big 4 isch dä YMI gmüetlich am Donnerbox vertilge gsi, dä CBO hät sich (zwar ohni Donner, aber mit mä schöne Usblick) vo Londrès igwählt, und sogar dä Jinderletscht™ isch vorübergehend is Kollektiv ufgnoh worde, was scho zeigt wie schlimm die jetzig Lag isch. Hoffentlich gahts bald wieder mitem Status Quo Vadis wiiter, dämit mer ihn und sini Gurkejagge nüme müend gseh.
Ganz getreu äm Motto «nöd meh als 5 Lüüt zäme suscht chlöpfts» händ sich scho bi dä Bstellig 3er Gruppe bildet und mer hät sich separat uf dä Wäg zu dä Rugbywiese gmacht. Huet. Und obwohl sich än Jogger agmasst hät eus schief azluege (da mer ja eigentlich 6 gsi sind) hät dä kei Ahnig well mer eigentlich ja 3 und 3 gsi sind. Darum hät dä MSO/MST au nur än Teil vo dä Konversatione mitübercho, und muess sich hüt chli chürzer hebe. 
Mir händ alli ä wunderbari Chance verpasst mit Tesla shorte, aber vor allem hämmers verpasst, dä obskuri Zoom Technoligies (ZOOM) wo YTD 900% gstiege isch, obwohl die Amatöör wahrschinlich Zoom Video Communications (ZM) gmeint händ (chönds selber google). Mer hät sich nostalgisch an ä ähnlichi Farce vo Long Island Ice Tea erinneret, und wie dumm gwüssi lüüt sind, wo wahrschinlich mit dem Fett Cääsh gmacht händ. Jänu. 
Dä Wohnigsmarkt isch au na churz agsproche worde, und bösi Zunge (sicher nöd vom MSO/MST) händ gseit dass es villicht bald es paar Opportunitäte ufem Markt git well än gwüsse Teil vo dä Bevölkerig eher schlecht ufs Chronävirus reagiert. Allerdings hocked die villicht scho all im Altersheim, und drum bringts nüt. Sexwieswill, dä SJU hät sich jetzt mal mit dä Kohabitation mit sinere Busle am jetztige Standort entschiede, und mir wünsched ihm alles Gueti i dere schwere Ziit. 
Dä andere hani weniger zueglost, und am JWU sin aberwitzige Vorschlag dass dä Jinderletscht wieder am DF will biträtte (irgend äs Gschwafel wäge Notrecht) isch gekonnt ignoriert worde. 
Ich will da na churz druf hiwiese dass dä DF vo nächscht Wuche wägem KarliFritig nöd stattfindet, also freued mir eus umso meh uf dä dritti Avril und hoffed dass dä Onkel Petrus wiiterhin mit mä Sünneli uf dä DF lachet. 
Hebed eu Sorg, und lesed nöd zvill «News», macht eim nur nervös. 
MSO/MST (Nr.  7)
- Hauptstatistiker (wenn er si dänn verschickt: nöd rechtziitig well zu vill Bizniz am Fritig, und kei Sandvici)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</si>
  <si>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Aller guten Dinge sind 3 Mal Lockdown DF, drum gits hüt wieder äs prächtigs Update für eusi treue Mitglieder uf dä ganze Welt. 
Angeblich sind gwüssi Sportklubs am verhandle mit Spieler ob si uf Lohn wänd verzichte, die aber eher kein Fan sind vo dem. Insbesondere wänn dä Verein verlangt dass mer mit mä Träcker gaht go jogge, und mer munklet dass es än FCZ Spieler git wo ä Kollegin vo ihm sini täglichi Strecki laufe laht. Es mag si dass s’alte Vorurteil vom intellektuell beschränkte Fuessballes gar nöd so falsch isch, well die Kollegin in Regensdorf wohnt und er nöd, was doch chli gspässig chönnti si. 
Us dem wunderbare Bispiel vom Zämehalt während dä Krise sind dänn Forderige ufcho, dass die Sportler doch ihri Spiel via E-Sports usträge sölled, und Zueschauer müend zahle für das Spektakel. Wär gar nöd so schlecht, und am beschte wärs natürlich wänn jede sich selber spielt. Natürlich sind dänn Bedenkä ufcho dass sich gwüssi Spieler entweder selber usem Spiel nehmed durch Verletzige und rote Charte. Die ganzi Sach muess na chli besser usgschaffet werde, wänn epper jepper än Idee hät bitte melde. 
Wänn mer scho vo Biznizideä reded, all awesende und wichtige DF-Mitglieder sind sich einig (also vor allem dä MSO/MST) dass ä Pideschachtle zum Mitneh ä massivi Marktlücke isch, und ich schlah mal vor dass mer statt go Shortä lieber ä Firma gründed wo i das wunderbare Produkt investiert. Da liht sicher ä riesigi Marge drin, wär grande. 
Aber au suscht bestimmt dä Radio Virus s’Läbe uf dä ganze Welt. In Indie seged offesichtlich ganz vill Amatöör nach dä Usgangssperrregle hei i ihri Heimatdörfer. Und än Teil vo Mexiko (glaubs im Süde) hät Alkohol als nöd essentiell gnueg igstufft dass mers chan verchaufe (was es natürlich nöd isch, warum suscht fühlt mer sich nach mä Bière grad vill besser), und somit sind alli im Land umegreist und händ Tequila ghamschteret. Mini Herre, da gseht mer schön wie wiit Politiker denked. 
Äs speziells Bileid da na an Herr Joscht vo Mettmenstetten am Albis, wo sin Job ufgeh hät für ä Veloreis nach Peking, und dänn in Chur hät müese umdreie well mer dGrenze gschlosse hät. Wär fascht geiler gsi wänner früehner gange wer und s’Virus vo Schina dur ganz Asie und Europa verteilt hett. Das wär mal ä Story für dGschichtsbüecher. Dä JWU hät natürlich grad ä Möglichkeit gseh, än wiitere Spieler vom JWU Senior zrekrutiere, und mer isch sich nöd einig gsi obs besser isch arbeitslos zsi oder als Pöschtler zschaffe. 
Näschte Fritig isch wie erwähnt kein offizielle DF, es bestaht aber natürlich d’Möglichkeit gemeinsam am Tag des Donner zum Zmittag zämezcho, oder am karlige Fritig wänn dä Safran dänn offe hät. Ich schlah vor das wird im Whatsapp klärt. 
Und zum Schluss na äs Update was eusi Mitglieder so beschäftigt: 
• Dä PKN und YMI händ am MSO/MST sin Bart globt (grosse Dank a dere Stell), und dä Vorschlag vom YMI die Pracht na chli ufzpoliere mit roter Farb wird im Moment analysiert. Usserdem sind beidi inere Jogginggruppe mitem Ebito Ebito. 
• Dä SJU hät äs Excelsheet erstellt damit sini Busle ihn nöd alli 5 Minute gaht go ablenke, und er isch suscht au ganz zfriede mit sim tägliche Wechsel vom Homeoffice und Officeoffice. 
• Dä JWU hät dä MSO/MST zum nä Coiffeurmatch usegforderet, und er klärt momentan ab wie gross sRisiko isch, dass er vo sinere Busle zämegstucht wird wänn er das mache würd. Update folgt irgendwänn.
• Dä CBO hät grad reklamiert dass niemert abgnoh hät und er sich somit nöd hät chönne iwähle zum DF, und ich möchte da dä CBO selber ermuetigä als offizielle Massregler die verantwortliche Persone chli zmassregle
MSO/MST (Nr.  7)
- Hauptstatistiker (wenn er si dänn verschickt: er häts tatsächlich gschafft, und hät na es paar Zückerli versteckt i dä Stats)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</si>
  <si>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Halli Galli, 
Dä GGG Virus 19.0 isch immer na am Wüete, und dennoch widersetzt sich dä DF dere Situation vorbildlich und setzt sich wiiterhin für s’Überlebe vom lokale Gastgwerb i. Ich will da na allne danke wo sich am heilige Donnerdonschtig vor Oschtere im schäbige Locherguetpark zämegfunde händ, und es hät sich usegstellt welli Mitglieder sich nur zeiged wenns Aweseheitspünkt oder Buesse git (PKN und JWU), und wer sich ganz klar zum Zämehalt vom Verein bekennt (MSO/MST, SJU, Herr und Frau Müller). 
Aber jetzt zrugg zum Iigmachte. Glücklicherwiis isch dä Onkel Petrus wiiterhin äs Passivmitglied vom DF, und zahlt zwar kei Biiträg, aber ermöglicht eus durch wunderbars Fritigwetter wiiterhin im schöne Safranpark (au Rugbywiese gnennt vo Kenner) dä Donner zgnüsse. 
Am Fritig häts vor allem es paar Bodeakrobate gha wo sich ihrem Workout gwidmet händ. #Fjützamrenne #handähäshtägmüeseapassewegecompliance. Die eint hät da glaubs öppis falsch verstande und hät ä moderni Version vomnä Regetanz usgfühert, sicherlich im Glaube dass ihri Bewegige euse Donner verdonneret mit Rege und Blitz. Glücklicherwiis häts nöd funktioniert, aber es wär scho mal wieder Ziit für chli Rege und Schnee. 
Und jetzt gits äs chlises Update zu dä Mitglieder und andere Partizipante vom edelschte Verein wos jeh häts gits. Dä PNK, SJU und MSO/MST sind alli meh als pünktlich bim Safran gstande und händ dank Firat teilwiis sehr schnell ihre Dürüm mit Ice Tea Lemon us dä Dose (alles andere findi schwach) erhalte. Dä JWU isch dänn au na cho, zwar nöd zspat, aber da er sich sin K-bap nöd selber usem Lade abgholt hät, isch er gemäss Statute technisch gseh nöd awesend gsi. Mir händ eus druf g’einigt dass er sich ä normali Buess abholt, aber dä Aweseheitspunkt glich überchunnt. Falls das öpper afechte will chan er oder sie gern ä separati Abstimmig via virtueller GV iberüefe. 
Dä EbitoEbito isch 5 Minute zspat cho und hät partout nöd welle glaube dass mir sin Pide ohni Fleisch scho zahlt händ, und hät dänn na 10 Minute müese warte während dä Rescht scho am Schnabuliere uf dä Wiese gsi isch. Und woner dänn endlich cho isch hät dä JWU wieder müese gah well er hald sehr wichtig isch für sini 3 Teams. Er schiint so busy zsi dass er trotz warmem Wetter mit Jagge und Jeans cho isch, und mir sind alli in Gedanke bi ihm. 
Dä PKN hät sich beklagt dass dä MSO/MST wo i sine wohlverdiente Ferie in Balkonie gsi isch trotzdem in DF cho isch, und ich empfehle ihm wärmschtens Tempo sanft &amp; frei um sini Träne abzwüsche. Dä MSO/MST hät sich än grande Quarantänebart wachse lah und hät än dänn gescht leider abghaue. Glücklicherwiis isch dä Prozess minutiös dokumentiert worde (inklusive Dölf-Schnuuz), was dä uMSOMST gern mit allne Interessente am Fritig teilt. 
Dä SJU isch natürlich au däbi gsi, und hät als einzige chli blöfft über sini Joggingkünscht. Angeblich isch er langsam so fit dass er sini Marathon-Fründin locker links liege laht bi sinere tägliche Rundi uf dä Üetlihügel. Ich zieh mini Kippa und gratuliere herzlich. 
Bis bald, die Wuche gits grad zwei Zämefassige, also isch das nanig s’letschte Hochliecht i dä nächschte Täg. 
MSO/MST (Nr.  7)
- Hauptstatistiker (wenn er si dänn verschickt: wege Ferie erscht jetzt, däfür richtig. Und lueged mal id Stats und gratuliered mir für mini geniale Zuesatzinfos, ich has sogar gelb markiert, gopfertammi!)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</si>
  <si>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Schande über dä uMSOMST, wo sim Name alli Ehri macht und trotz Verspräche dass er letscht Wuche 2 DF Zämefassige usechlöpft nur eini gschafft hät. Danke da an offizielle Massregler CBO fürs Erinnere, und natürlich für all die positive Rückmeldige. 
Jetzt gahts aber endlich wiiter mit äm Sümmary vom Fritig, wo wieder mal bi Sunneschii uf dä Rügbywiese stattgfundä hät. Trotz 1. Mai findet dä DF natürlich statt, obwohl s’Wetter s’erscht mal im Lockdown nöd so rosig usgseht. Villicht hät dä Regetanz doch endlich sini Würkig zeigt, und mir finded sicher ä Lösig (ich renne so schnell dass mi dä Rege nöd trifft, wer will chan gern au mitmache). Wunderbar isch au dass dä PKN wahrschinlich nöd a dere Lösig wird mitwirke, well er angeblich nöd chan cho, und somit dä Rückstand uf dä Supreme Leader uf 6 awachst und dä JWU am zweite Platz i dä all-time history gfährlich näch chunnt. Ich appelliere a alli Mitglieder zum zverhindere dass ä Gurke a zweiter Stell staht, und hoffe dass au dä JWU mal wieder fehlt.
Aber ich schweife ab. Es isch wieder mal volles Haus gsi, inklusive Ehremitglied YMI wo frisch und fröhlich mit eus am Plaudere und Blöffe gsi isch, und er hät gestande dass er sin Investment-Test nöd bestande hät. Mir sötted also luege wie mer dä extra Batze guet chönd isetze, Vorschläg sind wie immer herzlich willkomme. Im Royal Döner sind dä Gläzi und die alt Muetter zimmli überforderet gsi mit äm Asturm am 12:11, trotz allne Vorbstellige, und es chli chaotisch worde. Doch dänn isch zum Glück dä  Firat cho, Bravoo. Er hät ganz besorgt gwirkt woner s’Lokal betrette hät und gseit hät (ich zitiere) «wänn d’Bulle chömed hämmer es Problem», wells doch es bitzeli eng worde isch. Er hät dänn d’Muetter zu dä Kasse gschickt mit dä Ussag,«susch gahts ja nöd vorwärts», und hät agfange wie dä Blitz ganz flitzig Donner zämezchlöpfe. Es isch ä wahri Augeweid gsi, und au sehr delikat. 
Dä SJU hät kein Pide gnoh und hoffentlich am Weekend sin neue Neoprään poschtet und chan jetzt endlich im chüele Zürisee go schwimme. Dä JWU isch ganz erstuunt gsi dass äm MSO/MST sini Schueh scho ganzi 1.5 Jahr lang ghebed händ, und hät gseit sini seged nach 1 Monet durä. Wahrschinlich au wäge dere deplazierte Ussag hät er sich dänn au ganz schnell us äm Staub gmacht am 12:40, und mer gseht dass d’Gurkä hald zerscht gönd. Immerhin hät er chönne mit mä wunderschöne Regeboge-Hemd uftrumpfä, und sini Shorts händ die zweitwiisischte Bei vom DF vorzüglich betont. Dä PKN hät mit äm Jinderletscht s’legendäre GC : FCZ Dörby agluegt, und hät brilliert mit sinere Rekollektion vo amatöörhaftem Verteidigerverhalte. Und irgendöppis isch na gredet worde über Kreditcharte und Chleider wäsche, und ich chan mi leider nüme dra erinnere. Än wiitere Grund di nächschti Zämefassig ziitnah zverfasse. 
Somit wünsch ich eu allne ä wunderschöni Wuche, gönd zum Coiffeur wänner chönd, decked eu mit Gartematerial ii, und stürmed d’Nagelstudios wo endlich wieder offe sind. Ich weiss nöd wie eusi Gsellschaft nöd zämebroche isch ohni dä wichtigscht vo allne Agebot, aber godbethank hämmers überlebt. 
Bis am Fritig, und wer gaht go randaliere mit dä lingga Bazille chunnt ä extra Gurke über. 
MSO/MST (Nr.  7)
- Hauptstatistiker (wenn er si dänn verschickt: scho wieder nöd rechtziitig, eggeggegg)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</si>
  <si>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Ich freu mi, die folgend Zämefassig z’präsentiere, än spannende Zweiteiler wo mit dä «Sequenz des Entsetzens» afangt und mit mä churze Update beendet wird. 
Am Tag vom Schaffe wo in Züri interessanterwiis fascht nur am lingge Egge produziert wird (meischtens Uftragsbeschaffig für Fenschterflicker und Farbentferner) isches am Fritig usnahmswiis mal ruhig gsi, und dBulle händ endlich mal ä Waffe gha um die arme Anarchischte chönne überlischte: Versammligsverbot. Wo füehrt das nur hii wänn mer nüme gäge dä Kapitalismus chan demonstriere und unnötig Sache go zerstöre? Ich bin entsetzt. 
Na entsetzter bin ich über d’Tatsach dass dä Safran nöd offe gha hät, und dass mer eus alli händ müesse is ferne hole-him-good begeh zum än Donner z’ergattere. Es hät lang eigentlich niemert gfragt ob euse Standkebab eigentlich offe hät, dänn händ verschiedeni Exponente äm Firat gschriebe, und nachdem dä SJU in Chat gschriebe hät er seg glich offe hät dä PKN ihm natürlich nöd traut und au grad na nagfrägt. Es hät sich usegstellt dass äm Firat sin Padre nöd ganz uf dä Höhi gsi isch, aber es zeigt sich ebe au wie vill Vertraue mer i dem Verein hät i di andere Mitglieder. Es sind dänn na wiiteri Nettigkeite ustuuscht worde, insbesondere zwüsched YMI und SJU, und es isch behaupted worde dass sich dä Chronevirus au chan rückgängig überträge. 
Am entsetzteschte bini aber dass dä PKN eigentlich hät welle go Zelte, dänn isches schlecht Wetter gsi und er hät ganz vergesse dass dä DF stattfindet, und er isch nur cho well dä SJU am Morge in Chat gschriebe hät, und hät somit än unverdiente Aweseheitspunkt erschliche. Aber natürlich isch die Intèrvèntiôn vom SJU nötig gsi, suscht währed mer all vorem gschlossene Safran gstande wie dä Jinderletscht, und somit isch dä MSO/MST wieder ent-entsetzt gsi und end good all good. 
Wämmer scho bim Presidente sind, dä isch a dem regnerische Fritig mit Chettehemd und Joggingusrüschtig uftaucht, hät nur churz än Biss vo sim Kebi gnoh (dadäzüe später meh) und isch nachem DF promt uf Bonstette grennt. Fantastisch, au wenn bösi Zunge behaupted er hät das nur gmacht zum sich zbewiese dass er nanig steialt isch, ein Tag vor sim 3333tä Geburtstag. Nichtsdestotrotz äs grosses Bravo, ich will au so fit si wänn ich dänn mal so alt bin. 
Aber eusi Leser fraged sich sicher, was mit dem abissene Kebab passiert isch. Dä JWU hät blöfft er chlöpft sich selber än Dürüm und isst am SJU sini na fertig, und hät dänn unerwarteterwiis dä Zweit nur halbe möge. Schande über ihn. Chli Glacé hett er dänn glich na möge, wo vom YMI fuxigerwiis vorgschlage worde isch. Dete händ sich d’Weg vo Spreu (PKN, JWU, YMI) und Weizebier (SJU, MSO/MST) dänn aber trennt, und dä Bescht hät dä SJU na s’erschte Stückli uf sim Pilgerweg begleitet. Ä gueti Tat in der Tat, nebed dem dass er dä Mari au grad na än Donner und ä chli Fritierti Hördöpfel mitgnoh hät. Und ich hoffe dass dä CBO au wieder mal virtuell teilnimmt, mir vermissed ihn alli ganz fescht. 
Bis am Fritig, hoffentlich wieder mit Sunneschii, das elende Gejammer vo letscht Wuche wäge es bitzeli Räge isch so unsäglich gsi dass Tempo mit Umsatzrekörd am glänze isch.
MSO/MST (Nr.  7)
- Hauptstatistiker (wenn er si dänn verschickt: es stellt sich als Problem use dass er si immer vo sim Arbetslaptop verschickt und somit d’Stats a Freitäg nöd chan/will versende)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</si>
  <si>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Serve us,
Nach äm Entsetze vo letschter Wuche gits au hüt wieder es paar Skandäl wo ufdeckt werded vom Reporter uMSOMST, also eifach zrugglehne und gnüsse wie sich das Ganze fortsetzt.
Dä JWU hät denkt er seg ganz schlau und hät Fake News verbreitet dass dä Safran zue seg. Natürlich hät er nöd dämit grechnet dass niemert i dem Land än Deut oder Taler uf sis Wort setzt, und dä SJU hät ganz fuxig abklärt dass euse Donnerlade natürlich offe hät. Promt hät er än neue Chat ufgsetzt um dä ahnigslos JWU inezlege, mit äm Plan dä Ararat als Donnerlade vo hüt zbenenne. TBD was passiert isch. Leider hät dä JWU dänn doch chalti Füess übercho und mer händ än nöd chönne versetze, aber er hät sich sicherlich härt id Brennessle gsetzt mit dere vergebliche Tüschigsaktion, und er hät sich somit ä zweiti Gurke i dä Stats verdient. Wegem Platz hani si chli müesse verchlinere, aber das passt ja au meh zum JWU, eusem Gurkäbüebli. 
Bi dä Akunft händ dä MSO/MST und dä PKN, wo mitem Trottinett cho isch, ä interessanti Diskussion über Rennvelos abghalte, und dä Firat hät churz erklärt was letscht mal bi dä Kommunikation falsch glauffe isch. Angeblich ischer go penne nach dä Wiitergab vo eusne Bstellige, und sin Padre hät ihm dänn während sim Schläfli zrugg gschribe dass dä Safran gar nöd offe gha hät. Aber mir vergebed ihm dä chlini Lapsus natürlich, well er so effizient isch. Dä YMI isch abwesend gsi und hät somit sin grossartige Trend leider nöd chönne bestätige. Mir bittet dass sich s’Prognose-und-Estimation-Nonprofit-Institute of Safran dem animmt, und währed froh wänn die Date chönnted teilt werde. Dä SJU hät nöd mal blöfft wie locker er is Bonstetter Amt joggt isch letscht Wuche, und somit isch für eimal weniger blöfft und meh palaveret worde. 
Verschwörigstheorie sind s’heisse Thema gsi die Wuche, und mer hät sich im Kollektiv gwunderet wie mer nur chan dra glaube dass d’Erde ä Chugle isch, oder obs würklich lüüt händ wo denked dass Impfige kei Nanopartikel drin händ wo eim kontrolliered. Alles ignoranti Trottel, und wänn dä Bill Gates d’Weltherrschaft übernimmt lached mir dänn. Grundsätzlich isch mer sich einig gsi dass dChrüüzzüüg nöd stattgfunde händ well niemert vo eus däbi gsi isch, und alli sind glücklich gsi. Des Weiteren isch natürlich dä Virus agschnitte worde, und mer händ es paar amüsanti Anekdote ghört wie wenig gwüssi Lüüt mit dem chönd umgah. Usserdem isch uscho dass dä JWU mal 2 Mönet als interne Pöschtler dient hät i dä Tamedia, was mir sicher alli nie vergesse werded. Und suscht gilt hald wie immer: wer nöd däbi gsi isch chan nöd über alles lache, und die Schwache chlöpfts. 
 Na ä allgemeini Bemerkig, was vom MSO/MST natürlich vorhergseit worde isch (und vom Prophet SJU vorhergnoh worde isch): nachdem alli am Brüele gsi sind dass mer doch na strikter muess alles zuemache wird jetzt vo dä gliche Lüüt gjammeret dass alli ihri Arbeit verlüred und mer na 10 Jahr müend für dä Lockdown zahle. Ich möcht mich da am Herr Sawiris aschlüsse und frage id Rundi, obs das würklich Wert gsi isch. Wirtschaftlich katastrophal, aber ich finds eigentlich na geil dass mer endlich chan Home Office mache ohni dass alli seged dass es nöd möglich isch. Wort zum Freitag Ende.
Hebeds guet, und bereited eu guet vor uf dä Mäntig, wänn alli gönd go Chleider chauffe und um rabattierti Artikel stritet als ob nie öppis gsi wär. Tüdelüü
MSO/MST (Nr.  7)
- Hauptstatistiker (wenn er si dänn verschickt: ich bin so schnell, und flitz jetzt dänn mit mim rote Zweiräder dur dä Kanton)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</si>
  <si>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Grüessech,
Dunkli Wolke ziehnd uf am Horizont, aber im Safran schiint d’Donnersunne endlich wieder. Dank dä fantastische Kollaboration vom Firat Punto und äm SJU isch hüt d’Rückkehr zur Normalität iiglüütet worde, und mer händ s’Privilègè gha wieder emäl im Mekka vom Kebab platzzneh. Inklusive 4 Dürum wo scho uf eus gwartet händ, und ere neue und royale Lounge im Ussebereich. Die sind hüt usserordentlich göttlich gsi, und wer chli zwüsched dä Ziile list findet Evidenz dass sich dä MSO/MST hüt extra vill Müeh geh hät das Thema schön z’referenziere. 
Was isch passiert? Alli sind rechtziitig da gsi, und prompt hät d’Blöfferei agfange mit äm SJU wo scho 4 Mal uswärts isch go esse sit dä Lockerig. Jesses Maria
Dä JWU hät usserdem rapportiert dass sich njemert as Konzjept vo Mindeschtabstand halted, und mer hät verzellt wie paranoid dBevölkerig worde isch. Es ranked sich au scho jenschti Räuberpischtole um die mystisch Gschicht vom Üetlihügel, wo dä JWU anschinend meischterlich mit sim Velo bezwunge hät, und äm aktuelle und in Ungnade gfallene Ex-Presidente wo au awesend gsi seged. Who’s believes. 
Es isch ageh worde über Halbmarathön und anderi Leischtige, und dä JWU hät sin Lapsus vom Ararat welle wettmache und hät äm MSO/MST sin Baclava ufg’esse. Dä glichi Herr hät dänn au endlich zuegeh dass er dä Schueh vom SJU in Londrès versteckt hät, und ich halte das somit offiziell fescht als Schuldgeständnis. Usserdem gits ab nächscht Wuche kei Aweseheitspünkt meh für ihn wenn er bis dänn nöd sini lang versprocheni DF Quo Vadis Zämefassig verfasst und a alli Mitglieder verschickt hät. Gott bewahre. 
Dä CBO isch leider wieder nur dur sini Abweseheit ufgfalle, aber er isch immer wachsam, nimmt sini Rolle als Massregler sehr ernscht, und dankt ganz höflich jedi Wuche für dä Bricht. Hoffentlich fallt er nöd am Chaos vom Boris äm Letschtä zum Opfer bis er sich wieder i di sicheri Schwiiz chan begeh. Jehova beschütz ihn. 
Dä MSO/MST hät wie immer wenig konstruktivs biitreit, und muess nächscht Wuche leider absäge für dä DF vo nächschter Wuche. Er isch natürlich zutüüfscht betrüebt, aber schwört uf dä Dürüm und s’Wasser dass er sich bis im Juli wieder zu sinere gwohnte Form zruggbesinnt, so Oden’s will. Und mir hoffed alli dass sich d’Welt langsam wieder beruhigt, dass dä JWU endlich wieder unnötigi Reise am Fritig chan aträtte, und dä PKN chan go zellte. Suscht füllt sich eusi Kasse wiiterhin nur mit Cäsh wo eigentlich hett sölle i komplexi Finanzprodukt investiert werde. Aber wie mer so schön seit, hätte hätte Fahrad wäre, und mir wünsched am YMI Allahs gueti bi sim Tescht .
Somit wünsch ich eu äs sunnigs Weekend, und machts gut ihr Trottel 
MSO/MST (Nr.  7)
- Hauptstatistiker (wenn er si dänn verschickt: ja, er verschickt noch)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</si>
  <si>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Hello
Da no dStats vo letscht Wuche. De uMSOMST trennt sich vo sim langjährige Weggfährte Scho-L Chocolat Wülimah und begleitet neuerdings de Pipo el grande Knightly uf sim Marsch wüchentliche Statistikmarsch. Wiiter unde drGoalie und unter "ferner liefen" de Chillär-Miuär und de sporadischi Telefonjasser us Londres: de PouletSpeckZwible (vgl. Abb. 6a unten). Uf Prognose hani us Rücksicht uf die letscht gnennte Herre verzichtet. 
Au die meteorologische Ussichte über die nögschte 6 DFs bliibed hervorragend (vgl. Abb. 3 unten).
Bis baldrian!
</t>
  </si>
  <si>
    <t xml:space="preserve">Hallo und guete Mittag,
Zerscht mal äs herzlichs Dankeschön an SJU für sini Zämefassig vo letschtem Fritig, und für dä JWU wo das «aktiv» sichergstellt hät. Usserdem häts dä JWU doch na gschafft ä Zämefassig vom DFQV im Jänner zschicke. Dä glichi JWU häts dänn au fertig bracht hüt än wiitere LI izsammle, und hät die erscht Debatte vom Tag ufbracht: Regle und Buesse. 
Grande Historie wie all die Regle ufcho sind, und dä Fokus isch wie immer druf dass jede für sich am meischte Aweseheitspünkt isammlet. Obwohl dä unbestritte Leader (siehe Signatur) MSO/MST kümmeret das aber so wenig dass er sich ä chlini Usziit gnoh hät letschte Fritig im Ticino, und hät däfür s’lokale Gastgwerb mächtig unterstützt. Damit häts au die erschti Abweseheit sit Co-Rona geh vom DF-Core, und mer hoffed alli dass wieder meh lüüt werded fehle. Usserdem häts ufgrund vo dä durchus beluschtigende Bilder vom JWU na ä chlini Nostalgietour vo London geh, aber leider isch dä Begriffe «Crevette Bouquet» nöd gfalle. 
Dä DF zeigt sich usserdem üssert sportlich i letschter Ziit, und wer na kei Strava hät muss sich fascht scho wie än Ussetzige fühle. Dä SJU isch wiiter am blöffe gsi wie locker er mit sinere Marathon-Busle uf dä Üezgihügel ufegrennt isch, und dä JWU hät bestätigt dass er dä MSO/MST und sind unnütze Hippiebrüeder bim Velofahre im Aeugstertal gseh hät. Er hät usserdem gross akündet dass er sich mehreri Reise vorgnoh hät, inklusive zrugg vo Kopenhagen und Peking mit äm Joscht, wo hoffentlich nöd wieder in Chur endet. Dä PKN hät glaubs au öppis erwähnt, ich los ihm aber erscht wieder zue wänn er endlich mal gaht go zellte am nä Fritig Mittag. Dä YMI hät wieder mal gfehlt und isch hoffentlich am luege wie er endlich euses Geld investiert werde chan. 
Schlussendlich hät sich dä Chreis wiedermal gschlosse und mer isch wieder bi dä Buesse glandet, und gwüssi Exponente händ sich beklagt dä MSO/MST seg befange mit sinere Regelawendig. Das stimmt natürlich nöd, und jede wo mich in Zuekunft kritisiert (ussert dä SJU) wird mit voller Härti bestraft. 
Hebeds guet, und curven the flat
MSO/MST (Nr.  7)
- Hauptstatistiker (wenn er si dänn verschickt: zrugg mit voller Wucht und neuem Brüglerhaarschnitt)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</si>
  <si>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Bonne Schurnee
Ganz so huddlig wie befürchtet isch s’Wetter hüt gar nöd gsi, und alles wo Rang 1-4 und Name hät isch im Safran ghockt mit grossem Appetit und Luscht uf äs Update us äm Lebe vo dä Coronasurvivors (Stand 5.6.2020, aber wells ja die Schwache nimmt chlöpfts villicht dä JWU doch na. Finger gchrützt). Dä YMI isch wieder mal nöd däbi gsi, obwohl ja sini Teilnahm meh für dGallerie isch und er selte öppis gschieds seit. D’Stimmig isch also ganz positiv gsi nach äm Motto «mir sind heiter und fröhli mit jedem Löli», und scho gahts los.
SJU, PKN und MSO/MST sind am Afang scho sehr tüüf am anal-ysiere gsi, obs sich lohnt än Geisterschriiber z’engagiere für ä wüsseschaftlichi Arbeit, und wo dä JWU dänn au na cho isch (inklusive Elch/Sternschnuppehemd, däfür mal nöd zspat) hät er gross akündet er heg scho alles plant für sin Master, inklusive allne Prüefigsantworte und Arbeitschriiber. Mir wünsched ihm alles Gueti. Däfür häts dä Firat hüt gchlöpft, und d’Bstellige sind trotz Whatsapp-Bestätigunge nöd richtig acho. Mer vermuetet das d’Muetter nöd richtig chan läse und drum öppis falsch glauffe isch, aber mir erwartet vom Firat nächscht Mal dass er eusi Instruktione a fähigeri Lüüt wiiterleitet. Usserdem hät mer anschinend dä Salat dur ä billigeri Variante ustuscht, und dä PKN hät gforderet dass mer sich jetzt na drüber beschwert bevor alles zspat isch. Natürlich hät dänn niemert öppis gseit. Churz nachem JWU isch dänn na ä höchscht suspekti Gstalt im Safran uftaucht: Än mittelalte Herr mit mä verdächtige Mantel, mä lavenderfarbige Pulli um d’Schultere und ere Arbeitsmappe, wo dänn ganz unuffällig ä physischi 20 Minute Ziitig gläse hät. Verdikt vom MSO/MST: Undercover Corona-Inspektor. 
Nachdem dänn all Donner, Boxe und Pides da gsi sind händ sich d’Gspräch wieder materiellere Sache higwändet, und mer hät sich gfragt wärum dä JWU na dihei wohnt, inklusive grande Brüglerparties mit Claude und Muetter Schoggi. Dä PKN hät dänn vo sine Erfahrige brichtet näbed mä Männerhuus / Obdachloseheim zwohne, und als offizielle Frauebeuftragte (und neuerdings hald au Glichberechtigungsbeamte) möcht ich da gern dä JWU unterstütze, wo gfragt hät wie gross wohl dä Ufschrei vo dä Medie wär wänn mer äs Frauehuus mit mä Obdachloseheim vereine würd. Gemäss PKN gits usserdem ä Legende im Rollstuehl wo jede Morge (wahrschinlich extra) 5 Minute vor Tüüröffnig vorem Huus staht und luut Musig laufe laht. Nebed dem gits na mindeschtens eine wo luut choderet, und mer fragt sich warum dä PKN i sonere verlochete Gegend muess wohne. 
Schlussendlich hät sich dä Diskurs dänn meh richtig Dönerökonomie dreht, uf dMöglichkeit ob mer dä Safran nöd au als Casino chan betribe usserhalb vo dä Spitzeziite (Fritig vo 12:11 bis 13:11) und wie Casinos s’Rechtssystem umgönd. Nach ere churze Abzwigig, wie mer dä perfekti Mord chönnt begah, simmer dänn na zum Football cho und au dete chan systematisch am Gsetzt verbi chan spiele. Mord ist Sport. 
So das isches gsi. Mir freued eus alli uf dä CBO wo sich bald wieder zu eus id Schwiiz traut, und ich wünsche eu allne vill Pech und Unglück.
MSO/MST (Nr.  7)
- Hauptstatistiker (wenn er si dänn verschickt: Lukas hässig dass es regnet am Weekend, aber au froh well suscht dSchwiiz irgendwenn uströchnet, was ja niemert will) 
- Vize-Präsident (selbsternannt, aber bim DFQV bestätigt)
- Vize-Iladigsversänder
- Selbsternannte Frauebeuftragtä und Glichberechtigungsbeamte von DF. Update: Ich schnapp mer jede Titel woni chan, ussert dä vo dä Gurke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</si>
  <si>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Goods Daily, 
Da isches ä Wuche lang miserablès Wetter und Päng, am DF isches wunderschön. Hüt sogar mit äm YMI, wo eus mit sinere Presenz beehrt hät, und eus äs Update us dä Welt vom Symposium und sine 9 Bewerbigsgspräch pro Tag geh hät, was doch ordentlich isch. Dä Firat isch au wieder da und wie mer so schön seit: Firat, es funktioniert! Also nur fascht, ein Bstellig häts nöd zu eus gschafft, aber ich vermuete immer na dass d’Muetter eifach unfähig isch. Die glich Muetter hät dänn dä YMI ganz verächtlich agluegt woner bichtet hät er heg nöd via Whatsapp bstellt, hät sich aber beruhigt woner ä höchscht lukrativi Donnerbox verlangt hät. 
Am Afang häts grad chli Lob geh für die tolle Zämefassige, und ich bedanke mich herzlich für all die positive Rückmeldige woni amigs au per Mail überchume. Dä JWU und dä SJU händ sich wieder mal «verabredet» fürs Schwimme, eis vo ihrne neckische Spieli wo nie zu öppis füehred, ussert villicht dass dä JWU mitem Bike dä Üetlihügel ufelauft wells zsteil isch zum Fahre. Apropos, dä JWU und dä MSO/MST händ dänn zäme chli blöfft mit ihrne grandiose Fähigkeite uf ihrne Zweiräder, und es isch d’Ussag gfalle dass än richtige Bergfahrer schneller ufe- als abefahrt. Mer hät dänn abgmacht i 3-4 Mönet äs chlises Velotüürli zäme zmache, grad nach äm legenderä Squashduell wo sit Zagreb agseit isch. 
S’Thema Homeoffice isch au na churz touchiert worde, und mer hät vernoh dass es bi dä ZKB än Event git übers Teamsplitting wo alli müend cho, was mich nöd überrascht. Mer isch sich einig dass Homeoffice zimmli grande isch, aber nöd ob 150 Franke gnueg sind als Entschädigung wenn mer muess vo dihei us schaffe. Dänn isch öppis kurioses passiert, nämlich dass sich d’Top 3 und d’almost bottom 2 i eigeni Gspräch vertüüft händ. 
Top 3 overall Teilnehmer händ zerscht mal drüber gwerweisst wer wänn fehle wird, und ich möcht da doch na ä chlini Bitt üssere, und zwar dass mer sich uf dä Status Quo (nöd Vadis) zruggbesinnt und endlich mal wieder fehlt. Insbesondere dä reisefreudig und gurkig JWU, und dä PKN wo ja scho lang mal hät welle go zelte am nä Fritig Mittag. Nachher hät mer sich gfragt wie unrechtmässig s’isch, dass mer dä Jinderlescht däzue verdonneret hät Ferie ufzschribe und glichzitig go schaffe (findi eigentlich fair, wege Karma und so), und wie mer sich mit äm RIF-Verfahre vo dä CS berichere chan. Dä Plan isch wie folgt:
• Mer laht sich schmeisse und wird bis Endi August zahlt
• Mer wird wieder agstellt vo dä GSCS mit höherem Lohn (well mer ja extern wieder inechunnt)
• Im nächschte Zyklus wird mer dänn umso meh als zu tüür agseh und wird wieder entlah wird, was dänn dä ganz Prozess wiederholt
• Verdikt: Genial, muessi grad mal probiere nächscht Jahr. 
Uf dä andere Siite händ SJU und YMI (au als Frauebeuftreite vo sim Arbeitgeber bekannt) über Pros und Kontras vo dä wiibliche Förderig diskutiert, und es sind eigentlich nur sehr validi Pünkt gäge irgend ä aktivi Förderig oder Bevorzugig gnennt worde. Als Frauebeuftreite vom DF hät dä MSO/MST natürlich flissig zueglost, und na sin Senf däzuegeh. Ich finds wunderbar dass sich dä Diskurs uf sachlicher Ebeni abspielt hät, was nöd selbstverständlich isch wänn so Provocatèurs wie dä JWU und MSO/MST däbi sind. 
Schlüsse möchte ich mit mä Zitat vom SJU (paraphrasiert, Anm. der Redaktion): Endlich chani wieder Röckli alege, isch ja d’Saison däfür.  
MSO/MST (Nr.  7)
- Hauptstatistiker (wenn er si dänn verschickt: wie immer püntklich) 
- Vize-Präsident (selbsternannt, aber bim DFQV bestätigt)
- Vize-Iladigsversänder
- Selbsternannte Frauebeuftragtä und Glichberechtigungsbeamte von DF. Update: wird heiss diskutiert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</si>
  <si>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Sehr geehrti Unterstützer vom lokale Kebabgwerb und/oder vo dä Chlöpfete dur konstanti Abweseheit, 
Zwei LI häts hüt gchlöpft, oder wie än Amateur mit durchschnittlich 4.2% (inkl. einmal Iwähle per Videocall) Aweseheitsquote i dä letschte 3 DF-Fiskaljahr würd säge, LI(s). Dä MSO/MST isch steihässig am 12:18 itrudlet weller na ä Zämefassig vomnä misèrable Meeting hät müese erstelle, und dä SJU isch vonere sehr lokale Wolke (siehe Bild, danke PKN für dä Input) uf sim Velo überrascht worde (gemäss YMI und PKN häts nöd gregnet), und hät drum dä Bus müese neh wie än Penner. Vo dene hät er dänn au grad zwei Exemplar atroffe, und dä Eint angeblich mitere Hüsle bewaffnet hät dä Ander wellä nötige i sin Videocall uf äm Luutsprecher izstige, und irgendöpper hät au na spanisch gredet. Faszinierend. 
Vom Rege us dä Wolke überem SJU id Trauffe, hät än dänn die ufmüpfig Bedienig druf hiigwise dass er 15 Minute zspat seg bi dä Pideübergab, und das nachdem si sich selber sit Monate nöd is Safran traut hät. Natürlich isch dä SJU scho am 12:23 acho und gemäss offizieller Ziiterfassig «nur» 12 Minute zspat, aber villicht hät sich die Ander eifach a die notirisch voruslaufend und antik Safranuhr ghalte. Bim Abruhme hät dä SJU dänn iischalt (Pön intended) zrugggeh und gseit dä Pide seg scho chli chalt gsi, was ä liecht entrüschteti Sprachlosigkeit und chli Gestammel bi dä Bedienig usglöst hät. 
Es isch au suscht än üssert unterhaltsame DF gsi, und dä JWU isch nöd da gsi, ich überlah jedem selber die richtige Schlüss us dere Korrelation z’zieh. Dä YMI isch allerdings da gsi und im Verglich zu andere sehr pünktlich, und er hät chli verzellt vo sine Ferie i dä 5 Erde. Dä ursprünglich Name will ich da nöd üssere, chönnt als insensitiv ufgfasst werde, da än Teil vom Ort scho als Schimpfwort brucht worde isch. Um das hät sich dänn au än Grossteil vo dä Diskussion dreht, vo BLM und M-Chöpf, äm Unklä Ben und anderi Schnellschüss vo Firme wo sGfühl händ sobald eine reklamiert muess mer sich grad apasse. Migros isch nöd so guet wegcho däbi, aber die folgende Highlights sind sicherlich erwähnenswert:
• Es isch spekuliert worde über d’Uswirkige vo Wörter und Tate, und ich empfehle jedem üssert sprachfuxig Artikel us dä NZZ z’läse (Link wird in Chat gschickt sobald die Zämefassig versendet isch, aber nöd vorher).
• Mer hät blöfft über amüsanti Anekdote und es paar Gurke uf beide Siite vom Spektrum
• Mer isch entrüschtet gsi dass sich äs gwüsses Unternehme, wo jedes Jahr ä Konferenz organisiert, nöd au Studente vo andere Kontinent awirbt, was klar diskriminierend isch. Jedi Firma wo sich nöd i/uf jedi Wüeschti und Insle traut um ihri Stelleinserat uszschriebe chan nöd politisch korrekt si
• Alli sind sich einig dass mer äm YMI sis Huus abrisse söll wells kein Lift git (d’Rollstuehlfahrer chlöpfts). 
Alles in allem isches ä durchus konstruktivi und glichziitig luschtigi Diskussion gsi. Hat off für das, aber mir sind ja au intelektuell guet bestückt (hehehe, guet bestückt). Drum hät sich dä SJU dänn au entschiede, nöd mitem Bus wieder richtig Wiedike zfahre, sondern hät sich äs Pübli-Bike gchlöpft. Verständlich, aber wehe d’Social Media und Sprachpolizei erfahrt dävo. Aber bevor mer alli verschwunde sind häts na äs chlises Scharmützel a dä Theke bim Safran geh: Dä SJU und d’Bedienig händ sich zur Beluschtigung vom Firat und awesende Mitglieder verbal chli umegeh, und dä MSO/MST hät dänn ganz typisch für ihn chli über sZiel usgschosse mit sim Kommentar. Au das chan leider nöd publiziert werde, mer munklet es seg nöd ganz politisch korrekt gsi. Hearsay I say, aber who’s know. 
Bis nächscht Wuche, und mer freued eus uf dRückkehr vo dä Crevette Bouquet und äs chüels Bière mit Sunneschii, jetzt wo dä MSO/MST gemäss Statistik wieder d’Nummere 1 vom DF isch fürs Fiskaljahr 2020-x, wenn au nur dur än fuxige Trick i dä Formlä. 
MSO/MST (Nr.  7)
- Hauptstatistiker (wenn er si dänn verschickt: si) 
- Vize-Präsident (selbsternannt, aber bim DFQV bestätigt)
- Vize-Iladigsversänder
- Selbsternannte Frauebeuftragtä und Glichberechtigungsbeamte von DF. Update: anderi Theme sind grad meh im Brennpunkt, mit Betonig uf «Brenn»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</si>
  <si>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Bienvenidos
Wieder mal häts gheisse liefere statt lafere für dä Firat, und er hät nöd enttüscht. Ussert dä SJU, wo gemäss eigener Info erscht am 12:07 ufem Velo sin Pide bstellt hät, und drum au na chli hät müese druf warte. Dä JWU isch erneut nöd da gsi, und d’Erika laht usrichte dass si sich extrem grossi Sorge macht und au nüme hässig isch wägem Ichaufswägeli. Also JWU, falls die Nachricht dich erreicht, bitte bi dä Erika in Bonstette melde. Villicht isch sin gröschte Wunsch, im nä Drogechrieg umzcho und dänn im Blick z’erschiine doch na wahr worde, mer chan nur hoffe. Dä PKN hät trotz eigener Prognose knapp dä LI verpasst und isch völlig verschwitzt und usser Atem am 12:16 zum Sofa usse am Safran grennt, und hät verschmitzt agmerkt was er nöd alles für Geld macht. Mir sind alli sehr gspannt druf was das genau heisst, und hoffed mal uf än billige Lapdance. Und zum Schluss na zu dä beide Extrawürscht, dä YMI häts verpasst sini 100. Teilnahm am DF zfiire, und am CBO sin Pilot hät offesichtlich njet gnueg Gas geh, somit ischer s’letscht Mal unveränderet am 8.3.2019 im Safran gsi, was scho än zimliche Tolgge isch. 
Es isch chli gschwätzt worde über Cordon Bleus, ob mer ä Whatsappgruppe mitem Firat sölled ufmache, und ob mer ihm au äs DF-Shirt zuecho lönd. Sehr interessant isch am MSO/MST sin Iwand gsi dass er ä buess zahle müesst wänners am Fritig nöd azieht, oder am SJU sini Bemerkig dass er sich jede Fritig im Chat muess melde und frage ob mer das Übliche nehmed, und falls niemert schribt das dänn au so vorbereitet. Au da wird die wiiter Entwicklig mit Spannig verfolgt. Wiiter hät mer sich gwunderet wie dä Safran so über d’Rundi chunnt und mit wie vill Umsatz mer chönnti rechne. Die zwei Ökonome und dä Buechhalter händ sich verständlicherwiis pudelwohl gfühlt bi dere Anal-yse, wells ja s’einzige isch wo mer us ihrere Usbildig chan bruche im echte Lebe.
Dä PKN hät sich vorgnah, vom 10. Juni bis 10. Juli kei alkoholische Getränk zue sich zneh, und isch somit na weniger unterhaltsam als suscht. Mer isch chli abgschweift und hät über alkoholfreii Bière diskutiert und wie sinnvoll es wär, dä eigeni Nachwuchs vo früeh us uf das wunderbare Getränk vorzbereite. Pro: Gschmack wird scho früeh akzeptiert, mer erzieht also än potentielle Trinkfux. Kontra: Wänns s’erschte richtige Bière git verchlöpfts eim dänn hald. Win-Win. 
Nach einigem Lamentiere über unnötig komplizierti IT-Prozess bi dä jewilige Gross- und Buurebanke und wie tüür s’isch zum dä Flicketeppich azpasse hät sich s’Trio dänn uf dä Weg heizueh gmacht, aber nöd bevor dä SJU na än üssert rassige Witz über Fraue mit Brüscht (aber nöd alli) aber ohni Ghirn zum Beste geh hät (inklusive Rüffel vom Fraue- und Glichberechtigungsbeuftreite), und vom Firat na chli gneckt worde isch wägem spate Bstelle. Und wie sKarma so will hät sich sini persönlich Regewolke au na zeigt, aber da isch dä MSO/MST dänn scho fascht dihei gsi, also who’s care. 
Und somit freu ich mich uf dä Crevettesalat i dä Taverne und ich wünsche allne äs schöns Endi vo dä Wuche. 
MSO/MST (Nr.  7)
- Hauptstatistiker (wenn er si dänn verschickt: seriös und objektiv wie dä Blick)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</si>
  <si>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Ciao Bellas
Schön isch wieder Fritig, au wänns am Fritig nöd schön Wetter isch. Dä lang verscholle glaubti (und ghoffti) JWU isch tatsächlich wieder im Safran uftaucht, und wie immer so spat cho dass er än LI gchlöpft hät, und dänn fascht scho zum zweite Mal usem DF hät welle ustrette weller dä Statute nöd glaubt. Dä JWU isch die letschte zwei Mal verhinderet gsi dur sini essentiell Arbet bi Tamedia, und nennenswert isch bsunders sind Workshop vo letscht Wuche. D’Teilnehmer sind ufbote worde es paar Kolljege zschriebe und vo dene 3 Stärche mitteile zlah, woruf so legendäri Antworte* wie «du bisch so luut», «Dinosaurier», «so än Blöffer» oder «Brügler» cho sind. Grande-ios, bsunders vo dä Herre Nikci «Gurkenmann» Grass und CBO. Leider simmer weniger STORZ uf dä CBO wänns um sini Teilnahme am DF gaht. Er hät trotz Rückkehr und agmessener Brüglete light letschte Fritig Abig sini Abweseheitsserie fortsetzt (neue Rekord: 53 Mal im Volg). Wer vermuetet dass er sich dä einzig Rekord ussuecht woner i sim DF-lose Lebe na chan breche, liiht wahrschinlich richtig. Au kein Liechtblick hät dä YMI inebracht mit sinere Abweseheit, und mir hoffed dass er genauso erfolglos dä C-Virus in Italie verteilt wiener in Hebelprodukt investiert. 
Aber jetzt zum eigentliche Thema: Verdauig bim Sport am Morge, wo dä PKN und MSO/MST als erschti Awesendi churz diskutiert händ, mitem Fazit dass dä Culo ä üssertscht faszinierendi inneri Uhr muess ha dass es meischtens erscht dänn richtig chlöpft wänn mer 10 Sekunde zur Wohnigstür itrette isch. Wie meischtens sind Aweseheitspünkt und ihri Entwicklig i dem Kalenderjahr besproche worde, und es isch immer na so tight wie nie. Bald wird’s na tighter, well dä MSO/MST i 2 Wuche eimal fehlt (natürlich nur wäge dä Mari), und falls dä PKN Muet hät und will glichzieh chönntemer mal alli zäme glich vill Pünkt ha nach 25 DFs, was mir sicherlich äs sapperlott würd entlocke. 
Dä Firat isch nöd da gsi und mer häts gmerkt, und dä armi PKN hät wieder mal nöd das übercho woner bstellt hät bi dä Muetter. Dä MSO/MST hät am SJU sin vorbstellte Pide wegschnappt, und am JWU glaubt dä Firat eh nöd, und er chunnt ja immer zspat. Dä PKN isch usserdem nüme troche nach 20 Täg well gescht än Jass gchlöpft worde isch, und mir möchted a dere Stell glich churz gratuliere, isch doch njet schljecht. Die nächschte Minute sind i fröhlichem miteinander verbracht worde, während drüber diskutiert worde isch ob sich dä JWU endlich uf Züri traut und wo dä SJU sis Liebesnäscht als nächschts ufschlaht. Und zum Abschluss isches dänn ganz amüsant worde mit Räuberpistole über Fuessballbrüglete, wie dä Schoggi versuecht hät äs Werbebanner zchlaue um sis dubiose Wettbüro endlich mal profitabel zmache, zwei Paar Zwilling (mit Fuschtschläg oder Chopfnüss), und so things. 
Als Wort zum Donnerfreitag möchte sich dä MSO/MST na selber lobe, well er sich dä ganz letscht Fritig Abig hät müese zämerisse dä Jinderletscht nöd zum Tüfel zjage. Hat off. Hebeds guet, und gnüsseds.
MSO/MST (Nr.  7)
- Hauptstatistiker (wenn er si dänn verschickt: höchscht verlässlich und pünktlich und grossartig and so wider)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</si>
  <si>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Servus und willkomme, 
Es isch Fritig, und die wo gnueg Muet gha händ sind hüt wieder in Safran gströmt um sich über nä delikate Dürüm herzmache. Euse Godfather SJU hät sich wäge sine Göttidienscht abgmeldet, well sich niemert bereit erklärt hät sini Zizze bereitzstelle, und er isch somit uf dä schändlich viert und lescht Platz vo dä Kalenderjahrwertig abgrutscht. Obwohl sini Intentione löblich sind, fragt mer sich obs das würklich Wert gsi isch, und sin Vorsprung uf dä YMI blibt somit bi knappe 62 Aweseheitspünkt. 
Somit zu allne Geburtstagschind vo hüt, YMI inklusive, wo hüt abig irgend ä Brüglete am nä See verastaltet, aber drum leider wieder nöd verbicho isch. Au euses Crevettli isch es Jahr älter, und mer fragt sich ob sie/er än 91er oder 92er isch. Who’s know. Und well dä JWU scho wieder zspat cho isch und erscht am 12:29 itrudlet isch händ am Afang nur die beide unagfochtene Spitzeriiter einigi intimi Moment därfe zäme gnüsse. Mer hät sich bewundernd über äm MSO/MST sini Prophezeiig usglah wo d’Abweseheit vom PKN nächscht Wuche vorhergseh hät und über Hitzewelle und chüeli Wohnige diskutiert. Mindeschtens 50% isch dä Meinig gsi dass es i Schwiizer Wohnige endlich richtigi Klimaalage brucht, und hofft dass euse schöni Summer wiiter so mild blibt. Dänn hät mer na chli über Tinder philosophiert und verschiedeni Perspektive ignoh um die Thematik differenziert z’ergründe. Und dänn isch leider dä JWU na vorem 12:31 cho, hät sin Donner erhalte und radibutz verschlunge. 
Die reschtliche 13 Minute sind dänn mit banale Frage gspickt gsi, wie d’Annahm dass jetzt alli in Gwaltstette plötzlich ZSC Fans werded ab nächscht Jahr (Iwand MSO/MST: mer wird nur vorübergehend ZSC «Fan» wänn mer grad erfolgrich isch), ob s’Hallestadion überlebe wird, und wie dä JWU die bittère Nacht a dä Party vom YMI überlebt. Dä MSO/MST isch überzügt gsi dass dä JWU letschte Summer au scho mal inere Alufolie uf dä Wiese übernachtet hät, und das drum kei schlechti Idee wär, aber er hät dänn kei Bewiisfoti gfunde. Schade, aber what want you do. 
Ich bedanke mich für d’Ufmerksamkeit und hoffe dass mer nächscht Mal chli meh chan brichte, wänn dä MSO/MST dänn churzfrischtig als Leader vom DF 20/21 chan glänze. Viu Glück und fiired schön
MSO/MST (Nr.  7)
- Hauptstatistiker (wenn er si dänn verschickt: wänn nur dä JWU so pünktlich an DF würd cho wär alles besser, oder schlechter, aber sicher nöd glich)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</si>
  <si>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Liebi Mitglieder und Doppelgurke, 
Schande und es paar Liechtblick zeichned dä hütig DF us, und wie alles i dere moderne Ziit lieged die Sache ufeme Spektrum. Wie es Clausthaler Bière fehlt dä JWU i letschter Ziit nöd immer, aber immer öfters, und er bhaltet dä Trend wiiterhin am Läbe. Anderersiits kümmerert er sich extrem drum dass sich eusi virtuell Kasse schön füllt. Schandesskala: 9/11 (hehe)
Au dä PKN hät hüt gfehlt, was für einigi vo eus immer öppis positivs isch, und er konzentriert sich lieber uf sini Prüefige als uf dä Donnerverzehr und sini einzige «Kollege». Schandesskala: 6/13
D’Abweseheit vo YMI und CBO chan mer scho gar nüme i dä existierende Skala abbilde, und ich hoffe doch schwer dass si ALLI ihre bisherige Entscheidige und Prioritäte im Läbe gründlich hinterfraged. Dä Firat vermisst dä YMI, und kennt dä CBO scho gar nüme. 
Nach dere chline Schelte zum DF-Chern wo sich wieder mal pünktlich im Safran igfunde hät, und nöd umesuscht Präsi und Vize-Präsi sind (nebed allne andere Pflichte und guete Tate zum DF). Im intime Rahme sind dä SJU und MSO/MST ufem gmüetliche Sofa ghockt und händ philosophiert über uralti Film, so zum Bispiel eine vomene Aff im nä Hotel, oder eine im nä Campingtrailer in Schottland wo zur Ziitmaschine wird. Wenn öpper dä zweiti Film kennt, dä SJU wär üssertscht dankbar um Informatione wo zur Identifizierig vo dem Meischterwerk füehred. D’Muetter isch sehr besorgt gsi um dä MSO/MST wo hüt na uf Norditalie verschwindet, und si hät Angscht. Aber es isch nöd alles schlecht, es git ä neui Sauce wo mer zwar nanig probiert händ, aber sehr gspannt druf isch. 
Nebed dem sind na ganz vill luschtigi Sache besproche worde, wer meh will wüsse chan ja mal wieder verbicho. Die romantisch Zweisamkeit isch erscht dur än Glätzi vo dä GSCS unterbroche worde wo dä SJU kennt, wo dänn sehr offesichtlich mitem gflirtet hät und alli Zeiche nöd hät welle beachte dass er eher weniger willkomme isch, und so hät dä SJU dänn dä Schlussstrich zoge und mer isch go zahle. Als Abschied na ä Biznizidee für es speziells Glace: Pizza-Sorbet mit Mehl-, Tomate- und Basilikumglace, und bim Chäs chönnt mer uf än guete Burata uswiiche falls es Chääsglace zu obszön isch. Gemäss SJU passt Ananas- und Basilikumglace scho sehr guet zäme, und ich appelliere a öpper wo muetig gnueg isch zum so öppis mal probiere. 
Ich bin am nächschte Fritig nöd ume, wünsche eu somit zwei gueti Wuche, und ich gib mir uf dä Skala der Schande es 1/3. 
MSO/MST (Nr.  7)
- Hauptstatistiker (wenn er si dänn verschickt: schnell, schneller, am schnell)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</si>
  <si>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Werti Herre,
Werte Schoggi
Eigentli hani mi uf en gmüetliche Friitig Namittag i mim Pyro vo de Staatsbank gfreut. Da de hütig DF aber mit Räuberpistolene und lustige Anekdote ubersäät gsi isch und well de uMSOMST sust immer sackstarchi Zämefassige macht, chlöpfi hüt au mal wider id Tastatur. Liebe MSO/MST, die Zämefassig isch dir gwidmet.
GO!
Was vorem 12:13 am DF passiert isch chani nöd beurteile. Fakt isch dass de SJU usem Gschäft hät müesse sprinte zum de Bus verwütschte. Haarscharf amene LI verbigrassled. Woni dLounge vom Firat sim Dehei erblickt han, isch mis Herz gad ufgsprunge. YMI und CBO sind glichziitig am DF gsi (Letzterer hät sich sogar es Stängli gönnt). Mag mi nüm dra erinnere, wenn das sletscht Mal de Fall gsi isch. Wahrschinli öppe denn wänn Toy Story 1 id Kinos cho isch. Dass de CBO überhaupt am DF gsi isch, isch de miserable Gender-Diversity-Policy vo de Partners Group zverdanke, wo de soziali Druck uf de CBO erhöht hät, zum sin Sitzplatz im Wakeboat ufem Lagg dö Nöschatel anere starkpigmentierte PG Summerpraktikantin miteme Kamm i ihrne Afrohaare z'überlah. Naja, eus häts gfreut! Mit vo de Party sind au de Weizekönig Ebli und de Kaiser vo de Morechöpf Schoggi gsi. Und natürli de härti Kern: PKN und de SJU. Hauptthema isch unter anderem de Zwillingsgeburtstag vos Ladners in Eisidle gsi und all sind gspannt, öb de SJU die ganz Hütte ide Nacht mit sim Schnarche zum bebe bringe wird oder öb – wie vom PKN berechtigerwiis vorgschlage – de SJU 3km in Wald usegschickt wird. Updates folged am nögschte DF. Erstuunt isch mer (oder zumindest ich) drüber gsi, dass de YMI und de zVieri (btw so en geile Übername) mitem Velo id Innerschwiiz radled. Ich zieh min imaginäre Huet. De YMI wird übrigens am nögschte DF wider mit sinere Standardabweseheitswahrschinlichkeit (&gt;75%) uftrumpfe, wänner mit de Miller-Männer im Zugersee go tauche gad und "als Gaggiböle us dere Pfütze wider uftauche wird." (Zitat CBO Ende) Währenddem d'DF-Truppe fridlich Dönerbox &amp; Co verspise händ, häts uf de Strass plötzli klöpft und täscht. En Rollerfahrer häts uf de nasse Gleis voll uf dSchnitz ghaue. Hät schmerzhaft usgseh und am humple vom Genfer Rollerfahrer ah zbeurteile häts ihm fast so weh ta wie am MSO/MST dass er hüt nöd hät chöne am DF debi sii. Natürli hät au s'wüchentliche Fachsimple über dFinanzmärt nöd döfe fehle und mer sind am YMI eimal meh dankbar, dass er dur dSwissquote Prüefig grassled isch und drum Tesla nöd hät chöne shorte. Well mit de höche Aweseheitsquote (ex. CBO und YMI) isch de Cashflow das Fiskaljahr sehr überschaubar und mer chönd jedi Reserve vom Vorjahr bruche. DF-Brüglete Datum isch au scho mal provisorisch festgleit worde: 28.11.2020. DFQV wird denn im Summer 2021 wider duregfüert und ich freu mi scho jetz wider uf Schueversteckis und andere Schabernack mitem JWU. Vilicht fangi bis denn au wider a Snuse damit de JWU öppis zum usleere und abstriite hät. We will see. Am YMI isches desweiteren no es Alige, dass sich jede scho mal Gedanke über de Usträgigsort vo de Brüglete macht. Mir egal wo, hauptsach mer landed wider ide Bierstube Scheidegg wo de Schoggi vo de Maria mitem Bese zum Tüfel gjagt wird. Das wär schön. Nachem zahle händ sich dEreignis nomal überschlage. Z'erscht hät sich de PKN en Spass erlaubt und am CBO sind Velosattel versteckt, spöter müesse feststelle dass sini Händ dreckig sind und si inere Pfütze "putzt" hät. De CBO hät de Diebstahl aber scho antizipiert und am SJU vorsichtshalber scho mal sini neue Chopfhörer abgluchst. Am CBO sind CS-Kolleg wo beid Diebstahl huutnöch miterlebt hät, wird sich wahrschinli gfrögt ha, was das für en Spakoverein isch. Recht hät er. Aber mir sind storz druf.
Bis spötischtens am nögschte DF
El Presidente
</t>
  </si>
  <si>
    <t xml:space="preserve">Allo und morge mitenand!
Ich bin wieder zrugg us dä Vacatione/Vacanzas und möcht i min erschte Satz dä SJU lobe, wo sin Job als Vize-Statistiker exzellent usgfüehrt hät.  Es werded immer wieder neui Höhe erklumme, und eusi 5 Ethic Standards (Partnership, Engagement, Negativity, In, Safran) werded täglich glebt und verbesseret. Ich hoffe au dass sich eusi Extrawurschtmitglieder wiiterhin werded am DF sichte lah, und nöd nur wänn dä MSO/MST nöd da isch. Au wenns nur dur Diversity-Initiative zstand chunnt wie bim CBO, wo sicher es anders Mal an newburgerlake chan gah. 
Am letschte Fritig sind wieder die übliche 3 Verdächtige im Safran uftaucht, nachdem si jewiils eimal gfehlt händ. Bi dä Akunft vom MSO/MST isch dä PKN ganz verdutzt scho mit ere Donnerbox verusse ghockt, und hät churz müese erkläre dass dä Firat chli übermüetig worde isch vor sine Ferie. Dä SJU hät dänn ä ähnlichi Reaktion gha, und hät dä PKN zerscht mal ganz schief agluegt. Die 3 Hauptpfiiler vom DF sind dänn ganz friedlich dete ghockt und händ versuecht dä Schandfleck vom Verein (dä Jinderletscht) z’ignoriere, wo sich unaständigerwiis selber iglade hät weller mal frei gha hät. Apropos, dä SJU hät sich ursprünglich dä Namittag frei gnoh für sini Busle mit grosse Plän am Wal-See, wo dänn doch na öppis ztue gha hät, woruf dä SJU verständlicherwiis chli hässig worde isch. Dä Rebound isch dänn uf dä Stell cho, well sini Busle sini Hässigkeit mit na meh Hässigkeit beantwortet hät. Wie dä Gandhi scho gseit hät, wänn der öpper is Aug sticht, stichsch grad zrugg. Click click (oder clip clip, wie dä Nikci Gurkenmann Grass seit). 
Dä SJU und dä Jinderletscht Silvaplaned usserdem na Ferie, villicht im Usland, villicht im Engadin. Mir wünsched gutes Gelingen, und hoffed dass dä PKN au namal fehlt, eusi Kasse bruchts, bsunders wenn mer euse Chlöpfete-Standard mit 800g Stiiks wänd ufrecht bhalte. A dere Stell gits mal es usserordentlichs Lob an JWU, wo mit sinere ständige Abweseheit und sine LIs/LIFOs endlich mal än tangible Biitrag zum Verein leischtet. Er seg a dä Côtè d’Azüre und blibt hoffentlich na chli dete. 
Suscht ischs s’übliche Geblöffe gsi über d’Temperatur i dä Wohnig (Jinderletscht (paraphrasiert): «Mini Wohnig isch nie heiss, ich bin dä geilscht, und han lieber 50 Stutz meh als Kollege»), äm SJU wo hüt ä neui Immobiliemöglichkeit gaht go uschecke, und dä Mafia wo im Aargau ihres Unwese triibt. Dä chlini Storz isch na churz analysiert worde, well er allne Teilnehmer mal na über dä Weg glauffe isch, und dä SJU hät dä genial Verglich gmacht zwüsched äm uMSOMST als Barney vo how I met your mother, und äm chline Storz als Hippie Barney. Sehr glunge, und üsserscht akkurat für die linggi Bazille. Gwüssi vo dene händ nämmli än Standort vo Maskeimporteur agriffe und än dete parkierte BWM vandalisiert, well es paar SVPler angeblich vill Geld mit dere Merchandise verdient händ. Amüsanterwiis sind die aber anschinend scho nüme dete am Bizniz betriibe, aber alli wo än BWM händ sind sowieso dreckigi Kapitalischte, also fühlt mer sich im Lager vo dä Revoluzzer sicherlich sehr mächtig. 
Zum Schluss na ä Räuberpischtole vom PKN, wo seit dass es früehner am Sihlquai automatischi Wassersträhl geh hät für all die Pro-stituierte und ihrne Gschäftspartner, und dass än Kolljeg vo ihm mal «zuefällig» druf gstosse isch. Hearsay I say, aber wär geil wänn das würklich so gsi isch. 
MSO/MST (Nr.  7)
- Hauptstatistiker (wenn er si dänn verschickt: liecht zspat, aber bis September hoffentlich wieder püntklich)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</si>
  <si>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Ohni Firat lauft nüt, und sini Ferieabsenz trifft dä Verein zmitzt is Herz. Dä JWU und PKN sind sichtlich am liide gsi wo dä MSO/MST pünktlich im Safran itroffe isch, wells dä jungi Burscht vo Chällner 2 Mal weggschickt händ, und dänn isches es Ziitli gange bis er sich namal usegetraut hät um dBschtellig ufneh. Es hät dänn au 20 Minute duuret bis alles da gsi isch, was scho än chline Scandalè isch. Dä SJU isch zspat cho, verschwitzt vom Velofahre, alles weller atemlos durch die Stadt gradlet isch um sin nächschte LI zverhindere. Und das mit Erfolg, mir gratuliered ihm herzlich, und appelliered starch a ihn, sini Velofitness z’erhöhe. 
Dä JWU isch wieder us dä Versenkig uftaucht und hät grad mal chli afange blöffe über San Remo, sis Französisch, und wiener über sMatterhorn heigfahre isch (nöd über Zermatt, direkt über dä Berg). Er hät usserdem gseit er seg jetzt bereit um dä all-time Punkterekord vom MSO/MST azgrife, ä gewagti Ussag für öpper wo i dä letschte 8 DFs 4 Mal gfehlt hät (+3 Mal än LI izoge hät) und storzi 11 Aweseheitspunkt hinter äm Leader isch. Bonne Schanse. Er hät usserdem Glück gha dass er dä PKN und nöd dä SJU gfragt hät ob dä Haserain würklich i dä Nächi vom Zoo seg und nöd in Albisriede, das wär äs wiiters Spektakel worde. 
Dä PKN isch voll im Lernstress und hät akündet, dass er sicherlich 1 Mal wird fehle i dä nächschte Wuche, was alli freut und d’Kasse füllt. Er hät au na lamentiert dass er sini Stempfel nöd gnueg abgholt hät i letschter Ziit, und ä Wett gäge dä JWU verlore, alles nur well dä MSO/MST mal wieder än Pide gchlöpft hät. Än DF zum Vergesse für dä jungi Maa. Apropos stämpfle, mer hät sich gfragt ob dä MSO/MST bald mal entlah wird (Ischätzig vom Experte: eher unwahrschinlich), aber falls ja dänn wärs verständlich dass er dä grandios Sozialplan vo dä GSCS usnutzt, und mer hät sich es paar Minute mit sehr gewitzte Plän umegschlage wie mer das schöne System chan usnutze. Worst case: er verhaltet sich wie än richtige Assi (also ganz natürlich) bim Vorstelligsgspräch und verlangt 200k, und dänn wird er glich agstellt und landet plötzlich bi dä Luuserbank ZKB. 
Mer hät sich usserdem druf g’einigt dass euses Engagement im DF als ehreamtlichi Tätigkeit gilt, und ich hoffe jede passt hüt na churz sis CV a. Nachdem dä JWU vo sinere neue Statistikusbildig verzellt hät, so dass er sini Vergangeheit als dubiose und in Ungnade gfallene DF-Statistiker chan Rechtfertige, händ di beide Finanzfüx SJU und MSO/MST na chli mit ihrne Investments blöfft, und dä SJU hät dänn au na vonere neue Wohnig verzellt woner mal go aluege isch. Mir hoffed er findet endlich eini, ich hans langsam satt immer vo dere Entwicklig zbrichte. Zum Schluss isch dänn na s’Thema vo Malle ufcho und dä arme DJs wo nüme vor gröölende Holzchöpf chönd uflege, wie dä MSO/MST mal äm Portemonnaiedieb vom Nikci Gurkenmann Grass nagrennt isch und ines parkierts Auto grennt isch, was än guete DJ usmacht, irgend ä Räuberpistole vom SJU über än Velounfall und natürlich die jüngschte Entwicklige vo dä Polerundfahrt. 
So das isch es gsi, vill Unglück für all die Jusos wo vom Jinderletschte iglade worde sind hüt Abig, und bis nächscht Wuche wänns wieder heisst: Dürüm mit Wasser, dini Verteidigung hät Angscht
MSO/MST (Nr.  7)
- Hauptstatistiker (wenn er si dänn verschickt: han doch gseit ich seg pünktlich, aber hät mer natürlich wieder niemert glaubt)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</si>
  <si>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Die ganzi GSCS Infrastruktur isch grad vollkomme zämegheit, drum chunnt hüt alles mit chli Verspätig. Aber es isch nöd alles nöd Gold wo nöd glänzt, zum Bispiel sind mer hüt wunderbari 6 Lüüt gsi im Safran. 
Dä einzig Abwesend isch dä YMI gsi, wo gemäss Räuberpischtole angeblich i dä Rhiischlucht am Cannoyningä isch. Dä PKN hingäge isch ganz fesch und schnittig mit mä neue Haarschnitt uf äm Sofa ghockt, isch aber suscht sehr ruhig gsi. Mit grosser Überraschig isch dä CBO au däbi gsi, und isch wie immer am blöffe gsi über sini Wuchenendplän. Er plant än Vor-Stoos mitere grosse Wanderig, und er isch nöd ällei; Schlage und Schreibe alli (ussert dä JWU, also alli) gönd am Wuchenend entweder go Wandere und/oder is Bündnerland. Dä PKN gaht go büffle uf Brügels, dä MSO/MST lauft id Terrihüttä, dä SJU laht sich ilade uf Silvaplana und dä au awesendi Luca Hänni the first macht glaubs au öppis i dä Berge. 
Es isch frisch und fröhlich zue und hergange, z’allererscht mit ere Diskussion über d’Absagegebühre i Berghütte und all die Wanderer wo überall bueched und dänn än Tag vorher absäged. Mer hät sich im Kollektiv drüber ufgregt, bis dänn dä SJU gmerkt hät er müess na d’Blüemlisalphütte absäge. Eieiei. Wägem PKN und sim Studieusflug uf Brügels häts ä langi und müehsami Diskussion zwüsched äm CBO, MSO/MST und JWU geh wo genau dä MSO/MST i sim Feriehuus zwüsched Brügels und Illanz gsi isch, inklusive ob s’Bündnerland im Engadin isch oder nöd. Faszinierend.
Dä JWU hät sich wieder mal än klassische LI igfange, und hät dänn prompt mit sinere Brüglergschicht vom Bahnhof Bonstette-Wettswil uftrumpft, woner grad I 2 Polizeikontrolle cho isch als potentielle Verdächtige im nä Räuberpischtoleüberfall. Dä netti Polizischt hät ihm dänn na es paar Frage gstellt um än binere Lüüg zverwütsche, bis dä JWU ihn dänn miteme Snüsli bestoche hät. D’Gsellschaft isch dänn ganz unhöflich unterbroche worde vonere absolute Legende im Auto uf dä andere Strassesiite, wo s’grosse Bedürfnis gha hät mit mä luutä Hàähhähäahfasdfk uf d’Strass zchodere. Mer vermuetet dass er dä PKN gseh hät und denkt hät, er segi i dä Nächi vom Alkiheim / Männerhuus. Mir wünsched gueti Genesig. 
Am Schluss will ich na uf die Grossartig Arbeit vom SJU ufmerksam mache, wo mit sinere marwülöse Website alli verwunderet und begeisteret. Lueged schnell druf bevor dänn d’Paywall chunnt für alli Mitglieder 2ter und 3ter Klasse, wo sich nöd mit mä (Vize-) Präsidenteamt chönd beschmücke. Mir sind gspannt uf d’Wordmäp, und ich wünsche eu allne äs schöns Weekend. 
Extrazückerli: Pesto chunnt vom Verb «to pestâ», wänn mer öppis verdruckt, und nöd wie dä MSO/MST agnoh hät, wells ä Paschte isch. 
MSO/MST (Nr.  7)
- Hauptstatistiker (wenn er si dänn verschickt: Cazz GSCS mit ihrere IT-Infrastruktur vo 1995, suscht wäri sowas vo on time gsi)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</si>
  <si>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Donner mitenand, 
Wie immer (ussert wänn nöd) gits die neuschte Stats und äs grosses Schmankerl mit dere ellelange Zämefassig. 
Nachdem letscht Wuche alli schön blöfft händ wies gönd go Wandere und/oder is Bündnerland hät mer hüt d’Uswirkige eidütig gseh. Nur dä MSO/MST isch einigermasse frisch gsi, dä PKN häts verbriglet und drum nöd an DF gschafft, dä SJU hät usgseh wie än verschwitztä Lumpä, und mer munklet dä CBO seg immer na sini Verletzige am zelle vo sim Usflug in Stoos. Durs Fehle vom PKN isch dä MSO/MST wieder mal dä rechtmässig Füehrer i dem Kalenderjahr, und mer hoffed alli dass sich a dem nüt meh änderet i dä nächschte 14 DFs. Dä JWU wagt sich gschiderwiis nöd id Berge, gseht aber per Definition au us wie än Lumpä, drum gits i dem Fall nüt Neus zbrichte, ussert dass er sich zur Usnahm mal KEIN LI gönnt hät, aber er isch immerhin nöd dä Erscht gsi im Safran. 
Mir händ die Wuche aber zwei alti Bekannti wieder gseh, und mir fanged mit äm Wichtigere a: Dä Firat isch zrugg us dä Ferie, und gwüssi Füx händ scho wieder online ihri Bstellig chönne duregeh. Schönerwiis isch aber au dä YMI petri heil zrugg cho vom dä Rhiischlucht, und hät eus mit sinere ruhige Art wieder mal chli an Bode gholt. Er hät vill verzellt vo schöne kulinarische Wanderigä, Velotüürli und Riverrafting, und mer hät zäme gstuunet und glacht. Fascht so fescht wie über die grossartig Party i dä Burg vo Sils-Maria, wo anschinend bald mal härti Raver Izug nehmed, inklusive YMI und JWU, und mir hoffed uf neui Räuberpischtole mit pikante Details. 
Dä SJU fehlt die nächschte 1-4 Mal, und es isch mer ä wahri Freud eu die verschiedene Szenarie zpräsentiere: 
• 1 Mal fehle: Dä SJU gaht uf Sardinie go Kite-Surfä mitem Jinderletscht und äm Ebito-Ebito, fehlt nächscht Fritig, chunnt i dä Wuche druf wieder zrugg und schaffts na knapp an DF well sis Flugi rechtziitig achunnt (Szenario chan än LI beinhalte)
• 2 Mal fehle: Dä SJU verfluecht dä Pilot (und/oder Co-Pilot, weiss ja nöd wer genau so langsam flügt) und schaffts nöd an DF, oder erscht nachem 12:31, und mer wird na Jahre drüber brichte wiener damals steihässig gseit hät «ich bin so hässig. Na nie bin ich so hässig gsi»
• 3-4 Mal fehle: Dä SJU chunnt zwar rechtziitig zrugg, muess aber 2 Wuche id Quarantäne und wird bim BAG vom MSO/MST verpetzt wänner sich an DF getraut. Falls er nöd richtig chan zelle weiss er nöd wänn genau d’Quarantäne agfange hät, und verpasst dä 4ti DF au na grad
Zu dere Diskussion häts dänn es paar unsinnigi Ussage geh, insbesondere dass alli sich uf Covid 20 (au Covid 2.0 gnännt vo dä IT-Füx) freued, ob mer das überhaupt chan übercho ohni Softwareupdate, und was für äs Virus s’zuekünftige 6GGG-Netz verbreite wird. Und mer überleit sich, ä neui Maske z’drucke mitem DF Logo, nummere und Chürzel für eusi Chlöpfete im November. Dä YMI hät s’Restaurant Seebach in Weidhof (oder umgekehrt) vorgschalge. Es seg chli am End vo dä Welt aber es gäbi geils Cordon Bleu. Dä JWU hät sich dänn wiederum än Plan usgheckt dass er im ÖV det ane kei Maske muess alege, und schlaht vor dass mer konstant muess vo sim Bidon trinke. Sehr elegant, und z’erwarte vo eusem neue Data Scientist wo angeblich bald mal uf Rumänie oder Prag gaht um Stripschüppe go uswärte für sini Abschlussarbeit. 
Zum Schluss vo mim Sermon gits na ä chlini Quizfrag, wer si falsch beantwortet chunnt än härte Tolgge über i sis DF Heft:
Wänn mer bim nä Schieber Eichle will (mer hät es Ass, än Chüng und es Banner), es wird vom Schiebpartner Schilte trumpft (mer hät weder Trümpf na Strümpf), und mer chan verrüehre, dänn leit mer: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Gnüssed dä letscht Summertag, mer gsehnd dä SJU i 5 Wuche wieder, und hebed än Guete, aber nöd mine 
MSO/MST (Nr.  7)
- Hauptstatistiker (wenn er si dänn verschickt: Wiedermal sehr flitzig)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</si>
  <si>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Heiligi Maskepflicht, es isch scho wieder Fritig
Bi dä Akunft vom MSO/MST isch d’Diskussion mit YMI und PKN schnell unterbroche worde, was mit dä schnittige Erschinig vom Hauptstatistiker z’erkläre isch. Die Wuche häts ze Return of ze King is grande Büro vo dä GSCS geh, und drum hät dä MSO/MST mal nöd usgseh wie än Lumpe. Mer hät generös Kompliment zum x-Tagebart verteilt, und es isch dänn ä chlini Diskussion zum Bartwuchs agfange worde. Dä YMI hät sich dänn verpflichtet, sin Baggebart wachse zlah, um au mal ä vollständigi Gsichtsbehaarig zpräsentiere. Mir sind gspannt. Dä glichi YMI hät sich usserdem überleit, sind Sonderstatus ufzgeh, um äm CBO sini Buess id höchi ztriibe und eusi Kasse endlich mal richtig zfülle. Dä PKN, wo sini schriftliche Prüefige gründlich verhaue hät gemäss dä Experteischätzig vom DF-König, plant ebefalls mal längeri Ferie für 2021, und mir freued eus uf all das extra Geld wo i dä Zuekunft in Verein flüsst. Die virtuell DF-Aktie schüsst nur so id Höchi, und ich würd säge mir shorted bald mal. 
Aber zrugg zum eigentliche Fokus: dä Donner. Dä Safran isch pumpevolle gsi, und well dä YMI dere moderne Technologie vom online bim Firat bstelle nöd vertraut, isch d’Warteziit nöd ganz so churz gsi. Ohni SJU (Ferie) und JWU (zu bizi und verängschtigt um sich an Waffeplatz zgetraue) sind d’Diskussione dänn wieder zrugg zu dä Investments gange, und während alli froh sind dass mer Tesla nöd gshortet händ, fragt sich insbesondere dä PKN wie sis vorgschlagene Hanfinvestment sich entwicklet hetti. Söll bitte öpper mit gnueg Finanzwüsse überprüefe. Später sind dänn na anderi Investitionsmöglichkeite prüeft worde, insbesondere is Biziness vom Fremdkredit, wo mer angeblich stattlichi Zinse chan iheimse. 
S’Panel vo Sportinteressierte hät sich dänn chli über d’Effekt vom Virus19 unterhalte, wie wahrschinlich s’isch dass alli Clübs gschlosse werded und nur na im Untergrund illegali Parties gfiiret werded, und wies mitem einzige Schwiizer Sport (Ishockey) wiitergaht. Nach mä berechtigte Kommentar zu dä NHL wo nöd s’gliche seg ohni Zueschauer isch mer dänn zu dä Amerikanische Politik und dä Stichwach vom Obertrottel gäge dä senil Pädo cho. Dä uMSO/MST hät nöd umsonst ä churzi Zämefassig vo dä politische Lag geh, mer hät sich über d’Überseeler luschtig gmacht, und dänn unisono gfundä dä Christoph Blocher hegi eigentlich sin Aspruch uf sini Bundesratsrente nüme. 
Zum Schluss gits na ä Zämestellig vo allne Antworte zum Jassquiz (Antwortmöglichkeite sind am Schluss vom Elektronische Brief). Leider hät niemert d’Antwort C gwählt, was natürlich korrekt gsi wär wegem Schelle Ober Schnügel:
• SJU: B) aber nur wege de Rosette. De Rescht macht mines Erachtens kei Sinn.
• CBO: Ich spiele amigs B), aber A) isch besser.
• YMI: Denn wür ichs B neh
• JWU: oohhh ich nimme antwort E (Anm. der Reaktion: es hät gar kei Option E geh) gemäss empfehlig vo YMI und SJU. Alli charte wo me het muss me verrüehre, well susch chame ja nie eidüütig zeige, welli charte dass me wott! [C isch falsch,] well wenn ich jetzt will, dass min partner de schelle-ober usspielt, denn chan ich ihm das ja nur azeige, indem ich selber de schelle-ober spiele. Und denn chaner en ja nüme spiele. drum sägich da nur: schellinski hiess der pole!
• PKN: -
Macheds guet, liebi Grüess zu dä Sardine, und mer gseht sich nächscht Wuche wieder wänns heisst: Hoi Firat, ich würd gern 1 Pide mit Kebabfleisch bstelle uf di 12:10. Merci
MSO/MST (Nr.  7)
- Hauptstatistiker (wenn er si dänn verschickt: Na vorem Rege)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t>
  </si>
  <si>
    <t xml:space="preserve">Gruesswort
Es isch drunder und drüber gange hüt im Safran, und es isch mer ä wahri Freud eu d’Gschicht vom erschte Septemberfritig im heilige Jahr 2020 z’verzelle. Ich han grosses Mitleid mit allne Mitglieder wo nöd händ chönne teilneh a dem amüsante Blöfffescht. 
Fangemer wieder mal mitem positive a, und da gits einiges zbrichte. Dä JWU hät eigentlich welle go brügle in Osteuropa, aber da weder d’Rumäne zvill Angscht gha händ vorem TaMediamogul na d’Tscheche ihn händ welle inelah (im Wüsse wie vill Glasscherbe als Folg entstönd) ischer dänn doch an DF cho. Ich möcht da gern dä beide Regierige gratuliere zu dem sinnvolle Entscheid. Drum gaht er jetzt für äs romantischs Wanderwuchenend uf Östrich an Hungerberg, und wird wahrschinlich än neue Coronahotspot àla Ischgl astosse. Au dä CBO isch wieder mal nöd cho, und wegem lausige JWU wird er nöd mal däfür mitere Buess. Gerechterwiis isch aber dä YMI au nöd büesst worde, wo sich mit mä Huet-trick (also zum dritte Mal in Folg für die wo kei Ahnig vom Sport händ) zu eus gsellt hät. Dä Firat hät frei gha, und das isch doch au öppis schöns, aber es werded Stimme luut dass er au mal sötti ä Buess zahle wänn er nöd chunnt. 
Jetzt zum eigentliche Hochliecht: häts dä SJU gschafft oder nöd? Njet. Also er häts njet gschafft zspat oder gar nöd cho, und isch scho stinkfrech und goldbruun ufem Safran-Sofa ghockt. Mer munklet dass er äm Pilot mit mä Chieferbruch droht hät, und drum rechtziitig acho isch. Es seg sehr schön gsi im Süde, mit Spanferkel, Wanderige, und ganz vill Watersports (leider kei Golden Shower, jedefalls gemäss mim Wüssensstand). Mir hoffed dass Sardinie trotz dä Presenz vom Jinderletschte kein fischige Nachgschmack hinderlah hät. Und was mich bsunders freut isch dass dä Trottel sis Velo am HB stah lah hät (gemäss Quelle nur gsicheret dur äs «Füdlischloss»), und irgend ä Legende das entwendet hät. Di Jinderletschte chlöpfts. Um sini Schmach zverdaue rennt er hüt 2 Mal uf dä Üetliberg. Wies dä Zuefall will hät dä SJU i sinere Abweseheit än neue Flitzer poschtet, und gemäss äm populäre Slogan «bläck bikes matter» segs schwarz und schnell. 
Dä YMI und JWU sind wie akündet am rave gsi im Schloss Sils, und es seg ganz luschtig gsi. Meh weissi leider nöd welli nöd so richtig zueglost han. Mer hät sich na gwunderet wie die neue Fieberpischtole im Apple Shop funktioniered, und am Schluss hät dä JWU sich wieder mal ennerviert über d’Tatsach, dass er erneut so schlecht abschnidet im DF-Kalenderjahr 2020. Mer hät sich i dä Top 3 Gruppe Gedanke gmacht, was passiere würd wänn dä JWU än Tamedia-DF gründet und dä Jinderletscht wieder iladet, und was dä MSO/MST für ä DF Spend vom Jinderletscht würd akzeptiere falls er sich wieder würd ineschliche welle. Antwort: ä Buess für jede DF woner gfählt hät sit sim schändliche Ustritt. Und dä JWU hät akündet dass er am SJU sini Jagge endlich will zrugggeh. 
Also chlises Zückerli für dä wunderbar Tag hät sich dä MSO/MST bsunders is züg gleit, und da er sis Hauptstatistikeramt um einiges ernster nimme als sis Vize-Iladigsversänderämtli hät er sich churz d’Müeh gmacht, ä Partizipationsgrafik z’erstelle sit äm Entstehe vo dem wunderbare Verein (siehe Tab «Participation»). Es isch ä packendi Gschicht vom Ufstieg vom DF-König uMSOMST (1, 4), äm tüüfe Fall vom CBO (2), äm YMI sin Move zum edle Symposium (3), am SJU sini Ferie ohni Sonderstatus (5), und s’Chopf a Chopf a Chopfrenne wo sich dä PKN bis jetzt (Status 4.9.2020) als Nummere 2 bestätigt (6). Da mir leider ä kompletti Statistik vom erschte DF-Kalenderjahr fehlt, und ich nur dä Abschlussbricht han, han ich das mal linear approximiert, aber falls epper jepper das na hett wärs natürlich brilliant wänn er/sie/es mir das würd schicke. 
Jetzt zum negative: Es git kei Stehplätz meh im Ishockey bis dä ganzi Coronagspass verbi isch, und obwohl das für all die Hardcorefans vo eus bitter isch (e.g., MSO/MST mit 0 Teilnahme i dä Saison 2019/2020, aber au nur wells kei Playoffs geh hät), chan ich mir gar nöd vorstelle wie das für die fetti Inzeschtfamilie wird siii. Das ischs gsi, hebeds guet mini Chinder. 
MSO/MST (Nr.  7)
- Hauptstatistiker (wenn er si dänn verschickt: schneller als d’Iladig, god be thank isch dä SJU zrugg)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</si>
  <si>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Zämefassigsempfänger
Schön isches gsi a dem signifikante Tag vom eleven-nine im Safran. Dä Firat isch wieder da, all 4 Hauptmitglieder sind pünktlich cho, und d’Pides und Dürüms händ gmundet. Dä MSO/MST isch hüt umsomst is Büro und dänn grad wieder hei well kei Sau vo sim Team cho isch, und isch drum ganz leschere als erschte ufem Sofa ghockt. Alli sind überrascht gsi dass dä JWU nöd sin 7tä LI vom Fiskaljahr izoge hät, aber mir händ wiiterhin grosses Vertraue i ihn zum euses Büdgsche na chli zverbessere. Mer hät dänn chli spekuliert wie riich dä DF-König MSO/MST isch well er hüt uf dä heilig Moritz gaht, und er sone Bonzewohnig hät, und dänn isch d’Muetter cho und hät s’wichtige Pidebschteck anegleit und isch wieder abdampft. Dä steihässig SJU isch dänn selber go Getränk hole, und anschinend chli vo ihre agschnäuzt worde warum er dänn nöd bi ihre bstellt hät, und es hät es härts Bättul geh. Dänn isch si glich na go frage ob irgendöpper suscht äs Dösli will, aber njet. Wo dänn dä JWU bi sinere Akunft es Cola Sero bstellt hät, hät si zerscht nei gseit, und dä PKN die Gurke hät plötzlich doch na Durscht übercho und na än Pfirsich us dä Dose welle. Es absoluts Fiasko, und glücklicherwiis gaht dä SJU id Innerschwiiz uf än Berg und go Babysitte, dänn chan er sich chli abrege nach sim Wuetusbruch. 
Mer hät sich dänn uf wichtigeri Sache besunne, zum Bispiel ä unsinnigi Diskussion agstosse vom JWU über sini abgschlosseni Velokarriere, sis neue Balanceboard fürd Glenk, und alli händ dänn irgendwelchi nöd existierende Studie zitiert für und wider äm Stundpunkt ob Springseile jetzt guet oder schlecht seged fürd Glenk. Da isch d’Forschig nanig ganz so wiit, aber mer weiss zumindescht dass Pides sich positiv uf Glenk uswirked, ussert mer hät Gicht im Zeche, dänn nöd. 
Nachher isch wie fascht immer drüber spekuliert worde, wer am Schluss vom Jahr z’oberscht i dä Stats isch, und dä PKN hät sich fürchterlich über dä MSO/MST ufgregt und ihm vorgworfe, er nähmi sini Ferie nie oder erscht nächscht Jahr, wo dä PKN ja sini langi Reis plant und dänn uf sine zwei Chrönli sitzebliibt. Dä JWU hät wieder Mal akündet, dass er dänn nächscht Jahr nie fehle wird, und dä SJU interessiert das alles nöd, well solang er sich Presidente chan schimpfe sini Machtgier gstillt isch. Natürlich sind scho Plän gschmiedet worde wie d’Buessestruktur nächscht Jahr chönnti usgseh, und ich freu mich scho uf die hitzige Diskussione a dä Chlöpfete. Nachdem dä JWU dä Jinderletscht hät welle ad Chlöpfete ilade, hät sich än besorgte SJU na drüber g’üsseret wie sehr äm Jinderletschte dä ganzi Hass vom MSO/MST zuesetzt, und dä PKN hät chönne mit Insiderinfos uftrumpfe dass dä Jinderletscht zum Psychiater muess. Mir blibed a dem packende Thema dra falls neui Erkenntnis uftauched. 
Nach mä churze Intermezzo über die aktuell Marktlag und die wunderbar Möglichkeit, endlich Tesla z’shorte, hät dä JWU na chli vo sinere neue Baumschuel verzellt, und dänn isch mer sich na uneinig gsi ob Ecstasy neh jetzt legal oder illegal isch (es isch illegal, aber illegal isch scheissegal). Dänn händ sich d’Weg trennt, und s’Executive Board isch mit ihrne legendäre Velos dävodüüst. 
Meh gits eigentlich nöd z’säge, vor allem welli nüme meh weiss. Jede wo sich nanig bi mir hät chönne bedanke für die grandios all-time participation Grafik söll das bitte na mache. 
MSO/MST (Nr.  7)
- Hauptstatistiker (wenn er si dänn verschickt: ich bin so riich)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</si>
  <si>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mini Dame und Herre, 
Ich han mich entschiede, die Zämefassig erscht am hütige Mäntig zschicke, well ich Usred Usred Usred. Usserdem werded hüt alli belohnt, wo ganz gueti Auge händ, oder IT-Füx sind. Jetzt wo mer das klärt händ, gahts grad los:
Gemäss unverlässliche Quelle isch dä SJU isch scho wieder ufs Brienzer Rothorn gange am Fritig, und hät drum nöd chönne teilneh am schönschte Zmittag vo dä Wuche. Es wird gmunklet dass dä alti Bergfux die letschte Summertäg na hät welle gnüsse, und sich lieber mitem Bergfieber statt Corona infiziere. Mir sind gspannt wie das klappt hät. Dä JWU hät sich wieder mal id Nessle gsetzt und am Afang akündet, er müessi dänn am Halbi 1 gah, well er es wichtigs Journalischtemeeting gha hät und sich hät welle ilese, und scho händ alli gseit es git ä saftigi Buess, was die altbekannt Diskussion über eusi kompliziert Gebührestruktur lostrette hät. Ohni awesende Presidente sind fascht scho meuterischi Tön ufcho, und ich bitte alli, sich än schriftliche Vorschlag ufzbereite für d’Brüglete, so dass mir eusi Buesseregle chli chönd standardisiere. Und falls es wieder ä emotionali Diskussion mit vill Chaos und flügende Bierfläsche git, wär das doch auch scho öppis. 
Dä JWU hät dänn chli blöfft wie si ihre Gegner im Cup vernichtet händ, wo angeblich ufem Papier massiv besser seg. Si seged im Ligaspiel däfür undergange, und mer fragt sich ob die Prioritäte richtig gsetzt worde sind, well dä Cup ja würklich nüt zellt, ussert wenn Zug günnt. Das hät eus dänn uf äm YMI sini Fuessballkarriere bracht, und dä MSO/MST isch ganz STORZ gsi dass er än wiitere Usseverteidiger i sine Reihe gfunde hät. Die edli Position müess zwar vill renne, isch aber extrem villsiitig und au offensiv, und wänn mal eine verbiizieht chan mer immer äm Inneverteidiger dSchuld geh wänner än au na durelaht, well dä ja suscht nüt ztue hät. Usserdem muess mer nie uf dä first ball gah bim nä Abkick, und trotzdem hät dä YMI au scho heldehaft än Chopfball verwütscht, wo nöd ganz uf sini Stirn gange isch. Dä JWU isch ganz erstuunt gsi wie das möglich seg, und warum das Schmerze verursache chan, aber mit sine dichte Fake News Haar würd er eh nüt gspüre. Mir hoffed aber alli, das dä YMI mal zum nä richtige Chopfballmonschter wird, und s’wunderbare Gfühl chan erlebe, bim nä Eggball im eigene Sixteener es fabulöses Eigegoal inezzirkle. 
Dä MSO/MST hät sich wie immer sehr zruggghalte, und hät nur churz brilliert woner d’Muetter usebeorderet hät zum Bstelle. Well dä Firat scho wieder zspat cho isch, häts chli duret bis da Ordnig i dä Chuchi present gsi isch, und wo si dänn mite Schribblöckli dagstande isch hät dä Firat s’Kebabzepter scho übernoh. Dä YMI hät übrigens es glänzends Timing, well er genau dänn itrudlet isch, aber es hät immer na es Chopfschüttle geh über sin Widerwille, über Whatsapp zbstelle. Villicht brucht dä jungi Maa eifach au mal Ferie, und fuxig wiener isch hätter sich grad 2 Wuche gnoh um uf Italie z’verreise. Oder villicht hät er sich müese erhole vo sim tragische Schicksal, woner innerhalb vonere Wuche 2 Platte verursacht hät. Eine bim eigene Flitzer wos uf dä Üetlihügel gange isch, und dänn hätter sich doch frecherwiis s’Velo vo sinere Frau gnoh, und dänn häts dä Reife und ihn grad namal gchlöpft. Sapperlott. 
Zum Schluss häts na äs Novum geh: Well dä JWU ja hät welle früehner gah, hätter d’Muetter usebeorderet zum ufem Sofa z’zahle, was dä Glätzi i dä Chuchi nöd so goutiert hät. Er hät zerscht welle mit Bargeld zahle, wo dänn aber alli andere zerscht händ därfe bläche, häts än verjagt, und dänn hätter glich mit Chärtli zahlt. Wahnsinn. 
Jetzt na zum PKN: Er isch au da gsi. 
MSO/MST (Nr.  7)
- Hauptstatistiker (wenn er si dänn verschickt: ich bin so zspat, es chan sich jede ä eigeni Usred usdenke und mir schicke, aber macht eh niemert)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</si>
  <si>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Grüessech, 
Ich hoffe das isch gross gnueg, au für dä Massregler Crevette Bouquet, wo trotz grosse Akündigung dass er hüt chämi um än Atrag für einheitlichi Schriftgrössene i dä Statute hät welle stelle, leider wieder mal nöd cho isch. Nach sim Input, mini Signatur seg s’Wichtigeschte vo dä ganze Zämefassig, han ich mir erlaubt d’Schriftgrössi na chli azpasse, und ich hoffe mini treue Leser sind jetzt endlich zfride. Aber jetzt zu dä absolute Hiobsbotschaft vo hüt, dä Firat isch nacheme Putschversuech usem Safran verbannt worde, und mer vermuetet er suecht jetzt i sim neue Dönerlade «Firat Punto» Exil. Dä Einzig wo hät welle es Statement däzue geh isch dä PKN: «es chönnt nöd schlimmer cho». Mir stimmed dem absolut zue, und hoffed dass dadämit dä Tüüfpunkt i eusem Läbe endgültig erreicht worde isch. 
Bsunders für dä PKN isches hüt Chnüppeldick cho, nachdem er sich gescht 6 Stund lang nur vo Bière ernährt hät im treffend benannte Lokal «Bière Lab». Und nöd nur das, er hät sich d’Frechheit erlaubt usschliesslich s’einzige Bière uf dä Charte zbstelle, wo nöd vom Lab selber hergstellt wird, und prompt än Rüffel kassiert. Drum hät er sich hüt grad freignoh um allfälligi Überhäng uszkuriere und über sis Lebe nahzdenke. Nöd vill besser ergange isches äm JWU, wo mit sim LI Nummere 7 sin eigene Rekord übertroffe hät. Immerhin hät er än akündet, und sich hüt chli meh Ziit für eusi Gsellschaft gnoh, was au nötig gsi isch, well d’Muetter doch es ziitli gha hät um die zwei Pides vorzbereite. 
Zrugg zum PKN, wo normalerwiis chli ignoriert wird i dene Zämefassige well er eifach nöd gnueg blöfft. Mer hät sich zäme ennerviert wie lang gwüssi Institutione händ, um Prüefige z’korrigiere, und nachdem dä JWU dä PKN zum zweite Mal gfragt hät wänn er dänn sini Prüefigsresultat überchunnt (irgendwenn im Oktober), sind die folgende Vorhersägige troffe worde: 
• MSO/MST: Us verbindliche Quelle hät mer erfahre, dass dä PKN d’Prüefig klar nöd bestande hät
• JWU: Bestande mit mä 4.5/10 (oder 6, wie au immer die Baumschuel benotet)
• SJU: Egal ob bestande oder njet, dä PKN hät sini Usbildig sicher vor äm JWU sim Bachelor if Data Science
Genau dä JWU hät übrigens überraschenderwiis nöd wiitergmacht mit sim Selbststudium, und hät stattdesse d’Medielandschaft nach wunderbare Artikel abgrast. Nebed mä Pfarrer in Nidwalde wo sin P.Ä.N.I.S offebar nöd i sinere Hose hät chönne lah, und irgend ere Klimademo mit ufbrachte Extrempolitiker vo beide Siite stellt er doch ä gwüssi Coronamüedigkeit fescht wo i dä Boulevardpress meh oder weniger akurat wiedergeh wird, und dChernmitglieder vom DF chönd da nur zuestimme. Mir hoffed allerdings, dass dä Safran nöd äm gliche Mechanismus zum Opfer fallt wie dä vegani Lade wo sich gweigeret hät, ä Maskepflicht durezsetze und jetzt gschlosse wird, well hüt sich 0 vo 15 Persone mit Maske im Kebablokal ufghalte händ. 
Än chline Usblick uf d’Wiehnachtsziit zeigt überraschends: Da dä 25.12 und 1.1 jewiils uf än Fritig falled, gits gemäss Artikel 13 vo dä DF-Statute kei offizielli Donnerfritig dänn (Art. 13: (…) Fallt en offizielle Fiirtig uf en Fritig (z.B. Karfritig), findet de Dönerfritig nöd statt.). Somit wird’s än bittere Winter für eus alli, aber dä MSO/MST freut sich dass er sin übliche Rückstand i dä Jahreswertig nöd muess ufhole. Ebe geil. Umso meh freut mer sich im Kollektiv über die astehendi Prüglete, und es isch än Vorstoss igange dass mer nach äm Dinér is Saatlepub gaht go gnüsse und wenn möglich än 5-Liber uf dä Haas bim 800 Meterrenne setze. 
Insgesamt än sehr glungene DF, han nöd ganz alles chönne abdecke, aber wer will mitgnüsse söll hald au mal cho. Somit wünsch ich allne äs wunderschöns Wuchenend bim Brügle, und machts gut ihr Trottel
MSO/MST (Nr.  7)
- Hauptstatistiker (wenn er si dänn verschickt: Ein DF-Statistiker verschickt nie zu spät, ebenso wenig wie zu früh. Er verschickt seine Statistik genau dann wenn er sie beabsichtigt hat. Jede wo die Referenz verstaht chunnt vo mir än Baclava über)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</si>
  <si>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Mini werte Herre
Luschtig ischs gsi am hütige DF, aber au sehr speziell und denkwürdig. D’Marketingfüx vom Safran händ sich ä neui Strategie zur Chundebindig überleit, und am Fernseh im Lokal schöni Landschaftsbilder vom JWU sim Insta-Account mit beruhigender Spa-Musig gmischt, und somit sind hüt alli chli entspannter gsi, ussert dä SJU wo gemäss eigene Agabe än Puls vo 180 gha hät. Villicht well er uf Insta-Entzug isch, nachdem er dä MSO/MST erfolglos mit sinere Cousine hät welle verchnüpfe. Dä JWU hingege hät sich pudelwohl gfühlt i dere Ambiente, obwohl er sin Account immer wieder löscht und neu ufsetzt, eifach well ihm das angeblich chli me Kredibilität i dä Branche git. Mer hät sich dänn chli über die asoziale Medie unterhalte, über Biznizmodell vo all dene Plattforme. und über äm PKN sini Gschicht glacht woner damals äm nä neuseeländische Rügbyspieler dä Snapchatname klaut hät und dänn hunderti vo Afrage übercho hät. Leider hät er die Chance weder dezue gnutzt, Cäsh drus zmache, na um sini Fäns abzschleppe, also simmer alli im Kollektiv enttüscht. Aber nöd so enttüscht wie über ä Kollegin vom JWU wo angeblich Social Media studiert. D’Meinig vo dä Redaktion: immerhin besser als Gender Studies, aber nöd vill.  
Suscht hät mer vor allem d’Vorfreud uf hüt Abig gspürt. Alli gönd go Brügle im Rietberg, nur dä Sascha trinkt bi sim Date Tequila. Aber au verständlich dass er sich chli nach wiiblicher Gsellschaft seht nach sinere Exkursion in Füdlischuppe «Poly» mitem Jinderlescht, und dä Entdeckig vom Vibr-Atorring Frauetraum im WC. Mer munklet dass die beide sich ä beachtlichi Azahl Ring erstande händ, trotz vehementem Bestriite vom SJU. Und natürlich sind alli gspannt uf s’Derby MSO/MST vs. Jinderletscht, obwohl dä Aggressor Nummere 1 versproche hät, sich die erschte 5 Minute chli zruggzneh. Sexwieswill, mer freut sich und es wird scho nöd usarte wie suscht immer. 
Dä Rescht vom Zmittag isch mit dä übliche Blöffereie verbracht worde, wie äm SJU sini Räuberpischtole vom Riverrafte in Equador, Usrede zu dä fehlende Geburifiir vom MSO/MST, äm Snusentzug vom Luki und äm Entrüschte vom PKN dass er wieder mal än Donner mit dä falsche Sauce übercho hät. Usserdem fehlt dä PKN endlich wieder mal chli well er uf Brügels gaht, dä SJU glaubs au mal, und dä JWU hät sich gwunderet ob er au iglade worde isch ad Quo Vadis Vorbrüglete nächschte Donnschtig (njet, ischer nöd). 
Somit wünsche ich allne ä gueti Ziit und bis hüt Abig, äm SJU äs erfolgriichs Date (dä Frauetraum-Ring nöd vergesse), und äm YMI wiiterhin gueti Erholig i dä Ferie. 
MSO/MST (Nr.  7)
- Hauptstatistiker (wenn er si dänn verschickt: Alles wieder im Lot und nöd zspat, also wie immer)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</si>
  <si>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Ooooooh, 
Es isch drunder und drüber gange am hütige DF, agfange mit ere Nachricht dass dä JWU sich LI Nummere 8 wird sichere, woner dänn au tatsächlich gmacht hät. Villicht well er die erschti Iladig nöd übercho hät und erscht gescht bim Reminder informiert worde isch, dass hüt tatsächlich än DF stattfindet. Bitte churz d’Istellige vo dä Mailbox prüefe, bi dä Tamedia weiss mer nie wo überall gspart wird (meh däzue später, ich bin so gspannt). Dä PKN und YMI sind hüt abwesend gsi, und somit häts äs paar Minute vom Executive Board geh mit Präsi und Vize, und dä SJU dä alti Fux hät sich bi dä Muetter schlau gmacht über s’plötzliche Verschwinde vom Firat. Angeblich häts wieder mal än chline Familiezwischt geh, und gemäss SJU wird das scho wieder. Mer chans nur hoffe, well d’Performance vo dä Muetter isch hüt na schlechter gsi als suscht, was ja eigentlich gar nöd möglich isch. Zerscht isch mal d’Bstellig für die wichtige 2 Mitglieder cho (was au korrekt isch), aber ohni Sauce/Scharf, was churz bemänglet worde isch (Erinnerig Nr. 1). Dänn isch am Schoggi sin Donner cho, aber ohni Getränk, und well d’Sauce und Scharf au nanig cho sind, häts än zweite Rüffel geh (Nr. 2). Wo si dänn S’Kokainzero bracht hät, aber immer na kei Sauce/Scharf, häts äm MSO/MST dänn dä Nuggi useghaue und er hät si chli agschnäuzt (Nr. 3), aber offesichtlich ohni Wirkig, und somit häts mal än Donner mit ere normale Mängi vo Sauce geh. Widerlich!!! Aber isch alles guet, ich han mi wieder beruhigt.
Aber suscht isch alles guet, und dä MSO/MST hät mitem SJU chli chönne protze wie erfolgrich die beide a dä Börse mit Dufry abgsahnt händ, und wie dä SJU vo dä einigermasse guete ZKB-Burebankkonditione chan profitiere, während dä MSO/MST immer na im GSCS-Gebühresumpf feschtsteckt. Die Schwache chlöpfts. Dä JWU wiederum erfreut sich a sinere neue Flamme im Rote Chleid vo Genf, und er hät blöfft wiener si kenne glernt hät und hüt Abig zu ihre gaht go chlöpfe. Mir gratuliered, und singed alli «Roooooseeaaanne, you have to put on the red lights for Schoggi». Das hät dänn dä SJU uf ä alti Sitcom bracht (wo zuefälligerwiis au Roseanne gheisse hät), aber well dä JWU und dä MSO/MST nanig 40i sind hät sich leider nur dä SJU dra erinneret. 
Dä Rescht vom Zmittag isch dänn dämit verbracht worde, ganz nostalgisch uf d’Brüglete light vom letschte Fritig zruggzluege, es sind Videos teilt worde vom grandiose Hugo, und mer spienzlet scho mit voller Vorfreud uf dä Event im La Cote wo mer dänn es Hugo i dä grosse Rundi astrebt. Und all händ sich über s’fehlende Hugotalent vom CBO luschtig gmacht, wo doch scho einigi Mal ufblitzt isch, und mer hoffed alli dass er am besagte Abig wieder so guet abschnide wird und Bild Nummere 2 kabutt macht. Apropos Öpfel, mir händ erfahre dass in Tamedia 90% vo dä Mitarbeiter kei Zuegriff uf Excel händ, well mer a allne Egge und End muess spare. Das füehrt däzue, dass Lüüt wie dä JUWU ihri Pivots uf Afrag vo dene trurige 90% muess apasse wänn irgend än Report nöd ganz alles drin hät wo si wennd, und ich verneige mich vor dere super Entscheidig wos sicherlich ganz vill Wert bringt. Und ich han denkt d’GSCS Manager sind Gurke… Und wänn mer scho bi Gurke sind, d’Muetter isch dänn am Schluss na cho und hät sorry gseit dass si d’Sauce/Scharf nöd bracht hät, aber nur scho drüber nahzdenke macht mi steihässig wie sit Zagreb nüme wo mer eifach s’Liecht im Club agstellt hät. 
Somit wünsch ich ä schöni Wuche, und bis gli
MSO/MST (Nr.  7)
- Hauptstatistiker (wenn er si dänn verschickt: Volg, frisch und fründlich)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</si>
  <si>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Gsundheit
Alles staht wieder ämal im Zeiche vo Co-Rona, was sich scho zeigt hät idem dä SJU dä MSO/MST bätte hät, ä Maske für ihn mitzneh. Da sich aber im heilige Safran eh niemert dra haltet, ussert d’Füehrigsetage vom DF, hät mer sich im Kollektiv gfraget wie langs na gaht bis dä Lade mal ä Zwangspause muess ilege. Dä SJU hät usserdem Kontakt gha mit öpperem, wo mit öpperem gfloge isch, wo Kontakt gha hät mit mä positive Mensch, also sind alli Alarmglogge am lüüte gsi bi dä Awesende. Insbesondere well dä SJU plant, is Südtirol zfahre für ä grandiosi Orgie mit sinere Fründin und Schwöschter (Quelle: han ich so verstande), und mir hoffed alli dass das guet chunnt. Es isch usserdem d’Frag ufcho, wie mer Selbschtquarantänefäll chan überprüefe, und wer alles dumm gnueg wär, während dä Quarantäne uf Social Media z’teile dass mer sich nöd dra halted. Apropos JWU, es isch d’Hoffnig ufcho, dass er im Safran quarantiert wird, dämit er sich mal endlich kei LIs meh iholt. 
Suscht sind wieder mal die härte 4 Mitglieder da gsi, und mir vermissed dä YMI und sini weise Wort schmerzlich. Eher weniger erwähnenswert isch dass dä CBO au wieder nöd cho isch, aber immerhin händ es paar vo eus d’Möglichkeit, ihm hüt im La Cote alli Schad zsäge und sini miserablè Hugofähigkeite z’bemitleide. Dä PKN hät es schöns 3-Tagebärtli zur Schau gstellt, dä JWU än Hipsterrucksack, dä MSO/MST än Pulli (än Pulli???) und dä SJU äs Tschäppi mit dä Ufschrift "dä Jinderletscht isch än Juso". Aber da hörts nanig uf mit dä Überraschige, dä Firat isch nämlich im Safran gsichtet worde, und interessanterwiis hät dä JWU das sogar vorusgseit und entweder hart uf dä Zuefall gsetzt, oder für s’erschte Mal i sim Lebe d’Wahrheit gseit. Wie immer ischs höchschti Isebahn dass wieder Ordnig im Safran umgsetzt wird, well d’Muetter sich zwar hüt dra erinneret hät, d’Sauce und s’Scharf zbringe ohni dass mer si hät müesse 3 Mal dumm ahaue, aber si hät au mit dä folgende Ussage glänzt: 
JWU: Cola zero us dä Dose
Muetter: (verdutzt) Us dä Dose? (Anm. der Redaktion: was sind das für behindereti Fragezeiche im Comic Sans? ????)
JWU: (verblüfft) Ja
MSO/MST: Dürum mit allem und Cocktailsauce
Muetter: (verwirrt) Cocktailsauce? 
MSO/MST: (verärgert) Ja
Ä wiiteri Entwicklig isch die blamabli Platzierig vo eusne zwei Grümpelverein Floorball Albis und Engschtringe FC, wo beidi ufem zweitletschte Platz vorzfinde sind. Nach es paar Verglich vom PKN wie schnell dä Jinderletscht jetzt würklich isch, und obs wäge sinere Nordkoreanischä Vergangeheit und sine Gen isch, hät dä JWU mit ere wahre Roiberpischtole chönne uftrumpfe. Im UC FBA rumorts bim Trainerstab, und das Drama isch fascht scho filmriif. Für meh Informatione verwiised mir sie gern uf eusi Zämefassig+ Usgab wo mer für än chline Batze chan abonniere (gits bald au als Podcast uf Spotify). Suscht hät mer sich über die beide Blöffsäck Nicola «Gurkenmann» Grass und JWU luschtig gmacht, und wer jetzt Recht hät zwüsched dä folgende Ussage: 
NGG: Dä Schoggi wechslet sich jedes Mal nach 10 Sekunde wieder us, und niemert will mit ihm im Block spiele
JWU: Ich spiele immer voll dure, und mängisch gangi hald scho nach einere Minute use. Aber ich laufe nöd zrugg über d’Mittellinie, obwohl ich Verteidiger bin. 
Als Abschluss händ sich alli na über s’schwarze Schaf i dä Familie MSO/MST luschtig gmacht, insbesondere sini Hippie-WG wo immer alli zäme choched und vill zämemached, und es isch es Schudere dur d’Rundi gange wänn mer sich vorstellt, ä bärestarchi DF+ WG z’gründe (inkl. Jinderletscht und Gurkenmann) und wie vill Minute s’gah würd bis es totals Chaos würd usbreche. Konsens: 10. 
Ich wünsche än schöne Tag, bis bald, und wer dä SJU und oder PKN hasst söll doch am nächschte Fritig an DF cho, dänn sind die beide Herre nämlich nöd da
MSO/MST (Nr.  7)
- Hauptstatistiker (wenn er si dänn verschickt: ich freu mi uf Spiis und Trank im La Cote, jede wo nöd chunnt isch än Amatör)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</si>
  <si>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Hüt gits wenig zbrichte, well fascht niemert cho isch, mit dä offiziell abwesende PKN, YMI und SJU. Ussert natürlich dä König, wo sin Palmares und sin Vorsprung i dä All-Time Stats wiiter am Usbaue isch. Es sind Zahle wo eigentlich fascht nöd möglich sind, aber ebe doch: 
• Massivi 189 Teilnahme (trotz 7 «verpasste» DFs nach dä Gründig), mit beträchtliche 8 Pünkt Vorsprung uf dä PKN und na vill meh uf all na Schlechtere (z.B., 139 uf dä CBO, wo hüt endlich sini 50. Teilnahm hät chönne erlebe. Bravo)
• Jahressieg so guet wie sicher (3 Pünkt Vorsprung bi 5 verbliebende DFs)
• Bärestarchi 85,1% Overall Marzipanrate
• Teilnahmeprozent Kalenderyeartodate vo 92.3% (neue Rekord wo hoffentlich na chan usbaut werde bis Endi November)
• Ganz villi neui Chrönli
• 4 Stempfel (meh däzue später)
Wie im Chat dokumentiert isch dä MSO/MST wieder mal pünktlich zur Stell gsi am Fritig Mittag, und isch zimmli unfründlich vo dä Muetter aghaue worde, ob er dänn dä einzig seg wo na chunnt. Wie immer misstrauisch aber doch mit guetem Herz hät er sich dänn däzue duregrunge, doch na zwei Bstellige durezgeh. Für wer genau fragt mer sich, liebi Leser*inne. Einersiits d’Edelcrevette CBO wo sich doch au wieder Mal in Safran getraut hät, well sini Gurkefirma sich endlich entschiede hät dass Homeoffice villicht im Moment nöd so die schlechtischt Lösig wär. Leider hät dä jungi Maa sich chli verschätzt und isch doch tatsächlich mitem Auto cho, hät sich verfahre, und isch drum erscht am 12:20 itrudlet. Villicht häts sogar na ä Parkbuess geh, da warte mer na uf ä Bestätigung. Trotzdem häts dänn wenigschtens än Konversationspartner für dä armi MSO/MST geh, was doch sehr gschätzt worde isch. Dä Zweiti im Bunde isch natürlich dä JWU gsi, wo sich hüt mal für än LIFO statt än LI entschiede hät. Am 12:26 ischer da gsi, und er hät sich sin Punkt hüt nur knapp verdient. Au er isch mitem Auto cho, well sin Chef anschinend än chline Schuub übercho hät und alli is Homeoffice beordnet hät bis im April, und wehe öpper gaht is Büro ohni sini Zuestimmig, dänn tätschts! Bäääm
Mer hät sich dänn grad dä wichtigere Theme gwidmet, insbesondere dä grosse La Cote Brüglete vo 2020. Obwohls bis jetzt na kein Co-Rona Fall geh hät wo dä MSO/MST hett müesse mitteile isches doch wie immer legendär gsi. Leider hät sich dä CBO nöd getraut, es Hugo azriisse, woner natürlich verlore hetti. Däfür häts es grosses Düümele geh woner sich dänn än klassische 6cl Tequilashot gsicheret hät. Nachdem isch mer na is Meiers oder wie die alt Spelunke au heisst, und Stück für Stück händ sich dänn die Meischte verbrüglete verabschieded. Gemäss Roiberpischtole sind es paar Brügler na i dä Wohnzimmerbar glandet, was au immer das si mag. 
Apropos verabschiede, dä JWU hät sich wie erwähnt än LIFO gchlöpft und isch am 12:40 vo dannen zoge, Lausig, aber immerhin füllt sich eusi Kasse doch na chli, und es nächet d’Grenze zum 1000er für D’Inahme vo dem Kalenderjahr. Und nach sim irische Abgang inklusive Maske händ sich die beide ghobenere Mitglieder*inne na sehr tüüfe und politisch brisante Theme chönne widme wo nur die intelligentischte Verstönd (und dä CBO), was doch au mal schön isch. Natürlich isches au sehr speziell dass weder CBO na MSO/MST sich müehsam benehmed oder dumm am umeblöffe sind, aber für so es Vergnüege müesst mer hald an DF cho. Am Schluss häts dänn na chli än Ufruhr a dä Theke geh, und well sich es paar jungi Burschte händ welle füredrengle hät sich dä MSO/MST ganzi 4 Stempfel ergatteret. Er isch dänn au prompt gmassreglet worde vom CBO, dass er s’Safran usnimmt, was natürlich grad entchräftet worde isch well dä MSO/MST es grosszügigs Trinkgeld vo 1.00 CHF geh hät. 
Jetzt häts doch na einiges geh zum Verzelle, ich wünsche ä schöni Pause und bis am Fritig
MSO/MST (Nr.  7)
- Hauptstatistiker (wenn er si dänn verschickt: spendablè)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</si>
  <si>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trau doch dä MSO/MST sine Auge nöd woner hüt is Safran lauft, und grad 4 Mitglieder vom zweitbeschte Verein vo dere Welt (welle isch ächt dä Bescht? Das isch euse EVZ) am nä Tischli hocke gseht. Und well dä SJU sich churz nachher au na zu eus gsellt hät hämmer s’erscht mal sit äm Quo Vadis 2020 wieder mal ä offizielli GV, wo euse ehrewerti Presidente hät chönne iberüefe. Fün Fäct: Das isch s’erschte Mal sit äm 24.11.2017 (Wahnsinn, ich weiss) wo mer wieder Mal alli 6 im Safran ghockt sind. Und es sind erscht na alli püntklich da gsi, insbesondere dä JWU. 
Und da isches scho losgange mit dä Aträg. Mer hät beschlosse, dass eusi Chlöpfete im November chli degradiert wird zur Überbrüglete, mit Spanferkel und im YMI sim Feriehuus statt im Saatlepüb. Es muess na abklärt werde, ob am CBO sin grandiose Vorschlag chan duregfüehrt werde, 6 Wagyu Donner mit äm Lamborghini anefahre zlah. Ich bin däfür. Und somit isch die wahri Chlopfete uf dä 6. März agsetzt was s’Fiskaljahr isch somit au verlängeret, und s’Renne um d’Jahreswertig doch na chli spannend macht, zumindescht wänns um d’Europaleagueplätz gaht. Dä Valentinstag als Datum hät sich leider nöd chönne duresetze, au wänn än Verglich vo allne DF-Partnerinne und ihrne Reaktione goldig gsi wär. Und au am SJU sin Atrag, dä Sondermitgliedstatus vo YMI und CBO ufzhebe, wells ja jetzt im Homeoffice währed, isch gemäss Helene «chancenlos, durch die Nacht» gsi. 
Dänn händ sich d’Trittbrettfahrer vom Verein duregsetzt und sich a ihre eigeni Tisch zruggzoge (wege neue Abstandsregle), und dä SJU und MSO/MST händ endlich chönne uf äm agmessenem Niveau über ihri erfolgriche Karriere und d’Finanzmärkt diskutiere. Dä MSO/MST hät öppis über dä sogenanti Nowcast glernt, wo ganz genow s’BIP und so Gschmäus chan berechne, und er isch schwer beidruckt gsi. A dere Stell än Gruess an AGU, än grosse Bewunderer vo dä DF Zämefassige, und dä MSO/MST überleit sichs guet, sim Rat zfolge und sini Karriere als Standup Komödiant endlich z’lanciere. 
Dur die abgsondereti Besprächig händ die beide Board Members leider chli dä Aschluss ad Konversatione am Nebedtisch verlore, aber es isch sehr zimmli sicher Folgendes besproche worde:
• Dä CBO hät gross blöfft wie gschid er isch, und hät äm JWU gseit er söll au endlich än BMW chauffe, dämit beidi zäme mit äm Nikci «der Gurkenmann» Grass chönd go blöffe vo Schliere bis Stettbach. Dä Bastien Girod isch scho am zittere über dä zuesätzlich Usstoss vo CO2.
• Dä JWU hät ihm natürlich nöd zueglost und luut über sini Zuekunft mitem Schneegeopard nadenkt, und ob er sich mit sinere eigeständige Messig vo sine Schwimmkilometer än Gfalle tuet oder njet. Wahrschinlich njet
• Dä PKN hät es Salatblättli am Mundwinkel gha und hät lamentiert, wie schön er mit sim 3-Tagebärtli usgseht, und wärum er dä Schritt nöd scho vill früehner gmacht hät. Grossi zuestimmig
• Dä YMI hät sich scho Rezept fürs Projekt «Spanferkel 2020» usegsuecht und über sini Fertigkeite am Grill gschwärmt. Freude herrscht
Suscht hät mer sich bim JWU beschwert wänn er endlich alli Gratisabos vo dä Tamediapublikatione erneueret, und was ächt passiere würd wänn mir alli am gliche Tag bi dä Helpline alüted und äm Schaque säged, mir seged d’Schwöchster/Muetter vom JWU und wärum mir kei Zuegriff meh heged uf eusi erschlichene Abonnemènts. Ich säge es würd dä JWU so chlöpfe, und ich beuftrage dä CBO das Projekt z’orchestriere. Nach äm grosse Odensrückfall vom CBO hät mer sich au na gfragt, wer wie wo dä beschti Snus verchauft, und dä SJU hät mit extra vill Verachtig uf alli abegluegt. Apropos Maske, dä MSO/MST isch flissig am lerne Tanze, und well sich es bsunders interessierts Mitglied erkundiget hät, gits jetzt na es extrachurzes Update: Ich bin sehr schlecht, aber Tango und Walzer chömmed langsam, mit vill blaue Zeche vo dä Mari und starchem Chopfweh vom MSO/MST well er so vill muess überlege. Wahrschinlich nur ä Ghirnentschütterig wege all dene Lattene
Ich han nächscht Wuche Ferie, und who’s know öbis an DF schaffe. Villicht bis dänn, ihr Jusos
MSO/MST (Nr.  7)
- Hauptstatistiker (wenn er si dänn verschickt: Storze CS Maskebsitzer)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</si>
  <si>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Was für än schöne Wuchestart eus allne bevorstaht, wo mer grad 2 DF Zämefassige und Stats chönd bewundere. Well dä MSO/MST letschti so bizi gsi isch hät er sich churzerhand ä Wuche Ferie gönnt, und drum sin Laptop am Fritig nöd agstellt. Das hät insbesondere die Lüüt troffe, wo sich immer nett bedanked und es eher trischts Lebe füehred, und ohni Zämefassig am Fritig drum schnell usfällig werded (ähem, CBO). 
Aber gnueg Stei grüehrt. Wie sichs ghört isch dä Señior Presidente als erschte im Safran gsi, und er hät sogar ä Maske übercho weller sini vergesse hät. Als nächscht isch dä Vize-Präsi ineglauffe, dänn ä muetigi Crevette wo sich sin erschte Hattrick sit März 2017 hät chönne sichere, scho meh da gsi isch als während dä letschte 2 DF-Fiskaljahr, und sogar sini Händ desinfisziert hät well er sin Odens hät müese usegrüble. Last and least isch au dä JWU itrudlet. Er hät sich ebefalls ä Wuche frei gnoh um sich i sim Liebesnescht in Scheneve izrichte, und isch glorrich vo dete direkt an DF gstieflet, ohni LI und alles. Mir ziehnd euse Huet. Dä YMI isch eusi Brüglete light am vorbereite, und es laufed Gspräch mit dä Erika ob sie sich als Maitre de Cabin bereitstelle würd für dä Abig. Es isch usserdem gforderet worde, dass mir eus äs Pideschiff baued/chauffed und so über sWasser uf Immesee chömmed. Dä PKN hät sich quarantänisiert um sich nöd zum Superspreader zmache. Mir vermissed ihn und sin mässigendä Ifluss, und wünsched ihm ä guets Immunsystem zum dä alti Virus gar nöd erscht inezlah. 
Während alli uf die 3 Pides gwartet händ, und es isch erwartigsgmäss es Ziitli gange, hät eus dä JWU chli meh vo sim Techtelmechtel ännet am Röschtigrabe verzellt. Er hät blöfft dass er sich als Experte vom Blätze gseht, und dass er sich däbi amigs es Loch i sini Maske schnidet, well das sicherlich mindeschtens so guet schützt wie wänn mer kei Maske a hät. Dä CBO hät dänn än guete Boge gschlage zum nä Präservativ mit mä Loch, und all die bildete Herre händ prompt versuecht die Marktlücke usznutze. Dä Vorschlag isch eifach: Es Loch im Schluch büütet än gwüsse Schutz (Anahm: grösser/gleich Zero) und git d’Möglichkeit, s’DNA-Projektil mit grösserer Gschwindigkeit und Genauigkeit as Ziel zbringe. Das chönnti bsunders attraktiv si für Lüüt wo Problem händ mit äm gringe Druck vom si erzüged, und sich glichziitig wännd in falscher Sicherheit wääge. Ich beuftrage dä CBO als Originator vo dere Idee, das Projekt wiiterztribe, und endlich mal chli Cäsh i eusi DF-Kasse zspüehle. Nach dere chline Tangente isches dän chnüppeldick cho für dä JWU wo dä CBO ihm gseit hät er seg nur sin zweitliebschte Trävelinfluencer nachem Herr «bold &amp; bankrupt».  
Nach mä churze Belächle vo dä Amis und ihrem Chaos mit Unklä Donald und äm schläfrige Joe mit dem «Wahlbetrug» isch mer meh als bereit gsi, sich i wiiteri Verschwörigstheorie zstorze. Nach äm exzellente Research vom MSO/MST (Name der Redaktion bekannt) vo letscht Wuche dass zum letschte Mal wo mer 6 Mitglieder im Safran gsi sind (irgendwänn im 2017i) hät mer sich gfragt, ob mir überhaupt als Einheit funktioniered wänn alli da sind. Insbesondere dä denkwürdig Abig vom DFQV im Jänner hät Frage ufgworfe, und es sind die folgende Theorie präsentiert (oder vom DF-Statistiker erfunde) worde: 
• Da mir eus gwöhnt sind, am Fritig Mittag mitenand umezblöffe, isch dä DFQV lediglich z’spat über d’Bühni gange, da am Mittag na alli heiter und fröhli mit jedem Löli gsi sind
• Dä YMI hät eusi Balance indirekt beiflusst und zum Wahnsinn gfüehrt am Fritig Abig, da vorher na alli guet mitenand klar cho sind
• Dä JWU isch tschuld, wells am Samschtig wieder wunderbar gsi isch, und er ja än irische Abgang gmacht hät
• Dä SJU isch dä Übeltäter, well er scho i dä Vergangeheit i ähnlicher Gsellschaft immer am Afang vom Skandal gstande isch (Jagge, Odens vorem Schluuch, etc.)
• Es isch alles nur well dä MSO/MST sin Titel als Vizepräsi hät welle offizielisiere, und er somit s’Machtgefüge vom DF durenandbracht hät
• Dä CBO hät mindeschtens 1 Schueh im Ofe versteckt, und somit die ganzi Kontroverse agstosse
• Dä PKN hät sini Vernunft nöd gnuegt zur Schau gstellt und isch somit ällei für alles verantwortlich
Um Einigkeit zschaffe schlahn ich vor, dass mir die Lischte a dä Brüglete im November churz duregönd und eus än Schuldige usesueched, sini Schueh verstecked und dä ganz Abig ruiniered. Oder au nöd, was eu lieber isch. 
Apropos Öpfel: Well mir nur im Züribiet vertrette sind, bruchts unbedingt än DF Standort in Genf, und mir hoffed dass dä JWU mit sim Ifluss äs neus UNO Departemènt für d’Unterstützig vo lokalem Gwerb chan erstelle, wo eusi Chlopfete chan mitfinanziere
Vill Spass, und bis am Fritig 
MSO/MST (Nr.  7)
- Hauptstatistiker (wenn er si dänn verschickt: Wieder mal zspat, und wieder mal ä gueti Usred parat, was für än Spagat) 
- Vize-Präsident (selbsternannt, aber bim DFQV 2020 bestätigt)
- Vize-Iladigsversänder
- Selbsternannte Frauebeuftragtä und Glichberechtigungsbeamte von DF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</si>
  <si>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Heilige Bimbam, scho wieder ä DF Zämefassig? Allerdings, wie akündet gits die Wuche 2 zum Priis vo 1
Zerscht wird mal s’Administrative usem Weg gschafft. Dä YMI isch gemäss guet informierte Quelle «irgendwo», und dä JWU isch nöd cho, wahrschinli weller bi dä Roooseanne und dä Red Lights verhocket isch. Dä SJU isch wie immer däbi gsi zäme mitem Radler MSO/MST, und nach churzem Warte isch dänn au na dä CBO (4 Mal in Folg däbi, usserordentlich und unerfreulich) mit äm Luca H. (leider nöd s’Musigtalent) im Schlepptau uftaucht. Usserdem hät sich dä PKN nach sinere Selbstquarantäne wieder zu eus gsellt, und sin 3-Tagebart glänzt wie eh und jeh. Er hät dänn ä veritabli Räuberpischtole uspackt als Erklärig warum er letscht Wuche gfehlt hät. Und los gaht die Gschicht, wo doch än Grossteil vo eusem DF usgfüllt hät (Anm. der Redaktion: chan liecht vo dä Wahrheit abwiiche): Am nä schöne Sunntig händ sich s’Rosi und ihre Maa es Gläsli Wii gönnt, wos ihm dänn plötzli chli gschmuch worde und er mit Fieber im Bett glandet isch. Natürlich hät sich s’guete Rosi nüt däbi denkt und isch am Mäntig is Büro. Wo dä PKN dänn am Zischtig present gsi isch hät mer sich am Wasserchrueg troffe, und nach mä chline Hüeschtele (er hät sich verschluckt) vo ihm hät s’Rosi gmeint es seged alli chli am Chränkle, so wie ihre Maa mitem Fieber. Nach mä berechtigte Nachhacke isch si dänn mit Maske im Büro bliebe, und tatsächlich am Mittwoch wieder cho, dasmal mit liechtem Fieber. S’Gliche isch am Donschtig passiert (mit höherem Fieber), und wos äm PKN dänn dä Nuggi usegjagt hät isch sin Chef mit dä informierte Meinig cho, dass eigentlich alles ok isch, obwohl sich s’Rosi dä Virus dänn doch na gholt hät. Es nehmed hald nöd alli d’BAG-Richtlinie ernscht. 
Apropos, d’Muetter hät eusi Coronakonformi Tischbsetztig au welle uflöse (3 und 2 a dä Tisch), aber si hät sich dänn doch na besinne lah. Mer hät sich na churz chli über die verschiedene Usgangslage vo Selbständige, Chli- und Grossunternehme  unterhalte, und nach usserordenlich churzem Warte uf Kebab und Co. isches dänn richtig spannend worde wo mer eusi Brüglete Light diskutiert händ. D’Spanferkelidee isch chli am bröckle, aber mer chönnt sicher au zäme go Esse und Trinke poschte für dä Namittag/Abig. Es isch vorgschlage worde, dass jede chli öppis vorbereitet, Spieli und Charte mitnimmt, und dänn chunnt das wunderbar. Mer munklet usserdem, dass es äs Quiz git, aber das sind nume unbestätigti Grücht. Jede wo nüt bitreit wird ikreist, mit scharfe Gägeständ pikst und eine fangtem mitem Lasso i. Dä Vorschlag isch vom CBO cho, wo dänn vo sine Erfahrige im Amerikanische Rodeo blöfft hät. Insbesondere s’Ifange und Zämebinde vonere Chueh vo dä Bei hättem gfalle, und das wär natürlich ä wunderbari Glegeheit zum sin Fetisch uszlebe. Dä MSO/MST hät sich scho verpflichtet, als sin Biitrag ä usserordentlichi Zämefassig vom Abig zschribe, und ernennt sich somit au offiziell als Kommunikationschef. Dä CBO hät dänn heimlifeiss bemerkt, dass er als Marketingchef über äm Kommunikationschef staht, aber dä MSO/MST hät prompt zrugggschlage und präsentiert die folgend Organisationsstruktur: 
Nebed all dene strategische Diskussione hät mer vill glacht und Blödsinn gredet, wo für die meischte Lüüt kei negativi Konsequenze wird ha. Usserdem hät sich dä SJU ä neui Wohnig gsicheret, und mir freued eus uf d’Iweihigsparty am 24. Dezember. Nachdem dä MSO/MST unufgforderet ganzi 5 Stempfel übercho hät, und chli mitem CBO und dä Veloschlössli umegspielt hät, isches zäme mit dä Velogäng richtig Sihlcity und dänn heizue gange. 
Ich wünsche eu än schöne Fritig, und halted bitte Abstand zu dä Rosi
MSO/MST (Nr.  7)
- Hauptstatistiker (wenn er si dänn verschickt: Ich bin so än Corporate Title Hunter)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</si>
  <si>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Salü, 
Well hüt hocherfreulicherwiis alli am DF gsi sind wo Rang und Name händ (und dä JWU), und das scho zum zweite Mal innert chürzischter Ziit, fass ich mich eher churz. Oder au nöd.
Dä MSO/MST isch chli spat dra gsi hüt, aber dank sim flitzige Velo und äm links-liegelah vom JWU am Fuessgängerstreife Sihlcity Nord häts doch locker glanget ohni LI. Bim JWU isch mer sich nöd so sicher, aber well niemert uf d’Uhr gluegt hät simmer hüt mal kulant. Erneut hät mer sich a 2 separate Tisch müesse niederlah, und bevor d’GV iberuefe worde isch hät mer sich einersiits drüber beklagt wie chalt dass es isch, und anderersiits hät dä JWU verzwieflet nach Brügler gsuecht um mit ihm, äm Jinderletscht und äm Meier hüt abig go Gyros und Pommes chlöpfe inere griechische Chnelle. Antwort vom Plenum: njet. Dänn hät dä YMI s’Wort ergriffe und mer hät sich uf die folgende Sache g’einiget: 
• Mer trifft sich nächscht Samschtig am früehne Namittag in Affzgi am Albis zäme mitem Jela und äm Shpitim im Coop und gaht go poschte. Designierti Fahrer bis jetzt: YMI und CBO
• Mir versueched alli, nöd euses ganze Büdget uszgeh dämit mer dänn nächscht Jahr gnueg händ für die richtig Kalenderjahresendchlöpfete. Wer also na än billige Schnjaps hät, bitte mitneh. Und dä JWU isch für d’Würfel verantwortlich
• Dä MSO/MST nimmt sin Nintendo 64 mit, und er isch gspannt ob alli nur wie immer am blöffe sind oder ob d’Teilnehmer vo CBO bis JWU kläglich in Senkel gstellt wird vom DF-König im Mario Kart
• Alli nehmed d’Badhose mit, mer gönd in See und warted denn im Garte bis dä Boiler und s’warme Wasser bereit isch. Wer am meischte Gaggi usem See fischt hät gunne
• D’Erika wird als eventuelle Überraschigsgascht ghandlet, und gwüssi Mitglieder sind scho chli am Geifere für es allfälligs Striptease
• Dä CBO bestaht druf dass er es Spieli chan vorbereite, wo mer alli dä JWU piesakt
Dänn isch d’GV beendet worde, und dä grossi Reformator YMI hät sich nanig getraut, sini strukturelle Veränderige offiziell azspreche. Leider isch au nöd offiziell besproche worde, ob mer bim nä Todesfall im DF na muess wiiterzahle (Stand jetzt: ja). Wie erwartet händ sich die zu erwartende Grüppli bildet, und nachdem die Herre PKN, JWU und CBO sich ihrem «extrem interessante» virtuelle Premier League Spiel gwidmet händ, hät dä JWU ä chlini Hasstirade über Kunschtgschichtstudentä/innä lostrette, und dä CBO hät vo sinere Neuschte Gschäftsidee brichtet (autonom fahrendi Bluemetöpf wo sich immer id Sunne oder zu dä Erika beweged). Mer hät über äm Gurkenmann Nikci sini Blöfferreis gschwärmt, und dä JWU hät dä CBO nach äm Erinnere vom Name vo sinere Flamme druf ufmerksam gmacht, dass er über Silveschter än Trip uf France plant, inklusive Bergfahrt uf dä Mont Blanche, und villicht sogar mit mä chline Spaziergang ufem Gipfel. 
Apropos Gipfel, am Schluss isches dänn chnüppeldick cho für dä SJU, wo sich ennerviert hät über d’Odensgnüsser CBO und JWU, und beidi Siite händ sich dä Begriff «Opfer» zu Nutze gmacht, um die andere chli z’necke. Dä grossi Odensstriit vo 2020 isch dänn aber wie immer heisser g’chocht als g’esse worde, und was sich neckt liebt sich ja bekanntlich, drum säg ich scho mal ä grossi Orgie in Immesee vorus, wo meh als nume Schueh «versteckt» werded. 
Bis bald, und wie immer danke an grossartige Iladigsverschicker SJU für sini witzige Biträg
MSO/MST (Nr.  7)
- Hauptstatistiker (wenn er si dänn verschickt: Vorfreud für Brüglete und JWU piesake: riesig)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</si>
  <si>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Dä Hiob höchschtpersönlich isch während äm Verfasse vo dere Zämefassig grad mit ere Botschaft cho, dass es dä JWU villicht gchlöpft hät. Mir hoffed er chan sich na churz teschte lah, dass er sich nöd agsteckt hät, und suscht heisst quarantinisiere. Alles Wiitere wird im DF Chat besproche. Immerhin hät er die schön «Kunst» chönne bewundere, und egal was jetzt usechunnt isches das sicher meh als Wert gsi. A dere Stell na es kollektivs Dankeschön an CBO, wo eus mit sim Kunstvideo allne dä Tag versüesst hät. 
Aber jetzt zu wichtigere Theme. Dä SJU isch hüt mit Bart uftaucht, und dä Ablick zäme mit sim plötzliche Erschiine am Velostand Safran hät dä MSO/MST grad chli verschreckt. Es hät sich dänn än Trend usekristallisiert, well dä gueti PKN hät sich ebefalls mit meh oder weniger vollem Gsichtsgwand zeigt. Dä YMI isch mit dä Frau YMI uftaucht, und dä CBO hät sini Aweseheitssträhne leider müese unterbreche. Am Afang händ sich YMI und SJU chli über ihre Webcamfetisch vom Üetzgiberg ergosse, was unter PKN und MSO/MST zu fragende Blick und Chopschüttle gfüehrt hät. Aber was au immer dis Boot floate laht, jedem das Seine. Miueers und SJU händ dänn na chli blöfft wie schön dass es det obe isch, es isch s’erschtmal i dä DF Historie dä Begriff «herzig» gfalle, aber es heg anschinend na vill Lüüt ufem Hügel, also bitte mit Vorsicht gnüsse. Sexwieswill, dänn isch zum Glück (oder Unglück, jeh nach Resultat vo dä neuschte Entwicklige) dä JWU cho, wo knapp am nä wiitere LI verbigrasslet isch. Nach äm Entledige vo sinere Jagge hät er äs Shirt vorzeige chönne, wo sich i dä 80er Jahr nur die gröschte Blöffsäck hetted chönne leischte, aber immerhin häts famos zu sim Haarschnitt passt. Dä JWU selber häts als «street style» bezeichnet, aber mer fragt sich welli Strass er da würklich meint. 
Während mer gfühlti 30 Minute uf die ville Donner, Boxe und Pideschiff gwartet hät, isch nume Gugus verzellt worde. Dä SJU hät biichtet dass er sich als kompetente Lügifux vo sinere Arbet druckt hät, dämit er sis DF-Quiz hät chönne perfektioniere, und dä PKN hät äm MSO/MST vorgschwärmt wie s’bstellte Mineralwasser ohni Cholesüüri glieferet wird: Mer nimmt eis mit Bübbles und schüttlets härt. Suscht händ sich grad zwei Mitglieder als blindi Hüehner g’outet. Zerscht hät dä SJU mit Entsetze feschtgstellt, dass dä MSO/MST sit äm Jänner wieder am Onkel Odin verfalle isch, und mir gratuliered ihm zu sine knapp 11 Monet voller glückseeliger Verdrängig. Dänn hät dä JWU usegfunde dass dä MSO/MST sich amigs Notize macht, dass die DF-Zämefassige wiiterhin dem grossartige Standard entspreched. Wahnsinn was mer alles so nöd gseht, oder gseh will.
Nachdem dänn endlich dä Donner cho isch, hät sich s’Gspräch natürlich wieder dä mit Spannig erwartete Chlöpfete Light in Immesee gwidmet. Mer hät sich über dä Treffpunkt vo morn in Affzgi luschtig gmacht, gwerweisst was mer dänn so für Esse pöschtelet, wer dumm gnueg si wird um es Wichtelgschenk mitzneh, und dass dä SJU am CBO sini Fahrschicht übernimmt. Nach ere heldehafte Spendeaktion vom Ehepaar YMI vom nä edle Tequila für morn, wo leider dä Spendehöchstbetrag vo 25CHF nöd übertrifft (Vali Ladner die Ratte), folgt jetzt na dä Ufruef vom Vizepräsident, zum nüme bruchte Fusel mitzneh für Meier/Müller, Hugo und andere Schabernack. Es isch ä Exekutiventscheidig zwüsched Präsi, Vizepräsi und Financier gfällt worde, dass letzterer alles zahlt und mir ihm das Geld dänn überwiesed und us dä DF-Stats abziehnd. Dä SJU hät ä churzi Trainingseinheit übercho wie mer Poker spielt, und dä JWU und PKN händ sich über ihri Schachkompetenz usglah nachdem si ä neui Netflixserie über Schach gluegt händ. Die üblichi Blöfferei, nüt Neus. Aber dä freudig Eierchueche isch dänn ganz schnell weggstellt worde wo dä PKN dä JWU dumm aghaue hät wege sim Data Science Studium, und mer hät sich amüsiert über dä offeni Schlagabtusch. 
Mir sind alli gspannt wies wiitergaht mit äm morgige Plan, und ich wünsche eu än schöne Fritig abig bim nä Bière oder zwei.
MSO/MST (Nr.  7)
- Hauptstatistiker (wenn er si dänn verschickt: Die Schwache Kunstliebhaber chlöpfts)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</si>
  <si>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tätschts mer jetzt dänn dä Nuggi use, chan das si dass mer innerhalb von 2 Täg in Gnuss vo 2 so vorzügliche Zämefassige chunnt? Allerdings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</si>
  <si>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Ruhig isches gsi uf dä Kloppstockwiese, bis sich 5 Brügler gnächeret händ und s’erscht Mal sitem denkwürdige Lockdown im Früehlig wieder än Donner im Freie gönnt händ. Bis sich zwei Polizischte um dä Egge gschliche händ, aber dä beängschtigend Ablick vo 4 Brügler und äm JWU hät si dänn dävo abghalte, irgend ä Kontrolle durezfüehre.
Aber vo Afang a. Dä MSO/MST isch pünktlich am 12:11 vorem Safran acho, woner fründlich vom SJU und eher unaständig vom CBO begrüesst worde isch, wo behauptet hät Chernmitglieder treffed sich ab jetzt am 12:10. Da er aber zwar Gründigs- aber (zumindescht bis zur neue Regelig) ganz sicher keis Chernmitglied isch, hät dä MSO/MST die ungebildet Ussag links liege glah. Dä PKN isch scho im Lokal gstande, und dä hättem dä Kebab-sous-Chef grad mal än härte Stei an Chopf grüehrt mit dä Ussag, dass sini bstellti Donnerbox langwiilig seg. Dä CBO häts natürlich nöd chönne lah, au na es wiiters Mitglied vom DF dumm azhaue, und hättem PKN gseit, das widerspieglet au sin Charakter. Nachher isches zum Glück wieder chli gesitteter zue und her gange, und nachdem dä ehrewerti SJU äm JWU (wo sich endlich wieder än LI hät chönne sichere) än Dürüm mit vill scharf bracht und dä MSO/MST sini Monsterdonnerbox abgholt hät, isches dänn zur erwähnte Wiese gange. 
Im nä klassische Pentagram isch mer umenandgstande, und hät sich grad zerscht mal über die neue Massnahme vom Herr Bersérker unterhalte. Nach dä Gschicht vom PKN über än Maskeverweigerer und än heroisch ischritende Hilfspolizischt sind es paar interessanti Biispiel zwüsched SJU und CBO (wo hüt eher konfrontativ igstellt gsi isch) hi und hergfloge, wie schlimm das jetzt seg kei Maske azha und wie nervig so Hilfspolizischte seged. Es isch kein Verlüürer uszmache gsi, insbesondere well die exemplarische Verglich doch schwer mit dä Gschicht vom PKN zämehanged. Apropos Verlüürer, dä JWU isch wieder uf freiem Fuess, und obwohl er gross blöfft hät dass er mitem Nikci will go Bergstiege händ sich die zwei Hasefüess nur uf dä Foxtrail is schöne Aargau traut. Und dä CBO hät na brichtet dass d’Nadine ä Trendsetterin seg, wänns um s’Bestimme vo Coronasymptom gaht, well sie dä Gschmacksverluscht erfunde hät. 
Dä Rescht vo dä Ziit isch dämit verbrate worde, über die 3 verbrochene Donnerboxgable z’lamentiere, und Möglichkeite zum Umgah vo dä Massnahme für dä jährlichi Obersaxetrip usfindig zmache. Es sind die folgende Argument / Ideä präsentiert worde:
• Dä Jinderletscht hät angeblich behaupted, es handlet sich nöd um än Event, und d’Massnahme gelted somit au nöd. Eher ä Idee zum belächle, aber mer chan au nöd meh erwarte vo somene Giizgnäpper
• Dä CBO hät vortreit, dass sich alli Beteilitgte eifach es paar Täg nach dä Reis nöd under d’SF bi dä Lüüt sölled gselle, was sicherlich guet möglich wär, ussert für dä PKN wo ja gern is Büro gaht
• Dä SJU hät verluute lah, dass die Kontrolle eh nöd chönd stattfinde, well sich d’Bulle entweder nöd uf d’Pischte traued, oder mer si eifach nöd id Wohnig laht, well si einersiits keis Recht händ (dä JWU hät gseit si holled sich sicher eifach än Durchsuechigsbefehl für alli schwiizer Hüüser), oder well mer dänn chan säge dass mer meh als 2 Huushält währed wänns inecho würded. Dä Vorschlag schiint mer na am logischtä
• Dä CBO hät dänn nadopplet und gseit, das seg ja dä einzig Grund vo Obersaxe, dass mer d’Bulle zu sich lockt und si dänn chan verchlopfe. Uf d’Nafrag vom MSO/MST, wie si dänn usefinded dass mer gäge s’Gsetz verstosst, hät er gseit: Twitter
• Mer hät sich dänn g’einigt dass mer eifach afang, Untermietverträg unterenand uszstelle, dänn isch mer ja nur 1 Huushalt
Ufgrund vo dem Iwand hät mer na es paar Minute dämit verbracht, z’phantasiere wies wär wänn die ganzi Schwiiz das würdi mache, natürlich ohni d’Frösch vo dä Romandie wo sich irgendwie vo dä Trottel zu dä Muschterknabe gmauseret händ, eifach wells vorher so am «umehuere» (Zitat CBO) gsi sind. Und natürlich hät mer sich über d’Frösch in Frankriich luschtig gmacht, wo am Silverster am 8ti müend dihei si, suscht tätschts. Nöd dass das die proteschtfreudige Franke würde abschrecke, wahrschinlich eher s’Gägeteil. Mer hät sich dänn uf dä Weg gmacht, und somit nimmt än wiitere erfolgriche DF sis End. Alles in allem isches aber kein Guete Tag für d’Frösch.
Als Abschluss vo dere Nachricht na es paar organisatorischi Fiinheite. Dä SJU züglet nächscht Wuche, und er muess na luege ober sich chan useschliche um am letschte offizielle DF vom Kalenderjahr (aber nöd vom Fiskaljahr) chan teilneh. Jawohl liebi Leser, ihr händ richtig ghört. Da nachem 18. Decembrè die nächschte 2 Fritig uf dä 25.12 und 01.01 gheied (beides offizielli Fiirtig), gseht mer sich entweder nächscht Wuche, am nä halblegale Boxingday, oder suscht am 8. Jänner 2021 wieder. Dene wo sich nüme getraued wünsch ich somit schöni Feschttäg und äs guets Neus. Und na än spezielle Dank an YMI und PKN fürs Uffinde und Überbringe vom edle Pulli an MSO/MST, woner in Immesee irgendwie verlore hät. 
Gueti Chance
MSO/MST (Nr.  7)
- Hauptstatistiker (wenn er si dänn verschickt: Ich freu mi scho uf die vom Herr Bäumle akündeti dritti Welle)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</si>
  <si>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packt doch dä MSO/MST sin Laptop namal us dä Schublade, extra zum die letscht und bescht DF Zämefassig (und au na d’Statistik als Randbemerkig) vom Kalender-, aber villicht nöd vom DF-Fiskaljahr usezjasse. Das heisst au dass ich die Nachricht nöd mal uf choschte vo dä GSCS chan erstelle, aber es git angeblich doch na Wiehnachtswunder. Apropos Jasse, meh däzue später. 
Aber gnueg vo dä Selbstbeweihräucherig, und zmitzt is Gschehe ine. Dä MSO/MST isch hüt mal usnahmswiis als erschte in Safran inespaziert, wahrschinlich well dä PKN ane Überraschigswiehnachtsfiir im Büro verschleppt worde isch. Churz drufabe hät sich dä YMI zu ihm gsellt, und die beide Herre händ sich unterhalte über wer wänn Ferie hät, und wer sich na besser a die vergangene DF-Zämefassig chan erinnere. Es isch dä MSO/MST gsi, und wänn dä SJU sini DF-Chlopfetequiz endlich mal chli meh uf dem literarische Wunderwerk würd ufbaue, chönnt dä DF-König das Quiz villicht endlich au mal für sich entscheide. Dänn zum notorische Verspätigsfux JWU, wo hüt knapp am nä nächschte LI verbigschlideret, aber dä CBO häts däfür gchlöpft. Härt verschwitzt ischer gsi, und mer munklet er segi direkt vo Zug mitem Velo cho, und währer nöd mitem velo da, währer scho dihei. Somit isch mer komplett gsi, da dä SJU sis grosse Lebensprojekt «ich zügle 50 Meter wiiter ine besseri Wohnig» am durefüehre isch, woner natürlich härt am MSO/MST abgluegt hät. 
Dänn sind Dürum ohni Wasser cho, es isch niemert terrified gsi, und mer hät «än bon» gseit, was bittère gsi isch für dä JWU wo sich sim 2 Minute alte Odens hät müesse entledige. Es sind wie immer Stei gfloge well dä YMI dä CBO azündet hät wäge sim «Bart», und dä CBO hät natürlich grad umegeh, wies dä Mani Matter i sim Klassiker «Ä Löu, ä blöde Siech, ä Glünggi und ä Sürmel» nöd besser het chönne beschriebe. Nach churze Feedbacks was jede so macht während dä Wiehnacht sind dänn Bedenke ufcho zum Lö sinere Boxing Day Brüglete, und mer hät sich enttüscht zeigt dass dä MSO/MST kei Guetsli für alli mitgnoh hät. Fazit: es gseht schlächt us, drum gaht mer lieber id Ferie nach St. Moritz, Zermatt und Disentis. Natürlich hät mer s’Thema Obersaxe wieder agsproche, und trotz äm CBO sinere Befürchtig dass all Restaurant zue sii werded hät d’Gruppe vorgschlage mer chönni doch eifach Bière in Rucksack neh. Oder in Camelbag. Proscht.
Dä CBO hät na akündet, es wüsseschaftlichs Experiment durezfüehre, ob dä vili Chnobli i dä Schwanzschwanzsauce sini Samschtigmörge so trurig mached, oder ob au mit dä Joghurtsauce es ähnlichs Problem würd entstah, und hät dänn prompt mitem JWU wieder Friede gschlosse (vorübergehend zumindescht), und si händ sich endlich mal wieder ohni ihri Awält (dä Claude W. als Awalt vom CBO atmet uf) chönne verständige. Und am Schluss hät wieder dä CBO, wo hüt doch einigi Male erwähnt wird i dem Text (und zur Überraschig mal nöd exklusiv mit negativer Konnotation), ä klassischi und sehr amüsanti Roiberpischtolä uspackt über sin Coronaschreck nach äm Jassabig mit illuschträ Näme wie SJU und Jinderletscht, wo wahrschinlich die Züglete zunere Brüglete zwüsched SJU und CBO gmacht hetti. Insbesondere d’Usfüehrige zum Schlangestah hät es herzhafts Lache usglöst, und ich würd säge mit dere positive Gschicht gaht s’Katastrophejahr 2020 für dä DF z’End. 
Ich bedanke mich für die guet Ziit, all die schöne Rückmeldige, und wünsche eu än guete Rutsch id Wiehnachte und merry new year. Mer gseht sich offiziell am 8. Januar wieder, hebed eu Sorg und in Acht vorem Bill Gates
MSO/MST (Nr.  7)
- Hauptstatistiker (wenn er si dänn verschickt: jede wo das liest chunnt vo mir än Kuss uf dä Buuch über wänns wieder erlaubt isch)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</si>
  <si>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Ja ist denn heut scho Weihnachten? Ganz gemäss äm legendäre Kaiser Franz gits hüt än Tripper als Geschänk. Zerscht mal än ganze Chübel voll Schnee, d’DF Zämefassig vo letschter Wuche, und dänn na eini vo dä hütige Ereignis, wahrschinlich ohni PKN wo sich nöd usem Huus getraut ohni Trambetrieb. Die Gchlöpfte schwächts wie immer. 
Letscht Wuchä isch nöd ganz so vill passiert, da die meischte Mitglieder ihrere Liebi zu Schnee und Bière in Obersaxe nagange sind, und ich freu mi scho uf erschti Erfahrigsbricht. Somit sind nur dä JWU und dä MSO/MST übrig bliebe, und obwohl dä JWU ganz ängschtlich 3 Mal gfragt hät ob dä DF au stattfindet, well er wieder mal als Einzige kei Iladig übercho hät, ischer doch Maa gnueg gsi um im Safran ufztauche. Nöd nur das, er isch sogar pünktlich gsi. Wo dä MSO/MST dänn azottlet isch hät er sich grad mal anere Menschemängi vo Teens vorem Igang verbiidruckt, wo ihn nur mit verächtliche und beidruckte Blick gwürdiget händ. Dä JWU hät ihn dänn informiert dass die ganzi Bandi zägg usem Lade donneret worde isch, und dä MSO/MST sich wie än Hinderrückslivogel a ihne verbiidrengt hät. Sexwieswill, die beide Herre händ vom Glätzi än Donner ohni Wasser übercho, und sind dänn uf d’Rugbywiese für tüüfi Gspräch und sinnlichi Augeblick. 
Ich weiss au nüme ganz was mer diskutiert hät, es isch au scho ä Wuche her. Aber es isch ganz vill blöfft worde, was mer hät chönne erwarte. Dä MSO/MST hät chli verzellt vo sine Wiehnachtsferie, wiener in St. Moritz mit dä wenige Russe wo na cho sind am poltere gsi isch, und dass er jetzt sehr erholt wieder zrugg is Homeoffice cho isch (Update: er isch scho nüme so entspannt). Dä JWU hingege hät scho ä Wuche früehner agfange «Schaffe», hät aber au es paar romantischi Täg mit dä neue DF UNO-Verträtterin Rooooseääään chönne verbringe, inklusive riskantem Schlittelvergnüege uf mä chline Hügel. Rat vom Carlos Varela: Heb dä Schlitte. 
Somit gaht die Zämefassig scho z’End, well die gmüetlichi Zweisamkeit doch eher churz und bündig ghalte worde isch, und well dä Zämefassigsschriiber nüme s’beschte Gedächtnis hät. Aber wie gseit gits hüt ja na ä zweiti Ladig, und ich hoffe dä Eint oder Ander hät gnueg Muet die paar Minute dur dä Schnee z’lauffe um än wunderbare Donner mit äm zweitbeschte Verein i dä Schwiiz (und somit dä Welt) z’gnüsse. 
Baum fällt, und tüüfachtigswert
MSO/MST (Nr.  7)
- Hauptstatistiker (wenn er si dänn verschickt: sehr spat, bin im Schnee stecke bliebe)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</si>
  <si>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D’Beschärig gaht wiiter, das heisst jede chunnt ä Schär über. Nach dä churze und knackige Zämefassig vom Morge gits jetzt s’vo villne erwartete Sequel, und ich hoffe d’Kritiker sind wie immer zfriede mit dä Vorfüehrig. 
Bevor mer afanged möcht ich äm MSO/MST zu sim 200tä Donner/Box/Pide gratuliere, woner im Rahme vom DF konsumiert hät. Wer gnueg muetig isch, i die neuschti Statistik zluege, gseht dass er zwar erscht 199 Partizipipipationspünkt hät, aber well er anno domini 2017 oder 2018 mal zwei Kebab i eim Zmittag verspiese hät um ufzzeige was er für än Blöffsack isch, isch es doch erwähnenswert. Die grossi Celebratiôn vo dä 200 Teilnahme wird dänn nächscht Wuche duregfühert. 
Jetzt wo das klärt isch chömemer doch grad zu dä Hauptsach: wie gahts eusne ehrewerte Mitglieder und äm JWU? Leider chan mer die Frag nur teilwiis beantworte, wells die folgende Persone nöd is Safran gschafft händ: 
PKN: Hät wie bereits erwähnt nöd gnueg Muet (oder zu schlechti Schueh) gha, und mer munklet er wüssi gar nüme wo mer eus amigs am Fritig treffed
JWU: Nach sim gloriose Uftritt letscht Wuche isch dä Porsche leider im Schnee stecke bliebe, und drum isch dä Herr immerna in Bonstette Post bim Usgrabe. Mir wünsched vill Erfolg
SJU: Trotz 260+ Velokilometrè ufem Weg zum DF häts dä Mr. President hüt nöd gwagt, sin Zweiräder uszpacke, oder er isch immer na dra, sis Veloschloss am ufbreche. Ich han also scho mängs Eat.ch Velobote gseh, wo äm Schnee trotz händ, und empfehle äm SJU somit äs Praktikum i sonere Institution. 
Nichtsdestotrotz isches wieder mal luschtig gsi, und fanstastischerwiis händs die beide Wanderfüx CBO und YMI gschafft. Somit händ sich dä Vizepräsident und die beide Na-Extrawürscht chli chönne im Safran ufwärme. Nach äme rege Ustusch über die jewiilige Ferie und obersäxische Erzählige isch mer richtig Rügbywiese gstapft und es isch än Leserbrief diskutiert worde, wo dä Split im Falle vo 6 Teilnehmer vorgschlage hät. Dä Leser, wo gern ungnannt bliibt, aber sin Brief mit «Crevette» signiert hät, schlaht vor dass i somnä Fall die 5 Mitglieder zäme chönd kebabä, wo nie usem DF usträtte sind. Aber gnueg vo dä Crevette und zrugg zu dä Action, wo dä CBO (wo definitiv nöd dä Leserbriefschriiber isch, imfall) sich über dä ganzi Schnee gfreut hät, und apropos, findet dass die ganz Aglegeheit Action puur isch. Insbesondere sini Aktivität «ich stah uf, lauf zum Fenster und gseh wie so elendi Hinterradatriebsautos am umerutschte sind» tönt doch absolut faszinierend. Apropos Nummere 2, dä CBO hät dänn grad na blöfft über sin 4x4 BMW, und wie froh er jetzt isch über sini absolut grechtfertigti Investition. Dä YMI hät ihm dänn vorgschlage, is Autohandelsbiziniz izstiege, aber wie immer lost dä CBO nöd uf gueti Ratschläg.  Dä YMI hät dänn na chli verzellt, wies in Immesee zue und her gaht, und dass dä Standort vo dä letschte DF Chlöpfete im Moment am Erdbode gliich gmacht wird. 
Natürlich isch s’Thema Corona wieder ufcho, mer hät sich ufs Däfür und Däwider gstritte ob jetzt dä Alain alles richtig gmacht hät, und warum das Impfchaos so catastrophalè isch. Mer hät sich nach äm Nikci erkundiget, wo zletscht i dä Dübedorfer Adventure Arena gsichtet worde isch, und s’Plenum hät sich vorgnoh, mal än gmeinsame Escape Room Event uf d’Bei zstelle. Und wie immer isch nach dä Chlopfete vor dä Chlopfete, was heisst dass Afang März die hoffentlich glamurösi Party als Rückkehr zur Normalität nachem Lockdown gfiiret werde chan. Dänn isches richtig Heimat gange, und zwar nöd über dä Schneebedeckti Hügel, well dä CBO zvill Angscht und Geld gha hät, was aber zur Entdeckig vom neuschte Trend gfüehrt hät: SCHNIFO. SCHNIFO (Schnee In, Finances out) wird aktiviert sobald d’Bedingige s’Forme vom nä Schneeball zuelönd, und es gits 5 Fränggli id DF Kasse für jede wo nöd s’Schild der Wahl nöd trifft. Hüt häts alli 3 vertätscht, obwohl dä CBO Fake News verbreitet hät well sin Ball angeblich d’Schneechrone vom Schild gstreift hät. Und natürlich händ sich die 3 Parteie bim Abschied na ä chlini Schneeballschlacht ohni klare Gwünner glieferet, voller Hass und Verbitterig, womit s’Weekend scho fascht iglüütet isch. 
Hebed eu Sorg, und bis nächscht Wuche
MSO/MST (Nr.  7)
- Hauptstatistiker (wenn er si dänn verschickt: sehr früeh, nöd mal dä Schnee chan mich ufhalte)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</si>
  <si>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Eigentlich bruchts hüt kei Zämefassig, mir sind ja alli däbi gsi am DF. Aber dur die bestehende Ischränkige vo eusem Läbe #mybodymychoice hämmer eus müese i Grüppli ufteile, und somit gits sicherlich ä gwüssi Diskrepanz im Wüsse über was hüt so alles diskutiert worde isch. Aber fangemer am Afang a. 
Am 12:09:51 isch dä MSO/MST fröhlich richtig Waffeplatz glauffe zu sim zweihundertschtä (!!!!!!!!!!!) DF, und hät dä Örli Bird PKN vorem Safran vorgfunde. Nach eme churze Ustuscht über Regelbrüch vo dä Homeofficepflicht sind Kollege CBO und SJU anestorziert, und mer hät sich is Lokal gwagt. Und zur Überraschig vo allne Beteiligte sind doch tatsächlich au na die letschte zwei DF Mitglieder acho, und dä CBO hät namal dä Leserbrief vo dä Crevette agsproche, aber wie scho erwähnt hät mer sich dänn nöd a dä Input ghalte. Usserdem hät dä Schoggi es Bättul gliefert mitem CBO und SJU ob er jetzt meh usgeht wie dä Eco Fresh oder än Clown, und wie sinnvoll s’isch mit Wasserfarbe go Sachä tägge. Nach dä Bstellig und ungwöhnlich schnelle Lieferig vo 4 Dürüums und 2 Boxä hät mer sich wieder mal nebed dä Rügbywiese wiedergfunde, und Präsident und Vizepräsident händ sich handkehrum vo ihrne weniger illustre Vereinsmitglieder abgwendet. 
Nebed mä churze Update zu dä neue Edelwohnig vom SJU, woner jetzt dank dä Homeofficepflicht endlich chan voll gnüsse (trotz grossem Widerstand vo dä ZKB Luuserbank, siehe Artikel im OutsideBürkliplatz) und äm erschte präsidiale Ustusch im Kalenderjahr 2021 über Ferie im Engadin (dä SJU isch angeblich än Langlauffux) und Vereinsstrategie sind altbekannti Firmegräbe wieder uftaucht. Nach dä übliche Bemerkige über Gurke i dä GSCS hät dä SJU mit es paar Anekdote über dä ChefAlageBeamte vo dä ZKB uftrumpft wo angeblich ä wahri Legende isch. Ich will da nöd zvill verrate, aber wänn öpper dä SJU als «Rogue Trader» bezeichnet well er unrasiert und verwuschlet im Skype Call uftaucht muess er än echte Connaiseur si. Jedefalls isch dä MSO/MST wunderbar unterhalte worde, au i dä druf folgende Diskussion obs schlimmer isch wänn s’Impfameldigssystem zämegheie würd wänn sich zvill oder zwenig Lüüt amelded. Bevor mer sich zu wiit mit ungebührende Ussage über Afrika hät chönne usem Fenster lehne, hät mer luut und dütlich vom JWU chönne verneh «Ich bin immun». I wellem Kontext dä Deserteur die Wort g’üsseret hät wird mer nie wüsse, aber mer hät mitem CBO es neus Vierergrüppli bildet und zerscht mal d’Absag vom mit Hochspannig erwartete Jassduell zwüsched MSO/MST und JWU diskutiert. Mer hät au erfahre dass dä Nikci «Gurkenmann» Grass än Blöffsack und dä Ebito Ebito än Jassamateur seged. 
Usserdem isch diskutiert worde, ob dä MSO/MST oder dä JWU die sozial inakzeptablere Antworte i dä jewiilige Situatione geh händ, und ich überlah s’Verdikt dä Leser selber: 
Szenario 1: MSO/MST und CBO sind vormä EVZ Zug Match vorem Big Baba Kebab, und unterhaltet sich mit mä «Kolleg» CBO. Dä Typ seit tschau und seit (paraphrasiert) «schön gsi dich kenne zlerne», und dä MSO/MST reagiert mit mä «Nei voll nöd»
Szenario 2: Dä JWU isch hart am ravä im nä Schloss irgendwo im Graubünde. Wie z’erwarte blöfft er hart ume und seit äm DJ «Ich finds scho schad dass ich dä einzig bin wo Pille chlöpft», im volle Wüsse dass sich dä Herr natürlich massiv brüskiert zeigt, und däJWU somit nöd nur dä DJ aber au die ganzi Pilleszene beleidigt. 
Bevor mer die Monsterzämefassig beended, na än Kommentar zum letschte Päärli vo hüt. PKN und YMI händ sich natürlich vorbildlich sozial distanziert, und sind somit meischt usser Hörwiiti vom Zämefassigserfasser gsi. Allerdings sind doch es paar Wortfätze überegfloge, und ich bin froh eu mitzteile dass sich die beide sehr liideschaftlich gschlageni 30 Minute über Huuspflanze und dä Ifluss uf dä persönlich Bièrekonsum unterhalte händ. Bim Zrugglaufe isch dänn au na usecho, dass die beide zäme mitem SJU dä Üetliberg abegfahre sind, nöd öppe mitem Mountainbike, sondern mitem Schneebrett. Ich wünsche usserdem äm YMI gueti Ferie und äm JWU es wunderschöns 30jährigs Jubiläum i dä Schlenzerheid. 
MSO/MST (Nr.  7)
- Hauptstatistiker (wenn er si dänn verschickt: ich freu mi so uf s’grosse Squashduell mitem JWU im Jahr 2023)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</si>
  <si>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Grüezi
So vill scho mal vorweg: s'höche Niveau vom MSOMST sine Zämefassige wirde nöd chöne bhalte. Drum konzentrier ich mich uf mini Kernkompetenze. Churzi, aber defür unlustigi Text.
Bin scho am Dunnstigmorge s'erste Mal enttüscht worde, wo de MSOMST mit de Hiobsbotschaft cho isch, dass er entgege sine (und mine) Erwartige und sim ursprüngliche Anäh vo de Iladig doch hät müesse absäge, well er "ganz vergässe hät, dass er gar nöd in Züri isch das Weekend". Jänu sölls gits. Wünsche eusem Weltebumm(s)ler vill Spass, wo au immer er gad e (Fascht-)Lettin verrumed. Zuvor hät scho de YMI ufgrund vo sim Skiurlaub (ich säge etz "Urlaub" und nüme "Ferie", well de dütschi Ifluss und Druck bi mir dehei scho so gross worde isch) müesse absäge, wo er mit sim Väde vo eim Skiresort is nögschte ziet und so sini Virusmutatione YMI-1.0 und YMI-1.1 entsprechend spreade chan. Herzlichi Gratulation a dere Stell! Au de JWU hät eimal meh mit sinere Paradedisziplin – em Fernbliibe – uftrumpft. Dasmal mitere aständige Begründig: Brügler-Skiferie mit de Wülimahs, incl. Claude und Claudine. De spontansti Absager und deshalb auf Versager vo dere Fiskalwuche isch de CBO gsi, wo am SJU no e halb Stund vor em DF sini Teilnahm confirmed hät nur zum churz druf abe als Vorwand en "business emergency" is Feld zfüere. "Be there or be square". Er hät Letzteres gwählt. 
Woni denn am 12.11 bi strömendem Rege immerno elei vorem Edelgwürz Safran mit 13jährige Gymeler umeghängt bin und Niele graucht han, bini langsam unsicher worde öb de PKN us Rücksicht vor de Jasi und ihrne bevorstehende Latteprüefige au no en Rückzieher macht. dMueter isch inzwüsche scho usezlaufe cho und hät mich gfröged öb ich hüt elei bin. Meh als es Schulterzucke hani nöd herebracht und sie hät mi aglueged als wäri en Hund wo mer gad im strömende Rege usgsetzt hät. Aber denn isch zum Glück doch no de PKN uftaucht, mit Schirm, Charm aber ohni Melone. Mer hät sich denn imene Huusigang bi anhaltend herrvorragendem Wetter über Awaltsprüefige, hellhörigi Hüüser und unnötigi Bettsofas ustuuscht. De Konsens nach eusem 30minütige Gspröch isch gsi: Fraue chönd mägnisch astrengend si (zumindest isch das mini Quintessenz gsi). Ah ja bim Ahlehne ad Huswand bini denn usversehe no a dHuslüüti cho und verschiedensti Mieter händ am Surre vo de Tüüre zverneh versuecht, eus ufzmache. Das isch no glatt gsi.
Ich wünsche etz am PKN es fantastischs und de andere es passabels Wuchenend und freu mi uf die nögscht Edition vom Corona-DF.
Mögi Gott eu bhüete.
LG
Säschi
</t>
  </si>
  <si>
    <t xml:space="preserve">Alléz Hopp, los gahts
Da chunnt dä MSO/MST wie jedi Wuche (Anm. der Redaktion: ussert er chunnt nöd) mit sim Rennvelo inklusive Platte am Hinterrad düsend im Safran a, und was gsehnd da sini nöd glaserete Auge? Dä JWU, wo sich wieder eimal selber übertroffe hät mit sinere Kleidigswahl: Er treit es Jäggli wo es paar Minute später vom SJU als «passend für dä Clown vom Zirkus Conelli» beschriebe wird, und glücklicherwiis zum Teil dur d’Füechtigkeitsbildig im MSO/MST sinere Brille verdeckt wird. Nebed ihm staht dä PKN, wo sich endlich wieder uf Strass hät därfe wage nach es paar Wuche Usgangssperri. Es wird über Servette diskutiert, und wie vill mal dä MSO/MST i sinere lange und erfolgriche Fuessballkarriere scho vom Platz gfloge isch wäge Notbremse und andere üble Grätsche. Und siehe da, nach äm Masseexodus und Rege vo letschter Wuche schiint dSunne hüt au wieder für dä DF (und a dä Langstrass), well doch tatsächlich die andere 3 Muskeltier au na uftauched. Da hämmer dä YMI, wo sich trotz sine Virusverteiligsversüech wieder us dä Berge zruggtraut hät. Dänn dä eifrig Leserbriefschriiber CBO, wo sich trotz erneuter «business emergency» die Wuche mal uf die wichtige Sache im Lebe konzentriert. Und natürlich dä SJU, wo mit mä moderate aber villversprechende Schauz uftaucht. 
Während alli über 10 Minute gwartet händ, sind die übliche Grüppli bildet worde, und nachdem dass mehr usegfunde händ dass alli Awesende kei bis wenig ahnig händ vo dä NHL, isch ufcho dass d’Roseääään dä Schwiizer Tourismus gar nöd so fescht unterstützt wie si chönnt, und nur sporadisch zum Schoggi uf Bonstette ohni Bahnhof (oder Flugplatz) flügt. Dänn isch mer wie üblich i dere verrückte Ziit mit Chind und Chegel zu dä Rügbywiese trottlet. Bsunders dä MSO/MST, wo wie än Trottel sis Velo vorem Safran vergesse hät, und dänn namal hät müese hindereschliche zums hole. Aber ja, dä Alain häts gfreut dass mer eus wieder chli ufteilt händ, und wies dä Zuefall so will isch dä MSO/MST am SJU zueteilt worde. Zuefall isch Abfall, was au für dä Gsprächsinhalt vo hüt zuetrifft, aber bitte beurteiled sie als treui Leser d’Situation selber. Mir vo dä DF-Kommunikationsabteilig sind extrem STORZ uf eusi objektiv Brichtserstattig (siehe Fact Check bi dä Ussage), und nehmed jede Leserbrief (sogar vom CBO) erntscht, ussert er passt eus nöd is Weltbild, dänn ignorieremer än (mer chönnt ä dunkli Vorahnig ha dass das na ä Rolle i dä Diskussion wird spiele). Die zwei Gigante händ sich quer dur sWeltgschehe gredet, und die folgende Ziile beschriebed dä Weg vo A bis Ohhh. 
• Agfange häts mitere Behauptig, dass Augelasere negative Langziitfolge hät, und mer hät gmuetmasset dass die Fake News usere Studie vo Fielmann und Visilab chömmed. Fact check: Plausibel
• Es isch usecho dass Banke bi dä Bonuszahlig än entscheidende Vorteil händ, well si dä Bonus au nachem Uszahle wieder vom Konto abzieh chönd. Zitat SJU: Nüt isch sicher im Lebe. Fact check: Vo 2 Bänker nöd bestritte, isch also korrekt
• ESG (Es Schneit Gülle) isch dä neuschti Trend für Alagevehikel, wo vo dä Bad Banks jetzt zünftig an Ma/Frau bracht wird. Die ganz Sach isch än riese Schwindel, well zum Bispiel Waffe sehr guet sind um dä zuekünftig Klimawandel izdämme (weniger Lüüt und so), aber angeblich glich nöd i nachhaltigi Portfolios ineghört. Fact check: ESG isch än Chabis
• Dä Jinderletscht als euse asiatisch Ambassador hät dä SJU uf äs neus Spiel ufmerksam gmacht, wo Open Face Chinese Poker heisst. Dä SJU hät churz d’Regle erklärt und als «Rogue Trader» die ganz Sach super verchauft. Usserdem heg sini Spielpartnerin nume Glück. Fact check: Wird hüt na usprobiert, und wänn mer äm «Glück in der Liebe, Pech im Spiel » Spruch will folge hät dä SJU doch nöd alles falsch gmacht i sim Lebe
• Netflix isch kei gueti Alternative meh, um sich vo sim eigene Alkoholkonsum abzlenke inere Ziit wo mer suscht nüme vill chan mache. Fact check: Nachem SJU sinere bald 1-monatige Abstinenz isch das Statement wahrschinlich falsch, aber who’s know, Netflix isch au nüme das wos mal gsi isch
• Amerika isch än Chübel voll Idiote uf beide Siite (und villicht au i dä Mitti). D’Medielandschaft wird dominiert dur Big Tech und äm Tüüfel uf dä jewiilig andere Siite, und d’Medie mached nie Fact checks. Fact check: Stimmt, well ichs so gseh
• D’NZZ isch än Altherreverein, wo ab und zue doch na öppis interessants schribt, wie zum Bispiil über Bookshelf psychology. Fact check: dä SJU hät mer das vorher gseit. Ich han alli mini Büecher arme Chinder in Schliere gspendet, und bin somit besser als alli andere
• Nach dem romantische Gspräch gits nächscht Wuche es Dinèr zwüsched dä zwei DF-Vereinsfüehrer (pssst, nöd äm Alain säge) und ihrem Ahang. Ohhh.
Währenddesse  händ sich die andere Teilnehmer (au «the small 4» gnennt) über dä Sinn vo Chreis und dä Quadratur vom Lebe unterhalte. Das mag für mindeschtens 1 vo eusne Leser vo minimer Bedütig si, aber wer scho mal versuecht hät usezfinde wärum än Chreis än Chreis isch, und wie mer ä Stadt i Chreis ufteile chan obwohl dämit nöd die ganz Flächi abdeckt werde chan (siehe Abbildung 1) wird eines Besseren belehrt (Zitat Yilmaz Z: Angscht und Geld und Chreis hani kei). Ich wünsche es schöns Finale zu eurere Wuche, und mer gseht sich immer zweimal im Lebe. Oder meh. Oder weniger. 
Abbildung 1: Unsinn mit Kreisen – wie die Verkreisung einer Stadt die Inclusion ihrer Bürger verhindert
MSO/MST (Nr.  7)
- Hauptstatistiker (wenn er si dänn verschickt: Unter Blinden (SJU) ist der Einäugige König)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</si>
  <si>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herzlich willkomme a alli Hobbyfinanzschwindler und –aleger, 
Hüt gits mal extra ä schlechti Zämefassig um d’Erwartige wieder chli abezbringe. Obwohl, gemäss äm CBO isch scho die letschtwüchig Ballade vom MSO/MST miserablè gsi, trotz sim direkte Feedback vo «Hahahaha du bisch dä bescht. :D»
Aber gnueg vo dene Fake News und zrugg zum Gschehe vo hüt. Alli simmer da gsi, ussert dä YMI wo sich angeblich immer wieder mal i dä Berge versteckt um dä Vireschleudere JWU z’entcho. Dä hät hüt zur Abwechslig mal es Kompliment für sini Kleiderwahl übercho, und hät dänn mitem CBO agfange über än gwüsse Jakob Josef und sini Untate z’rede, aber dadäzue später meh. Alli händ sich ä gueti Spiis usgwählt, ussert dä SJU wo sich für dä usserordentlich delikati Falafelkebab entschiede hät, und er häts au überhaupt nöd bereut. Mer hät sich im windgschützte Unterstand nebed dä Wiese niederlah, und dä JWU hät sich übers Balzverhalte vo Lucky und Balz usglah. 
Nach eme churze reminisziere über ä wunderbari Usenandersetzig vom Dober und äm MSO/MST im Schwiizer Däge, wo dä JWU selber azettlet und sich dänn gekonnt zrugglehnt hät, isch s’Karma höchschtpersönlich verbicho und er hät sich Cocktailsauce uf sini Schueh tropfe lah. Höchscht erzürnt hät er sich dänn wenigschtens i sini Fantasiewelt chönne zruggzieh, und eus vo dä definitiv nöd existierende Netflixserie «El dragon» brichtet, aber d’Zwiefel ob dä JWU nöd eifach än Fiebertraum gha hät mit Narcotrafficantes und japanische Aktiemärkt sind durchus berechtigt. 
Dänn isch d’Stund vom JJ cho, und die Igweihte händ es paar Minute vo dä grossartige Erlebnis vom Jakob verzellt. Wer unbedingt sini Vorsorg nüme brucht oder im Gfängnis will verbrüglet werde («dä flügt weg»), isch bi ihm a dä richtige Stell. Dä CBO hät dänn na offizielli Ufzgi ufgeh, und wer bis nächscht Wuche dä Biitrag vom Josef nöd gseh hät wird öffentlich mit Gurke und allne Tomate beworfe. Als Abschluss isch na än Tipp vom Nikci «Gurkenmann» Grass inegschneit, dass mer sich im Chrüzzug vo dä amerikanische Anti-Hedgefundtraders uf Canabisaktie söll konzentriere. Dä Tipp chunnt allerdings wie immer es paar Tag zspat. Oder sogar meh als es Jahr zspat, well wänn mer damals uf dä PKN glosst hett und statt Tesla z’shorte (oder au nöd, jeh nach Luscht und Luune vom YMI) die Alag au i euses Portfolio gworfe hetted währed mer jetzt stone-rich. Allerdings munklet mer dass dä YMI scho damals gwüsst hät dass Tesla so abgah wird, und euses im Nachhinein törichte Investment drum mit dä Usred «ich muess na än Test mache zum Alege» ganz fuxig verhinderet hät. Wänn dä YMI plötzlich mit mä Helicopoter zum DF chunnt wüssemer dass er mit dem angebliche Siitegschäft ä goldigs Nääsli verdient hät. Apropos Chrüzzüg, dä Robin Hood verklagt angeblich d’Tradingplattform Robinhood wäge fehlgleitete Wertvorstellige. So jetzt hani immerhin na eis Apropos inegwürgt. 
Schöni zwei Ruhetäg
MSO/MST (Nr.  7)
- Hauptstatistiker (wenn er si dänn verschickt: «Ich han chalt» (PKN,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</si>
  <si>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 alli Plagöris da usse
Willkomme zum neuschte DF Salat wo dä ehrewerti MSO/MST hüt serviert. Ich hoffe dass die folgende Wort wie immer ä Ufmunterig i dere schwere Ziit isch, insbesondere a eusi Quaran-teens YMI und PKN, und natürlich au a eusen Presidente «Rogue Trader» SJU, wo ebefalls nöd hät chönne unter eus si. 
Dä Tag hät scho mal guet agfange wo dä MSO/MST mitem Velo ufs Safran zuegstüüret isch, und dä JWU mit lange aber däfür gschleckte Haar vorgfunde hät. Ganz unschuldig hät mer sich mit chli Bänter über dä Jassabig am Mittwoch d’Ziit vertriebe, wo dä SJU und dä MSO/MST dä beduurenswerti Nikci und dä blöffendi JWU 3 Mal abtröchnet händ. Insbesondere fürezhebe isch dä folgendi und gschobeni Jass, wo dä Gurkenmann än klassische «Schellinski» agseit und dänn kei Schelle ageh hät, und dänn usecho isch dass er eigentlich Schilte gmeint hät (trotz Nachfrag vom SJU ob jetzt Schelle isch). Oder äm JWU sini Asag, wänn während äm Jass über dä Jass gschwätzt wird zellts als Match für dä Gegner, und die folgende 3 Stund woner konstant während äm Jass über dä Jass gschwaftlet hät. Die beide Sieger händ sich aber nöd ablenke lah über die unprofessionelle Manipulationsversüech. 
Apropos Jasse, es sind alli scho extrem gspannt uf dä Zweiercoiffeur vom JWU und MSO/MST i zwei Wuche. Apropos Coiffeur, mer händ usegfunde dass dä Jinderletscht (wo au cho isch, nöd ganz zur Freud vo allne Teilnehmer) und dä MSO/MST passionierti Redeverweigerer sind wänns bim Coiffeur hocked, und dä Jinderletscht us dem Grund sogar scho sin Schnipsler gwechslet hät. Dä CBO gseht das chli weniger eng, und nimmt falls nötig au mal am nä Gspräch mit sim Frisör teil, aber nur i dä erschte 5 Minute. Dä JWU hingege gaht anschinend nüme zum Coiffeur, zumindescht wänn mer sini Frisur aluegt. Und ich würg jetzt na es dritts Apropos ine, eifach wellis chan. Es sind Amerkige über ä chli Jasstirade ufcho gäge dä YMI und sini usbuechte Wuchenend, wo eusi Chlöpfete bis in Mai usezögered. Es isch sogar im DF Chat gmunklet worde, das Manöver seg motiviert gsi um dä bestehend DF-Modus na so lang wie möglich wiiterlaufe z’lah. Dä Rescht überlah ich eusne Verschwörigstheoretiker, well mir eus da strikt a Fakte haltet. 
Dänn häts ä chlini massregelig geh vom Massregler CBO, well dä MSO/MST sini Ufzgi nöd gmacht hät. Es isch am CBO aber versicheret worde, dass beidi Bricht über dä Jakob Joseph (RIP in peace, han gar nöd gwüsst dass er nümme unter eus am brügle isch) hüt gluegt werded. Wie dä CBO und anderi Igweihti werded merke han ich scho es paar Minute gluegt. Dä CBO und JWU händ usserdem däfür plädiert, dä Jakob als DF-Maskottchen izfüehre. Und mir bitted alli wo s’neuschte Video vom kleine Eric Wääber händ das bitte ASAP a alli wiiterzleite.  
Suscht hät mer na chli spekuliert wänn jetzt endlich Restaurant und Läde ufgönd, und alli selbsternannte Experte händs natürlich selber am Beschte gwüsst. Und abem 1. März muess mer endlich nüme so tue als seg mer 15i wänn mer uf öffentlichi Sportplätz gaht. Dä Rescht vo dä Ziit isch mit üsserscht amüsante Anekdote und bedenkliche Präzedenzfäll über Iversity und Dinclusion ufgfüllt worde, und mehr gseht scho dass dä Verfasser vo dere Zämefassig in Angscht lebt dass sin Arbetgeber sini Asichte als nöd sehr inklusziv gseht, und fürchtet dass er im Gfängnis mit schwerem Rauch gfolteret wird. Mer isch sich einig gsi dass mer eigentlich nöd söll gwüssi Gruppe bevorzuge und anderi aktiv benachteilige um angeblichi Unglichheite uszgliche, und alli sind chli müed über all die Theme z’lese (drum schribi jetzt au namal drüber). Dä einzig Punkt wo mer sich sicherlich müsst aluege isch d’Police im Arbeitsort vom Jinderletsch, wo mer sich au inklusiv muess zeige gemäss «Abilities», was nüt anders heisst dass unfähigi Läuch nöd nur agstellt werde müend, sondern mer si dänn au na muess dulde. Findi abosolut sinnvoll. Insbesondere für dä Jinderletscht, wo apropos Lauch bim Weglaufe vo dä Rügbywiese als solcher bezeichnet worde isch vom nä verbiifahrende BWM-Bsitzer. Villicht wege sinere nöd ganz Lauchgrüene Jagge, villicht well er eine isch, villicht au beides. Who’s know.
Ich wünsch eu ä gueti Quarantäne, Früehligsputz, Ferie oder suschtigi legali Aktivitäte und ich freu mi scho uf d’Zämefassig vom SJU nächscht Fritig
MSO/MST (Nr.  7)
- Hauptstatistiker (wenn er si dänn verschickt: «Ich han warm» (CBO,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</si>
  <si>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willkomme zu dä inoffiziell offizielle Kommunikation vo dä Taskforce DF.
Im Geischt vo dä Transparenz (siehe Diskussion ganz am Schluss) han ich mich entschiede, s’erschte und hoffentlich einzige Mal mini Notize für d’Verfassig vo dere Zämefassig z’publiziere. Si sind im aghänkte Wort-Dokument ufglischtet, und ich hoffe dass dadämit alli Verschwörigstheoretiker (z.B. Eric Weber) und ihri Ahänger (z.B. SJU) endgültig i ihri Löcher zruggchrüched. Usserdem hämmer dä BAG Taskforce erlaubt, allfälligi Unwahrheite usezstriche, aber well si ja selber intransparent sind nimmt das eh niemert ernscht (This claim has been disputed by the BAG Taskforce and is labelled as untrue).
So, jetzt zum Gschehe vo hüt. Wie meischtens isch dä MSO/MST mit sim rote Flitzer ziitlich knapp aber nöd zspat zum Safran anedüüst. Drin sind scho dä PKN, CBO und SJU gstande und sogar ghockt, trotz allne Vorschrifte. Während äm Warte uf Spiis und Trank sind die Herre CBO und JWU am Blöffe gsi, wie die beide Jasskönig gescht dä YMI und dä Päsche bim noble Schwiizer Chartesport vernichtet händ, insbesondere mit dä folgende Wiis: 
• SJU: 4 Buure, 4 Mal 50i, sicher 6 Mal Drüblatt
• CBO: Eigentlich weniger, ussert wänn dä Päsche öppis hät chönne wiise, aber dänn immer besser oder glichguet aber vorher
Natürlich isch dä MSO/MST igstiege und hät lamentiert wie er eigentlich nur wäge chli ganz vill Pech gäge dä JWU dä Chürzer zoge hät im Hairdresser-Jass (This claim has been disputed by the BAG Taskforce). Natürlich isch dä neui Jeep erwähnt worde, wo s’erscht Mal gsichtet worde isch. Ussag JWU: neui Autos sind langsam meh es iPad als än Wage. Ihm pflichtet die andere Gurke bii, und mer hät sich fasziniert zeigt wie mer bi gwüsse Modell dä Kofferruum mitem Fuess ufmache chan. Bi dä Bstellig isch dänn öppis schief gange, well dä MSO/MST als letschtä Akömmling sini Donnerbox z’erscht übercho hät. S’Schicksal hät sich dänn aber wieder selber z’rechtboge, wo d’Muetter d’Box uf d’Theke abegchlöpft hät und doch tatsächlich d’Gable i dä Box usegfloge und uf dä Bode donneret isch. Trotzdem hät dä CBO dänn sini Box au na übercho, und während äm Warte uf die andere beide Trödler händ sich d’Kommunikationsexperte über äm MSO/MST sini Skiferie unterhalte. Nachdem mer etabliert hät wie guet d’Mari Skifahre chan trotz nur 4 Jahr i dä Schwiiz und wie miserablè dä MSO/MST im niederä Sport vom lange Laufe isch (trotz 2 ehrehafte Versüech), hät dä CBO ä üssertscht amüsanti Gschicht vo sinere legendäre Langlauftour in Disentis zum Beschte geh, wo für ihn eher unglücklich und mit vollem Speed im nä Haag statt uf dä Pischte g’endet hät. Dä PKN hät dänn na churz agmerkt wie beidruckt er isch wie dä EVZ Zug im Moment am Pünkt sammle isch, und gemäss CBO uf Rekordkurs isch. Freude herrscht.
Bi dä Rügbiwiese isch dänn ganz gspässigs Zügs vorgfalle. Zerscht hät irgend än Prolet in grüen und offesichtlich im nä Baum afange Singä. Dänn isch ä jungi Damä bi dä üsserscht komplizierte Aktivität vom Laufe umgheit, und isch gemäss CBO über än Vogel gstolperet. Dä SJU hät die Glägeheit bim Schopf packt und äm CBO au ä Augelazersession empfohle, offesichtlich am Zwiifle ob dä jungi Herr na guet gnueg gseht (trotz sinere wüeschte Brille). Dä CBO hät konteret mit ere «Statistik» vom Data Science Institute JWU, wonach jede Vierti nachher kei Auge meh hät (This claim has been disputed by the BAG Taskforce). Insbesondere sis praktische Bispiel (wänn dä SJU, dä CBO und dä Ebi eini würded mache, dänn würds dä Vierti automatisch chlöpfe) hät alli vom Argument überzügt. Dä PKN hät dänn au na igworfe dass er ä Wett gäge dä JWU gwunne hät. Dänn isch allne dä neu Lebensstil vom SJU ufgfalle, wo sich langsam aber sicher zum nä Veganer entwicklet mit sim Fleischlose Pide, wo doch na guet usgseh hät. Er hät dänn au zuegeh dass er nie meh wird Honig esse, well gemäss CBO d’Bienli vo dä Wabe gmolke werded, und dä glichi CBO hät dänn au na eine vo dä beschte DF-Witz wos jeh häts gits vortreit, irgendöppis mit Imker und Imkerinne. Ebe geil, alli händs luschtig gfunde. 
Natürlich isch aber au s’Thema Corona namal ufcho, und zwar im Zämehang mit äm Schwiizer Terassechrieg vo 2021. Während dä MSO/MST i sine Skiferie na gmüetlich hät chönne uf halblegale Terasse im Liegestuehl hocke, sinds jetzt alli wieder zue. Die böse Terasseinspektöör sorged däfür, obwohl mer sich i dä Gruppe einig gsi isch dass mer sich vo so Tyranne eigentlich guet chönnti schütze. Am beschte hät dä Redaktion dä Vorschlag gfalle dass mer dä Prüefer zerscht mal verbrüglet und dänn mit Whisky überschüttet, well mer als Barbsitzer s’Recht hät betrunkeni Gäscht z’verdonnere (This claim has been disputed by the BAG Taskforce). Dä SJU häts dänn wieder mal müese übertriebe und gseit mer söll än au na azünde, aber mer schätzed sin Input trotzdem. Die sehr zivili Diskussion hät sich nahdisnah inä veritabli Debatte (i.e., long covid discussion) über ä allgemeini Asicht vo allne relevante Variable für und wider Lockdowns verwandlet, und bis uf dä PKN wo irgendwänn Angscht übercho hät und dävoghöselet isch händ sich d’Teilnehmer respektvoll verhalte. Ich finde das mega läss. Dänn sind alli friedlich vo Danne zoge, und mer redet jetzt bewusst ä Wuche nüme mitendand. Wer meh über die sogenannti «Corola-Krise» will wüsse findet im folgende Biitrag vom Investmentfux Nikci «Gurkenmann» Grass meh Informatione: 
https://www.linkedin.com/posts/swisscanto-invest-by-z%C3%BCrcher-kantonalbank_treiber-hinter-dem-rohstoff-comeback-activity-6772104952446775296-cUL5
(This content contains nothing of importance and has been flagged as fake news by the BAG Taskforce).
Falls eu die offeni Kommunikation gfalle hät, dänn isch blöd glauffe, well dä Verfasser kei Luscht hät das jedi Wuche z’mache. Dä MSO/MST hät nur chli welle blöffe wie guet er isch. 
MSO/MST (Nr.  7)
- Hauptstatistiker (wenn er si dänn verschickt: transparent, und endlich wieder zämegfasst, nöd wie letscht Wuche)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</si>
  <si>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Muetter, 
D’Velogäng um dä SJU, YMI, CBO und MSO/MST isch hüt donnernd und wie immer überpüntklich am 12:11 bim Safran acho, und dä JWU hät sich prompt au däzue gsellt, mit sinere übliche Clownsjagge und aerodynamische Frisur, woner wäge sim Marathontrainig usgwählt hät. Bim warte uf dä PKN hät mer sich über dä geschtrig Sieg vom MSO/MST und äm SJU über dä JWU und Jinderletscht i dä erschte Rundi ustuscht, wo dänn es bitz überschattet worde isch vo zwei gstohlene Partie wo sich die beide Amatöör ganz unanständig usegwiese händ. Natürlich häts dä CBO wieder mal nöd chönne lah und hät dä YMI schelmisch hinterfragt, wo dä gseit hät er chönn au Jasse (oder Schasse, für eusi Dütsche Leser). Während dä unterdesse awesendi PKN sich nöd getraut hät, is Lokal inezlauffe, und mer uf d’Bstellig gwartet hät well dä SJU sin Pide nöd gnueg früeh bstellt hät, sind alli um dä CBO umegstande und händ än usgfragt über sin Sehtescht hüt Namitag. Dä jungi Herr will sich nämlich au d’Auge läzere lah, well er so vill Respekt hät vorem Presidente SJU. Wänns der seged du bruchsch ä Korrektur, machs eifach wie dä Jinderletsch: Nach äm erschte Tescht seisch eifach mal nei, das chan nöd stimme, und bim zweite Tescht chunnt dänn use du bruchsch gar kein Läsertermin. Well er aber so gern a Brille ahät und er offesichtlich uf die ironisch gmeinte Kompliment vo dä Nadine agwiese isch um sis fraschile Ego z’präservativierä («du gsesch doch so guet us mit dinere Brille, dänn gseht mer dini fett Nase nöd»), hät er prompt äs Startup mitem JWU gründet um Brille ohni Gläser her- und grad nebed dä Augeklini ufzstelle. Mir wünsched vill Erfolg. Nebedbi hät dä Mr. Worldwide YMI än chline Iblick i sini Bizines-Planig vom Symposium geh, und dä MSO/MST hät jetzt alli Infos um die Aläss gratis z’infiltriere und endlich au mal än CEO kenne z’lerne. Und dä PKN hät irgendöppis über än Fuessballkurs und Windsurfe gschwaflet, und jede hät chli blöfft und niemert hät zueglost. Also im Oschte nüt Neus. 
Endlich bi dä Rügbywiese acho hät mer dä liecht abwesend SJU dänn druf ufmerksam gmacht, dass er d’GV iberüeft, und trotz dem dringende Appell hät mer dänn zerscht mal über d’Antifa und ihri chürzlich verastalteti Demonstration brichtet. Niemert weiss gege was die Truppe wieder isch, aber epper jepper hät ibracht si seged gäge Antifaschiste. Immerhin händ si ihri künstlerisch Adere nie verlore, und sind ganz freigiebig gsi mit dä farbige Schriftzüg uf Gebäude und all dene unnötige Konsumgüeter. Womit mer zu dä gröschte Angscht vom CBO chömed, wo nöd öppe än Farbaschlag uf sis Auto fürchtet, sondern dass mer a «sis» Gebäude «Juppies haut ab» (oder öppis ähnlichs) schribt. Sehr verständlich, aber das isch hald wänn mer i dä Slums vo Züri wohnt. Oder wänn mer dä MSO/MST nie zu sich iladt, er drum hässig isch und somit sini Wuet uselaht idem er am CBO sini Wohngegend als Slums vo Züri bezeichnet. 
Aber zrugg zu erfreulichere Theme. Es tuet sich öppis im sportliche Bereich vom DF, und mir sind entzückt azkünde dass es bald es offiziells DF Squash Tournamènt geh wird. Zerscht muess aber dä Onkel Alain aber alles wieder ufmache, dä PKN lerne z’squashe, und dä MSO/MST ihres ewige Duell durefüehre. Wahrschinlich wird’s am letschte Punkt scheitere, well das isch scho in Zagreb im Februar 2016 agseit worde. Und mir warted natürlich gspannt uf die versprocheni Transformation vom JWU zum nä Skispringer und vom YMI zum nä Sumoringer, und zumindescht er chönnt dänn villicht in Tokyo 202x aträtte und eus Ticketzski bsorge. Dänn händ gwüssi Teilnehmer gfunde, s’Thema Autos seg sehr interessant, und dä Statistiker hät nüme zueglost. Zum Abschluss sind dänn es paar na zum JWU sim Jeep go guenä, während dä MSO/MST und dä YMI friedlich mit dä Velos richtig Horizont gfahre sind. 
Somit wünsch ich än schöne Fritig, nachem DF isch vorem DF, und mir danked schomal äm YMI fürs Bueche vom Restaurant für eusi Brüglete im Mai. 
MSO/MST (Nr.  7)
- Hauptstatistiker (wenn er si dänn verschickt: nach schändlicher Kritik a sinere Statistikfüehrig gelobt dä MSO/MST, dass er sin Dokumentationsstandard na besser macht als eh scho)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</si>
  <si>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Churz vor dä riskantä Ägypteferie vom MSO/MST hät mer sich hüt namal zum nä DF troffe. Während sich alles wo Rang und Name hät uf dä Weg zum Safran gmacht hät, hät sich dä CBO denkt er bricht na churz dä Rekord vom JWU mit dä späteschte DF Absag i sit Messbeginn (am 12:03). Schande über ihn und sini Sippe. Anderesiits möchte ich ihm gratuliere zu sine 6 konsekutive DF Teilnahme, so vill wie s’letscht Mal im März 2017. Und wänn mer scho bi statistische Errungeschafte sind, dä MSO/MST pulverisiert grad dä Rekord für die meischte Teilnahme im nä DF-Fiskaljahr mit momentan 53 (vorher 51, natürlich au vom MSO/MST). Usserdem wird er au mit sine Absenze dä erschti si wo jemals ä Fiskaljährlichi Partizipationsrate vo über 90% erreicht. Ich bin so STORZ uf ihn.
So, jetzt zum Igmachte. Im Safran hät mer erfahre, dass dä SJU sowohl sini MMA-Händsche verchauft, wie au neui Händsche akquiriert hät wo gemäss JWU verdächtig nach MMA usgsehnd. Er isch so voller Selbschtvertraue gsi dass er mit sim Pide wo vill zwenig Cocktailsauce druf gha hät grad mitem PKN abzottlet isch, aber nach 10 Meter händs dänn wieder stoppt. Hüt händ usserdem es paar Gigante mit dä volle Stempfelcharte zahlt. Ufem Weg zu dä Wiese hät dä JWU dänn blöfft wiener 20 Lüüt zu sim Geburifescht iglade hät und sich scho uf d’Reklamation und Buess vo dä Eeerikaa freut. Wer dä Bulle will alüte um dä widerlich Regelbruch z’melde wird vo dä Redaktion im nä allfällige Rechtsstriit unterstützt. Natürlich hät dä SJU im Überbiss sini Iladig nöd nur ignoriert sondern au vergesse, und er hät sich dänn erfolglos beschwert er seg gar nöd iglade worde. Währenddesse hät dä YMI immer na sehr vill ztue, und suecht drum grad au na nach mä Huus woner chan chauffe. Mir wünsched guets Glinge. 
Endlich acho im Windschutz hät mer sich natürlich uf eine vo dä villne Skandäl vo dä GSCS gstürzt, wo trotz äm grüene Name nüt mit Sustainability, aber sehr vill mit Governance ztue hät, und mir gebed dere ganze Sach drum es F- als ESG Rating. Während sich die höchschti Garde nämlich i «pompöse Rüüm» trifft zum sich selber fiire hät s’Risikominimierigssystem irgendwo nöd funktioniert. Agsproche uf was er würd mache wenn er Risk Manager wär hät dä JWU klar gseit er würdi zu allne Vorstöss immer nei säge. Ä Minute später häts dänn gheisse, jedes Mal wänn eine mit ere Idee chämt gäbs vo ihm es klars «go». Mer hät nüt anders erwartet. Die selbsternante Finanzfüx unter eus (also alli) händ dänn abgmacht, dass mer ä eigeni Bank gründed mit enere Doppelposition vo Risk Manager und Sales Head für dä JWU. Wänn öppis schief lauft entlaht dä JWU sich selber als Sales Head, und stellt sich dänn au selber wieder i als Ersatz. Na revolutionärer isch aber dä Vorschalg vom MSO/MST gsi, grad au na än FINMA-Ersatz (Namensproposition: FINFRAU) zgründe um sich selber besser z’kontrolliere, woruf dä SJU gseit hät mer müessi demfall au d’WEKO uf d’WEKO hetzä wege Monopolstellig und Wettbewerbsverzerrig. 
Als Abschluss hät dä JWU dänn na s’Leid vom normale Büezer i dä Tamedia gschilderet, wo bim Bonus leider leer usgaht während sich d’Coporate Fat Cats wieder mal selber berichered (wer glicher Meinig isch bitte d’Initiative vo dä JUSO zur absolute Lohnglichstellig vo allne Arbeiter i dä Welt unterschriibe). Än guete Usweg wär ä klassischi Tombola wo dä ganz Bonustopf dri chunnt und eine gwünnt alles. Wahrschinlich dä CEO, wo sich per Zuefall selber zieht. Anderi kreativi Ideä sind au na diskutiert worde, wie es NHL-Lossystem mit variierender Azahl Lösli je nach Stellig im Unternehme oder ä strategischi Uslagerig vo dä ganze Belegschaft, so dass mer nume us äm Board zieht. 
Somit wünsch ich eu ä gueti Wuche wo dä SJU hoffentlich ä Zämefassig z’Stand bringt, und mer gseht sich wäge Ostere erscht wieder am 9. Avril. 
MSO/MST (Nr.  7)
- Hauptstatistiker (wenn er si dänn verschickt: Wenig erstunlich dass jeglichi Afiggereie ohni CBO um -100% abnehmed)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</si>
  <si>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oder au nöd 
Nach enere gfühlte Ewigkeit gits endlich wieder mal ä ordentlichi Zämefassig. Nach äm letschte Update am 19.03 häts dä MSO/MST uf Ägypte verschlage, und well dä Vize-Statistiker nur s’bäre Minimum gmacht hät und dänn Ostere gsi isch händ eusi Leser scho härti Zämefassigsentzugserschinige. Und es chunnt na schlimmer! Wo dä MSO/MST hüt mitem PKN vorem (ehemals) Safran gstande isch händ sich die zwei Örlibirds abwechselnd mit Beluschtigung, Entsetze und Enttüschig agluegt. Die gueti Kebabchnelle (und wahrschinlich au die super Shishabar im Chäller) isch i dä letschte 3 Wuche vollkomme usgruumt worde, und au die andere 4 Mitglieder händ bi ihrere Akunft s’Gliche vorgfunde. Und dä Aruef vom CBO händs glatt uf ihri Combox laufe lah. Die folgende Theorie sind im Lauf vom DF präsentiert worde: 
• S’Personal vom Safran hät d’Rechnige nöd zahlt wells so vill Minus mit dä Stempfelcharte gmacht händ, und sie sind zwangsbetriebe worde
• S’Gsundheitsamt isch cho und hät dä Betrieb wege ihrne 10 Verstöss innerhalb vo 5 Minute ufglöst, und us uentrüschtig grad na alli Chuchigrät gklaut
• Alli sind is Tessin gflüchtet wells vo dä Zürcher Polizei mit schwerem Rauch gfolteret worde sind
• Si sind wie dä CBO als Opfer vo Corona untergange
• D’Familie Safran isch id Türkei zum Erdigogogan usgwanderet um d’Moral im Regime wieder ufzbaue
• Si händ so guet a eus verdient dass si sich scho händ chönne früehpensioniere lah (danke CBO für dä wunderbar Vorschlag)
Drum häts dänn 1-2 Bagels pro Person geh, und ich möcht da churz es Zitat präsentiere um d’Qualität vo dem doch gehobene Priis z’rechtfertige: «S’Einzige wo hässlicher isch als dä Bagel isch dä Wrap» (CBO, 2021). Natürlich hät er hüt nöd in Spiegel gluegt, suscht hetter gseh dass er doch na es guets Stück hässlicher isch als beidi Spiese. Natürlich hät mer promt d’GV iberuefe und uf dä Rügbywiese s’wiitere Vorgehe besproche. Wie sichs ghört gits än zweistufige Plan um die Krise z’löse. Als taktische Schritt gits ä neui Uswahlperiode wo mer i dä Region MSO/MST bis SJU ä neui Donnerwerkstatt uswählt, insbesondere dämit dä CBO jedem chan säge «das isch jetzt dini einzig Chance um eus z’überzüge als neui Stammchunde». Als erschti Zielregion wird d’Schmiede Wiedikon apeilt (genau i dä Mitti vo dä wichtigschte zwei DF-Mitglieder), meh Agabe folged na. Aber nöd vo mir. Die strategisch Lösig liit natürlich uf dä Hand, und zwar dass dä bald arbetslosi und blindi CBO als neue Kebabchef vom Safran 2.0 is Biziniz istiegt und wie vom YMI vorgschlage durch eus als überbezahlte VR unterstützt wird. Ich gseh scho die neu Sportbar mit Shishas im Chäller und wie si wird floriere. Mir bruched usserdem na öpper wo sich ine türkischi Familie ihüratet, damit mer gratis Mitarbeiter chönd rekrutiere. Freiwilligi chönd gern go vorspreche cho. 
Suscht isch natürlich dä grandios Jassuftritt vom MSO/MST und SJU gescht Abig s’Thema Nummere 1 gsi, wo die bemitleidenswerte JWU und Jinderletscht regelrecht demontiert händ. I dä erschte 2 Runde häts jedes zweite Mal än Match geh wänn die beide Jasskönige dra gsi sind zum asäge, und au nachdem si sich äm niedere Niveau vo dä Verlürer apasst händ häts immer na locker zum Sieg glanget. Dä JWU bestaht aber trotz dem und jentschte Afiggereie vom CBO druf er seg än guete Jasser. Ironischerwiis hät dä Mr. «ich spiele immer uf Match» gescht eimal än Match vergeh well er nöd uf Match gjasst hät. Aber villicht gseht er au nüme ganz us sinere Mähne füre, well er sich mit sim Coiffeur verstritte hät, und er macht dä Herre YMI und PKN doch scho Konkurrenz mit sinere lange Haarpracht. Und nebed äm übliche Coronageplänkel will dä YMI na eusi Füürwänd i dä Luuserbanke und andere Bananefirme teschte, dämit sis Symposium mit dä illuschträ Gescht au guet ablauft. Sorge mached da vor allem d’Sicherheitsistellige vo dä Tamedia, wo alles zuelönd ussert die astössige Inhalt vom Yvonne Pänisring Podcast. Das nenn ich mal ä gueti IT-Infrastruktur.
Bis bald im Big Baba
MSO/MST (Nr.  7)
- Hauptstatistiker (wenn er si dänn verschickt: Ich gang bald uf dä Greenhill i dä Archegos Islands)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</si>
  <si>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Allahallo
Hüt ischs mal nöd zum Safran gange, wo gemäss Insiderinfos i dä Liquidation steckt und kei Ziit hät am CBO sini Nachrichte z’beantworte, und mer hät sich pünktlich a dä Schmiede Wiedikon troffe. Dä JWU hät nöd nur müese liide well sini Parkuhr nur 50-Räppler gschluckt hät, sondern au well er sini natürlich Haarpracht präsentiert und däfür einigi bissigi Kommetär erhalte hät. Natürlich sind prompt hitzigi Diskussione lostrette worde, ob mer jetzt is La Favorita, dä Wiedikä Point oder zum Fischchnusperligrill gaht. Als grosse Verlürer (wie suscht au im Lebe) hät dä CBO müese d’Fahne striche und mer isch is Favoriterestaurant zottlet. Ufem lange Weg händ einigi Mitglieder gseit, si chämed nöd ad Bierchreisdrüütour vom PKN und JWU wells dä Letscht organisiert hät. Dä YMI hät sich allerdings au na überzüge lah für hüt Abig, und mir wünsched vill Glück. Während äm sehr chaotische Bstell- und Zahlprozess im potentielle neue DF-Lokal händ sich es paar Ishockeykenner na über dä geschtrig Match unterhalte, und es isch klar gsi dass dä CBO wege sinere na-vorhandene Stell dä Afang, aber doch nöd allzu vill verpasst hät. Immerhin hät er dä Check über d’Bande gseh, was mer vo andere nöd chan behaupte (SJU). Dä JWU hät sich zudem überzüge lah, dass er au än EVZ-«Fan» isch, well er dä Academy verfalle isch. Was er allerdings nöd gern hät isch Ben&amp;Jerry’s, und er hät s’grosszügige Agebot vom CBO usgschlage ihm es Chübeli z’zahle wenn ers fertig isst. 
Während Dürum und Boxe usghändiget worde sind und dä SJU und CBO ihrere Alkoholsucht nachgange sind, hät dä PKN bemerkt dass mer als Werbegschenk es Cola Zero erhaltet, im neue «NY Smag». Wer weiss was das heisst chunnt vom MSO/MST es Cola Zero NY Smag über. Dä YMI isch immer na bizi und hät leider dä Usfall vom Mr. Godstone müese beklage, dä SJU gaht is Engadin ohni Pädopolizischtäkolleg (also er isch dä wo si gaht go jage), und dä JWU hät bim MSO/MST Idruck welle schinde well er än Podcast über Estland und ihri Nationalbrüch glost hät. Dänn isch zum Glück dä Hugo cho, und mer hät sich zu dä nöd-Rügbywiese ufgmacht. Und nach es paar Minute hät sich sogar än neue Stammtisch freigmacht. Dänn isch wieder mal ä GV usgrüeft worde, und anderscht als ähnlichi Grossfirme verstecki sich dä DF nöd hinter virtuelle Jahresversammlige. Dä YMI hät än Vorstoss gwagt d’Buesse uf 10.50 azpasse, wo aber vo fascht allne ignoriert worde isch. Fälschlicherwiis, so meint dä Statistiker, aber das Traktandum sötti nach dä Uswahl vom neue Hauptdonnergschäft bestimmt werde. Und dänn isch ä 30-Minütigi Diskussion gstartet worde wie mer jetzt eusi Suech nacheme neue Dihei söll bewerkstellige. Es sind Füscht, Beleidigunge und Stei gfloge, aber am Schluss hät mer sich uf es Schema g’einigt wo jede im nä neue Täb (wunderschön als «NewKebab» betitlet) us dä Stats chan kopiere und für sich selber usfülle. Es hät scho komplizierti Formlä drin wo nur än wahre Excelfux wie dä MSO/MST chan erstelle. Nach Ablauf vo dä Testphase werded d’Ergebnis konsolidiert, und mer chan sich dänn entscheide. 
Nach all dene Usenandersetzige hät dä Presidente völlig vergesse, d’GV wieder z’beende, also lauft si wiiter bis mer wieder all zämehocked, wahrschinli nächschte Fritig wänns heisst: Wiedike Point, go! (TM JWU). Dänn sind alli vo danne zoge. The end.
Hopp EVZ Academy
MSO/MST (Nr.  7)
- Hauptstatistiker (wenn er si dänn verschickt: Am Sächsi lütets bald)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</si>
  <si>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Früehlige Fröhlichsafang, liebi Mitglieder
Im friedliche Stammlokalsueche hät mer sich hüt wieder bi dä Schiede Wiedikon troffe, die einte sicher im Schatte, und während dä JWU ganz bizinismässig im Hemd und Jagge am warte gsi isch, hät sich dä CBO eini vo sine sage und schreibe 2 churze Hose azoge. Die hät leider es paar Farbfleck, aber es hilft ihm bim folgende Thema. Er hät sich hüt s’erscht mal zu sim Yuppi*-sii bekannt (obwohl er ja per Definition kein Uf- sondern än veritable Serieabstieger isch, au i sim Lebe), und er hät zuegeh dass er amigs sini dreckige Hose azieht, damit niemert merkt dasser eine isch. Aber nebed dem Grund, warum hät er kei suuberi Hose azoge? Sini anderi isch i dä Reparatur. Dänn isch dä PKN uftaucht, und dä JWU hät die ganzi Debatte na än Schritt wiiter tribe und ihn als «Yuppie par Excellence» bezeichnet. Er isch durchus sehr adrett dähercho, nöd wie suscht. Dänn händ ihm alli na churz zum Geburtstrag gratuliert, und mit äm uf dä andere Strassesiite wartende SJU ischs dänn in Wiedike Point gange. Dä MSO/MST wär zwar fascht na überfahre worde well er us Liechtsinn und Vorfreud bim Rotliecht über d’Strass hät welle, aber das kümmeret au niemert. 
Im Point gits dänn 4 Donnerboxe (und angeblich wird am SJU sis Box-Chriesi gchlöpft), und die ganz Prozedur gseht doch sehr effizient us. Nebed äm MSO/MST, wo sini Nahtoderfahrig hät müese abespüehle, hät sich au dä alti Alhoholiker CBO es Bière gchlöpft. Und das, obwohl er gescht Abig s’erscht Mal sit 3 Mönet troche blibe isch. Däfür hät er ganz fuxig sini Trainingssession uf dä Morge gschobe, dämit er sich jetzt chan vollaufe lah. Nöd so wie dä SJU, wo sich hüt usnahmswiis abstinent zeigt hät um sini Leischtig am Namittag nöd z’beiträchtige. Mer munklet sogar dass sich die beide bald als neui Stammgäscht bi dä Bièrehalle Scheidegg chönd etabliere, und mir halted sie ufem Laufende. Während äm churze Warte streut dä CBO au na ii, dass s’einzige wo effektiver seg als Auge läzere äm JWU sini Haar seged. Ok. Und natürlich hät dä Kebabmeischter bim Fülle vo dä MSO/MST-Dönerbox na gfragt, ob er au söll «Bölle» (Zwieble für alli Nöd-Oschtschwiizer) inewerfe, und ob er ä Gable brucht oder wie än richtige Ma mit dä Händ isst.
Dänn isches wieder zu dä Wiese gange wo kei Rügby gspielt wird, und dä PKN hät biichtet dass er kein Servette Fan meh seg. Usserdem hät er eus drüber ufklärt dass dä Safran scho sit 2015 i dä Liquidation steckt, es git also na ä chlini Hoffnig uf än Return of the King to the Safran. I all dem Tohuwabohu isch natürlich nöd untergange, dass dä YMI abwesend isch. Er isch bizi bizi bizi, und mir wünsched ihm vill Erfolg bi sim volle Kalender. Dä Rescht vo dä Ziit isch wie immer gfüllt worde mit sinnlosem Gelafere. Mer hät sich zäme g’einigt dass di Riiche Privilegie sötted ha, au bim Impfe. Dä PKN isch nächscht Wuche in Brügels am Lerne, und sini Bananefirma wird vom JWU bi dä Bulle verpfiffe well si gloge händ und immer na «müend» im Büro si. Und dä CBO wird bald betriebe und muess is Betrügergfängnis vom Jakob Joseph, well er sini Stüüre nöd zahlt und nöd uf sin Treuhänder lost. Es gaht also stetig abwärts für ihn, und mir hoffed uf wiiteri Schicksalsschläg für eusi Unterhaltig. Am Schluss isch na (inoffiziell) bestumme worde, dass mer eusi Chlopfete Endi Mai nöd wieder verschiebed, und au da gits bald mal es Update. Aber wie immer nöd vo mir.  
Somit wünsch ich eu es sunnigs Wuchenend, und mer gseht sich entweder morn bim Jasse, am Sunntig bim Halbfinal Zug : Rappi, nächscht Wuche im Züri Bistro bim Albiplatz, oder nie meh.
MSO/MST (Nr.  7)
- Hauptstatistiker (wenn er si dänn verschickt: Ich han so än Sunnebrand vo dä starche Aprilsunne)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*Yuppie: junger, karrierebewusster, großen Wert auf seine äußere Erscheinung legender Stadtmensch, Aufsteiger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</si>
  <si>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Dä DF hät hüt stattgfunde. 
Dankeschön
MSO/MST (Nr.  7)
- Hauptstatistiker (wenn er si dänn verschickt: es isch so heiss wie dä Donner frisch usem Bachofner)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Ha, scho denkt. Natürlich chömmed Sie als meh oder weniger gschätzti Leser in Gnuss vonere usfüehrliche DF-Zämefassig, frisch vom Fass. Hüt ischs is Züri Bistro am Albisriederplatz (au Albiplatz gnennt vo dä Igebohrene) gange, wo sich die beide Daytrader und Shortseller MSO/MST und JWU per Zuefall troffe händ um über dä jetzt ex-VR Presidente herzzieh. Nach es paar unnötige Bemerkige isch mer mitem Rescht vo dä Truppe zämegstosse, und sogar dä Jinderletscht hät sich hüt us sinere Höhli traut um dem Spektakel biizwohne. A dere Stell än fründliche Gruess a alli quarantänisierte und lernende vo eus, mir hoffed ihr chömmed bald wieder. Bim churze Warte uf eusi Donner isch usecho dass dä JWU ä grossi Wanderig um dä Türlersee mit dä Roseäään plant, und hoffentlich gnueg Landjäger zur Verpflegig mitnimmt. Dä MSO/MST hät extra meh zahlt für sini g’röschtete Zwieble, hät sich aber nöd getraut dä Supreme Kebab uszwähle. Und dänn isches nach dä flitzige aber doch eher unpersönliche Überlieferig ab in Sandchaschte vonere andere nöd-Rügbywiese gange. Ufem Weg isch d’Freistellig vo dä Florence Schelling diskutiert worde, und als offizielle Glichstelligsbeamte vom DF sind äm MSO/MST d’Berg zu Haare gstande bi dä Ussage vo einige vo eus. Än veritable Skandal, aber zu Ufklärigszweck will dä Autor die da glich churz als Zitat wiedergeh, und ganz sicher nöd well sich alli köschtlich über sie amüsiert hetted:
• Es isch scho erstunlich, dass d’Florence das nöd packt hät, wo doch dä Pögg glich usgseht wie än Herd
• Au Fraueförderig hät hald ihri Grenze
• Dä Herr Lüthi hett sölle vor d’Medie anestah und säge, er heg d’Florence gar nöd welle entlah und si heg dä Nachfolgejob als Putzfrau eifach abglehnt
• SCB, nienemeh
Endlich im Sandchaschte acho hät dä SJU welle vermerke, dass er scho am Morge a dere Stell verbicho seg, was dä eher ungmüetlich Gschmack nach Urin erkläre würd. Und usserdem hät er na es Bienli im Sand gseh, und au da druf bestande dass dä MSO/MST die «Sandbiene» i sini Zämefassig ibezücht. So dummi Afrage werded natürlich nöd berücksichtigt, immerhin isch das ä qualitativ hochstehendi Publikation. Qualität isch aber nöd alles, und wie dä nervösi Sky-Kommentator gescht gseit hät: quantitativi Statistike lönd sich hald eifacher quantifiziere. Dänn isches zum nä churze aber heftige Striit zwüsched äm CBO und äm SJU cho, wo beidi dä jewils anderi beschuldiget händ si seged scho sit Wuche über s’Züri Bistro am flueche gsi, und nur si ällei seged di gröschte Fangirls vo dem Establischmont. Apropos Establishment, dä CBO hät na verzellt es seg im Bistro zue und her gange wie im Puff, und alli beteiligte händ berechtigterwiis agnoh dä jungi Roiberpischtoleverzehler meint es Freudehuus. 
Nach ere chline Tirade über linggi Hipster und ihri Vorliebi für übertüreti Paninis hät mer die folgend philosophischi Frag klärt: Wänn dä MSO/MST am letschte Samschtig Kinotickets fürs Corso kauft hät und dänn usversehe is Abaton gange isch, womit er dä Film natürlich verpasst hät, hät er somit: 
a) Sis unwohl verdiente Geld usem Fenêtre gworfe
b) Es paar Stunde Ziit gwunne, da sis Investment id Ticketzki scho sunk gsi sind, wies dä JWU so schön bezeichnet hät
Isches also än klassische Faux-pas oder doch ä glücklichi Wendig gsi? Dä nöd ganz einstimmig Konsens isch bi dä Awesende uf d’Antwort b zliege cho, aber natürlich nehmed mir gern wiiteri Rückmeldige entgege. Suscht isch wie immer blöfft worde, entweder vo Katastrophetourische wo na die villicht letschte GC-Spiel i dä niedere zweite Liga wänd gseh, bis si nächscht Saison uf- und dänn grad wieder abstieged (Zitat JWU: «Hey Jin[derletscht], wird GC jetzt zum nä Liftclub?»). Oder au vom extensive Schachwüsse, bis hii zu dä neue Interpretation vom JWU über Nacronomics, wo gemäss SJU mit dä Wort afangt: This is the perspective on nacronomics from a Swiss gangster. Hello, I am chocolate. Apropos Roibergschichte, mer hät sich na über Hochziits-DJs und ihri Abneigig gage Schlager usglah, und am Schluss isch usecho dass mir alli ganz grossi Fashoinistas sind, aber nie so vill neui Chleider chaufed wie dä Luca Hänni dä erscht. Und dä SJU isch ab hüt s’offizielle Vorbild vom CBO, well sich dä letscht die gliche Schueh kauft hät. 
Bis nächscht Wuche, es söll mal öpper än wiitere Kebab nominiere. Und eui Bewertig bitte njet vergesse.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</si>
  <si>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Terviseks,
Dä DF-Statistiker grüesst eu a dem historische Tag, wo Zug dä erschte vo 10 konsekutive Meischtertitel wird schnappe. Dadäzue grad na meh, aber zerscht churz es administrativs Update zu eusne ehreunwerte Mitglieder: 
• Dä MSO/MST isch hüt uftaucht wienen Lumpe well alli sini Chleider nass sind vom ville dur-dä-Rege fahre
• Dä PKN isch nach sine Lernferie wieder mit vo dä Partie, und hät es elementars Update zum letschwüschige Bsuech im Züri Bistro übercho (bitte eui Bewertig njet vergessen)
• Dä JWU laht verluute dass er sich sini Haar na es Jahr wachse laht, und er hät mit sim Schirm na meh a Statur und Status gwunne. Usserdem gaht er uf Wenge, wo kei Droge gnoh werded
• Dä SJU isch chrank und/oder schwach (gueti Besserig)
• Dä YMI isch wieder us dä Quarantäne, aber nöd am DF
• Dä CBO gaht bald uf Malle, reist hüt scho an Flughafe für än Spucktescht dämit ihm nöd wieder öpper dä Pänis id Nase schiebt, und isch s’erscht Mal sit äm Fiskaljahr 2016 nüme dä letschti i dä DF-Jahreswertig.  Usserdem wär er sehr dankbar wänn dä EVZ Zug sich hüt dä Meistertitel chönnti sichere
Somit simmer wieder bim eigentliche Thema, und d’Spannig isch spürbar gsi wo dä JWU und MSO/MST scho i ihrere erschte Interaktion heftig anenand grate sind wegem angebliche Horrorfoul vom Santeri gäge dä massiv überbewerteti Dümmernes, und dere vo dä Fake-News-Mainstream-Media nöd mal agsprochene Aktion vom Karrer, wo bi objektiver Betrachtig scho eher ä Gfängnisstraf wege versuechter Körperverletzig hett sölle nach sich zieh. Dä Herr Helbling würd sich wieder mal bestätiget fühle mit sine Kommentär über d’Usländer vom Welschland. Mer hät sich drüber beklagt dass die gueti alti Wild-Wescht-Justiz wie i dä NHL (Rangers vs. Capitals) nöd meh praktiziert wird, und alli freued sich scho ufs Bulle-Schlah hüt abig vorem Herti 2. Also alli ussert dä SJU, wo so schwer chrank muess si dass er nöd nur än DF verpasst, sondern au na es Meischtefescht mitem Lino und äm Josh schliife laht. Und äm PKN, wo nöd gern mit so Asis wie eus umehocket. Und äm JWU, wo seit er seg suscht scho gnueg mit dä Polizei am Brügle. Apropos Brügle, es werded bereits erschti Plän für Fuessballreise gschmiedet, jetzt wo sich hüt Morge alli ihri Impftermin i dä Schlacht vom VacMe.ch (usgsproche fack-me) gsicheret händ. Dä Jinderletscht isch au da gsi, hät sich aber wege sinere Lauch-Jagge nöd in Ararat traut. Dä Donnerzuebereiter hät übrigens Glück gha dass kein BAG-Kontrolleur verbicho isch, well er sini Maske nur als Accessoire stylisch under dä Nase treit hät. 
Ufem Bänkli i eim vo dä villne Hipsterplätz in Niederwiedikä häts dänn na ä chlini Ufklärigslektion für dä Anal-phabet CBO geh, wo denkt hät er wird bi dä Impfig dänn mit äm Virus infisziert statt mit dä neue mRNA-Technologie. Glücklicherwiis hät dä MSO/MST i dä Schuel ufpasst und hät ihm nebed es par Schlötterli au na ä IQ-Steigerig vo 50% chönne mitgeh. Dä JWU hät agseit dass er bis im Juni ufhört Snuse, und während D’Roseään jubiliert, verdrucket dä Odin und alli Kioskbetriber vo Bonstette bis Züri ä Träne. Und nebed es paar Roibergschichte vo Sportteams wo usgschiede und dänn glich wieder is Renne um än Titel cho sind, häts na ä dummi Wett geh. Dä JWU seit er gaht nächscht Saison anes Uslands-Uswertsspiel vo Senf-Gervette FC, und wänner nöd a eis gaht zahlt er äm CBO 10 Stutz. Falls aber scho, flüsst s’Geld i di ander Richtig. Aber na dümmer isch dä Lauch Jinderletscht, wo sich überleit au mitem JWU go chlöpfe. 
Somit wünsch ich eu allne es sunnigs Wuchenend mit vill Freud und Niid für dä Zuger Sieg. 
MSO/MST (Nr.  7)
- Hauptstatistiker (wenn er si dänn verschickt: hüt chlöpfts in Zug im Freiruum und hinter äm Manzato)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</si>
  <si>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die hütig Zämefassig folgt äm Motto: besser nie als spat, meh recht als schlecht. 
Nachdem dä MSO/MST sich gescht endlich ufgrafft und dä Weg unter dä Uffahrtsbrugg use gschafft hät, gits zerscht mal es churzes Update zum Meistertitel vom EV Zug. Wie agseit i dä legendäre DF-Zämefassig vo letschter Wuche isches dä erschti vo 10 in Folge, und wells dä SJU i sim lingge Jutesäckli gspürt hät ischer doch au na id Playoff-City cho. Nebed all dä Pyro-Narbe und Hirnentschütterige blibed gröschteteils gueti Erinnerige, ussert dass sich dä (offesichtlich 60-jährig) CBO bi dä Heifahrt vo sinere «beschte» Siite zeigt hät mit sine Bibelgschichte für d’Uberfahrerin. Gemäss Experte PKN heg usserdem es Zuger Restaurant nebed äm Stadion ä verdächtigi Azahl a Bière kauft, natürlich nöd um die tausige vo Fans z’beglücke. Und natürlich sind mir alli entzückt vom Kalle und sinere Serenade, wo dä CBO grad live in Malle chönnt ghöre wänn er sich in Megapark wage würd. Kartoffelsalat. Usserdem hät sich d’Sophia drüber beklagt, dass dä SJU nur mit EVZ-Brügler und nöd mit ihre will trinke, und als klassische Alkoholiker hät er natürlich na so gern nageh. Olé olé. 
Alles Andere isch eigentlich nöd so wichtig, aber ich verzell glich na churz was am Fritig so passiert isch. Während s’Ayverdi zu fayg gsi isch um eus ihri Tüüre z’öffne, und s’niemert gwagt hät is «La Penisola» z’gah, hät sich dä Neui Punkt am Albisriederplatz gnädig zeigt, und sogar na än Terasseplatz für eus freigmacht. A dä Strassepromenade i dä Sunne hät sich zerscht s’DF-Präsidium um dä MSO/MST und SJU niederglah, gfolgt vo Jinderletscht und PKN. Nöd gschafft händs dä YMI (Ticino glaubs, han nöd so genau ufpasst) und CBO (Malle ist nur einmal im Jahr). So i dä Mitti hät sich dä JWU igreiht, wo sicher 15 Minute zspat cho isch (endlich wieder mal än LI), und dänn sogar na s’Mitleid vom Jinderletscht in Aspruch gnah hät wo sich a sin Extratisch gsetzt hät. Alles in allem also perfekt, well somit beidi am MSO/MST nöd uf d’Nerve gange sind. Immerhin hät er sich chönne im Schatte niederlah, und hät sich somit wie dä MSO/MST nur än milde Sunnebrand abgholt. Mit Bière, Charme und Zitrone isches dänn also zur Beurteilig vom New Point gange, und mit dä schelmische Frag ob mir alli im gliche Betrieb schaffed hät sich dä Kebabière locker i eusi Herze gschliche. Ich bitte also alli, ihres Formular uszfülle. 
Natürlich sind dänn d’Gspräch rasch wieder uf dä edli Sport vom Ishockey gange, und nach es paar Roiberpischtole über ZSC Modefäns (also alli) und dä neuä Trainingsmethode im Ishockey händ alli afange Träume, was für än Hockeyspieler sie gern worde währed. Für dä MSO/MST wärs än klare Fall gsi, Captain und Drittlinieverteidiger wo sich gern und erfolglos brüglet. Dä PKN hät än Sermon agschlage wie billig die meischte Sportinterviews sind und was er amigs würd säge wänn er nach sim erschte Saisongoal i 40 Spiel gfragt würd, wer s’Spiel entschiede hett. Dänn hät eine bim Chreisel ghupet, und dä PKN, ganz ufgwüehlt vo sim Monolog, hät vorgschlage allne wo hupet d’Windschutzschiebe izschlah. Dä Vorschlag isch sehr guet acho, und mir sueched nach Freiwillige für das soziale Experiment (Haftig vom DF wird usgschlosse). Apropos unnötigi Gwalt und vill Lärm, d’DF-Brüglete isch dä Samschtig Abig, entweder bim JWU bi wahrschinlich schlechtem oder bim PKN bi guetem Wetter. Ich freu mi also scho uf d’Erika, und schlah vor dass mer alli mit eusne Ichaufswäge chömed und si vor dä Huustür stah lönd. Alli wiitere Abklärige werded im Whatsappchat gmacht. 
Mer gseht sich somit im «insert kebab place also to be decided in DF-Chat» am Fritig, und suscht am Samschtig
MSO/MST (Nr.  7)
- Hauptstatistiker (wenn er si dänn verschickt: Mir sind entzückt über dä Helikopter vom CBO nach äm Zuger Sieg)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</si>
  <si>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 dä SJU isch dä MSO/MST nöd nur steihässig gsi hüt, sondern es hät än au na härt verregnet bi dä Afahrt an New Point (Lokationswertig vo 1). Sini Luune hät sich nur churz besseret, woner dä YMI und SJU gseh hät, und dänn isches ganz schnell wieder absi gange woner die hässliche Gsichter vom CBO und Luca H. erblickt hät. Immerhin (und wie au agmerkt vom Luca) isch dä Jinderletscht nöd cho, wo sich wahrschinlich immerna im Freudetaumel vom Liftklub GC befindet nach ihrem glückliche Ufstieg. Sogar dä JWU häts hüt mal meh oder weniger pünktlich gschafft, und er hät endlich s’Chriesibei mit sim Coiffeur begrabe, drum gseht er wieder einigermasse präsentablè us. Und dä Luca hät wie immer ä grossi Fressi gha, und au wie immer sini Maske nöd mitgnoh. Dä PKN isch währenddesse schändlicherwiis wieder mal nöd cho, und hät die nächschti GV somit um än Tag verzögeret. Somit isch s’fröhliche Bstelle losgange, und trotz es paar Schwierigkeite mit dä Chartezahlig isches doch schön dass die Herre YMI und CBO das wunderbare Lokal au na chönd bewerte. Apropos, bitte bis morn a dä Brüglete alli ihri Bewertige usfülle und mitneh, dänn gits die grossi Uflösig wo villicht dänn au nöd zellt, je nachdem obs dä wichtigschte DF-Funktionäre wird passe. 
Apropos brügle, morn gahts am 4i im Calvi los, dä SJU passt na sin Invite a, und nach mehrere Minute strategisierä händ sich die Beteiligte hüt däfür entschiede, nüt z’entscheide. Trotzdem isch im schöne und regegschützte Unterstand doch klar worde dass es nur guet chan usecho, welli Variante mir au wähle werded. Entweder verköschtiged mer eus bim JWU mit Bratwürscht und Brot, und angeblich hät er vo dä Roseäään sogar glernt dass es meh Gwürz git als nur Ketchup. Oder mer gönd zum PKN und nehmed eventuelli Kollateralschäde in Chauf. Wie au immer, solangs gnueg Tequila git und dä JWU die lang «verscholleni Jagge» vom SJU mitnimmt wird das sicher än wunderbare Abig. Oder au nöd. 
Suscht hät mer brichtet wie mer i dä NHL verbrüglet wird au wänn mer nüt däfür chan, was mit äm CBO sim Partners Group Gilet passiert wänner uf d’Strass gsellt wird (entweder wird’s ufghänkt oder er wird ufghänkt), und ob er sich wieder zu dä GSCS getraut. Uf die letschti Frag luutet d’Antwort nei, und dä Godstone persönlich isch höchscht enttüscht. Dä CBO aber seit sich: besser kein Job also än schlechte Job, und mir sind gspannt ob sini Rechnig ufgah wird. Mehreri Meisterfäns händ zudem dä Titel immer nanig so ganz verdaut, und ihri Liebi zum Kalle, äm Kartoffelsalatlied und wiitere Erinnerige sind namal ufcho. Zudem sind na es paar scharfi Wort mitem Modefän YMI gwechslet worde (siehe Abbildung 1), wo fälschlicherwiis prognostiziert hät dass Zug wiiteri 20 Jahr uf dä nächscht Meistertitel muess warte. Das chan natürlich nöd si, well dä MSO/MST ja 10 Titel in Folge agseit hät, aber nach eim Stadionbsuech isch mer hald na kein Experte. 
Abbildung 1: EVZ «Fan» YMI
Quelle: CBO
Apropos fehlender Expertise, dä CBO hät eus na churz vo sine Abentüüür in Malle brichtet hät. Nach äm beztztzrunkene Flug und dä afängliche Angscht, nöd is Land zcho, hät ers zwar verpasst in Megapark inezschliche, däfür ischer wiit uf dä Insle umecho. Woner dänn es paar Täg später hät welle än Tescht mache zum zruggcho hätter zerscht kein Termin übercho, und isch dänn zum Glück über Umweg mit dä Esther verbunde worde, wo dänn plötzlich doch uf di Schnelle än Spot freigmacht hät. Mer munklet dass si Verbindige zu dä Mallorcanische Elite pflegt, und bi dä Mickie Krause und Peter Wackel i und usgaht. Suscht wär dä CBO jetzt däfür im Bierkönig, was ja au prima wär. 
Ich wünsche na än schöne Namittag, und bis morn am 4i, ihr Jusos. Und dä PKN därf na sini einzig Ufgab im Jahr wahrneh als ehrewerte Revisor. 
MSO/MST (Nr.  7)
- Hauptstatistiker (wenn er si dänn verschickt: Mama Lauda)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</si>
  <si>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Schöne Sunnebrand, 
Ob hüt oder morn, MSO/MST und JWU werded wohl in süesse Öpfel bisse müesse bi dem grandiose Wetter. Aber dadäzue später meh. Wie immer i dä Historie vom DF isch dä MSO/MST vaterseeleällei vor äm Kebab (nicht) seiner Wahl gstande und hät uf d’Akunft vo dä andere Mitglieder gwartet. Es isch nöd lang gange und scho sind dä illustri YMI und dä frührendi Jinderletscht um dä Egge cho. Nach ä chli Bänter über die ufkommende Episode vo «Der Bachelor: Ausflug ins Ungewisse» und dä erneute Absenz vom PKN wo vo sim Arbetgeber als Geisle gnoh worde isch sind SJU und CBO däzuegstosse, und mer hät sich ufgmacht im (villicht fälschlicherwiis) erkorene DF-Stammlokal (Züri Bistro) um standardmässig än Donner z’chlöpfe. Mission impossible? Ja. Da händ villicht gwüssi Bewerter nöd so genau ufpasst bim letschte Bsuech, bsunders i dä Rubrik Service, wells doch a dunkli Ziite im Safran erinneret hät wo d’Muetter (RIP) trotz spärlicher Lokalbsetzig gschlageni 20 Minute gha hät bis d’Bstellig mal bi eus gsi isch. Mer hät sich aber d’Ziit locker chönne zvertribe. 
Die einte (SJU) händ d’Maske vergesse und sind güetigerwiis vom YMI vorem Lokal begleitet worde, die andere (JWU) sind eifach chli zspat cho, ohni än LI z’kassiere. Dä Grund für das leider nöd ahnbare Vergehe? Es git angeblich nur ein Parkometer in Züri wo Einfränkler akzeptiert, und da dä JWU na nie än 50Räppler i dä Hand gha hät isches dänn hald chli länger gange. Suscht hät aber d’Vorfreud uf dä morgig Usflug überwoge, und well dä Luca H. als Organisator sis Wüsse nur teilwiis a wenigi Lüüt wiitergeh hät, isch s’Muetmasse natürlich grenzelos gsi. Mer hät usserdem vom Ruedi Reck gschwärmt, äm YMI wos trotz langem und Prosecco-gladenem Tag als einzige gschafft hät ihn zum stah zbringe, und hät äm SJU müesse zuelose wiener jetzt dänn 3 Wuche id Ferie gaht. Sini Freud über d’Wiederbelebig vom DF überwiegt aber äm Ärger über sini nach altem Plan makellosi Feriekoordination. 
Endlich im prall besunnte Sandchaschte acho hät mer sich äm letschte Gwäsch vo gescht chönne widme: dä sang- und klanglose Jassniederlag vom CBO und äm Luca H. Nach mä vergebene Match (vom CBO), mä ermöglichte Match vom Gegner (dur dä CBO), und wiitere Ussetzer hät sin Partner wie immer reagiert: er hät so vill Druck ufbaut dass es dä CBO fascht nüme usghalte hät. Dä Päsche und MSO/MST sind seeleruhig daghockt und händ dä Charre heigfahre, und alli früehnere Hiiwis vom CBO dass dä MSO/MST än schlechte Jasser seg hinterlönd än schale Nachgschmack. Immerhin chan dä jungi Herr besser Schach spiele und DF-Hoodies designe, und es sind na wiiteri Vorschläg zum Isatz vom übermässige DF-Vermöge ufcho, wie än DF-Panzer mit Donner als Raupe. Es sind usserdem na Stimme vo Coronaskeptiker vernah worde, und dä SJU würd sich vor äm Contract Tracing fürchte wänns existiere würd. Oder wänns mit igschriebene Brief schaffe würded. Apropos nöd a öppisem Schaffe, dä JWU isch immer na a sim Bachelor in Data Science. Wänn er än endlich abgschlosse hät chan er villicht die dubiose Mitarbeitertrades vo dä Partners Group untersueche, wo gwüsse Spezialischte -400 Prestigepünkt (ytd) inetätscht händ. 
Apropos übermässigs DF-Vermöge, da na ä chlini Aregig an Revisor PKN, bitte s’DF-Fiskaljahr na abzschlüsse. Suscht gits än Hiwiis an Massregler, wo dänn chan entscheide wie sie/er/es dämit umgaht. Dä Hauptstatistiker hät aber es Herz für die Schwache, und hät mal chli i sine immer korrekte Statistike nagforscht was so für Positione vorhande sind:
Cäsh Reserves vo dä letschtä Brüglete (scho izahlt):                       CHF  112.68
Jahresbiitrag für Investitione (scho izahlt und nöd investiert):        CHF  300.00
Buesse 2020:                                                                            CHF  914.25
Total 2020:                                                       CHF 1326.93
Sobald das dänn endlich gmacht isch chan mer (falls nöd scho gmacht) eusem dopplete CFO sini usstehende DF-Schulde uszahle, und er chan dänn bekannt geh wievill übrig blibt als neui Cäsh Reserves für 2021. Mit dem goldige Usblick wünsche ich allne än sunnige Fritig Abig, äm CBO guets Glinge im Teammeeting schwänze, und mer gseht sich morn a dä längschte GV i dä DF-All-time-history-Gschicht.
MSO/MST (Nr.  7)
- Hauptstatistiker (wenn er si dänn verschickt: PKN Ämtlistatistik: 1 Mal im Jahr öppis mache agseit, 0 gmacht, Differenz 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</si>
  <si>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Heilige Bimbam, 
Es wird gmassreglet was das Zeug hält, und immer na häts kei abschlüssendi Revision geh vom DF-Fiskaljahr 2020. Und nach dä Brüglete vom jetzt scho vorleschte Weekend händ sich die beide Herre YMI und SJU leider müesse abmelde, well si so überwältiget gsi sind vo dä 0 neue Vorstöss us dä längschte (und glaubs nie offiziell beendete) GV i dä DF all-time history, und dä 100 Stüehl wo dä CBO umedonneret hät. Trotzdem isch nöd alles schlecht, und ich schribe später na meh zu dem historische geschtrige Tag. Usserdem isch dä Hunger nach mä richtige Donner gross gsi, und vor allem für dä PKN isches än bsundere Tag gsi mit sim erschte Bsuech im Züri Bistro. Er isches dänn au gsi wo falsch agstande isch und somit mitverantwortlich für die langi Warteziit. Än andere Übeltäter isch dä stinkfrechi Vordrengler gsi, wo äm MSO/MST sin Dürümspot gklaut hät, was dä Vizepräsi aber locker weggsteckt hät, und er isch nach mä churze Gspräch mitem Tätschmeischter mit mä extra grosse Dürüm mit Sprite belohnt worde. 
A einere vo dä eher schäbigere Wiese i dä Slums vo Albisriede isches dänn zwüsched Penner und Actifitter wiitergange, und dä PKN hät vo sinere bevorstehende Prüefig und sim baldige Abstecher is Establishment Falke verzellt. Dä CBO hät sich dänn offiziell zunenere allgemeine Entschuldigung für sis Verhalte a sim Altgselleabschied duregrunge (ussert für s’Volleyballspiele mit dä Lampe im Schoggi sim Zimmer), und lamentiert über sin brochene Fuess. Usserdem hät er eus bichtet dass er scho mal im Mäc än Bürger direkt vo hinter dä Theke stibitzt hät. Nach langem gspräch übers Däfür und Däwider hät mer dänn au entschiede, dass dä CBO go stämpfle gaht, aber mer isch sich unter dä Arbetsloseexperte nöd ganz sicher gsi, ab wänn er das därf. 
Suscht sind d’Theme aber eher vo fründlicherer Natur gsi. PKN und MSO/MST händ sich köstlich amüsiert mit neue Verlängerigsmethode im Ishockey nachem schändliche Usscheide vo dä Schwiizer Nati, wo mer nach jedere Verlängerig ein Spieler weniger hät, bis es dänn es 1 gäge 1 vo dä Goalis git. Und wänn die keis Goal schüssed werdeds verbrüglet. Mer hät sich gmeinsam über alli ufgret wo Twitter händ und nöd händ, und wänn mer scho bi Verschwörigstheoretiker sind, es gaht es Grücht ume dass dä Döner im Züri Bistro miserable seg. Nach lange Nachforschige isches dä Redaktion glunge, dä Ursprung vo dere Theorie usfindig zmache. Die Verschwörig stammt vom CBO, wo bis jetzt immer än tropfende Donner übercho hät, und mer munklet dass er eifach nöd fähig isch richtig z’Esse. Es sind usserdem verschiedeni politischi System und d’Homeofficezuekunft agschnitte worde, aber dä MSO/MST chan sich nüme so ganz erinnere was genau so gschwaflet worde isch. Öppis isch aber doch na erwähnenswert, und zwar die hitzig Diskussion vom CBO und äm JWU, ob zwei Flugzüg wo 10km vonenand entfernt aber uf Kollisionskurs sind sich na chönd uswiche. Mer hät sich zruggerinneret as Unglück über äm Bodesee, und dä CBO hät gseit das seg doch sicher es Flugboot gsi. 
Mer chönnt meine ich han jetzt gnueg gschriebe, aber als offizielle Frauebeuftragte und Glichberechtigungsbeamte möchte ich doch na erwähne dass mis Herz am strahle isch. S’Rentealter vo allne wo sich als Fraue identifiziered wird endlich aghobe, und än wichtige Schritt zu dä Glichberechtigung isch somit erreicht. Gemäss dä Kommentarspalte vo 20-Minute sind aber nöd alli so häppy, und ich möchte na churz die folgende Vorschläg uflischte, damit sich jede bis am Fritig (also morn) chan Gedanke mache ob das öppis guets wär:
• Jede schafft 44 Jahr, wer studiert muess demfall länger schaffe, wells ja nur wichtig isch wie lang mer schafft und nöd wievill mer izahlt
• Alli gönd mit 60i id Pension, und bi dä nächschte Gsundheitskrise wird s’Geld eifach nöd id Wirtschaft und für Impfige sondern für d’AHV-Sanierig usgeh
• Well d’SP und d’UNIA degäge sind seg die Person ebe däfür. Zwei Biträg später seit eine d’PNOS seg däfür drum seg er au däfür. 
• 5 Mal nei am 13. Juni (sicher 10 mal vorcho)
• Nur wänn d’Fraue genau glich bezahlt werded wie d’Männer seg das «Okeei»)
• Dä Parmelin würd säge, wer sich mit 64i pensioniere lah will müess mit dä Konsequente lebe, aber es seg kein Zwang
Bis am Fritig
MSO/MST (Nr.  7)
- Hauptstatistiker (wenn er si dänn verschickt: Mi scusi, das DF-Fiskaljahr findet unter äm Motto «alles chli zspat» statt)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</si>
  <si>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Holà, 
Es isch wieder mal höchschti Isebahn zum ä Zämefassig usezchlöpfe, und d’Ziit lauft eim dävo. Im DF-Fiskaljahr vo dä grosse Verspätige haltet sich au dä Hauptstatistiker MSO/MST nöd zrugg, und mer wünscht dennoch vill Spass bim Lese. 
Am schöne Fritig Mittag isch dä Vizepräsident ganz verschwitzt bim Züri Bistro acho, woner gmerkt hät dass er so än schnelle Radler isch dass er gar nöd so hett müesse Stresse. Aber dur die jüngschte Massreglige vom CBO über angeblich nöd privati DF-Iladige (so dass nöd Hinz und Kunz an DF chömmed) isch ä gwüssi Nervosität scho vorprogrammiert gsi. Als Erschte vor Ort ischem dänn zuefällig dä Ebito über dä Weg glauffe, wo ebefalls i di grosse Massreglerei vom CBO inegrate isch (er söll gfälligscht au mal wieder verbicho). Ob die zwei Ussage konsistent sind, sei dahingestellt. Churz drufabe sind die Herre PKN, CBO und JWU au na däzuegstosse, und well die beide Langziitabwesende YMI und SJU sich offiziell abgmeldet händ isches dänn is fascht leere Bistro gange. Zur grosse Entrüschtig vom JWU (mir chömed immer genau dänn wänns lang gaht) händ sich d’Kebabierè trotzdem ihri Ziit gnoh, was sich aber nöd so ganz i dä Qualität vo allne Donner niedergschlage hät. Mit ere gsunde Portion Schadefreud hät dä CBO bemerkt, dass äm Ebito sind Kebab am tröpfle isch, und somit isches wieder mal zur Wiese ohni Sitzplätz im Schatte gange. 
Aber s’Schicksal schlaft nie wänn mers useforderet (Quelle: isch so), und chum hät dä CBO dä erschti Biss vo sim Lünch gnoh hät au sin Dürüm agfange, Sauce am untere Endi usezlah. Immerhin hät er sich als Wiederguetmachig uf än wiitere Polterabig chönne freue, und sini bescheidene Chleider sind unbeschadet dävocho. Dä PKN hät sich trotz äm schriftliche Prüefigsendi keis Bière gönnt, well er sich na uf sini orale (hehe) Fähigkeite bim zweite Teil muess verlah, und alli Alkis uf dä Parkbank sind natürlich höchscht enttüscht gsi dass si kein neue Trinkkumpan händ chönne rekrutiere. Dete wird dä PKN aber trotzdem ende wänn er sis einzige DF-Ämtli vom Jahr nöd bald macht, well er vom nä unbekannte wo sehr ähnlich usgseht wie dä MSO/MST abedonneret wird! Dä JWU hät nach afänglicher Widerwilligkeit doch na bi sim eigene EM-Tippspiel mitgmacht, wells gemäss ihm doch s’einzig bruchbare seg. Leider hät dä MSO/MST d’Deadline verpasst, trotz grossmuligem Akünde dass er au mitmacht. Aber die Schwache chlöpfts hald. Apropos, niemert hät dä neui EM-Modus so genau verstande, aber mer isch sich einig dass d’Schwiiz wie immer wird enttüsche, obwohl mer jetzt doch scho fascht es Jahrzehnt mit enere goldene/blonde Generation spieled. Und nacheme Exkurs übers «Paketgate» vom PKN i sim diebische Wohnkomplex hät mer sich dänn hald wieder dä Nostalgie über Fuessballreise (Stand hüt sind mindeschtes 4 verschiedeni in Planig) und äm letschti zwenig praktizierte Meier-Müller gwidmet, um dä glungeni DF abzschlüsse.
A tut alör
MSO/MST (Nr.  7)
- Hauptstatistiker (wenn er si dänn verschickt: Villicht chunnt di nächscht Zämefassig pünktlich, aber wahrschinli nöd. Oder scho, who’s know)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</si>
  <si>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PKN, letschti Warnig, suscht wirdi steihässig, mach mal dis Ämtli! 
So, und jetzt hallo. Es isch än freudige Tag, obwohl alli wo vorher reklamiert händ dasses zchalt isch jetzt säged dass es zheiss isch. Dä SJU isch wieder da, und wells da so vill wärmer isch als in Portuguesch isch er grad mal locker an DF gschwumme. Trotzdem hät er sich nöd getraut es Tänk Top azzieh wie dä Jinderletscht, wo sich gern quält und will verbiiluege wie dä zweitbeschti Verein vo dä Schwiiz ohni in gedeiht. Na chli eleganter isch dä MSO/MST kleidet gsi, mit offiziellem DF-Shirt, wo ihm endlich mal chli Bewunderig ibracht hät. Au dä PKN hät Grund zum Fiire (und hoffentlich zum endlich sini Revision vo dä DF-Stats abzschlüsse!!!) und er dürfti sich hüt endlich mal wieder äs chüehls Bière gönne. Au dä YMI isch mit vo dä Partie gsi, um na churz go hoi säge vor sine Ferie bis im Auguscht. Wenns öpper verdient hät dänn er. Und natürlich isch dä CBO au uftaucht mit sim lässige Chäppi, und sinere weniger lässige Persönlichkeit. Somit hät nur dä JWU «gfehlt», wo irgendwo am «Wandere» isch im Ticino. 
Wie immer isch s’Züri Bistro halb leer gsi, und au wie immer isches doch es Ziitli gange bis alli ihre Dürüm i dä Händ gha händ. I dä Zwüscheziit hät dä CBO gforderet, mer söll dä Verein in Haloumi-Fritig umbennene (er isch übrigens neuerdings dä junge Grüene bitrette), dä Jinderletscht hät über d’Schwiizer Nati philosophiert, und d’Autobesitzer händ sich ustuscht wie si amigs ihres Auto wäsched (nur im Rege). Uf äm Weg zur Wiese häts es erschts Update geh vom SJU, wo äm MSO/MST über dä grüeni Rosé vo Portugal verzellt hät, und nachdem er sich unter Träne vo sim zu scharfe Donner erholt hät, hätter nachli blöfft dass si ganz Portugal abgfahre sind. Natürlich wird mer Lissabon jetzt mal zerscht abriegle nachdem öpper di ganz Stadt agsteckt hät (er und/oder d’Engländer), aber die Schwache chlöpfts hald. Dänn häts na heftigi Usenandersetzige geh über die kulinarische Perle Francesinha und Poutine, und dä Jinderletscht als gröschte Blöffsack hät sich mit alte Roiberpischtole vo sine Portugalreise ufgspielt. Quintessenz: es isch wunderbar mit dä Englender in Porto go brügle.
S’grosse Highlight für mich isch aber dä CBO gsi, wo sich extrem enerviert hät über die extremi Enervierig dass alli Natispieler mitem Lamborghini uftauched. Uf dä Kommentar vom Jinderlescht dass au Basketballer in Lambos ifahred hät dä PKN zurecht bemerkt dass die wahrschinlich gar nöd is Auto würded passe. Allerdings. Und als Abschluss na ä chlini Bemerkig, dass dä CBO das Fiskaljahr bis jetzt am zweitmeischte an DF cho isch (eigentlich am meischte mitem MSO/MST, aber dä fälscht sini Statistik ja eh immer zu sine Gunschte). Somit es grosses Bravo, und es sunnigs Wuchenend. 
MSO/MST (Nr.  7)
- Hauptstatistiker (wenn er si dänn verschickt: Alli händ denkt si chunnt erscht nächscht Wuche, aber dänn isch si doch scho die Wuche 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</si>
  <si>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Herzlich willkomme, jetzt wo mer offiziell is Fiskaljahr 2021 überegruscht sind und euse Revisor (danggschön, sehr amüsant) s’letschte Jahr abgschlosse hät. Ich bitte für die wos nanig gmacht händ, dä usstehend Betrag gemäss Revisorbricht an Financier YMI z’überwiese. 
Dä SJU isch hüt so früeh gange isch hät ers trotz all sine Bemüehige zerscht is Züri Bistro gschafft. MSO/MST isch wie immer mit vo dä Partie gsi, und dänn häts angeblich dä PKN gchlöpft well in Züri d’Trams au nüme so verlässlich fahred wie au scho. Früehner isch alles besser gsi, ussert allem wo schlechter gsi isch. Aber dänn isch zum Glück s’Tram glich cho, bravo. Leider isch dänn doch eine vo dä agseite Teilnehmer usgfalle, und zwar dä JWU, wo imnä üsserscht wichtige Fründschaftsfüdlispiel hät «müesse» go tickere. Sini Lücke hät dä Jinderletscht gfüllt, natürlich meh schlecht als recht. Und wie scho erwähnt vo eusem Presidente sind d’Herre YMI und CBO hüt abwesend, und bsunders dä Zweit hät somit sini usgezeichnet Jahreswertig scho mal verwässeret. Wie immer zieht dä MSO/MST somit uf und dävo, und er wird wahrschinlich au nüme igholt, so Gott will. 
Nachdem dä Tätschmeischter däfür gsorgt hät dass sini Lakeie au die richtige Donner schnell gnueg uffülled hät mer sich bim Plantschbecki niederglah, und ufem Wäg hät mer än Töfflifahrer überholt wo mit sim neue Fahrstil (Rückrad ohni Luft und scho halbe usgfädlet) eher weniger erfolgrich unterwegs gsi isch. Am Becki hät dä SJU grad agfange hät mitem Blöffe vo sinere astehende Wanderig uf dä Zündhölzlispitz, und mir hoffed dasses ä Flamme git und dass er am nächschte Tag na chan laufe, nöd wie dä PKN wo das mal nüme fertigbracht hät nach mä 18-stündige Herkuleslauf. Au suscht isches für ihn än erfolgrichi Wuche, well er sini Prüefige abgschlosse hät und sich jetzt wieder dra muess gwöhne, wie mer effizient am Morge scho afangt Alkohol konsumiert. Nebed dem hät mer sich meh oder weniger ufgregt über alli wo sich jetzt über allfälligi Delta bis Omegavariante ufregt, und wie sich dä Staat sini Ufgab nöd eifacher macht mit dä ganze Panikmacherei und Impfige für Neugebohrene. Natürlich gits bösi Zunge wo behaupted, dass seg gewollt, und mir werded gseh ob die sogenante Aluhüet Recht bhalted. Währenddessse hät dä Jinderletscht lamentiert, wie er chürzlich mitem CBO bim Schachspiele mit hämische Kommentär in usländisch ideckt worde isch vo dä lokale Schachlegende Czsyrilsk Zbouszkqets. 
Und natürlich hät dä MSO/MST sini Freud gha, die lokal Vogelpopulation mit sim Donnermais zfüettere, was die ganz giggerig gmacht händ. Schmächlichi Usdrück wie «scheiss Finke» und «Frechspatz» sind gfalle. Apropos Frechspatz, dä CBO isch dänn doch na cho nach sim Ehevorbereitigskursm aber so spat dass es na als LI zellt het, also njet Aweseheitspünkt. Däfür hät er därfe es paar Formular usfülle mit Infos woner entweder scho mitgeh hät, oder mer au eifach online chönnti bereitstelle. Am Schluss isch wie immer Nostalgie agseit gsi, und mer hät gschwärmt und glacht über alli Interviewlegende im Fuessball wie äm Ruedi Völler (dä Völlscht isch dä Töllscht). 
Ich wünsche es erfolgrichs Wuchenend a alli, ussert dene wos nöd verdiened. Also allne.
MSO/MST (Nr.  7)
- Hauptstatistiker (wenn er si dänn verschickt: so schnell wie im Bett)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</si>
  <si>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Wie vorgmeldet vom Iladigsversender häts hüt richtig greblet mit dä Abwesende (Gratulation an CBO für das schöne Foti woner gschickt hät, aber mer merkt dass d’Arbetslosigkeit sis Lebe scho uf dä Chopf stellt. Hehehe). Somit sind nur dä JWU und MSO/MST vor Ort gsi, und es isch au nöd vill verzellt worde, well die beide Herre ja bekannt sind für ihri allgemeini Zrugghaltig und Abneigig zum Blöffe. Dä JWU hät sich usserdem liecht verfahre, und trotz sinere Nödberücksichtigung vo mindeschtens 6 Rotliechter (wie gseit, kei Blöffereie) und andere Verkehrsregle häts nöd ganz glanged dä LI z’verhindere. Trotzdem hät mer sich uf dä neue Donnerwiese wiedergfunde und nach mä churze Hugo-Müller händ sich die beide im Schatte versteckt vor dä böse Sunne a dä Langstrass.
Es isch philosophiert worde über d’Schwiizer Nati, die viele Möchtegernexperte mit ihrem Halbwüsse, und wies bald Ziit isch dass mer sich wieder andere Sache im Lebe widmet, wie zum Bispiel än guete Jass zchlöpfe. Es isch sinniert worde über die positiv Entwicklig vo dä Arbetswelt, und dass mer au mal vo dihei wird chönne schaffe i dä Zuekunft, ussert mer isch bi dä unfähige UNO (nöd s’Chartespiel) agstellt und chan nur ei gsamthafti Regelig für s’ganze Unternehme duresetze. Und natürlich hät mer sich ustuscht wo mer hüt s’Spiel des Jahrzehntausends luegt. Gemäss Möchtegernexperte Jinderletscht hett mer mindeschtens am Mittwochmorge sit äm 6i müesse astah a dä Langstrass um au nur dä Rand vomnä Bildschirm zgseh, und während dä JWU sich uf dä Idaplatz getraue wird, hät dä MSO/MST gnueg vo all dem Brügle und luegt dä Match lieber dihei. Gemäss dä beide Fuessballkenner gits hüt übrigens entweder än Huettrick vom Tscherdan, oder er wird i dä 60tä Minute usgwechslet und spielt nie meh für d’Schwiiz. Mit dem hät mer sich wieder uf dä Weg is Homooffice begeh, obwohl dä Pride Month leider verbi isch. Und da na ä chlini Überraschig: Well dä MSO/MST grad extrem hässig isch uf d’GSCS und sich endlich überleit als Letschte vo dem Verein us dere Luuserbank usztrette, hät er sich mal chli Ziit gnoh um alli DF-Zämefassige id Stats inezchlebe (Tab: Participation), dämit all die schöne Wort vo MSO/MST und SJU zentral abgleit sind und d’Ewigkeit überdure chönd.
Und well sich so vill Lüüt a verschiedene Ort in Europa ufhalted, gits hüt mal chli Usserhuusufgabe: 
• YMI: Bitte am Chiellini churz säge er söll nöd spiele am Abig, dämit d’Belgier wiiterchömed. Suscht isches erlaubt sich zruggzlehne und än Campari zgnüsse. 
• CBO: Bitte än französische Schnauz wachse lah und äs Macron mitem Macron esse. Optional: Nöd vo dä Gelbveschte verbrüglet werde well mer sich mitem Macron troffe hät. Nöd optional: Bim Zoll verbiluege um eusi DF-Hoodies go abhole. 
• SJU: Bitte ufpasse bim abrüf- und abriilaufe, und churz am Constantin hoi säge ohni als Trainer agstellt und grad wieder entlah werde
• PKN: Bitte äm Chund säge er söll gfälligscht eusi DF-Timelines izhalte, und endlich än richtige Blocker in Kalender inetätsche nach über 5 Jahr. 
Bis nächscht Wuche, hoffentlich mit grösserem Uflauf als hüt. Hopp Schwiiz, obwohl ich schwarz gseh mitem Zakaria im Mittelfeld
MSO/MST (Nr.  7)
- Hauptstatistiker (wenn er si dänn verschickt: all-time history record für am schnelleschte usegschickti DF-Stats und Zämfassig)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</si>
  <si>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Allora liebi Mondchinder 
Dunkli Wolke sind am ufzieh gsi hüt Morge, und sogar dä Hydrolog isch besorgt gnueg um sich bi dä Edelzitig 20Minute zmelde. Usserdem häts dä JWU «Schöpf jetzt gchlöpft» well er d’Implantierig vom Bill-Gates-Microchip nöd so guet vertreit hät, und er hät hüt leider nöd chönne teilneh. Und dä YMI isch immer na am Flanniere und Gnüsse in Italia. Trotzdem häts än Liechtblick geh mit dä Exploration vom mit&amp;ohne Kebab. Dä CBO isch entzückt gsi dass er kei Hose hät müese alege, und dass er än triftige Grund gha hät sis Huus wiedermal z’verlah, und mer hät somit voller Vorfreud s’faszinierende Lokal betrette. Ussert mer isch dä PKN, wo sich dermasse über dä Hipsterlade ufgregt hät dass er direkt is Ararat spaziert isch um sin Donner dete abzhole. Während äm Warte händ sich MSO/MST und SJU uf höchschter intellektueller Ebeni ustuscht über Organisationä wo sich meh über Diversity und Klimaneutralität profiliered als ihre Job richtig z’mache, und dä CBO hät verzellt wie er im Land der Frösche erscht mit heftiger Verspätig acho isch, well die verwöhnte Gurke mal wieder händ müese Streike. Sakreblö. Dänn isches wiiter gange, und bim Anja Polatzki Platz hät mer sich uf ere Bank niederglah. Die wo sich in neue Kebab gwagt händ sind absolut überzügt gsi vo dä Qualität, wo natürlich au sin Priis hät, und mer isch am gnüsse gsi i dä brennende Sunne. 
Apropos, dä SJU hät bi sinere Wanderig im Val Is nüt abrenne lah und zur Absicherig grad 5 Fläsche Wii mitgnoh, und mer hät sich amüsiert über das «Drittweltland» (CBO) wo mer nöd mal flüssend Wasser hät, sondern muess dä Schnee go Schmelze. Dä PKN hät korrekt errate dass dä MSO/MST än Chatzetyp isch, und trotz äm PKN sinere Vorlieb für Hünd händ sich die beide gmeinsam ufgregt über Lüüt wo s’Gfühl händ ihri Huustier seged so wichtig dass alli andere konstant wännd wüsse wie geil si seged. Zellt übrigens au für Chind, und falls dä MSO/MST mal 1 Stund über sin zuekünftige Sohn Beni Huggel Storz dä Erscht reded, bitte churz ä Flättere geh. Danke. Bevor sich dä PKN dänn früehzitig verabschiedet hät isch na usecho, dass s’Jasstraumpaar CBO und Luca H. wiedermal in Senkel gstellt worde isch, für eimal aber nur well sich dä Jinderletscht ganz frech usegwiese hät mit 7 Buure. Und wänn mer vom Tüüfel redet, da isch dä Luca H. doch grad mitem Velo (und am Händy) a dä Bank verbiigschliche, und hät sich na churz zu dä verbliebene DF-Mitglieder gsellt. Glücklicherwiis hät sich dä MSO/MST schnell chönne verabschiede, dämit kei Sunnebränd entstönd. 
Als Abschluss will ich da na dä Herre YMI und SJU danke, dass si ihri Ufzgi gmacht und mir au dävo brichtet händ. Git es Sternli is Tollgeheft, und sie werded somit in Zuekunft teilwiis vo bissige Kommentär verschont. Vom Rescht bini schwer enttüscht, bsunders vom CBO. Und äm JWU. Und äm PKN. Und wänn mer scho däbi sind, ich möchti gern dä Massregler beufträge dass er dä CBO massreglet für sini unflätigi Wortwahl gäge dä MSO/MST im DF-Chat während äm Schwiiz-Spanie Spiel. Danke. 
Ich han jetzt Ferie, und schribe mini Zämefassig nächscht Wuche nöd vo dä GSCS, also nöd verschrecke wänn plötzlich öppis vomnä Hotmailaccount chunnt. Tschüss, und vergessed eui Geschenk an CBO nöd morn.
MSO/MST (Nr.  7)
- Hauptstatistiker (wenn er si dänn verschickt: tbd)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</si>
  <si>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zäme
Zämefassig vo letscht DF: Es isch sehr schön gsi.
Bis am Friitig.
Säschi
</t>
  </si>
  <si>
    <t xml:space="preserve">Mi scusi, mi scusi,
Wie immer vill zspat chunnt die letscht DF-Zämefassig inklusive Stats. Unglaublicherwiis isch dä MSO/MST zfuul gsi am Fritig na öppis zschribe, und isch dänn im Bündnerland verhocket. Und nöd nur das, er verpasst au dä DF vo morn, well er sich s'erscht Mal sit 2019 wieder uf Estonia getraut. Natürlich isch d'Mari schuld a dere Tragödie, und sie unterbricht au am König sini wiisi (oder schwarzi, isch ja genauso schön wie wiis) Weschte vom Fiskaljahr 2021. Glücklicherwiis gits än Liechtblick i dä Form vom SJU und sine mindeschtens so amüsante Zämefassige wo alli bald erwartet. 
Jetzt isch aber gnueg mit Entschuldigunge, und ich versuech mich mal dra z'erinnere was am Fritig so alles passiert isch. Agfange wird mit dä Absenzelischte, wo dä Langziititaliereisendi YMI, dä Kretainselgnüsser PKN und dä MiniverlobtiischwichtigeralsdäDFkari CBO umfasst. Bsunders bim Letschte därfti mer dä Finger ufhebe, und frage ob dä Erwerb vom nä neue Bürostuehl tatsächlich ä besseri Investition isch als am noble Verein des Donners biizwohne. Däfür isch dä JWU awesend gsi, bevor er sich als Katastrophetourischt uf Annenxy wagt um die Region z'annexiere. Mer gspürt dä Ifluss vo dä Rosän als UNO-Verantwortlichi für irgendöppis ganz klar, und mittlerwiile händ sich die meischte Seeä, Flüss und Hydrologe wieder beruhigt. Au mit vo dä Partie isch dä Presidente SJU gsi, wo leider dä Verluscht vo sim Hipstervelo hät müese verarbeite, wells sini Reife gchlöpft hät. Drum isch er au zFuess und schön gschniglet dähercho, well d'ZKB ihri Mitarbeiter wieder teilwiis is Büro beordert hät. S'Apropos folgt grad nach mä Verbindigssatz. 
Wells wie us Schütter gchüblet hät isch mer in altbekannte Unterstand gflüchtet, und hät dä Donner vertruckt. Apropos ZKB, gwüssi Wo*Manager i dä Luuserbank 2 werded gnau druf luege wänn ihri Schützling im Homeoffice sind und wänn nöd, und falls sich irgendwelchi Muster erkennbar mached behalted sis sich vor, rigogogogoros izschrite. Was au immer das heisse mag, es wär ja skandalös wänn sich gwüssi Lüüt es greglets Program würded zämestelle wänn si is Büro gönd und wänn nöd. Wie immer gits hald na die alti Garde wo s'Gfühl hät dass mer sich nur chan als Chef profiliere wänn so vill Persone wie möglich awesend sind, suscht chan mer si ja nöd kontrolliere. Ganz ähnlich hät das d'Luuserbank 1 (GSCS) für Jahre gmacht mit ihrne Townhalls wo mer amigs vo obe abe Mails umedonneret hät wie wichtig s'doch seg dass sich alli uf dä Weg zum Paradeplatz mached (30min), dä Saal fülled dämit sich Manager xy geil fühlt (1h), und dänn wieder zruggfahred (30min) ohni öppis glernt zha. Dä MSO/MST würd das ganz anderscht mache (nöd dass er jemals i sone Position beförderet würdi, für das isch er eifach intellektuell nöd ganz 200'000). Er würd jede entlah wo uftaucht, well die Person ja offesichtlich nöd gnueg ztue hät und mal schnell 2 Stund chan verchlöpfe für njet. Dä SJU würd die Sach wie folgt agah: sin Vortrag 1 Minute lang halte, schnell userenne und d'Türe abschlüsse. Dä JWU hingege chönnt sicherlich mit sim Data Science Abschluss blöffe (wänn er än dänn hät im 2029i). Vo dä andere Gsprächstheme und suschtige Insights vom Albiplatz isch wenig bekannt, villicht well am MSO/MST sis Gedächtnis au nüme so frisch und fründlich wie früehner isch. Jänu, so isch, und ich wünsche morn trotzdem än wunderbare Dürüm mit Wasser 
MSO/MST (Nr.  7)
-      Hauptstatistiker (wenn er si dänn verschickt: eieiei, miserablè, ich gelobe dass dä SJU (Kongräts zu dim 200tä DF-Bsuech letscht Wuche!) sini Zämefassig schneller usejasst) 
-      Vize-Präsident (selbsternannt, aber bim DFQV 2020 bestätigt)
-      Vize-Iladigsversänder
-      Kommunikationschef (selbsternannt)
-      Head of 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</si>
  <si>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Dä MSO/MST isch wieder zrugg in alter Schwächi, und hät sich mit sim rote Flitzer richtig Albisriederplatz gwagt. Bi sinere Akunft hät er nöd nur es paar altbekannti DF-Mitglieder (PKN und YMI) vorgfunde, sondern au na dä Ebito und leider dä Jinderletscht. Chli später sind dänn CBO und SJU (fascht zspat) itrudlet, und s’grosse Chaos isch losgange wer jetzt welle Dürüm und Haloumi-Donner bstellt hät. Während äm Warte hät dä MSO/MST chli blöfft was für än schöne Tään er in Estland ufgschnappt und welli kulinarische Leckerbisse er lieber usglah hät (Salat mit 5kg Mayo und chli Hering). Dä CBO sinersiits hät ihn natürlich welle überblöffe, und er hät vo sim neue Freelancerlebe verzellt, und wie er dä grossi Stress gern mit Wanderige à la JWU usglicht. Dä YMI höchschtpersönlich isch wie erwähnt au wieder mit vo dä Partie gsi nach sinere Italiereis, und obwohl kein Blöffsack wie dä Rescht hät er doch gern vom schöne Wetter und sim Bsuech bim Pizzaweltmeischter Buitoni Barilla gschwärmt, trotz äm PKN sim Kommentar es gäbi ja eh 10’000igi Pizzaweltmeischter. 
Mit Kebab im Schlepptau (2 für dä MSO/MST, obwohl im niemert glaubt hät dä zweit seg für d’Mari) hät mer sich uf es Bänkli i die pralli Sunne gsetzt und na chli wiiterdiskutiert. Mer hät über ä wiiteri Jassniederlag vom CBO gschmuntzlet, wo nöd nur vergesse hät sini 5 8ti z’Wiise, sondern au nöd chan Farbe ageh. Gemäss Expertebricht segs i dä Höhli vom Jinderletscht eifach zu dunkel gsi, d’Augeoperation vom CBO seg chli hindeuse, und dä Wind hegi extrem abglenkt. Nöd mal dä YMI hät das Manko vo sim Partner chönne usgliche, und dä CBO stiegt langsam aber sicher id Kategorie vom JWU ab: Vill Potential, miserabli Resultat. Apropos Schadefreud, dä Ebito isch schelmisch am Lache gsi wells es paar Turnhalle vomnä Arbetskolleg verdonneret hät bi dä jüngschte Gwitter, währenddem er sich relativ schadlos ghalte hät. Very Nice. 
Nebed dene wichtige Ereignis isch eigentlich nüt gschids besproche worde. Dä Ebito und dä CBO händ dä PKN aghaue warum er dänn wie än Lumpe gaht go schaffe (Zitat SJU: Schöns Unterhemd (Anm. der Redation: er hät sis T-Shirt gmeint)), obwohl die beide selber usgseh händ als obs im Pijama cho währed, und während sich dä Rescht über Olympia unterhalte hät sind sich CBO und SJU wiedermal id Haar g’rate wege mä weltbewegende Thema: was isch grusiger. Ich gib na ä representativi Umfrag dure, dämit mer au abschlüssend chönd beurteile was jetzt stimmt: 
A) Mer isch chrank wänn mer gern Augeoperationsvideos vo sich selber aluegt, aber Film wo mer Pickel und anderi Zyschte usdruckt sind voll geil (Standpunkt SJU)
B) Wäh Zyschte melche, das isch doch pervers. Ich lueg mer lieber ah wie mer öpper mini Auge ufschnidet (Standpunkt CBO)
C) Beides isch eher unappetitlich, aber live and let live (Standpunkt YMI)
D) Ich hett gern beides glichziitig (Standpunkt Jinderletscht)
D) Ich will nur d’Resultat gseh (Standpunkt PNK)
Mit dem Zückerli verabschied ich mich, und wünsche es schöns Wuchenend. Insbesondere am SJU für sini Wanderig im Faas See, und dene wo sich traued s’romantischs Dinér vom CBO mitem Jinderletscht im La Côte z’störe. 
MSO/MST (Nr.  7)
-      Hauptstatistiker (wenn er si dänn verschickt: danke an SJU für die usfüehrlich DF-Zämefassig vo letscht Wuche, es isch als wär ich au däbi gsi, so wunderschön beschriebe)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</si>
  <si>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Morge mitenand, 
Hüt häts dä MSO/MST so härt gchlöpft dass er sich än LI izoge hät. Nöd nur händ ihn zwei Gurke am Telefon ufghalte, er hät sich au na dur dä Strassedjungel vo Züri müesse kämpfe und währenddesse sini Vereinskumpane bitte ihm doch än Donner vorzbstelle. Leider hät sich niemert erbarmt, und somit hät dä Vizepräsident müesse astah während dä SJU na uf sin Haloumiburger gwartet hät. Wenns regnet dänn regnets, well zu sim entsetze häts vor ihm i dä Schlange au na än Schinese gha wo unbedingt mit sinere Füdliwährig hät welle zahle, und nach 2 Minute diskutiere hät dä Tätschmeischter ihn dänn weggschickt, nachdem er flehendi Blick zu sine wartende Chunde gworfe hät. Natürlich hät dä Rescht vo DF &amp; the Gang scho agfange esse, und obwohl dä MSO/MST nöd ghört hät was diskutiert worde isch hät er gueti Quelle überall i dä Stadt. Die 4 Herre YMI, PKN, SJU und CBO händ drüber debattiert wer vo ihne dä bescht Natitrainer wär, und öbs doch nöd gschider wär dä Baschi z’rekrutiere. Glücklicherwiis hät dä Unsinn es Endi gnoh wo Teilnehmer Nummere 5 sich au an idyllische Tisch a dä Strass gsetzt hät. 
Interessanterwiis hät bis vor churzem dä Muskelkater grassiert nach ere bsunders intensive Session Hallefuessball am Mäntig, und sogar fitti Ziitgenosse wie dä Jogger YMI, dä Velofahrer MSO/MST und dä Wettkampfbièregnüsser PKN händs bis geschter zimmli i dä Bei gspührt. Mer weiss leider nüme ganz wer am Schluss gwunne hät, aber das isch ja au nöd so wichtig. Apropos Grass, aus Gurkenmann wird bald Ehemann, aber das interssiert ja eh niemert. Dä CBO hät dänn afange blöffe wie er im grosse Stil hät welle Wii vo France id Schwiiz schmuggle für sini Hochziit. Sis Gwüsse ihn dänn aber doch igholt und ihn däzue bewoge hät alles z’verzolle. Dä PKN hät dä Usflug is «mitoderohni» Donnerestablishmènt immer nanig verdaut und isch hart am häte gsi gäge Expats und andere Usländer dete, und dass d’Getränk immer na in Fläsche daherchunnt. Er gängi erscht dete ine wänns nüme so hippstrig isch, was au immer das heisse mag. Und natürlich hät sich dä CBO namal müesse in Vordergrund dränge, well er sich us Prinzip nöd will für 1000 Stutz 3 Wuche in WK zbegeh. So goes für euses erschte arbetslose DF-Mitglied. Die folgende Vorschläg sind vo dä grosse Gruppe vo Militärverweigerer präsentiert worde: 
• Dä CBO findet allne Widrigkeite zum Trotz än Job und verzieht sich grad mal i aständig bezahlti grüeni Ferie
• Er findet es adäquats Body-Double und chauft sich frei
• Er wechslet in Zivildienscht und gurkt chli mit äm SJU und Jinderletscht ume
• Er chan endlich bewiise, was all scho gwüsst händ: he has not all cups in the cupboard
• Die jüngschti Statistik zu dä Debatte Zyschte vs. Augeoperationsvideo zeigt am SJU sini Fähigkeite, mit Rundige d’Wahrheit kreativ z’verpacke. Drum fälscht dä SJU es Zertifikat wo zeigt dass dä CBO sehr zimmlich ä Hirnentschütterig hät. 
• Dä CBO findet än «Witch doctor» wo irgend än plötzliche Untauglichkeitsfötzel unterschribt, und ihm na es paar Heiligskristall mitgit
Wiiteri Vorschläg werded sehr gschätzt, bitte a di folgendi Adresse schicke
Crevette-Bouquet
Kartonbox unter dä Hardbrugg
8005 Zürich
Apropos Djungel, dä JWU isch immer na am flaniere irgendwo i dä Wildnis mit dä Zwilling, und mer wird bald im Blick vo sine Eskapade chönne lese. Mer munklet er hegi sich es neus Standbei als Strandmodel ergatteret, und mir wünsched alles Gueti. Atutalörs
MSO/MST (Nr.  7)
-      Hauptstatistiker (wenn er si dänn verschickt: Sport ist Sport)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</si>
  <si>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Oooh, wieder mal isch alles usem Rueder glauffe, 
Nachdem dä Fritig dä 13ti dä MSO/MST leider dra ghinderet hät, sini üblicherwiis pünktlichi Zämefassig zschribe, und sini Vorbereitige uf die heissi Hochziit am Samschtig all sini Ziit in Aspruch gnoh hät, häts leider bis hüt duret bis er sich vom grosse Wasserverluscht erholt hät. Aber jetzt isch er in frischer Älti zrugg und verzellt eu gern was sich am Fritig so alles zuetreit hät. 
Es isch churz vorem 25%-ab 12i gsi wo dä MSO/MST im Züri Bistro itroffe isch, und nöd nur die übliche Verdächtige sondern au dä Jinderletscht vorgfunde hät. Dä SJU isch ja bekannterwiis i dä Innerschwiiz verhocket, well ihm sin Brüeder wichtiger isch als DF + CBO Hochziit. Anderersiits isch es verständlich wänn mer dä tödliche Früehligsreis-Kombination Gurkenmann – Schoggi – Storz will usem Weg gah. Somit hät er leider nöd chönne verhindere dass dä Jinderletscht us äm Nähchäschtli plauderet und über äm SJU sini Vorlieb für Wal verzellt hät. Insbesondere die blaue hegeds ihm atah, sie mached ihn angeblich ganz wuschig, und das Ganze isch dänn ine langi Blöffrundi vom JWU sine Ferie usgartet, woner irgend än Gurkewal und 4000 Delfin gseh heg. Mindeschtens. Die Herre YMI und PKN sind meh ufgfalle dur ihri lange Hose und ihres schmucke Uftrette bi dene warme Temperature, und obwohl dä lumpig azogeni MSO/MST si da na belächlet hät isches sicherlich ä gueti Vorbereitig für dä Samschtig gsi. Dä CBO wiederum isch na relativ entspannt gsi vor sim spezielle Tag, und während er glaubt hät er seg ims sicherer hät sich dä Rescht am extrem spannende Thema virtuelli CuloPremierLeague gwidmet. Dä MSO/MST isch erscht wieder ufgwacht wo mer na churz s’zweite Hallefuessballspiel Revü passiere lah hät, und insbesondere dä suscht holzig SJU globt hät. 
Nach eme churze Abstecher zu politischere Diskürs (Zitat JWU: «die 99% Initiative, die isch super, det gits nume Gwünner») hät dä CBO dänn na därfe ä Roiberpischtole zum Beschte geh über än Kolljeg vo ihm, wo es Erotikkino a sonere guete Lag gkauft hegi dass sich sage und schreibe 5 verschiedeni Departement vo dä Baumuniversität Bern für die Lokalitäte interessiert heged. Und das trotz (oder grad wäge? Fragezeichen?) Hintergrundgestöhne bi dä Besichtigung. Während mer sich entsetzt drüber ustuscht hät, dass sones Kino s’holde hoble i dä Quasi-Öffentlichkeit ermöglicht, hät dä PKN äm MSO/MST dänn na ä heissi Anekdote übermittlet. Angeblich seg vorem legendäre Stüssihof d’Ritterstatue vom Ritter Stüssi (dä Name isch sicher än Zuefall) gchlaut worde, wo dänn i dä erschte Reihe vom Kino Stüssihof wieder uftaucht seg. Da hät eine sicherlich sini Hose schnell wieder a gha woner dä mächtig Ritter nebed sich gseh hät. 
Das wärs au scho gsi, und jetzt gits na es paar Idrück vo dä Hochziit: 
• Sehr guet organisiert, delikats Esse und Trinke, insgesamt absolut wunderbar
• Dä DJ hät doch tatsächlich än Musikwunsch vom MSO/MST zu spater Stund abglehnt, well er selber hät welle Hip-Hop laufe lah. Scandalè
• D’Afterparty bim Funk isch top gsi
• Irgendwo isch ä chlini Chatz umeglauffe, ebe geil
• Herzliche Dank a die Herre wo bim grosse Gruppefötteli mit Bière um sich donneret händ, hoffentlich überlebed die Momentufnahme und mer chan si identifiziere und zur Recheschaft zieh! Danke
Als Abschluss na öppis wo äm MSO/MST über dubiosi Quelle zuetreit worde isch, und mer bittet um es Statement vom CBO: Isch es korrekt dass er sich nach sinere lange Arbeitsloseziit dra mache will, es Hafermilch-Empire ufzzieh? 
Und als tatsächliche Abschluss seit dä MSO/MST für dä Fritig ab (Estonia) und dä CBO grad für die nächschte 4 (irgend ä Reis, weiss au nüme was für eini). 
MSO/MST (Nr.  7)
-      Hauptstatistiker (wenn er si dänn verschickt: Hafer, Lichter, Lecker)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</si>
  <si>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Tere mini Herre, 
Nachdem dä MSO/MST letscht Wuchenend vom nä Magier anere lesbisch-vegetarische Hochziit in Estland mental ustrickts worde isch, und dä SJU sis Vizestatistikerämtli chli sehr locker gnoh hät, gits hüt wieder mal ä saftigi Zämefassig. Vorusschauend wiener isch hät dä SJU somit denkt, er vermidet d’Schand vo dä öffentliche Steinigung wäge sim Lapsus und chunnt lieber nöd an DF, glich wie dä Weltebummler CBO. Alli andere sind aber wie gewohnt am Start gsi, und bi dä Akunft im Bistro hät mer die längscht Schlange sit jeh gseh. Drufabe isch ä executive decision troffe worde dä hütig DF in Ararat zverschiebe, wos dänn kei Lüüt ussert eus gha hät. Ufem Weg hät dä YMI chli blöfft vo sinere Arbet und dä MSO/MST vo sine Velotoure, und somit isch zumindescht än chline Teil vom Blöffvakuum ohni CBO und SJU wieder wettgmacht worde. Im Ararat häts grad mal alli ohni Bargeld verchlöpft wegere Mindeschtbestellmängi wo höcher gsi isch als dä Kebabpriis, aber dä Twint-versierti JWU hät zur Usnahm mal öppis zum Verein bitreit und grad für 3 zahlt. Während äm itauche i die mit Sauce überfüllte Donner (isch sogar für dä MSO/MST zvill gsi) hät mer sich über vorwiegend über Fuessball unterhalte, agfüehrt vom PKN, wo dä JWU usgfragt hät über sini neui Vorliebi zum Beachsoccer. Mer hät gwerweisst warum die Spieler dete so vill Freistöss inechlöpfed während die eigentliche Stars ufem Rase nöd mal än Blauwal würded treffe, obs ä Regeländerig brucht wo dä Abstoss grad zum nä Eckball uf dä andere Siite verwandlet, und ob dä JWU würklich immer alli Spiel verfolgt. Dä glichi JWU gaht hüt übrigens uf Senf anes romantischs Dinèr, und mir hoffed dass d’Roseääään hüt nöd 4 Stunde zspat chunnt. 
Apropos immer, dä JWU hät au na behaupted er segi immer am Laptop, fascht immer online, und fascht fascht immer am Schaffe während äm Tickerä. Uf dä schiefi und ungläubigi Blick vo dä Awesende hät er dänn schnell s’Thema gwechslet und sich über die miserabli Zämefassigspünktlichkeit beschwert, und dä YMI hät vorgschlage dä MSO/MST söll eifach is Lochernichtgut zieh dämit er wieder ziitiger chan liefere. Gäge äm SJU sini Leischtig isch leider keis Chrut gwachse. Apropos, mer hät sich dänn na gmeinsam gwunderet was für es Chrut dä DJ vo dä Hochziit Bousquets ächt ignoh hät dämit er am End vom Abig so zweg gsi isch, und isch dänn namal i glücklichi Erinnerige zrugggheit. Galant wiener isch hät dä YMI dänn versproche, dass er dä MSO/MST i sonere Situation sicherlich heigfahre het, aber nur im Kofferruum. Und zum Schluss na ä Frag wo sogar die 4 intelligentischte Mitgleider am Ararattisch nöd händ chönne beantworte: warum sind d’Unfallversicherige as Arbeitsverhältnis gchnöpft. Dä MSO/MST isch mal chli go nafrage, und es hät sich usegstellt dass zerscht Militäraghörigi dävo profitiert händ im 1887i, dänn alli Industriearbeiter nach dä Gründig vo dä SUVA im 1918i, dä Dienschtleischtigssektor 1964 und die arme Buure erscht 1984. Interessanterwiis isch d’SUVA früehner sehr restriktiv gsi und hät dä Arbeiter regelmässig «missbräuchliche Absichten wie Simulation oder krankhafte Übertreibungen (Rentenneurose)» vorgworfe, und somit isch früehner doch nöd alles besser gsi. 
Ich wünsche es schöns Weekend, und hoffentlich bis nächscht Wuche
MSO/MST (Nr.  7)
-      Hauptstatistiker (wenn er si dänn verschickt: Volg, frisch und pünktlich)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</si>
  <si>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Än wunderschöne heilige September, benannt nachem siebte Monet vom Jahr, bis dä Julius und Augustus sich na dridrengt händ und dä ganz Kalender durenandgwirblet worde isch. Und natürlich isches dä Geburtsmonet vom ehrewerte MSO/MST, än Säge und än Fluech für d’Menschheit
Aber gnueg blöfft, jetzt gahts um dä Chnebler. Nach dä churzfrischtigi Absage vo PKN und YMI und äm CBO wo ja eh nie meh chunnt, händ sich SJU, JWU und MSO/MST (vom Präsident anebeorderet) pünktlich wie immer vorem Züri Bistro troffe. Zerscht isch dä bissig Kommentar im DF-Chat debatiert worde, und nachdem dä JWU sin vorbereitete und igüebte Kommentar zum beschte geh hät («ich bin ja unter und nöd hinter äm PKN i dä Lischte, ussert wänn mer dä Screen umdreiht») hät dä Tätschmeischter wieder mal gluegt dass alli ihri Bstellig überchömed. Nebedbi hät er mit sinere Donnerstimm au konstant am SJU sini Gschichte über Mountnegro unterbroche, aber gwüssi Details sind doch duredrunge. Nebed äm allgemein guete Unterhaltigswert und äm Fäct isch usecho dass jetzt nur na die Fuessballbegeischterete dunne blibe sind (und dä Jinderletscht. Und dä Ebi. Und dä CBO). Zuesätzlich zu dä Erkenntnis dass unnatürlich vill Chilbi-Boxsäck i dä Gasse vo Podgorica bereitstönd, mit unklare Uswirkige uf d’Kriminalitätstatistik (Aggressione abbaue vs. wänns chlöpft dänn chlöpfts umso härter), isch dänn na ä Roiberpischtole par excellonce uf dä Tisch gleit worde: Dä SJU hät bim nä romantische Usflug mit äm Jinderletscht und Schrottchare zerscht ä Schildchrot gfunde, isch bim Auto abstelle im Buurehof Buric mit dä Wort «Bagger» und «Disput» druf higwiese worde dass si sölled umparkiere, und dänn ominös gwarnt worde dass si villicht nöd sötted dä Berg ufelaufe. S’Wort «Mine» hät offesichtlich nöd gnueg gnützt, und die beide Herre sind knapp anere Explosion verbigschlideret. 
Suscht häts na einigi unwichtigi Thema gha wo mer churz agschnitte hät. Am PKN sini miserabli Planig («ich han zvill ztue») wo ihn dra hinderet an DF zcho und trotzdem sin Kanadaabig ermöglicht isch sowohl als schlechtischti und beschti Usred beschriebe worde. Dä SJU hät dä MSO/MST churz na (berechtigterwiis) mit Tomate beworfe well dä Amatör sis Vize-Iladigsversänderämtli verpennt hät die Wuche, nachdem er dä SJU letscht Wuche wäge sim Lapsus (njet Statistik) chli azündet hät. Und nachdem usecho isch dass dä CBO sich d’Schnitzelbankperformance fascht scho verinnerlicht hät, hät dä SJU sini Hochziit scho mal adenkt damit au er d’Roseäään endlich kennelerne chan. Als Resultat sind dänn mehreri Rachefantasie ufcho wer mer extra nöd a sini Hochziit iladet well mer i dä Vergangeheit vo gwüsse Exponente übergange worde isch. Und natürlich isch ä wiiteri Biznizidee ufcho wo gemäss Gheimstatute (nur dä Gschäftsfüehrig bekannt) geischtigs Eigetum vom DF isch. Als Reaktion uf dä Poutine-Znacht hüt abig macht dä JWU än Poutineshop, dä SJU ä Bar mit exklusiv kanadischem Bière (inklusive Jelen Pivo, ghört zu MolsonCoors) und dä MSO/MST än Donnerlade im gliche Quartier uf. Was für ä Goldmine. Mine! 
Und apropos Gold, dä MSO/MST isch nächscht Wuche nöd ume, um s’Renne um dä Fiskaljahressieg wieder chli spannender zmache. Viu Spass dänn, und hebeds guet. 
MSO/MST (Nr.  7)
-      Hauptstatistiker (wenn er si dänn verschickt: Das sind mini Pflume und nöd dini Pflume)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</si>
  <si>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Hello and welcome to the Mänägement-Seminar
Am letschte Friitig händ sich die zwei Core-Members PKN und SJU pünktlich und in Begleitig vo de Escort-Boyz Hänni/Fritsche zum Züribistro begäh und sind erstuunt gsi über die Masse a Sek-C-Schüeler wo am astah gsi sind und au über s'rasante Tempo wo de Tätschmeister an Tag leit wenns drum gaht, dKundschaft möglichscht schnell und zfride abzfertige. Ich bin nach wie vor de Meinig, dass mer ihm chönted es DF-Shirt in XXL bstelle mit de Nummere 99. Er isch schliesslich de Wayne Gretzky vo de Donnermänner. Diskussione händ sich in erster Linie darum dreit, wer sBier vom Vorabig am meiste gspürt hät (Anmerkung der Redaktion: de PKN, SJU und Hänni-Luca sind am Do im Calvi gsi). Mitem Pascal Fritschiwiese als Eigeheimbsitzer und Vater simmer denn aber bald zum Theme wie Immobiliemärt, Hypotheke und Vaterfreude ( -sorge) überegschwenkt. Da de PKN momentan aber sehr beschäftigt isch im Pyro, hät er sich bald wider müesse verabschiede. 
Somit isch über alles wichtige brichtet. A letschter Stell möcht ich no de Vorschlag in Ruum bringe, dass de JWU sich allefalls mal chönt über en Sonderstatus im DF Gedanke mache. 
Häbeds guet. Und häbed mi i euem Härz fest. Häbed Sorg. Was au immer wird sii. – Plüsch
Bis am Friitig und LG
Säschi
</t>
  </si>
  <si>
    <t xml:space="preserve">Sali
Chli zspat aber immerhin na am Fritig chunnt hüt d’DF-Zämefassig chli zerzaust däher. Öppe so wie dä MSO/MST, woner am 12:21:56 s’Züri Bistro betrette hät nach sim Hölleritt dur dä Chreis 3. Obwohl dä PKN da es Aug zuedruckt hetti wird ihm somit än wiitere LI guetgschribe, und er übernimmt somit d’Füehrig vorem JWU i dä LI-Jahreswertig. Während mer uf die zwei Halloumi-Donner gwartet hät ischs äm Tätschmeischter gar nöd recht gsi dass mer nöd chönd dine hocke ohni Zertifikat (nöd dass mer eus beschwert hetted), und er hät sich mehrmals ganz herzig entschuldiget. Und dänn au na für sin Gurkemitarbeiter wo am MSO/MST sin Dürüm verpennt hät. Villicht hät er aber au s’Fiasko vom SJU sim tropfende Zmittag vorusgseh, aber dadäzue später meh. Apropos, also am SJU sin Kebab hät so härt tropft wie na nie. Dä JWU isch au wieder mal uftaucht, mit schönem Teint und Feteli vom Fischerdöfli xy in Italiä. Gemäss sinere Ussag hegeds ihn und d’Roseään nur i eim vo dä 100 Restaurant wos frequentiert händ nachem Zertifikat gfragt. Au dä CBO hät sich nach mä gschlagene Monet wieder blicke lah, und sini Räuberpischtole über d’Montenegriner händ die folgende Stichwort enthalte: Schmuggelroute uf Albanie, d’Ziegemafia, Have a nice day, nebed äm Iwechselspieler am Bislä, das chan mer nöd Stadion nenne. Währenddesse händ dä SJU und dä MSO/MST sich über ihri Wanderige respektive Velotoure uslah und enand mit Höhe- und Kilometer versuecht z’übertreffe. 
Nach all dere Blöfferei brücht mer grad än Erfrischig. Guet gits da dä SJU, wo dä nächscht Brauereibsuech scho is Aug gfasst hät. Leider njet däbi bim Dividendeversufe sind die beide Dame MSO/MST und JWU, wos trotz allne Bemüehige vom PKN (und reichlich vill Ziit) nöd gschafft händ sich es Teilnehmerpapier z’sichere. Die Schwache chlöpfts. Apropos, da isch dä ehrewerte Mitglieder doch grad dä letschti grossi Usflug id Bierfabrikation in Sinn cho, wo zum nä massive Wortgfecht zwüsched dä Parteie Jinderletscht und SJU sowie äm korrekt argumentierende MSO/MST usgartet isch, bezüglich wie vill ä einzelni Stimm dänn würklich zellt binere Abstimmig. Das hät dä CBO natürlich grad als Vorwand missbrucht um d’Ufmerksamkeit wieder uf sich selber z’zieh, und er hät vo sim neuschte Fo-Pas verzellt wiener sin Stimmzettel falsch ume is Cuwär gschteckt, und sich somit grad selber än Brief gschickt hät. Aber dadämit nöd gnueg, da hät doch dä PKN au na welle Mitblöffe, und er hät vo sine heldehafte Stunde als Stimmezähler verzellt. Apropos heldehaft, mer freut sich scho uf die nächscht Fuessballreis uf Helsinki, und druf dass dä JWU und Nikci «Gurkenmann» «Bald-Ehemann» Grass nach dere Saison ihri miserabli Karriere abschlüssed, somit nöd immer a ihri gurkige Unihockeyspiel müend und mer drum eifacher es Datum findet. Aber Vorsicht, das stimmt nicht. Oder villicht auch doch, sind erschti Grücht wo vom Hans-Peter Zaugg umegworfe werded. 
Apropos umegworfe, dä Tätschmeischter hät äm JWU dänn fascht na am SJU sini usetropfti Sauce über sini Hose gchlöpft. Leider hät er ihn knapp verfehlt, well er gemäss sinere Ussag na ä Reservehose parat gha hetti. Das wär somit s’Ziel für die nächschti Wuche, aber z’erscht wünschi ich mal allne es meh oder weniger (CBO) verdients Wuchenend. 
MSO/MST (Nr.  
-      Hauptstatistiker (wenn er si dänn verschickt: Jede wo die chlini Nachricht nöd list obwohl si gelb markiert isch hät ab jetzt ganz vill Pech im Lebe, däfür Glück im Spiel. SCB, nienemeh)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</si>
  <si>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Werti Asteher und Feriegäscht, 
Hüt isch kein guete Tag gsi i dä DF History. Zerscht häts mal greblet bim Astah (drum au die witzigi Ared, bitte churz lache), und dänn sind Grücht ufcho dass sich dä Nikci Grass interessiert zeigt hät, äm DF biztrette. Aber namal vo Vorne. Nachdem dä JWU und MSO/MST über- und die Herre PKN und SJU fascht pünktlich acho sind, hät mer entsetzt uf die Menschemängi im Züri Bistro gstarrt. Und nöd mal dä chlini Cashinflow vom CBO sim LI hät chönne über die über 20 Minute Warteziit hingwegtröschte. Dänn hät mer sich hald wie immer Ziit vertribe mit unnötigem Gschwafel, zum Bispiel dass dä PKN bald am Jinderletscht sin Nachber wird, und sini neu Wohnig trotz äm Referenzschribe vom Jinderletschtere übercho hät. Kommentar vom Sepp (Name der Redaktion bekannt) «Endlich mal ä HomoWG». Währenddesse hät dä JWU am SJU gschlageni 5 Minute lang d’Eigetorszene vo GC nöd nur erklärt, aber au mit Händ und Füess vorgfüehrt. Bim sehr hinderlischtige Versuech, das ganzä Prozedere mit mä Foti feschtzhalte isch dä MSO/MST dänn bim Rückwertslaufe grad am Handwerker uf dä Fuess gstande, aber dank sine Stahlchappeschueh und es bitzeli Humor isch die Affaire nöd zur erschte DF-Prüglete (mit P) worde. 
Natürlich därf mer dä Herr CBO nöd vergesse, wo grad es paar Niederlage in Folge hät müese istecke. Nebed sim LI hät er au na vo sim momentan verhaglete Gschäftsmodell verzellt, und er hät au na müese ghöre dass d’Corinna «Gurkenmann» BaldGrass ihn mit dä Frag «Hät er sini Eier verlore» abgstraft hät wo ihre sini Gschäftsidee zu Ohre cho isch. Bittrè, aber immerhin chan er sich hüt abig mit guete Kebabcici (wer weiss scho wie mer das schribt) und es paar Guttere montenegrinischem Billigwii rehabilitiere. Und apropos Gurkenmann, wie erwähnt überleit sich dä jungi Looserbänker, i eusen edle Verein iztrette. Es bestaht offesichtlich einiges a ufgstauts Aggressionspotential, und s’Bedürfnis zum dä Burscht chli z’piesake bevor er sich eus chönnti aschlüsse manifeschtiert sich i mehrere Vorschläg, aber wie dä SJU vorherseit wäri er wohl scho mit 5 Fränkli schnell abgschreckt. Usserdem isch na uscho dass sich die erworbene Bieraktie nöd ganz so fescht lohned wie gedacht, und mer drum entweder zu dä Zwillig an Geburtstag oder grad chli go Bergstiege gaht. Natürlich chönnt mer au ä ganzi estnischi Girlband bi sich unterhalte und ihne Fondue choche, wie dä MSO/MST, was dänn au zu es paar unerhörte Fantasie gfüehrt hät wo i dere Publikation leider nöd chönd veröffentlicht werde. Und zu gueter Erscht hät dä JWU dänn na sin Sermon zu dä schwiizer Glückspielbranche und Gsetzeslag zum Beschte geh, aber das interessiert ja würklich niemert. 
Somit wünsch ich es unverdients Wuchenend, äm YMI schöni Ferie, und mer gseht sich nächscht Wuche wänn mer nöd müend gäge dä bösi Kapitalismus go Demonstriere well d’99%-Initiative mit 99% abglehnt worde isch.
MSO/MST (Nr.  
-      Hauptstatistiker (wenn er si dänn verschickt:Ich gründe bald än neue Staat mit äm Name Montebianco und fange ä Fehde a mit Montenegro. Details folged bald)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</si>
  <si>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Dumm schnurre, lang astah, und drum na meh dumm schnurre, 
Das isch sit jeher s’inoffizielle Motto vom DF, und wänns früehner d’Muetter und ihres Gedächtnis gsi isch wo eus ä härti Verzögerig bis zum Erhalte vom edle Donner inebrennt hät, sinds hüt alli die Modefäns vom Züri Bistro und die teilwiis (trotz äm Tätschmeischter) miserabli Performance vo dä überforderete Kebabingenieure. I dä Abweseheit vom PKN händ hüt glücklicherwiis zwei vo dä gröschte Blöffsäck chönne zum unsinnige Gschwätz biträge. Dä mängisch einsami DF-Verräter Jinderletscht isch hüt vom jungfräuliche DF-Gascht Nikci Gurkenmann Grass begleitet worde, wo mal hät welle go Schnuppere wie mirs da so zäme händ. Gar nöd lang warte hät aber dä MSO/MST müese, wo us sim letschtwüchige Fo-Pa glernt und sich (trotz fascht zspatem Itreffe) fuxig füredrängt hät, und somit als erschte dä heilig Donner i dä Hand gha hät. Während dä Rescht brav gwartet händ hät mer sich bedankt oder gwundrig zeigt über am CBO sini Hochziitfotis, und natürlich (wie jedi Wuche) nach mä neue Standort vom DF-Stammlokal usgrüeft. Nebed dem isch äm JWU sini wüescht Jagge ufgfalle, und es isch usecho dass er sin Briefchaschte nie leert well er Angscht und Geld hät wege mögliche Betriibige. Das isch verständlich. Trotzdem därf er sich über äs Jassduell der Giganten morn am Abig freue, zäme mit dä «Stammtischrundi» MSO/MST, Nikci und äm Joscht (au Gräs gnännt). Leider hät dä Bsuech vom Nikci däzue gfüehrt dass statt über das langwiilige Premier League Spiel eifach über s’fascht so langwiilige 5. Liga Unihockey gredet worde isch, was also nur enere mässige Verbesserig entspricht. 
Uf äm Weg zu dä Wiese hät dä JWU dänn agfange über d’Critical Mass Bewegig abzlästere, mit dä Vorhersag dass die sich bald über die hohe Mietchöschte werded ufrege werded wo si (gemäss JWU) selber verursache werded, um dänn als Critical Mass 2 degäge z’proteschtiere. Da schafft mer sich d’Nachfrag grad selber, aber wie dä YMI bemerkt hät chönnts na schlimmer si, wie in Berlin wo mer ab und zue mal chönni enteignet werde wänns dä lingge Bazille grad passt. Apropos Bazille, dä MSO/MST hät sich däzue entschiede als letschte übrigbliebene GSCS-Looserbanker sin Bettel hizschmeisse, und mer munklet er tritt sini neui Stell nur a well s’Büro vo sim neue Arbetgeber i dä nächi vom Züri Bistro liit. Drufabe hät dä CBO natürlich grad vorgschlage eusi DF-Chnelle wieder is Sihlcity zverschiebe. 
Drufabe isch chli gcheflet worde zwüsched dä Parteie Looserbanker vo dä ZKB und dä RAV-Sektion CBO, und während dä JWU am Schwitze und am YMI sin Dürüm am Tropfe gsi isch hät dä CBO wieder mal chönne us äm Nähchäschtli verzelle. Trotz sine Umständ wo ihm meh als gnueg Freiziit beschered hät er sich letschti eher chli spat zum obligatorische Militärschüsse ufgmacht, sin Chlapf im Parkverbot abgstellt und isch dänn gfühlti 5 Stunde i dä Schlange gstande bis er ändlich hät därfe go Chlöpfe. Immerhin hät er dä Tescht bestande, nöd wie dä Amatör wo 3 Nuller gschosse hät. Nebed dem versuecht er immer na, sich vor sim unbezahlte WK zdrucke, aber er hät na keis Wundermittel gfunde um sich da usezwinde. Alles andere wo besproche worde isch ghört zur Kategorie «nöd wichtig gnueg, oder dä MSO/MST chan sich trotz Notize nüme dra erinnere». So is. 
Bonne Chance a alli wo morn därfed mitsinge binere ehrewerte Ladnerhochziit
MSO/MST (Nr.  7)
-      Hauptstatistiker (wenn er si dänn verschickt:Ich freu mi scho uf die ville Schiltinskis (also Schelle) wo morn abegjasst werded)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</si>
  <si>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Wieder mal hät s’Schicksal zuegschlage, und wege vill ztue und wenig Luscht hät dä MSO/MST bis jetzt müesse warte mit dä Zämefassig. Mer munklet aber au dass er «generische Ausrede einfügen», und drum chli zspat dra isch. Whos know. 
Am letschte Fritig hät mer es eigenartigs Bild vorgfunde bim Betrette vom Züri Bistro. Nöd nur isch dä Jinderletscht i sinere Lauchjagge am astah gsi, au dä Gurkenmann Grass und dä Rüeblibueb Päsche sind als unehrevolli Gäscht uftaucht. Si händ aber nur knapp d’Abweseheit vo SJU (Nacktbade in Östrich), CBO (Villichtbade im Ticino) und YMI (wahrschinlich i dä Badewanne) chönne abdecke. Immerhin sind PKN und JWU da gsi, und dä DF-Weltranglischtezweiti hät erneut dämit blöfft wie schnell er sini Wohnig übercho hät und wie er sich leschti zum Coiffeur traut hät. Dä JWU hät sich äm Meta-Blöffe gwidmet, indem er blöfft hät wie sehr er mit sim Hemd im Büro am Blöffe gsi isch. Villicht hät s’gemeine Fuessvolk wo suscht im Bistro frequentiert kei Luscht gha uf die ewigi Selbschtverliebtheit, es händ sich fascht kei Bsuecher in Kebabshop getraut, und somit isch (glücklicherwiis, wie nachher uscho isch) d’Warteziit relativ churz gsi. 
Well s’Wetter langsam chli chüeler worde isch hät mer sich zum erschte Mal im Bistro niederlah, und dä Tätschmeischter isch ganz schüch verbicho, nur um z’säge dass er mal animmt dass mir alli es Zertifikat händ. Mir händ somit scho än grossartige Idruck bi ihm hinterlah, und mindeschtens dä MSO/MST isch ganz grüehrt gsi. Und dänn hät dä JWU namal eis drufgleit und die härti Jassklatsche gäge dä GM Grass und dä Hobbyjasser Joscht Revü passiere lah. Nach mä chline Exkurs über ehemals erschtklassige Goalies wo jetzt i dä Zweitligaspiel umegrümplet wo dä JWU go Tickere gaht hät sich dä Herr Grass grad na ä zweiti Rundi gönnt, ä Donnerbox mit vill Zwieble, und hät sich mit dä folgende zwei Fakte chönne tröschte: Erstens isch er i dä erlauchte Presänz vo MSO/MST und JWU gsi, wo beidi au scho zwei Donner am nä DF tätscht händ. Zweitens hät ihm dä Tätschmeischter versicheret dass er selber au amigs zwei Döner nimmt. Das hät dänn ä Diskussion über äm MSO/MST sini estnische Gäscht ufbracht und d’Hoffnig vo allne, dass er mal ä massivi estnisch aghuchti Hochziit mit dä gröschte böhmische Schlachtplatte uftrumpfe wird. All die Träumereie sind dänn aber dur äs Telefonat vo dä Mari unterbroche worde, wo vom Kontrollfreak MSO/MST igschlosse worde isch well er beidi Huusschlüssel mitgnoh hät. Somit hät er sich chli verfrüehrt (aber ohni LIFO, well rechtziitig cho und erscht am 12:45 wieder gange) und mit Liechtgschwindigkeit wieder zrugg uf dä Weg i sis Apartemènt gmacht. Glücklicherwiis (apropos) hät er aber sin Donner scho verspiese, wege dä churze Warteziit. 
Nach sim irische Abgang hät mer eigentlich nur na s’folgende Zitat besproche, wo vo irgend ere SVP-Legende über d’Klimajugend gmacht worde isch: 
«Klimatouristen aus der Westschweiz, die auf ihrer Suche nach einer sinnvollen Tagesstruktur in Zürich gelandet sind»
Bis morn und dä hoffentlich pünktliche Zämefassig, aber d’Chance stönd wie immer nöd guet. 
MSO/MST (Nr.  7)
-      Hauptstatistiker (wenn er si dänn verschickt:»D’Saison isch verbi für Senf»(PKN,  Oktober 2021))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</si>
  <si>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Was? Scho wieder ä Zämefassig? Isch doch erscht gescht ayni cho. Ayayayverdis. 
Dete isches hüt au anegange, liebi Mitglieder, jedefalls für die wo sich getraut händ. Interessanterwiis stiigt d’Beliebtheit vom DF zumindescht bi dä Gäscht extrem, und au hüt händ sich wieder 3 Amatör zu eus gsellt. Während dä Päsche und dä Ebito Ebito mit normale Transportmittel is tüüfe Wiedikerloch hinterecho sind, häts dä Nicola Grass Gurkenmann (wänn er es Mitglied wär chönnt mer ihm au NGR säge, was natürlich herzlich belacht worde isch) natürlich müese übertriebe und er isch mit sim Protz-BMW vorgfahre, um es paar Shippipoints izsammle. Wänn das dä CBO gwüsst hett wär er natürlich nazoge, und mer hät gseh dass er hüt steihässig gsi isch wege dere versäumte Chance. Wie erwähnt häts hüt wieder mal es paar Abweseheitsbuesse gchlöpft, well dä PKN und JWU d’Segel gstriche händ. Anderesiits häts dä YMI gschafft mit eus än Donner zchlöpfe, er isch aber leider vom Ebi dem luute Blöffsack so übertönt worde dass dä MSO/MST nur chan brichte, dass er ä Roiberpischtole vo dä Polizei und irgendmä Phishingmail verzellt hät. 
Meh i dä Nächi isch am SJU sini Natelwahl ufgfalle, wo (wie sin Pänis) churz däfür lang isch. Gemäss eigene Ussage hät dä SJU mindeschtens 100 Milliarde Stunde überleit was er für es neus Modell söll wähle, und er isch sichtlich zfriede gsi mit dä Gsichtserkennig (hät nöd funktioniert bim MSO/MST, mer munklet well er so wiiss isch) und äm Potential bim Wandere extralangi Panoramawiitwinkelbilder zschüsse. Dä Nikci hät vom sagehafte Remis verzellt wo er und dä Luca gäge dä SJU und dä Päsche erreicht händ, und wie tüüf s’Niveau eimal meh gsi isch ohni d’Aweseheit vom nä veritable Jasskönig. Dä Salatic seg übrigens au na am zueluege gsi, aber das isch nöd verifiziert. Und natürlich isch am JWU sini neuscht Groundhopperidee vo Madrid in Ruum gworfe worde, und mer hät än Konsens gsuecht ob er sich würklich in Eviva Espana (Peter Wackel) niederlah wird oder eifach am Blöffe isch und glich meischtens i dä Schwiiz chillt. Einig isch mer sich aber gsi dass er i keim vo dä beide Länder die korrekte Stüüre würd zahle (wänn überhaupt). 
Wo dänn die mit Abchürzige kennzeichnete Donner cho sind händ sich die beide Finanzfüx Nikci und SJU natürlich gfragt ob die 5 Fränggli extra guet igsetzt worde sind (SJU: Cocktail isch grande), und dä CBO hät afange klage wie gross s’Loch wird si wo dä chlini Usflug i sini Arbetslosekasse brennt. Glücklicherwiis gsehts so us dass dä jungi Burscht aber wieder än Job a dä Angle hät, und gemäss Hans-Peter Zaugg isch dFirma Picks und Glockenturm extrem interessiert a ihm. Somit chönnt er au sini sit Monate debatierti Problemstellig löse, sich im WK nur mit mä billige Sold abfinde zmüesse. Er isch usserdem extrem STORZ dass er sich als Opfer bekännt (bestätiget dur d’Quelle Ebi) und ufghört hät Snuse, wahrschinlich well er sini schweri Sucht nüme chan finanziere dur dä Verchauf vo Möbel via Ricardo. Es isch ihm usserdem es Alige dass alli wüssed, wie sehr er eus benidet well mir nöd so schnell ufgänd wie er. Irgendwänn hät mer au na diskutiert wie mer am beschte äm Schlaf fröhne chan im Büro, und d’Quintessenz isch dass mer möglichscht usserhalb vom Nikci sine Adlerauge hockt, suscht verpetzt er eim. 
So das wärs, ich wünsche allne wo go Wandere gönd vill Spass, allne andere au, und mer gseht sich i 2 Wuche nach mine Ferie in Türkyie. Mer befürchtet aber dass dä MSO/MST abegstoche wird wänn er dete nach vill Cocktailsauce fragt für sin Dürüm. 
MSO/MST (Nr.  7)
-      Hauptstatistiker (wenn er si dänn verschickt: Ihr seht aus wie Galatasaray, ****** [dieses Wort wurde zensiert vom Diversity &amp; Inclusion Team wegen Hatespeach])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</si>
  <si>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Ja lüeg au da, isch das öppe wieder mal ä Zämefassig vom legendäre MSO/MST? Nei
Hüt hät mer sich wege eher chüele Temperature am nä Tisch im Bistro niederlah, leider ohni dä PKN wo gemäss guet informierte Quelle kei Luscht gha hät. Däfür isch die ganz Familie YMI mit ihrne 2.5 Lüüt awesend gsi, und während sich d’Nina am Tisch vo dä grosse Esser (und im zweite Fall grosse Schueh) mitem unehrevolle Gascht Nikci niederglah hät, hät sich dä YMI dä Committmenttisch mitem JWU gschnappt. Dadäzue grad na meh. Au na däbi aber wenig beachtet isch dä «ich bstell mer irgend än komische Haloumi-Bürger» Tisch mitem SJU und äm CBO gsi, und dä MSO/MST hät sich gägeüber vonere ältere Dame higsetzt wo sich ganz schnell mit ihrem Blick usem Staub gmacht hät. Und glücklicherwiis, well somit hät sich dä Hauptstatistiker voll und ganz chönne uf sini Tischnachbere konzentriere, und vom YMI ghört dass s’Baby (ganz wie dä Vatter) chli zspat unterwegs isch, und wegem chalte Wasser lieber na chli im Buch hockt. Mer wünsched natürlich ä gueti Nieder- und Zuekunft. Au ganz vill Committment zeigt dä JWU, wo sich am äm Jänner ab und zue in Spanie wiederfindet und au scho Lektione mitem Pablo Espressobar gnoh hät. Usserdem sinked sini Ufwänd für Pendelziit und -geld, er verbrucht aber meh CO4, und er wird somit als Umweltunverantwortliche vom DF erkore. Wunderschön, und da hät sich dä MSO/MST grad ad Huusufgabe vom erinneret sich z’überlege was mer für eusi Chlöpfete chönnti mache. Mer hät gfunde dass Endi Februar oder Afang März es Reisli zum JWU gar kei schlechti Idee wär, und mit mä 5-Sternhotel (Vorschlag YMI) hett mer sicher au endlich euse unheilig hochi Cäshbestand chli reduziert. Dä JWU macht än Doodle, vill Glück. 
Jetzt aber gnueg mit dene friedliche Theme, well hüt isch än grosse Debattiertag gsi. Die folgende usserordentlich strittige Szene händ sich abgspielt: 
• Die grossi Toast-Debatte (MSO/MST vs. Nikci (NGR)): dä erschti hät Recht und seit, es seg besser wänn dä Dürüm schön weich und guet faltbar isch. Dä zweit hät nöd Recht und hät gern wänn öppis verbrennt schmöckt, und verteidiget somit s’Toaste vo sim Kebab. 
• Die na grösser Tomatesalatdebatte (MSO/MST und YMI vs. JWU): Während die einte uf dä Wert vomnä liechte Znacht und dä fantastische Delikatesse plädiered, seit dä JWU irgendwo hörts uf und Salat seg kei Mahlziit ussert mer macht ä Diät. Nöd dass er je Tomate i sim Huus gha hetti.
• Die umstritteni James Bond Debatte (MSO/MST vs. YMI vs. JWU): Dä erscht seit es seg nur na bedingt än James Bond, aber d’Action und dä Daniel seged super gsi. Dem Pflichtet dä YMI bi, er isch aber insgesamt na chli positiver gstimmt. Dä JWU hingege findet es hegi zwenig (also nöd dä ganzi Film) gchlöpft, und er regt sich über die ganze Diversity &amp; Inclusion Element uf. Als Head Undiversity &amp; Exclusion stimmt dem dä MSO/MST natürlich zue. Quintessenz vom YMI: Dune isch besser. 
• Die chlini Höflichkeitsdebatte (JWU vs. JWU): Es isch komisch dass d’Spaniöggel ihri Höflichkeitsform i dä dritte Pluralform abhaltet. Au JWU: Macht mer im Dütsche ja au so. 
• Die abschlüssend Sauna/Baddebatte (JWU vs. YMIs, MSO/MST unentschlosse): Dä wüeschti Jaggeträger seit, es seg viel besser im nä heisse Bad zhocke, während d’YMIs beidi säged ä Sauna seg besser. Dä MSO/MST gseht dä Wert vom nä heisse Bad, aber isch vo sim estnische Ifluss doch au glücklich inere Sauna mit nackte Manne. 
Nach all dene Diskussione gits na es paar Wort zum Rescht wo nur am Rande erwähnt worde isch. Dä CBO hät nüt gseit, was sehr erfrischend gsi isch, ussert dass er sit äm famose Sieg vom EVZ Zug am Zischtig vonere Fäshionshow mitem Kalle und äm Lino träumt. Und dä SJU laht sich mit folgendem Satz zitiere: «Ihr sind alles Wixer». Jawohl. Viel Erfolg, und danke an SJU für die witzige Zämefassige. Dä erwarteti Ibruch vom MSO/MST laht na uf sich warte, aber d’ZKB isch ja nöd bekannt für gueti Vorhersage. 
MSO/MST (Nr.  7)
-      Hauptstatistiker (wenn er si dänn verschickt: (JWU: I bi Spanier süscht, wännd mi bi dä Rasse wotsch nenne)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</si>
  <si>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a alli, ussert dä Tätschmeischter wo sich zwar ä wohlverdienti, aber für eus sehr bitteri Ferieabweseheit gönnt hät. 
Hüt häts grad zimmli gchlöpft im Züri Bistro, und mer hät gspürt das gwüssi Exponente ihri Wuet nur schwer im Griff gha händ. Dur s’Fehle vom TM häts än na grössere Bsuecherstau i dä Donnerchnelle geh als au suscht, teilwiis au usglöst vom JWU wo 15 Donner und 16 Getränk glichziitig hät welle bstelle. Gemäss gwüsse Blöfferquelle hegs als Folg vo dem Drama fascht ä Schlegi hinted dä Theke geh. Dä Gwünner vo dem Chaos isch sicherlich dä SJU gsi, wo sich präsidial schnell sis Täschebrot stibitz hät, dä Verlüürer dä Nikci wos als Erschte bstellt und Letschte übercho hät. Er isch so steihässig gsi dass er sich grad na än extra Falafel gönnt hät. Leider isch er nöd im DF, drum bringt ihm die Leischtig au njet, wie dä JWU ihn ganz flitzig ufklärt hät. Au wiedermal mit vo dä Partie isch än frisch frisierte PKN, än lässig gkleidete YMI und än niedergschlagene Jinderletscht gsi. Ebe dä Letscht isch gescht mitem Luca vo dä Jasslegende MSO/MST und CBO radibutz vom Tisch gfeget worde, abgschlosse mit mä Obeabe-Match mit ungefähr 12 sichere Stich. Nöd umesuscht isch dä Luca als schwafelnde Jassprolet au steihässig gsi, insbesondere wänn mer gseht dass sin Gegner dä CBO inere Rundi zweimal am Stuck sini Röseli nöd ageh hät. Trotzdem häts locker glanget, und sowohl CBO als au MSO/MST sind am sinniere gsi dass si sich beidi nöd a ihri letschti Jassniederlag erinnere. Mer überlaht am Leser d’Entscheidig ob das es Resultat vo ihrem Jasskönnen oder schlechte Gedächtnis isch. Dä CBO selber hät aber jetzt grad chli ziit um sich das z’überlege i sine grüene Ferie, wo ihn doch einiges werded zruggwerfe i dä Fiskaljahresstatistik. 
Jetzt aber gnueg i guete Erinnerige gschwelgt, und zmitzt id Sauce. Wo alli dänn abgsesse sind hät sich dä SJU bemüeht, öpper z’überzüge dass er endlich än Donnerlade ufmacht dämit mer nöd immer so lang müend astah. PKN und MSO/MST händ drufabe churz diskutiert, obs sich überhaupt lohnt, sones Gschäft zfüehre ohni Familiemitglieder wo mer nur bedingt muess zahle. Quintessenz: mer chan d’Schwöschter ja au mit Cocktailsauce zahle. Dänn hät dä Jinderletscht, wo offebar mitere lingge Bazille agsteckt worde isch, agfange vo 30er-Zone schwärme, und au da wieder händ sich PKN und MSO/MST schnell vom langwiilige Thema verabschieded und sind abgschwelgt i Überlegige wie mer s’Pensionskasseproblem mit obligatorische 80er Zone vor Altersheim chan löse. Dänn isches am JWU gsi sis Wuetbürgertum z’zelebriere, und er hät gschlageni 5 Minute dämit verbracht sehr liideschaftlich ä gwüssi Fangruppierig vo GC (d’Vodkas) z’verunglimpfe. Während dä Jin relativierend igriffe hät, isch dä Rescht vo dä Zueschauer gnüsslich am lache gsi, insbesondere über die immer grösser werdende Gwichtsagabe vo dä Vodkas, wo mit 200kg agfange und mit sicherlich 800kg ufghört händ. Und well sich irgend än möchtegern-Ultra vom FC Sangalle-inemitemballe inen möchtegern-Podcast iglade hät isch na debattiert worde wie sehr Polizischte Fuessballfans proviziered und foltered mit schwerem Rauch. 
Als Abschluss hät mer sich aber wieder versöhnt mit äm Usblick uf Früehligs- und Madridreise (JWU: dä Doodle chunnt hüt abig), und dä Nikci hät eus bichtet das er doch lieber nur 1.5 Kebabs gha hett als 2. Und während dä YMI mit Bedure festgsellt hät dass er hüt leider nur am Rande i dere Zämefassig vorchunnt well er so wiit weg ghockt isch vom Hauptstatistiker hät dä SJU wie immer nume mit Schlötterli umegworfe und dänn glich na allne es guets Wuchenend gwünscht. Das mach ich jetzt au, und Hopp Schwiiz
MSO/MST (Nr.  7)
-      Hauptstatistiker (wenn er si dänn verschickt: (Jasse heisst Jasse well das Spiel mal vo dä Holländer importiert worde isch, und dä Jas dä Trumpfbuur isch. The more you know)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</si>
  <si>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Jesus, äs isch ja scho wieder Donnerfritig.
Nach dä fantastische Cordon-Brüglerei hät sich dä MSO/MST chli müese zruggzieh und das Ganze mal verdaue, aber gits öppis schöners als zwei Zämefassige a eim Tag überzcho? Njet. Drum chunnt jetzt alles was nanig us äm bedenklich chline MSO/MST-Hirn verschwunde isch. 
Es isch Fritig, 19. Novèmbre, und unnatürlichi Gschehnis spieled sich im araratische Donnerlade ab. Grad 4 Gäscht händ sich zu dä 4 DF-Mitglieder gsellt, und nebed äm kollegelose Jinderletscht, äm ZKB-Luuserbank-Blöffsack Gurkenmann, und äm ab-und-zue Dauergascht Päsche hät au dä Jassprolet Luca H. dä Weg zu eus gfunde. Als Gägegwicht isch eigentlich alles da gsi was Rang und Name hät, und dä JWU, wo scho am Bange gsi isch well er so bizi isch dass er hät welle wüsse obs au zellt wänn er am 12:21 wieder abhaut (gemäss Statute zellt än DF-Bsuech nur wänn mer bis am 12:45 blibt). Dä CBO isch i dä grüene Ferie, und dä YMI chunnt grad na. Trotz faschtigem LI vom MSO/MST hät er zimmli schnell än Dürüm ohni Wasser i dä Hand gha well dä PKN ihm güetigerwiis grad eine mitbstellt hät. Nach churzem Überlege hät mer sich dänn entschiede, zu dä Baustell Idaplatz z’Laufe dämit mer sich chli mit dä Büezer chan go ustusche. Dete acho isch aber nur dä YMI gsi, inklusive EMI, und mer hät sich fröhlich über s’neuschte DF-Mitglied sitem JWU ustuscht. Nöd ganz däbi sind dä SJU (au Sasa gnännt), Päsche und Luca gsi, wo sich angeblich ufem Weg verirrt und erscht nach gschlagene 10 Minute acho sind. 
Dä früschi Schoppepreperateur YMI hät chli verzellt wies so isch als Papi, und als Folg vo sine Gschichte händ dänn alli agfange z’Blöffe wie vill Muskle si scho verlore händ und wie alli locker am 3 am Morge chönnted ufstah. Bi all dem isch dä JWU ganz nervös umetänzlet, bis er dänn endlich usegfunde hät dass sis 12:51 Tram na locker langed dass ers na schafft FC Gümlige vs. EHC Maloja z’tickere. Währenddesse hät dä übermüedeti Päsche mit sim Sack voll Kafichapsle blöfft, dä PKN hät dä SJU gfragt ob sis SJU uf sine offizielle DF-Schueh würklich sini Abchürzig isch, und dä Nikci hät vo sine Luuserbänker verzellt wo amigs am Fritig abem 3 afanged Hülse im Büro zchlöpfe. Und natürlich hät dä SJU chönne uftrumpfe mit neue alte Weisheite über d’Märkt, wo sich angeblich wie im beliebteschte Schwiizer Wintersport verhalted. Wänns abegaht inere Krise gahts ganz eifach drum, schnurstracks dur dä Nebel durezrase, well irgendwo gahts dänn scho wieder ufwärts. Oder au nöd und mer knallt ine Wand. Aber who’s know. 
Zum Abschied händ all am YMI wiiterhin vill Erfolg gwünscht, und dä Sasa (für alli Gurke wos nöd an Cordon-Bleu Plausch gschafft händ, er isch so benannt worde dur d’Bedienig wo sini Reservation unter äm Name Sasa regischtriert hät) hät sich klassisch mit «ihr sind alles hueräsöhn» is Wuchenend verabschieded. Und über d’Ereignis im Rietberg wird isern gschwiege, ussert dass dä Päsche fascht igschlafe isch und dä JWU dä letscht gsi isch wo sini Rechnig via Twint zahlt und sich trotzdem gweigeret hät na ä Rundi z’zahle. #Sad
MSO/MST (Nr.  7)
-      Hauptstatistiker (wenn er si dänn verschickt: (Gipfeli am Steuer? Das wird teuer! (Quelle: Blick.ch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</si>
  <si>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JJesus, äs isch ja immer na Donnerfritig.
Wie versproche gits hüt am Black Friday zwei Zämefassige zum Priis vo einere. Da dä Priis mit 0.00 CHF relativ vernachlässigbar isch (bzw. zahlt än im Moment na d’GSCS mit minere Arbetsziit) mag das nöd än grosse Unterschied mache, aber dä resultierendi Nutze isch unbezahlbar. 
Hüt isch dä Bsuecheradrang im Bistro eher bescheide gsi, und zwar sowohl uf dä Siite vom DF als au vo dä reschtliche Bevölkerig. D’These vom awesende PKN isch, dass alli Impfskeptiker so Lokal grundsätzlich mided, und alli andere händ Angscht vor dä neue Variante «neue griechische Buechstabe» (gemäss Nikci seg si mitäm guete altä HIVI am fusioniere), au Variante black gnennt vo dene wo sich traued. Es git aber au söttigi, wo sich mit billige Usrede vorem DF trucked. Lappalie wie es Chind oder dä Dienscht zum Muetterland währed da ufgfüehrt, aber au Entschuldigungen wie die vom JWU wos angeblich än Pneu gchlöpft hät bi däm härte Schneefall. Das chan dä Autofüx PKN und MSO/MST nöd passiere well si ihri Winterpneu gar nöd erscht ustuscht händ im Früehlig. Au mit vo dä Partie isch dä SJU gsi, und s’Möchtegernmitglied Nikci sowie dä scho lang in Ungnade gfalleni Jinderletscht. Dä Nikci, Blöffsack wiener isch, hät scho mal agseit dass er eigehändig äs ZKB-Teamdinner inere Bowlingbahn organisiert hät (inklusive charbonnade à discretion) , und als Belohnig für sini gueti Tat nimmt er sich dänn grad chli frei um go Langläufle. Nanig so begeischtered vom neue Volkssport isch dä MSO/MST, wo motorisch und mit sinere Sturheit scho as Lernlimit cho isch. Glücklicherwiis hät dä Jinderletscht chönne ushelfe mit äm Ratschlag, dass mer sich scho drah gwöhnt, also hät sich das Problem au scho glöst. 
Das isch alles passiert bevor mer dä Donner i dä Hand gha hät, well dä Bstellprozess doch eher an än Bazaar erinnerent hät, mit sich füredränglende Prolete (z.B., MSO/MST) und vergessene Haloumis. Am Tisch acho isch ganz vill umeökonomisiert worde, und mit äm neue Coronaschock a dä Börse schlaht dä Rogue Invester SJU die bisher na eher unbekannte Pennystocks Novartis und Tesla zum Chauf vor. Degäge hebet dä unoffizielli DF-CIO Nikci, wo seit dass ab 2023 eh niemert meh wird miteme Auto unterwegs si wird well die alli scho vom wüetende aber friedlich protestierende Mob abebrennt worde si werded. Und dänn hät mer sich es paar Minute mit Börseweisheite zuedeckt und über d’Zinskurve diskutiert, wo eh niemert so genau verstaht. Da übrigens na än DF-Investment Outlook, es git ä reali Chance dass sich dä Presidente SJU das Jahr äs erschts Chrönli chönnti ergattere, da er als Einzige nur 1 Teilnahm hinter äm MSO/MST hockt, und dä am 17.12 fehle wird. Glücklicherwiis sind sowohl 24. Als au 31. gsetzlichi Fiirtig (dä 31. unter anderem au für d’Wiederherstellung vo dä Republik Genf), also wird sich dä Schade in Grenze halte. 
Zum Schluss häts dänn na dä Nikci mit dä Sauce gchlöpft, und dä Jinderletscht hät ganz liideschaftlich dä Verzehr vo Fajitas amene andere Tag als am Fritig verunglimpft. Mer isch na chli am umeflueche gsi über Lüüt wo sich ihri 3.75 für es halbs Kilo Quark und es Aromat als Spese rückverguete lönd, und ABB-Shareholder wo ihri Verrechnigsstüür für ihri 30 Aktie zruggha wänd, aber subito. Und mer hät d’Marke Friday verschmäht wo sich demonstrativ vom Black Friday zruggziehnd als Zeiche gäge die bösi Konsumgsellschaft. Dänn isches au scho Ziit gsi zum tschüss säge. Tschüss. Vill Spass am Weekend, und JWU, schick mal din Cazz Doodle für Spanie. 
MSO/MST (Nr.  7)
-      Hauptstatistiker (wenn er si dänn verschickt: (Ich wiederhole: JWU, schick mal din Cazz Doodle für Spanie.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</si>
  <si>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Morge, 
Hüt gits die letschti Zämefassig vo dä GSCS us, drum isch si au sehr churz. Aber nöd nur wege dem. Ussergwöhnlich pünktlich isch dä MSO/MST hüt im Züri Bistro acho, nur um ä Nachricht vom JWU z’lese dass mer sich im «eye verdis» trifft. Dä MSO/MST hät churz nadenkt, sini Stirn grunzlet und sich dänn us dä folgende Gründ entschiede, wie abgmacht im Bistro sin Donner z’verdrucke. Erschtens, und vor allem, traut mer am JWU sine Wort öppe so vill wie äm JWU sine Grillkünscht. Zweitens isches eher früsch gsi, und äm MSO/MST sin Flitzer isch sit äm Malör vor ä paar Wuche au nüme im beschte Zuestand. Und drittens chan mer sich so än luxoriöse Donner nöd jede Tag leischte. 
Währenddesse hät dä SJU im Verdis sim Aug härt über dä MSO/MST abgfluecht, mer hät diskutiert wo mer jetzt ad Fuessballbrüglerreis gaht nachdem dä Jinderletscht sin Helsinkiufenthalt abgseit hät, und dä Nikci und JWU händ ihri 11:0 Niederlag vom letschte Weekend namal anal-ysiert. Währenddesse hät dä YMI nur äs müeds Lächle chönne ufbringe über sini amatörhafte Dönergenosse, und hät sich nostalgisch zruggerinneret an Safran und d’Rugbywiese.
Somit freu ich mich uf dä nächscht DF, hoffentlich ohni last-minute Änderig vom Lokal. Und wänn dänn bitte vonere weniger fragwürdige Quelle als vom JWU. Apropos, ab nächscht Wuche gits ä Buess für dä JWU wänn er sin Cazz Doodle für eusi Spaniechlöpfete nöd ufsetzt. Deadline: 10.12.2021, 12:14:59
MSO/MST (Nr.  7)
-      Hauptstatistiker (wenn er si dänn verschickt: (Ich bitte na um Evidenz wär alles am DF teilgnoh hät, bitte churz säge falls d’Stats das nöd richtig abbilded. Suscht chlöpfts eim dänn hald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</si>
  <si>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LIFO+ / Uninformed Absence</t>
  </si>
  <si>
    <t>Total points, total PR, PR 16/17/18/20/21, Points 17/18/20/21</t>
  </si>
  <si>
    <t>$ / Miss</t>
  </si>
  <si>
    <t>PR% 22</t>
  </si>
  <si>
    <t>PR% 21</t>
  </si>
  <si>
    <t>P22</t>
  </si>
  <si>
    <t>DFs 22</t>
  </si>
  <si>
    <t>Pen 22</t>
  </si>
  <si>
    <t>spent</t>
  </si>
  <si>
    <t>Reserves 22</t>
  </si>
  <si>
    <t>Uninformed Absence (LIFO+)</t>
  </si>
  <si>
    <t>PR 19, Points 16/19</t>
  </si>
  <si>
    <t>Nie ausgetreten</t>
  </si>
  <si>
    <t>Performance</t>
  </si>
  <si>
    <t>Nie Sonderstatus</t>
  </si>
  <si>
    <t>Bemerkungen</t>
  </si>
  <si>
    <t>Chrönlikönig als Bonus</t>
  </si>
  <si>
    <t>Bonus</t>
  </si>
  <si>
    <t>Loyalitätskönig als Bonus</t>
  </si>
  <si>
    <t>Hät mal Libli kauft</t>
  </si>
  <si>
    <t>Gründungs-mitglied</t>
  </si>
  <si>
    <t>Total (Schnitt)</t>
  </si>
  <si>
    <t>Hat noch nie die Auflösung vom DF gefordert</t>
  </si>
  <si>
    <t>2 (+2)</t>
  </si>
  <si>
    <t>4 (-1)</t>
  </si>
  <si>
    <t>PR% 23</t>
  </si>
  <si>
    <t>P23</t>
  </si>
  <si>
    <t>DFs 23</t>
  </si>
  <si>
    <t>Visuelli Chrönli</t>
  </si>
  <si>
    <t>YMI/CBO</t>
  </si>
  <si>
    <t>Investor</t>
  </si>
  <si>
    <t>Coins</t>
  </si>
  <si>
    <t>Coin Name</t>
  </si>
  <si>
    <t>Ether (boring)</t>
  </si>
  <si>
    <t>Livepeer (alive)</t>
  </si>
  <si>
    <t>Ripple (boring)</t>
  </si>
  <si>
    <t>Radicle (radical)</t>
  </si>
  <si>
    <t>Shiba Inu (meme)</t>
  </si>
  <si>
    <t>Sushi Swap (delicious)</t>
  </si>
  <si>
    <t>Pen 23</t>
  </si>
  <si>
    <t>Miss 22</t>
  </si>
  <si>
    <t>Delta %</t>
  </si>
  <si>
    <t>§</t>
  </si>
  <si>
    <t>Li</t>
  </si>
  <si>
    <t>Teilnahmen</t>
  </si>
  <si>
    <t>Rate (out of 84 DFs)</t>
  </si>
  <si>
    <t>Rank</t>
  </si>
  <si>
    <t>Overall Rate</t>
  </si>
  <si>
    <t>CRYPTORESERVES TOTAL*:</t>
  </si>
  <si>
    <t>*105x6=630CHF ausgegeben und bezahlt durch Financier bei Quo Vadis 2023, Geld bereits gezahlt durch Mitglieder. Ob Vereinsvermögen oder nicht wird noch diskutiert</t>
  </si>
  <si>
    <t>6 (-1)</t>
  </si>
  <si>
    <t>5 (+1)</t>
  </si>
  <si>
    <t>"Value" CHF</t>
  </si>
  <si>
    <t>CHF</t>
  </si>
  <si>
    <t>Initial Value per Coin CHF = 190.24</t>
  </si>
  <si>
    <t>"Value" CHF (5.01)</t>
  </si>
  <si>
    <t>"Price" CHF (5.01.24)</t>
  </si>
  <si>
    <t>% Total Points</t>
  </si>
  <si>
    <t>Total Points</t>
  </si>
  <si>
    <t>Minus</t>
  </si>
  <si>
    <t>Value Initial</t>
  </si>
  <si>
    <t>Value 16.02</t>
  </si>
  <si>
    <t>Initial Rate</t>
  </si>
  <si>
    <t>Value 28.02</t>
  </si>
  <si>
    <t>All</t>
  </si>
  <si>
    <t xml:space="preserve">Bitcoin </t>
  </si>
  <si>
    <t>PR% 24</t>
  </si>
  <si>
    <t>P24</t>
  </si>
  <si>
    <t>DFs 24</t>
  </si>
  <si>
    <t>Pen 24</t>
  </si>
  <si>
    <t>inkl. Spende PKN 33.07</t>
  </si>
  <si>
    <t>Nichtannuallisierteperformancekennzahl</t>
  </si>
  <si>
    <t>3(+1)</t>
  </si>
  <si>
    <t>4(-1)</t>
  </si>
  <si>
    <t>Protokollfüehrer vo GVs und Chlopfete (nie Statistiker gsi, offiziell bestätigt)</t>
  </si>
  <si>
    <t>GOLDRESERVES TOTAL*:</t>
  </si>
  <si>
    <t>PR% 25</t>
  </si>
  <si>
    <t>P25</t>
  </si>
  <si>
    <t>DFs 25</t>
  </si>
  <si>
    <t>Pen 25</t>
  </si>
  <si>
    <t>Rückstellungen für Merchandise</t>
  </si>
  <si>
    <t>"Hauptstatistiker",  Vizepräsident, "Vize-iladigsversender", Frauebeuftreite, Glichberechtigungsbeamte</t>
  </si>
  <si>
    <t>Lifo+ Count</t>
  </si>
  <si>
    <t>16</t>
  </si>
  <si>
    <t>17</t>
  </si>
  <si>
    <t>18</t>
  </si>
  <si>
    <t>19</t>
  </si>
  <si>
    <t>20</t>
  </si>
  <si>
    <t>21</t>
  </si>
  <si>
    <t>22</t>
  </si>
  <si>
    <t>23</t>
  </si>
  <si>
    <t>24</t>
  </si>
  <si>
    <t>25</t>
  </si>
  <si>
    <t>Wert 05.12.2025</t>
  </si>
  <si>
    <t>Investments TOTAL*:</t>
  </si>
  <si>
    <t>PR% 26</t>
  </si>
  <si>
    <t>P26</t>
  </si>
  <si>
    <t>DFs 26</t>
  </si>
  <si>
    <t>Pen 26</t>
  </si>
  <si>
    <t>Points 22/23/25(halb), PR 22/23/25(halb)</t>
  </si>
  <si>
    <t>Points 24/25(halb), PR 24/25(halb)</t>
  </si>
  <si>
    <t>Miss 23</t>
  </si>
  <si>
    <t>Miss 24</t>
  </si>
  <si>
    <t>Miss 25</t>
  </si>
  <si>
    <t>Miss 26</t>
  </si>
  <si>
    <t>Punkte Seit 17</t>
  </si>
  <si>
    <t>Seit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</si>
</sst>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CHF&quot;\ #,##0.00"/>
    <numFmt numFmtId="165" formatCode="0.0%"/>
    <numFmt numFmtId="166" formatCode="0.0"/>
    <numFmt numFmtId="167" formatCode="#,##0.0"/>
    <numFmt numFmtId="168" formatCode="&quot;CHF&quot;\ #,##0"/>
    <numFmt numFmtId="169" formatCode="0.000"/>
    <numFmt numFmtId="170" formatCode="0.00000000"/>
    <numFmt numFmtId="171" formatCode="0.0000000"/>
    <numFmt numFmtId="172" formatCode="0.0000"/>
  </numFmts>
  <fonts count="31">
    <font>
      <sz val="11"/>
      <color theme="1"/>
      <name val="Calibri"/>
      <family val="2"/>
      <scheme val="minor"/>
    </font>
    <font>
      <sz val="11"/>
      <color theme="1"/>
      <name val="Credit Suisse Type Light"/>
      <family val="2"/>
    </font>
    <font>
      <sz val="11"/>
      <color theme="1"/>
      <name val="Credit Suisse Type Light"/>
      <family val="2"/>
    </font>
    <font>
      <sz val="11"/>
      <color theme="1"/>
      <name val="Comic Sans MS"/>
      <family val="4"/>
    </font>
    <font>
      <b/>
      <sz val="28"/>
      <color theme="1"/>
      <name val="Comic Sans MS"/>
      <family val="4"/>
    </font>
    <font>
      <b/>
      <sz val="14"/>
      <color theme="1"/>
      <name val="Comic Sans MS"/>
      <family val="4"/>
    </font>
    <font>
      <b/>
      <sz val="11"/>
      <name val="Comic Sans MS"/>
      <family val="4"/>
    </font>
    <font>
      <sz val="11"/>
      <color theme="0"/>
      <name val="Comic Sans MS"/>
      <family val="4"/>
    </font>
    <font>
      <sz val="11"/>
      <color theme="1"/>
      <name val="Consolas"/>
      <family val="3"/>
    </font>
    <font>
      <b/>
      <sz val="11"/>
      <color theme="1"/>
      <name val="Comic Sans MS"/>
      <family val="4"/>
    </font>
    <font>
      <sz val="10"/>
      <color theme="1"/>
      <name val="Comic Sans MS"/>
      <family val="4"/>
    </font>
    <font>
      <sz val="8"/>
      <color theme="1"/>
      <name val="Comic Sans MS"/>
      <family val="4"/>
    </font>
    <font>
      <sz val="11"/>
      <color theme="1"/>
      <name val="Credit Suisse Type Light"/>
      <family val="2"/>
    </font>
    <font>
      <sz val="11"/>
      <color rgb="FFFF0000"/>
      <name val="Comic Sans MS"/>
      <family val="4"/>
    </font>
    <font>
      <sz val="11"/>
      <name val="Comic Sans MS"/>
      <family val="4"/>
    </font>
    <font>
      <sz val="11"/>
      <color theme="1"/>
      <name val="Calibri"/>
      <family val="2"/>
      <scheme val="minor"/>
    </font>
    <font>
      <sz val="12"/>
      <color theme="1"/>
      <name val="Times New Roman"/>
      <family val="1"/>
    </font>
    <font>
      <sz val="7"/>
      <color theme="1"/>
      <name val="Times New Roman"/>
      <family val="1"/>
    </font>
    <font>
      <sz val="11"/>
      <color theme="6" tint="0.59999389629810485"/>
      <name val="Comic Sans MS"/>
      <family val="4"/>
    </font>
    <font>
      <sz val="8"/>
      <color rgb="FF000000"/>
      <name val="Comic Sans MS"/>
      <family val="4"/>
    </font>
    <font>
      <b/>
      <sz val="8"/>
      <color theme="1"/>
      <name val="Comic Sans MS"/>
      <family val="4"/>
    </font>
    <font>
      <b/>
      <sz val="8"/>
      <color theme="1"/>
      <name val="Calibri"/>
      <family val="2"/>
      <scheme val="minor"/>
    </font>
    <font>
      <sz val="8"/>
      <color theme="1"/>
      <name val="Calibri"/>
      <family val="2"/>
      <scheme val="minor"/>
    </font>
    <font>
      <b/>
      <sz val="10"/>
      <color theme="1"/>
      <name val="Comic Sans MS"/>
      <family val="4"/>
    </font>
    <font>
      <b/>
      <sz val="11"/>
      <color theme="1"/>
      <name val="Calibri"/>
      <family val="2"/>
      <scheme val="minor"/>
    </font>
    <font>
      <b/>
      <sz val="11"/>
      <color theme="0"/>
      <name val="Credit Suisse Type Light"/>
      <family val="2"/>
    </font>
    <font>
      <b/>
      <sz val="11"/>
      <color theme="0"/>
      <name val="Credit Suisse Type Light"/>
    </font>
    <font>
      <sz val="9"/>
      <color theme="1"/>
      <name val="Comic Sans MS"/>
      <family val="4"/>
    </font>
    <font>
      <sz val="8"/>
      <name val="Calibri"/>
      <family val="2"/>
      <scheme val="minor"/>
    </font>
    <font>
      <b/>
      <sz val="10"/>
      <color theme="0"/>
      <name val="Comic Sans MS"/>
      <family val="4"/>
    </font>
    <font>
      <sz val="8"/>
      <color theme="0" tint="-0.14999847407452621"/>
      <name val="Comic Sans MS"/>
      <family val="4"/>
    </font>
  </fonts>
  <fills count="15">
    <fill>
      <patternFill patternType="none"/>
    </fill>
    <fill>
      <patternFill patternType="gray125"/>
    </fill>
    <fill>
      <patternFill patternType="solid">
        <fgColor theme="0"/>
        <bgColor indexed="64"/>
      </patternFill>
    </fill>
    <fill>
      <gradientFill degree="90">
        <stop position="0">
          <color theme="0"/>
        </stop>
        <stop position="1">
          <color theme="4" tint="0.59999389629810485"/>
        </stop>
      </gradientFill>
    </fill>
    <fill>
      <gradientFill degree="90">
        <stop position="0">
          <color theme="0"/>
        </stop>
        <stop position="1">
          <color theme="4" tint="-0.49803155613879818"/>
        </stop>
      </gradientFill>
    </fill>
    <fill>
      <gradientFill degree="90">
        <stop position="0">
          <color theme="0"/>
        </stop>
        <stop position="1">
          <color theme="5" tint="0.40000610370189521"/>
        </stop>
      </gradientFill>
    </fill>
    <fill>
      <patternFill patternType="solid">
        <fgColor rgb="FFFFFF00"/>
        <bgColor indexed="64"/>
      </patternFill>
    </fill>
    <fill>
      <patternFill patternType="solid">
        <fgColor rgb="FFFFC1C1"/>
        <bgColor indexed="64"/>
      </patternFill>
    </fill>
    <fill>
      <patternFill patternType="solid">
        <fgColor theme="1"/>
        <bgColor indexed="64"/>
      </patternFill>
    </fill>
    <fill>
      <patternFill patternType="solid">
        <fgColor theme="6"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9"/>
        <bgColor indexed="64"/>
      </patternFill>
    </fill>
    <fill>
      <patternFill patternType="solid">
        <fgColor rgb="FF00B050"/>
        <bgColor indexed="64"/>
      </patternFill>
    </fill>
    <fill>
      <patternFill patternType="solid">
        <fgColor theme="0" tint="-4.9989318521683403E-2"/>
        <bgColor indexed="64"/>
      </patternFill>
    </fill>
  </fills>
  <borders count="46">
    <border>
      <left/>
      <right/>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style="dashed">
        <color auto="1"/>
      </top>
      <bottom style="dashed">
        <color auto="1"/>
      </bottom>
      <diagonal/>
    </border>
    <border>
      <left style="dashed">
        <color auto="1"/>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indexed="64"/>
      </bottom>
      <diagonal/>
    </border>
    <border>
      <left style="dashed">
        <color auto="1"/>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thin">
        <color auto="1"/>
      </top>
      <bottom/>
      <diagonal/>
    </border>
    <border>
      <left style="medium">
        <color rgb="FFFFFF00"/>
      </left>
      <right/>
      <top style="medium">
        <color rgb="FFFFFF00"/>
      </top>
      <bottom style="medium">
        <color rgb="FFFFFF00"/>
      </bottom>
      <diagonal/>
    </border>
    <border>
      <left/>
      <right style="medium">
        <color rgb="FFFFFF00"/>
      </right>
      <top style="medium">
        <color rgb="FFFFFF00"/>
      </top>
      <bottom style="medium">
        <color rgb="FFFFFF00"/>
      </bottom>
      <diagonal/>
    </border>
    <border>
      <left/>
      <right/>
      <top style="medium">
        <color rgb="FFFFFF00"/>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theme="0"/>
      </bottom>
      <diagonal/>
    </border>
    <border>
      <left style="thin">
        <color auto="1"/>
      </left>
      <right style="thin">
        <color theme="0"/>
      </right>
      <top style="thin">
        <color auto="1"/>
      </top>
      <bottom style="thin">
        <color auto="1"/>
      </bottom>
      <diagonal/>
    </border>
    <border>
      <left/>
      <right style="thin">
        <color auto="1"/>
      </right>
      <top style="thin">
        <color auto="1"/>
      </top>
      <bottom style="thin">
        <color auto="1"/>
      </bottom>
      <diagonal/>
    </border>
    <border>
      <left/>
      <right style="thin">
        <color theme="0"/>
      </right>
      <top style="thin">
        <color auto="1"/>
      </top>
      <bottom style="thin">
        <color auto="1"/>
      </bottom>
      <diagonal/>
    </border>
    <border>
      <left style="thin">
        <color theme="0"/>
      </left>
      <right style="thin">
        <color theme="0"/>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right/>
      <top style="medium">
        <color indexed="64"/>
      </top>
      <bottom style="medium">
        <color indexed="64"/>
      </bottom>
      <diagonal/>
    </border>
    <border>
      <left style="medium">
        <color indexed="64"/>
      </left>
      <right style="thin">
        <color auto="1"/>
      </right>
      <top/>
      <bottom style="medium">
        <color indexed="64"/>
      </bottom>
      <diagonal/>
    </border>
    <border>
      <left style="thin">
        <color auto="1"/>
      </left>
      <right/>
      <top style="thin">
        <color auto="1"/>
      </top>
      <bottom style="thin">
        <color auto="1"/>
      </bottom>
      <diagonal/>
    </border>
    <border>
      <left/>
      <right/>
      <top style="thin">
        <color auto="1"/>
      </top>
      <bottom style="thin">
        <color auto="1"/>
      </bottom>
      <diagonal/>
    </border>
  </borders>
  <cellStyleXfs count="2">
    <xf numFmtId="0" fontId="0" fillId="0" borderId="0"/>
    <xf numFmtId="9" fontId="15" fillId="0" borderId="0" applyFont="0" applyFill="0" applyBorder="0" applyAlignment="0" applyProtection="0"/>
  </cellStyleXfs>
  <cellXfs count="257">
    <xf numFmtId="0" fontId="0" fillId="0" borderId="0" xfId="0"/>
    <xf numFmtId="0" fontId="3" fillId="2" borderId="0" xfId="0" applyFont="1" applyFill="1" applyAlignment="1">
      <alignment vertical="center"/>
    </xf>
    <xf numFmtId="0" fontId="3" fillId="2" borderId="0" xfId="0" applyFont="1" applyFill="1" applyAlignment="1">
      <alignment horizontal="center" vertical="center"/>
    </xf>
    <xf numFmtId="0" fontId="4" fillId="4" borderId="1" xfId="0" applyFont="1" applyFill="1" applyBorder="1" applyAlignment="1">
      <alignment horizontal="centerContinuous" vertical="center"/>
    </xf>
    <xf numFmtId="0" fontId="3" fillId="4" borderId="2" xfId="0" applyFont="1" applyFill="1" applyBorder="1" applyAlignment="1">
      <alignment horizontal="centerContinuous" vertical="center"/>
    </xf>
    <xf numFmtId="0" fontId="3" fillId="4" borderId="3" xfId="0" applyFont="1" applyFill="1" applyBorder="1" applyAlignment="1">
      <alignment horizontal="centerContinuous" vertical="center"/>
    </xf>
    <xf numFmtId="0" fontId="3" fillId="2" borderId="4" xfId="0" applyFont="1" applyFill="1" applyBorder="1" applyAlignment="1">
      <alignment vertical="center"/>
    </xf>
    <xf numFmtId="0" fontId="5" fillId="3" borderId="1" xfId="0" applyFont="1" applyFill="1" applyBorder="1" applyAlignment="1">
      <alignment horizontal="centerContinuous" vertical="center"/>
    </xf>
    <xf numFmtId="0" fontId="5" fillId="3" borderId="2" xfId="0" applyFont="1" applyFill="1" applyBorder="1" applyAlignment="1">
      <alignment horizontal="centerContinuous" vertical="center"/>
    </xf>
    <xf numFmtId="0" fontId="5" fillId="3" borderId="3" xfId="0" applyFont="1" applyFill="1" applyBorder="1" applyAlignment="1">
      <alignment horizontal="centerContinuous" vertical="center"/>
    </xf>
    <xf numFmtId="0" fontId="3" fillId="2" borderId="5" xfId="0" applyFont="1" applyFill="1" applyBorder="1" applyAlignment="1">
      <alignment vertical="center"/>
    </xf>
    <xf numFmtId="0" fontId="3" fillId="2" borderId="0" xfId="0" applyFont="1" applyFill="1" applyAlignment="1">
      <alignment horizontal="center"/>
    </xf>
    <xf numFmtId="0" fontId="3" fillId="2" borderId="5" xfId="0" applyFont="1" applyFill="1" applyBorder="1" applyAlignment="1">
      <alignment horizontal="center" vertical="center"/>
    </xf>
    <xf numFmtId="164" fontId="3" fillId="2" borderId="5" xfId="0" applyNumberFormat="1" applyFont="1" applyFill="1" applyBorder="1" applyAlignment="1">
      <alignment horizontal="left" vertical="center"/>
    </xf>
    <xf numFmtId="0" fontId="6" fillId="5" borderId="1" xfId="0" applyFont="1" applyFill="1" applyBorder="1" applyAlignment="1">
      <alignment horizontal="left" vertical="center"/>
    </xf>
    <xf numFmtId="164" fontId="6" fillId="5" borderId="3" xfId="0" applyNumberFormat="1" applyFont="1" applyFill="1" applyBorder="1" applyAlignment="1">
      <alignment horizontal="left"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7" fillId="2" borderId="0" xfId="0" applyFont="1" applyFill="1" applyAlignment="1">
      <alignment horizontal="center" vertical="center"/>
    </xf>
    <xf numFmtId="164" fontId="3" fillId="2" borderId="8" xfId="0" applyNumberFormat="1" applyFont="1" applyFill="1" applyBorder="1" applyAlignment="1">
      <alignment horizontal="center" vertical="center"/>
    </xf>
    <xf numFmtId="164" fontId="3" fillId="2" borderId="0" xfId="0" applyNumberFormat="1" applyFont="1" applyFill="1" applyAlignment="1">
      <alignment horizontal="center" vertical="center"/>
    </xf>
    <xf numFmtId="14" fontId="3" fillId="2" borderId="5" xfId="0" applyNumberFormat="1" applyFont="1" applyFill="1" applyBorder="1" applyAlignment="1">
      <alignment horizontal="left" vertical="center"/>
    </xf>
    <xf numFmtId="14" fontId="3" fillId="2" borderId="5" xfId="0" applyNumberFormat="1" applyFont="1" applyFill="1" applyBorder="1" applyAlignment="1">
      <alignment horizontal="center" vertical="center"/>
    </xf>
    <xf numFmtId="0" fontId="3" fillId="2" borderId="4" xfId="0" applyFont="1" applyFill="1" applyBorder="1" applyAlignment="1">
      <alignment horizontal="center" vertical="center"/>
    </xf>
    <xf numFmtId="3" fontId="3" fillId="2" borderId="8" xfId="0" applyNumberFormat="1" applyFont="1" applyFill="1" applyBorder="1" applyAlignment="1">
      <alignment horizontal="center" vertical="center"/>
    </xf>
    <xf numFmtId="164" fontId="3" fillId="0" borderId="5" xfId="0" applyNumberFormat="1" applyFont="1" applyBorder="1" applyAlignment="1">
      <alignment horizontal="center" vertical="center"/>
    </xf>
    <xf numFmtId="3" fontId="3" fillId="0" borderId="5" xfId="0" applyNumberFormat="1" applyFont="1" applyBorder="1" applyAlignment="1">
      <alignment horizontal="center" vertical="center"/>
    </xf>
    <xf numFmtId="0" fontId="7" fillId="2" borderId="0" xfId="0" applyFont="1" applyFill="1" applyAlignment="1">
      <alignment vertical="center"/>
    </xf>
    <xf numFmtId="9" fontId="3" fillId="2" borderId="5" xfId="0" applyNumberFormat="1" applyFont="1" applyFill="1" applyBorder="1" applyAlignment="1">
      <alignment horizontal="center"/>
    </xf>
    <xf numFmtId="0" fontId="3" fillId="2" borderId="0" xfId="0" applyFont="1" applyFill="1" applyAlignment="1">
      <alignment horizontal="left" vertical="center"/>
    </xf>
    <xf numFmtId="0" fontId="3" fillId="4" borderId="2" xfId="0" applyFont="1" applyFill="1" applyBorder="1" applyAlignment="1">
      <alignment horizontal="left" vertical="center"/>
    </xf>
    <xf numFmtId="0" fontId="5" fillId="3" borderId="1" xfId="0" applyFont="1" applyFill="1" applyBorder="1" applyAlignment="1">
      <alignment horizontal="left" vertical="center"/>
    </xf>
    <xf numFmtId="14" fontId="3" fillId="2" borderId="5" xfId="0" quotePrefix="1" applyNumberFormat="1" applyFont="1" applyFill="1" applyBorder="1" applyAlignment="1">
      <alignment horizontal="left" vertical="center"/>
    </xf>
    <xf numFmtId="0" fontId="9" fillId="2" borderId="5" xfId="0" applyFont="1" applyFill="1" applyBorder="1" applyAlignment="1">
      <alignment vertical="center"/>
    </xf>
    <xf numFmtId="0" fontId="9" fillId="2" borderId="0" xfId="0" applyFont="1" applyFill="1" applyAlignment="1">
      <alignment vertical="center"/>
    </xf>
    <xf numFmtId="0" fontId="9" fillId="2" borderId="5" xfId="0" applyFont="1" applyFill="1" applyBorder="1" applyAlignment="1">
      <alignment horizontal="center"/>
    </xf>
    <xf numFmtId="4" fontId="3" fillId="2" borderId="0" xfId="0" applyNumberFormat="1" applyFont="1" applyFill="1" applyAlignment="1">
      <alignment vertical="center"/>
    </xf>
    <xf numFmtId="0" fontId="10" fillId="0" borderId="5" xfId="0" applyFont="1" applyBorder="1"/>
    <xf numFmtId="0" fontId="10" fillId="6" borderId="5" xfId="0" applyFont="1" applyFill="1" applyBorder="1"/>
    <xf numFmtId="165" fontId="10" fillId="6" borderId="5" xfId="0" applyNumberFormat="1" applyFont="1" applyFill="1" applyBorder="1"/>
    <xf numFmtId="165" fontId="10" fillId="0" borderId="5" xfId="0" applyNumberFormat="1" applyFont="1" applyBorder="1"/>
    <xf numFmtId="164" fontId="11" fillId="2" borderId="5" xfId="0" applyNumberFormat="1" applyFont="1" applyFill="1" applyBorder="1" applyAlignment="1">
      <alignment horizontal="right" vertical="center"/>
    </xf>
    <xf numFmtId="0" fontId="11" fillId="0" borderId="0" xfId="0" applyFont="1"/>
    <xf numFmtId="1" fontId="10" fillId="6" borderId="5" xfId="0" applyNumberFormat="1" applyFont="1" applyFill="1" applyBorder="1"/>
    <xf numFmtId="1" fontId="10" fillId="0" borderId="5" xfId="0" applyNumberFormat="1" applyFont="1" applyBorder="1"/>
    <xf numFmtId="0" fontId="10" fillId="0" borderId="5" xfId="0" applyFont="1" applyBorder="1" applyAlignment="1">
      <alignment horizontal="center"/>
    </xf>
    <xf numFmtId="165" fontId="10" fillId="7" borderId="5" xfId="0" applyNumberFormat="1" applyFont="1" applyFill="1" applyBorder="1"/>
    <xf numFmtId="164" fontId="3" fillId="2" borderId="5" xfId="0" applyNumberFormat="1" applyFont="1" applyFill="1" applyBorder="1" applyAlignment="1">
      <alignment horizontal="left" vertical="top"/>
    </xf>
    <xf numFmtId="167" fontId="3" fillId="2" borderId="0" xfId="0" applyNumberFormat="1" applyFont="1" applyFill="1" applyAlignment="1">
      <alignment vertical="center"/>
    </xf>
    <xf numFmtId="0" fontId="3" fillId="2" borderId="8" xfId="0" applyFont="1" applyFill="1" applyBorder="1" applyAlignment="1">
      <alignment vertical="center"/>
    </xf>
    <xf numFmtId="164" fontId="3" fillId="0" borderId="8" xfId="0" applyNumberFormat="1" applyFont="1" applyBorder="1" applyAlignment="1">
      <alignment horizontal="center" vertical="center"/>
    </xf>
    <xf numFmtId="0" fontId="3" fillId="2" borderId="10" xfId="0" applyFont="1" applyFill="1" applyBorder="1" applyAlignment="1">
      <alignment vertical="center"/>
    </xf>
    <xf numFmtId="0" fontId="3" fillId="2" borderId="9" xfId="0" applyFont="1" applyFill="1" applyBorder="1" applyAlignment="1">
      <alignment vertical="center"/>
    </xf>
    <xf numFmtId="0" fontId="12" fillId="0" borderId="0" xfId="0" applyFont="1"/>
    <xf numFmtId="164" fontId="10" fillId="6" borderId="5" xfId="0" applyNumberFormat="1" applyFont="1" applyFill="1" applyBorder="1" applyAlignment="1">
      <alignment horizontal="right" vertical="center"/>
    </xf>
    <xf numFmtId="164" fontId="10" fillId="2" borderId="5" xfId="0" applyNumberFormat="1" applyFont="1" applyFill="1" applyBorder="1" applyAlignment="1">
      <alignment horizontal="right" vertical="center"/>
    </xf>
    <xf numFmtId="14" fontId="3" fillId="0" borderId="0" xfId="0" applyNumberFormat="1" applyFont="1" applyAlignment="1">
      <alignment horizontal="left" vertical="center"/>
    </xf>
    <xf numFmtId="0" fontId="3" fillId="0" borderId="0" xfId="0" applyFont="1" applyAlignment="1">
      <alignment vertical="center"/>
    </xf>
    <xf numFmtId="0" fontId="3" fillId="0" borderId="0" xfId="0" applyFont="1"/>
    <xf numFmtId="1" fontId="3" fillId="0" borderId="0" xfId="0" quotePrefix="1" applyNumberFormat="1" applyFont="1"/>
    <xf numFmtId="2" fontId="3" fillId="0" borderId="0" xfId="0" quotePrefix="1" applyNumberFormat="1" applyFont="1"/>
    <xf numFmtId="1" fontId="13" fillId="0" borderId="0" xfId="0" quotePrefix="1" applyNumberFormat="1" applyFont="1" applyAlignment="1">
      <alignment horizontal="center"/>
    </xf>
    <xf numFmtId="1" fontId="3" fillId="0" borderId="0" xfId="0" quotePrefix="1" applyNumberFormat="1" applyFont="1" applyAlignment="1">
      <alignment horizontal="center"/>
    </xf>
    <xf numFmtId="2" fontId="3" fillId="2" borderId="0" xfId="0" applyNumberFormat="1" applyFont="1" applyFill="1" applyAlignment="1">
      <alignment vertical="center"/>
    </xf>
    <xf numFmtId="9" fontId="14" fillId="2" borderId="5" xfId="0" applyNumberFormat="1" applyFont="1" applyFill="1" applyBorder="1" applyAlignment="1">
      <alignment horizontal="center"/>
    </xf>
    <xf numFmtId="14" fontId="3" fillId="0" borderId="0" xfId="0" quotePrefix="1" applyNumberFormat="1" applyFont="1"/>
    <xf numFmtId="0" fontId="3" fillId="0" borderId="0" xfId="0" quotePrefix="1" applyFont="1"/>
    <xf numFmtId="0" fontId="3" fillId="2" borderId="5" xfId="0" applyFont="1" applyFill="1" applyBorder="1" applyAlignment="1">
      <alignment horizontal="left" vertical="center"/>
    </xf>
    <xf numFmtId="0" fontId="9" fillId="2" borderId="5" xfId="0" applyFont="1" applyFill="1" applyBorder="1" applyAlignment="1">
      <alignment horizontal="left" vertical="center"/>
    </xf>
    <xf numFmtId="9" fontId="3" fillId="0" borderId="0" xfId="1" quotePrefix="1" applyFont="1" applyFill="1" applyBorder="1"/>
    <xf numFmtId="9" fontId="3" fillId="0" borderId="0" xfId="0" applyNumberFormat="1" applyFont="1"/>
    <xf numFmtId="1" fontId="13" fillId="0" borderId="0" xfId="0" applyNumberFormat="1" applyFont="1" applyAlignment="1">
      <alignment horizontal="center"/>
    </xf>
    <xf numFmtId="1" fontId="3" fillId="0" borderId="0" xfId="0" applyNumberFormat="1" applyFont="1" applyAlignment="1">
      <alignment horizontal="center"/>
    </xf>
    <xf numFmtId="1" fontId="3" fillId="0" borderId="0" xfId="0" applyNumberFormat="1" applyFont="1"/>
    <xf numFmtId="14" fontId="3" fillId="0" borderId="0" xfId="0" applyNumberFormat="1" applyFont="1"/>
    <xf numFmtId="9" fontId="3" fillId="0" borderId="0" xfId="1" applyFont="1" applyFill="1" applyBorder="1"/>
    <xf numFmtId="14" fontId="3" fillId="2" borderId="0" xfId="0" applyNumberFormat="1" applyFont="1" applyFill="1" applyAlignment="1">
      <alignment horizontal="center" vertical="center"/>
    </xf>
    <xf numFmtId="3" fontId="3" fillId="0" borderId="0" xfId="0" applyNumberFormat="1" applyFont="1" applyAlignment="1">
      <alignment horizontal="center" vertical="center"/>
    </xf>
    <xf numFmtId="49" fontId="10" fillId="2" borderId="5" xfId="0" applyNumberFormat="1" applyFont="1" applyFill="1" applyBorder="1" applyAlignment="1">
      <alignment horizontal="right" vertical="center"/>
    </xf>
    <xf numFmtId="166" fontId="10" fillId="6" borderId="5" xfId="0" applyNumberFormat="1" applyFont="1" applyFill="1" applyBorder="1" applyAlignment="1">
      <alignment horizontal="right" vertical="center"/>
    </xf>
    <xf numFmtId="166" fontId="10" fillId="0" borderId="5" xfId="0" applyNumberFormat="1" applyFont="1" applyBorder="1" applyAlignment="1">
      <alignment horizontal="right" vertical="center"/>
    </xf>
    <xf numFmtId="0" fontId="16" fillId="0" borderId="0" xfId="0" applyFont="1" applyAlignment="1">
      <alignment horizontal="left" vertical="center" indent="4"/>
    </xf>
    <xf numFmtId="0" fontId="9" fillId="2" borderId="5" xfId="0" applyFont="1" applyFill="1" applyBorder="1" applyAlignment="1">
      <alignment horizontal="center" vertical="center"/>
    </xf>
    <xf numFmtId="0" fontId="3" fillId="8" borderId="5" xfId="0" applyFont="1" applyFill="1" applyBorder="1" applyAlignment="1">
      <alignment horizontal="center" vertical="center"/>
    </xf>
    <xf numFmtId="0" fontId="3" fillId="2" borderId="5" xfId="0" applyFont="1" applyFill="1" applyBorder="1" applyAlignment="1">
      <alignment vertical="center" wrapText="1"/>
    </xf>
    <xf numFmtId="0" fontId="3" fillId="6" borderId="5" xfId="0" applyFont="1" applyFill="1" applyBorder="1" applyAlignment="1">
      <alignment horizontal="left" vertical="center" wrapText="1"/>
    </xf>
    <xf numFmtId="14" fontId="3" fillId="2" borderId="0" xfId="0" applyNumberFormat="1" applyFont="1" applyFill="1" applyAlignment="1">
      <alignment vertical="center"/>
    </xf>
    <xf numFmtId="164" fontId="3" fillId="2" borderId="0" xfId="0" applyNumberFormat="1" applyFont="1" applyFill="1" applyAlignment="1">
      <alignment vertical="center"/>
    </xf>
    <xf numFmtId="164" fontId="18" fillId="9" borderId="5" xfId="0" applyNumberFormat="1" applyFont="1" applyFill="1" applyBorder="1" applyAlignment="1">
      <alignment horizontal="center" vertical="center"/>
    </xf>
    <xf numFmtId="0" fontId="19" fillId="0" borderId="0" xfId="0" applyFont="1" applyAlignment="1">
      <alignment vertical="center"/>
    </xf>
    <xf numFmtId="164" fontId="11" fillId="0" borderId="0" xfId="0" applyNumberFormat="1" applyFont="1"/>
    <xf numFmtId="0" fontId="20" fillId="0" borderId="5" xfId="0" applyFont="1" applyBorder="1"/>
    <xf numFmtId="49" fontId="20" fillId="0" borderId="5" xfId="0" applyNumberFormat="1" applyFont="1" applyBorder="1"/>
    <xf numFmtId="0" fontId="21" fillId="0" borderId="0" xfId="0" applyFont="1"/>
    <xf numFmtId="0" fontId="11" fillId="0" borderId="5" xfId="0" applyFont="1" applyBorder="1" applyAlignment="1">
      <alignment horizontal="center"/>
    </xf>
    <xf numFmtId="0" fontId="11" fillId="6" borderId="5" xfId="0" applyFont="1" applyFill="1" applyBorder="1"/>
    <xf numFmtId="1" fontId="11" fillId="6" borderId="5" xfId="0" applyNumberFormat="1" applyFont="1" applyFill="1" applyBorder="1"/>
    <xf numFmtId="165" fontId="11" fillId="6" borderId="5" xfId="0" applyNumberFormat="1" applyFont="1" applyFill="1" applyBorder="1"/>
    <xf numFmtId="165" fontId="11" fillId="0" borderId="5" xfId="0" applyNumberFormat="1" applyFont="1" applyBorder="1"/>
    <xf numFmtId="0" fontId="11" fillId="0" borderId="5" xfId="0" applyFont="1" applyBorder="1"/>
    <xf numFmtId="3" fontId="11" fillId="0" borderId="5" xfId="0" applyNumberFormat="1" applyFont="1" applyBorder="1"/>
    <xf numFmtId="3" fontId="11" fillId="6" borderId="5" xfId="0" applyNumberFormat="1" applyFont="1" applyFill="1" applyBorder="1"/>
    <xf numFmtId="0" fontId="22" fillId="0" borderId="0" xfId="0" applyFont="1"/>
    <xf numFmtId="1" fontId="11" fillId="0" borderId="5" xfId="0" applyNumberFormat="1" applyFont="1" applyBorder="1"/>
    <xf numFmtId="165" fontId="11" fillId="7" borderId="5" xfId="0" applyNumberFormat="1" applyFont="1" applyFill="1" applyBorder="1"/>
    <xf numFmtId="0" fontId="11" fillId="0" borderId="6" xfId="0" applyFont="1" applyBorder="1"/>
    <xf numFmtId="165" fontId="11" fillId="0" borderId="6" xfId="0" applyNumberFormat="1" applyFont="1" applyBorder="1"/>
    <xf numFmtId="164" fontId="22" fillId="0" borderId="0" xfId="0" applyNumberFormat="1" applyFont="1"/>
    <xf numFmtId="165" fontId="22" fillId="0" borderId="0" xfId="0" applyNumberFormat="1" applyFont="1"/>
    <xf numFmtId="14" fontId="22" fillId="0" borderId="0" xfId="0" applyNumberFormat="1" applyFont="1"/>
    <xf numFmtId="1" fontId="12" fillId="0" borderId="5" xfId="0" applyNumberFormat="1" applyFont="1" applyBorder="1"/>
    <xf numFmtId="165" fontId="10" fillId="0" borderId="5" xfId="0" applyNumberFormat="1" applyFont="1" applyBorder="1" applyAlignment="1">
      <alignment horizontal="center"/>
    </xf>
    <xf numFmtId="0" fontId="10" fillId="0" borderId="5" xfId="0" applyFont="1" applyBorder="1" applyAlignment="1">
      <alignment horizontal="right"/>
    </xf>
    <xf numFmtId="0" fontId="20" fillId="0" borderId="25" xfId="0" applyFont="1" applyBorder="1"/>
    <xf numFmtId="0" fontId="20" fillId="0" borderId="26" xfId="0" applyFont="1" applyBorder="1"/>
    <xf numFmtId="1" fontId="11" fillId="0" borderId="23" xfId="0" applyNumberFormat="1" applyFont="1" applyBorder="1" applyAlignment="1">
      <alignment horizontal="center"/>
    </xf>
    <xf numFmtId="1" fontId="11" fillId="0" borderId="24" xfId="0" applyNumberFormat="1" applyFont="1" applyBorder="1" applyAlignment="1">
      <alignment horizontal="center"/>
    </xf>
    <xf numFmtId="0" fontId="11" fillId="0" borderId="24" xfId="0" applyFont="1" applyBorder="1" applyAlignment="1">
      <alignment horizontal="center"/>
    </xf>
    <xf numFmtId="1" fontId="11" fillId="0" borderId="17" xfId="0" applyNumberFormat="1" applyFont="1" applyBorder="1" applyAlignment="1">
      <alignment horizontal="center"/>
    </xf>
    <xf numFmtId="1" fontId="11" fillId="0" borderId="18" xfId="0" applyNumberFormat="1" applyFont="1" applyBorder="1" applyAlignment="1">
      <alignment horizontal="center"/>
    </xf>
    <xf numFmtId="0" fontId="11" fillId="0" borderId="18" xfId="0" applyFont="1" applyBorder="1" applyAlignment="1">
      <alignment horizontal="center"/>
    </xf>
    <xf numFmtId="1" fontId="11" fillId="0" borderId="19" xfId="0" applyNumberFormat="1" applyFont="1" applyBorder="1" applyAlignment="1">
      <alignment horizontal="center"/>
    </xf>
    <xf numFmtId="1" fontId="11" fillId="0" borderId="20" xfId="0" applyNumberFormat="1" applyFont="1" applyBorder="1" applyAlignment="1">
      <alignment horizontal="center"/>
    </xf>
    <xf numFmtId="0" fontId="11" fillId="0" borderId="20" xfId="0" applyFont="1" applyBorder="1" applyAlignment="1">
      <alignment horizontal="center"/>
    </xf>
    <xf numFmtId="0" fontId="3" fillId="2" borderId="5" xfId="0" applyFont="1" applyFill="1" applyBorder="1" applyAlignment="1">
      <alignment horizontal="center"/>
    </xf>
    <xf numFmtId="165" fontId="3" fillId="2" borderId="5" xfId="0" applyNumberFormat="1" applyFont="1" applyFill="1" applyBorder="1" applyAlignment="1">
      <alignment horizontal="center"/>
    </xf>
    <xf numFmtId="14" fontId="3" fillId="2" borderId="5" xfId="0" applyNumberFormat="1" applyFont="1" applyFill="1" applyBorder="1" applyAlignment="1">
      <alignment vertical="center"/>
    </xf>
    <xf numFmtId="1" fontId="3" fillId="2" borderId="6" xfId="0" applyNumberFormat="1" applyFont="1" applyFill="1" applyBorder="1" applyAlignment="1">
      <alignment horizontal="center" vertical="center"/>
    </xf>
    <xf numFmtId="1" fontId="3" fillId="2" borderId="0" xfId="0" applyNumberFormat="1" applyFont="1" applyFill="1" applyAlignment="1">
      <alignment vertical="center"/>
    </xf>
    <xf numFmtId="166" fontId="3" fillId="2" borderId="6" xfId="0" applyNumberFormat="1" applyFont="1" applyFill="1" applyBorder="1" applyAlignment="1">
      <alignment horizontal="center" vertical="center"/>
    </xf>
    <xf numFmtId="166" fontId="3" fillId="0" borderId="5" xfId="0" applyNumberFormat="1" applyFont="1" applyBorder="1" applyAlignment="1">
      <alignment horizontal="center" vertical="center"/>
    </xf>
    <xf numFmtId="166" fontId="3" fillId="2" borderId="0" xfId="0" applyNumberFormat="1" applyFont="1" applyFill="1" applyAlignment="1">
      <alignment vertical="center"/>
    </xf>
    <xf numFmtId="0" fontId="3" fillId="8" borderId="0" xfId="0" applyFont="1" applyFill="1" applyAlignment="1">
      <alignment vertical="center"/>
    </xf>
    <xf numFmtId="1" fontId="2" fillId="0" borderId="5" xfId="0" applyNumberFormat="1" applyFont="1" applyBorder="1" applyAlignment="1">
      <alignment horizontal="right"/>
    </xf>
    <xf numFmtId="2" fontId="12" fillId="0" borderId="5" xfId="0" applyNumberFormat="1" applyFont="1" applyBorder="1"/>
    <xf numFmtId="2" fontId="1" fillId="0" borderId="5" xfId="0" applyNumberFormat="1" applyFont="1" applyBorder="1" applyAlignment="1">
      <alignment horizontal="right"/>
    </xf>
    <xf numFmtId="164" fontId="3" fillId="0" borderId="5" xfId="0" quotePrefix="1" applyNumberFormat="1" applyFont="1" applyBorder="1" applyAlignment="1">
      <alignment horizontal="center" vertical="center"/>
    </xf>
    <xf numFmtId="1" fontId="3" fillId="6" borderId="0" xfId="0" applyNumberFormat="1" applyFont="1" applyFill="1" applyAlignment="1">
      <alignment vertical="center"/>
    </xf>
    <xf numFmtId="14" fontId="3" fillId="6" borderId="0" xfId="0" applyNumberFormat="1" applyFont="1" applyFill="1" applyAlignment="1">
      <alignment vertical="center"/>
    </xf>
    <xf numFmtId="0" fontId="6" fillId="5" borderId="28" xfId="0" applyFont="1" applyFill="1" applyBorder="1" applyAlignment="1">
      <alignment horizontal="left" vertical="center"/>
    </xf>
    <xf numFmtId="164" fontId="6" fillId="5" borderId="29" xfId="0" applyNumberFormat="1" applyFont="1" applyFill="1" applyBorder="1" applyAlignment="1">
      <alignment horizontal="left" vertical="center"/>
    </xf>
    <xf numFmtId="0" fontId="14" fillId="2" borderId="0" xfId="0" applyFont="1" applyFill="1" applyAlignment="1">
      <alignment horizontal="center" vertical="center"/>
    </xf>
    <xf numFmtId="168" fontId="11" fillId="2" borderId="5" xfId="0" applyNumberFormat="1" applyFont="1" applyFill="1" applyBorder="1" applyAlignment="1">
      <alignment horizontal="right" vertical="center"/>
    </xf>
    <xf numFmtId="168" fontId="11" fillId="6" borderId="5" xfId="0" applyNumberFormat="1" applyFont="1" applyFill="1" applyBorder="1" applyAlignment="1">
      <alignment horizontal="right" vertical="center"/>
    </xf>
    <xf numFmtId="168" fontId="11" fillId="2" borderId="0" xfId="0" applyNumberFormat="1" applyFont="1" applyFill="1" applyAlignment="1">
      <alignment horizontal="right" vertical="center"/>
    </xf>
    <xf numFmtId="1" fontId="3" fillId="2" borderId="0" xfId="0" applyNumberFormat="1" applyFont="1" applyFill="1" applyAlignment="1">
      <alignment horizontal="center" vertical="center"/>
    </xf>
    <xf numFmtId="1" fontId="3" fillId="10" borderId="0" xfId="0" applyNumberFormat="1" applyFont="1" applyFill="1" applyAlignment="1">
      <alignment vertical="center"/>
    </xf>
    <xf numFmtId="1" fontId="3" fillId="11" borderId="0" xfId="0" applyNumberFormat="1" applyFont="1" applyFill="1" applyAlignment="1">
      <alignment vertical="center"/>
    </xf>
    <xf numFmtId="3" fontId="10" fillId="0" borderId="5" xfId="0" applyNumberFormat="1" applyFont="1" applyBorder="1"/>
    <xf numFmtId="164" fontId="3" fillId="10" borderId="8" xfId="0" applyNumberFormat="1" applyFont="1" applyFill="1" applyBorder="1" applyAlignment="1">
      <alignment horizontal="center" vertical="center"/>
    </xf>
    <xf numFmtId="1" fontId="12" fillId="0" borderId="0" xfId="0" applyNumberFormat="1" applyFont="1"/>
    <xf numFmtId="0" fontId="24" fillId="0" borderId="0" xfId="0" applyFont="1" applyAlignment="1">
      <alignment wrapText="1"/>
    </xf>
    <xf numFmtId="0" fontId="12" fillId="0" borderId="5" xfId="0" applyFont="1" applyBorder="1" applyAlignment="1">
      <alignment horizontal="center"/>
    </xf>
    <xf numFmtId="2" fontId="12" fillId="0" borderId="5" xfId="0" applyNumberFormat="1" applyFont="1" applyBorder="1" applyAlignment="1">
      <alignment horizontal="center"/>
    </xf>
    <xf numFmtId="0" fontId="1" fillId="0" borderId="5" xfId="0" applyFont="1" applyBorder="1" applyAlignment="1">
      <alignment horizontal="center"/>
    </xf>
    <xf numFmtId="0" fontId="26" fillId="8" borderId="8" xfId="0" applyFont="1" applyFill="1" applyBorder="1"/>
    <xf numFmtId="0" fontId="26" fillId="8" borderId="31" xfId="0" applyFont="1" applyFill="1" applyBorder="1"/>
    <xf numFmtId="0" fontId="26" fillId="8" borderId="32" xfId="0" applyFont="1" applyFill="1" applyBorder="1"/>
    <xf numFmtId="0" fontId="25" fillId="8" borderId="34" xfId="0" applyFont="1" applyFill="1" applyBorder="1" applyAlignment="1">
      <alignment horizontal="left" vertical="center" wrapText="1"/>
    </xf>
    <xf numFmtId="0" fontId="25" fillId="8" borderId="35" xfId="0" applyFont="1" applyFill="1" applyBorder="1" applyAlignment="1">
      <alignment horizontal="left" vertical="center" wrapText="1"/>
    </xf>
    <xf numFmtId="0" fontId="25" fillId="8" borderId="33" xfId="0" applyFont="1" applyFill="1" applyBorder="1" applyAlignment="1">
      <alignment wrapText="1"/>
    </xf>
    <xf numFmtId="0" fontId="25" fillId="8" borderId="36" xfId="0" applyFont="1" applyFill="1" applyBorder="1" applyAlignment="1">
      <alignment horizontal="left" vertical="center" wrapText="1"/>
    </xf>
    <xf numFmtId="0" fontId="22" fillId="0" borderId="21" xfId="0" applyFont="1" applyBorder="1"/>
    <xf numFmtId="0" fontId="22" fillId="0" borderId="5" xfId="0" applyFont="1" applyBorder="1"/>
    <xf numFmtId="1" fontId="11" fillId="0" borderId="5" xfId="0" applyNumberFormat="1" applyFont="1" applyBorder="1" applyAlignment="1">
      <alignment horizontal="center"/>
    </xf>
    <xf numFmtId="1" fontId="20" fillId="0" borderId="5" xfId="0" applyNumberFormat="1" applyFont="1" applyBorder="1" applyAlignment="1">
      <alignment horizontal="center"/>
    </xf>
    <xf numFmtId="49" fontId="27" fillId="6" borderId="5" xfId="0" applyNumberFormat="1" applyFont="1" applyFill="1" applyBorder="1" applyAlignment="1">
      <alignment horizontal="right" vertical="center"/>
    </xf>
    <xf numFmtId="0" fontId="3" fillId="0" borderId="5" xfId="0" applyFont="1" applyBorder="1"/>
    <xf numFmtId="169" fontId="3" fillId="2" borderId="5" xfId="0" applyNumberFormat="1" applyFont="1" applyFill="1" applyBorder="1" applyAlignment="1">
      <alignment vertical="center"/>
    </xf>
    <xf numFmtId="0" fontId="22" fillId="0" borderId="0" xfId="0" applyFont="1" applyAlignment="1">
      <alignment horizontal="center" wrapText="1"/>
    </xf>
    <xf numFmtId="2" fontId="3" fillId="2" borderId="5" xfId="0" applyNumberFormat="1" applyFont="1" applyFill="1" applyBorder="1" applyAlignment="1">
      <alignment vertical="center"/>
    </xf>
    <xf numFmtId="170" fontId="3" fillId="2" borderId="5" xfId="0" applyNumberFormat="1" applyFont="1" applyFill="1" applyBorder="1" applyAlignment="1">
      <alignment vertical="center"/>
    </xf>
    <xf numFmtId="14" fontId="10" fillId="2" borderId="5" xfId="0" applyNumberFormat="1" applyFont="1" applyFill="1" applyBorder="1" applyAlignment="1">
      <alignment vertical="center"/>
    </xf>
    <xf numFmtId="165" fontId="29" fillId="12" borderId="5" xfId="0" applyNumberFormat="1" applyFont="1" applyFill="1" applyBorder="1"/>
    <xf numFmtId="165" fontId="29" fillId="13" borderId="5" xfId="0" applyNumberFormat="1" applyFont="1" applyFill="1" applyBorder="1"/>
    <xf numFmtId="165" fontId="29" fillId="11" borderId="5" xfId="0" applyNumberFormat="1" applyFont="1" applyFill="1" applyBorder="1"/>
    <xf numFmtId="0" fontId="11" fillId="0" borderId="6" xfId="0" applyFont="1" applyBorder="1" applyAlignment="1">
      <alignment horizontal="center"/>
    </xf>
    <xf numFmtId="0" fontId="3" fillId="2" borderId="6" xfId="0" applyFont="1" applyFill="1" applyBorder="1" applyAlignment="1">
      <alignment vertical="center"/>
    </xf>
    <xf numFmtId="2" fontId="3" fillId="2" borderId="6" xfId="0" applyNumberFormat="1" applyFont="1" applyFill="1" applyBorder="1" applyAlignment="1">
      <alignment vertical="center"/>
    </xf>
    <xf numFmtId="1" fontId="3" fillId="2" borderId="6" xfId="0" applyNumberFormat="1" applyFont="1" applyFill="1" applyBorder="1" applyAlignment="1">
      <alignment vertical="center"/>
    </xf>
    <xf numFmtId="169" fontId="3" fillId="2" borderId="6" xfId="0" applyNumberFormat="1" applyFont="1" applyFill="1" applyBorder="1" applyAlignment="1">
      <alignment vertical="center"/>
    </xf>
    <xf numFmtId="165" fontId="9" fillId="2" borderId="5" xfId="1" applyNumberFormat="1" applyFont="1" applyFill="1" applyBorder="1" applyAlignment="1">
      <alignment vertical="center"/>
    </xf>
    <xf numFmtId="3" fontId="3" fillId="2" borderId="0" xfId="0" applyNumberFormat="1" applyFont="1" applyFill="1" applyAlignment="1">
      <alignment vertical="center"/>
    </xf>
    <xf numFmtId="171" fontId="3" fillId="2" borderId="5" xfId="0" applyNumberFormat="1" applyFont="1" applyFill="1" applyBorder="1" applyAlignment="1">
      <alignment vertical="center" wrapText="1"/>
    </xf>
    <xf numFmtId="171" fontId="3" fillId="2" borderId="5" xfId="0" applyNumberFormat="1" applyFont="1" applyFill="1" applyBorder="1" applyAlignment="1">
      <alignment vertical="center"/>
    </xf>
    <xf numFmtId="0" fontId="20" fillId="0" borderId="37" xfId="0" applyFont="1" applyBorder="1"/>
    <xf numFmtId="0" fontId="11" fillId="0" borderId="39" xfId="0" applyFont="1" applyBorder="1"/>
    <xf numFmtId="0" fontId="11" fillId="0" borderId="40" xfId="0" applyFont="1" applyBorder="1"/>
    <xf numFmtId="0" fontId="11" fillId="0" borderId="41" xfId="0" applyFont="1" applyBorder="1"/>
    <xf numFmtId="3" fontId="3" fillId="2" borderId="5" xfId="0" applyNumberFormat="1" applyFont="1" applyFill="1" applyBorder="1" applyAlignment="1">
      <alignment vertical="center"/>
    </xf>
    <xf numFmtId="10" fontId="3" fillId="2" borderId="0" xfId="1" applyNumberFormat="1" applyFont="1" applyFill="1" applyAlignment="1">
      <alignment vertical="center"/>
    </xf>
    <xf numFmtId="0" fontId="3" fillId="14" borderId="5" xfId="0" applyFont="1" applyFill="1" applyBorder="1" applyAlignment="1">
      <alignment vertical="center"/>
    </xf>
    <xf numFmtId="3" fontId="3" fillId="14" borderId="5" xfId="0" applyNumberFormat="1" applyFont="1" applyFill="1" applyBorder="1" applyAlignment="1">
      <alignment vertical="center"/>
    </xf>
    <xf numFmtId="0" fontId="9" fillId="14" borderId="5" xfId="0" applyFont="1" applyFill="1" applyBorder="1" applyAlignment="1">
      <alignment vertical="center"/>
    </xf>
    <xf numFmtId="0" fontId="3" fillId="14" borderId="5" xfId="0" applyFont="1" applyFill="1" applyBorder="1"/>
    <xf numFmtId="172" fontId="3" fillId="14" borderId="5" xfId="0" applyNumberFormat="1" applyFont="1" applyFill="1" applyBorder="1" applyAlignment="1">
      <alignment vertical="center"/>
    </xf>
    <xf numFmtId="0" fontId="3" fillId="2" borderId="0" xfId="0" applyFont="1" applyFill="1" applyAlignment="1">
      <alignment vertical="center" wrapText="1"/>
    </xf>
    <xf numFmtId="10" fontId="3" fillId="2" borderId="5" xfId="0" applyNumberFormat="1" applyFont="1" applyFill="1" applyBorder="1" applyAlignment="1">
      <alignment vertical="center" wrapText="1"/>
    </xf>
    <xf numFmtId="4" fontId="11" fillId="0" borderId="5" xfId="0" applyNumberFormat="1" applyFont="1" applyBorder="1"/>
    <xf numFmtId="165" fontId="20" fillId="6" borderId="5" xfId="0" applyNumberFormat="1" applyFont="1" applyFill="1" applyBorder="1"/>
    <xf numFmtId="0" fontId="7" fillId="2" borderId="4" xfId="0" applyFont="1" applyFill="1" applyBorder="1" applyAlignment="1">
      <alignment vertical="center"/>
    </xf>
    <xf numFmtId="10" fontId="3" fillId="2" borderId="0" xfId="0" applyNumberFormat="1" applyFont="1" applyFill="1" applyAlignment="1">
      <alignment vertical="center" wrapText="1"/>
    </xf>
    <xf numFmtId="165" fontId="9" fillId="2" borderId="0" xfId="1" applyNumberFormat="1" applyFont="1" applyFill="1" applyBorder="1" applyAlignment="1">
      <alignment vertical="center"/>
    </xf>
    <xf numFmtId="0" fontId="3" fillId="2" borderId="0" xfId="0" applyFont="1" applyFill="1"/>
    <xf numFmtId="172" fontId="3" fillId="2" borderId="0" xfId="0" applyNumberFormat="1" applyFont="1" applyFill="1" applyAlignment="1">
      <alignment vertical="center"/>
    </xf>
    <xf numFmtId="165" fontId="20" fillId="7" borderId="5" xfId="0" applyNumberFormat="1" applyFont="1" applyFill="1" applyBorder="1"/>
    <xf numFmtId="3" fontId="11" fillId="0" borderId="6" xfId="0" applyNumberFormat="1" applyFont="1" applyBorder="1"/>
    <xf numFmtId="168" fontId="11" fillId="0" borderId="5" xfId="0" applyNumberFormat="1" applyFont="1" applyBorder="1" applyAlignment="1">
      <alignment horizontal="right" vertical="center"/>
    </xf>
    <xf numFmtId="1" fontId="11" fillId="0" borderId="43" xfId="0" applyNumberFormat="1" applyFont="1" applyBorder="1" applyAlignment="1">
      <alignment horizontal="center"/>
    </xf>
    <xf numFmtId="1" fontId="22" fillId="0" borderId="0" xfId="0" applyNumberFormat="1" applyFont="1"/>
    <xf numFmtId="0" fontId="13" fillId="2" borderId="0" xfId="0" applyFont="1" applyFill="1" applyAlignment="1">
      <alignment vertical="center"/>
    </xf>
    <xf numFmtId="0" fontId="13" fillId="2" borderId="4" xfId="0" applyFont="1" applyFill="1" applyBorder="1" applyAlignment="1">
      <alignment vertical="center"/>
    </xf>
    <xf numFmtId="164" fontId="11" fillId="2" borderId="8" xfId="0" applyNumberFormat="1" applyFont="1" applyFill="1" applyBorder="1" applyAlignment="1">
      <alignment horizontal="center" vertical="center"/>
    </xf>
    <xf numFmtId="0" fontId="22" fillId="0" borderId="0" xfId="0" applyFont="1" applyAlignment="1">
      <alignment wrapText="1"/>
    </xf>
    <xf numFmtId="164" fontId="30" fillId="2" borderId="0" xfId="0" applyNumberFormat="1" applyFont="1" applyFill="1" applyAlignment="1">
      <alignment horizontal="center" vertical="center"/>
    </xf>
    <xf numFmtId="0" fontId="12" fillId="0" borderId="0" xfId="0" applyFont="1" applyAlignment="1">
      <alignment wrapText="1"/>
    </xf>
    <xf numFmtId="0" fontId="23" fillId="0" borderId="5" xfId="0" applyFont="1" applyBorder="1" applyAlignment="1">
      <alignment vertical="top" wrapText="1"/>
    </xf>
    <xf numFmtId="3" fontId="22" fillId="0" borderId="0" xfId="0" applyNumberFormat="1" applyFont="1"/>
    <xf numFmtId="1" fontId="22" fillId="6" borderId="0" xfId="0" applyNumberFormat="1" applyFont="1" applyFill="1"/>
    <xf numFmtId="3" fontId="22" fillId="6" borderId="0" xfId="0" applyNumberFormat="1" applyFont="1" applyFill="1"/>
    <xf numFmtId="14" fontId="12" fillId="0" borderId="0" xfId="0" applyNumberFormat="1" applyFont="1"/>
    <xf numFmtId="0" fontId="3" fillId="2" borderId="5" xfId="0" applyFont="1" applyFill="1" applyBorder="1" applyAlignment="1">
      <alignment horizontal="left" vertical="center"/>
    </xf>
    <xf numFmtId="0" fontId="3" fillId="2" borderId="44" xfId="0" applyFont="1" applyFill="1" applyBorder="1" applyAlignment="1">
      <alignment horizontal="center" vertical="center"/>
    </xf>
    <xf numFmtId="0" fontId="3" fillId="2" borderId="45" xfId="0" applyFont="1" applyFill="1" applyBorder="1" applyAlignment="1">
      <alignment horizontal="center" vertical="center"/>
    </xf>
    <xf numFmtId="0" fontId="3" fillId="2" borderId="34" xfId="0" applyFont="1" applyFill="1" applyBorder="1" applyAlignment="1">
      <alignment horizontal="center" vertical="center"/>
    </xf>
    <xf numFmtId="0" fontId="3" fillId="2" borderId="30" xfId="0" applyFont="1" applyFill="1" applyBorder="1" applyAlignment="1">
      <alignment horizontal="center" vertical="center" wrapText="1"/>
    </xf>
    <xf numFmtId="0" fontId="3" fillId="2" borderId="0" xfId="0" applyFont="1" applyFill="1" applyAlignment="1">
      <alignment horizontal="center" vertical="center" wrapText="1"/>
    </xf>
    <xf numFmtId="0" fontId="3" fillId="0" borderId="0" xfId="0" applyFont="1" applyAlignment="1">
      <alignment horizontal="left" vertical="center" wrapText="1"/>
    </xf>
    <xf numFmtId="0" fontId="6" fillId="5" borderId="1" xfId="0" applyFont="1" applyFill="1" applyBorder="1" applyAlignment="1">
      <alignment horizontal="left" vertical="center"/>
    </xf>
    <xf numFmtId="0" fontId="6" fillId="5" borderId="3" xfId="0" applyFont="1" applyFill="1" applyBorder="1" applyAlignment="1">
      <alignment horizontal="left" vertical="center"/>
    </xf>
    <xf numFmtId="0" fontId="3" fillId="2" borderId="27" xfId="0" applyFont="1" applyFill="1" applyBorder="1" applyAlignment="1">
      <alignment horizontal="left" vertical="center" wrapText="1"/>
    </xf>
    <xf numFmtId="0" fontId="3" fillId="2" borderId="0" xfId="0" applyFont="1" applyFill="1" applyAlignment="1">
      <alignment horizontal="left" vertical="center" wrapText="1"/>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164" fontId="5" fillId="3" borderId="1" xfId="0" applyNumberFormat="1" applyFont="1" applyFill="1" applyBorder="1" applyAlignment="1">
      <alignment horizontal="center" vertical="center"/>
    </xf>
    <xf numFmtId="164" fontId="5" fillId="3" borderId="2" xfId="0" applyNumberFormat="1" applyFont="1" applyFill="1" applyBorder="1" applyAlignment="1">
      <alignment horizontal="center" vertical="center"/>
    </xf>
    <xf numFmtId="0" fontId="9" fillId="0" borderId="11"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2" borderId="5" xfId="0" applyFont="1" applyFill="1" applyBorder="1" applyAlignment="1">
      <alignment horizontal="left" vertical="center"/>
    </xf>
    <xf numFmtId="0" fontId="9" fillId="2" borderId="5" xfId="0" applyFont="1" applyFill="1" applyBorder="1" applyAlignment="1">
      <alignment horizontal="center" vertical="center"/>
    </xf>
    <xf numFmtId="0" fontId="22" fillId="0" borderId="0" xfId="0" applyFont="1" applyAlignment="1">
      <alignment horizontal="center" wrapText="1"/>
    </xf>
    <xf numFmtId="0" fontId="20" fillId="0" borderId="37" xfId="0" applyFont="1" applyBorder="1" applyAlignment="1">
      <alignment horizontal="center"/>
    </xf>
    <xf numFmtId="0" fontId="20" fillId="0" borderId="38" xfId="0" applyFont="1" applyBorder="1" applyAlignment="1">
      <alignment horizontal="center"/>
    </xf>
    <xf numFmtId="0" fontId="20" fillId="0" borderId="42" xfId="0" applyFont="1" applyBorder="1" applyAlignment="1">
      <alignment horizontal="center"/>
    </xf>
    <xf numFmtId="0" fontId="20" fillId="0" borderId="21" xfId="0" applyFont="1" applyBorder="1" applyAlignment="1">
      <alignment horizontal="center"/>
    </xf>
    <xf numFmtId="0" fontId="20" fillId="0" borderId="22" xfId="0" applyFont="1" applyBorder="1" applyAlignment="1">
      <alignment horizontal="center"/>
    </xf>
    <xf numFmtId="0" fontId="6" fillId="5" borderId="1" xfId="0" applyFont="1" applyFill="1" applyBorder="1" applyAlignment="1">
      <alignment horizontal="center" vertical="center"/>
    </xf>
    <xf numFmtId="0" fontId="6" fillId="5"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6" borderId="5" xfId="0" applyFont="1" applyFill="1" applyBorder="1" applyAlignment="1">
      <alignment horizontal="left" vertical="center" wrapText="1"/>
    </xf>
    <xf numFmtId="0" fontId="3" fillId="6" borderId="5" xfId="0" applyFont="1" applyFill="1" applyBorder="1" applyAlignment="1">
      <alignment horizontal="left" vertical="center"/>
    </xf>
  </cellXfs>
  <cellStyles count="2">
    <cellStyle name="Normal" xfId="0" builtinId="0"/>
    <cellStyle name="Percent" xfId="1" builtinId="5"/>
  </cellStyles>
  <dxfs count="191">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theme="0"/>
      </font>
      <fill>
        <patternFill patternType="none">
          <bgColor auto="1"/>
        </patternFill>
      </fill>
    </dxf>
    <dxf>
      <font>
        <color theme="0"/>
      </font>
      <fill>
        <patternFill patternType="none">
          <bgColor auto="1"/>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3868"/>
      <rgbColor rgb="0091867E"/>
      <rgbColor rgb="009D0E2D"/>
      <rgbColor rgb="00898000"/>
      <rgbColor rgb="00F49C3E"/>
      <rgbColor rgb="00FFC726"/>
      <rgbColor rgb="00166C86"/>
      <rgbColor rgb="0092499E"/>
      <rgbColor rgb="0070A198"/>
      <rgbColor rgb="006F5940"/>
      <rgbColor rgb="007898B3"/>
      <rgbColor rgb="00C8C1BC"/>
      <rgbColor rgb="00DE7572"/>
      <rgbColor rgb="00D7D17B"/>
      <rgbColor rgb="00F8C48B"/>
      <rgbColor rgb="00FFDD7D"/>
      <rgbColor rgb="0056A2B9"/>
      <rgbColor rgb="00BE92C5"/>
      <rgbColor rgb="00BFD5CD"/>
      <rgbColor rgb="009B8A73"/>
      <rgbColor rgb="00C8C1BC"/>
      <rgbColor rgb="00C4EAF8"/>
      <rgbColor rgb="00003868"/>
      <rgbColor rgb="00E3DFDB"/>
      <rgbColor rgb="00003868"/>
      <rgbColor rgb="00AAA19A"/>
      <rgbColor rgb="009D0E2D"/>
      <rgbColor rgb="0056A2B9"/>
      <rgbColor rgb="0092499E"/>
      <rgbColor rgb="00BFD5CD"/>
      <rgbColor rgb="006AA94E"/>
      <rgbColor rgb="00FFC726"/>
      <rgbColor rgb="00FBD7B2"/>
      <rgbColor rgb="00FFFFFF"/>
      <rgbColor rgb="00FFFFFF"/>
      <rgbColor rgb="00000000"/>
      <rgbColor rgb="00FFFFFF"/>
      <rgbColor rgb="00000000"/>
      <rgbColor rgb="00FFFFFF"/>
      <rgbColor rgb="00F5F1EF"/>
      <rgbColor rgb="00F8C48B"/>
      <rgbColor rgb="00A7E0E0"/>
      <rgbColor rgb="00DE7572"/>
      <rgbColor rgb="00E3DFDB"/>
      <rgbColor rgb="00C8C1BC"/>
      <rgbColor rgb="00AAA19A"/>
      <rgbColor rgb="00FFD251"/>
      <rgbColor rgb="00A6CB95"/>
      <rgbColor rgb="006CCBED"/>
      <rgbColor rgb="009B8A73"/>
      <rgbColor rgb="0091499E"/>
      <rgbColor rgb="009D0E2D"/>
      <rgbColor rgb="0091867E"/>
      <rgbColor rgb="00FFE9A8"/>
      <rgbColor rgb="00FFC726"/>
      <rgbColor rgb="00898000"/>
    </indexedColors>
    <mruColors>
      <color rgb="FFFFE101"/>
      <color rgb="FFFFC1C1"/>
      <color rgb="FFCC00CC"/>
      <color rgb="FF00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2440771826598597E-2"/>
          <c:y val="1.8121731905717468E-2"/>
          <c:w val="0.89752282738077382"/>
          <c:h val="0.85402147099918035"/>
        </c:manualLayout>
      </c:layout>
      <c:lineChart>
        <c:grouping val="standard"/>
        <c:varyColors val="0"/>
        <c:ser>
          <c:idx val="0"/>
          <c:order val="0"/>
          <c:tx>
            <c:strRef>
              <c:f>Graphs!$C$1</c:f>
              <c:strCache>
                <c:ptCount val="1"/>
                <c:pt idx="0">
                  <c:v>JWU</c:v>
                </c:pt>
              </c:strCache>
            </c:strRef>
          </c:tx>
          <c:spPr>
            <a:ln w="19050" cap="rnd" cmpd="sng" algn="ctr">
              <a:solidFill>
                <a:srgbClr val="003CB4"/>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Graphs!$C$2:$C$64</c:f>
              <c:numCache>
                <c:formatCode>0</c:formatCode>
                <c:ptCount val="63"/>
                <c:pt idx="0">
                  <c:v>50</c:v>
                </c:pt>
                <c:pt idx="1">
                  <c:v>50</c:v>
                </c:pt>
                <c:pt idx="2">
                  <c:v>61</c:v>
                </c:pt>
                <c:pt idx="3">
                  <c:v>61</c:v>
                </c:pt>
                <c:pt idx="4">
                  <c:v>61</c:v>
                </c:pt>
                <c:pt idx="5">
                  <c:v>63.75</c:v>
                </c:pt>
                <c:pt idx="6">
                  <c:v>63.75</c:v>
                </c:pt>
                <c:pt idx="7">
                  <c:v>63.75</c:v>
                </c:pt>
                <c:pt idx="8">
                  <c:v>63.75</c:v>
                </c:pt>
                <c:pt idx="9">
                  <c:v>63.75</c:v>
                </c:pt>
                <c:pt idx="10">
                  <c:v>63.75</c:v>
                </c:pt>
                <c:pt idx="11">
                  <c:v>63.75</c:v>
                </c:pt>
                <c:pt idx="12">
                  <c:v>74.75</c:v>
                </c:pt>
                <c:pt idx="13">
                  <c:v>74.75</c:v>
                </c:pt>
                <c:pt idx="14">
                  <c:v>74.75</c:v>
                </c:pt>
                <c:pt idx="15">
                  <c:v>74.75</c:v>
                </c:pt>
                <c:pt idx="16">
                  <c:v>74.75</c:v>
                </c:pt>
                <c:pt idx="17">
                  <c:v>74.75</c:v>
                </c:pt>
                <c:pt idx="18">
                  <c:v>77.5</c:v>
                </c:pt>
                <c:pt idx="19">
                  <c:v>77.5</c:v>
                </c:pt>
                <c:pt idx="20">
                  <c:v>77.5</c:v>
                </c:pt>
                <c:pt idx="21">
                  <c:v>88.5</c:v>
                </c:pt>
                <c:pt idx="22">
                  <c:v>99.5</c:v>
                </c:pt>
                <c:pt idx="23">
                  <c:v>102.25</c:v>
                </c:pt>
                <c:pt idx="24">
                  <c:v>105</c:v>
                </c:pt>
                <c:pt idx="25">
                  <c:v>116</c:v>
                </c:pt>
                <c:pt idx="26">
                  <c:v>116</c:v>
                </c:pt>
                <c:pt idx="27">
                  <c:v>127</c:v>
                </c:pt>
                <c:pt idx="28">
                  <c:v>127</c:v>
                </c:pt>
                <c:pt idx="29">
                  <c:v>129.75</c:v>
                </c:pt>
                <c:pt idx="30">
                  <c:v>129.75</c:v>
                </c:pt>
                <c:pt idx="31">
                  <c:v>140.75</c:v>
                </c:pt>
                <c:pt idx="32">
                  <c:v>143.5</c:v>
                </c:pt>
                <c:pt idx="33">
                  <c:v>143.5</c:v>
                </c:pt>
                <c:pt idx="34">
                  <c:v>143.5</c:v>
                </c:pt>
                <c:pt idx="35">
                  <c:v>146.25</c:v>
                </c:pt>
                <c:pt idx="36">
                  <c:v>146.25</c:v>
                </c:pt>
                <c:pt idx="37">
                  <c:v>149</c:v>
                </c:pt>
                <c:pt idx="38">
                  <c:v>149</c:v>
                </c:pt>
                <c:pt idx="39">
                  <c:v>154.5</c:v>
                </c:pt>
                <c:pt idx="40">
                  <c:v>154.5</c:v>
                </c:pt>
                <c:pt idx="41">
                  <c:v>154.5</c:v>
                </c:pt>
                <c:pt idx="42">
                  <c:v>165.5</c:v>
                </c:pt>
                <c:pt idx="43">
                  <c:v>165.5</c:v>
                </c:pt>
                <c:pt idx="44">
                  <c:v>165.5</c:v>
                </c:pt>
                <c:pt idx="45">
                  <c:v>176.5</c:v>
                </c:pt>
                <c:pt idx="46">
                  <c:v>179.25</c:v>
                </c:pt>
                <c:pt idx="47">
                  <c:v>179.25</c:v>
                </c:pt>
                <c:pt idx="48">
                  <c:v>179.25</c:v>
                </c:pt>
                <c:pt idx="49">
                  <c:v>179.25</c:v>
                </c:pt>
                <c:pt idx="50">
                  <c:v>179.25</c:v>
                </c:pt>
                <c:pt idx="51">
                  <c:v>190.25</c:v>
                </c:pt>
                <c:pt idx="52">
                  <c:v>190.25</c:v>
                </c:pt>
                <c:pt idx="53">
                  <c:v>201.25</c:v>
                </c:pt>
                <c:pt idx="54">
                  <c:v>201.25</c:v>
                </c:pt>
                <c:pt idx="55">
                  <c:v>201.25</c:v>
                </c:pt>
                <c:pt idx="56">
                  <c:v>201.25</c:v>
                </c:pt>
                <c:pt idx="57">
                  <c:v>201.25</c:v>
                </c:pt>
                <c:pt idx="58">
                  <c:v>212.25</c:v>
                </c:pt>
                <c:pt idx="59">
                  <c:v>212.25</c:v>
                </c:pt>
                <c:pt idx="60">
                  <c:v>212.25</c:v>
                </c:pt>
                <c:pt idx="61">
                  <c:v>212.25</c:v>
                </c:pt>
                <c:pt idx="62">
                  <c:v>212.25</c:v>
                </c:pt>
              </c:numCache>
            </c:numRef>
          </c:val>
          <c:smooth val="0"/>
          <c:extLst>
            <c:ext xmlns:c16="http://schemas.microsoft.com/office/drawing/2014/chart" uri="{C3380CC4-5D6E-409C-BE32-E72D297353CC}">
              <c16:uniqueId val="{00000000-18AA-42B6-B199-971A79ACF795}"/>
            </c:ext>
          </c:extLst>
        </c:ser>
        <c:ser>
          <c:idx val="2"/>
          <c:order val="1"/>
          <c:tx>
            <c:strRef>
              <c:f>Graphs!$D$1</c:f>
              <c:strCache>
                <c:ptCount val="1"/>
                <c:pt idx="0">
                  <c:v>CBO</c:v>
                </c:pt>
              </c:strCache>
            </c:strRef>
          </c:tx>
          <c:spPr>
            <a:ln w="19050" cap="rnd" cmpd="sng" algn="ctr">
              <a:solidFill>
                <a:srgbClr val="008CD2"/>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Graphs!$D$2:$D$64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1-18AA-42B6-B199-971A79ACF795}"/>
            </c:ext>
          </c:extLst>
        </c:ser>
        <c:ser>
          <c:idx val="3"/>
          <c:order val="2"/>
          <c:tx>
            <c:strRef>
              <c:f>Graphs!$E$1</c:f>
              <c:strCache>
                <c:ptCount val="1"/>
                <c:pt idx="0">
                  <c:v>PKN</c:v>
                </c:pt>
              </c:strCache>
            </c:strRef>
          </c:tx>
          <c:spPr>
            <a:ln w="19050" cap="rnd" cmpd="sng" algn="ctr">
              <a:solidFill>
                <a:srgbClr val="0000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Graphs!$E$2:$E$64</c:f>
              <c:numCache>
                <c:formatCode>0</c:formatCode>
                <c:ptCount val="63"/>
                <c:pt idx="0">
                  <c:v>50</c:v>
                </c:pt>
                <c:pt idx="1">
                  <c:v>50</c:v>
                </c:pt>
                <c:pt idx="2">
                  <c:v>50</c:v>
                </c:pt>
                <c:pt idx="3">
                  <c:v>50</c:v>
                </c:pt>
                <c:pt idx="4">
                  <c:v>50</c:v>
                </c:pt>
                <c:pt idx="5">
                  <c:v>61</c:v>
                </c:pt>
                <c:pt idx="6">
                  <c:v>61</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pt idx="24">
                  <c:v>72</c:v>
                </c:pt>
                <c:pt idx="25">
                  <c:v>83</c:v>
                </c:pt>
                <c:pt idx="26">
                  <c:v>83</c:v>
                </c:pt>
                <c:pt idx="27">
                  <c:v>83</c:v>
                </c:pt>
                <c:pt idx="28">
                  <c:v>83</c:v>
                </c:pt>
                <c:pt idx="29">
                  <c:v>83</c:v>
                </c:pt>
                <c:pt idx="30">
                  <c:v>94</c:v>
                </c:pt>
                <c:pt idx="31">
                  <c:v>94</c:v>
                </c:pt>
                <c:pt idx="32">
                  <c:v>94</c:v>
                </c:pt>
                <c:pt idx="33">
                  <c:v>94</c:v>
                </c:pt>
                <c:pt idx="34">
                  <c:v>94</c:v>
                </c:pt>
                <c:pt idx="35">
                  <c:v>94</c:v>
                </c:pt>
                <c:pt idx="36">
                  <c:v>94</c:v>
                </c:pt>
                <c:pt idx="37">
                  <c:v>105</c:v>
                </c:pt>
                <c:pt idx="38">
                  <c:v>105</c:v>
                </c:pt>
                <c:pt idx="39">
                  <c:v>116</c:v>
                </c:pt>
                <c:pt idx="40">
                  <c:v>116</c:v>
                </c:pt>
                <c:pt idx="41">
                  <c:v>127</c:v>
                </c:pt>
                <c:pt idx="42">
                  <c:v>127</c:v>
                </c:pt>
                <c:pt idx="43">
                  <c:v>127</c:v>
                </c:pt>
                <c:pt idx="44">
                  <c:v>127</c:v>
                </c:pt>
                <c:pt idx="45">
                  <c:v>127</c:v>
                </c:pt>
                <c:pt idx="46">
                  <c:v>127</c:v>
                </c:pt>
                <c:pt idx="47">
                  <c:v>138</c:v>
                </c:pt>
                <c:pt idx="48">
                  <c:v>138</c:v>
                </c:pt>
                <c:pt idx="49">
                  <c:v>138</c:v>
                </c:pt>
                <c:pt idx="50">
                  <c:v>149</c:v>
                </c:pt>
                <c:pt idx="51">
                  <c:v>160</c:v>
                </c:pt>
                <c:pt idx="52">
                  <c:v>160</c:v>
                </c:pt>
                <c:pt idx="53">
                  <c:v>160</c:v>
                </c:pt>
                <c:pt idx="54">
                  <c:v>160</c:v>
                </c:pt>
                <c:pt idx="55">
                  <c:v>160</c:v>
                </c:pt>
                <c:pt idx="56">
                  <c:v>171</c:v>
                </c:pt>
                <c:pt idx="57">
                  <c:v>171</c:v>
                </c:pt>
                <c:pt idx="58">
                  <c:v>171</c:v>
                </c:pt>
                <c:pt idx="59">
                  <c:v>171</c:v>
                </c:pt>
                <c:pt idx="60">
                  <c:v>171</c:v>
                </c:pt>
                <c:pt idx="61">
                  <c:v>171</c:v>
                </c:pt>
                <c:pt idx="62">
                  <c:v>171</c:v>
                </c:pt>
              </c:numCache>
            </c:numRef>
          </c:val>
          <c:smooth val="0"/>
          <c:extLst>
            <c:ext xmlns:c16="http://schemas.microsoft.com/office/drawing/2014/chart" uri="{C3380CC4-5D6E-409C-BE32-E72D297353CC}">
              <c16:uniqueId val="{00000002-18AA-42B6-B199-971A79ACF795}"/>
            </c:ext>
          </c:extLst>
        </c:ser>
        <c:ser>
          <c:idx val="4"/>
          <c:order val="3"/>
          <c:tx>
            <c:strRef>
              <c:f>Graphs!$F$1</c:f>
              <c:strCache>
                <c:ptCount val="1"/>
                <c:pt idx="0">
                  <c:v>YMI</c:v>
                </c:pt>
              </c:strCache>
            </c:strRef>
          </c:tx>
          <c:spPr>
            <a:ln w="19050" cap="rnd" cmpd="sng" algn="ctr">
              <a:solidFill>
                <a:srgbClr val="00BEC8"/>
              </a:solidFill>
              <a:prstDash val="sysDash"/>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Graphs!$F$2:$F$64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3-18AA-42B6-B199-971A79ACF795}"/>
            </c:ext>
          </c:extLst>
        </c:ser>
        <c:ser>
          <c:idx val="5"/>
          <c:order val="4"/>
          <c:tx>
            <c:strRef>
              <c:f>Graphs!$G$1</c:f>
              <c:strCache>
                <c:ptCount val="1"/>
                <c:pt idx="0">
                  <c:v>SJU</c:v>
                </c:pt>
              </c:strCache>
            </c:strRef>
          </c:tx>
          <c:spPr>
            <a:ln w="19050" cap="rnd" cmpd="sng" algn="ctr">
              <a:solidFill>
                <a:srgbClr val="28CD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Graphs!$G$2:$G$64</c:f>
              <c:numCache>
                <c:formatCode>0</c:formatCode>
                <c:ptCount val="63"/>
                <c:pt idx="0">
                  <c:v>50</c:v>
                </c:pt>
                <c:pt idx="1">
                  <c:v>61</c:v>
                </c:pt>
                <c:pt idx="2">
                  <c:v>72</c:v>
                </c:pt>
                <c:pt idx="3">
                  <c:v>83</c:v>
                </c:pt>
                <c:pt idx="4">
                  <c:v>83</c:v>
                </c:pt>
                <c:pt idx="5">
                  <c:v>85.75</c:v>
                </c:pt>
                <c:pt idx="6">
                  <c:v>85.75</c:v>
                </c:pt>
                <c:pt idx="7">
                  <c:v>85.75</c:v>
                </c:pt>
                <c:pt idx="8">
                  <c:v>85.75</c:v>
                </c:pt>
                <c:pt idx="9">
                  <c:v>85.75</c:v>
                </c:pt>
                <c:pt idx="10">
                  <c:v>85.75</c:v>
                </c:pt>
                <c:pt idx="11">
                  <c:v>85.75</c:v>
                </c:pt>
                <c:pt idx="12">
                  <c:v>85.75</c:v>
                </c:pt>
                <c:pt idx="13">
                  <c:v>85.75</c:v>
                </c:pt>
                <c:pt idx="14">
                  <c:v>85.75</c:v>
                </c:pt>
                <c:pt idx="15">
                  <c:v>85.75</c:v>
                </c:pt>
                <c:pt idx="16">
                  <c:v>85.75</c:v>
                </c:pt>
                <c:pt idx="17">
                  <c:v>85.75</c:v>
                </c:pt>
                <c:pt idx="18">
                  <c:v>85.75</c:v>
                </c:pt>
                <c:pt idx="19">
                  <c:v>85.75</c:v>
                </c:pt>
                <c:pt idx="20">
                  <c:v>85.75</c:v>
                </c:pt>
                <c:pt idx="21">
                  <c:v>88.5</c:v>
                </c:pt>
                <c:pt idx="22">
                  <c:v>88.5</c:v>
                </c:pt>
                <c:pt idx="23">
                  <c:v>88.5</c:v>
                </c:pt>
                <c:pt idx="24">
                  <c:v>99.5</c:v>
                </c:pt>
                <c:pt idx="25">
                  <c:v>99.5</c:v>
                </c:pt>
                <c:pt idx="26">
                  <c:v>99.5</c:v>
                </c:pt>
                <c:pt idx="27">
                  <c:v>99.5</c:v>
                </c:pt>
                <c:pt idx="28">
                  <c:v>99.5</c:v>
                </c:pt>
                <c:pt idx="29">
                  <c:v>99.5</c:v>
                </c:pt>
                <c:pt idx="30">
                  <c:v>99.5</c:v>
                </c:pt>
                <c:pt idx="31">
                  <c:v>110.5</c:v>
                </c:pt>
                <c:pt idx="32">
                  <c:v>110.5</c:v>
                </c:pt>
                <c:pt idx="33">
                  <c:v>110.5</c:v>
                </c:pt>
                <c:pt idx="34">
                  <c:v>121.5</c:v>
                </c:pt>
                <c:pt idx="35">
                  <c:v>121.5</c:v>
                </c:pt>
                <c:pt idx="36">
                  <c:v>121.5</c:v>
                </c:pt>
                <c:pt idx="37">
                  <c:v>121.5</c:v>
                </c:pt>
                <c:pt idx="38">
                  <c:v>121.5</c:v>
                </c:pt>
                <c:pt idx="39">
                  <c:v>132.5</c:v>
                </c:pt>
                <c:pt idx="40">
                  <c:v>132.5</c:v>
                </c:pt>
                <c:pt idx="41">
                  <c:v>132.5</c:v>
                </c:pt>
                <c:pt idx="42">
                  <c:v>132.5</c:v>
                </c:pt>
                <c:pt idx="43">
                  <c:v>132.5</c:v>
                </c:pt>
                <c:pt idx="44">
                  <c:v>132.5</c:v>
                </c:pt>
                <c:pt idx="45">
                  <c:v>132.5</c:v>
                </c:pt>
                <c:pt idx="46">
                  <c:v>132.5</c:v>
                </c:pt>
                <c:pt idx="47">
                  <c:v>143.5</c:v>
                </c:pt>
                <c:pt idx="48">
                  <c:v>143.5</c:v>
                </c:pt>
                <c:pt idx="49">
                  <c:v>143.5</c:v>
                </c:pt>
                <c:pt idx="50">
                  <c:v>154.5</c:v>
                </c:pt>
                <c:pt idx="51">
                  <c:v>165.5</c:v>
                </c:pt>
                <c:pt idx="52">
                  <c:v>165.5</c:v>
                </c:pt>
                <c:pt idx="53">
                  <c:v>165.5</c:v>
                </c:pt>
                <c:pt idx="54">
                  <c:v>165.5</c:v>
                </c:pt>
                <c:pt idx="55">
                  <c:v>165.5</c:v>
                </c:pt>
                <c:pt idx="56">
                  <c:v>176.5</c:v>
                </c:pt>
                <c:pt idx="57">
                  <c:v>176.5</c:v>
                </c:pt>
                <c:pt idx="58">
                  <c:v>176.5</c:v>
                </c:pt>
                <c:pt idx="59">
                  <c:v>176.5</c:v>
                </c:pt>
                <c:pt idx="60">
                  <c:v>176.5</c:v>
                </c:pt>
                <c:pt idx="61">
                  <c:v>176.5</c:v>
                </c:pt>
                <c:pt idx="62">
                  <c:v>176.5</c:v>
                </c:pt>
              </c:numCache>
            </c:numRef>
          </c:val>
          <c:smooth val="0"/>
          <c:extLst>
            <c:ext xmlns:c16="http://schemas.microsoft.com/office/drawing/2014/chart" uri="{C3380CC4-5D6E-409C-BE32-E72D297353CC}">
              <c16:uniqueId val="{00000004-18AA-42B6-B199-971A79ACF795}"/>
            </c:ext>
          </c:extLst>
        </c:ser>
        <c:ser>
          <c:idx val="6"/>
          <c:order val="5"/>
          <c:tx>
            <c:strRef>
              <c:f>Graphs!$H$1</c:f>
              <c:strCache>
                <c:ptCount val="1"/>
                <c:pt idx="0">
                  <c:v>MST</c:v>
                </c:pt>
              </c:strCache>
            </c:strRef>
          </c:tx>
          <c:spPr>
            <a:ln w="28575" cap="rnd" cmpd="sng" algn="ctr">
              <a:solidFill>
                <a:srgbClr val="FFE101"/>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Graphs!$H$2:$H$64</c:f>
              <c:numCache>
                <c:formatCode>0</c:formatCode>
                <c:ptCount val="63"/>
                <c:pt idx="0">
                  <c:v>50</c:v>
                </c:pt>
                <c:pt idx="1">
                  <c:v>50</c:v>
                </c:pt>
                <c:pt idx="2">
                  <c:v>50</c:v>
                </c:pt>
                <c:pt idx="3">
                  <c:v>50</c:v>
                </c:pt>
                <c:pt idx="4">
                  <c:v>50</c:v>
                </c:pt>
                <c:pt idx="5">
                  <c:v>61</c:v>
                </c:pt>
                <c:pt idx="6">
                  <c:v>61</c:v>
                </c:pt>
                <c:pt idx="7">
                  <c:v>61</c:v>
                </c:pt>
                <c:pt idx="8">
                  <c:v>61</c:v>
                </c:pt>
                <c:pt idx="9">
                  <c:v>61</c:v>
                </c:pt>
                <c:pt idx="10">
                  <c:v>61</c:v>
                </c:pt>
                <c:pt idx="11">
                  <c:v>61</c:v>
                </c:pt>
                <c:pt idx="12">
                  <c:v>61</c:v>
                </c:pt>
                <c:pt idx="13">
                  <c:v>61</c:v>
                </c:pt>
                <c:pt idx="14">
                  <c:v>61</c:v>
                </c:pt>
                <c:pt idx="15">
                  <c:v>61</c:v>
                </c:pt>
                <c:pt idx="16">
                  <c:v>61</c:v>
                </c:pt>
                <c:pt idx="17">
                  <c:v>72</c:v>
                </c:pt>
                <c:pt idx="18">
                  <c:v>72</c:v>
                </c:pt>
                <c:pt idx="19">
                  <c:v>72</c:v>
                </c:pt>
                <c:pt idx="20">
                  <c:v>72</c:v>
                </c:pt>
                <c:pt idx="21">
                  <c:v>74.75</c:v>
                </c:pt>
                <c:pt idx="22">
                  <c:v>74.75</c:v>
                </c:pt>
                <c:pt idx="23">
                  <c:v>74.75</c:v>
                </c:pt>
                <c:pt idx="24">
                  <c:v>74.75</c:v>
                </c:pt>
                <c:pt idx="25">
                  <c:v>74.75</c:v>
                </c:pt>
                <c:pt idx="26">
                  <c:v>85.75</c:v>
                </c:pt>
                <c:pt idx="27">
                  <c:v>85.75</c:v>
                </c:pt>
                <c:pt idx="28">
                  <c:v>85.75</c:v>
                </c:pt>
                <c:pt idx="29">
                  <c:v>85.75</c:v>
                </c:pt>
                <c:pt idx="30">
                  <c:v>85.75</c:v>
                </c:pt>
                <c:pt idx="31">
                  <c:v>85.75</c:v>
                </c:pt>
                <c:pt idx="32">
                  <c:v>85.75</c:v>
                </c:pt>
                <c:pt idx="33">
                  <c:v>85.75</c:v>
                </c:pt>
                <c:pt idx="34">
                  <c:v>85.75</c:v>
                </c:pt>
                <c:pt idx="35">
                  <c:v>85.75</c:v>
                </c:pt>
                <c:pt idx="36">
                  <c:v>85.75</c:v>
                </c:pt>
                <c:pt idx="37">
                  <c:v>85.75</c:v>
                </c:pt>
                <c:pt idx="38">
                  <c:v>85.75</c:v>
                </c:pt>
                <c:pt idx="39">
                  <c:v>85.75</c:v>
                </c:pt>
                <c:pt idx="40">
                  <c:v>85.75</c:v>
                </c:pt>
                <c:pt idx="41">
                  <c:v>85.75</c:v>
                </c:pt>
                <c:pt idx="42">
                  <c:v>85.75</c:v>
                </c:pt>
                <c:pt idx="43">
                  <c:v>85.75</c:v>
                </c:pt>
                <c:pt idx="44">
                  <c:v>85.75</c:v>
                </c:pt>
                <c:pt idx="45">
                  <c:v>85.75</c:v>
                </c:pt>
                <c:pt idx="46">
                  <c:v>85.75</c:v>
                </c:pt>
                <c:pt idx="47">
                  <c:v>85.75</c:v>
                </c:pt>
                <c:pt idx="48">
                  <c:v>85.75</c:v>
                </c:pt>
                <c:pt idx="49">
                  <c:v>85.75</c:v>
                </c:pt>
                <c:pt idx="50">
                  <c:v>85.75</c:v>
                </c:pt>
                <c:pt idx="51">
                  <c:v>90.75</c:v>
                </c:pt>
                <c:pt idx="52">
                  <c:v>90.75</c:v>
                </c:pt>
                <c:pt idx="53">
                  <c:v>101.75</c:v>
                </c:pt>
                <c:pt idx="54">
                  <c:v>101.75</c:v>
                </c:pt>
                <c:pt idx="55">
                  <c:v>101.75</c:v>
                </c:pt>
                <c:pt idx="56">
                  <c:v>101.75</c:v>
                </c:pt>
                <c:pt idx="57">
                  <c:v>112.75</c:v>
                </c:pt>
                <c:pt idx="58">
                  <c:v>112.75</c:v>
                </c:pt>
                <c:pt idx="59">
                  <c:v>112.75</c:v>
                </c:pt>
                <c:pt idx="60">
                  <c:v>112.75</c:v>
                </c:pt>
                <c:pt idx="61">
                  <c:v>123.75</c:v>
                </c:pt>
                <c:pt idx="62">
                  <c:v>123.75</c:v>
                </c:pt>
              </c:numCache>
            </c:numRef>
          </c:val>
          <c:smooth val="0"/>
          <c:extLst>
            <c:ext xmlns:c16="http://schemas.microsoft.com/office/drawing/2014/chart" uri="{C3380CC4-5D6E-409C-BE32-E72D297353CC}">
              <c16:uniqueId val="{00000005-18AA-42B6-B199-971A79ACF795}"/>
            </c:ext>
          </c:extLst>
        </c:ser>
        <c:ser>
          <c:idx val="1"/>
          <c:order val="6"/>
          <c:tx>
            <c:strRef>
              <c:f>Graphs!$I$1</c:f>
              <c:strCache>
                <c:ptCount val="1"/>
                <c:pt idx="0">
                  <c:v>JWU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Graphs!$I$2:$I$64</c:f>
            </c:numRef>
          </c:val>
          <c:smooth val="0"/>
          <c:extLst>
            <c:ext xmlns:c16="http://schemas.microsoft.com/office/drawing/2014/chart" uri="{C3380CC4-5D6E-409C-BE32-E72D297353CC}">
              <c16:uniqueId val="{00000000-FE70-4AD1-8C35-ADDAD01D614B}"/>
            </c:ext>
          </c:extLst>
        </c:ser>
        <c:ser>
          <c:idx val="7"/>
          <c:order val="7"/>
          <c:tx>
            <c:strRef>
              <c:f>Graphs!$J$1</c:f>
              <c:strCache>
                <c:ptCount val="1"/>
                <c:pt idx="0">
                  <c:v>CBO</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1"/>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Graphs!$J$2:$J$64</c:f>
            </c:numRef>
          </c:val>
          <c:smooth val="0"/>
          <c:extLst>
            <c:ext xmlns:c16="http://schemas.microsoft.com/office/drawing/2014/chart" uri="{C3380CC4-5D6E-409C-BE32-E72D297353CC}">
              <c16:uniqueId val="{00000001-FE70-4AD1-8C35-ADDAD01D614B}"/>
            </c:ext>
          </c:extLst>
        </c:ser>
        <c:ser>
          <c:idx val="8"/>
          <c:order val="8"/>
          <c:tx>
            <c:strRef>
              <c:f>Graphs!$K$1</c:f>
              <c:strCache>
                <c:ptCount val="1"/>
                <c:pt idx="0">
                  <c:v>PKN</c:v>
                </c:pt>
              </c:strCache>
            </c:strRef>
          </c:tx>
          <c:marker>
            <c:symbol val="none"/>
          </c:marker>
          <c:dLbls>
            <c:dLbl>
              <c:idx val="4"/>
              <c:layout>
                <c:manualLayout>
                  <c:x val="-4.1226470171474546E-3"/>
                  <c:y val="-2.713349557155400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Graphs!$K$2:$K$64</c:f>
            </c:numRef>
          </c:val>
          <c:smooth val="0"/>
          <c:extLst>
            <c:ext xmlns:c16="http://schemas.microsoft.com/office/drawing/2014/chart" uri="{C3380CC4-5D6E-409C-BE32-E72D297353CC}">
              <c16:uniqueId val="{00000002-FE70-4AD1-8C35-ADDAD01D614B}"/>
            </c:ext>
          </c:extLst>
        </c:ser>
        <c:ser>
          <c:idx val="9"/>
          <c:order val="9"/>
          <c:tx>
            <c:strRef>
              <c:f>Graphs!$L$1</c:f>
              <c:strCache>
                <c:ptCount val="1"/>
                <c:pt idx="0">
                  <c:v>YMI</c:v>
                </c:pt>
              </c:strCache>
            </c:strRef>
          </c:tx>
          <c:marker>
            <c:symbol val="none"/>
          </c:marker>
          <c:dLbls>
            <c:dLbl>
              <c:idx val="4"/>
              <c:layout>
                <c:manualLayout>
                  <c:x val="-1.4909478918407701E-3"/>
                  <c:y val="-4.6981963735103112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7-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Graphs!$L$2:$L$64</c:f>
            </c:numRef>
          </c:val>
          <c:smooth val="0"/>
          <c:extLst>
            <c:ext xmlns:c16="http://schemas.microsoft.com/office/drawing/2014/chart" uri="{C3380CC4-5D6E-409C-BE32-E72D297353CC}">
              <c16:uniqueId val="{00000003-FE70-4AD1-8C35-ADDAD01D614B}"/>
            </c:ext>
          </c:extLst>
        </c:ser>
        <c:ser>
          <c:idx val="10"/>
          <c:order val="10"/>
          <c:tx>
            <c:strRef>
              <c:f>Graphs!$M$1</c:f>
              <c:strCache>
                <c:ptCount val="1"/>
                <c:pt idx="0">
                  <c:v>SJU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Graphs!$M$2:$M$64</c:f>
            </c:numRef>
          </c:val>
          <c:smooth val="0"/>
          <c:extLst>
            <c:ext xmlns:c16="http://schemas.microsoft.com/office/drawing/2014/chart" uri="{C3380CC4-5D6E-409C-BE32-E72D297353CC}">
              <c16:uniqueId val="{00000004-FE70-4AD1-8C35-ADDAD01D614B}"/>
            </c:ext>
          </c:extLst>
        </c:ser>
        <c:ser>
          <c:idx val="11"/>
          <c:order val="11"/>
          <c:tx>
            <c:strRef>
              <c:f>Graphs!$N$1</c:f>
              <c:strCache>
                <c:ptCount val="1"/>
                <c:pt idx="0">
                  <c:v>MST</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Graphs!$N$2:$N$64</c:f>
            </c:numRef>
          </c:val>
          <c:smooth val="0"/>
          <c:extLst>
            <c:ext xmlns:c16="http://schemas.microsoft.com/office/drawing/2014/chart" uri="{C3380CC4-5D6E-409C-BE32-E72D297353CC}">
              <c16:uniqueId val="{00000005-FE70-4AD1-8C35-ADDAD01D614B}"/>
            </c:ext>
          </c:extLst>
        </c:ser>
        <c:dLbls>
          <c:showLegendKey val="0"/>
          <c:showVal val="0"/>
          <c:showCatName val="0"/>
          <c:showSerName val="0"/>
          <c:showPercent val="0"/>
          <c:showBubbleSize val="0"/>
        </c:dLbls>
        <c:smooth val="0"/>
        <c:axId val="475496832"/>
        <c:axId val="475498368"/>
      </c:lineChart>
      <c:dateAx>
        <c:axId val="475496832"/>
        <c:scaling>
          <c:orientation val="minMax"/>
        </c:scaling>
        <c:delete val="0"/>
        <c:axPos val="b"/>
        <c:numFmt formatCode="mm/yyyy" sourceLinked="0"/>
        <c:majorTickMark val="none"/>
        <c:minorTickMark val="none"/>
        <c:tickLblPos val="nextTo"/>
        <c:spPr>
          <a:ln w="3175">
            <a:noFill/>
          </a:ln>
        </c:spPr>
        <c:crossAx val="475498368"/>
        <c:crosses val="autoZero"/>
        <c:auto val="1"/>
        <c:lblOffset val="100"/>
        <c:baseTimeUnit val="days"/>
      </c:dateAx>
      <c:valAx>
        <c:axId val="475498368"/>
        <c:scaling>
          <c:orientation val="minMax"/>
          <c:min val="49.9"/>
        </c:scaling>
        <c:delete val="0"/>
        <c:axPos val="l"/>
        <c:numFmt formatCode="0" sourceLinked="1"/>
        <c:majorTickMark val="none"/>
        <c:minorTickMark val="none"/>
        <c:tickLblPos val="nextTo"/>
        <c:spPr>
          <a:noFill/>
          <a:ln w="9525" cap="flat" cmpd="sng" algn="ctr">
            <a:solidFill>
              <a:schemeClr val="tx1"/>
            </a:solidFill>
            <a:prstDash val="solid"/>
            <a:round/>
          </a:ln>
          <a:effectLst/>
        </c:spPr>
        <c:crossAx val="475496832"/>
        <c:crosses val="autoZero"/>
        <c:crossBetween val="between"/>
        <c:majorUnit val="1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chart>
  <c:spPr>
    <a:solidFill>
      <a:srgbClr val="FFFFFF"/>
    </a:solid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tint val="75000"/>
              <a:shade val="95000"/>
              <a:satMod val="105000"/>
            </a:sysClr>
          </a:solidFill>
          <a:prstDash val="solid"/>
          <a:round/>
        </a14:hiddenLine>
      </a:ext>
    </a:extLst>
  </c:spPr>
  <c:txPr>
    <a:bodyPr/>
    <a:lstStyle/>
    <a:p>
      <a:pPr>
        <a:defRPr>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Graphs!$Y$1</c:f>
              <c:strCache>
                <c:ptCount val="1"/>
                <c:pt idx="0">
                  <c:v>JWU</c:v>
                </c:pt>
              </c:strCache>
            </c:strRef>
          </c:tx>
          <c:spPr>
            <a:ln w="19050" cap="rnd" cmpd="sng" algn="ctr">
              <a:solidFill>
                <a:srgbClr val="003CB4"/>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Graphs!$Y$2:$Y$64</c:f>
              <c:numCache>
                <c:formatCode>0%</c:formatCode>
                <c:ptCount val="63"/>
                <c:pt idx="0">
                  <c:v>1</c:v>
                </c:pt>
                <c:pt idx="1">
                  <c:v>1</c:v>
                </c:pt>
                <c:pt idx="2">
                  <c:v>0.66666666666666663</c:v>
                </c:pt>
                <c:pt idx="3">
                  <c:v>0.75</c:v>
                </c:pt>
                <c:pt idx="4">
                  <c:v>0.8</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0.88888888888888884</c:v>
                </c:pt>
                <c:pt idx="18">
                  <c:v>0.89473684210526316</c:v>
                </c:pt>
                <c:pt idx="19">
                  <c:v>0.9</c:v>
                </c:pt>
                <c:pt idx="20">
                  <c:v>0.90476190476190477</c:v>
                </c:pt>
                <c:pt idx="21">
                  <c:v>0.86363636363636365</c:v>
                </c:pt>
                <c:pt idx="22">
                  <c:v>0.82608695652173914</c:v>
                </c:pt>
                <c:pt idx="23">
                  <c:v>0.82608695652173914</c:v>
                </c:pt>
                <c:pt idx="24">
                  <c:v>0.84</c:v>
                </c:pt>
                <c:pt idx="25">
                  <c:v>0.80769230769230771</c:v>
                </c:pt>
                <c:pt idx="26">
                  <c:v>0.81481481481481477</c:v>
                </c:pt>
                <c:pt idx="27">
                  <c:v>0.7857142857142857</c:v>
                </c:pt>
                <c:pt idx="28">
                  <c:v>0.7931034482758621</c:v>
                </c:pt>
                <c:pt idx="29">
                  <c:v>0.8</c:v>
                </c:pt>
                <c:pt idx="30">
                  <c:v>0.80645161290322576</c:v>
                </c:pt>
                <c:pt idx="31">
                  <c:v>0.78125</c:v>
                </c:pt>
                <c:pt idx="32">
                  <c:v>0.78787878787878785</c:v>
                </c:pt>
                <c:pt idx="33">
                  <c:v>0.79411764705882348</c:v>
                </c:pt>
                <c:pt idx="34">
                  <c:v>0.8</c:v>
                </c:pt>
                <c:pt idx="35">
                  <c:v>0.8</c:v>
                </c:pt>
                <c:pt idx="36">
                  <c:v>0.81081081081081086</c:v>
                </c:pt>
                <c:pt idx="37">
                  <c:v>0.81578947368421051</c:v>
                </c:pt>
                <c:pt idx="38">
                  <c:v>0.82051282051282048</c:v>
                </c:pt>
                <c:pt idx="39">
                  <c:v>0.82499999999999996</c:v>
                </c:pt>
                <c:pt idx="40">
                  <c:v>0.82926829268292679</c:v>
                </c:pt>
                <c:pt idx="41">
                  <c:v>0.83333333333333337</c:v>
                </c:pt>
                <c:pt idx="42">
                  <c:v>0.81395348837209303</c:v>
                </c:pt>
                <c:pt idx="43">
                  <c:v>0.81818181818181823</c:v>
                </c:pt>
                <c:pt idx="44">
                  <c:v>0.82222222222222219</c:v>
                </c:pt>
                <c:pt idx="45">
                  <c:v>0.80434782608695654</c:v>
                </c:pt>
                <c:pt idx="46">
                  <c:v>0.80851063829787229</c:v>
                </c:pt>
                <c:pt idx="47">
                  <c:v>0.80851063829787229</c:v>
                </c:pt>
                <c:pt idx="48">
                  <c:v>0.79591836734693877</c:v>
                </c:pt>
                <c:pt idx="49">
                  <c:v>0.79591836734693877</c:v>
                </c:pt>
                <c:pt idx="50">
                  <c:v>0.78431372549019607</c:v>
                </c:pt>
                <c:pt idx="51">
                  <c:v>0.78431372549019607</c:v>
                </c:pt>
                <c:pt idx="52">
                  <c:v>0.77358490566037741</c:v>
                </c:pt>
                <c:pt idx="53">
                  <c:v>0.77358490566037741</c:v>
                </c:pt>
                <c:pt idx="54">
                  <c:v>0.76363636363636367</c:v>
                </c:pt>
                <c:pt idx="55">
                  <c:v>0.76363636363636367</c:v>
                </c:pt>
                <c:pt idx="56">
                  <c:v>0.77192982456140347</c:v>
                </c:pt>
                <c:pt idx="57">
                  <c:v>0.77192982456140347</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0-7BF4-456F-A319-CA191E4A1519}"/>
            </c:ext>
          </c:extLst>
        </c:ser>
        <c:ser>
          <c:idx val="1"/>
          <c:order val="1"/>
          <c:tx>
            <c:strRef>
              <c:f>Graphs!$Z$1</c:f>
              <c:strCache>
                <c:ptCount val="1"/>
                <c:pt idx="0">
                  <c:v>CBO</c:v>
                </c:pt>
              </c:strCache>
            </c:strRef>
          </c:tx>
          <c:spPr>
            <a:ln w="19050" cap="rnd" cmpd="sng" algn="ctr">
              <a:solidFill>
                <a:srgbClr val="008CD2"/>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Graphs!$Z$2:$Z$64</c:f>
              <c:numCache>
                <c:formatCode>0%</c:formatCode>
                <c:ptCount val="63"/>
                <c:pt idx="0">
                  <c:v>0</c:v>
                </c:pt>
                <c:pt idx="1">
                  <c:v>0</c:v>
                </c:pt>
                <c:pt idx="2">
                  <c:v>0</c:v>
                </c:pt>
                <c:pt idx="3">
                  <c:v>0</c:v>
                </c:pt>
                <c:pt idx="4">
                  <c:v>0</c:v>
                </c:pt>
                <c:pt idx="5">
                  <c:v>0</c:v>
                </c:pt>
                <c:pt idx="6">
                  <c:v>0</c:v>
                </c:pt>
                <c:pt idx="7">
                  <c:v>0</c:v>
                </c:pt>
                <c:pt idx="8">
                  <c:v>0</c:v>
                </c:pt>
                <c:pt idx="9">
                  <c:v>0.1</c:v>
                </c:pt>
                <c:pt idx="10">
                  <c:v>9.0909090909090912E-2</c:v>
                </c:pt>
                <c:pt idx="11">
                  <c:v>9.0909090909090912E-2</c:v>
                </c:pt>
                <c:pt idx="12">
                  <c:v>7.6923076923076927E-2</c:v>
                </c:pt>
                <c:pt idx="13">
                  <c:v>7.1428571428571425E-2</c:v>
                </c:pt>
                <c:pt idx="14">
                  <c:v>6.6666666666666666E-2</c:v>
                </c:pt>
                <c:pt idx="15">
                  <c:v>6.25E-2</c:v>
                </c:pt>
                <c:pt idx="16">
                  <c:v>5.8823529411764705E-2</c:v>
                </c:pt>
                <c:pt idx="17">
                  <c:v>5.5555555555555552E-2</c:v>
                </c:pt>
                <c:pt idx="18">
                  <c:v>5.2631578947368418E-2</c:v>
                </c:pt>
                <c:pt idx="19">
                  <c:v>0.05</c:v>
                </c:pt>
                <c:pt idx="20">
                  <c:v>4.7619047619047616E-2</c:v>
                </c:pt>
                <c:pt idx="21">
                  <c:v>4.5454545454545456E-2</c:v>
                </c:pt>
                <c:pt idx="22">
                  <c:v>4.3478260869565216E-2</c:v>
                </c:pt>
                <c:pt idx="23">
                  <c:v>4.3478260869565216E-2</c:v>
                </c:pt>
                <c:pt idx="24">
                  <c:v>0.04</c:v>
                </c:pt>
                <c:pt idx="25">
                  <c:v>3.8461538461538464E-2</c:v>
                </c:pt>
                <c:pt idx="26">
                  <c:v>7.407407407407407E-2</c:v>
                </c:pt>
                <c:pt idx="27">
                  <c:v>7.1428571428571425E-2</c:v>
                </c:pt>
                <c:pt idx="28">
                  <c:v>6.8965517241379309E-2</c:v>
                </c:pt>
                <c:pt idx="29">
                  <c:v>0.1</c:v>
                </c:pt>
                <c:pt idx="30">
                  <c:v>9.6774193548387094E-2</c:v>
                </c:pt>
                <c:pt idx="31">
                  <c:v>9.375E-2</c:v>
                </c:pt>
                <c:pt idx="32">
                  <c:v>9.0909090909090912E-2</c:v>
                </c:pt>
                <c:pt idx="33">
                  <c:v>8.8235294117647065E-2</c:v>
                </c:pt>
                <c:pt idx="34">
                  <c:v>8.5714285714285715E-2</c:v>
                </c:pt>
                <c:pt idx="35">
                  <c:v>8.5714285714285715E-2</c:v>
                </c:pt>
                <c:pt idx="36">
                  <c:v>8.1081081081081086E-2</c:v>
                </c:pt>
                <c:pt idx="37">
                  <c:v>7.8947368421052627E-2</c:v>
                </c:pt>
                <c:pt idx="38">
                  <c:v>7.6923076923076927E-2</c:v>
                </c:pt>
                <c:pt idx="39">
                  <c:v>0.1</c:v>
                </c:pt>
                <c:pt idx="40">
                  <c:v>0.12195121951219512</c:v>
                </c:pt>
                <c:pt idx="41">
                  <c:v>0.14285714285714285</c:v>
                </c:pt>
                <c:pt idx="42">
                  <c:v>0.16279069767441862</c:v>
                </c:pt>
                <c:pt idx="43">
                  <c:v>0.18181818181818182</c:v>
                </c:pt>
                <c:pt idx="44">
                  <c:v>0.17777777777777778</c:v>
                </c:pt>
                <c:pt idx="45">
                  <c:v>0.19565217391304349</c:v>
                </c:pt>
                <c:pt idx="46">
                  <c:v>0.21276595744680851</c:v>
                </c:pt>
                <c:pt idx="47">
                  <c:v>0.21276595744680851</c:v>
                </c:pt>
                <c:pt idx="48">
                  <c:v>0.22448979591836735</c:v>
                </c:pt>
                <c:pt idx="49">
                  <c:v>0.22448979591836735</c:v>
                </c:pt>
                <c:pt idx="50">
                  <c:v>0.21568627450980393</c:v>
                </c:pt>
                <c:pt idx="51">
                  <c:v>0.21568627450980393</c:v>
                </c:pt>
                <c:pt idx="52">
                  <c:v>0.24528301886792453</c:v>
                </c:pt>
                <c:pt idx="53">
                  <c:v>0.24528301886792453</c:v>
                </c:pt>
                <c:pt idx="54">
                  <c:v>0.25454545454545452</c:v>
                </c:pt>
                <c:pt idx="55">
                  <c:v>0.25454545454545452</c:v>
                </c:pt>
                <c:pt idx="56">
                  <c:v>0.2807017543859649</c:v>
                </c:pt>
                <c:pt idx="57">
                  <c:v>0.2807017543859649</c:v>
                </c:pt>
                <c:pt idx="58">
                  <c:v>0.30508474576271188</c:v>
                </c:pt>
                <c:pt idx="59">
                  <c:v>0.30508474576271188</c:v>
                </c:pt>
                <c:pt idx="60">
                  <c:v>0.31666666666666665</c:v>
                </c:pt>
                <c:pt idx="61">
                  <c:v>0.31666666666666665</c:v>
                </c:pt>
                <c:pt idx="62">
                  <c:v>0.32786885245901637</c:v>
                </c:pt>
              </c:numCache>
            </c:numRef>
          </c:val>
          <c:smooth val="0"/>
          <c:extLst>
            <c:ext xmlns:c16="http://schemas.microsoft.com/office/drawing/2014/chart" uri="{C3380CC4-5D6E-409C-BE32-E72D297353CC}">
              <c16:uniqueId val="{00000001-7BF4-456F-A319-CA191E4A1519}"/>
            </c:ext>
          </c:extLst>
        </c:ser>
        <c:ser>
          <c:idx val="2"/>
          <c:order val="2"/>
          <c:tx>
            <c:strRef>
              <c:f>Graphs!$AA$1</c:f>
              <c:strCache>
                <c:ptCount val="1"/>
                <c:pt idx="0">
                  <c:v>PKN</c:v>
                </c:pt>
              </c:strCache>
            </c:strRef>
          </c:tx>
          <c:spPr>
            <a:ln w="19050" cap="rnd" cmpd="sng" algn="ctr">
              <a:solidFill>
                <a:srgbClr val="0000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Graphs!$AA$2:$AA$64</c:f>
              <c:numCache>
                <c:formatCode>0%</c:formatCode>
                <c:ptCount val="63"/>
                <c:pt idx="0">
                  <c:v>1</c:v>
                </c:pt>
                <c:pt idx="1">
                  <c:v>1</c:v>
                </c:pt>
                <c:pt idx="2">
                  <c:v>1</c:v>
                </c:pt>
                <c:pt idx="3">
                  <c:v>1</c:v>
                </c:pt>
                <c:pt idx="4">
                  <c:v>1</c:v>
                </c:pt>
                <c:pt idx="5">
                  <c:v>0.83333333333333337</c:v>
                </c:pt>
                <c:pt idx="6">
                  <c:v>0.8571428571428571</c:v>
                </c:pt>
                <c:pt idx="7">
                  <c:v>0.75</c:v>
                </c:pt>
                <c:pt idx="8">
                  <c:v>0.77777777777777779</c:v>
                </c:pt>
                <c:pt idx="9">
                  <c:v>0.8</c:v>
                </c:pt>
                <c:pt idx="10">
                  <c:v>0.81818181818181823</c:v>
                </c:pt>
                <c:pt idx="11">
                  <c:v>0.81818181818181823</c:v>
                </c:pt>
                <c:pt idx="12">
                  <c:v>0.76923076923076927</c:v>
                </c:pt>
                <c:pt idx="13">
                  <c:v>0.7857142857142857</c:v>
                </c:pt>
                <c:pt idx="14">
                  <c:v>0.8</c:v>
                </c:pt>
                <c:pt idx="15">
                  <c:v>0.8125</c:v>
                </c:pt>
                <c:pt idx="16">
                  <c:v>0.82352941176470584</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0.84615384615384615</c:v>
                </c:pt>
                <c:pt idx="26">
                  <c:v>0.85185185185185186</c:v>
                </c:pt>
                <c:pt idx="27">
                  <c:v>0.8571428571428571</c:v>
                </c:pt>
                <c:pt idx="28">
                  <c:v>0.86206896551724133</c:v>
                </c:pt>
                <c:pt idx="29">
                  <c:v>0.8666666666666667</c:v>
                </c:pt>
                <c:pt idx="30">
                  <c:v>0.83870967741935487</c:v>
                </c:pt>
                <c:pt idx="31">
                  <c:v>0.84375</c:v>
                </c:pt>
                <c:pt idx="32">
                  <c:v>0.84848484848484851</c:v>
                </c:pt>
                <c:pt idx="33">
                  <c:v>0.8529411764705882</c:v>
                </c:pt>
                <c:pt idx="34">
                  <c:v>0.8571428571428571</c:v>
                </c:pt>
                <c:pt idx="35">
                  <c:v>0.8571428571428571</c:v>
                </c:pt>
                <c:pt idx="36">
                  <c:v>0.86486486486486491</c:v>
                </c:pt>
                <c:pt idx="37">
                  <c:v>0.84210526315789469</c:v>
                </c:pt>
                <c:pt idx="38">
                  <c:v>0.84615384615384615</c:v>
                </c:pt>
                <c:pt idx="39">
                  <c:v>0.82499999999999996</c:v>
                </c:pt>
                <c:pt idx="40">
                  <c:v>0.82926829268292679</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2-7BF4-456F-A319-CA191E4A1519}"/>
            </c:ext>
          </c:extLst>
        </c:ser>
        <c:ser>
          <c:idx val="3"/>
          <c:order val="3"/>
          <c:tx>
            <c:strRef>
              <c:f>Graphs!$AB$1</c:f>
              <c:strCache>
                <c:ptCount val="1"/>
                <c:pt idx="0">
                  <c:v>YMI</c:v>
                </c:pt>
              </c:strCache>
            </c:strRef>
          </c:tx>
          <c:spPr>
            <a:ln w="19050" cap="rnd" cmpd="sng" algn="ctr">
              <a:solidFill>
                <a:srgbClr val="00BEC8"/>
              </a:solidFill>
              <a:prstDash val="sysDash"/>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Graphs!$AB$2:$AB$64</c:f>
              <c:numCache>
                <c:formatCode>0%</c:formatCode>
                <c:ptCount val="63"/>
                <c:pt idx="0">
                  <c:v>0</c:v>
                </c:pt>
                <c:pt idx="1">
                  <c:v>0</c:v>
                </c:pt>
                <c:pt idx="2">
                  <c:v>0</c:v>
                </c:pt>
                <c:pt idx="3">
                  <c:v>0</c:v>
                </c:pt>
                <c:pt idx="4">
                  <c:v>0</c:v>
                </c:pt>
                <c:pt idx="5">
                  <c:v>0</c:v>
                </c:pt>
                <c:pt idx="6">
                  <c:v>0</c:v>
                </c:pt>
                <c:pt idx="7">
                  <c:v>0</c:v>
                </c:pt>
                <c:pt idx="8">
                  <c:v>0.1111111111111111</c:v>
                </c:pt>
                <c:pt idx="9">
                  <c:v>0.2</c:v>
                </c:pt>
                <c:pt idx="10">
                  <c:v>0.27272727272727271</c:v>
                </c:pt>
                <c:pt idx="11">
                  <c:v>0.27272727272727271</c:v>
                </c:pt>
                <c:pt idx="12">
                  <c:v>0.23076923076923078</c:v>
                </c:pt>
                <c:pt idx="13">
                  <c:v>0.2857142857142857</c:v>
                </c:pt>
                <c:pt idx="14">
                  <c:v>0.33333333333333331</c:v>
                </c:pt>
                <c:pt idx="15">
                  <c:v>0.3125</c:v>
                </c:pt>
                <c:pt idx="16">
                  <c:v>0.29411764705882354</c:v>
                </c:pt>
                <c:pt idx="17">
                  <c:v>0.27777777777777779</c:v>
                </c:pt>
                <c:pt idx="18">
                  <c:v>0.26315789473684209</c:v>
                </c:pt>
                <c:pt idx="19">
                  <c:v>0.25</c:v>
                </c:pt>
                <c:pt idx="20">
                  <c:v>0.2857142857142857</c:v>
                </c:pt>
                <c:pt idx="21">
                  <c:v>0.31818181818181818</c:v>
                </c:pt>
                <c:pt idx="22">
                  <c:v>0.30434782608695654</c:v>
                </c:pt>
                <c:pt idx="23">
                  <c:v>0.30434782608695654</c:v>
                </c:pt>
                <c:pt idx="24">
                  <c:v>0.28000000000000003</c:v>
                </c:pt>
                <c:pt idx="25">
                  <c:v>0.26923076923076922</c:v>
                </c:pt>
                <c:pt idx="26">
                  <c:v>0.29629629629629628</c:v>
                </c:pt>
                <c:pt idx="27">
                  <c:v>0.2857142857142857</c:v>
                </c:pt>
                <c:pt idx="28">
                  <c:v>0.27586206896551724</c:v>
                </c:pt>
                <c:pt idx="29">
                  <c:v>0.26666666666666666</c:v>
                </c:pt>
                <c:pt idx="30">
                  <c:v>0.29032258064516131</c:v>
                </c:pt>
                <c:pt idx="31">
                  <c:v>0.3125</c:v>
                </c:pt>
                <c:pt idx="32">
                  <c:v>0.33333333333333331</c:v>
                </c:pt>
                <c:pt idx="33">
                  <c:v>0.3235294117647059</c:v>
                </c:pt>
                <c:pt idx="34">
                  <c:v>0.34285714285714286</c:v>
                </c:pt>
                <c:pt idx="35">
                  <c:v>0.34285714285714286</c:v>
                </c:pt>
                <c:pt idx="36">
                  <c:v>0.32432432432432434</c:v>
                </c:pt>
                <c:pt idx="37">
                  <c:v>0.31578947368421051</c:v>
                </c:pt>
                <c:pt idx="38">
                  <c:v>0.30769230769230771</c:v>
                </c:pt>
                <c:pt idx="39">
                  <c:v>0.3</c:v>
                </c:pt>
                <c:pt idx="40">
                  <c:v>0.31707317073170732</c:v>
                </c:pt>
                <c:pt idx="41">
                  <c:v>0.30952380952380953</c:v>
                </c:pt>
                <c:pt idx="42">
                  <c:v>0.30232558139534882</c:v>
                </c:pt>
                <c:pt idx="43">
                  <c:v>0.31818181818181818</c:v>
                </c:pt>
                <c:pt idx="44">
                  <c:v>0.33333333333333331</c:v>
                </c:pt>
                <c:pt idx="45">
                  <c:v>0.32608695652173914</c:v>
                </c:pt>
                <c:pt idx="46">
                  <c:v>0.31914893617021278</c:v>
                </c:pt>
                <c:pt idx="47">
                  <c:v>0.31914893617021278</c:v>
                </c:pt>
                <c:pt idx="48">
                  <c:v>0.32653061224489793</c:v>
                </c:pt>
                <c:pt idx="49">
                  <c:v>0.32653061224489793</c:v>
                </c:pt>
                <c:pt idx="50">
                  <c:v>0.31372549019607843</c:v>
                </c:pt>
                <c:pt idx="51">
                  <c:v>0.31372549019607843</c:v>
                </c:pt>
                <c:pt idx="52">
                  <c:v>0.33962264150943394</c:v>
                </c:pt>
                <c:pt idx="53">
                  <c:v>0.33962264150943394</c:v>
                </c:pt>
                <c:pt idx="54">
                  <c:v>0.34545454545454546</c:v>
                </c:pt>
                <c:pt idx="55">
                  <c:v>0.34545454545454546</c:v>
                </c:pt>
                <c:pt idx="56">
                  <c:v>0.33333333333333331</c:v>
                </c:pt>
                <c:pt idx="57">
                  <c:v>0.33333333333333331</c:v>
                </c:pt>
                <c:pt idx="58">
                  <c:v>0.33898305084745761</c:v>
                </c:pt>
                <c:pt idx="59">
                  <c:v>0.33898305084745761</c:v>
                </c:pt>
                <c:pt idx="60">
                  <c:v>0.36666666666666664</c:v>
                </c:pt>
                <c:pt idx="61">
                  <c:v>0.36666666666666664</c:v>
                </c:pt>
                <c:pt idx="62">
                  <c:v>0.36065573770491804</c:v>
                </c:pt>
              </c:numCache>
            </c:numRef>
          </c:val>
          <c:smooth val="0"/>
          <c:extLst>
            <c:ext xmlns:c16="http://schemas.microsoft.com/office/drawing/2014/chart" uri="{C3380CC4-5D6E-409C-BE32-E72D297353CC}">
              <c16:uniqueId val="{00000003-7BF4-456F-A319-CA191E4A1519}"/>
            </c:ext>
          </c:extLst>
        </c:ser>
        <c:ser>
          <c:idx val="4"/>
          <c:order val="4"/>
          <c:tx>
            <c:strRef>
              <c:f>Graphs!$AC$1</c:f>
              <c:strCache>
                <c:ptCount val="1"/>
                <c:pt idx="0">
                  <c:v>SJU</c:v>
                </c:pt>
              </c:strCache>
            </c:strRef>
          </c:tx>
          <c:spPr>
            <a:ln w="19050" cap="rnd" cmpd="sng" algn="ctr">
              <a:solidFill>
                <a:srgbClr val="28CD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Graphs!$AC$2:$AC$64</c:f>
              <c:numCache>
                <c:formatCode>0%</c:formatCode>
                <c:ptCount val="63"/>
                <c:pt idx="0">
                  <c:v>1</c:v>
                </c:pt>
                <c:pt idx="1">
                  <c:v>0.5</c:v>
                </c:pt>
                <c:pt idx="2">
                  <c:v>0.33333333333333331</c:v>
                </c:pt>
                <c:pt idx="3">
                  <c:v>0.25</c:v>
                </c:pt>
                <c:pt idx="4">
                  <c:v>0.4</c:v>
                </c:pt>
                <c:pt idx="5">
                  <c:v>0.5</c:v>
                </c:pt>
                <c:pt idx="6">
                  <c:v>0.5714285714285714</c:v>
                </c:pt>
                <c:pt idx="7">
                  <c:v>0.625</c:v>
                </c:pt>
                <c:pt idx="8">
                  <c:v>0.66666666666666663</c:v>
                </c:pt>
                <c:pt idx="9">
                  <c:v>0.7</c:v>
                </c:pt>
                <c:pt idx="10">
                  <c:v>0.72727272727272729</c:v>
                </c:pt>
                <c:pt idx="11">
                  <c:v>0.72727272727272729</c:v>
                </c:pt>
                <c:pt idx="12">
                  <c:v>0.69230769230769229</c:v>
                </c:pt>
                <c:pt idx="13">
                  <c:v>0.7142857142857143</c:v>
                </c:pt>
                <c:pt idx="14">
                  <c:v>0.73333333333333328</c:v>
                </c:pt>
                <c:pt idx="15">
                  <c:v>0.75</c:v>
                </c:pt>
                <c:pt idx="16">
                  <c:v>0.76470588235294112</c:v>
                </c:pt>
                <c:pt idx="17">
                  <c:v>0.77777777777777779</c:v>
                </c:pt>
                <c:pt idx="18">
                  <c:v>0.78947368421052633</c:v>
                </c:pt>
                <c:pt idx="19">
                  <c:v>0.8</c:v>
                </c:pt>
                <c:pt idx="20">
                  <c:v>0.80952380952380953</c:v>
                </c:pt>
                <c:pt idx="21">
                  <c:v>0.81818181818181823</c:v>
                </c:pt>
                <c:pt idx="22">
                  <c:v>0.82608695652173914</c:v>
                </c:pt>
                <c:pt idx="23">
                  <c:v>0.82608695652173914</c:v>
                </c:pt>
                <c:pt idx="24">
                  <c:v>0.8</c:v>
                </c:pt>
                <c:pt idx="25">
                  <c:v>0.80769230769230771</c:v>
                </c:pt>
                <c:pt idx="26">
                  <c:v>0.81481481481481477</c:v>
                </c:pt>
                <c:pt idx="27">
                  <c:v>0.8214285714285714</c:v>
                </c:pt>
                <c:pt idx="28">
                  <c:v>0.82758620689655171</c:v>
                </c:pt>
                <c:pt idx="29">
                  <c:v>0.83333333333333337</c:v>
                </c:pt>
                <c:pt idx="30">
                  <c:v>0.83870967741935487</c:v>
                </c:pt>
                <c:pt idx="31">
                  <c:v>0.8125</c:v>
                </c:pt>
                <c:pt idx="32">
                  <c:v>0.81818181818181823</c:v>
                </c:pt>
                <c:pt idx="33">
                  <c:v>0.82352941176470584</c:v>
                </c:pt>
                <c:pt idx="34">
                  <c:v>0.8</c:v>
                </c:pt>
                <c:pt idx="35">
                  <c:v>0.8</c:v>
                </c:pt>
                <c:pt idx="36">
                  <c:v>0.81081081081081086</c:v>
                </c:pt>
                <c:pt idx="37">
                  <c:v>0.81578947368421051</c:v>
                </c:pt>
                <c:pt idx="38">
                  <c:v>0.82051282051282048</c:v>
                </c:pt>
                <c:pt idx="39">
                  <c:v>0.8</c:v>
                </c:pt>
                <c:pt idx="40">
                  <c:v>0.80487804878048785</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4-7BF4-456F-A319-CA191E4A1519}"/>
            </c:ext>
          </c:extLst>
        </c:ser>
        <c:ser>
          <c:idx val="5"/>
          <c:order val="5"/>
          <c:tx>
            <c:strRef>
              <c:f>Graphs!$AD$1</c:f>
              <c:strCache>
                <c:ptCount val="1"/>
                <c:pt idx="0">
                  <c:v>MSO</c:v>
                </c:pt>
              </c:strCache>
            </c:strRef>
          </c:tx>
          <c:spPr>
            <a:ln w="28575" cap="rnd" cmpd="sng" algn="ctr">
              <a:solidFill>
                <a:srgbClr val="FFC000"/>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Graphs!$AD$2:$AD$64</c:f>
              <c:numCache>
                <c:formatCode>0%</c:formatCode>
                <c:ptCount val="63"/>
                <c:pt idx="0">
                  <c:v>1</c:v>
                </c:pt>
                <c:pt idx="1">
                  <c:v>1</c:v>
                </c:pt>
                <c:pt idx="2">
                  <c:v>1</c:v>
                </c:pt>
                <c:pt idx="3">
                  <c:v>1</c:v>
                </c:pt>
                <c:pt idx="4">
                  <c:v>1</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0.88461538461538458</c:v>
                </c:pt>
                <c:pt idx="26">
                  <c:v>0.85185185185185186</c:v>
                </c:pt>
                <c:pt idx="27">
                  <c:v>0.8571428571428571</c:v>
                </c:pt>
                <c:pt idx="28">
                  <c:v>0.86206896551724133</c:v>
                </c:pt>
                <c:pt idx="29">
                  <c:v>0.8666666666666667</c:v>
                </c:pt>
                <c:pt idx="30">
                  <c:v>0.87096774193548387</c:v>
                </c:pt>
                <c:pt idx="31">
                  <c:v>0.875</c:v>
                </c:pt>
                <c:pt idx="32">
                  <c:v>0.87878787878787878</c:v>
                </c:pt>
                <c:pt idx="33">
                  <c:v>0.88235294117647056</c:v>
                </c:pt>
                <c:pt idx="34">
                  <c:v>0.88571428571428568</c:v>
                </c:pt>
                <c:pt idx="35">
                  <c:v>0.88571428571428568</c:v>
                </c:pt>
                <c:pt idx="36">
                  <c:v>0.89189189189189189</c:v>
                </c:pt>
                <c:pt idx="37">
                  <c:v>0.89473684210526316</c:v>
                </c:pt>
                <c:pt idx="38">
                  <c:v>0.89743589743589747</c:v>
                </c:pt>
                <c:pt idx="39">
                  <c:v>0.9</c:v>
                </c:pt>
                <c:pt idx="40">
                  <c:v>0.90243902439024393</c:v>
                </c:pt>
                <c:pt idx="41">
                  <c:v>0.90476190476190477</c:v>
                </c:pt>
                <c:pt idx="42">
                  <c:v>0.90697674418604646</c:v>
                </c:pt>
                <c:pt idx="43">
                  <c:v>0.90909090909090906</c:v>
                </c:pt>
                <c:pt idx="44">
                  <c:v>0.91111111111111109</c:v>
                </c:pt>
                <c:pt idx="45">
                  <c:v>0.91304347826086951</c:v>
                </c:pt>
                <c:pt idx="46">
                  <c:v>0.91489361702127658</c:v>
                </c:pt>
                <c:pt idx="47">
                  <c:v>0.91489361702127658</c:v>
                </c:pt>
                <c:pt idx="48">
                  <c:v>0.89795918367346939</c:v>
                </c:pt>
                <c:pt idx="49">
                  <c:v>0.89795918367346939</c:v>
                </c:pt>
                <c:pt idx="50">
                  <c:v>0.88235294117647056</c:v>
                </c:pt>
                <c:pt idx="51">
                  <c:v>0.88235294117647056</c:v>
                </c:pt>
                <c:pt idx="52">
                  <c:v>0.8867924528301887</c:v>
                </c:pt>
                <c:pt idx="53">
                  <c:v>0.8867924528301887</c:v>
                </c:pt>
                <c:pt idx="54">
                  <c:v>0.87272727272727268</c:v>
                </c:pt>
                <c:pt idx="55">
                  <c:v>0.87272727272727268</c:v>
                </c:pt>
                <c:pt idx="56">
                  <c:v>0.8771929824561403</c:v>
                </c:pt>
                <c:pt idx="57">
                  <c:v>0.8771929824561403</c:v>
                </c:pt>
                <c:pt idx="58">
                  <c:v>0.86440677966101698</c:v>
                </c:pt>
                <c:pt idx="59">
                  <c:v>0.86440677966101698</c:v>
                </c:pt>
                <c:pt idx="60">
                  <c:v>0.8833333333333333</c:v>
                </c:pt>
                <c:pt idx="61">
                  <c:v>0.8833333333333333</c:v>
                </c:pt>
                <c:pt idx="62">
                  <c:v>0.86885245901639341</c:v>
                </c:pt>
              </c:numCache>
            </c:numRef>
          </c:val>
          <c:smooth val="0"/>
          <c:extLst>
            <c:ext xmlns:c16="http://schemas.microsoft.com/office/drawing/2014/chart" uri="{C3380CC4-5D6E-409C-BE32-E72D297353CC}">
              <c16:uniqueId val="{00000005-7BF4-456F-A319-CA191E4A1519}"/>
            </c:ext>
          </c:extLst>
        </c:ser>
        <c:ser>
          <c:idx val="6"/>
          <c:order val="6"/>
          <c:tx>
            <c:strRef>
              <c:f>Graphs!$AE$1</c:f>
              <c:strCache>
                <c:ptCount val="1"/>
                <c:pt idx="0">
                  <c:v>Overall</c:v>
                </c:pt>
              </c:strCache>
            </c:strRef>
          </c:tx>
          <c:spPr>
            <a:ln w="19050" cap="rnd">
              <a:solidFill>
                <a:schemeClr val="accent1">
                  <a:lumMod val="60000"/>
                </a:schemeClr>
              </a:solidFill>
              <a:roun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Graphs!$AE$2:$AE$64</c:f>
              <c:numCache>
                <c:formatCode>0%</c:formatCode>
                <c:ptCount val="63"/>
                <c:pt idx="0">
                  <c:v>0.66666666666666663</c:v>
                </c:pt>
                <c:pt idx="1">
                  <c:v>0.58333333333333337</c:v>
                </c:pt>
                <c:pt idx="2">
                  <c:v>0.5</c:v>
                </c:pt>
                <c:pt idx="3">
                  <c:v>0.5</c:v>
                </c:pt>
                <c:pt idx="4">
                  <c:v>0.53333333333333333</c:v>
                </c:pt>
                <c:pt idx="5">
                  <c:v>0.50000000000000011</c:v>
                </c:pt>
                <c:pt idx="6">
                  <c:v>0.52380952380952384</c:v>
                </c:pt>
                <c:pt idx="7">
                  <c:v>0.52083333333333337</c:v>
                </c:pt>
                <c:pt idx="8">
                  <c:v>0.55555555555555547</c:v>
                </c:pt>
                <c:pt idx="9">
                  <c:v>0.6</c:v>
                </c:pt>
                <c:pt idx="10">
                  <c:v>0.62121212121212122</c:v>
                </c:pt>
                <c:pt idx="11">
                  <c:v>0.62121212121212122</c:v>
                </c:pt>
                <c:pt idx="12">
                  <c:v>0.57692307692307698</c:v>
                </c:pt>
                <c:pt idx="13">
                  <c:v>0.59523809523809523</c:v>
                </c:pt>
                <c:pt idx="14">
                  <c:v>0.61111111111111116</c:v>
                </c:pt>
                <c:pt idx="15">
                  <c:v>0.61458333333333337</c:v>
                </c:pt>
                <c:pt idx="16">
                  <c:v>0.61764705882352933</c:v>
                </c:pt>
                <c:pt idx="17">
                  <c:v>0.61111111111111105</c:v>
                </c:pt>
                <c:pt idx="18">
                  <c:v>0.61403508771929827</c:v>
                </c:pt>
                <c:pt idx="19">
                  <c:v>0.61666666666666659</c:v>
                </c:pt>
                <c:pt idx="20">
                  <c:v>0.62698412698412687</c:v>
                </c:pt>
                <c:pt idx="21">
                  <c:v>0.62878787878787878</c:v>
                </c:pt>
                <c:pt idx="22">
                  <c:v>0.62318840579710144</c:v>
                </c:pt>
                <c:pt idx="23">
                  <c:v>0.62318840579710144</c:v>
                </c:pt>
                <c:pt idx="24">
                  <c:v>0.62</c:v>
                </c:pt>
                <c:pt idx="25">
                  <c:v>0.60897435897435892</c:v>
                </c:pt>
                <c:pt idx="26">
                  <c:v>0.61728395061728403</c:v>
                </c:pt>
                <c:pt idx="27">
                  <c:v>0.61309523809523803</c:v>
                </c:pt>
                <c:pt idx="28">
                  <c:v>0.61494252873563215</c:v>
                </c:pt>
                <c:pt idx="29">
                  <c:v>0.62222222222222223</c:v>
                </c:pt>
                <c:pt idx="30">
                  <c:v>0.62365591397849462</c:v>
                </c:pt>
                <c:pt idx="31">
                  <c:v>0.61979166666666663</c:v>
                </c:pt>
                <c:pt idx="32">
                  <c:v>0.6262626262626263</c:v>
                </c:pt>
                <c:pt idx="33">
                  <c:v>0.62745098039215697</c:v>
                </c:pt>
                <c:pt idx="34">
                  <c:v>0.62857142857142867</c:v>
                </c:pt>
                <c:pt idx="35">
                  <c:v>0.62857142857142867</c:v>
                </c:pt>
                <c:pt idx="36">
                  <c:v>0.63063063063063074</c:v>
                </c:pt>
                <c:pt idx="37">
                  <c:v>0.62719298245614041</c:v>
                </c:pt>
                <c:pt idx="38">
                  <c:v>0.62820512820512808</c:v>
                </c:pt>
                <c:pt idx="39">
                  <c:v>0.62499999999999989</c:v>
                </c:pt>
                <c:pt idx="40">
                  <c:v>0.63414634146341464</c:v>
                </c:pt>
                <c:pt idx="41">
                  <c:v>0.634920634920635</c:v>
                </c:pt>
                <c:pt idx="42">
                  <c:v>0.63565891472868219</c:v>
                </c:pt>
                <c:pt idx="43">
                  <c:v>0.64393939393939403</c:v>
                </c:pt>
                <c:pt idx="44">
                  <c:v>0.64814814814814814</c:v>
                </c:pt>
                <c:pt idx="45">
                  <c:v>0.64855072463768126</c:v>
                </c:pt>
                <c:pt idx="46">
                  <c:v>0.65248226950354604</c:v>
                </c:pt>
                <c:pt idx="47">
                  <c:v>0.65248226950354604</c:v>
                </c:pt>
                <c:pt idx="48">
                  <c:v>0.6394557823129251</c:v>
                </c:pt>
                <c:pt idx="49">
                  <c:v>0.6394557823129251</c:v>
                </c:pt>
                <c:pt idx="50">
                  <c:v>0.62091503267973847</c:v>
                </c:pt>
                <c:pt idx="51">
                  <c:v>0.62091503267973847</c:v>
                </c:pt>
                <c:pt idx="52">
                  <c:v>0.62578616352201266</c:v>
                </c:pt>
                <c:pt idx="53">
                  <c:v>0.62578616352201266</c:v>
                </c:pt>
                <c:pt idx="54">
                  <c:v>0.6272727272727272</c:v>
                </c:pt>
                <c:pt idx="55">
                  <c:v>0.6272727272727272</c:v>
                </c:pt>
                <c:pt idx="56">
                  <c:v>0.62865497076023391</c:v>
                </c:pt>
                <c:pt idx="57">
                  <c:v>0.62865497076023391</c:v>
                </c:pt>
                <c:pt idx="58">
                  <c:v>0.63276836158192096</c:v>
                </c:pt>
                <c:pt idx="59">
                  <c:v>0.63276836158192096</c:v>
                </c:pt>
                <c:pt idx="60">
                  <c:v>0.65277777777777779</c:v>
                </c:pt>
                <c:pt idx="61">
                  <c:v>0.65277777777777779</c:v>
                </c:pt>
                <c:pt idx="62">
                  <c:v>0.65300546448087426</c:v>
                </c:pt>
              </c:numCache>
            </c:numRef>
          </c:val>
          <c:smooth val="0"/>
          <c:extLst>
            <c:ext xmlns:c16="http://schemas.microsoft.com/office/drawing/2014/chart" uri="{C3380CC4-5D6E-409C-BE32-E72D297353CC}">
              <c16:uniqueId val="{0000000E-7BF4-456F-A319-CA191E4A1519}"/>
            </c:ext>
          </c:extLst>
        </c:ser>
        <c:ser>
          <c:idx val="7"/>
          <c:order val="7"/>
          <c:tx>
            <c:strRef>
              <c:f>Graphs!$AF$1</c:f>
              <c:strCache>
                <c:ptCount val="1"/>
                <c:pt idx="0">
                  <c:v>JWU</c:v>
                </c:pt>
              </c:strCache>
            </c:strRef>
          </c:tx>
          <c:spPr>
            <a:ln w="28575" cap="rnd">
              <a:solidFill>
                <a:schemeClr val="accent2">
                  <a:lumMod val="6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Graphs!$AF$2:$AF$64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0F-7BF4-456F-A319-CA191E4A1519}"/>
            </c:ext>
          </c:extLst>
        </c:ser>
        <c:ser>
          <c:idx val="8"/>
          <c:order val="8"/>
          <c:tx>
            <c:strRef>
              <c:f>Graphs!$AG$1</c:f>
              <c:strCache>
                <c:ptCount val="1"/>
                <c:pt idx="0">
                  <c:v>CBO</c:v>
                </c:pt>
              </c:strCache>
            </c:strRef>
          </c:tx>
          <c:spPr>
            <a:ln w="28575" cap="rnd">
              <a:solidFill>
                <a:schemeClr val="accent3">
                  <a:lumMod val="60000"/>
                </a:schemeClr>
              </a:solidFill>
              <a:round/>
            </a:ln>
            <a:effectLst/>
          </c:spPr>
          <c:marker>
            <c:symbol val="none"/>
          </c:marker>
          <c:dLbls>
            <c:dLbl>
              <c:idx val="4"/>
              <c:layout>
                <c:manualLayout>
                  <c:x val="-2.423642094890688E-17"/>
                  <c:y val="-7.3351381397906534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Graphs!$AG$2:$AG$64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0-7BF4-456F-A319-CA191E4A1519}"/>
            </c:ext>
          </c:extLst>
        </c:ser>
        <c:ser>
          <c:idx val="9"/>
          <c:order val="9"/>
          <c:tx>
            <c:strRef>
              <c:f>Graphs!$AH$1</c:f>
              <c:strCache>
                <c:ptCount val="1"/>
                <c:pt idx="0">
                  <c:v>PKN</c:v>
                </c:pt>
              </c:strCache>
            </c:strRef>
          </c:tx>
          <c:spPr>
            <a:ln w="28575" cap="rnd">
              <a:solidFill>
                <a:schemeClr val="accent4">
                  <a:lumMod val="60000"/>
                </a:schemeClr>
              </a:solidFill>
              <a:round/>
            </a:ln>
            <a:effectLst/>
          </c:spPr>
          <c:marker>
            <c:symbol val="none"/>
          </c:marker>
          <c:dLbls>
            <c:dLbl>
              <c:idx val="4"/>
              <c:layout>
                <c:manualLayout>
                  <c:x val="5.2880074756603323E-3"/>
                  <c:y val="3.667588986099883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Graphs!$AH$2:$AH$64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1-7BF4-456F-A319-CA191E4A1519}"/>
            </c:ext>
          </c:extLst>
        </c:ser>
        <c:ser>
          <c:idx val="10"/>
          <c:order val="10"/>
          <c:tx>
            <c:strRef>
              <c:f>Graphs!$AI$1</c:f>
              <c:strCache>
                <c:ptCount val="1"/>
                <c:pt idx="0">
                  <c:v>YMI</c:v>
                </c:pt>
              </c:strCache>
            </c:strRef>
          </c:tx>
          <c:spPr>
            <a:ln w="28575" cap="rnd">
              <a:solidFill>
                <a:schemeClr val="accent5">
                  <a:lumMod val="60000"/>
                </a:schemeClr>
              </a:solidFill>
              <a:round/>
            </a:ln>
            <a:effectLst/>
          </c:spPr>
          <c:marker>
            <c:symbol val="none"/>
          </c:marker>
          <c:dLbls>
            <c:dLbl>
              <c:idx val="4"/>
              <c:layout>
                <c:manualLayout>
                  <c:x val="-5.2880074756603323E-3"/>
                  <c:y val="-2.782293777161978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7-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Graphs!$AI$2:$AI$64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2-7BF4-456F-A319-CA191E4A1519}"/>
            </c:ext>
          </c:extLst>
        </c:ser>
        <c:ser>
          <c:idx val="11"/>
          <c:order val="11"/>
          <c:tx>
            <c:strRef>
              <c:f>Graphs!$AJ$1</c:f>
              <c:strCache>
                <c:ptCount val="1"/>
                <c:pt idx="0">
                  <c:v>SJU</c:v>
                </c:pt>
              </c:strCache>
            </c:strRef>
          </c:tx>
          <c:spPr>
            <a:ln w="28575" cap="rnd">
              <a:solidFill>
                <a:schemeClr val="accent6">
                  <a:lumMod val="60000"/>
                </a:schemeClr>
              </a:solidFill>
              <a:round/>
            </a:ln>
            <a:effectLst/>
          </c:spPr>
          <c:marker>
            <c:symbol val="none"/>
          </c:marker>
          <c:dLbls>
            <c:dLbl>
              <c:idx val="26"/>
              <c:layout>
                <c:manualLayout>
                  <c:x val="1.2750456104898304E-3"/>
                  <c:y val="3.7520930105450059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3838-44AA-89EF-1D6FC3D78ACA}"/>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Graphs!$AJ$2:$AJ$64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3-7BF4-456F-A319-CA191E4A1519}"/>
            </c:ext>
          </c:extLst>
        </c:ser>
        <c:ser>
          <c:idx val="12"/>
          <c:order val="12"/>
          <c:tx>
            <c:strRef>
              <c:f>Graphs!$AK$1</c:f>
              <c:strCache>
                <c:ptCount val="1"/>
                <c:pt idx="0">
                  <c:v>MSO</c:v>
                </c:pt>
              </c:strCache>
            </c:strRef>
          </c:tx>
          <c:spPr>
            <a:ln w="28575" cap="rnd">
              <a:solidFill>
                <a:schemeClr val="accent1">
                  <a:lumMod val="80000"/>
                  <a:lumOff val="20000"/>
                </a:schemeClr>
              </a:solidFill>
              <a:round/>
            </a:ln>
            <a:effectLst/>
          </c:spPr>
          <c:marker>
            <c:symbol val="none"/>
          </c:marker>
          <c:dLbls>
            <c:dLbl>
              <c:idx val="17"/>
              <c:layout>
                <c:manualLayout>
                  <c:x val="-3.3013102706949266E-2"/>
                  <c:y val="-3.24772111537483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4690-4379-9632-7B0070C58C85}"/>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Graphs!$AK$2:$AK$64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4-7BF4-456F-A319-CA191E4A1519}"/>
            </c:ext>
          </c:extLst>
        </c:ser>
        <c:ser>
          <c:idx val="13"/>
          <c:order val="13"/>
          <c:tx>
            <c:strRef>
              <c:f>Graphs!$AL$1</c:f>
              <c:strCache>
                <c:ptCount val="1"/>
                <c:pt idx="0">
                  <c:v>Overall</c:v>
                </c:pt>
              </c:strCache>
            </c:strRef>
          </c:tx>
          <c:spPr>
            <a:ln w="28575" cap="rnd">
              <a:solidFill>
                <a:schemeClr val="accent2">
                  <a:lumMod val="80000"/>
                  <a:lumOff val="2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Graphs!$AL$2:$AL$64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5-7BF4-456F-A319-CA191E4A1519}"/>
            </c:ext>
          </c:extLst>
        </c:ser>
        <c:dLbls>
          <c:showLegendKey val="0"/>
          <c:showVal val="0"/>
          <c:showCatName val="0"/>
          <c:showSerName val="0"/>
          <c:showPercent val="0"/>
          <c:showBubbleSize val="0"/>
        </c:dLbls>
        <c:smooth val="0"/>
        <c:axId val="870032616"/>
        <c:axId val="870033928"/>
      </c:lineChart>
      <c:dateAx>
        <c:axId val="870032616"/>
        <c:scaling>
          <c:orientation val="minMax"/>
        </c:scaling>
        <c:delete val="0"/>
        <c:axPos val="b"/>
        <c:numFmt formatCode="m/d/yyyy" sourceLinked="1"/>
        <c:majorTickMark val="none"/>
        <c:minorTickMark val="none"/>
        <c:tickLblPos val="nextTo"/>
        <c:spPr>
          <a:noFill/>
          <a:ln w="3175" cap="flat" cmpd="sng" algn="ctr">
            <a:no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3928"/>
        <c:crosses val="autoZero"/>
        <c:auto val="1"/>
        <c:lblOffset val="100"/>
        <c:baseTimeUnit val="days"/>
      </c:dateAx>
      <c:valAx>
        <c:axId val="870033928"/>
        <c:scaling>
          <c:orientation val="minMax"/>
          <c:max val="1.0009999999999999"/>
          <c:min val="-1.0000000000000002E-3"/>
        </c:scaling>
        <c:delete val="0"/>
        <c:axPos val="l"/>
        <c:numFmt formatCode="0%"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2616"/>
        <c:crosses val="autoZero"/>
        <c:crossBetween val="between"/>
      </c:valAx>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1000">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3996759493955545E-2"/>
          <c:y val="1.6862544164697551E-2"/>
          <c:w val="0.86044048763112824"/>
          <c:h val="0.93550821371243764"/>
        </c:manualLayout>
      </c:layout>
      <c:lineChart>
        <c:grouping val="standard"/>
        <c:varyColors val="0"/>
        <c:ser>
          <c:idx val="0"/>
          <c:order val="0"/>
          <c:tx>
            <c:strRef>
              <c:f>'All-time DF Stats'!$A$19</c:f>
              <c:strCache>
                <c:ptCount val="1"/>
                <c:pt idx="0">
                  <c:v>MSO/MST</c:v>
                </c:pt>
              </c:strCache>
            </c:strRef>
          </c:tx>
          <c:spPr>
            <a:ln w="38100" cap="rnd">
              <a:solidFill>
                <a:srgbClr val="FFE101"/>
              </a:solidFill>
              <a:prstDash val="solid"/>
              <a:round/>
            </a:ln>
            <a:effectLst/>
          </c:spPr>
          <c:marker>
            <c:symbol val="circle"/>
            <c:size val="5"/>
            <c:spPr>
              <a:solidFill>
                <a:srgbClr val="FFFF00"/>
              </a:solidFill>
              <a:ln w="9525">
                <a:no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Stats'!$AD$66:$AN$66</c:f>
              <c:numCache>
                <c:formatCode>0</c:formatCode>
                <c:ptCount val="11"/>
                <c:pt idx="0">
                  <c:v>25</c:v>
                </c:pt>
                <c:pt idx="1">
                  <c:v>66</c:v>
                </c:pt>
                <c:pt idx="2">
                  <c:v>117</c:v>
                </c:pt>
                <c:pt idx="3">
                  <c:v>153.0001</c:v>
                </c:pt>
                <c:pt idx="4">
                  <c:v>213.00020000000001</c:v>
                </c:pt>
                <c:pt idx="5">
                  <c:v>248.00030000000001</c:v>
                </c:pt>
                <c:pt idx="6">
                  <c:v>281.00040000000001</c:v>
                </c:pt>
                <c:pt idx="7">
                  <c:v>317.00049999999999</c:v>
                </c:pt>
                <c:pt idx="8">
                  <c:v>354.00059999999996</c:v>
                </c:pt>
                <c:pt idx="9">
                  <c:v>384.00069999999994</c:v>
                </c:pt>
                <c:pt idx="10">
                  <c:v>415.00079999999991</c:v>
                </c:pt>
              </c:numCache>
            </c:numRef>
          </c:val>
          <c:smooth val="0"/>
          <c:extLst>
            <c:ext xmlns:c16="http://schemas.microsoft.com/office/drawing/2014/chart" uri="{C3380CC4-5D6E-409C-BE32-E72D297353CC}">
              <c16:uniqueId val="{00000000-4056-4BCC-B965-9175B12D0AD7}"/>
            </c:ext>
          </c:extLst>
        </c:ser>
        <c:ser>
          <c:idx val="1"/>
          <c:order val="1"/>
          <c:tx>
            <c:strRef>
              <c:f>'All-time DF Stats'!$AC$67</c:f>
              <c:strCache>
                <c:ptCount val="1"/>
                <c:pt idx="0">
                  <c:v>PKN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Stats'!$AD$67:$AN$67</c:f>
              <c:numCache>
                <c:formatCode>0</c:formatCode>
                <c:ptCount val="11"/>
                <c:pt idx="0">
                  <c:v>30</c:v>
                </c:pt>
                <c:pt idx="1">
                  <c:v>64</c:v>
                </c:pt>
                <c:pt idx="2">
                  <c:v>108</c:v>
                </c:pt>
                <c:pt idx="3">
                  <c:v>148.00008</c:v>
                </c:pt>
                <c:pt idx="4">
                  <c:v>201.00015999999999</c:v>
                </c:pt>
                <c:pt idx="5">
                  <c:v>231.00023999999999</c:v>
                </c:pt>
                <c:pt idx="6">
                  <c:v>255.00031999999999</c:v>
                </c:pt>
                <c:pt idx="7">
                  <c:v>282.00040000000001</c:v>
                </c:pt>
                <c:pt idx="8">
                  <c:v>304.00048000000004</c:v>
                </c:pt>
                <c:pt idx="9">
                  <c:v>325.00053000000003</c:v>
                </c:pt>
                <c:pt idx="10">
                  <c:v>342.00058000000001</c:v>
                </c:pt>
              </c:numCache>
            </c:numRef>
          </c:val>
          <c:smooth val="0"/>
          <c:extLst>
            <c:ext xmlns:c16="http://schemas.microsoft.com/office/drawing/2014/chart" uri="{C3380CC4-5D6E-409C-BE32-E72D297353CC}">
              <c16:uniqueId val="{00000001-4056-4BCC-B965-9175B12D0AD7}"/>
            </c:ext>
          </c:extLst>
        </c:ser>
        <c:ser>
          <c:idx val="2"/>
          <c:order val="2"/>
          <c:tx>
            <c:strRef>
              <c:f>'All-time DF Stats'!$AC$68</c:f>
              <c:strCache>
                <c:ptCount val="1"/>
                <c:pt idx="0">
                  <c:v>JWU</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Stats'!$AD$68:$AN$68</c:f>
              <c:numCache>
                <c:formatCode>0</c:formatCode>
                <c:ptCount val="11"/>
                <c:pt idx="0">
                  <c:v>28</c:v>
                </c:pt>
                <c:pt idx="1">
                  <c:v>66</c:v>
                </c:pt>
                <c:pt idx="2">
                  <c:v>111</c:v>
                </c:pt>
                <c:pt idx="3">
                  <c:v>144.00006999999999</c:v>
                </c:pt>
                <c:pt idx="4">
                  <c:v>199.00013999999999</c:v>
                </c:pt>
                <c:pt idx="5">
                  <c:v>230.00020999999998</c:v>
                </c:pt>
                <c:pt idx="6">
                  <c:v>250.00027999999998</c:v>
                </c:pt>
                <c:pt idx="7">
                  <c:v>272.00034999999997</c:v>
                </c:pt>
                <c:pt idx="8">
                  <c:v>312.00041999999996</c:v>
                </c:pt>
                <c:pt idx="9">
                  <c:v>348.00043999999997</c:v>
                </c:pt>
                <c:pt idx="10">
                  <c:v>369.00045999999998</c:v>
                </c:pt>
              </c:numCache>
            </c:numRef>
          </c:val>
          <c:smooth val="0"/>
          <c:extLst>
            <c:ext xmlns:c16="http://schemas.microsoft.com/office/drawing/2014/chart" uri="{C3380CC4-5D6E-409C-BE32-E72D297353CC}">
              <c16:uniqueId val="{00000002-4056-4BCC-B965-9175B12D0AD7}"/>
            </c:ext>
          </c:extLst>
        </c:ser>
        <c:ser>
          <c:idx val="3"/>
          <c:order val="3"/>
          <c:tx>
            <c:strRef>
              <c:f>'All-time DF Stats'!$AC$69</c:f>
              <c:strCache>
                <c:ptCount val="1"/>
                <c:pt idx="0">
                  <c:v>SJU</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Stats'!$AD$69:$AN$69</c:f>
              <c:numCache>
                <c:formatCode>0</c:formatCode>
                <c:ptCount val="11"/>
                <c:pt idx="0">
                  <c:v>27</c:v>
                </c:pt>
                <c:pt idx="1">
                  <c:v>63</c:v>
                </c:pt>
                <c:pt idx="2">
                  <c:v>102</c:v>
                </c:pt>
                <c:pt idx="3">
                  <c:v>141.00009</c:v>
                </c:pt>
                <c:pt idx="4">
                  <c:v>195.00018</c:v>
                </c:pt>
                <c:pt idx="5">
                  <c:v>227.00027</c:v>
                </c:pt>
                <c:pt idx="6">
                  <c:v>263.00036</c:v>
                </c:pt>
                <c:pt idx="7">
                  <c:v>302.00045</c:v>
                </c:pt>
                <c:pt idx="8">
                  <c:v>340.00054</c:v>
                </c:pt>
                <c:pt idx="9">
                  <c:v>376.00063</c:v>
                </c:pt>
                <c:pt idx="10">
                  <c:v>405.00072</c:v>
                </c:pt>
              </c:numCache>
            </c:numRef>
          </c:val>
          <c:smooth val="0"/>
          <c:extLst>
            <c:ext xmlns:c16="http://schemas.microsoft.com/office/drawing/2014/chart" uri="{C3380CC4-5D6E-409C-BE32-E72D297353CC}">
              <c16:uniqueId val="{00000003-4056-4BCC-B965-9175B12D0AD7}"/>
            </c:ext>
          </c:extLst>
        </c:ser>
        <c:ser>
          <c:idx val="4"/>
          <c:order val="4"/>
          <c:tx>
            <c:strRef>
              <c:f>'All-time DF Stats'!$AC$70</c:f>
              <c:strCache>
                <c:ptCount val="1"/>
                <c:pt idx="0">
                  <c:v>YMI</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Stats'!$AD$70:$AN$70</c:f>
              <c:numCache>
                <c:formatCode>0</c:formatCode>
                <c:ptCount val="11"/>
                <c:pt idx="0">
                  <c:v>27</c:v>
                </c:pt>
                <c:pt idx="1">
                  <c:v>63</c:v>
                </c:pt>
                <c:pt idx="2">
                  <c:v>82</c:v>
                </c:pt>
                <c:pt idx="3">
                  <c:v>92.000050000000002</c:v>
                </c:pt>
                <c:pt idx="4">
                  <c:v>117.0001</c:v>
                </c:pt>
                <c:pt idx="5">
                  <c:v>136.00015999999999</c:v>
                </c:pt>
                <c:pt idx="6">
                  <c:v>142.00021999999998</c:v>
                </c:pt>
                <c:pt idx="7">
                  <c:v>158.00027999999998</c:v>
                </c:pt>
                <c:pt idx="8">
                  <c:v>178.00033999999997</c:v>
                </c:pt>
                <c:pt idx="9">
                  <c:v>201.00039999999996</c:v>
                </c:pt>
                <c:pt idx="10">
                  <c:v>222.00045999999995</c:v>
                </c:pt>
              </c:numCache>
            </c:numRef>
          </c:val>
          <c:smooth val="0"/>
          <c:extLst>
            <c:ext xmlns:c16="http://schemas.microsoft.com/office/drawing/2014/chart" uri="{C3380CC4-5D6E-409C-BE32-E72D297353CC}">
              <c16:uniqueId val="{00000004-4056-4BCC-B965-9175B12D0AD7}"/>
            </c:ext>
          </c:extLst>
        </c:ser>
        <c:ser>
          <c:idx val="5"/>
          <c:order val="5"/>
          <c:tx>
            <c:strRef>
              <c:f>'All-time DF Stats'!$AC$71</c:f>
              <c:strCache>
                <c:ptCount val="1"/>
                <c:pt idx="0">
                  <c:v>CBO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Stats'!$AD$71:$AN$71</c:f>
              <c:numCache>
                <c:formatCode>0</c:formatCode>
                <c:ptCount val="11"/>
                <c:pt idx="0">
                  <c:v>28</c:v>
                </c:pt>
                <c:pt idx="1">
                  <c:v>42</c:v>
                </c:pt>
                <c:pt idx="2">
                  <c:v>44</c:v>
                </c:pt>
                <c:pt idx="3">
                  <c:v>46.000059999999998</c:v>
                </c:pt>
                <c:pt idx="4">
                  <c:v>72.000119999999995</c:v>
                </c:pt>
                <c:pt idx="5">
                  <c:v>98.000169999999997</c:v>
                </c:pt>
                <c:pt idx="6">
                  <c:v>128.00022000000001</c:v>
                </c:pt>
                <c:pt idx="7">
                  <c:v>161.00027</c:v>
                </c:pt>
                <c:pt idx="8">
                  <c:v>178.00033999999997</c:v>
                </c:pt>
                <c:pt idx="9">
                  <c:v>223.00036999999998</c:v>
                </c:pt>
                <c:pt idx="10">
                  <c:v>238.00041999999996</c:v>
                </c:pt>
              </c:numCache>
            </c:numRef>
          </c:val>
          <c:smooth val="0"/>
          <c:extLst>
            <c:ext xmlns:c16="http://schemas.microsoft.com/office/drawing/2014/chart" uri="{C3380CC4-5D6E-409C-BE32-E72D297353CC}">
              <c16:uniqueId val="{00000005-4056-4BCC-B965-9175B12D0AD7}"/>
            </c:ext>
          </c:extLst>
        </c:ser>
        <c:dLbls>
          <c:showLegendKey val="0"/>
          <c:showVal val="0"/>
          <c:showCatName val="0"/>
          <c:showSerName val="0"/>
          <c:showPercent val="0"/>
          <c:showBubbleSize val="0"/>
        </c:dLbls>
        <c:marker val="1"/>
        <c:smooth val="0"/>
        <c:axId val="1519243423"/>
        <c:axId val="1519263807"/>
      </c:lineChart>
      <c:catAx>
        <c:axId val="151924342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63807"/>
        <c:crosses val="autoZero"/>
        <c:auto val="1"/>
        <c:lblAlgn val="ctr"/>
        <c:lblOffset val="100"/>
        <c:noMultiLvlLbl val="0"/>
      </c:catAx>
      <c:valAx>
        <c:axId val="151926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43423"/>
        <c:crosses val="autoZero"/>
        <c:crossBetween val="between"/>
      </c:valAx>
      <c:spPr>
        <a:noFill/>
        <a:ln>
          <a:noFill/>
        </a:ln>
        <a:effectLst/>
      </c:spPr>
    </c:plotArea>
    <c:legend>
      <c:legendPos val="r"/>
      <c:layout>
        <c:manualLayout>
          <c:xMode val="edge"/>
          <c:yMode val="edge"/>
          <c:x val="0.87694680290665805"/>
          <c:y val="0.35571447582530064"/>
          <c:w val="0.10857260931576879"/>
          <c:h val="0.288570823935047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de-CH">
                <a:latin typeface="Comic Sans MS" panose="030F0702030302020204" pitchFamily="66" charset="0"/>
              </a:rPr>
              <a:t>DF Participation Rate per Year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de-DE"/>
        </a:p>
      </c:txPr>
    </c:title>
    <c:autoTitleDeleted val="0"/>
    <c:plotArea>
      <c:layout/>
      <c:lineChart>
        <c:grouping val="standard"/>
        <c:varyColors val="0"/>
        <c:ser>
          <c:idx val="0"/>
          <c:order val="0"/>
          <c:tx>
            <c:v>MSO/MST</c:v>
          </c:tx>
          <c:spPr>
            <a:ln w="31750" cap="rnd">
              <a:solidFill>
                <a:srgbClr val="FFFF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Stats'!$F$2:$P$2</c:f>
              <c:numCache>
                <c:formatCode>0.0%</c:formatCode>
                <c:ptCount val="11"/>
                <c:pt idx="0">
                  <c:v>0.86206896551724133</c:v>
                </c:pt>
                <c:pt idx="1">
                  <c:v>0.80392156862745101</c:v>
                </c:pt>
                <c:pt idx="2">
                  <c:v>0.83050847457627119</c:v>
                </c:pt>
                <c:pt idx="3">
                  <c:v>0.76595957446808516</c:v>
                </c:pt>
                <c:pt idx="4">
                  <c:v>0.90909242424242431</c:v>
                </c:pt>
                <c:pt idx="5">
                  <c:v>0.8333357142857144</c:v>
                </c:pt>
                <c:pt idx="6">
                  <c:v>0.73913260869565223</c:v>
                </c:pt>
                <c:pt idx="7">
                  <c:v>0.66037924528301895</c:v>
                </c:pt>
                <c:pt idx="8">
                  <c:v>0.75510408163265308</c:v>
                </c:pt>
                <c:pt idx="9">
                  <c:v>0.69767674418604653</c:v>
                </c:pt>
                <c:pt idx="10">
                  <c:v>0.77500250000000004</c:v>
                </c:pt>
              </c:numCache>
            </c:numRef>
          </c:val>
          <c:smooth val="0"/>
          <c:extLst>
            <c:ext xmlns:c16="http://schemas.microsoft.com/office/drawing/2014/chart" uri="{C3380CC4-5D6E-409C-BE32-E72D297353CC}">
              <c16:uniqueId val="{00000000-830F-4409-A22A-6960E120F2AA}"/>
            </c:ext>
          </c:extLst>
        </c:ser>
        <c:ser>
          <c:idx val="1"/>
          <c:order val="1"/>
          <c:tx>
            <c:v>SJU</c:v>
          </c:tx>
          <c:spPr>
            <a:ln w="31750" cap="rnd">
              <a:solidFill>
                <a:schemeClr val="accent4"/>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Stats'!$F$3:$P$3</c:f>
              <c:numCache>
                <c:formatCode>0.0%</c:formatCode>
                <c:ptCount val="11"/>
                <c:pt idx="0">
                  <c:v>0.75</c:v>
                </c:pt>
                <c:pt idx="1">
                  <c:v>0.70588235294117652</c:v>
                </c:pt>
                <c:pt idx="2">
                  <c:v>0.66101694915254239</c:v>
                </c:pt>
                <c:pt idx="3">
                  <c:v>0.82978914893617017</c:v>
                </c:pt>
                <c:pt idx="4">
                  <c:v>0.81818318181818184</c:v>
                </c:pt>
                <c:pt idx="5">
                  <c:v>0.76190690476190481</c:v>
                </c:pt>
                <c:pt idx="6">
                  <c:v>0.82608891304347831</c:v>
                </c:pt>
                <c:pt idx="7">
                  <c:v>0.69811490566037737</c:v>
                </c:pt>
                <c:pt idx="8">
                  <c:v>0.77551204081632652</c:v>
                </c:pt>
                <c:pt idx="9">
                  <c:v>0.83721139534883726</c:v>
                </c:pt>
                <c:pt idx="10">
                  <c:v>0.72500224999999996</c:v>
                </c:pt>
              </c:numCache>
            </c:numRef>
          </c:val>
          <c:smooth val="0"/>
          <c:extLst>
            <c:ext xmlns:c16="http://schemas.microsoft.com/office/drawing/2014/chart" uri="{C3380CC4-5D6E-409C-BE32-E72D297353CC}">
              <c16:uniqueId val="{00000001-830F-4409-A22A-6960E120F2AA}"/>
            </c:ext>
          </c:extLst>
        </c:ser>
        <c:ser>
          <c:idx val="2"/>
          <c:order val="2"/>
          <c:tx>
            <c:v>PKN</c:v>
          </c:tx>
          <c:spPr>
            <a:ln w="31750" cap="rnd">
              <a:solidFill>
                <a:srgbClr val="C000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Stats'!$F$5:$P$5</c:f>
              <c:numCache>
                <c:formatCode>0.0%</c:formatCode>
                <c:ptCount val="11"/>
                <c:pt idx="0">
                  <c:v>0.83333333333333337</c:v>
                </c:pt>
                <c:pt idx="1">
                  <c:v>0.66666666666666663</c:v>
                </c:pt>
                <c:pt idx="2">
                  <c:v>0.72881355932203384</c:v>
                </c:pt>
                <c:pt idx="3">
                  <c:v>0.85106553191489354</c:v>
                </c:pt>
                <c:pt idx="4">
                  <c:v>0.80303151515151505</c:v>
                </c:pt>
                <c:pt idx="5">
                  <c:v>0.71428761904761906</c:v>
                </c:pt>
                <c:pt idx="6">
                  <c:v>0.54347999999999996</c:v>
                </c:pt>
                <c:pt idx="7">
                  <c:v>0.49056754716981132</c:v>
                </c:pt>
                <c:pt idx="8">
                  <c:v>0.44898122448979594</c:v>
                </c:pt>
                <c:pt idx="9">
                  <c:v>0.48837325581395352</c:v>
                </c:pt>
                <c:pt idx="10">
                  <c:v>0.42500125000000005</c:v>
                </c:pt>
              </c:numCache>
            </c:numRef>
          </c:val>
          <c:smooth val="0"/>
          <c:extLst>
            <c:ext xmlns:c16="http://schemas.microsoft.com/office/drawing/2014/chart" uri="{C3380CC4-5D6E-409C-BE32-E72D297353CC}">
              <c16:uniqueId val="{00000002-830F-4409-A22A-6960E120F2AA}"/>
            </c:ext>
          </c:extLst>
        </c:ser>
        <c:ser>
          <c:idx val="3"/>
          <c:order val="3"/>
          <c:tx>
            <c:v>JWU</c:v>
          </c:tx>
          <c:spPr>
            <a:ln w="31750" cap="rnd">
              <a:solidFill>
                <a:srgbClr val="92D05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Stats'!$F$4:$P$4</c:f>
              <c:numCache>
                <c:formatCode>0.0%</c:formatCode>
                <c:ptCount val="11"/>
                <c:pt idx="0">
                  <c:v>0.77777777777777779</c:v>
                </c:pt>
                <c:pt idx="1">
                  <c:v>0.74509803921568629</c:v>
                </c:pt>
                <c:pt idx="2">
                  <c:v>0.74576271186440679</c:v>
                </c:pt>
                <c:pt idx="3">
                  <c:v>0.70212914893617018</c:v>
                </c:pt>
                <c:pt idx="4">
                  <c:v>0.8333343939393939</c:v>
                </c:pt>
                <c:pt idx="5">
                  <c:v>0.73809690476190482</c:v>
                </c:pt>
                <c:pt idx="6">
                  <c:v>0.45652326086956524</c:v>
                </c:pt>
                <c:pt idx="7">
                  <c:v>0.39622773584905663</c:v>
                </c:pt>
                <c:pt idx="8">
                  <c:v>0.81632795918367351</c:v>
                </c:pt>
                <c:pt idx="9">
                  <c:v>0.83720976744186049</c:v>
                </c:pt>
                <c:pt idx="10">
                  <c:v>0.52500049999999998</c:v>
                </c:pt>
              </c:numCache>
            </c:numRef>
          </c:val>
          <c:smooth val="0"/>
          <c:extLst>
            <c:ext xmlns:c16="http://schemas.microsoft.com/office/drawing/2014/chart" uri="{C3380CC4-5D6E-409C-BE32-E72D297353CC}">
              <c16:uniqueId val="{00000003-830F-4409-A22A-6960E120F2AA}"/>
            </c:ext>
          </c:extLst>
        </c:ser>
        <c:ser>
          <c:idx val="4"/>
          <c:order val="4"/>
          <c:tx>
            <c:v>CBO</c:v>
          </c:tx>
          <c:spPr>
            <a:ln w="31750" cap="rnd">
              <a:solidFill>
                <a:schemeClr val="accent6"/>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Stats'!$F$6:$P$6</c:f>
              <c:numCache>
                <c:formatCode>0.0%</c:formatCode>
                <c:ptCount val="11"/>
                <c:pt idx="0">
                  <c:v>0.77777777777777779</c:v>
                </c:pt>
                <c:pt idx="1">
                  <c:v>0.27450980392156865</c:v>
                </c:pt>
                <c:pt idx="2">
                  <c:v>3.3898305084745763E-2</c:v>
                </c:pt>
                <c:pt idx="3">
                  <c:v>4.2554468085106385E-2</c:v>
                </c:pt>
                <c:pt idx="4">
                  <c:v>0.39394030303030303</c:v>
                </c:pt>
                <c:pt idx="5">
                  <c:v>0.61904880952380958</c:v>
                </c:pt>
                <c:pt idx="6">
                  <c:v>0.67391413043478265</c:v>
                </c:pt>
                <c:pt idx="7">
                  <c:v>0.60377452830188683</c:v>
                </c:pt>
                <c:pt idx="8">
                  <c:v>0.69387857142857146</c:v>
                </c:pt>
                <c:pt idx="9">
                  <c:v>0.65116395348837208</c:v>
                </c:pt>
                <c:pt idx="10">
                  <c:v>0.37500125000000001</c:v>
                </c:pt>
              </c:numCache>
            </c:numRef>
          </c:val>
          <c:smooth val="0"/>
          <c:extLst>
            <c:ext xmlns:c16="http://schemas.microsoft.com/office/drawing/2014/chart" uri="{C3380CC4-5D6E-409C-BE32-E72D297353CC}">
              <c16:uniqueId val="{00000004-830F-4409-A22A-6960E120F2AA}"/>
            </c:ext>
          </c:extLst>
        </c:ser>
        <c:ser>
          <c:idx val="5"/>
          <c:order val="5"/>
          <c:tx>
            <c:v>YMI</c:v>
          </c:tx>
          <c:spPr>
            <a:ln w="31750" cap="rnd">
              <a:solidFill>
                <a:schemeClr val="accent5"/>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Stats'!$F$7:$P$7</c:f>
              <c:numCache>
                <c:formatCode>0.0%</c:formatCode>
                <c:ptCount val="11"/>
                <c:pt idx="0">
                  <c:v>0.75</c:v>
                </c:pt>
                <c:pt idx="1">
                  <c:v>0.70588235294117652</c:v>
                </c:pt>
                <c:pt idx="2">
                  <c:v>0.32203389830508472</c:v>
                </c:pt>
                <c:pt idx="3">
                  <c:v>0.21276702127659575</c:v>
                </c:pt>
                <c:pt idx="4">
                  <c:v>0.37878863636363641</c:v>
                </c:pt>
                <c:pt idx="5">
                  <c:v>0.45238238095238098</c:v>
                </c:pt>
                <c:pt idx="6">
                  <c:v>0.15217521739130435</c:v>
                </c:pt>
                <c:pt idx="7">
                  <c:v>0.28301999999999999</c:v>
                </c:pt>
                <c:pt idx="8">
                  <c:v>0.40816448979591841</c:v>
                </c:pt>
                <c:pt idx="9">
                  <c:v>0.53488511627906976</c:v>
                </c:pt>
                <c:pt idx="10">
                  <c:v>0.52500150000000001</c:v>
                </c:pt>
              </c:numCache>
            </c:numRef>
          </c:val>
          <c:smooth val="0"/>
          <c:extLst>
            <c:ext xmlns:c16="http://schemas.microsoft.com/office/drawing/2014/chart" uri="{C3380CC4-5D6E-409C-BE32-E72D297353CC}">
              <c16:uniqueId val="{00000005-830F-4409-A22A-6960E120F2AA}"/>
            </c:ext>
          </c:extLst>
        </c:ser>
        <c:ser>
          <c:idx val="6"/>
          <c:order val="6"/>
          <c:tx>
            <c:v>Average</c:v>
          </c:tx>
          <c:spPr>
            <a:ln w="31750" cap="rnd">
              <a:solidFill>
                <a:schemeClr val="tx1"/>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Stats'!$F$9:$P$9</c:f>
              <c:numCache>
                <c:formatCode>0.0%</c:formatCode>
                <c:ptCount val="11"/>
                <c:pt idx="0">
                  <c:v>0.78947368421052633</c:v>
                </c:pt>
                <c:pt idx="1">
                  <c:v>0.69097222222222221</c:v>
                </c:pt>
                <c:pt idx="2">
                  <c:v>0.56497175141242939</c:v>
                </c:pt>
                <c:pt idx="3">
                  <c:v>0.56737748226950346</c:v>
                </c:pt>
                <c:pt idx="4">
                  <c:v>0.68939507575757575</c:v>
                </c:pt>
                <c:pt idx="5">
                  <c:v>0.68650972222222206</c:v>
                </c:pt>
                <c:pt idx="6">
                  <c:v>0.5652190217391303</c:v>
                </c:pt>
                <c:pt idx="7">
                  <c:v>0.52201399371069168</c:v>
                </c:pt>
                <c:pt idx="8">
                  <c:v>0.64966139455782301</c:v>
                </c:pt>
                <c:pt idx="9">
                  <c:v>0.67442003875968992</c:v>
                </c:pt>
                <c:pt idx="10">
                  <c:v>0.55833487500000001</c:v>
                </c:pt>
              </c:numCache>
            </c:numRef>
          </c:val>
          <c:smooth val="0"/>
          <c:extLst>
            <c:ext xmlns:c16="http://schemas.microsoft.com/office/drawing/2014/chart" uri="{C3380CC4-5D6E-409C-BE32-E72D297353CC}">
              <c16:uniqueId val="{00000006-830F-4409-A22A-6960E120F2AA}"/>
            </c:ext>
          </c:extLst>
        </c:ser>
        <c:dLbls>
          <c:showLegendKey val="0"/>
          <c:showVal val="0"/>
          <c:showCatName val="0"/>
          <c:showSerName val="0"/>
          <c:showPercent val="0"/>
          <c:showBubbleSize val="0"/>
        </c:dLbls>
        <c:smooth val="0"/>
        <c:axId val="1502736511"/>
        <c:axId val="1506164351"/>
      </c:lineChart>
      <c:catAx>
        <c:axId val="150273651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6164351"/>
        <c:crosses val="autoZero"/>
        <c:auto val="1"/>
        <c:lblAlgn val="ctr"/>
        <c:lblOffset val="100"/>
        <c:noMultiLvlLbl val="0"/>
      </c:catAx>
      <c:valAx>
        <c:axId val="1506164351"/>
        <c:scaling>
          <c:orientation val="minMax"/>
          <c:max val="1"/>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2736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GGG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Participation!$L$1</c:f>
              <c:strCache>
                <c:ptCount val="1"/>
                <c:pt idx="0">
                  <c:v>JWU</c:v>
                </c:pt>
              </c:strCache>
            </c:strRef>
          </c:tx>
          <c:spPr>
            <a:ln w="28575" cap="rnd">
              <a:solidFill>
                <a:schemeClr val="accent1"/>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Participation!$L$2:$L$341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30.000000080000007</c:v>
                </c:pt>
                <c:pt idx="38">
                  <c:v>31.000000080000007</c:v>
                </c:pt>
                <c:pt idx="39">
                  <c:v>31.000000080000007</c:v>
                </c:pt>
                <c:pt idx="40">
                  <c:v>32.000000080000007</c:v>
                </c:pt>
                <c:pt idx="41">
                  <c:v>33.000000080000007</c:v>
                </c:pt>
                <c:pt idx="42">
                  <c:v>34.000000080000007</c:v>
                </c:pt>
                <c:pt idx="43">
                  <c:v>35.000000080000007</c:v>
                </c:pt>
                <c:pt idx="44">
                  <c:v>36.000000080000007</c:v>
                </c:pt>
                <c:pt idx="45">
                  <c:v>37.000000080000007</c:v>
                </c:pt>
                <c:pt idx="46">
                  <c:v>38.000000080000007</c:v>
                </c:pt>
                <c:pt idx="47">
                  <c:v>39.000000080000007</c:v>
                </c:pt>
                <c:pt idx="48">
                  <c:v>40.000000080000007</c:v>
                </c:pt>
                <c:pt idx="49">
                  <c:v>41.000000080000007</c:v>
                </c:pt>
                <c:pt idx="50">
                  <c:v>42.000000080000007</c:v>
                </c:pt>
                <c:pt idx="51">
                  <c:v>42.000000080000007</c:v>
                </c:pt>
                <c:pt idx="52">
                  <c:v>43.000000080000007</c:v>
                </c:pt>
                <c:pt idx="53">
                  <c:v>44.000000080000007</c:v>
                </c:pt>
                <c:pt idx="54">
                  <c:v>45.000000080000007</c:v>
                </c:pt>
                <c:pt idx="55">
                  <c:v>46.000000080000007</c:v>
                </c:pt>
                <c:pt idx="56">
                  <c:v>47.000000080000007</c:v>
                </c:pt>
                <c:pt idx="57">
                  <c:v>48.000000080000007</c:v>
                </c:pt>
                <c:pt idx="58">
                  <c:v>49.000000080000007</c:v>
                </c:pt>
                <c:pt idx="59">
                  <c:v>50.000000080000007</c:v>
                </c:pt>
                <c:pt idx="60">
                  <c:v>51.000000080000007</c:v>
                </c:pt>
                <c:pt idx="61">
                  <c:v>52.000000080000007</c:v>
                </c:pt>
                <c:pt idx="62">
                  <c:v>53.000000080000007</c:v>
                </c:pt>
                <c:pt idx="63">
                  <c:v>54.000000080000007</c:v>
                </c:pt>
                <c:pt idx="64">
                  <c:v>55.000000080000007</c:v>
                </c:pt>
                <c:pt idx="65">
                  <c:v>55.000000080000007</c:v>
                </c:pt>
                <c:pt idx="66">
                  <c:v>55.000000080000007</c:v>
                </c:pt>
                <c:pt idx="67">
                  <c:v>55.000000080000007</c:v>
                </c:pt>
                <c:pt idx="68">
                  <c:v>55.000000080000007</c:v>
                </c:pt>
                <c:pt idx="69">
                  <c:v>55.000000080000007</c:v>
                </c:pt>
                <c:pt idx="70">
                  <c:v>56.000000080000007</c:v>
                </c:pt>
                <c:pt idx="71">
                  <c:v>57.000000080000007</c:v>
                </c:pt>
                <c:pt idx="72">
                  <c:v>58.000000080000007</c:v>
                </c:pt>
                <c:pt idx="73">
                  <c:v>59.000000080000007</c:v>
                </c:pt>
                <c:pt idx="74">
                  <c:v>60.000000080000007</c:v>
                </c:pt>
                <c:pt idx="75">
                  <c:v>61.000000080000007</c:v>
                </c:pt>
                <c:pt idx="76">
                  <c:v>62.000000080000007</c:v>
                </c:pt>
                <c:pt idx="77">
                  <c:v>63.000000080000007</c:v>
                </c:pt>
                <c:pt idx="78">
                  <c:v>64.000000080000007</c:v>
                </c:pt>
                <c:pt idx="79">
                  <c:v>64.000000080000007</c:v>
                </c:pt>
                <c:pt idx="80">
                  <c:v>65.000000080000007</c:v>
                </c:pt>
                <c:pt idx="81">
                  <c:v>65.000000080000007</c:v>
                </c:pt>
                <c:pt idx="82">
                  <c:v>65.000000080000007</c:v>
                </c:pt>
                <c:pt idx="83">
                  <c:v>66.000000080000007</c:v>
                </c:pt>
                <c:pt idx="84">
                  <c:v>67.000000080000007</c:v>
                </c:pt>
                <c:pt idx="85">
                  <c:v>68.000000080000007</c:v>
                </c:pt>
                <c:pt idx="86">
                  <c:v>69.000000080000007</c:v>
                </c:pt>
                <c:pt idx="87">
                  <c:v>70.000000080000007</c:v>
                </c:pt>
                <c:pt idx="88">
                  <c:v>71.000000080000007</c:v>
                </c:pt>
                <c:pt idx="89">
                  <c:v>72.000000080000007</c:v>
                </c:pt>
                <c:pt idx="90">
                  <c:v>73.000000080000007</c:v>
                </c:pt>
                <c:pt idx="91">
                  <c:v>73.000000080000007</c:v>
                </c:pt>
                <c:pt idx="92">
                  <c:v>74.000000080000007</c:v>
                </c:pt>
                <c:pt idx="93">
                  <c:v>74.000000080000007</c:v>
                </c:pt>
                <c:pt idx="94">
                  <c:v>75.000000080000007</c:v>
                </c:pt>
                <c:pt idx="95">
                  <c:v>76.000000080000007</c:v>
                </c:pt>
                <c:pt idx="96">
                  <c:v>77.000000080000007</c:v>
                </c:pt>
                <c:pt idx="97">
                  <c:v>78.000000080000007</c:v>
                </c:pt>
                <c:pt idx="98">
                  <c:v>78.000000080000007</c:v>
                </c:pt>
                <c:pt idx="99">
                  <c:v>79.000000080000007</c:v>
                </c:pt>
                <c:pt idx="100">
                  <c:v>80.000000080000007</c:v>
                </c:pt>
                <c:pt idx="101">
                  <c:v>80.000000080000007</c:v>
                </c:pt>
                <c:pt idx="102">
                  <c:v>81.000000080000007</c:v>
                </c:pt>
                <c:pt idx="103">
                  <c:v>82.000000080000007</c:v>
                </c:pt>
                <c:pt idx="104">
                  <c:v>83.000000080000007</c:v>
                </c:pt>
                <c:pt idx="105">
                  <c:v>83.000000080000007</c:v>
                </c:pt>
                <c:pt idx="106">
                  <c:v>83.000000080000007</c:v>
                </c:pt>
                <c:pt idx="107">
                  <c:v>84.000000080000007</c:v>
                </c:pt>
                <c:pt idx="108">
                  <c:v>84.000000080000007</c:v>
                </c:pt>
                <c:pt idx="109">
                  <c:v>85.000000080000007</c:v>
                </c:pt>
                <c:pt idx="110">
                  <c:v>86.000000080000007</c:v>
                </c:pt>
                <c:pt idx="111">
                  <c:v>86.000000080000007</c:v>
                </c:pt>
                <c:pt idx="112">
                  <c:v>87.000000080000007</c:v>
                </c:pt>
                <c:pt idx="113">
                  <c:v>88.000000080000007</c:v>
                </c:pt>
                <c:pt idx="114">
                  <c:v>89.000000080000007</c:v>
                </c:pt>
                <c:pt idx="115">
                  <c:v>90.000000080000007</c:v>
                </c:pt>
                <c:pt idx="116">
                  <c:v>91.000000080000007</c:v>
                </c:pt>
                <c:pt idx="117">
                  <c:v>92.000000080000007</c:v>
                </c:pt>
                <c:pt idx="118">
                  <c:v>93.000000080000007</c:v>
                </c:pt>
                <c:pt idx="119">
                  <c:v>94.000000080000007</c:v>
                </c:pt>
                <c:pt idx="120">
                  <c:v>95.000000080000007</c:v>
                </c:pt>
                <c:pt idx="121">
                  <c:v>95.000000080000007</c:v>
                </c:pt>
                <c:pt idx="122">
                  <c:v>96.000000080000007</c:v>
                </c:pt>
                <c:pt idx="123">
                  <c:v>96.000000080000007</c:v>
                </c:pt>
                <c:pt idx="124">
                  <c:v>96.000000080000007</c:v>
                </c:pt>
                <c:pt idx="125">
                  <c:v>97.000000080000007</c:v>
                </c:pt>
                <c:pt idx="126">
                  <c:v>98.000000080000007</c:v>
                </c:pt>
                <c:pt idx="127">
                  <c:v>99.000000080000007</c:v>
                </c:pt>
                <c:pt idx="128">
                  <c:v>100.00000008000001</c:v>
                </c:pt>
                <c:pt idx="129">
                  <c:v>101.00000008000001</c:v>
                </c:pt>
                <c:pt idx="130">
                  <c:v>102.00000008000001</c:v>
                </c:pt>
                <c:pt idx="131">
                  <c:v>103.00000008000001</c:v>
                </c:pt>
                <c:pt idx="132">
                  <c:v>104.00000008000001</c:v>
                </c:pt>
                <c:pt idx="133">
                  <c:v>105.00000008000001</c:v>
                </c:pt>
                <c:pt idx="134">
                  <c:v>106.00000008000001</c:v>
                </c:pt>
                <c:pt idx="135">
                  <c:v>107.00000008000001</c:v>
                </c:pt>
                <c:pt idx="136">
                  <c:v>108.00000008000001</c:v>
                </c:pt>
                <c:pt idx="137">
                  <c:v>108.00000008000001</c:v>
                </c:pt>
                <c:pt idx="138">
                  <c:v>109.00000008000001</c:v>
                </c:pt>
                <c:pt idx="139">
                  <c:v>110.00000008000001</c:v>
                </c:pt>
                <c:pt idx="140">
                  <c:v>110.00000008000001</c:v>
                </c:pt>
                <c:pt idx="141">
                  <c:v>110.00000008000001</c:v>
                </c:pt>
                <c:pt idx="142">
                  <c:v>110.00000008000001</c:v>
                </c:pt>
                <c:pt idx="143">
                  <c:v>110.00000008000001</c:v>
                </c:pt>
                <c:pt idx="144">
                  <c:v>110.00000008000001</c:v>
                </c:pt>
                <c:pt idx="145">
                  <c:v>111.00000008000001</c:v>
                </c:pt>
                <c:pt idx="146">
                  <c:v>112.00000008000001</c:v>
                </c:pt>
                <c:pt idx="147">
                  <c:v>113.00000008000001</c:v>
                </c:pt>
                <c:pt idx="148">
                  <c:v>113.00000008000001</c:v>
                </c:pt>
                <c:pt idx="149">
                  <c:v>114.00000008000001</c:v>
                </c:pt>
                <c:pt idx="150">
                  <c:v>114.00000008000001</c:v>
                </c:pt>
                <c:pt idx="151">
                  <c:v>115.00000008000001</c:v>
                </c:pt>
                <c:pt idx="152">
                  <c:v>115.00000008000001</c:v>
                </c:pt>
                <c:pt idx="153">
                  <c:v>116.00000008000001</c:v>
                </c:pt>
                <c:pt idx="154">
                  <c:v>116.00000008000001</c:v>
                </c:pt>
                <c:pt idx="155">
                  <c:v>117.00000008000001</c:v>
                </c:pt>
                <c:pt idx="156">
                  <c:v>118.00000008000001</c:v>
                </c:pt>
                <c:pt idx="157">
                  <c:v>118.00000008000001</c:v>
                </c:pt>
                <c:pt idx="158">
                  <c:v>118.00000008000001</c:v>
                </c:pt>
                <c:pt idx="159">
                  <c:v>119.00000008000001</c:v>
                </c:pt>
                <c:pt idx="160">
                  <c:v>119.00000008000001</c:v>
                </c:pt>
                <c:pt idx="161">
                  <c:v>120.00000008000001</c:v>
                </c:pt>
                <c:pt idx="162">
                  <c:v>121.00000008000001</c:v>
                </c:pt>
                <c:pt idx="163">
                  <c:v>122.00000008000001</c:v>
                </c:pt>
                <c:pt idx="164">
                  <c:v>123.00000008000001</c:v>
                </c:pt>
                <c:pt idx="165">
                  <c:v>124.00000008000001</c:v>
                </c:pt>
                <c:pt idx="166">
                  <c:v>124.00000008000001</c:v>
                </c:pt>
                <c:pt idx="167">
                  <c:v>125.00000008000001</c:v>
                </c:pt>
                <c:pt idx="168">
                  <c:v>126.00000008000001</c:v>
                </c:pt>
                <c:pt idx="169">
                  <c:v>127.00000008000001</c:v>
                </c:pt>
                <c:pt idx="170">
                  <c:v>128.00000008000001</c:v>
                </c:pt>
                <c:pt idx="171">
                  <c:v>129.00000008000001</c:v>
                </c:pt>
                <c:pt idx="172">
                  <c:v>130.00000008000001</c:v>
                </c:pt>
                <c:pt idx="173">
                  <c:v>130.00000008000001</c:v>
                </c:pt>
                <c:pt idx="174">
                  <c:v>130.00000008000001</c:v>
                </c:pt>
                <c:pt idx="175">
                  <c:v>131.00000008000001</c:v>
                </c:pt>
                <c:pt idx="176">
                  <c:v>132.00000008000001</c:v>
                </c:pt>
                <c:pt idx="177">
                  <c:v>133.00000008000001</c:v>
                </c:pt>
                <c:pt idx="178">
                  <c:v>134.00000008000001</c:v>
                </c:pt>
                <c:pt idx="179">
                  <c:v>135.00000008000001</c:v>
                </c:pt>
                <c:pt idx="180">
                  <c:v>135.00000008000001</c:v>
                </c:pt>
                <c:pt idx="181">
                  <c:v>136.00000008000001</c:v>
                </c:pt>
                <c:pt idx="182">
                  <c:v>137.00000008000001</c:v>
                </c:pt>
                <c:pt idx="183">
                  <c:v>137.00000008000001</c:v>
                </c:pt>
                <c:pt idx="184">
                  <c:v>138.00000008000001</c:v>
                </c:pt>
                <c:pt idx="185">
                  <c:v>139.00000008000001</c:v>
                </c:pt>
                <c:pt idx="186">
                  <c:v>140.00000008000001</c:v>
                </c:pt>
                <c:pt idx="187">
                  <c:v>141.00000008000001</c:v>
                </c:pt>
                <c:pt idx="188">
                  <c:v>142.00000008000001</c:v>
                </c:pt>
                <c:pt idx="189">
                  <c:v>143.00000008000001</c:v>
                </c:pt>
                <c:pt idx="190">
                  <c:v>143.00000008000001</c:v>
                </c:pt>
                <c:pt idx="191">
                  <c:v>144.00000008000001</c:v>
                </c:pt>
                <c:pt idx="192">
                  <c:v>144.00000008000001</c:v>
                </c:pt>
                <c:pt idx="193">
                  <c:v>145.00000008000001</c:v>
                </c:pt>
                <c:pt idx="194">
                  <c:v>146.00000008000001</c:v>
                </c:pt>
                <c:pt idx="195">
                  <c:v>146.00000008000001</c:v>
                </c:pt>
                <c:pt idx="196">
                  <c:v>147.00000008000001</c:v>
                </c:pt>
                <c:pt idx="197">
                  <c:v>148.00000008000001</c:v>
                </c:pt>
                <c:pt idx="198">
                  <c:v>149.00000008000001</c:v>
                </c:pt>
                <c:pt idx="199">
                  <c:v>150.00000008000001</c:v>
                </c:pt>
                <c:pt idx="200">
                  <c:v>151.00000008000001</c:v>
                </c:pt>
                <c:pt idx="201">
                  <c:v>152.00000008000001</c:v>
                </c:pt>
                <c:pt idx="202">
                  <c:v>153.00000008000001</c:v>
                </c:pt>
                <c:pt idx="203">
                  <c:v>154.00000008000001</c:v>
                </c:pt>
                <c:pt idx="204">
                  <c:v>155.00000008000001</c:v>
                </c:pt>
                <c:pt idx="205">
                  <c:v>156.00000008000001</c:v>
                </c:pt>
                <c:pt idx="206">
                  <c:v>157.00000008000001</c:v>
                </c:pt>
                <c:pt idx="207">
                  <c:v>158.00000008000001</c:v>
                </c:pt>
                <c:pt idx="208">
                  <c:v>159.00000008000001</c:v>
                </c:pt>
                <c:pt idx="209">
                  <c:v>160.00000008000001</c:v>
                </c:pt>
                <c:pt idx="210">
                  <c:v>161.00000008000001</c:v>
                </c:pt>
                <c:pt idx="211">
                  <c:v>162.00000008000001</c:v>
                </c:pt>
                <c:pt idx="212">
                  <c:v>163.00000008000001</c:v>
                </c:pt>
                <c:pt idx="213">
                  <c:v>163.00000008000001</c:v>
                </c:pt>
                <c:pt idx="214">
                  <c:v>163.00000008000001</c:v>
                </c:pt>
                <c:pt idx="215">
                  <c:v>164.00000008000001</c:v>
                </c:pt>
                <c:pt idx="216">
                  <c:v>165.00000008000001</c:v>
                </c:pt>
                <c:pt idx="217">
                  <c:v>165.00000008000001</c:v>
                </c:pt>
                <c:pt idx="218">
                  <c:v>166.00000008000001</c:v>
                </c:pt>
                <c:pt idx="219">
                  <c:v>166.00000008000001</c:v>
                </c:pt>
                <c:pt idx="220">
                  <c:v>167.00000008000001</c:v>
                </c:pt>
                <c:pt idx="221">
                  <c:v>168.00000008000001</c:v>
                </c:pt>
                <c:pt idx="222">
                  <c:v>169.00000008000001</c:v>
                </c:pt>
                <c:pt idx="223">
                  <c:v>169.00000008000001</c:v>
                </c:pt>
                <c:pt idx="224">
                  <c:v>170.00000008000001</c:v>
                </c:pt>
                <c:pt idx="225">
                  <c:v>171.00000008000001</c:v>
                </c:pt>
                <c:pt idx="226">
                  <c:v>172.00000008000001</c:v>
                </c:pt>
                <c:pt idx="227">
                  <c:v>173.00000008000001</c:v>
                </c:pt>
                <c:pt idx="228">
                  <c:v>174.00000008000001</c:v>
                </c:pt>
                <c:pt idx="229">
                  <c:v>175.00000008000001</c:v>
                </c:pt>
                <c:pt idx="230">
                  <c:v>176.00000008000001</c:v>
                </c:pt>
                <c:pt idx="231">
                  <c:v>177.00000008000001</c:v>
                </c:pt>
                <c:pt idx="232">
                  <c:v>178.00000008000001</c:v>
                </c:pt>
                <c:pt idx="233">
                  <c:v>179.00000008000001</c:v>
                </c:pt>
                <c:pt idx="234">
                  <c:v>179.00000008000001</c:v>
                </c:pt>
                <c:pt idx="235">
                  <c:v>180.00000008000001</c:v>
                </c:pt>
                <c:pt idx="236">
                  <c:v>181.00000008000001</c:v>
                </c:pt>
                <c:pt idx="237">
                  <c:v>181.00000008000001</c:v>
                </c:pt>
                <c:pt idx="238">
                  <c:v>182.00000008000001</c:v>
                </c:pt>
                <c:pt idx="239">
                  <c:v>183.00000008000001</c:v>
                </c:pt>
                <c:pt idx="240">
                  <c:v>184.00000008000001</c:v>
                </c:pt>
                <c:pt idx="241">
                  <c:v>184.00000008000001</c:v>
                </c:pt>
                <c:pt idx="242">
                  <c:v>185.00000008000001</c:v>
                </c:pt>
                <c:pt idx="243">
                  <c:v>185.00000008000001</c:v>
                </c:pt>
                <c:pt idx="244">
                  <c:v>186.00000008000001</c:v>
                </c:pt>
                <c:pt idx="245">
                  <c:v>187.00000008000001</c:v>
                </c:pt>
                <c:pt idx="246">
                  <c:v>188.00000008000001</c:v>
                </c:pt>
                <c:pt idx="247">
                  <c:v>189.00000008000001</c:v>
                </c:pt>
                <c:pt idx="248">
                  <c:v>189.00000008000001</c:v>
                </c:pt>
                <c:pt idx="249">
                  <c:v>190.00000008000001</c:v>
                </c:pt>
                <c:pt idx="250">
                  <c:v>191.00000008000001</c:v>
                </c:pt>
                <c:pt idx="251">
                  <c:v>192.00000008000001</c:v>
                </c:pt>
                <c:pt idx="252">
                  <c:v>193.00000008000001</c:v>
                </c:pt>
                <c:pt idx="253">
                  <c:v>194.00000008000001</c:v>
                </c:pt>
                <c:pt idx="254">
                  <c:v>195.00000008000001</c:v>
                </c:pt>
                <c:pt idx="255">
                  <c:v>196.00000008000001</c:v>
                </c:pt>
                <c:pt idx="256">
                  <c:v>197.00000008000001</c:v>
                </c:pt>
                <c:pt idx="257">
                  <c:v>198.00000008000001</c:v>
                </c:pt>
                <c:pt idx="258">
                  <c:v>199.00000008000001</c:v>
                </c:pt>
                <c:pt idx="259">
                  <c:v>200.00000008000001</c:v>
                </c:pt>
                <c:pt idx="260">
                  <c:v>201.00000008000001</c:v>
                </c:pt>
                <c:pt idx="261">
                  <c:v>202.00000008000001</c:v>
                </c:pt>
                <c:pt idx="262">
                  <c:v>202.00000008000001</c:v>
                </c:pt>
                <c:pt idx="263">
                  <c:v>203.00000008000001</c:v>
                </c:pt>
                <c:pt idx="264">
                  <c:v>204.00000008000001</c:v>
                </c:pt>
                <c:pt idx="265">
                  <c:v>204.00000008000001</c:v>
                </c:pt>
                <c:pt idx="266">
                  <c:v>205.00000008000001</c:v>
                </c:pt>
                <c:pt idx="267">
                  <c:v>206.00000008000001</c:v>
                </c:pt>
                <c:pt idx="268">
                  <c:v>206.00000008000001</c:v>
                </c:pt>
                <c:pt idx="269">
                  <c:v>206.00000008000001</c:v>
                </c:pt>
                <c:pt idx="270">
                  <c:v>207.00000008000001</c:v>
                </c:pt>
                <c:pt idx="271">
                  <c:v>208.00000008000001</c:v>
                </c:pt>
                <c:pt idx="272">
                  <c:v>209.00000008000001</c:v>
                </c:pt>
                <c:pt idx="273">
                  <c:v>210.00000008000001</c:v>
                </c:pt>
                <c:pt idx="274">
                  <c:v>210.00000008000001</c:v>
                </c:pt>
                <c:pt idx="275">
                  <c:v>211.00000008000001</c:v>
                </c:pt>
                <c:pt idx="276">
                  <c:v>212.00000008000001</c:v>
                </c:pt>
                <c:pt idx="277">
                  <c:v>213.00000008000001</c:v>
                </c:pt>
                <c:pt idx="278">
                  <c:v>214.00000008000001</c:v>
                </c:pt>
                <c:pt idx="279">
                  <c:v>214.00000008000001</c:v>
                </c:pt>
                <c:pt idx="280">
                  <c:v>215.00000008000001</c:v>
                </c:pt>
                <c:pt idx="281">
                  <c:v>216.00000008000001</c:v>
                </c:pt>
                <c:pt idx="282">
                  <c:v>217.00000008000001</c:v>
                </c:pt>
                <c:pt idx="283">
                  <c:v>218.00000008000001</c:v>
                </c:pt>
                <c:pt idx="284">
                  <c:v>219.00000008000001</c:v>
                </c:pt>
                <c:pt idx="285">
                  <c:v>219.00000008000001</c:v>
                </c:pt>
                <c:pt idx="286">
                  <c:v>220.00000008000001</c:v>
                </c:pt>
                <c:pt idx="287">
                  <c:v>221.00000008000001</c:v>
                </c:pt>
                <c:pt idx="288">
                  <c:v>222.00000008000001</c:v>
                </c:pt>
                <c:pt idx="289">
                  <c:v>223.00000008000001</c:v>
                </c:pt>
                <c:pt idx="290">
                  <c:v>223.00000008000001</c:v>
                </c:pt>
                <c:pt idx="291">
                  <c:v>224.00000008000001</c:v>
                </c:pt>
                <c:pt idx="292">
                  <c:v>224.00000008000001</c:v>
                </c:pt>
                <c:pt idx="293">
                  <c:v>225.00000008000001</c:v>
                </c:pt>
                <c:pt idx="294">
                  <c:v>226.00000008000001</c:v>
                </c:pt>
                <c:pt idx="295">
                  <c:v>227.00000008000001</c:v>
                </c:pt>
                <c:pt idx="296">
                  <c:v>228.00000008000001</c:v>
                </c:pt>
                <c:pt idx="297">
                  <c:v>229.00000008000001</c:v>
                </c:pt>
                <c:pt idx="298">
                  <c:v>229.00000008000001</c:v>
                </c:pt>
                <c:pt idx="299">
                  <c:v>229.00000008000001</c:v>
                </c:pt>
                <c:pt idx="300">
                  <c:v>230.00000008000001</c:v>
                </c:pt>
                <c:pt idx="301">
                  <c:v>231.00000008000001</c:v>
                </c:pt>
                <c:pt idx="302">
                  <c:v>231.00000008000001</c:v>
                </c:pt>
                <c:pt idx="303">
                  <c:v>231.00000008000001</c:v>
                </c:pt>
                <c:pt idx="304">
                  <c:v>232.00000008000001</c:v>
                </c:pt>
                <c:pt idx="305">
                  <c:v>233.00000008000001</c:v>
                </c:pt>
                <c:pt idx="306">
                  <c:v>234.00000008000001</c:v>
                </c:pt>
                <c:pt idx="307">
                  <c:v>234.00000008000001</c:v>
                </c:pt>
                <c:pt idx="308">
                  <c:v>235.00000008000001</c:v>
                </c:pt>
                <c:pt idx="309">
                  <c:v>236.00000008000001</c:v>
                </c:pt>
                <c:pt idx="310">
                  <c:v>237.00000008000001</c:v>
                </c:pt>
                <c:pt idx="311">
                  <c:v>237.00000008000001</c:v>
                </c:pt>
                <c:pt idx="312">
                  <c:v>238.00000008000001</c:v>
                </c:pt>
                <c:pt idx="313">
                  <c:v>239.00000008000001</c:v>
                </c:pt>
                <c:pt idx="314">
                  <c:v>239.00000008000001</c:v>
                </c:pt>
                <c:pt idx="315">
                  <c:v>239.00000008000001</c:v>
                </c:pt>
                <c:pt idx="316">
                  <c:v>239.00000008000001</c:v>
                </c:pt>
                <c:pt idx="317">
                  <c:v>239.00000008000001</c:v>
                </c:pt>
                <c:pt idx="318">
                  <c:v>239.00000008000001</c:v>
                </c:pt>
                <c:pt idx="319">
                  <c:v>240.00000008000001</c:v>
                </c:pt>
                <c:pt idx="320">
                  <c:v>240.00000008000001</c:v>
                </c:pt>
                <c:pt idx="321">
                  <c:v>241.00000008000001</c:v>
                </c:pt>
                <c:pt idx="322">
                  <c:v>241.00000008000001</c:v>
                </c:pt>
                <c:pt idx="323">
                  <c:v>241.00000008000001</c:v>
                </c:pt>
                <c:pt idx="324">
                  <c:v>242.00000008000001</c:v>
                </c:pt>
                <c:pt idx="325">
                  <c:v>242.00000008000001</c:v>
                </c:pt>
                <c:pt idx="326">
                  <c:v>243.00000008000001</c:v>
                </c:pt>
                <c:pt idx="327">
                  <c:v>243.00000008000001</c:v>
                </c:pt>
                <c:pt idx="328">
                  <c:v>243.00000008000001</c:v>
                </c:pt>
                <c:pt idx="329">
                  <c:v>244.00000008000001</c:v>
                </c:pt>
                <c:pt idx="330">
                  <c:v>244.00000008000001</c:v>
                </c:pt>
                <c:pt idx="331">
                  <c:v>245.00000008000001</c:v>
                </c:pt>
                <c:pt idx="332">
                  <c:v>246.00000008000001</c:v>
                </c:pt>
                <c:pt idx="333">
                  <c:v>246.00000008000001</c:v>
                </c:pt>
                <c:pt idx="334">
                  <c:v>247.00000008000001</c:v>
                </c:pt>
                <c:pt idx="335">
                  <c:v>247.00000008000001</c:v>
                </c:pt>
                <c:pt idx="336">
                  <c:v>247.00000008000001</c:v>
                </c:pt>
                <c:pt idx="337">
                  <c:v>247.00000008000001</c:v>
                </c:pt>
                <c:pt idx="338">
                  <c:v>248.00000008000001</c:v>
                </c:pt>
                <c:pt idx="339">
                  <c:v>248.00000008000001</c:v>
                </c:pt>
              </c:numCache>
            </c:numRef>
          </c:val>
          <c:smooth val="0"/>
          <c:extLst>
            <c:ext xmlns:c16="http://schemas.microsoft.com/office/drawing/2014/chart" uri="{C3380CC4-5D6E-409C-BE32-E72D297353CC}">
              <c16:uniqueId val="{00000000-E375-4AF9-BB6A-A3C2377400CB}"/>
            </c:ext>
          </c:extLst>
        </c:ser>
        <c:ser>
          <c:idx val="1"/>
          <c:order val="1"/>
          <c:tx>
            <c:strRef>
              <c:f>Participation!$M$1</c:f>
              <c:strCache>
                <c:ptCount val="1"/>
                <c:pt idx="0">
                  <c:v>CBO</c:v>
                </c:pt>
              </c:strCache>
            </c:strRef>
          </c:tx>
          <c:spPr>
            <a:ln w="28575" cap="rnd">
              <a:solidFill>
                <a:schemeClr val="accent2"/>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Participation!$M$2:$M$341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29.000000080000007</c:v>
                </c:pt>
                <c:pt idx="38">
                  <c:v>30.000000080000007</c:v>
                </c:pt>
                <c:pt idx="39">
                  <c:v>31.000000080000007</c:v>
                </c:pt>
                <c:pt idx="40">
                  <c:v>32.000000080000007</c:v>
                </c:pt>
                <c:pt idx="41">
                  <c:v>33.000000080000007</c:v>
                </c:pt>
                <c:pt idx="42">
                  <c:v>33.000000080000007</c:v>
                </c:pt>
                <c:pt idx="43">
                  <c:v>34.000000080000007</c:v>
                </c:pt>
                <c:pt idx="44">
                  <c:v>35.000000080000007</c:v>
                </c:pt>
                <c:pt idx="45">
                  <c:v>36.000000080000007</c:v>
                </c:pt>
                <c:pt idx="46">
                  <c:v>37.000000080000007</c:v>
                </c:pt>
                <c:pt idx="47">
                  <c:v>38.000000080000007</c:v>
                </c:pt>
                <c:pt idx="48">
                  <c:v>39.000000080000007</c:v>
                </c:pt>
                <c:pt idx="49">
                  <c:v>40.000000080000007</c:v>
                </c:pt>
                <c:pt idx="50">
                  <c:v>40.000000080000007</c:v>
                </c:pt>
                <c:pt idx="51">
                  <c:v>40.000000080000007</c:v>
                </c:pt>
                <c:pt idx="52">
                  <c:v>40.000000080000007</c:v>
                </c:pt>
                <c:pt idx="53">
                  <c:v>40.000000080000007</c:v>
                </c:pt>
                <c:pt idx="54">
                  <c:v>40.000000080000007</c:v>
                </c:pt>
                <c:pt idx="55">
                  <c:v>40.000000080000007</c:v>
                </c:pt>
                <c:pt idx="56">
                  <c:v>40.000000080000007</c:v>
                </c:pt>
                <c:pt idx="57">
                  <c:v>40.000000080000007</c:v>
                </c:pt>
                <c:pt idx="58">
                  <c:v>40.000000080000007</c:v>
                </c:pt>
                <c:pt idx="59">
                  <c:v>40.000000080000007</c:v>
                </c:pt>
                <c:pt idx="60">
                  <c:v>40.000000080000007</c:v>
                </c:pt>
                <c:pt idx="61">
                  <c:v>40.000000080000007</c:v>
                </c:pt>
                <c:pt idx="62">
                  <c:v>40.000000080000007</c:v>
                </c:pt>
                <c:pt idx="63">
                  <c:v>40.000000080000007</c:v>
                </c:pt>
                <c:pt idx="64">
                  <c:v>40.000000080000007</c:v>
                </c:pt>
                <c:pt idx="65">
                  <c:v>40.000000080000007</c:v>
                </c:pt>
                <c:pt idx="66">
                  <c:v>40.000000080000007</c:v>
                </c:pt>
                <c:pt idx="67">
                  <c:v>40.000000080000007</c:v>
                </c:pt>
                <c:pt idx="68">
                  <c:v>41.000000080000007</c:v>
                </c:pt>
                <c:pt idx="69">
                  <c:v>41.000000080000007</c:v>
                </c:pt>
                <c:pt idx="70">
                  <c:v>41.000000080000007</c:v>
                </c:pt>
                <c:pt idx="71">
                  <c:v>41.000000080000007</c:v>
                </c:pt>
                <c:pt idx="72">
                  <c:v>41.000000080000007</c:v>
                </c:pt>
                <c:pt idx="73">
                  <c:v>41.000000080000007</c:v>
                </c:pt>
                <c:pt idx="74">
                  <c:v>41.000000080000007</c:v>
                </c:pt>
                <c:pt idx="75">
                  <c:v>41.000000080000007</c:v>
                </c:pt>
                <c:pt idx="76">
                  <c:v>41.000000080000007</c:v>
                </c:pt>
                <c:pt idx="77">
                  <c:v>41.000000080000007</c:v>
                </c:pt>
                <c:pt idx="78">
                  <c:v>41.000000080000007</c:v>
                </c:pt>
                <c:pt idx="79">
                  <c:v>41.000000080000007</c:v>
                </c:pt>
                <c:pt idx="80">
                  <c:v>41.000000080000007</c:v>
                </c:pt>
                <c:pt idx="81">
                  <c:v>41.000000080000007</c:v>
                </c:pt>
                <c:pt idx="82">
                  <c:v>41.000000080000007</c:v>
                </c:pt>
                <c:pt idx="83">
                  <c:v>42.000000080000007</c:v>
                </c:pt>
                <c:pt idx="84">
                  <c:v>42.000000080000007</c:v>
                </c:pt>
                <c:pt idx="85">
                  <c:v>42.000000080000007</c:v>
                </c:pt>
                <c:pt idx="86">
                  <c:v>42.000000080000007</c:v>
                </c:pt>
                <c:pt idx="87">
                  <c:v>42.000000080000007</c:v>
                </c:pt>
                <c:pt idx="88">
                  <c:v>42.000000080000007</c:v>
                </c:pt>
                <c:pt idx="89">
                  <c:v>42.000000080000007</c:v>
                </c:pt>
                <c:pt idx="90">
                  <c:v>42.000000080000007</c:v>
                </c:pt>
                <c:pt idx="91">
                  <c:v>42.000000080000007</c:v>
                </c:pt>
                <c:pt idx="92">
                  <c:v>42.000000080000007</c:v>
                </c:pt>
                <c:pt idx="93">
                  <c:v>42.000000080000007</c:v>
                </c:pt>
                <c:pt idx="94">
                  <c:v>42.000000080000007</c:v>
                </c:pt>
                <c:pt idx="95">
                  <c:v>42.000000080000007</c:v>
                </c:pt>
                <c:pt idx="96">
                  <c:v>42.000000080000007</c:v>
                </c:pt>
                <c:pt idx="97">
                  <c:v>42.000000080000007</c:v>
                </c:pt>
                <c:pt idx="98">
                  <c:v>42.000000080000007</c:v>
                </c:pt>
                <c:pt idx="99">
                  <c:v>42.000000080000007</c:v>
                </c:pt>
                <c:pt idx="100">
                  <c:v>42.000000080000007</c:v>
                </c:pt>
                <c:pt idx="101">
                  <c:v>42.000000080000007</c:v>
                </c:pt>
                <c:pt idx="102">
                  <c:v>42.000000080000007</c:v>
                </c:pt>
                <c:pt idx="103">
                  <c:v>42.000000080000007</c:v>
                </c:pt>
                <c:pt idx="104">
                  <c:v>43.000000080000007</c:v>
                </c:pt>
                <c:pt idx="105">
                  <c:v>43.000000080000007</c:v>
                </c:pt>
                <c:pt idx="106">
                  <c:v>43.000000080000007</c:v>
                </c:pt>
                <c:pt idx="107">
                  <c:v>43.000000080000007</c:v>
                </c:pt>
                <c:pt idx="108">
                  <c:v>43.000000080000007</c:v>
                </c:pt>
                <c:pt idx="109">
                  <c:v>43.000000080000007</c:v>
                </c:pt>
                <c:pt idx="110">
                  <c:v>43.000000080000007</c:v>
                </c:pt>
                <c:pt idx="111">
                  <c:v>43.000000080000007</c:v>
                </c:pt>
                <c:pt idx="112">
                  <c:v>43.000000080000007</c:v>
                </c:pt>
                <c:pt idx="113">
                  <c:v>43.000000080000007</c:v>
                </c:pt>
                <c:pt idx="114">
                  <c:v>43.000000080000007</c:v>
                </c:pt>
                <c:pt idx="115">
                  <c:v>43.000000080000007</c:v>
                </c:pt>
                <c:pt idx="116">
                  <c:v>43.000000080000007</c:v>
                </c:pt>
                <c:pt idx="117">
                  <c:v>43.000000080000007</c:v>
                </c:pt>
                <c:pt idx="118">
                  <c:v>43.000000080000007</c:v>
                </c:pt>
                <c:pt idx="119">
                  <c:v>43.000000080000007</c:v>
                </c:pt>
                <c:pt idx="120">
                  <c:v>43.000000080000007</c:v>
                </c:pt>
                <c:pt idx="121">
                  <c:v>43.000000080000007</c:v>
                </c:pt>
                <c:pt idx="122">
                  <c:v>43.000000080000007</c:v>
                </c:pt>
                <c:pt idx="123">
                  <c:v>43.000000080000007</c:v>
                </c:pt>
                <c:pt idx="124">
                  <c:v>43.000000080000007</c:v>
                </c:pt>
                <c:pt idx="125">
                  <c:v>43.000000080000007</c:v>
                </c:pt>
                <c:pt idx="126">
                  <c:v>43.000000080000007</c:v>
                </c:pt>
                <c:pt idx="127">
                  <c:v>43.000000080000007</c:v>
                </c:pt>
                <c:pt idx="128">
                  <c:v>43.000000080000007</c:v>
                </c:pt>
                <c:pt idx="129">
                  <c:v>43.000000080000007</c:v>
                </c:pt>
                <c:pt idx="130">
                  <c:v>43.000000080000007</c:v>
                </c:pt>
                <c:pt idx="131">
                  <c:v>43.000000080000007</c:v>
                </c:pt>
                <c:pt idx="132">
                  <c:v>43.000000080000007</c:v>
                </c:pt>
                <c:pt idx="133">
                  <c:v>43.000000080000007</c:v>
                </c:pt>
                <c:pt idx="134">
                  <c:v>43.000000080000007</c:v>
                </c:pt>
                <c:pt idx="135">
                  <c:v>43.000000080000007</c:v>
                </c:pt>
                <c:pt idx="136">
                  <c:v>43.000000080000007</c:v>
                </c:pt>
                <c:pt idx="137">
                  <c:v>44.000000080000007</c:v>
                </c:pt>
                <c:pt idx="138">
                  <c:v>44.000000080000007</c:v>
                </c:pt>
                <c:pt idx="139">
                  <c:v>44.000000080000007</c:v>
                </c:pt>
                <c:pt idx="140">
                  <c:v>44.000000080000007</c:v>
                </c:pt>
                <c:pt idx="141">
                  <c:v>44.000000080000007</c:v>
                </c:pt>
                <c:pt idx="142">
                  <c:v>44.000000080000007</c:v>
                </c:pt>
                <c:pt idx="143">
                  <c:v>44.000000080000007</c:v>
                </c:pt>
                <c:pt idx="144">
                  <c:v>44.000000080000007</c:v>
                </c:pt>
                <c:pt idx="145">
                  <c:v>44.000000080000007</c:v>
                </c:pt>
                <c:pt idx="146">
                  <c:v>44.000000080000007</c:v>
                </c:pt>
                <c:pt idx="147">
                  <c:v>44.000000080000007</c:v>
                </c:pt>
                <c:pt idx="148">
                  <c:v>44.000000080000007</c:v>
                </c:pt>
                <c:pt idx="149">
                  <c:v>45.000000080000007</c:v>
                </c:pt>
                <c:pt idx="150">
                  <c:v>45.000000080000007</c:v>
                </c:pt>
                <c:pt idx="151">
                  <c:v>45.000000080000007</c:v>
                </c:pt>
                <c:pt idx="152">
                  <c:v>45.000000080000007</c:v>
                </c:pt>
                <c:pt idx="153">
                  <c:v>45.000000080000007</c:v>
                </c:pt>
                <c:pt idx="154">
                  <c:v>45.000000080000007</c:v>
                </c:pt>
                <c:pt idx="155">
                  <c:v>45.000000080000007</c:v>
                </c:pt>
                <c:pt idx="156">
                  <c:v>45.000000080000007</c:v>
                </c:pt>
                <c:pt idx="157">
                  <c:v>45.000000080000007</c:v>
                </c:pt>
                <c:pt idx="158">
                  <c:v>45.000000080000007</c:v>
                </c:pt>
                <c:pt idx="159">
                  <c:v>45.000000080000007</c:v>
                </c:pt>
                <c:pt idx="160">
                  <c:v>45.000000080000007</c:v>
                </c:pt>
                <c:pt idx="161">
                  <c:v>46.000000080000007</c:v>
                </c:pt>
                <c:pt idx="162">
                  <c:v>46.000000080000007</c:v>
                </c:pt>
                <c:pt idx="163">
                  <c:v>46.000000080000007</c:v>
                </c:pt>
                <c:pt idx="164">
                  <c:v>46.000000080000007</c:v>
                </c:pt>
                <c:pt idx="165">
                  <c:v>46.000000080000007</c:v>
                </c:pt>
                <c:pt idx="166">
                  <c:v>46.000000080000007</c:v>
                </c:pt>
                <c:pt idx="167">
                  <c:v>46.000000080000007</c:v>
                </c:pt>
                <c:pt idx="168">
                  <c:v>46.000000080000007</c:v>
                </c:pt>
                <c:pt idx="169">
                  <c:v>46.000000080000007</c:v>
                </c:pt>
                <c:pt idx="170">
                  <c:v>46.000000080000007</c:v>
                </c:pt>
                <c:pt idx="171">
                  <c:v>46.000000080000007</c:v>
                </c:pt>
                <c:pt idx="172">
                  <c:v>46.000000080000007</c:v>
                </c:pt>
                <c:pt idx="173">
                  <c:v>46.000000080000007</c:v>
                </c:pt>
                <c:pt idx="174">
                  <c:v>46.000000080000007</c:v>
                </c:pt>
                <c:pt idx="175">
                  <c:v>46.000000080000007</c:v>
                </c:pt>
                <c:pt idx="176">
                  <c:v>46.000000080000007</c:v>
                </c:pt>
                <c:pt idx="177">
                  <c:v>46.000000080000007</c:v>
                </c:pt>
                <c:pt idx="178">
                  <c:v>46.000000080000007</c:v>
                </c:pt>
                <c:pt idx="179">
                  <c:v>46.000000080000007</c:v>
                </c:pt>
                <c:pt idx="180">
                  <c:v>46.000000080000007</c:v>
                </c:pt>
                <c:pt idx="181">
                  <c:v>46.000000080000007</c:v>
                </c:pt>
                <c:pt idx="182">
                  <c:v>46.000000080000007</c:v>
                </c:pt>
                <c:pt idx="183">
                  <c:v>46.000000080000007</c:v>
                </c:pt>
                <c:pt idx="184">
                  <c:v>46.000000080000007</c:v>
                </c:pt>
                <c:pt idx="185">
                  <c:v>46.000000080000007</c:v>
                </c:pt>
                <c:pt idx="186">
                  <c:v>46.000000080000007</c:v>
                </c:pt>
                <c:pt idx="187">
                  <c:v>46.000000080000007</c:v>
                </c:pt>
                <c:pt idx="188">
                  <c:v>46.000000080000007</c:v>
                </c:pt>
                <c:pt idx="189">
                  <c:v>46.000000080000007</c:v>
                </c:pt>
                <c:pt idx="190">
                  <c:v>46.000000080000007</c:v>
                </c:pt>
                <c:pt idx="191">
                  <c:v>46.000000080000007</c:v>
                </c:pt>
                <c:pt idx="192">
                  <c:v>46.000000080000007</c:v>
                </c:pt>
                <c:pt idx="193">
                  <c:v>46.000000080000007</c:v>
                </c:pt>
                <c:pt idx="194">
                  <c:v>46.000000080000007</c:v>
                </c:pt>
                <c:pt idx="195">
                  <c:v>46.000000080000007</c:v>
                </c:pt>
                <c:pt idx="196">
                  <c:v>46.000000080000007</c:v>
                </c:pt>
                <c:pt idx="197">
                  <c:v>46.000000080000007</c:v>
                </c:pt>
                <c:pt idx="198">
                  <c:v>46.000000080000007</c:v>
                </c:pt>
                <c:pt idx="199">
                  <c:v>46.000000080000007</c:v>
                </c:pt>
                <c:pt idx="200">
                  <c:v>46.000000080000007</c:v>
                </c:pt>
                <c:pt idx="201">
                  <c:v>46.000000080000007</c:v>
                </c:pt>
                <c:pt idx="202">
                  <c:v>47.000000080000007</c:v>
                </c:pt>
                <c:pt idx="203">
                  <c:v>47.000000080000007</c:v>
                </c:pt>
                <c:pt idx="204">
                  <c:v>47.000000080000007</c:v>
                </c:pt>
                <c:pt idx="205">
                  <c:v>47.000000080000007</c:v>
                </c:pt>
                <c:pt idx="206">
                  <c:v>47.000000080000007</c:v>
                </c:pt>
                <c:pt idx="207">
                  <c:v>47.000000080000007</c:v>
                </c:pt>
                <c:pt idx="208">
                  <c:v>47.000000080000007</c:v>
                </c:pt>
                <c:pt idx="209">
                  <c:v>47.000000080000007</c:v>
                </c:pt>
                <c:pt idx="210">
                  <c:v>47.000000080000007</c:v>
                </c:pt>
                <c:pt idx="211">
                  <c:v>47.000000080000007</c:v>
                </c:pt>
                <c:pt idx="212">
                  <c:v>47.000000080000007</c:v>
                </c:pt>
                <c:pt idx="213">
                  <c:v>47.000000080000007</c:v>
                </c:pt>
                <c:pt idx="214">
                  <c:v>47.000000080000007</c:v>
                </c:pt>
                <c:pt idx="215">
                  <c:v>47.000000080000007</c:v>
                </c:pt>
                <c:pt idx="216">
                  <c:v>47.000000080000007</c:v>
                </c:pt>
                <c:pt idx="217">
                  <c:v>47.000000080000007</c:v>
                </c:pt>
                <c:pt idx="218">
                  <c:v>48.000000080000007</c:v>
                </c:pt>
                <c:pt idx="219">
                  <c:v>48.000000080000007</c:v>
                </c:pt>
                <c:pt idx="220">
                  <c:v>48.000000080000007</c:v>
                </c:pt>
                <c:pt idx="221">
                  <c:v>49.000000080000007</c:v>
                </c:pt>
                <c:pt idx="222">
                  <c:v>49.000000080000007</c:v>
                </c:pt>
                <c:pt idx="223">
                  <c:v>49.000000080000007</c:v>
                </c:pt>
                <c:pt idx="224">
                  <c:v>49.000000080000007</c:v>
                </c:pt>
                <c:pt idx="225">
                  <c:v>49.000000080000007</c:v>
                </c:pt>
                <c:pt idx="226">
                  <c:v>49.000000080000007</c:v>
                </c:pt>
                <c:pt idx="227">
                  <c:v>49.000000080000007</c:v>
                </c:pt>
                <c:pt idx="228">
                  <c:v>49.000000080000007</c:v>
                </c:pt>
                <c:pt idx="229">
                  <c:v>49.000000080000007</c:v>
                </c:pt>
                <c:pt idx="230">
                  <c:v>49.000000080000007</c:v>
                </c:pt>
                <c:pt idx="231">
                  <c:v>50.000000080000007</c:v>
                </c:pt>
                <c:pt idx="232">
                  <c:v>51.000000080000007</c:v>
                </c:pt>
                <c:pt idx="233">
                  <c:v>52.000000080000007</c:v>
                </c:pt>
                <c:pt idx="234">
                  <c:v>53.000000080000007</c:v>
                </c:pt>
                <c:pt idx="235">
                  <c:v>54.000000080000007</c:v>
                </c:pt>
                <c:pt idx="236">
                  <c:v>54.000000080000007</c:v>
                </c:pt>
                <c:pt idx="237">
                  <c:v>55.000000080000007</c:v>
                </c:pt>
                <c:pt idx="238">
                  <c:v>56.000000080000007</c:v>
                </c:pt>
                <c:pt idx="239">
                  <c:v>57.000000080000007</c:v>
                </c:pt>
                <c:pt idx="240">
                  <c:v>57.000000080000007</c:v>
                </c:pt>
                <c:pt idx="241">
                  <c:v>58.000000080000007</c:v>
                </c:pt>
                <c:pt idx="242">
                  <c:v>59.000000080000007</c:v>
                </c:pt>
                <c:pt idx="243">
                  <c:v>59.000000080000007</c:v>
                </c:pt>
                <c:pt idx="244">
                  <c:v>60.000000080000007</c:v>
                </c:pt>
                <c:pt idx="245">
                  <c:v>61.000000080000007</c:v>
                </c:pt>
                <c:pt idx="246">
                  <c:v>62.000000080000007</c:v>
                </c:pt>
                <c:pt idx="247">
                  <c:v>63.000000080000007</c:v>
                </c:pt>
                <c:pt idx="248">
                  <c:v>64.000000080000007</c:v>
                </c:pt>
                <c:pt idx="249">
                  <c:v>65.000000080000007</c:v>
                </c:pt>
                <c:pt idx="250">
                  <c:v>65.000000080000007</c:v>
                </c:pt>
                <c:pt idx="251">
                  <c:v>66.000000080000007</c:v>
                </c:pt>
                <c:pt idx="252">
                  <c:v>67.000000080000007</c:v>
                </c:pt>
                <c:pt idx="253">
                  <c:v>68.000000080000007</c:v>
                </c:pt>
                <c:pt idx="254">
                  <c:v>69.000000080000007</c:v>
                </c:pt>
                <c:pt idx="255">
                  <c:v>70.000000080000007</c:v>
                </c:pt>
                <c:pt idx="256">
                  <c:v>71.000000080000007</c:v>
                </c:pt>
                <c:pt idx="257">
                  <c:v>71.000000080000007</c:v>
                </c:pt>
                <c:pt idx="258">
                  <c:v>72.000000080000007</c:v>
                </c:pt>
                <c:pt idx="259">
                  <c:v>73.000000080000007</c:v>
                </c:pt>
                <c:pt idx="260">
                  <c:v>74.000000080000007</c:v>
                </c:pt>
                <c:pt idx="261">
                  <c:v>75.000000080000007</c:v>
                </c:pt>
                <c:pt idx="262">
                  <c:v>76.000000080000007</c:v>
                </c:pt>
                <c:pt idx="263">
                  <c:v>76.000000080000007</c:v>
                </c:pt>
                <c:pt idx="264">
                  <c:v>76.000000080000007</c:v>
                </c:pt>
                <c:pt idx="265">
                  <c:v>77.000000080000007</c:v>
                </c:pt>
                <c:pt idx="266">
                  <c:v>77.000000080000007</c:v>
                </c:pt>
                <c:pt idx="267">
                  <c:v>78.000000080000007</c:v>
                </c:pt>
                <c:pt idx="268">
                  <c:v>79.000000080000007</c:v>
                </c:pt>
                <c:pt idx="269">
                  <c:v>80.000000080000007</c:v>
                </c:pt>
                <c:pt idx="270">
                  <c:v>81.000000080000007</c:v>
                </c:pt>
                <c:pt idx="271">
                  <c:v>81.000000080000007</c:v>
                </c:pt>
                <c:pt idx="272">
                  <c:v>81.000000080000007</c:v>
                </c:pt>
                <c:pt idx="273">
                  <c:v>81.000000080000007</c:v>
                </c:pt>
                <c:pt idx="274">
                  <c:v>81.000000080000007</c:v>
                </c:pt>
                <c:pt idx="275">
                  <c:v>82.000000080000007</c:v>
                </c:pt>
                <c:pt idx="276">
                  <c:v>83.000000080000007</c:v>
                </c:pt>
                <c:pt idx="277">
                  <c:v>84.000000080000007</c:v>
                </c:pt>
                <c:pt idx="278">
                  <c:v>84.000000080000007</c:v>
                </c:pt>
                <c:pt idx="279">
                  <c:v>85.000000080000007</c:v>
                </c:pt>
                <c:pt idx="280">
                  <c:v>86.000000080000007</c:v>
                </c:pt>
                <c:pt idx="281">
                  <c:v>87.000000080000007</c:v>
                </c:pt>
                <c:pt idx="282">
                  <c:v>88.000000080000007</c:v>
                </c:pt>
                <c:pt idx="283">
                  <c:v>88.000000080000007</c:v>
                </c:pt>
                <c:pt idx="284">
                  <c:v>88.000000080000007</c:v>
                </c:pt>
                <c:pt idx="285">
                  <c:v>88.000000080000007</c:v>
                </c:pt>
                <c:pt idx="286">
                  <c:v>88.000000080000007</c:v>
                </c:pt>
                <c:pt idx="287">
                  <c:v>89.000000080000007</c:v>
                </c:pt>
                <c:pt idx="288">
                  <c:v>90.000000080000007</c:v>
                </c:pt>
                <c:pt idx="289">
                  <c:v>91.000000080000007</c:v>
                </c:pt>
                <c:pt idx="290">
                  <c:v>92.000000080000007</c:v>
                </c:pt>
                <c:pt idx="291">
                  <c:v>92.000000080000007</c:v>
                </c:pt>
                <c:pt idx="292">
                  <c:v>93.000000080000007</c:v>
                </c:pt>
                <c:pt idx="293">
                  <c:v>94.000000080000007</c:v>
                </c:pt>
                <c:pt idx="294">
                  <c:v>94.000000080000007</c:v>
                </c:pt>
                <c:pt idx="295">
                  <c:v>95.000000080000007</c:v>
                </c:pt>
                <c:pt idx="296">
                  <c:v>96.000000080000007</c:v>
                </c:pt>
                <c:pt idx="297">
                  <c:v>96.000000080000007</c:v>
                </c:pt>
                <c:pt idx="298">
                  <c:v>96.000000080000007</c:v>
                </c:pt>
                <c:pt idx="299">
                  <c:v>97.000000080000007</c:v>
                </c:pt>
                <c:pt idx="300">
                  <c:v>98.000000080000007</c:v>
                </c:pt>
                <c:pt idx="301">
                  <c:v>99.000000080000007</c:v>
                </c:pt>
                <c:pt idx="302">
                  <c:v>99.000000080000007</c:v>
                </c:pt>
                <c:pt idx="303">
                  <c:v>99.000000080000007</c:v>
                </c:pt>
                <c:pt idx="304">
                  <c:v>99.000000080000007</c:v>
                </c:pt>
                <c:pt idx="305">
                  <c:v>100.00000008000001</c:v>
                </c:pt>
                <c:pt idx="306">
                  <c:v>101.00000008000001</c:v>
                </c:pt>
                <c:pt idx="307">
                  <c:v>102.00000008000001</c:v>
                </c:pt>
                <c:pt idx="308">
                  <c:v>103.00000008000001</c:v>
                </c:pt>
                <c:pt idx="309">
                  <c:v>104.00000008000001</c:v>
                </c:pt>
                <c:pt idx="310">
                  <c:v>105.00000008000001</c:v>
                </c:pt>
                <c:pt idx="311">
                  <c:v>106.00000008000001</c:v>
                </c:pt>
                <c:pt idx="312">
                  <c:v>107.00000008000001</c:v>
                </c:pt>
                <c:pt idx="313">
                  <c:v>108.00000008000001</c:v>
                </c:pt>
                <c:pt idx="314">
                  <c:v>109.00000008000001</c:v>
                </c:pt>
                <c:pt idx="315">
                  <c:v>110.00000008000001</c:v>
                </c:pt>
                <c:pt idx="316">
                  <c:v>110.00000008000001</c:v>
                </c:pt>
                <c:pt idx="317">
                  <c:v>111.00000008000001</c:v>
                </c:pt>
                <c:pt idx="318">
                  <c:v>112.00000008000001</c:v>
                </c:pt>
                <c:pt idx="319">
                  <c:v>113.00000008000001</c:v>
                </c:pt>
                <c:pt idx="320">
                  <c:v>114.00000008000001</c:v>
                </c:pt>
                <c:pt idx="321">
                  <c:v>115.00000008000001</c:v>
                </c:pt>
                <c:pt idx="322">
                  <c:v>116.00000008000001</c:v>
                </c:pt>
                <c:pt idx="323">
                  <c:v>117.00000008000001</c:v>
                </c:pt>
                <c:pt idx="324">
                  <c:v>117.00000008000001</c:v>
                </c:pt>
                <c:pt idx="325">
                  <c:v>117.00000008000001</c:v>
                </c:pt>
                <c:pt idx="326">
                  <c:v>118.00000008000001</c:v>
                </c:pt>
                <c:pt idx="327">
                  <c:v>119.00000008000001</c:v>
                </c:pt>
                <c:pt idx="328">
                  <c:v>120.00000008000001</c:v>
                </c:pt>
                <c:pt idx="329">
                  <c:v>120.00000008000001</c:v>
                </c:pt>
                <c:pt idx="330">
                  <c:v>121.00000008000001</c:v>
                </c:pt>
                <c:pt idx="331">
                  <c:v>121.00000008000001</c:v>
                </c:pt>
                <c:pt idx="332">
                  <c:v>122.00000008000001</c:v>
                </c:pt>
                <c:pt idx="333">
                  <c:v>123.00000008000001</c:v>
                </c:pt>
                <c:pt idx="334">
                  <c:v>124.00000008000001</c:v>
                </c:pt>
                <c:pt idx="335">
                  <c:v>125.00000008000001</c:v>
                </c:pt>
                <c:pt idx="336">
                  <c:v>126.00000008000001</c:v>
                </c:pt>
                <c:pt idx="337">
                  <c:v>126.00000008000001</c:v>
                </c:pt>
                <c:pt idx="338">
                  <c:v>126.00000008000001</c:v>
                </c:pt>
                <c:pt idx="339">
                  <c:v>126.00000008000001</c:v>
                </c:pt>
              </c:numCache>
            </c:numRef>
          </c:val>
          <c:smooth val="0"/>
          <c:extLst>
            <c:ext xmlns:c16="http://schemas.microsoft.com/office/drawing/2014/chart" uri="{C3380CC4-5D6E-409C-BE32-E72D297353CC}">
              <c16:uniqueId val="{00000001-E375-4AF9-BB6A-A3C2377400CB}"/>
            </c:ext>
          </c:extLst>
        </c:ser>
        <c:ser>
          <c:idx val="2"/>
          <c:order val="2"/>
          <c:tx>
            <c:strRef>
              <c:f>Participation!$N$1</c:f>
              <c:strCache>
                <c:ptCount val="1"/>
                <c:pt idx="0">
                  <c:v>PKN</c:v>
                </c:pt>
              </c:strCache>
            </c:strRef>
          </c:tx>
          <c:spPr>
            <a:ln w="28575" cap="rnd">
              <a:solidFill>
                <a:schemeClr val="accent3"/>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Participation!$N$2:$N$341</c:f>
              <c:numCache>
                <c:formatCode>0</c:formatCode>
                <c:ptCount val="340"/>
                <c:pt idx="0">
                  <c:v>0.83333333333333337</c:v>
                </c:pt>
                <c:pt idx="1">
                  <c:v>1.6666666666666667</c:v>
                </c:pt>
                <c:pt idx="2">
                  <c:v>2.5</c:v>
                </c:pt>
                <c:pt idx="3">
                  <c:v>3.3333333333333335</c:v>
                </c:pt>
                <c:pt idx="4">
                  <c:v>4.166666666666667</c:v>
                </c:pt>
                <c:pt idx="5">
                  <c:v>5</c:v>
                </c:pt>
                <c:pt idx="6">
                  <c:v>5.833333333333333</c:v>
                </c:pt>
                <c:pt idx="7">
                  <c:v>6.6666666666666661</c:v>
                </c:pt>
                <c:pt idx="8">
                  <c:v>7.4999999999999991</c:v>
                </c:pt>
                <c:pt idx="9">
                  <c:v>8.3333333333333321</c:v>
                </c:pt>
                <c:pt idx="10">
                  <c:v>9.1666666666666661</c:v>
                </c:pt>
                <c:pt idx="11">
                  <c:v>10</c:v>
                </c:pt>
                <c:pt idx="12">
                  <c:v>10.833333333333334</c:v>
                </c:pt>
                <c:pt idx="13">
                  <c:v>11.666666666666668</c:v>
                </c:pt>
                <c:pt idx="14">
                  <c:v>12.500000000000002</c:v>
                </c:pt>
                <c:pt idx="15">
                  <c:v>13.333333333333336</c:v>
                </c:pt>
                <c:pt idx="16">
                  <c:v>14.16666666666667</c:v>
                </c:pt>
                <c:pt idx="17">
                  <c:v>15.000000000000004</c:v>
                </c:pt>
                <c:pt idx="18">
                  <c:v>15.833333333333337</c:v>
                </c:pt>
                <c:pt idx="19">
                  <c:v>16.666666666666671</c:v>
                </c:pt>
                <c:pt idx="20">
                  <c:v>17.500000000000004</c:v>
                </c:pt>
                <c:pt idx="21">
                  <c:v>18.333333333333336</c:v>
                </c:pt>
                <c:pt idx="22">
                  <c:v>19.166666666666668</c:v>
                </c:pt>
                <c:pt idx="23">
                  <c:v>20</c:v>
                </c:pt>
                <c:pt idx="24">
                  <c:v>20.833333333333332</c:v>
                </c:pt>
                <c:pt idx="25">
                  <c:v>21.666666666666664</c:v>
                </c:pt>
                <c:pt idx="26">
                  <c:v>22.499999999999996</c:v>
                </c:pt>
                <c:pt idx="27">
                  <c:v>23.333333333333329</c:v>
                </c:pt>
                <c:pt idx="28">
                  <c:v>24.166666666666661</c:v>
                </c:pt>
                <c:pt idx="29">
                  <c:v>24.999999999999993</c:v>
                </c:pt>
                <c:pt idx="30">
                  <c:v>25.833333333333325</c:v>
                </c:pt>
                <c:pt idx="31">
                  <c:v>26.666666666666657</c:v>
                </c:pt>
                <c:pt idx="32">
                  <c:v>27.499999999999989</c:v>
                </c:pt>
                <c:pt idx="33">
                  <c:v>28.333333333333321</c:v>
                </c:pt>
                <c:pt idx="34">
                  <c:v>29.166666666666654</c:v>
                </c:pt>
                <c:pt idx="35">
                  <c:v>29.999999999999986</c:v>
                </c:pt>
                <c:pt idx="36">
                  <c:v>30.999999999999986</c:v>
                </c:pt>
                <c:pt idx="37">
                  <c:v>31.999999999999986</c:v>
                </c:pt>
                <c:pt idx="38">
                  <c:v>32.999999999999986</c:v>
                </c:pt>
                <c:pt idx="39">
                  <c:v>33.999999999999986</c:v>
                </c:pt>
                <c:pt idx="40">
                  <c:v>34.999999999999986</c:v>
                </c:pt>
                <c:pt idx="41">
                  <c:v>35.999999999999986</c:v>
                </c:pt>
                <c:pt idx="42">
                  <c:v>36.999999999999986</c:v>
                </c:pt>
                <c:pt idx="43">
                  <c:v>36.999999999999986</c:v>
                </c:pt>
                <c:pt idx="44">
                  <c:v>36.999999999999986</c:v>
                </c:pt>
                <c:pt idx="45">
                  <c:v>37.999999999999986</c:v>
                </c:pt>
                <c:pt idx="46">
                  <c:v>38.999999999999986</c:v>
                </c:pt>
                <c:pt idx="47">
                  <c:v>38.999999999999986</c:v>
                </c:pt>
                <c:pt idx="48">
                  <c:v>39.999999999999986</c:v>
                </c:pt>
                <c:pt idx="49">
                  <c:v>39.999999999999986</c:v>
                </c:pt>
                <c:pt idx="50">
                  <c:v>39.999999999999986</c:v>
                </c:pt>
                <c:pt idx="51">
                  <c:v>40.999999999999986</c:v>
                </c:pt>
                <c:pt idx="52">
                  <c:v>41.999999999999986</c:v>
                </c:pt>
                <c:pt idx="53">
                  <c:v>42.999999999999986</c:v>
                </c:pt>
                <c:pt idx="54">
                  <c:v>43.999999999999986</c:v>
                </c:pt>
                <c:pt idx="55">
                  <c:v>44.999999999999986</c:v>
                </c:pt>
                <c:pt idx="56">
                  <c:v>44.999999999999986</c:v>
                </c:pt>
                <c:pt idx="57">
                  <c:v>44.999999999999986</c:v>
                </c:pt>
                <c:pt idx="58">
                  <c:v>44.999999999999986</c:v>
                </c:pt>
                <c:pt idx="59">
                  <c:v>44.999999999999986</c:v>
                </c:pt>
                <c:pt idx="60">
                  <c:v>45.999999999999986</c:v>
                </c:pt>
                <c:pt idx="61">
                  <c:v>46.999999999999986</c:v>
                </c:pt>
                <c:pt idx="62">
                  <c:v>47.999999999999986</c:v>
                </c:pt>
                <c:pt idx="63">
                  <c:v>48.999999999999986</c:v>
                </c:pt>
                <c:pt idx="64">
                  <c:v>49.999999999999986</c:v>
                </c:pt>
                <c:pt idx="65">
                  <c:v>50.999999999999986</c:v>
                </c:pt>
                <c:pt idx="66">
                  <c:v>51.999999999999986</c:v>
                </c:pt>
                <c:pt idx="67">
                  <c:v>52.999999999999986</c:v>
                </c:pt>
                <c:pt idx="68">
                  <c:v>53.999999999999986</c:v>
                </c:pt>
                <c:pt idx="69">
                  <c:v>53.999999999999986</c:v>
                </c:pt>
                <c:pt idx="70">
                  <c:v>54.999999999999986</c:v>
                </c:pt>
                <c:pt idx="71">
                  <c:v>55.999999999999986</c:v>
                </c:pt>
                <c:pt idx="72">
                  <c:v>55.999999999999986</c:v>
                </c:pt>
                <c:pt idx="73">
                  <c:v>56.999999999999986</c:v>
                </c:pt>
                <c:pt idx="74">
                  <c:v>57.999999999999986</c:v>
                </c:pt>
                <c:pt idx="75">
                  <c:v>57.999999999999986</c:v>
                </c:pt>
                <c:pt idx="76">
                  <c:v>58.999999999999986</c:v>
                </c:pt>
                <c:pt idx="77">
                  <c:v>58.999999999999986</c:v>
                </c:pt>
                <c:pt idx="78">
                  <c:v>59.999999999999986</c:v>
                </c:pt>
                <c:pt idx="79">
                  <c:v>60.999999999999986</c:v>
                </c:pt>
                <c:pt idx="80">
                  <c:v>61.999999999999986</c:v>
                </c:pt>
                <c:pt idx="81">
                  <c:v>62.999999999999986</c:v>
                </c:pt>
                <c:pt idx="82">
                  <c:v>62.999999999999986</c:v>
                </c:pt>
                <c:pt idx="83">
                  <c:v>63.999999999999986</c:v>
                </c:pt>
                <c:pt idx="84">
                  <c:v>64.999999999999986</c:v>
                </c:pt>
                <c:pt idx="85">
                  <c:v>65.999999999999986</c:v>
                </c:pt>
                <c:pt idx="86">
                  <c:v>66.999999999999986</c:v>
                </c:pt>
                <c:pt idx="87">
                  <c:v>67.999999999999986</c:v>
                </c:pt>
                <c:pt idx="88">
                  <c:v>67.999999999999986</c:v>
                </c:pt>
                <c:pt idx="89">
                  <c:v>67.999999999999986</c:v>
                </c:pt>
                <c:pt idx="90">
                  <c:v>67.999999999999986</c:v>
                </c:pt>
                <c:pt idx="91">
                  <c:v>68.999999999999986</c:v>
                </c:pt>
                <c:pt idx="92">
                  <c:v>69.999999999999986</c:v>
                </c:pt>
                <c:pt idx="93">
                  <c:v>69.999999999999986</c:v>
                </c:pt>
                <c:pt idx="94">
                  <c:v>70.999999999999986</c:v>
                </c:pt>
                <c:pt idx="95">
                  <c:v>71.999999999999986</c:v>
                </c:pt>
                <c:pt idx="96">
                  <c:v>72.999999999999986</c:v>
                </c:pt>
                <c:pt idx="97">
                  <c:v>73.999999999999986</c:v>
                </c:pt>
                <c:pt idx="98">
                  <c:v>74.999999999999986</c:v>
                </c:pt>
                <c:pt idx="99">
                  <c:v>75.999999999999986</c:v>
                </c:pt>
                <c:pt idx="100">
                  <c:v>76.999999999999986</c:v>
                </c:pt>
                <c:pt idx="101">
                  <c:v>77.999999999999986</c:v>
                </c:pt>
                <c:pt idx="102">
                  <c:v>78.999999999999986</c:v>
                </c:pt>
                <c:pt idx="103">
                  <c:v>79.999999999999986</c:v>
                </c:pt>
                <c:pt idx="104">
                  <c:v>79.999999999999986</c:v>
                </c:pt>
                <c:pt idx="105">
                  <c:v>79.999999999999986</c:v>
                </c:pt>
                <c:pt idx="106">
                  <c:v>80.999999999999986</c:v>
                </c:pt>
                <c:pt idx="107">
                  <c:v>80.999999999999986</c:v>
                </c:pt>
                <c:pt idx="108">
                  <c:v>80.999999999999986</c:v>
                </c:pt>
                <c:pt idx="109">
                  <c:v>80.999999999999986</c:v>
                </c:pt>
                <c:pt idx="110">
                  <c:v>81.999999999999986</c:v>
                </c:pt>
                <c:pt idx="111">
                  <c:v>82.999999999999986</c:v>
                </c:pt>
                <c:pt idx="112">
                  <c:v>83.999999999999986</c:v>
                </c:pt>
                <c:pt idx="113">
                  <c:v>84.999999999999986</c:v>
                </c:pt>
                <c:pt idx="114">
                  <c:v>84.999999999999986</c:v>
                </c:pt>
                <c:pt idx="115">
                  <c:v>85.999999999999986</c:v>
                </c:pt>
                <c:pt idx="116">
                  <c:v>86.999999999999986</c:v>
                </c:pt>
                <c:pt idx="117">
                  <c:v>87.999999999999986</c:v>
                </c:pt>
                <c:pt idx="118">
                  <c:v>88.999999999999986</c:v>
                </c:pt>
                <c:pt idx="119">
                  <c:v>89.999999999999986</c:v>
                </c:pt>
                <c:pt idx="120">
                  <c:v>90.999999999999986</c:v>
                </c:pt>
                <c:pt idx="121">
                  <c:v>90.999999999999986</c:v>
                </c:pt>
                <c:pt idx="122">
                  <c:v>90.999999999999986</c:v>
                </c:pt>
                <c:pt idx="123">
                  <c:v>91.999999999999986</c:v>
                </c:pt>
                <c:pt idx="124">
                  <c:v>92.999999999999986</c:v>
                </c:pt>
                <c:pt idx="125">
                  <c:v>93.999999999999986</c:v>
                </c:pt>
                <c:pt idx="126">
                  <c:v>93.999999999999986</c:v>
                </c:pt>
                <c:pt idx="127">
                  <c:v>94.999999999999986</c:v>
                </c:pt>
                <c:pt idx="128">
                  <c:v>95.999999999999986</c:v>
                </c:pt>
                <c:pt idx="129">
                  <c:v>96.999999999999986</c:v>
                </c:pt>
                <c:pt idx="130">
                  <c:v>97.999999999999986</c:v>
                </c:pt>
                <c:pt idx="131">
                  <c:v>98.999999999999986</c:v>
                </c:pt>
                <c:pt idx="132">
                  <c:v>99.999999999999986</c:v>
                </c:pt>
                <c:pt idx="133">
                  <c:v>99.999999999999986</c:v>
                </c:pt>
                <c:pt idx="134">
                  <c:v>100.99999999999999</c:v>
                </c:pt>
                <c:pt idx="135">
                  <c:v>101.99999999999999</c:v>
                </c:pt>
                <c:pt idx="136">
                  <c:v>101.99999999999999</c:v>
                </c:pt>
                <c:pt idx="137">
                  <c:v>102.99999999999999</c:v>
                </c:pt>
                <c:pt idx="138">
                  <c:v>103.99999999999999</c:v>
                </c:pt>
                <c:pt idx="139">
                  <c:v>103.99999999999999</c:v>
                </c:pt>
                <c:pt idx="140">
                  <c:v>104.99999999999999</c:v>
                </c:pt>
                <c:pt idx="141">
                  <c:v>105.99999999999999</c:v>
                </c:pt>
                <c:pt idx="142">
                  <c:v>106.99999999999999</c:v>
                </c:pt>
                <c:pt idx="143">
                  <c:v>107.99999999999999</c:v>
                </c:pt>
                <c:pt idx="144">
                  <c:v>107.99999999999999</c:v>
                </c:pt>
                <c:pt idx="145">
                  <c:v>107.99999999999999</c:v>
                </c:pt>
                <c:pt idx="146">
                  <c:v>108.99999999999999</c:v>
                </c:pt>
                <c:pt idx="147">
                  <c:v>109.99999999999999</c:v>
                </c:pt>
                <c:pt idx="148">
                  <c:v>110.99999999999999</c:v>
                </c:pt>
                <c:pt idx="149">
                  <c:v>111.99999999999999</c:v>
                </c:pt>
                <c:pt idx="150">
                  <c:v>112.99999999999999</c:v>
                </c:pt>
                <c:pt idx="151">
                  <c:v>113.99999999999999</c:v>
                </c:pt>
                <c:pt idx="152">
                  <c:v>114.99999999999999</c:v>
                </c:pt>
                <c:pt idx="153">
                  <c:v>115.99999999999999</c:v>
                </c:pt>
                <c:pt idx="154">
                  <c:v>116.99999999999999</c:v>
                </c:pt>
                <c:pt idx="155">
                  <c:v>117.99999999999999</c:v>
                </c:pt>
                <c:pt idx="156">
                  <c:v>118.99999999999999</c:v>
                </c:pt>
                <c:pt idx="157">
                  <c:v>119.99999999999999</c:v>
                </c:pt>
                <c:pt idx="158">
                  <c:v>119.99999999999999</c:v>
                </c:pt>
                <c:pt idx="159">
                  <c:v>120.99999999999999</c:v>
                </c:pt>
                <c:pt idx="160">
                  <c:v>121.99999999999999</c:v>
                </c:pt>
                <c:pt idx="161">
                  <c:v>122.99999999999999</c:v>
                </c:pt>
                <c:pt idx="162">
                  <c:v>123.99999999999999</c:v>
                </c:pt>
                <c:pt idx="163">
                  <c:v>124.99999999999999</c:v>
                </c:pt>
                <c:pt idx="164">
                  <c:v>125.99999999999999</c:v>
                </c:pt>
                <c:pt idx="165">
                  <c:v>125.99999999999999</c:v>
                </c:pt>
                <c:pt idx="166">
                  <c:v>125.99999999999999</c:v>
                </c:pt>
                <c:pt idx="167">
                  <c:v>125.99999999999999</c:v>
                </c:pt>
                <c:pt idx="168">
                  <c:v>126.99999999999999</c:v>
                </c:pt>
                <c:pt idx="169">
                  <c:v>127.99999999999999</c:v>
                </c:pt>
                <c:pt idx="170">
                  <c:v>129</c:v>
                </c:pt>
                <c:pt idx="171">
                  <c:v>130</c:v>
                </c:pt>
                <c:pt idx="172">
                  <c:v>131</c:v>
                </c:pt>
                <c:pt idx="173">
                  <c:v>132</c:v>
                </c:pt>
                <c:pt idx="174">
                  <c:v>133</c:v>
                </c:pt>
                <c:pt idx="175">
                  <c:v>134</c:v>
                </c:pt>
                <c:pt idx="176">
                  <c:v>134</c:v>
                </c:pt>
                <c:pt idx="177">
                  <c:v>135</c:v>
                </c:pt>
                <c:pt idx="178">
                  <c:v>136</c:v>
                </c:pt>
                <c:pt idx="179">
                  <c:v>137</c:v>
                </c:pt>
                <c:pt idx="180">
                  <c:v>138</c:v>
                </c:pt>
                <c:pt idx="181">
                  <c:v>139</c:v>
                </c:pt>
                <c:pt idx="182">
                  <c:v>140</c:v>
                </c:pt>
                <c:pt idx="183">
                  <c:v>141</c:v>
                </c:pt>
                <c:pt idx="184">
                  <c:v>141</c:v>
                </c:pt>
                <c:pt idx="185">
                  <c:v>142</c:v>
                </c:pt>
                <c:pt idx="186">
                  <c:v>143</c:v>
                </c:pt>
                <c:pt idx="187">
                  <c:v>144</c:v>
                </c:pt>
                <c:pt idx="188">
                  <c:v>145</c:v>
                </c:pt>
                <c:pt idx="189">
                  <c:v>145</c:v>
                </c:pt>
                <c:pt idx="190">
                  <c:v>146</c:v>
                </c:pt>
                <c:pt idx="191">
                  <c:v>147</c:v>
                </c:pt>
                <c:pt idx="192">
                  <c:v>148</c:v>
                </c:pt>
                <c:pt idx="193">
                  <c:v>149</c:v>
                </c:pt>
                <c:pt idx="194">
                  <c:v>150</c:v>
                </c:pt>
                <c:pt idx="195">
                  <c:v>151</c:v>
                </c:pt>
                <c:pt idx="196">
                  <c:v>152</c:v>
                </c:pt>
                <c:pt idx="197">
                  <c:v>153</c:v>
                </c:pt>
                <c:pt idx="198">
                  <c:v>153</c:v>
                </c:pt>
                <c:pt idx="199">
                  <c:v>154</c:v>
                </c:pt>
                <c:pt idx="200">
                  <c:v>154</c:v>
                </c:pt>
                <c:pt idx="201">
                  <c:v>155</c:v>
                </c:pt>
                <c:pt idx="202">
                  <c:v>156</c:v>
                </c:pt>
                <c:pt idx="203">
                  <c:v>157</c:v>
                </c:pt>
                <c:pt idx="204">
                  <c:v>158</c:v>
                </c:pt>
                <c:pt idx="205">
                  <c:v>159</c:v>
                </c:pt>
                <c:pt idx="206">
                  <c:v>160</c:v>
                </c:pt>
                <c:pt idx="207">
                  <c:v>161</c:v>
                </c:pt>
                <c:pt idx="208">
                  <c:v>162</c:v>
                </c:pt>
                <c:pt idx="209">
                  <c:v>163</c:v>
                </c:pt>
                <c:pt idx="210">
                  <c:v>164</c:v>
                </c:pt>
                <c:pt idx="211">
                  <c:v>165</c:v>
                </c:pt>
                <c:pt idx="212">
                  <c:v>166</c:v>
                </c:pt>
                <c:pt idx="213">
                  <c:v>167</c:v>
                </c:pt>
                <c:pt idx="214">
                  <c:v>168</c:v>
                </c:pt>
                <c:pt idx="215">
                  <c:v>169</c:v>
                </c:pt>
                <c:pt idx="216">
                  <c:v>170</c:v>
                </c:pt>
                <c:pt idx="217">
                  <c:v>170</c:v>
                </c:pt>
                <c:pt idx="218">
                  <c:v>171</c:v>
                </c:pt>
                <c:pt idx="219">
                  <c:v>172</c:v>
                </c:pt>
                <c:pt idx="220">
                  <c:v>173</c:v>
                </c:pt>
                <c:pt idx="221">
                  <c:v>174</c:v>
                </c:pt>
                <c:pt idx="222">
                  <c:v>174</c:v>
                </c:pt>
                <c:pt idx="223">
                  <c:v>175</c:v>
                </c:pt>
                <c:pt idx="224">
                  <c:v>176</c:v>
                </c:pt>
                <c:pt idx="225">
                  <c:v>177</c:v>
                </c:pt>
                <c:pt idx="226">
                  <c:v>178</c:v>
                </c:pt>
                <c:pt idx="227">
                  <c:v>179</c:v>
                </c:pt>
                <c:pt idx="228">
                  <c:v>180</c:v>
                </c:pt>
                <c:pt idx="229">
                  <c:v>180</c:v>
                </c:pt>
                <c:pt idx="230">
                  <c:v>181</c:v>
                </c:pt>
                <c:pt idx="231">
                  <c:v>181</c:v>
                </c:pt>
                <c:pt idx="232">
                  <c:v>182</c:v>
                </c:pt>
                <c:pt idx="233">
                  <c:v>182</c:v>
                </c:pt>
                <c:pt idx="234">
                  <c:v>183</c:v>
                </c:pt>
                <c:pt idx="235">
                  <c:v>184</c:v>
                </c:pt>
                <c:pt idx="236">
                  <c:v>185</c:v>
                </c:pt>
                <c:pt idx="237">
                  <c:v>186</c:v>
                </c:pt>
                <c:pt idx="238">
                  <c:v>187</c:v>
                </c:pt>
                <c:pt idx="239">
                  <c:v>187</c:v>
                </c:pt>
                <c:pt idx="240">
                  <c:v>187</c:v>
                </c:pt>
                <c:pt idx="241">
                  <c:v>187</c:v>
                </c:pt>
                <c:pt idx="242">
                  <c:v>188</c:v>
                </c:pt>
                <c:pt idx="243">
                  <c:v>189</c:v>
                </c:pt>
                <c:pt idx="244">
                  <c:v>190</c:v>
                </c:pt>
                <c:pt idx="245">
                  <c:v>191</c:v>
                </c:pt>
                <c:pt idx="246">
                  <c:v>191</c:v>
                </c:pt>
                <c:pt idx="247">
                  <c:v>192</c:v>
                </c:pt>
                <c:pt idx="248">
                  <c:v>193</c:v>
                </c:pt>
                <c:pt idx="249">
                  <c:v>194</c:v>
                </c:pt>
                <c:pt idx="250">
                  <c:v>195</c:v>
                </c:pt>
                <c:pt idx="251">
                  <c:v>196</c:v>
                </c:pt>
                <c:pt idx="252">
                  <c:v>197</c:v>
                </c:pt>
                <c:pt idx="253">
                  <c:v>198</c:v>
                </c:pt>
                <c:pt idx="254">
                  <c:v>199</c:v>
                </c:pt>
                <c:pt idx="255">
                  <c:v>199</c:v>
                </c:pt>
                <c:pt idx="256">
                  <c:v>200</c:v>
                </c:pt>
                <c:pt idx="257">
                  <c:v>201</c:v>
                </c:pt>
                <c:pt idx="258">
                  <c:v>201</c:v>
                </c:pt>
                <c:pt idx="259">
                  <c:v>201</c:v>
                </c:pt>
                <c:pt idx="260">
                  <c:v>202</c:v>
                </c:pt>
                <c:pt idx="261">
                  <c:v>203</c:v>
                </c:pt>
                <c:pt idx="262">
                  <c:v>204</c:v>
                </c:pt>
                <c:pt idx="263">
                  <c:v>205</c:v>
                </c:pt>
                <c:pt idx="264">
                  <c:v>205</c:v>
                </c:pt>
                <c:pt idx="265">
                  <c:v>206</c:v>
                </c:pt>
                <c:pt idx="266">
                  <c:v>206</c:v>
                </c:pt>
                <c:pt idx="267">
                  <c:v>206</c:v>
                </c:pt>
                <c:pt idx="268">
                  <c:v>207</c:v>
                </c:pt>
                <c:pt idx="269">
                  <c:v>208</c:v>
                </c:pt>
                <c:pt idx="270">
                  <c:v>209</c:v>
                </c:pt>
                <c:pt idx="271">
                  <c:v>210</c:v>
                </c:pt>
                <c:pt idx="272">
                  <c:v>211</c:v>
                </c:pt>
                <c:pt idx="273">
                  <c:v>211</c:v>
                </c:pt>
                <c:pt idx="274">
                  <c:v>212</c:v>
                </c:pt>
                <c:pt idx="275">
                  <c:v>213</c:v>
                </c:pt>
                <c:pt idx="276">
                  <c:v>214</c:v>
                </c:pt>
                <c:pt idx="277">
                  <c:v>214</c:v>
                </c:pt>
                <c:pt idx="278">
                  <c:v>215</c:v>
                </c:pt>
                <c:pt idx="279">
                  <c:v>215</c:v>
                </c:pt>
                <c:pt idx="280">
                  <c:v>216</c:v>
                </c:pt>
                <c:pt idx="281">
                  <c:v>217</c:v>
                </c:pt>
                <c:pt idx="282">
                  <c:v>217</c:v>
                </c:pt>
                <c:pt idx="283">
                  <c:v>218</c:v>
                </c:pt>
                <c:pt idx="284">
                  <c:v>219</c:v>
                </c:pt>
                <c:pt idx="285">
                  <c:v>220</c:v>
                </c:pt>
                <c:pt idx="286">
                  <c:v>220</c:v>
                </c:pt>
                <c:pt idx="287">
                  <c:v>221</c:v>
                </c:pt>
                <c:pt idx="288">
                  <c:v>222</c:v>
                </c:pt>
                <c:pt idx="289">
                  <c:v>223</c:v>
                </c:pt>
                <c:pt idx="290">
                  <c:v>224</c:v>
                </c:pt>
                <c:pt idx="291">
                  <c:v>224</c:v>
                </c:pt>
                <c:pt idx="292">
                  <c:v>225</c:v>
                </c:pt>
                <c:pt idx="293">
                  <c:v>226</c:v>
                </c:pt>
                <c:pt idx="294">
                  <c:v>227</c:v>
                </c:pt>
                <c:pt idx="295">
                  <c:v>227</c:v>
                </c:pt>
                <c:pt idx="296">
                  <c:v>228</c:v>
                </c:pt>
                <c:pt idx="297">
                  <c:v>229</c:v>
                </c:pt>
                <c:pt idx="298">
                  <c:v>230</c:v>
                </c:pt>
                <c:pt idx="299">
                  <c:v>230</c:v>
                </c:pt>
                <c:pt idx="300">
                  <c:v>231</c:v>
                </c:pt>
                <c:pt idx="301">
                  <c:v>232</c:v>
                </c:pt>
                <c:pt idx="302">
                  <c:v>232</c:v>
                </c:pt>
                <c:pt idx="303">
                  <c:v>232</c:v>
                </c:pt>
                <c:pt idx="304">
                  <c:v>233</c:v>
                </c:pt>
                <c:pt idx="305">
                  <c:v>234</c:v>
                </c:pt>
                <c:pt idx="306">
                  <c:v>235</c:v>
                </c:pt>
                <c:pt idx="307">
                  <c:v>235</c:v>
                </c:pt>
                <c:pt idx="308">
                  <c:v>236</c:v>
                </c:pt>
                <c:pt idx="309">
                  <c:v>237</c:v>
                </c:pt>
                <c:pt idx="310">
                  <c:v>237</c:v>
                </c:pt>
                <c:pt idx="311">
                  <c:v>237</c:v>
                </c:pt>
                <c:pt idx="312">
                  <c:v>237</c:v>
                </c:pt>
                <c:pt idx="313">
                  <c:v>238</c:v>
                </c:pt>
                <c:pt idx="314">
                  <c:v>239</c:v>
                </c:pt>
                <c:pt idx="315">
                  <c:v>240</c:v>
                </c:pt>
                <c:pt idx="316">
                  <c:v>240</c:v>
                </c:pt>
                <c:pt idx="317">
                  <c:v>240</c:v>
                </c:pt>
                <c:pt idx="318">
                  <c:v>240</c:v>
                </c:pt>
                <c:pt idx="319">
                  <c:v>241</c:v>
                </c:pt>
                <c:pt idx="320">
                  <c:v>242</c:v>
                </c:pt>
                <c:pt idx="321">
                  <c:v>243</c:v>
                </c:pt>
                <c:pt idx="322">
                  <c:v>243</c:v>
                </c:pt>
                <c:pt idx="323">
                  <c:v>244</c:v>
                </c:pt>
                <c:pt idx="324">
                  <c:v>245</c:v>
                </c:pt>
                <c:pt idx="325">
                  <c:v>246</c:v>
                </c:pt>
                <c:pt idx="326">
                  <c:v>246</c:v>
                </c:pt>
                <c:pt idx="327">
                  <c:v>247</c:v>
                </c:pt>
                <c:pt idx="328">
                  <c:v>248</c:v>
                </c:pt>
                <c:pt idx="329">
                  <c:v>249</c:v>
                </c:pt>
                <c:pt idx="330">
                  <c:v>250</c:v>
                </c:pt>
                <c:pt idx="331">
                  <c:v>251</c:v>
                </c:pt>
                <c:pt idx="332">
                  <c:v>251</c:v>
                </c:pt>
                <c:pt idx="333">
                  <c:v>251</c:v>
                </c:pt>
                <c:pt idx="334">
                  <c:v>251</c:v>
                </c:pt>
                <c:pt idx="335">
                  <c:v>251</c:v>
                </c:pt>
                <c:pt idx="336">
                  <c:v>251</c:v>
                </c:pt>
                <c:pt idx="337">
                  <c:v>251</c:v>
                </c:pt>
                <c:pt idx="338">
                  <c:v>252</c:v>
                </c:pt>
                <c:pt idx="339">
                  <c:v>252</c:v>
                </c:pt>
              </c:numCache>
            </c:numRef>
          </c:val>
          <c:smooth val="0"/>
          <c:extLst>
            <c:ext xmlns:c16="http://schemas.microsoft.com/office/drawing/2014/chart" uri="{C3380CC4-5D6E-409C-BE32-E72D297353CC}">
              <c16:uniqueId val="{00000002-E375-4AF9-BB6A-A3C2377400CB}"/>
            </c:ext>
          </c:extLst>
        </c:ser>
        <c:ser>
          <c:idx val="3"/>
          <c:order val="3"/>
          <c:tx>
            <c:strRef>
              <c:f>Participation!$O$1</c:f>
              <c:strCache>
                <c:ptCount val="1"/>
                <c:pt idx="0">
                  <c:v>YMI</c:v>
                </c:pt>
              </c:strCache>
            </c:strRef>
          </c:tx>
          <c:spPr>
            <a:ln w="28575" cap="rnd">
              <a:solidFill>
                <a:schemeClr val="accent4"/>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Participation!$O$2:$O$343</c:f>
              <c:numCache>
                <c:formatCode>0</c:formatCode>
                <c:ptCount val="342"/>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31</c:v>
                </c:pt>
                <c:pt idx="41">
                  <c:v>32</c:v>
                </c:pt>
                <c:pt idx="42">
                  <c:v>32</c:v>
                </c:pt>
                <c:pt idx="43">
                  <c:v>33</c:v>
                </c:pt>
                <c:pt idx="44">
                  <c:v>34</c:v>
                </c:pt>
                <c:pt idx="45">
                  <c:v>35</c:v>
                </c:pt>
                <c:pt idx="46">
                  <c:v>36</c:v>
                </c:pt>
                <c:pt idx="47">
                  <c:v>37</c:v>
                </c:pt>
                <c:pt idx="48">
                  <c:v>38</c:v>
                </c:pt>
                <c:pt idx="49">
                  <c:v>39</c:v>
                </c:pt>
                <c:pt idx="50">
                  <c:v>39</c:v>
                </c:pt>
                <c:pt idx="51">
                  <c:v>40</c:v>
                </c:pt>
                <c:pt idx="52">
                  <c:v>41</c:v>
                </c:pt>
                <c:pt idx="53">
                  <c:v>42</c:v>
                </c:pt>
                <c:pt idx="54">
                  <c:v>43</c:v>
                </c:pt>
                <c:pt idx="55">
                  <c:v>44</c:v>
                </c:pt>
                <c:pt idx="56">
                  <c:v>45</c:v>
                </c:pt>
                <c:pt idx="57">
                  <c:v>46</c:v>
                </c:pt>
                <c:pt idx="58">
                  <c:v>47</c:v>
                </c:pt>
                <c:pt idx="59">
                  <c:v>48</c:v>
                </c:pt>
                <c:pt idx="60">
                  <c:v>48</c:v>
                </c:pt>
                <c:pt idx="61">
                  <c:v>49</c:v>
                </c:pt>
                <c:pt idx="62">
                  <c:v>50</c:v>
                </c:pt>
                <c:pt idx="63">
                  <c:v>51</c:v>
                </c:pt>
                <c:pt idx="64">
                  <c:v>52</c:v>
                </c:pt>
                <c:pt idx="65">
                  <c:v>52</c:v>
                </c:pt>
                <c:pt idx="66">
                  <c:v>52</c:v>
                </c:pt>
                <c:pt idx="67">
                  <c:v>52</c:v>
                </c:pt>
                <c:pt idx="68">
                  <c:v>52</c:v>
                </c:pt>
                <c:pt idx="69">
                  <c:v>52</c:v>
                </c:pt>
                <c:pt idx="70">
                  <c:v>53</c:v>
                </c:pt>
                <c:pt idx="71">
                  <c:v>54</c:v>
                </c:pt>
                <c:pt idx="72">
                  <c:v>55</c:v>
                </c:pt>
                <c:pt idx="73">
                  <c:v>56</c:v>
                </c:pt>
                <c:pt idx="74">
                  <c:v>57</c:v>
                </c:pt>
                <c:pt idx="75">
                  <c:v>58</c:v>
                </c:pt>
                <c:pt idx="76">
                  <c:v>59</c:v>
                </c:pt>
                <c:pt idx="77">
                  <c:v>59</c:v>
                </c:pt>
                <c:pt idx="78">
                  <c:v>60</c:v>
                </c:pt>
                <c:pt idx="79">
                  <c:v>61</c:v>
                </c:pt>
                <c:pt idx="80">
                  <c:v>61</c:v>
                </c:pt>
                <c:pt idx="81">
                  <c:v>62</c:v>
                </c:pt>
                <c:pt idx="82">
                  <c:v>62</c:v>
                </c:pt>
                <c:pt idx="83">
                  <c:v>63</c:v>
                </c:pt>
                <c:pt idx="84">
                  <c:v>64</c:v>
                </c:pt>
                <c:pt idx="85">
                  <c:v>65</c:v>
                </c:pt>
                <c:pt idx="86">
                  <c:v>66</c:v>
                </c:pt>
                <c:pt idx="87">
                  <c:v>67</c:v>
                </c:pt>
                <c:pt idx="88">
                  <c:v>67</c:v>
                </c:pt>
                <c:pt idx="89">
                  <c:v>68</c:v>
                </c:pt>
                <c:pt idx="90">
                  <c:v>68</c:v>
                </c:pt>
                <c:pt idx="91">
                  <c:v>69</c:v>
                </c:pt>
                <c:pt idx="92">
                  <c:v>69</c:v>
                </c:pt>
                <c:pt idx="93">
                  <c:v>69</c:v>
                </c:pt>
                <c:pt idx="94">
                  <c:v>70</c:v>
                </c:pt>
                <c:pt idx="95">
                  <c:v>70</c:v>
                </c:pt>
                <c:pt idx="96">
                  <c:v>71</c:v>
                </c:pt>
                <c:pt idx="97">
                  <c:v>72</c:v>
                </c:pt>
                <c:pt idx="98">
                  <c:v>73</c:v>
                </c:pt>
                <c:pt idx="99">
                  <c:v>74</c:v>
                </c:pt>
                <c:pt idx="100">
                  <c:v>74</c:v>
                </c:pt>
                <c:pt idx="101">
                  <c:v>75</c:v>
                </c:pt>
                <c:pt idx="102">
                  <c:v>76</c:v>
                </c:pt>
                <c:pt idx="103">
                  <c:v>77</c:v>
                </c:pt>
                <c:pt idx="104">
                  <c:v>78</c:v>
                </c:pt>
                <c:pt idx="105">
                  <c:v>78</c:v>
                </c:pt>
                <c:pt idx="106">
                  <c:v>79</c:v>
                </c:pt>
                <c:pt idx="107">
                  <c:v>79</c:v>
                </c:pt>
                <c:pt idx="108">
                  <c:v>79</c:v>
                </c:pt>
                <c:pt idx="109">
                  <c:v>79</c:v>
                </c:pt>
                <c:pt idx="110">
                  <c:v>79</c:v>
                </c:pt>
                <c:pt idx="111">
                  <c:v>79</c:v>
                </c:pt>
                <c:pt idx="112">
                  <c:v>79</c:v>
                </c:pt>
                <c:pt idx="113">
                  <c:v>79</c:v>
                </c:pt>
                <c:pt idx="114">
                  <c:v>79</c:v>
                </c:pt>
                <c:pt idx="115">
                  <c:v>79</c:v>
                </c:pt>
                <c:pt idx="116">
                  <c:v>79</c:v>
                </c:pt>
                <c:pt idx="117">
                  <c:v>80</c:v>
                </c:pt>
                <c:pt idx="118">
                  <c:v>80</c:v>
                </c:pt>
                <c:pt idx="119">
                  <c:v>80</c:v>
                </c:pt>
                <c:pt idx="120">
                  <c:v>80</c:v>
                </c:pt>
                <c:pt idx="121">
                  <c:v>80</c:v>
                </c:pt>
                <c:pt idx="122">
                  <c:v>81</c:v>
                </c:pt>
                <c:pt idx="123">
                  <c:v>81</c:v>
                </c:pt>
                <c:pt idx="124">
                  <c:v>82</c:v>
                </c:pt>
                <c:pt idx="125">
                  <c:v>82</c:v>
                </c:pt>
                <c:pt idx="126">
                  <c:v>82</c:v>
                </c:pt>
                <c:pt idx="127">
                  <c:v>82</c:v>
                </c:pt>
                <c:pt idx="128">
                  <c:v>82</c:v>
                </c:pt>
                <c:pt idx="129">
                  <c:v>82</c:v>
                </c:pt>
                <c:pt idx="130">
                  <c:v>82</c:v>
                </c:pt>
                <c:pt idx="131">
                  <c:v>82</c:v>
                </c:pt>
                <c:pt idx="132">
                  <c:v>82</c:v>
                </c:pt>
                <c:pt idx="133">
                  <c:v>82</c:v>
                </c:pt>
                <c:pt idx="134">
                  <c:v>82</c:v>
                </c:pt>
                <c:pt idx="135">
                  <c:v>82</c:v>
                </c:pt>
                <c:pt idx="136">
                  <c:v>82</c:v>
                </c:pt>
                <c:pt idx="137">
                  <c:v>82</c:v>
                </c:pt>
                <c:pt idx="138">
                  <c:v>82</c:v>
                </c:pt>
                <c:pt idx="139">
                  <c:v>82</c:v>
                </c:pt>
                <c:pt idx="140">
                  <c:v>82</c:v>
                </c:pt>
                <c:pt idx="141">
                  <c:v>82</c:v>
                </c:pt>
                <c:pt idx="142">
                  <c:v>82</c:v>
                </c:pt>
                <c:pt idx="143">
                  <c:v>82</c:v>
                </c:pt>
                <c:pt idx="144">
                  <c:v>82</c:v>
                </c:pt>
                <c:pt idx="145">
                  <c:v>82</c:v>
                </c:pt>
                <c:pt idx="146">
                  <c:v>82</c:v>
                </c:pt>
                <c:pt idx="147">
                  <c:v>82</c:v>
                </c:pt>
                <c:pt idx="148">
                  <c:v>82</c:v>
                </c:pt>
                <c:pt idx="149">
                  <c:v>82</c:v>
                </c:pt>
                <c:pt idx="150">
                  <c:v>82</c:v>
                </c:pt>
                <c:pt idx="151">
                  <c:v>82</c:v>
                </c:pt>
                <c:pt idx="152">
                  <c:v>82</c:v>
                </c:pt>
                <c:pt idx="153">
                  <c:v>83</c:v>
                </c:pt>
                <c:pt idx="154">
                  <c:v>83</c:v>
                </c:pt>
                <c:pt idx="155">
                  <c:v>83</c:v>
                </c:pt>
                <c:pt idx="156">
                  <c:v>83</c:v>
                </c:pt>
                <c:pt idx="157">
                  <c:v>83</c:v>
                </c:pt>
                <c:pt idx="158">
                  <c:v>83</c:v>
                </c:pt>
                <c:pt idx="159">
                  <c:v>84</c:v>
                </c:pt>
                <c:pt idx="160">
                  <c:v>84</c:v>
                </c:pt>
                <c:pt idx="161">
                  <c:v>84</c:v>
                </c:pt>
                <c:pt idx="162">
                  <c:v>84</c:v>
                </c:pt>
                <c:pt idx="163">
                  <c:v>84</c:v>
                </c:pt>
                <c:pt idx="164">
                  <c:v>85</c:v>
                </c:pt>
                <c:pt idx="165">
                  <c:v>85</c:v>
                </c:pt>
                <c:pt idx="166">
                  <c:v>85</c:v>
                </c:pt>
                <c:pt idx="167">
                  <c:v>85</c:v>
                </c:pt>
                <c:pt idx="168">
                  <c:v>86</c:v>
                </c:pt>
                <c:pt idx="169">
                  <c:v>86</c:v>
                </c:pt>
                <c:pt idx="170">
                  <c:v>87</c:v>
                </c:pt>
                <c:pt idx="171">
                  <c:v>87</c:v>
                </c:pt>
                <c:pt idx="172">
                  <c:v>87</c:v>
                </c:pt>
                <c:pt idx="173">
                  <c:v>88</c:v>
                </c:pt>
                <c:pt idx="174">
                  <c:v>88</c:v>
                </c:pt>
                <c:pt idx="175">
                  <c:v>88</c:v>
                </c:pt>
                <c:pt idx="176">
                  <c:v>88</c:v>
                </c:pt>
                <c:pt idx="177">
                  <c:v>89</c:v>
                </c:pt>
                <c:pt idx="178">
                  <c:v>89</c:v>
                </c:pt>
                <c:pt idx="179">
                  <c:v>90</c:v>
                </c:pt>
                <c:pt idx="180">
                  <c:v>90</c:v>
                </c:pt>
                <c:pt idx="181">
                  <c:v>90</c:v>
                </c:pt>
                <c:pt idx="182">
                  <c:v>90</c:v>
                </c:pt>
                <c:pt idx="183">
                  <c:v>90</c:v>
                </c:pt>
                <c:pt idx="184">
                  <c:v>91</c:v>
                </c:pt>
                <c:pt idx="185">
                  <c:v>91</c:v>
                </c:pt>
                <c:pt idx="186">
                  <c:v>91</c:v>
                </c:pt>
                <c:pt idx="187">
                  <c:v>91</c:v>
                </c:pt>
                <c:pt idx="188">
                  <c:v>91</c:v>
                </c:pt>
                <c:pt idx="189">
                  <c:v>92</c:v>
                </c:pt>
                <c:pt idx="190">
                  <c:v>92</c:v>
                </c:pt>
                <c:pt idx="191">
                  <c:v>92</c:v>
                </c:pt>
                <c:pt idx="192">
                  <c:v>92</c:v>
                </c:pt>
                <c:pt idx="193">
                  <c:v>92</c:v>
                </c:pt>
                <c:pt idx="194">
                  <c:v>92</c:v>
                </c:pt>
                <c:pt idx="195">
                  <c:v>92</c:v>
                </c:pt>
                <c:pt idx="196">
                  <c:v>92</c:v>
                </c:pt>
                <c:pt idx="197">
                  <c:v>92</c:v>
                </c:pt>
                <c:pt idx="198">
                  <c:v>92</c:v>
                </c:pt>
                <c:pt idx="199">
                  <c:v>92</c:v>
                </c:pt>
                <c:pt idx="200">
                  <c:v>92</c:v>
                </c:pt>
                <c:pt idx="201">
                  <c:v>93</c:v>
                </c:pt>
                <c:pt idx="202">
                  <c:v>94</c:v>
                </c:pt>
                <c:pt idx="203">
                  <c:v>95</c:v>
                </c:pt>
                <c:pt idx="204">
                  <c:v>95</c:v>
                </c:pt>
                <c:pt idx="205">
                  <c:v>96</c:v>
                </c:pt>
                <c:pt idx="206">
                  <c:v>97</c:v>
                </c:pt>
                <c:pt idx="207">
                  <c:v>97</c:v>
                </c:pt>
                <c:pt idx="208">
                  <c:v>97</c:v>
                </c:pt>
                <c:pt idx="209">
                  <c:v>97</c:v>
                </c:pt>
                <c:pt idx="210">
                  <c:v>97</c:v>
                </c:pt>
                <c:pt idx="211">
                  <c:v>97</c:v>
                </c:pt>
                <c:pt idx="212">
                  <c:v>98</c:v>
                </c:pt>
                <c:pt idx="213">
                  <c:v>99</c:v>
                </c:pt>
                <c:pt idx="214">
                  <c:v>99</c:v>
                </c:pt>
                <c:pt idx="215">
                  <c:v>99</c:v>
                </c:pt>
                <c:pt idx="216">
                  <c:v>99</c:v>
                </c:pt>
                <c:pt idx="217">
                  <c:v>99</c:v>
                </c:pt>
                <c:pt idx="218">
                  <c:v>100</c:v>
                </c:pt>
                <c:pt idx="219">
                  <c:v>100</c:v>
                </c:pt>
                <c:pt idx="220">
                  <c:v>100</c:v>
                </c:pt>
                <c:pt idx="221">
                  <c:v>100</c:v>
                </c:pt>
                <c:pt idx="222">
                  <c:v>101</c:v>
                </c:pt>
                <c:pt idx="223">
                  <c:v>102</c:v>
                </c:pt>
                <c:pt idx="224">
                  <c:v>103</c:v>
                </c:pt>
                <c:pt idx="225">
                  <c:v>103</c:v>
                </c:pt>
                <c:pt idx="226">
                  <c:v>104</c:v>
                </c:pt>
                <c:pt idx="227">
                  <c:v>104</c:v>
                </c:pt>
                <c:pt idx="228">
                  <c:v>104</c:v>
                </c:pt>
                <c:pt idx="229">
                  <c:v>104</c:v>
                </c:pt>
                <c:pt idx="230">
                  <c:v>104</c:v>
                </c:pt>
                <c:pt idx="231">
                  <c:v>104</c:v>
                </c:pt>
                <c:pt idx="232">
                  <c:v>105</c:v>
                </c:pt>
                <c:pt idx="233">
                  <c:v>105</c:v>
                </c:pt>
                <c:pt idx="234">
                  <c:v>105</c:v>
                </c:pt>
                <c:pt idx="235">
                  <c:v>106</c:v>
                </c:pt>
                <c:pt idx="236">
                  <c:v>107</c:v>
                </c:pt>
                <c:pt idx="237">
                  <c:v>107</c:v>
                </c:pt>
                <c:pt idx="238">
                  <c:v>107</c:v>
                </c:pt>
                <c:pt idx="239">
                  <c:v>108</c:v>
                </c:pt>
                <c:pt idx="240">
                  <c:v>108</c:v>
                </c:pt>
                <c:pt idx="241">
                  <c:v>109</c:v>
                </c:pt>
                <c:pt idx="242">
                  <c:v>110</c:v>
                </c:pt>
                <c:pt idx="243">
                  <c:v>110</c:v>
                </c:pt>
                <c:pt idx="244">
                  <c:v>111</c:v>
                </c:pt>
                <c:pt idx="245">
                  <c:v>111</c:v>
                </c:pt>
                <c:pt idx="246">
                  <c:v>111</c:v>
                </c:pt>
                <c:pt idx="247">
                  <c:v>112</c:v>
                </c:pt>
                <c:pt idx="248">
                  <c:v>112</c:v>
                </c:pt>
                <c:pt idx="249">
                  <c:v>113</c:v>
                </c:pt>
                <c:pt idx="250">
                  <c:v>114</c:v>
                </c:pt>
                <c:pt idx="251">
                  <c:v>114</c:v>
                </c:pt>
                <c:pt idx="252">
                  <c:v>115</c:v>
                </c:pt>
                <c:pt idx="253">
                  <c:v>116</c:v>
                </c:pt>
                <c:pt idx="254">
                  <c:v>116</c:v>
                </c:pt>
                <c:pt idx="255">
                  <c:v>116</c:v>
                </c:pt>
                <c:pt idx="256">
                  <c:v>116</c:v>
                </c:pt>
                <c:pt idx="257">
                  <c:v>116</c:v>
                </c:pt>
                <c:pt idx="258">
                  <c:v>117</c:v>
                </c:pt>
                <c:pt idx="259">
                  <c:v>118</c:v>
                </c:pt>
                <c:pt idx="260">
                  <c:v>118</c:v>
                </c:pt>
                <c:pt idx="261">
                  <c:v>118</c:v>
                </c:pt>
                <c:pt idx="262">
                  <c:v>119</c:v>
                </c:pt>
                <c:pt idx="263">
                  <c:v>119</c:v>
                </c:pt>
                <c:pt idx="264">
                  <c:v>119</c:v>
                </c:pt>
                <c:pt idx="265">
                  <c:v>119</c:v>
                </c:pt>
                <c:pt idx="266">
                  <c:v>119</c:v>
                </c:pt>
                <c:pt idx="267">
                  <c:v>119</c:v>
                </c:pt>
                <c:pt idx="268">
                  <c:v>120</c:v>
                </c:pt>
                <c:pt idx="269">
                  <c:v>121</c:v>
                </c:pt>
                <c:pt idx="270">
                  <c:v>122</c:v>
                </c:pt>
                <c:pt idx="271">
                  <c:v>123</c:v>
                </c:pt>
                <c:pt idx="272">
                  <c:v>124</c:v>
                </c:pt>
                <c:pt idx="273">
                  <c:v>124</c:v>
                </c:pt>
                <c:pt idx="274">
                  <c:v>124</c:v>
                </c:pt>
                <c:pt idx="275">
                  <c:v>124</c:v>
                </c:pt>
                <c:pt idx="276">
                  <c:v>124</c:v>
                </c:pt>
                <c:pt idx="277">
                  <c:v>125</c:v>
                </c:pt>
                <c:pt idx="278">
                  <c:v>125</c:v>
                </c:pt>
                <c:pt idx="279">
                  <c:v>126</c:v>
                </c:pt>
                <c:pt idx="280">
                  <c:v>126</c:v>
                </c:pt>
                <c:pt idx="281">
                  <c:v>126</c:v>
                </c:pt>
                <c:pt idx="282">
                  <c:v>127</c:v>
                </c:pt>
                <c:pt idx="283">
                  <c:v>128</c:v>
                </c:pt>
                <c:pt idx="284">
                  <c:v>129</c:v>
                </c:pt>
                <c:pt idx="285">
                  <c:v>129</c:v>
                </c:pt>
                <c:pt idx="286">
                  <c:v>130</c:v>
                </c:pt>
                <c:pt idx="287">
                  <c:v>131</c:v>
                </c:pt>
                <c:pt idx="288">
                  <c:v>132</c:v>
                </c:pt>
                <c:pt idx="289">
                  <c:v>133</c:v>
                </c:pt>
                <c:pt idx="290">
                  <c:v>133</c:v>
                </c:pt>
                <c:pt idx="291">
                  <c:v>134</c:v>
                </c:pt>
                <c:pt idx="292">
                  <c:v>134</c:v>
                </c:pt>
                <c:pt idx="293">
                  <c:v>135</c:v>
                </c:pt>
                <c:pt idx="294">
                  <c:v>135</c:v>
                </c:pt>
                <c:pt idx="295">
                  <c:v>135</c:v>
                </c:pt>
                <c:pt idx="296">
                  <c:v>135</c:v>
                </c:pt>
                <c:pt idx="297">
                  <c:v>135</c:v>
                </c:pt>
                <c:pt idx="298">
                  <c:v>136</c:v>
                </c:pt>
                <c:pt idx="299">
                  <c:v>136</c:v>
                </c:pt>
                <c:pt idx="300">
                  <c:v>136</c:v>
                </c:pt>
                <c:pt idx="301">
                  <c:v>137</c:v>
                </c:pt>
                <c:pt idx="302">
                  <c:v>137</c:v>
                </c:pt>
                <c:pt idx="303">
                  <c:v>137</c:v>
                </c:pt>
                <c:pt idx="304">
                  <c:v>137</c:v>
                </c:pt>
                <c:pt idx="305">
                  <c:v>137</c:v>
                </c:pt>
                <c:pt idx="306">
                  <c:v>137</c:v>
                </c:pt>
                <c:pt idx="307">
                  <c:v>137</c:v>
                </c:pt>
                <c:pt idx="308">
                  <c:v>138</c:v>
                </c:pt>
                <c:pt idx="309">
                  <c:v>139</c:v>
                </c:pt>
                <c:pt idx="310">
                  <c:v>139</c:v>
                </c:pt>
                <c:pt idx="311">
                  <c:v>139</c:v>
                </c:pt>
                <c:pt idx="312">
                  <c:v>139</c:v>
                </c:pt>
                <c:pt idx="313">
                  <c:v>139</c:v>
                </c:pt>
                <c:pt idx="314">
                  <c:v>139</c:v>
                </c:pt>
                <c:pt idx="315">
                  <c:v>139</c:v>
                </c:pt>
                <c:pt idx="316">
                  <c:v>139</c:v>
                </c:pt>
                <c:pt idx="317">
                  <c:v>140</c:v>
                </c:pt>
                <c:pt idx="318">
                  <c:v>141</c:v>
                </c:pt>
                <c:pt idx="319">
                  <c:v>142</c:v>
                </c:pt>
                <c:pt idx="320">
                  <c:v>142</c:v>
                </c:pt>
                <c:pt idx="321">
                  <c:v>142</c:v>
                </c:pt>
                <c:pt idx="322">
                  <c:v>142</c:v>
                </c:pt>
                <c:pt idx="323">
                  <c:v>142</c:v>
                </c:pt>
                <c:pt idx="324">
                  <c:v>142</c:v>
                </c:pt>
                <c:pt idx="325">
                  <c:v>142</c:v>
                </c:pt>
                <c:pt idx="326">
                  <c:v>142</c:v>
                </c:pt>
                <c:pt idx="327">
                  <c:v>142</c:v>
                </c:pt>
                <c:pt idx="328">
                  <c:v>142</c:v>
                </c:pt>
                <c:pt idx="329">
                  <c:v>142</c:v>
                </c:pt>
                <c:pt idx="330">
                  <c:v>142</c:v>
                </c:pt>
                <c:pt idx="331">
                  <c:v>142</c:v>
                </c:pt>
                <c:pt idx="332">
                  <c:v>142</c:v>
                </c:pt>
                <c:pt idx="333">
                  <c:v>142</c:v>
                </c:pt>
                <c:pt idx="334">
                  <c:v>142</c:v>
                </c:pt>
                <c:pt idx="335">
                  <c:v>142</c:v>
                </c:pt>
                <c:pt idx="336">
                  <c:v>142</c:v>
                </c:pt>
                <c:pt idx="337">
                  <c:v>142</c:v>
                </c:pt>
                <c:pt idx="338">
                  <c:v>142</c:v>
                </c:pt>
                <c:pt idx="339">
                  <c:v>142</c:v>
                </c:pt>
                <c:pt idx="340">
                  <c:v>142</c:v>
                </c:pt>
                <c:pt idx="341">
                  <c:v>142</c:v>
                </c:pt>
              </c:numCache>
            </c:numRef>
          </c:val>
          <c:smooth val="0"/>
          <c:extLst>
            <c:ext xmlns:c16="http://schemas.microsoft.com/office/drawing/2014/chart" uri="{C3380CC4-5D6E-409C-BE32-E72D297353CC}">
              <c16:uniqueId val="{00000003-E375-4AF9-BB6A-A3C2377400CB}"/>
            </c:ext>
          </c:extLst>
        </c:ser>
        <c:ser>
          <c:idx val="4"/>
          <c:order val="4"/>
          <c:tx>
            <c:strRef>
              <c:f>Participation!$P$1</c:f>
              <c:strCache>
                <c:ptCount val="1"/>
                <c:pt idx="0">
                  <c:v>SJU</c:v>
                </c:pt>
              </c:strCache>
            </c:strRef>
          </c:tx>
          <c:spPr>
            <a:ln w="28575" cap="rnd">
              <a:solidFill>
                <a:schemeClr val="accent5"/>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Participation!$P$2:$P$341</c:f>
              <c:numCache>
                <c:formatCode>0</c:formatCode>
                <c:ptCount val="340"/>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32</c:v>
                </c:pt>
                <c:pt idx="41">
                  <c:v>33</c:v>
                </c:pt>
                <c:pt idx="42">
                  <c:v>33</c:v>
                </c:pt>
                <c:pt idx="43">
                  <c:v>34</c:v>
                </c:pt>
                <c:pt idx="44">
                  <c:v>35</c:v>
                </c:pt>
                <c:pt idx="45">
                  <c:v>35</c:v>
                </c:pt>
                <c:pt idx="46">
                  <c:v>35</c:v>
                </c:pt>
                <c:pt idx="47">
                  <c:v>36</c:v>
                </c:pt>
                <c:pt idx="48">
                  <c:v>37</c:v>
                </c:pt>
                <c:pt idx="49">
                  <c:v>38</c:v>
                </c:pt>
                <c:pt idx="50">
                  <c:v>39</c:v>
                </c:pt>
                <c:pt idx="51">
                  <c:v>40</c:v>
                </c:pt>
                <c:pt idx="52">
                  <c:v>41</c:v>
                </c:pt>
                <c:pt idx="53">
                  <c:v>42</c:v>
                </c:pt>
                <c:pt idx="54">
                  <c:v>43</c:v>
                </c:pt>
                <c:pt idx="55">
                  <c:v>44</c:v>
                </c:pt>
                <c:pt idx="56">
                  <c:v>45</c:v>
                </c:pt>
                <c:pt idx="57">
                  <c:v>45</c:v>
                </c:pt>
                <c:pt idx="58">
                  <c:v>45</c:v>
                </c:pt>
                <c:pt idx="59">
                  <c:v>45</c:v>
                </c:pt>
                <c:pt idx="60">
                  <c:v>45</c:v>
                </c:pt>
                <c:pt idx="61">
                  <c:v>45</c:v>
                </c:pt>
                <c:pt idx="62">
                  <c:v>46</c:v>
                </c:pt>
                <c:pt idx="63">
                  <c:v>47</c:v>
                </c:pt>
                <c:pt idx="64">
                  <c:v>48</c:v>
                </c:pt>
                <c:pt idx="65">
                  <c:v>49</c:v>
                </c:pt>
                <c:pt idx="66">
                  <c:v>50</c:v>
                </c:pt>
                <c:pt idx="67">
                  <c:v>51</c:v>
                </c:pt>
                <c:pt idx="68">
                  <c:v>52</c:v>
                </c:pt>
                <c:pt idx="69">
                  <c:v>53</c:v>
                </c:pt>
                <c:pt idx="70">
                  <c:v>54</c:v>
                </c:pt>
                <c:pt idx="71">
                  <c:v>54</c:v>
                </c:pt>
                <c:pt idx="72">
                  <c:v>55</c:v>
                </c:pt>
                <c:pt idx="73">
                  <c:v>55</c:v>
                </c:pt>
                <c:pt idx="74">
                  <c:v>56</c:v>
                </c:pt>
                <c:pt idx="75">
                  <c:v>57</c:v>
                </c:pt>
                <c:pt idx="76">
                  <c:v>57</c:v>
                </c:pt>
                <c:pt idx="77">
                  <c:v>58</c:v>
                </c:pt>
                <c:pt idx="78">
                  <c:v>59</c:v>
                </c:pt>
                <c:pt idx="79">
                  <c:v>60</c:v>
                </c:pt>
                <c:pt idx="80">
                  <c:v>61</c:v>
                </c:pt>
                <c:pt idx="81">
                  <c:v>62</c:v>
                </c:pt>
                <c:pt idx="82">
                  <c:v>62</c:v>
                </c:pt>
                <c:pt idx="83">
                  <c:v>63</c:v>
                </c:pt>
                <c:pt idx="84">
                  <c:v>64</c:v>
                </c:pt>
                <c:pt idx="85">
                  <c:v>65</c:v>
                </c:pt>
                <c:pt idx="86">
                  <c:v>66</c:v>
                </c:pt>
                <c:pt idx="87">
                  <c:v>67</c:v>
                </c:pt>
                <c:pt idx="88">
                  <c:v>68</c:v>
                </c:pt>
                <c:pt idx="89">
                  <c:v>69</c:v>
                </c:pt>
                <c:pt idx="90">
                  <c:v>70</c:v>
                </c:pt>
                <c:pt idx="91">
                  <c:v>71</c:v>
                </c:pt>
                <c:pt idx="92">
                  <c:v>72</c:v>
                </c:pt>
                <c:pt idx="93">
                  <c:v>72</c:v>
                </c:pt>
                <c:pt idx="94">
                  <c:v>72</c:v>
                </c:pt>
                <c:pt idx="95">
                  <c:v>73</c:v>
                </c:pt>
                <c:pt idx="96">
                  <c:v>73</c:v>
                </c:pt>
                <c:pt idx="97">
                  <c:v>74</c:v>
                </c:pt>
                <c:pt idx="98">
                  <c:v>75</c:v>
                </c:pt>
                <c:pt idx="99">
                  <c:v>76</c:v>
                </c:pt>
                <c:pt idx="100">
                  <c:v>77</c:v>
                </c:pt>
                <c:pt idx="101">
                  <c:v>78</c:v>
                </c:pt>
                <c:pt idx="102">
                  <c:v>79</c:v>
                </c:pt>
                <c:pt idx="103">
                  <c:v>79</c:v>
                </c:pt>
                <c:pt idx="104">
                  <c:v>80</c:v>
                </c:pt>
                <c:pt idx="105">
                  <c:v>80</c:v>
                </c:pt>
                <c:pt idx="106">
                  <c:v>80</c:v>
                </c:pt>
                <c:pt idx="107">
                  <c:v>80</c:v>
                </c:pt>
                <c:pt idx="108">
                  <c:v>81</c:v>
                </c:pt>
                <c:pt idx="109">
                  <c:v>82</c:v>
                </c:pt>
                <c:pt idx="110">
                  <c:v>82</c:v>
                </c:pt>
                <c:pt idx="111">
                  <c:v>83</c:v>
                </c:pt>
                <c:pt idx="112">
                  <c:v>84</c:v>
                </c:pt>
                <c:pt idx="113">
                  <c:v>84</c:v>
                </c:pt>
                <c:pt idx="114">
                  <c:v>84</c:v>
                </c:pt>
                <c:pt idx="115">
                  <c:v>84</c:v>
                </c:pt>
                <c:pt idx="116">
                  <c:v>84</c:v>
                </c:pt>
                <c:pt idx="117">
                  <c:v>84</c:v>
                </c:pt>
                <c:pt idx="118">
                  <c:v>84</c:v>
                </c:pt>
                <c:pt idx="119">
                  <c:v>84</c:v>
                </c:pt>
                <c:pt idx="120">
                  <c:v>84</c:v>
                </c:pt>
                <c:pt idx="121">
                  <c:v>84</c:v>
                </c:pt>
                <c:pt idx="122">
                  <c:v>85</c:v>
                </c:pt>
                <c:pt idx="123">
                  <c:v>86</c:v>
                </c:pt>
                <c:pt idx="124">
                  <c:v>87</c:v>
                </c:pt>
                <c:pt idx="125">
                  <c:v>88</c:v>
                </c:pt>
                <c:pt idx="126">
                  <c:v>89</c:v>
                </c:pt>
                <c:pt idx="127">
                  <c:v>90</c:v>
                </c:pt>
                <c:pt idx="128">
                  <c:v>91</c:v>
                </c:pt>
                <c:pt idx="129">
                  <c:v>92</c:v>
                </c:pt>
                <c:pt idx="130">
                  <c:v>93</c:v>
                </c:pt>
                <c:pt idx="131">
                  <c:v>94</c:v>
                </c:pt>
                <c:pt idx="132">
                  <c:v>95</c:v>
                </c:pt>
                <c:pt idx="133">
                  <c:v>96</c:v>
                </c:pt>
                <c:pt idx="134">
                  <c:v>97</c:v>
                </c:pt>
                <c:pt idx="135">
                  <c:v>97</c:v>
                </c:pt>
                <c:pt idx="136">
                  <c:v>98</c:v>
                </c:pt>
                <c:pt idx="137">
                  <c:v>99</c:v>
                </c:pt>
                <c:pt idx="138">
                  <c:v>100</c:v>
                </c:pt>
                <c:pt idx="139">
                  <c:v>101</c:v>
                </c:pt>
                <c:pt idx="140">
                  <c:v>101</c:v>
                </c:pt>
                <c:pt idx="141">
                  <c:v>102</c:v>
                </c:pt>
                <c:pt idx="142">
                  <c:v>102</c:v>
                </c:pt>
                <c:pt idx="143">
                  <c:v>102</c:v>
                </c:pt>
                <c:pt idx="144">
                  <c:v>102</c:v>
                </c:pt>
                <c:pt idx="145">
                  <c:v>103</c:v>
                </c:pt>
                <c:pt idx="146">
                  <c:v>104</c:v>
                </c:pt>
                <c:pt idx="147">
                  <c:v>104</c:v>
                </c:pt>
                <c:pt idx="148">
                  <c:v>105</c:v>
                </c:pt>
                <c:pt idx="149">
                  <c:v>106</c:v>
                </c:pt>
                <c:pt idx="150">
                  <c:v>107</c:v>
                </c:pt>
                <c:pt idx="151">
                  <c:v>108</c:v>
                </c:pt>
                <c:pt idx="152">
                  <c:v>109</c:v>
                </c:pt>
                <c:pt idx="153">
                  <c:v>110</c:v>
                </c:pt>
                <c:pt idx="154">
                  <c:v>111</c:v>
                </c:pt>
                <c:pt idx="155">
                  <c:v>112</c:v>
                </c:pt>
                <c:pt idx="156">
                  <c:v>113</c:v>
                </c:pt>
                <c:pt idx="157">
                  <c:v>113</c:v>
                </c:pt>
                <c:pt idx="158">
                  <c:v>113</c:v>
                </c:pt>
                <c:pt idx="159">
                  <c:v>114</c:v>
                </c:pt>
                <c:pt idx="160">
                  <c:v>115</c:v>
                </c:pt>
                <c:pt idx="161">
                  <c:v>116</c:v>
                </c:pt>
                <c:pt idx="162">
                  <c:v>116</c:v>
                </c:pt>
                <c:pt idx="163">
                  <c:v>116</c:v>
                </c:pt>
                <c:pt idx="164">
                  <c:v>117</c:v>
                </c:pt>
                <c:pt idx="165">
                  <c:v>118</c:v>
                </c:pt>
                <c:pt idx="166">
                  <c:v>119</c:v>
                </c:pt>
                <c:pt idx="167">
                  <c:v>120</c:v>
                </c:pt>
                <c:pt idx="168">
                  <c:v>121</c:v>
                </c:pt>
                <c:pt idx="169">
                  <c:v>121</c:v>
                </c:pt>
                <c:pt idx="170">
                  <c:v>122</c:v>
                </c:pt>
                <c:pt idx="171">
                  <c:v>123</c:v>
                </c:pt>
                <c:pt idx="172">
                  <c:v>124</c:v>
                </c:pt>
                <c:pt idx="173">
                  <c:v>125</c:v>
                </c:pt>
                <c:pt idx="174">
                  <c:v>125</c:v>
                </c:pt>
                <c:pt idx="175">
                  <c:v>126</c:v>
                </c:pt>
                <c:pt idx="176">
                  <c:v>127</c:v>
                </c:pt>
                <c:pt idx="177">
                  <c:v>128</c:v>
                </c:pt>
                <c:pt idx="178">
                  <c:v>129</c:v>
                </c:pt>
                <c:pt idx="179">
                  <c:v>129</c:v>
                </c:pt>
                <c:pt idx="180">
                  <c:v>130</c:v>
                </c:pt>
                <c:pt idx="181">
                  <c:v>131</c:v>
                </c:pt>
                <c:pt idx="182">
                  <c:v>132</c:v>
                </c:pt>
                <c:pt idx="183">
                  <c:v>133</c:v>
                </c:pt>
                <c:pt idx="184">
                  <c:v>134</c:v>
                </c:pt>
                <c:pt idx="185">
                  <c:v>135</c:v>
                </c:pt>
                <c:pt idx="186">
                  <c:v>136</c:v>
                </c:pt>
                <c:pt idx="187">
                  <c:v>137</c:v>
                </c:pt>
                <c:pt idx="188">
                  <c:v>138</c:v>
                </c:pt>
                <c:pt idx="189">
                  <c:v>139</c:v>
                </c:pt>
                <c:pt idx="190">
                  <c:v>140</c:v>
                </c:pt>
                <c:pt idx="191">
                  <c:v>141</c:v>
                </c:pt>
                <c:pt idx="192">
                  <c:v>142</c:v>
                </c:pt>
                <c:pt idx="193">
                  <c:v>143</c:v>
                </c:pt>
                <c:pt idx="194">
                  <c:v>143</c:v>
                </c:pt>
                <c:pt idx="195">
                  <c:v>143</c:v>
                </c:pt>
                <c:pt idx="196">
                  <c:v>143</c:v>
                </c:pt>
                <c:pt idx="197">
                  <c:v>144</c:v>
                </c:pt>
                <c:pt idx="198">
                  <c:v>145</c:v>
                </c:pt>
                <c:pt idx="199">
                  <c:v>146</c:v>
                </c:pt>
                <c:pt idx="200">
                  <c:v>147</c:v>
                </c:pt>
                <c:pt idx="201">
                  <c:v>148</c:v>
                </c:pt>
                <c:pt idx="202">
                  <c:v>149</c:v>
                </c:pt>
                <c:pt idx="203">
                  <c:v>150</c:v>
                </c:pt>
                <c:pt idx="204">
                  <c:v>151</c:v>
                </c:pt>
                <c:pt idx="205">
                  <c:v>152</c:v>
                </c:pt>
                <c:pt idx="206">
                  <c:v>153</c:v>
                </c:pt>
                <c:pt idx="207">
                  <c:v>154</c:v>
                </c:pt>
                <c:pt idx="208">
                  <c:v>155</c:v>
                </c:pt>
                <c:pt idx="209">
                  <c:v>156</c:v>
                </c:pt>
                <c:pt idx="210">
                  <c:v>157</c:v>
                </c:pt>
                <c:pt idx="211">
                  <c:v>158</c:v>
                </c:pt>
                <c:pt idx="212">
                  <c:v>159</c:v>
                </c:pt>
                <c:pt idx="213">
                  <c:v>160</c:v>
                </c:pt>
                <c:pt idx="214">
                  <c:v>161</c:v>
                </c:pt>
                <c:pt idx="215">
                  <c:v>162</c:v>
                </c:pt>
                <c:pt idx="216">
                  <c:v>162</c:v>
                </c:pt>
                <c:pt idx="217">
                  <c:v>163</c:v>
                </c:pt>
                <c:pt idx="218">
                  <c:v>164</c:v>
                </c:pt>
                <c:pt idx="219">
                  <c:v>165</c:v>
                </c:pt>
                <c:pt idx="220">
                  <c:v>166</c:v>
                </c:pt>
                <c:pt idx="221">
                  <c:v>167</c:v>
                </c:pt>
                <c:pt idx="222">
                  <c:v>168</c:v>
                </c:pt>
                <c:pt idx="223">
                  <c:v>168</c:v>
                </c:pt>
                <c:pt idx="224">
                  <c:v>169</c:v>
                </c:pt>
                <c:pt idx="225">
                  <c:v>170</c:v>
                </c:pt>
                <c:pt idx="226">
                  <c:v>170</c:v>
                </c:pt>
                <c:pt idx="227">
                  <c:v>171</c:v>
                </c:pt>
                <c:pt idx="228">
                  <c:v>172</c:v>
                </c:pt>
                <c:pt idx="229">
                  <c:v>173</c:v>
                </c:pt>
                <c:pt idx="230">
                  <c:v>174</c:v>
                </c:pt>
                <c:pt idx="231">
                  <c:v>174</c:v>
                </c:pt>
                <c:pt idx="232">
                  <c:v>175</c:v>
                </c:pt>
                <c:pt idx="233">
                  <c:v>176</c:v>
                </c:pt>
                <c:pt idx="234">
                  <c:v>177</c:v>
                </c:pt>
                <c:pt idx="235">
                  <c:v>178</c:v>
                </c:pt>
                <c:pt idx="236">
                  <c:v>179</c:v>
                </c:pt>
                <c:pt idx="237">
                  <c:v>180</c:v>
                </c:pt>
                <c:pt idx="238">
                  <c:v>181</c:v>
                </c:pt>
                <c:pt idx="239">
                  <c:v>181</c:v>
                </c:pt>
                <c:pt idx="240">
                  <c:v>181</c:v>
                </c:pt>
                <c:pt idx="241">
                  <c:v>181</c:v>
                </c:pt>
                <c:pt idx="242">
                  <c:v>182</c:v>
                </c:pt>
                <c:pt idx="243">
                  <c:v>183</c:v>
                </c:pt>
                <c:pt idx="244">
                  <c:v>184</c:v>
                </c:pt>
                <c:pt idx="245">
                  <c:v>185</c:v>
                </c:pt>
                <c:pt idx="246">
                  <c:v>185</c:v>
                </c:pt>
                <c:pt idx="247">
                  <c:v>186</c:v>
                </c:pt>
                <c:pt idx="248">
                  <c:v>187</c:v>
                </c:pt>
                <c:pt idx="249">
                  <c:v>188</c:v>
                </c:pt>
                <c:pt idx="250">
                  <c:v>189</c:v>
                </c:pt>
                <c:pt idx="251">
                  <c:v>190</c:v>
                </c:pt>
                <c:pt idx="252">
                  <c:v>191</c:v>
                </c:pt>
                <c:pt idx="253">
                  <c:v>192</c:v>
                </c:pt>
                <c:pt idx="254">
                  <c:v>193</c:v>
                </c:pt>
                <c:pt idx="255">
                  <c:v>194</c:v>
                </c:pt>
                <c:pt idx="256">
                  <c:v>194</c:v>
                </c:pt>
                <c:pt idx="257">
                  <c:v>195</c:v>
                </c:pt>
                <c:pt idx="258">
                  <c:v>196</c:v>
                </c:pt>
                <c:pt idx="259">
                  <c:v>197</c:v>
                </c:pt>
                <c:pt idx="260">
                  <c:v>197</c:v>
                </c:pt>
                <c:pt idx="261">
                  <c:v>197</c:v>
                </c:pt>
                <c:pt idx="262">
                  <c:v>198</c:v>
                </c:pt>
                <c:pt idx="263">
                  <c:v>199</c:v>
                </c:pt>
                <c:pt idx="264">
                  <c:v>199</c:v>
                </c:pt>
                <c:pt idx="265">
                  <c:v>200</c:v>
                </c:pt>
                <c:pt idx="266">
                  <c:v>201</c:v>
                </c:pt>
                <c:pt idx="267">
                  <c:v>202</c:v>
                </c:pt>
                <c:pt idx="268">
                  <c:v>203</c:v>
                </c:pt>
                <c:pt idx="269">
                  <c:v>204</c:v>
                </c:pt>
                <c:pt idx="270">
                  <c:v>204</c:v>
                </c:pt>
                <c:pt idx="271">
                  <c:v>205</c:v>
                </c:pt>
                <c:pt idx="272">
                  <c:v>205</c:v>
                </c:pt>
                <c:pt idx="273">
                  <c:v>206</c:v>
                </c:pt>
                <c:pt idx="274">
                  <c:v>207</c:v>
                </c:pt>
                <c:pt idx="275">
                  <c:v>208</c:v>
                </c:pt>
                <c:pt idx="276">
                  <c:v>209</c:v>
                </c:pt>
                <c:pt idx="277">
                  <c:v>210</c:v>
                </c:pt>
                <c:pt idx="278">
                  <c:v>210</c:v>
                </c:pt>
                <c:pt idx="279">
                  <c:v>211</c:v>
                </c:pt>
                <c:pt idx="280">
                  <c:v>212</c:v>
                </c:pt>
                <c:pt idx="281">
                  <c:v>213</c:v>
                </c:pt>
                <c:pt idx="282">
                  <c:v>214</c:v>
                </c:pt>
                <c:pt idx="283">
                  <c:v>215</c:v>
                </c:pt>
                <c:pt idx="284">
                  <c:v>216</c:v>
                </c:pt>
                <c:pt idx="285">
                  <c:v>217</c:v>
                </c:pt>
                <c:pt idx="286">
                  <c:v>218</c:v>
                </c:pt>
                <c:pt idx="287">
                  <c:v>219</c:v>
                </c:pt>
                <c:pt idx="288">
                  <c:v>220</c:v>
                </c:pt>
                <c:pt idx="289">
                  <c:v>221</c:v>
                </c:pt>
                <c:pt idx="290">
                  <c:v>221</c:v>
                </c:pt>
                <c:pt idx="291">
                  <c:v>221</c:v>
                </c:pt>
                <c:pt idx="292">
                  <c:v>221</c:v>
                </c:pt>
                <c:pt idx="293">
                  <c:v>222</c:v>
                </c:pt>
                <c:pt idx="294">
                  <c:v>223</c:v>
                </c:pt>
                <c:pt idx="295">
                  <c:v>223</c:v>
                </c:pt>
                <c:pt idx="296">
                  <c:v>224</c:v>
                </c:pt>
                <c:pt idx="297">
                  <c:v>225</c:v>
                </c:pt>
                <c:pt idx="298">
                  <c:v>226</c:v>
                </c:pt>
                <c:pt idx="299">
                  <c:v>227</c:v>
                </c:pt>
                <c:pt idx="300">
                  <c:v>228</c:v>
                </c:pt>
                <c:pt idx="301">
                  <c:v>229</c:v>
                </c:pt>
                <c:pt idx="302">
                  <c:v>230</c:v>
                </c:pt>
                <c:pt idx="303">
                  <c:v>231</c:v>
                </c:pt>
                <c:pt idx="304">
                  <c:v>232</c:v>
                </c:pt>
                <c:pt idx="305">
                  <c:v>233</c:v>
                </c:pt>
                <c:pt idx="306">
                  <c:v>234</c:v>
                </c:pt>
                <c:pt idx="307">
                  <c:v>234</c:v>
                </c:pt>
                <c:pt idx="308">
                  <c:v>235</c:v>
                </c:pt>
                <c:pt idx="309">
                  <c:v>236</c:v>
                </c:pt>
                <c:pt idx="310">
                  <c:v>237</c:v>
                </c:pt>
                <c:pt idx="311">
                  <c:v>237</c:v>
                </c:pt>
                <c:pt idx="312">
                  <c:v>237</c:v>
                </c:pt>
                <c:pt idx="313">
                  <c:v>237</c:v>
                </c:pt>
                <c:pt idx="314">
                  <c:v>238</c:v>
                </c:pt>
                <c:pt idx="315">
                  <c:v>239</c:v>
                </c:pt>
                <c:pt idx="316">
                  <c:v>240</c:v>
                </c:pt>
                <c:pt idx="317">
                  <c:v>241</c:v>
                </c:pt>
                <c:pt idx="318">
                  <c:v>242</c:v>
                </c:pt>
                <c:pt idx="319">
                  <c:v>243</c:v>
                </c:pt>
                <c:pt idx="320">
                  <c:v>244</c:v>
                </c:pt>
                <c:pt idx="321">
                  <c:v>245</c:v>
                </c:pt>
                <c:pt idx="322">
                  <c:v>246</c:v>
                </c:pt>
                <c:pt idx="323">
                  <c:v>247</c:v>
                </c:pt>
                <c:pt idx="324">
                  <c:v>248</c:v>
                </c:pt>
                <c:pt idx="325">
                  <c:v>249</c:v>
                </c:pt>
                <c:pt idx="326">
                  <c:v>250</c:v>
                </c:pt>
                <c:pt idx="327">
                  <c:v>251</c:v>
                </c:pt>
                <c:pt idx="328">
                  <c:v>252</c:v>
                </c:pt>
                <c:pt idx="329">
                  <c:v>252</c:v>
                </c:pt>
                <c:pt idx="330">
                  <c:v>253</c:v>
                </c:pt>
                <c:pt idx="331">
                  <c:v>254</c:v>
                </c:pt>
                <c:pt idx="332">
                  <c:v>255</c:v>
                </c:pt>
                <c:pt idx="333">
                  <c:v>256</c:v>
                </c:pt>
                <c:pt idx="334">
                  <c:v>257</c:v>
                </c:pt>
                <c:pt idx="335">
                  <c:v>257</c:v>
                </c:pt>
                <c:pt idx="336">
                  <c:v>258</c:v>
                </c:pt>
                <c:pt idx="337">
                  <c:v>258</c:v>
                </c:pt>
                <c:pt idx="338">
                  <c:v>258</c:v>
                </c:pt>
                <c:pt idx="339">
                  <c:v>259</c:v>
                </c:pt>
              </c:numCache>
            </c:numRef>
          </c:val>
          <c:smooth val="0"/>
          <c:extLst>
            <c:ext xmlns:c16="http://schemas.microsoft.com/office/drawing/2014/chart" uri="{C3380CC4-5D6E-409C-BE32-E72D297353CC}">
              <c16:uniqueId val="{00000004-E375-4AF9-BB6A-A3C2377400CB}"/>
            </c:ext>
          </c:extLst>
        </c:ser>
        <c:ser>
          <c:idx val="5"/>
          <c:order val="5"/>
          <c:tx>
            <c:strRef>
              <c:f>Participation!$Q$1</c:f>
              <c:strCache>
                <c:ptCount val="1"/>
                <c:pt idx="0">
                  <c:v>MSO</c:v>
                </c:pt>
              </c:strCache>
            </c:strRef>
          </c:tx>
          <c:spPr>
            <a:ln w="28575" cap="rnd">
              <a:solidFill>
                <a:schemeClr val="accent6"/>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Participation!$Q$2:$Q$341</c:f>
              <c:numCache>
                <c:formatCode>0</c:formatCode>
                <c:ptCount val="340"/>
                <c:pt idx="0">
                  <c:v>0</c:v>
                </c:pt>
                <c:pt idx="1">
                  <c:v>0</c:v>
                </c:pt>
                <c:pt idx="2">
                  <c:v>0</c:v>
                </c:pt>
                <c:pt idx="3">
                  <c:v>0</c:v>
                </c:pt>
                <c:pt idx="4">
                  <c:v>0</c:v>
                </c:pt>
                <c:pt idx="5">
                  <c:v>0</c:v>
                </c:pt>
                <c:pt idx="6">
                  <c:v>0</c:v>
                </c:pt>
                <c:pt idx="7">
                  <c:v>0.86206896551724133</c:v>
                </c:pt>
                <c:pt idx="8">
                  <c:v>1.7241379310344827</c:v>
                </c:pt>
                <c:pt idx="9">
                  <c:v>2.5862068965517242</c:v>
                </c:pt>
                <c:pt idx="10">
                  <c:v>3.4482758620689653</c:v>
                </c:pt>
                <c:pt idx="11">
                  <c:v>4.3103448275862064</c:v>
                </c:pt>
                <c:pt idx="12">
                  <c:v>5.1724137931034475</c:v>
                </c:pt>
                <c:pt idx="13">
                  <c:v>6.0344827586206886</c:v>
                </c:pt>
                <c:pt idx="14">
                  <c:v>6.8965517241379297</c:v>
                </c:pt>
                <c:pt idx="15">
                  <c:v>7.7586206896551708</c:v>
                </c:pt>
                <c:pt idx="16">
                  <c:v>8.6206896551724128</c:v>
                </c:pt>
                <c:pt idx="17">
                  <c:v>9.4827586206896548</c:v>
                </c:pt>
                <c:pt idx="18">
                  <c:v>10.344827586206897</c:v>
                </c:pt>
                <c:pt idx="19">
                  <c:v>11.206896551724139</c:v>
                </c:pt>
                <c:pt idx="20">
                  <c:v>12.068965517241381</c:v>
                </c:pt>
                <c:pt idx="21">
                  <c:v>12.931034482758623</c:v>
                </c:pt>
                <c:pt idx="22">
                  <c:v>13.793103448275865</c:v>
                </c:pt>
                <c:pt idx="23">
                  <c:v>14.655172413793107</c:v>
                </c:pt>
                <c:pt idx="24">
                  <c:v>15.517241379310349</c:v>
                </c:pt>
                <c:pt idx="25">
                  <c:v>16.379310344827591</c:v>
                </c:pt>
                <c:pt idx="26">
                  <c:v>17.241379310344833</c:v>
                </c:pt>
                <c:pt idx="27">
                  <c:v>18.103448275862075</c:v>
                </c:pt>
                <c:pt idx="28">
                  <c:v>18.965517241379317</c:v>
                </c:pt>
                <c:pt idx="29">
                  <c:v>19.827586206896559</c:v>
                </c:pt>
                <c:pt idx="30">
                  <c:v>20.689655172413801</c:v>
                </c:pt>
                <c:pt idx="31">
                  <c:v>21.551724137931043</c:v>
                </c:pt>
                <c:pt idx="32">
                  <c:v>22.413793103448285</c:v>
                </c:pt>
                <c:pt idx="33">
                  <c:v>23.275862068965527</c:v>
                </c:pt>
                <c:pt idx="34">
                  <c:v>24.137931034482769</c:v>
                </c:pt>
                <c:pt idx="35">
                  <c:v>25.000000000000011</c:v>
                </c:pt>
                <c:pt idx="36">
                  <c:v>26.000000000000011</c:v>
                </c:pt>
                <c:pt idx="37">
                  <c:v>26.000000000000011</c:v>
                </c:pt>
                <c:pt idx="38">
                  <c:v>27.000000000000011</c:v>
                </c:pt>
                <c:pt idx="39">
                  <c:v>28.000000000000011</c:v>
                </c:pt>
                <c:pt idx="40">
                  <c:v>28.000000000000011</c:v>
                </c:pt>
                <c:pt idx="41">
                  <c:v>29.000000000000011</c:v>
                </c:pt>
                <c:pt idx="42">
                  <c:v>30.000000000000011</c:v>
                </c:pt>
                <c:pt idx="43">
                  <c:v>31.000000000000011</c:v>
                </c:pt>
                <c:pt idx="44">
                  <c:v>32.000000000000014</c:v>
                </c:pt>
                <c:pt idx="45">
                  <c:v>33.000000000000014</c:v>
                </c:pt>
                <c:pt idx="46">
                  <c:v>34.000000000000014</c:v>
                </c:pt>
                <c:pt idx="47">
                  <c:v>35.000000000000014</c:v>
                </c:pt>
                <c:pt idx="48">
                  <c:v>36.000000000000014</c:v>
                </c:pt>
                <c:pt idx="49">
                  <c:v>37.000000000000014</c:v>
                </c:pt>
                <c:pt idx="50">
                  <c:v>38.000000000000014</c:v>
                </c:pt>
                <c:pt idx="51">
                  <c:v>39.000000000000014</c:v>
                </c:pt>
                <c:pt idx="52">
                  <c:v>40.000000000000014</c:v>
                </c:pt>
                <c:pt idx="53">
                  <c:v>41.000000000000014</c:v>
                </c:pt>
                <c:pt idx="54">
                  <c:v>42.000000000000014</c:v>
                </c:pt>
                <c:pt idx="55">
                  <c:v>43.000000000000014</c:v>
                </c:pt>
                <c:pt idx="56">
                  <c:v>44.000000000000014</c:v>
                </c:pt>
                <c:pt idx="57">
                  <c:v>45.000000000000014</c:v>
                </c:pt>
                <c:pt idx="58">
                  <c:v>46.000000000000014</c:v>
                </c:pt>
                <c:pt idx="59">
                  <c:v>47.000000000000014</c:v>
                </c:pt>
                <c:pt idx="60">
                  <c:v>48.000000000000014</c:v>
                </c:pt>
                <c:pt idx="61">
                  <c:v>48.000000000000014</c:v>
                </c:pt>
                <c:pt idx="62">
                  <c:v>48.000000000000014</c:v>
                </c:pt>
                <c:pt idx="63">
                  <c:v>48.000000000000014</c:v>
                </c:pt>
                <c:pt idx="64">
                  <c:v>49.000000000000014</c:v>
                </c:pt>
                <c:pt idx="65">
                  <c:v>50.000000000000014</c:v>
                </c:pt>
                <c:pt idx="66">
                  <c:v>51.000000000000014</c:v>
                </c:pt>
                <c:pt idx="67">
                  <c:v>52.000000000000014</c:v>
                </c:pt>
                <c:pt idx="68">
                  <c:v>53.000000000000014</c:v>
                </c:pt>
                <c:pt idx="69">
                  <c:v>54.000000000000014</c:v>
                </c:pt>
                <c:pt idx="70">
                  <c:v>55.000000000000014</c:v>
                </c:pt>
                <c:pt idx="71">
                  <c:v>56.000000000000014</c:v>
                </c:pt>
                <c:pt idx="72">
                  <c:v>57.000000000000014</c:v>
                </c:pt>
                <c:pt idx="73">
                  <c:v>58.000000000000014</c:v>
                </c:pt>
                <c:pt idx="74">
                  <c:v>59.000000000000014</c:v>
                </c:pt>
                <c:pt idx="75">
                  <c:v>60.000000000000014</c:v>
                </c:pt>
                <c:pt idx="76">
                  <c:v>61.000000000000014</c:v>
                </c:pt>
                <c:pt idx="77">
                  <c:v>62.000000000000014</c:v>
                </c:pt>
                <c:pt idx="78">
                  <c:v>63.000000000000014</c:v>
                </c:pt>
                <c:pt idx="79">
                  <c:v>63.000000000000014</c:v>
                </c:pt>
                <c:pt idx="80">
                  <c:v>64.000000000000014</c:v>
                </c:pt>
                <c:pt idx="81">
                  <c:v>65.000000000000014</c:v>
                </c:pt>
                <c:pt idx="82">
                  <c:v>65.000000000000014</c:v>
                </c:pt>
                <c:pt idx="83">
                  <c:v>66.000000000000014</c:v>
                </c:pt>
                <c:pt idx="84">
                  <c:v>67.000000000000014</c:v>
                </c:pt>
                <c:pt idx="85">
                  <c:v>68.000000000000014</c:v>
                </c:pt>
                <c:pt idx="86">
                  <c:v>69.000000000000014</c:v>
                </c:pt>
                <c:pt idx="87">
                  <c:v>70.000000000000014</c:v>
                </c:pt>
                <c:pt idx="88">
                  <c:v>70.000000000000014</c:v>
                </c:pt>
                <c:pt idx="89">
                  <c:v>70.000000000000014</c:v>
                </c:pt>
                <c:pt idx="90">
                  <c:v>71.000000000000014</c:v>
                </c:pt>
                <c:pt idx="91">
                  <c:v>72.000000000000014</c:v>
                </c:pt>
                <c:pt idx="92">
                  <c:v>72.000000000000014</c:v>
                </c:pt>
                <c:pt idx="93">
                  <c:v>73.000000000000014</c:v>
                </c:pt>
                <c:pt idx="94">
                  <c:v>74.000000000000014</c:v>
                </c:pt>
                <c:pt idx="95">
                  <c:v>75.000000000000014</c:v>
                </c:pt>
                <c:pt idx="96">
                  <c:v>76.000000000000014</c:v>
                </c:pt>
                <c:pt idx="97">
                  <c:v>77.000000000000014</c:v>
                </c:pt>
                <c:pt idx="98">
                  <c:v>77.000000000000014</c:v>
                </c:pt>
                <c:pt idx="99">
                  <c:v>77.000000000000014</c:v>
                </c:pt>
                <c:pt idx="100">
                  <c:v>78.000000000000014</c:v>
                </c:pt>
                <c:pt idx="101">
                  <c:v>79.000000000000014</c:v>
                </c:pt>
                <c:pt idx="102">
                  <c:v>80.000000000000014</c:v>
                </c:pt>
                <c:pt idx="103">
                  <c:v>81.000000000000014</c:v>
                </c:pt>
                <c:pt idx="104">
                  <c:v>82.000000000000014</c:v>
                </c:pt>
                <c:pt idx="105">
                  <c:v>82.000000000000014</c:v>
                </c:pt>
                <c:pt idx="106">
                  <c:v>83.000000000000014</c:v>
                </c:pt>
                <c:pt idx="107">
                  <c:v>84.000000000000014</c:v>
                </c:pt>
                <c:pt idx="108">
                  <c:v>85.000000000000014</c:v>
                </c:pt>
                <c:pt idx="109">
                  <c:v>86.000000000000014</c:v>
                </c:pt>
                <c:pt idx="110">
                  <c:v>87.000000000000014</c:v>
                </c:pt>
                <c:pt idx="111">
                  <c:v>88.000000000000014</c:v>
                </c:pt>
                <c:pt idx="112">
                  <c:v>89.000000000000014</c:v>
                </c:pt>
                <c:pt idx="113">
                  <c:v>90.000000000000014</c:v>
                </c:pt>
                <c:pt idx="114">
                  <c:v>91.000000000000014</c:v>
                </c:pt>
                <c:pt idx="115">
                  <c:v>92.000000000000014</c:v>
                </c:pt>
                <c:pt idx="116">
                  <c:v>93.000000000000014</c:v>
                </c:pt>
                <c:pt idx="117">
                  <c:v>94.000000000000014</c:v>
                </c:pt>
                <c:pt idx="118">
                  <c:v>95.000000000000014</c:v>
                </c:pt>
                <c:pt idx="119">
                  <c:v>96.000000000000014</c:v>
                </c:pt>
                <c:pt idx="120">
                  <c:v>97.000000000000014</c:v>
                </c:pt>
                <c:pt idx="121">
                  <c:v>98.000000000000014</c:v>
                </c:pt>
                <c:pt idx="122">
                  <c:v>99.000000000000014</c:v>
                </c:pt>
                <c:pt idx="123">
                  <c:v>100.00000000000001</c:v>
                </c:pt>
                <c:pt idx="124">
                  <c:v>101.00000000000001</c:v>
                </c:pt>
                <c:pt idx="125">
                  <c:v>102.00000000000001</c:v>
                </c:pt>
                <c:pt idx="126">
                  <c:v>102.00000000000001</c:v>
                </c:pt>
                <c:pt idx="127">
                  <c:v>103.00000000000001</c:v>
                </c:pt>
                <c:pt idx="128">
                  <c:v>104.00000000000001</c:v>
                </c:pt>
                <c:pt idx="129">
                  <c:v>105.00000000000001</c:v>
                </c:pt>
                <c:pt idx="130">
                  <c:v>106.00000000000001</c:v>
                </c:pt>
                <c:pt idx="131">
                  <c:v>107.00000000000001</c:v>
                </c:pt>
                <c:pt idx="132">
                  <c:v>107.00000000000001</c:v>
                </c:pt>
                <c:pt idx="133">
                  <c:v>108.00000000000001</c:v>
                </c:pt>
                <c:pt idx="134">
                  <c:v>109.00000000000001</c:v>
                </c:pt>
                <c:pt idx="135">
                  <c:v>110.00000000000001</c:v>
                </c:pt>
                <c:pt idx="136">
                  <c:v>111.00000000000001</c:v>
                </c:pt>
                <c:pt idx="137">
                  <c:v>112.00000000000001</c:v>
                </c:pt>
                <c:pt idx="138">
                  <c:v>113.00000000000001</c:v>
                </c:pt>
                <c:pt idx="139">
                  <c:v>113.00000000000001</c:v>
                </c:pt>
                <c:pt idx="140">
                  <c:v>113.00000000000001</c:v>
                </c:pt>
                <c:pt idx="141">
                  <c:v>114.00000000000001</c:v>
                </c:pt>
                <c:pt idx="142">
                  <c:v>115.00000000000001</c:v>
                </c:pt>
                <c:pt idx="143">
                  <c:v>116.00000000000001</c:v>
                </c:pt>
                <c:pt idx="144">
                  <c:v>116.00000000000001</c:v>
                </c:pt>
                <c:pt idx="145">
                  <c:v>117.00000000000001</c:v>
                </c:pt>
                <c:pt idx="146">
                  <c:v>118.00000000000001</c:v>
                </c:pt>
                <c:pt idx="147">
                  <c:v>119.00000000000001</c:v>
                </c:pt>
                <c:pt idx="148">
                  <c:v>120.00000000000001</c:v>
                </c:pt>
                <c:pt idx="149">
                  <c:v>121.00000000000001</c:v>
                </c:pt>
                <c:pt idx="150">
                  <c:v>122.00000000000001</c:v>
                </c:pt>
                <c:pt idx="151">
                  <c:v>122.00000000000001</c:v>
                </c:pt>
                <c:pt idx="152">
                  <c:v>123.00000000000001</c:v>
                </c:pt>
                <c:pt idx="153">
                  <c:v>124.00000000000001</c:v>
                </c:pt>
                <c:pt idx="154">
                  <c:v>125.00000000000001</c:v>
                </c:pt>
                <c:pt idx="155">
                  <c:v>126.00000000000001</c:v>
                </c:pt>
                <c:pt idx="156">
                  <c:v>127.00000000000001</c:v>
                </c:pt>
                <c:pt idx="157">
                  <c:v>128</c:v>
                </c:pt>
                <c:pt idx="158">
                  <c:v>128</c:v>
                </c:pt>
                <c:pt idx="159">
                  <c:v>129</c:v>
                </c:pt>
                <c:pt idx="160">
                  <c:v>129</c:v>
                </c:pt>
                <c:pt idx="161">
                  <c:v>130</c:v>
                </c:pt>
                <c:pt idx="162">
                  <c:v>131</c:v>
                </c:pt>
                <c:pt idx="163">
                  <c:v>132</c:v>
                </c:pt>
                <c:pt idx="164">
                  <c:v>133</c:v>
                </c:pt>
                <c:pt idx="165">
                  <c:v>133</c:v>
                </c:pt>
                <c:pt idx="166">
                  <c:v>133</c:v>
                </c:pt>
                <c:pt idx="167">
                  <c:v>134</c:v>
                </c:pt>
                <c:pt idx="168">
                  <c:v>134</c:v>
                </c:pt>
                <c:pt idx="169">
                  <c:v>135</c:v>
                </c:pt>
                <c:pt idx="170">
                  <c:v>136</c:v>
                </c:pt>
                <c:pt idx="171">
                  <c:v>137</c:v>
                </c:pt>
                <c:pt idx="172">
                  <c:v>138</c:v>
                </c:pt>
                <c:pt idx="173">
                  <c:v>139</c:v>
                </c:pt>
                <c:pt idx="174">
                  <c:v>140</c:v>
                </c:pt>
                <c:pt idx="175">
                  <c:v>140</c:v>
                </c:pt>
                <c:pt idx="176">
                  <c:v>141</c:v>
                </c:pt>
                <c:pt idx="177">
                  <c:v>142</c:v>
                </c:pt>
                <c:pt idx="178">
                  <c:v>143</c:v>
                </c:pt>
                <c:pt idx="179">
                  <c:v>144</c:v>
                </c:pt>
                <c:pt idx="180">
                  <c:v>145</c:v>
                </c:pt>
                <c:pt idx="181">
                  <c:v>145</c:v>
                </c:pt>
                <c:pt idx="182">
                  <c:v>146</c:v>
                </c:pt>
                <c:pt idx="183">
                  <c:v>147</c:v>
                </c:pt>
                <c:pt idx="184">
                  <c:v>148</c:v>
                </c:pt>
                <c:pt idx="185">
                  <c:v>149</c:v>
                </c:pt>
                <c:pt idx="186">
                  <c:v>150</c:v>
                </c:pt>
                <c:pt idx="187">
                  <c:v>151</c:v>
                </c:pt>
                <c:pt idx="188">
                  <c:v>151</c:v>
                </c:pt>
                <c:pt idx="189">
                  <c:v>151</c:v>
                </c:pt>
                <c:pt idx="190">
                  <c:v>151</c:v>
                </c:pt>
                <c:pt idx="191">
                  <c:v>152</c:v>
                </c:pt>
                <c:pt idx="192">
                  <c:v>153</c:v>
                </c:pt>
                <c:pt idx="193">
                  <c:v>154</c:v>
                </c:pt>
                <c:pt idx="194">
                  <c:v>155</c:v>
                </c:pt>
                <c:pt idx="195">
                  <c:v>156</c:v>
                </c:pt>
                <c:pt idx="196">
                  <c:v>157</c:v>
                </c:pt>
                <c:pt idx="197">
                  <c:v>158</c:v>
                </c:pt>
                <c:pt idx="198">
                  <c:v>158</c:v>
                </c:pt>
                <c:pt idx="199">
                  <c:v>159</c:v>
                </c:pt>
                <c:pt idx="200">
                  <c:v>160</c:v>
                </c:pt>
                <c:pt idx="201">
                  <c:v>161</c:v>
                </c:pt>
                <c:pt idx="202">
                  <c:v>162</c:v>
                </c:pt>
                <c:pt idx="203">
                  <c:v>163</c:v>
                </c:pt>
                <c:pt idx="204">
                  <c:v>164</c:v>
                </c:pt>
                <c:pt idx="205">
                  <c:v>165</c:v>
                </c:pt>
                <c:pt idx="206">
                  <c:v>166</c:v>
                </c:pt>
                <c:pt idx="207">
                  <c:v>167</c:v>
                </c:pt>
                <c:pt idx="208">
                  <c:v>168</c:v>
                </c:pt>
                <c:pt idx="209">
                  <c:v>168</c:v>
                </c:pt>
                <c:pt idx="210">
                  <c:v>169</c:v>
                </c:pt>
                <c:pt idx="211">
                  <c:v>170</c:v>
                </c:pt>
                <c:pt idx="212">
                  <c:v>171</c:v>
                </c:pt>
                <c:pt idx="213">
                  <c:v>172</c:v>
                </c:pt>
                <c:pt idx="214">
                  <c:v>173</c:v>
                </c:pt>
                <c:pt idx="215">
                  <c:v>174</c:v>
                </c:pt>
                <c:pt idx="216">
                  <c:v>175</c:v>
                </c:pt>
                <c:pt idx="217">
                  <c:v>176</c:v>
                </c:pt>
                <c:pt idx="218">
                  <c:v>176</c:v>
                </c:pt>
                <c:pt idx="219">
                  <c:v>177</c:v>
                </c:pt>
                <c:pt idx="220">
                  <c:v>178</c:v>
                </c:pt>
                <c:pt idx="221">
                  <c:v>179</c:v>
                </c:pt>
                <c:pt idx="222">
                  <c:v>180</c:v>
                </c:pt>
                <c:pt idx="223">
                  <c:v>181</c:v>
                </c:pt>
                <c:pt idx="224">
                  <c:v>182</c:v>
                </c:pt>
                <c:pt idx="225">
                  <c:v>183</c:v>
                </c:pt>
                <c:pt idx="226">
                  <c:v>184</c:v>
                </c:pt>
                <c:pt idx="227">
                  <c:v>185</c:v>
                </c:pt>
                <c:pt idx="228">
                  <c:v>186</c:v>
                </c:pt>
                <c:pt idx="229">
                  <c:v>187</c:v>
                </c:pt>
                <c:pt idx="230">
                  <c:v>188</c:v>
                </c:pt>
                <c:pt idx="231">
                  <c:v>189</c:v>
                </c:pt>
                <c:pt idx="232">
                  <c:v>190</c:v>
                </c:pt>
                <c:pt idx="233">
                  <c:v>191</c:v>
                </c:pt>
                <c:pt idx="234">
                  <c:v>192</c:v>
                </c:pt>
                <c:pt idx="235">
                  <c:v>193</c:v>
                </c:pt>
                <c:pt idx="236">
                  <c:v>194</c:v>
                </c:pt>
                <c:pt idx="237">
                  <c:v>195</c:v>
                </c:pt>
                <c:pt idx="238">
                  <c:v>196</c:v>
                </c:pt>
                <c:pt idx="239">
                  <c:v>197</c:v>
                </c:pt>
                <c:pt idx="240">
                  <c:v>198</c:v>
                </c:pt>
                <c:pt idx="241">
                  <c:v>199</c:v>
                </c:pt>
                <c:pt idx="242">
                  <c:v>200</c:v>
                </c:pt>
                <c:pt idx="243">
                  <c:v>200</c:v>
                </c:pt>
                <c:pt idx="244">
                  <c:v>201</c:v>
                </c:pt>
                <c:pt idx="245">
                  <c:v>202</c:v>
                </c:pt>
                <c:pt idx="246">
                  <c:v>203</c:v>
                </c:pt>
                <c:pt idx="247">
                  <c:v>203</c:v>
                </c:pt>
                <c:pt idx="248">
                  <c:v>204</c:v>
                </c:pt>
                <c:pt idx="249">
                  <c:v>205</c:v>
                </c:pt>
                <c:pt idx="250">
                  <c:v>206</c:v>
                </c:pt>
                <c:pt idx="251">
                  <c:v>206</c:v>
                </c:pt>
                <c:pt idx="252">
                  <c:v>207</c:v>
                </c:pt>
                <c:pt idx="253">
                  <c:v>208</c:v>
                </c:pt>
                <c:pt idx="254">
                  <c:v>209</c:v>
                </c:pt>
                <c:pt idx="255">
                  <c:v>210</c:v>
                </c:pt>
                <c:pt idx="256">
                  <c:v>211</c:v>
                </c:pt>
                <c:pt idx="257">
                  <c:v>212</c:v>
                </c:pt>
                <c:pt idx="258">
                  <c:v>213</c:v>
                </c:pt>
                <c:pt idx="259">
                  <c:v>214</c:v>
                </c:pt>
                <c:pt idx="260">
                  <c:v>215</c:v>
                </c:pt>
                <c:pt idx="261">
                  <c:v>216</c:v>
                </c:pt>
                <c:pt idx="262">
                  <c:v>217</c:v>
                </c:pt>
                <c:pt idx="263">
                  <c:v>218</c:v>
                </c:pt>
                <c:pt idx="264">
                  <c:v>219</c:v>
                </c:pt>
                <c:pt idx="265">
                  <c:v>220</c:v>
                </c:pt>
                <c:pt idx="266">
                  <c:v>221</c:v>
                </c:pt>
                <c:pt idx="267">
                  <c:v>221</c:v>
                </c:pt>
                <c:pt idx="268">
                  <c:v>222</c:v>
                </c:pt>
                <c:pt idx="269">
                  <c:v>223</c:v>
                </c:pt>
                <c:pt idx="270">
                  <c:v>224</c:v>
                </c:pt>
                <c:pt idx="271">
                  <c:v>224</c:v>
                </c:pt>
                <c:pt idx="272">
                  <c:v>225</c:v>
                </c:pt>
                <c:pt idx="273">
                  <c:v>226</c:v>
                </c:pt>
                <c:pt idx="274">
                  <c:v>226</c:v>
                </c:pt>
                <c:pt idx="275">
                  <c:v>227</c:v>
                </c:pt>
                <c:pt idx="276">
                  <c:v>228</c:v>
                </c:pt>
                <c:pt idx="277">
                  <c:v>229</c:v>
                </c:pt>
                <c:pt idx="278">
                  <c:v>230</c:v>
                </c:pt>
                <c:pt idx="279">
                  <c:v>231</c:v>
                </c:pt>
                <c:pt idx="280">
                  <c:v>231</c:v>
                </c:pt>
                <c:pt idx="281">
                  <c:v>231</c:v>
                </c:pt>
                <c:pt idx="282">
                  <c:v>232</c:v>
                </c:pt>
                <c:pt idx="283">
                  <c:v>233</c:v>
                </c:pt>
                <c:pt idx="284">
                  <c:v>234</c:v>
                </c:pt>
                <c:pt idx="285">
                  <c:v>235</c:v>
                </c:pt>
                <c:pt idx="286">
                  <c:v>236</c:v>
                </c:pt>
                <c:pt idx="287">
                  <c:v>237</c:v>
                </c:pt>
                <c:pt idx="288">
                  <c:v>237</c:v>
                </c:pt>
                <c:pt idx="289">
                  <c:v>238</c:v>
                </c:pt>
                <c:pt idx="290">
                  <c:v>238</c:v>
                </c:pt>
                <c:pt idx="291">
                  <c:v>239</c:v>
                </c:pt>
                <c:pt idx="292">
                  <c:v>240</c:v>
                </c:pt>
                <c:pt idx="293">
                  <c:v>241</c:v>
                </c:pt>
                <c:pt idx="294">
                  <c:v>242</c:v>
                </c:pt>
                <c:pt idx="295">
                  <c:v>243</c:v>
                </c:pt>
                <c:pt idx="296">
                  <c:v>244</c:v>
                </c:pt>
                <c:pt idx="297">
                  <c:v>245</c:v>
                </c:pt>
                <c:pt idx="298">
                  <c:v>246</c:v>
                </c:pt>
                <c:pt idx="299">
                  <c:v>247</c:v>
                </c:pt>
                <c:pt idx="300">
                  <c:v>248</c:v>
                </c:pt>
                <c:pt idx="301">
                  <c:v>248</c:v>
                </c:pt>
                <c:pt idx="302">
                  <c:v>249</c:v>
                </c:pt>
                <c:pt idx="303">
                  <c:v>250</c:v>
                </c:pt>
                <c:pt idx="304">
                  <c:v>251</c:v>
                </c:pt>
                <c:pt idx="305">
                  <c:v>252</c:v>
                </c:pt>
                <c:pt idx="306">
                  <c:v>253</c:v>
                </c:pt>
                <c:pt idx="307">
                  <c:v>254</c:v>
                </c:pt>
                <c:pt idx="308">
                  <c:v>254</c:v>
                </c:pt>
                <c:pt idx="309">
                  <c:v>254</c:v>
                </c:pt>
                <c:pt idx="310">
                  <c:v>255</c:v>
                </c:pt>
                <c:pt idx="311">
                  <c:v>256</c:v>
                </c:pt>
                <c:pt idx="312">
                  <c:v>257</c:v>
                </c:pt>
                <c:pt idx="313">
                  <c:v>257</c:v>
                </c:pt>
                <c:pt idx="314">
                  <c:v>258</c:v>
                </c:pt>
                <c:pt idx="315">
                  <c:v>259</c:v>
                </c:pt>
                <c:pt idx="316">
                  <c:v>260</c:v>
                </c:pt>
                <c:pt idx="317">
                  <c:v>261</c:v>
                </c:pt>
                <c:pt idx="318">
                  <c:v>261</c:v>
                </c:pt>
                <c:pt idx="319">
                  <c:v>262</c:v>
                </c:pt>
                <c:pt idx="320">
                  <c:v>263</c:v>
                </c:pt>
                <c:pt idx="321">
                  <c:v>264</c:v>
                </c:pt>
                <c:pt idx="322">
                  <c:v>265</c:v>
                </c:pt>
                <c:pt idx="323">
                  <c:v>266</c:v>
                </c:pt>
                <c:pt idx="324">
                  <c:v>267</c:v>
                </c:pt>
                <c:pt idx="325">
                  <c:v>268</c:v>
                </c:pt>
                <c:pt idx="326">
                  <c:v>268</c:v>
                </c:pt>
                <c:pt idx="327">
                  <c:v>269</c:v>
                </c:pt>
                <c:pt idx="328">
                  <c:v>270</c:v>
                </c:pt>
                <c:pt idx="329">
                  <c:v>270</c:v>
                </c:pt>
                <c:pt idx="330">
                  <c:v>271</c:v>
                </c:pt>
                <c:pt idx="331">
                  <c:v>272</c:v>
                </c:pt>
                <c:pt idx="332">
                  <c:v>273</c:v>
                </c:pt>
                <c:pt idx="333">
                  <c:v>274</c:v>
                </c:pt>
                <c:pt idx="334">
                  <c:v>274</c:v>
                </c:pt>
                <c:pt idx="335">
                  <c:v>275</c:v>
                </c:pt>
                <c:pt idx="336">
                  <c:v>276</c:v>
                </c:pt>
                <c:pt idx="337">
                  <c:v>277</c:v>
                </c:pt>
                <c:pt idx="338">
                  <c:v>278</c:v>
                </c:pt>
                <c:pt idx="339">
                  <c:v>279</c:v>
                </c:pt>
              </c:numCache>
            </c:numRef>
          </c:val>
          <c:smooth val="0"/>
          <c:extLst>
            <c:ext xmlns:c16="http://schemas.microsoft.com/office/drawing/2014/chart" uri="{C3380CC4-5D6E-409C-BE32-E72D297353CC}">
              <c16:uniqueId val="{00000005-E375-4AF9-BB6A-A3C2377400CB}"/>
            </c:ext>
          </c:extLst>
        </c:ser>
        <c:dLbls>
          <c:showLegendKey val="0"/>
          <c:showVal val="0"/>
          <c:showCatName val="0"/>
          <c:showSerName val="0"/>
          <c:showPercent val="0"/>
          <c:showBubbleSize val="0"/>
        </c:dLbls>
        <c:smooth val="0"/>
        <c:axId val="2054183088"/>
        <c:axId val="2054185168"/>
      </c:lineChart>
      <c:dateAx>
        <c:axId val="205418308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5168"/>
        <c:crosses val="autoZero"/>
        <c:auto val="1"/>
        <c:lblOffset val="100"/>
        <c:baseTimeUnit val="days"/>
      </c:dateAx>
      <c:valAx>
        <c:axId val="20541851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3088"/>
        <c:crosses val="autoZero"/>
        <c:crossBetween val="between"/>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de-CH" b="1"/>
              <a:t>From  Zero to Hero - The MSO/MST</a:t>
            </a:r>
            <a:r>
              <a:rPr lang="de-CH" b="1" baseline="0"/>
              <a:t> Success Story: Lead to best DF-Member</a:t>
            </a:r>
            <a:endParaRPr lang="de-CH" b="1"/>
          </a:p>
        </c:rich>
      </c:tx>
      <c:layout>
        <c:manualLayout>
          <c:xMode val="edge"/>
          <c:yMode val="edge"/>
          <c:x val="0.22557578528779187"/>
          <c:y val="2.240713482973171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de-CH"/>
        </a:p>
      </c:txPr>
    </c:title>
    <c:autoTitleDeleted val="0"/>
    <c:plotArea>
      <c:layout/>
      <c:lineChart>
        <c:grouping val="standard"/>
        <c:varyColors val="0"/>
        <c:ser>
          <c:idx val="0"/>
          <c:order val="0"/>
          <c:spPr>
            <a:ln w="28575" cap="rnd">
              <a:solidFill>
                <a:schemeClr val="accent1"/>
              </a:solidFill>
              <a:round/>
            </a:ln>
            <a:effectLst/>
          </c:spPr>
          <c:marker>
            <c:symbol val="none"/>
          </c:marker>
          <c:cat>
            <c:numRef>
              <c:f>Participation!$A$9:$A$361</c:f>
              <c:numCache>
                <c:formatCode>m/d/yyyy</c:formatCode>
                <c:ptCount val="353"/>
                <c:pt idx="0">
                  <c:v>42524</c:v>
                </c:pt>
                <c:pt idx="1">
                  <c:v>42531</c:v>
                </c:pt>
                <c:pt idx="2">
                  <c:v>42538</c:v>
                </c:pt>
                <c:pt idx="3">
                  <c:v>42545</c:v>
                </c:pt>
                <c:pt idx="4">
                  <c:v>42552</c:v>
                </c:pt>
                <c:pt idx="5">
                  <c:v>42559</c:v>
                </c:pt>
                <c:pt idx="6">
                  <c:v>42566</c:v>
                </c:pt>
                <c:pt idx="7">
                  <c:v>42573</c:v>
                </c:pt>
                <c:pt idx="8">
                  <c:v>42580</c:v>
                </c:pt>
                <c:pt idx="9">
                  <c:v>42587</c:v>
                </c:pt>
                <c:pt idx="10">
                  <c:v>42594</c:v>
                </c:pt>
                <c:pt idx="11">
                  <c:v>42601</c:v>
                </c:pt>
                <c:pt idx="12">
                  <c:v>42608</c:v>
                </c:pt>
                <c:pt idx="13">
                  <c:v>42615</c:v>
                </c:pt>
                <c:pt idx="14">
                  <c:v>42622</c:v>
                </c:pt>
                <c:pt idx="15">
                  <c:v>42629</c:v>
                </c:pt>
                <c:pt idx="16">
                  <c:v>42636</c:v>
                </c:pt>
                <c:pt idx="17">
                  <c:v>42643</c:v>
                </c:pt>
                <c:pt idx="18">
                  <c:v>42650</c:v>
                </c:pt>
                <c:pt idx="19">
                  <c:v>42657</c:v>
                </c:pt>
                <c:pt idx="20">
                  <c:v>42664</c:v>
                </c:pt>
                <c:pt idx="21">
                  <c:v>42671</c:v>
                </c:pt>
                <c:pt idx="22">
                  <c:v>42678</c:v>
                </c:pt>
                <c:pt idx="23">
                  <c:v>42685</c:v>
                </c:pt>
                <c:pt idx="24">
                  <c:v>42692</c:v>
                </c:pt>
                <c:pt idx="25">
                  <c:v>42699</c:v>
                </c:pt>
                <c:pt idx="26">
                  <c:v>42706</c:v>
                </c:pt>
                <c:pt idx="27">
                  <c:v>42713</c:v>
                </c:pt>
                <c:pt idx="28">
                  <c:v>42720</c:v>
                </c:pt>
                <c:pt idx="29">
                  <c:v>42727</c:v>
                </c:pt>
                <c:pt idx="30">
                  <c:v>42734</c:v>
                </c:pt>
                <c:pt idx="31">
                  <c:v>42741</c:v>
                </c:pt>
                <c:pt idx="32">
                  <c:v>42748</c:v>
                </c:pt>
                <c:pt idx="33">
                  <c:v>42755</c:v>
                </c:pt>
                <c:pt idx="34">
                  <c:v>42762</c:v>
                </c:pt>
                <c:pt idx="35">
                  <c:v>42769</c:v>
                </c:pt>
                <c:pt idx="36">
                  <c:v>42776</c:v>
                </c:pt>
                <c:pt idx="37">
                  <c:v>42783</c:v>
                </c:pt>
                <c:pt idx="38">
                  <c:v>42790</c:v>
                </c:pt>
                <c:pt idx="39">
                  <c:v>42797</c:v>
                </c:pt>
                <c:pt idx="40">
                  <c:v>42804</c:v>
                </c:pt>
                <c:pt idx="41">
                  <c:v>42811</c:v>
                </c:pt>
                <c:pt idx="42">
                  <c:v>42818</c:v>
                </c:pt>
                <c:pt idx="43">
                  <c:v>42825</c:v>
                </c:pt>
                <c:pt idx="44">
                  <c:v>42832</c:v>
                </c:pt>
                <c:pt idx="45">
                  <c:v>42846</c:v>
                </c:pt>
                <c:pt idx="46">
                  <c:v>42853</c:v>
                </c:pt>
                <c:pt idx="47">
                  <c:v>42860</c:v>
                </c:pt>
                <c:pt idx="48">
                  <c:v>42867</c:v>
                </c:pt>
                <c:pt idx="49">
                  <c:v>42874</c:v>
                </c:pt>
                <c:pt idx="50">
                  <c:v>42881</c:v>
                </c:pt>
                <c:pt idx="51">
                  <c:v>42888</c:v>
                </c:pt>
                <c:pt idx="52">
                  <c:v>42895</c:v>
                </c:pt>
                <c:pt idx="53">
                  <c:v>42902</c:v>
                </c:pt>
                <c:pt idx="54">
                  <c:v>42909</c:v>
                </c:pt>
                <c:pt idx="55">
                  <c:v>42916</c:v>
                </c:pt>
                <c:pt idx="56">
                  <c:v>42923</c:v>
                </c:pt>
                <c:pt idx="57">
                  <c:v>42930</c:v>
                </c:pt>
                <c:pt idx="58">
                  <c:v>42937</c:v>
                </c:pt>
                <c:pt idx="59">
                  <c:v>42944</c:v>
                </c:pt>
                <c:pt idx="60">
                  <c:v>42951</c:v>
                </c:pt>
                <c:pt idx="61">
                  <c:v>42958</c:v>
                </c:pt>
                <c:pt idx="62">
                  <c:v>42965</c:v>
                </c:pt>
                <c:pt idx="63">
                  <c:v>42972</c:v>
                </c:pt>
                <c:pt idx="64">
                  <c:v>42979</c:v>
                </c:pt>
                <c:pt idx="65">
                  <c:v>42986</c:v>
                </c:pt>
                <c:pt idx="66">
                  <c:v>42993</c:v>
                </c:pt>
                <c:pt idx="67">
                  <c:v>43000</c:v>
                </c:pt>
                <c:pt idx="68">
                  <c:v>43007</c:v>
                </c:pt>
                <c:pt idx="69">
                  <c:v>43014</c:v>
                </c:pt>
                <c:pt idx="70">
                  <c:v>43021</c:v>
                </c:pt>
                <c:pt idx="71">
                  <c:v>43028</c:v>
                </c:pt>
                <c:pt idx="72">
                  <c:v>43035</c:v>
                </c:pt>
                <c:pt idx="73">
                  <c:v>43042</c:v>
                </c:pt>
                <c:pt idx="74">
                  <c:v>43049</c:v>
                </c:pt>
                <c:pt idx="75">
                  <c:v>43056</c:v>
                </c:pt>
                <c:pt idx="76">
                  <c:v>43063</c:v>
                </c:pt>
                <c:pt idx="77">
                  <c:v>43070</c:v>
                </c:pt>
                <c:pt idx="78">
                  <c:v>43077</c:v>
                </c:pt>
                <c:pt idx="79">
                  <c:v>43084</c:v>
                </c:pt>
                <c:pt idx="80">
                  <c:v>43091</c:v>
                </c:pt>
                <c:pt idx="81">
                  <c:v>43098</c:v>
                </c:pt>
                <c:pt idx="82">
                  <c:v>43105</c:v>
                </c:pt>
                <c:pt idx="83">
                  <c:v>43112</c:v>
                </c:pt>
                <c:pt idx="84">
                  <c:v>43119</c:v>
                </c:pt>
                <c:pt idx="85">
                  <c:v>43126</c:v>
                </c:pt>
                <c:pt idx="86">
                  <c:v>43133</c:v>
                </c:pt>
                <c:pt idx="87">
                  <c:v>43140</c:v>
                </c:pt>
                <c:pt idx="88">
                  <c:v>43147</c:v>
                </c:pt>
                <c:pt idx="89">
                  <c:v>43154</c:v>
                </c:pt>
                <c:pt idx="90">
                  <c:v>43161</c:v>
                </c:pt>
                <c:pt idx="91">
                  <c:v>43168</c:v>
                </c:pt>
                <c:pt idx="92">
                  <c:v>43175</c:v>
                </c:pt>
                <c:pt idx="93">
                  <c:v>43182</c:v>
                </c:pt>
                <c:pt idx="94">
                  <c:v>43196</c:v>
                </c:pt>
                <c:pt idx="95">
                  <c:v>43203</c:v>
                </c:pt>
                <c:pt idx="96">
                  <c:v>43210</c:v>
                </c:pt>
                <c:pt idx="97">
                  <c:v>43217</c:v>
                </c:pt>
                <c:pt idx="98">
                  <c:v>43224</c:v>
                </c:pt>
                <c:pt idx="99">
                  <c:v>43231</c:v>
                </c:pt>
                <c:pt idx="100">
                  <c:v>43238</c:v>
                </c:pt>
                <c:pt idx="101">
                  <c:v>43245</c:v>
                </c:pt>
                <c:pt idx="102">
                  <c:v>43252</c:v>
                </c:pt>
                <c:pt idx="103">
                  <c:v>43259</c:v>
                </c:pt>
                <c:pt idx="104">
                  <c:v>43266</c:v>
                </c:pt>
                <c:pt idx="105">
                  <c:v>43273</c:v>
                </c:pt>
                <c:pt idx="106">
                  <c:v>43280</c:v>
                </c:pt>
                <c:pt idx="107">
                  <c:v>43287</c:v>
                </c:pt>
                <c:pt idx="108">
                  <c:v>43294</c:v>
                </c:pt>
                <c:pt idx="109">
                  <c:v>43301</c:v>
                </c:pt>
                <c:pt idx="110">
                  <c:v>43308</c:v>
                </c:pt>
                <c:pt idx="111">
                  <c:v>43315</c:v>
                </c:pt>
                <c:pt idx="112">
                  <c:v>43322</c:v>
                </c:pt>
                <c:pt idx="113">
                  <c:v>43329</c:v>
                </c:pt>
                <c:pt idx="114">
                  <c:v>43336</c:v>
                </c:pt>
                <c:pt idx="115">
                  <c:v>43343</c:v>
                </c:pt>
                <c:pt idx="116">
                  <c:v>43350</c:v>
                </c:pt>
                <c:pt idx="117">
                  <c:v>43357</c:v>
                </c:pt>
                <c:pt idx="118">
                  <c:v>43364</c:v>
                </c:pt>
                <c:pt idx="119">
                  <c:v>43371</c:v>
                </c:pt>
                <c:pt idx="120">
                  <c:v>43378</c:v>
                </c:pt>
                <c:pt idx="121">
                  <c:v>43385</c:v>
                </c:pt>
                <c:pt idx="122">
                  <c:v>43392</c:v>
                </c:pt>
                <c:pt idx="123">
                  <c:v>43399</c:v>
                </c:pt>
                <c:pt idx="124">
                  <c:v>43406</c:v>
                </c:pt>
                <c:pt idx="125">
                  <c:v>43413</c:v>
                </c:pt>
                <c:pt idx="126">
                  <c:v>43420</c:v>
                </c:pt>
                <c:pt idx="127">
                  <c:v>43427</c:v>
                </c:pt>
                <c:pt idx="128">
                  <c:v>43434</c:v>
                </c:pt>
                <c:pt idx="129">
                  <c:v>43441</c:v>
                </c:pt>
                <c:pt idx="130">
                  <c:v>43448</c:v>
                </c:pt>
                <c:pt idx="131">
                  <c:v>43455</c:v>
                </c:pt>
                <c:pt idx="132">
                  <c:v>43462</c:v>
                </c:pt>
                <c:pt idx="133">
                  <c:v>43469</c:v>
                </c:pt>
                <c:pt idx="134">
                  <c:v>43476</c:v>
                </c:pt>
                <c:pt idx="135">
                  <c:v>43483</c:v>
                </c:pt>
                <c:pt idx="136">
                  <c:v>43490</c:v>
                </c:pt>
                <c:pt idx="137">
                  <c:v>43497</c:v>
                </c:pt>
                <c:pt idx="138">
                  <c:v>43504</c:v>
                </c:pt>
                <c:pt idx="139">
                  <c:v>43511</c:v>
                </c:pt>
                <c:pt idx="140">
                  <c:v>43518</c:v>
                </c:pt>
                <c:pt idx="141">
                  <c:v>43525</c:v>
                </c:pt>
                <c:pt idx="142">
                  <c:v>43532</c:v>
                </c:pt>
                <c:pt idx="143">
                  <c:v>43539</c:v>
                </c:pt>
                <c:pt idx="144">
                  <c:v>43546</c:v>
                </c:pt>
                <c:pt idx="145">
                  <c:v>43553</c:v>
                </c:pt>
                <c:pt idx="146">
                  <c:v>43560</c:v>
                </c:pt>
                <c:pt idx="147">
                  <c:v>43567</c:v>
                </c:pt>
                <c:pt idx="148">
                  <c:v>43581</c:v>
                </c:pt>
                <c:pt idx="149">
                  <c:v>43588</c:v>
                </c:pt>
                <c:pt idx="150">
                  <c:v>43595</c:v>
                </c:pt>
                <c:pt idx="151">
                  <c:v>43602</c:v>
                </c:pt>
                <c:pt idx="152">
                  <c:v>43609</c:v>
                </c:pt>
                <c:pt idx="153">
                  <c:v>43616</c:v>
                </c:pt>
                <c:pt idx="154">
                  <c:v>43623</c:v>
                </c:pt>
                <c:pt idx="155">
                  <c:v>43630</c:v>
                </c:pt>
                <c:pt idx="156">
                  <c:v>43637</c:v>
                </c:pt>
                <c:pt idx="157">
                  <c:v>43644</c:v>
                </c:pt>
                <c:pt idx="158">
                  <c:v>43651</c:v>
                </c:pt>
                <c:pt idx="159">
                  <c:v>43658</c:v>
                </c:pt>
                <c:pt idx="160">
                  <c:v>43665</c:v>
                </c:pt>
                <c:pt idx="161">
                  <c:v>43672</c:v>
                </c:pt>
                <c:pt idx="162">
                  <c:v>43679</c:v>
                </c:pt>
                <c:pt idx="163">
                  <c:v>43686</c:v>
                </c:pt>
                <c:pt idx="164">
                  <c:v>43693</c:v>
                </c:pt>
                <c:pt idx="165">
                  <c:v>43700</c:v>
                </c:pt>
                <c:pt idx="166">
                  <c:v>43707</c:v>
                </c:pt>
                <c:pt idx="167">
                  <c:v>43714</c:v>
                </c:pt>
                <c:pt idx="168">
                  <c:v>43721</c:v>
                </c:pt>
                <c:pt idx="169">
                  <c:v>43728</c:v>
                </c:pt>
                <c:pt idx="170">
                  <c:v>43735</c:v>
                </c:pt>
                <c:pt idx="171">
                  <c:v>43742</c:v>
                </c:pt>
                <c:pt idx="172">
                  <c:v>43749</c:v>
                </c:pt>
                <c:pt idx="173">
                  <c:v>43756</c:v>
                </c:pt>
                <c:pt idx="174">
                  <c:v>43763</c:v>
                </c:pt>
                <c:pt idx="175">
                  <c:v>43770</c:v>
                </c:pt>
                <c:pt idx="176">
                  <c:v>43777</c:v>
                </c:pt>
                <c:pt idx="177">
                  <c:v>43784</c:v>
                </c:pt>
                <c:pt idx="178">
                  <c:v>43791</c:v>
                </c:pt>
                <c:pt idx="179">
                  <c:v>43798</c:v>
                </c:pt>
                <c:pt idx="180">
                  <c:v>43805</c:v>
                </c:pt>
                <c:pt idx="181">
                  <c:v>43812</c:v>
                </c:pt>
                <c:pt idx="182">
                  <c:v>43819</c:v>
                </c:pt>
                <c:pt idx="183">
                  <c:v>43826</c:v>
                </c:pt>
                <c:pt idx="184">
                  <c:v>43833</c:v>
                </c:pt>
                <c:pt idx="185">
                  <c:v>43840</c:v>
                </c:pt>
                <c:pt idx="186">
                  <c:v>43854</c:v>
                </c:pt>
                <c:pt idx="187">
                  <c:v>43861</c:v>
                </c:pt>
                <c:pt idx="188">
                  <c:v>43868</c:v>
                </c:pt>
                <c:pt idx="189">
                  <c:v>43875</c:v>
                </c:pt>
                <c:pt idx="190">
                  <c:v>43882</c:v>
                </c:pt>
                <c:pt idx="191">
                  <c:v>43889</c:v>
                </c:pt>
                <c:pt idx="192">
                  <c:v>43896</c:v>
                </c:pt>
                <c:pt idx="193">
                  <c:v>43903</c:v>
                </c:pt>
                <c:pt idx="194">
                  <c:v>43910</c:v>
                </c:pt>
                <c:pt idx="195">
                  <c:v>43917</c:v>
                </c:pt>
                <c:pt idx="196">
                  <c:v>43924</c:v>
                </c:pt>
                <c:pt idx="197">
                  <c:v>43938</c:v>
                </c:pt>
                <c:pt idx="198">
                  <c:v>43945</c:v>
                </c:pt>
                <c:pt idx="199">
                  <c:v>43952</c:v>
                </c:pt>
                <c:pt idx="200">
                  <c:v>43959</c:v>
                </c:pt>
                <c:pt idx="201">
                  <c:v>43966</c:v>
                </c:pt>
                <c:pt idx="202">
                  <c:v>43973</c:v>
                </c:pt>
                <c:pt idx="203">
                  <c:v>43980</c:v>
                </c:pt>
                <c:pt idx="204">
                  <c:v>43987</c:v>
                </c:pt>
                <c:pt idx="205">
                  <c:v>43994</c:v>
                </c:pt>
                <c:pt idx="206">
                  <c:v>44001</c:v>
                </c:pt>
                <c:pt idx="207">
                  <c:v>44008</c:v>
                </c:pt>
                <c:pt idx="208">
                  <c:v>44015</c:v>
                </c:pt>
                <c:pt idx="209">
                  <c:v>44022</c:v>
                </c:pt>
                <c:pt idx="210">
                  <c:v>44029</c:v>
                </c:pt>
                <c:pt idx="211">
                  <c:v>44036</c:v>
                </c:pt>
                <c:pt idx="212">
                  <c:v>44043</c:v>
                </c:pt>
                <c:pt idx="213">
                  <c:v>44050</c:v>
                </c:pt>
                <c:pt idx="214">
                  <c:v>44057</c:v>
                </c:pt>
                <c:pt idx="215">
                  <c:v>44064</c:v>
                </c:pt>
                <c:pt idx="216">
                  <c:v>44071</c:v>
                </c:pt>
                <c:pt idx="217">
                  <c:v>44078</c:v>
                </c:pt>
                <c:pt idx="218">
                  <c:v>44085</c:v>
                </c:pt>
                <c:pt idx="219">
                  <c:v>44092</c:v>
                </c:pt>
                <c:pt idx="220">
                  <c:v>44099</c:v>
                </c:pt>
                <c:pt idx="221">
                  <c:v>44106</c:v>
                </c:pt>
                <c:pt idx="222">
                  <c:v>44113</c:v>
                </c:pt>
                <c:pt idx="223">
                  <c:v>44120</c:v>
                </c:pt>
                <c:pt idx="224">
                  <c:v>44127</c:v>
                </c:pt>
                <c:pt idx="225">
                  <c:v>44134</c:v>
                </c:pt>
                <c:pt idx="226">
                  <c:v>44141</c:v>
                </c:pt>
                <c:pt idx="227">
                  <c:v>44148</c:v>
                </c:pt>
                <c:pt idx="228">
                  <c:v>44155</c:v>
                </c:pt>
                <c:pt idx="229">
                  <c:v>44162</c:v>
                </c:pt>
                <c:pt idx="230">
                  <c:v>44169</c:v>
                </c:pt>
                <c:pt idx="231">
                  <c:v>44176</c:v>
                </c:pt>
                <c:pt idx="232">
                  <c:v>44183</c:v>
                </c:pt>
                <c:pt idx="233">
                  <c:v>44204</c:v>
                </c:pt>
                <c:pt idx="234">
                  <c:v>44211</c:v>
                </c:pt>
                <c:pt idx="235">
                  <c:v>44218</c:v>
                </c:pt>
                <c:pt idx="236">
                  <c:v>44225</c:v>
                </c:pt>
                <c:pt idx="237">
                  <c:v>44232</c:v>
                </c:pt>
                <c:pt idx="238">
                  <c:v>44239</c:v>
                </c:pt>
                <c:pt idx="239">
                  <c:v>44246</c:v>
                </c:pt>
                <c:pt idx="240">
                  <c:v>44253</c:v>
                </c:pt>
                <c:pt idx="241">
                  <c:v>44260</c:v>
                </c:pt>
                <c:pt idx="242">
                  <c:v>44267</c:v>
                </c:pt>
                <c:pt idx="243">
                  <c:v>44274</c:v>
                </c:pt>
                <c:pt idx="244">
                  <c:v>44281</c:v>
                </c:pt>
                <c:pt idx="245">
                  <c:v>44295</c:v>
                </c:pt>
                <c:pt idx="246">
                  <c:v>44302</c:v>
                </c:pt>
                <c:pt idx="247">
                  <c:v>44309</c:v>
                </c:pt>
                <c:pt idx="248">
                  <c:v>44316</c:v>
                </c:pt>
                <c:pt idx="249">
                  <c:v>44323</c:v>
                </c:pt>
                <c:pt idx="250">
                  <c:v>44330</c:v>
                </c:pt>
                <c:pt idx="251">
                  <c:v>44337</c:v>
                </c:pt>
                <c:pt idx="252">
                  <c:v>44344</c:v>
                </c:pt>
                <c:pt idx="253">
                  <c:v>44351</c:v>
                </c:pt>
                <c:pt idx="254">
                  <c:v>44358</c:v>
                </c:pt>
                <c:pt idx="255">
                  <c:v>44365</c:v>
                </c:pt>
                <c:pt idx="256">
                  <c:v>44372</c:v>
                </c:pt>
                <c:pt idx="257">
                  <c:v>44379</c:v>
                </c:pt>
                <c:pt idx="258">
                  <c:v>44386</c:v>
                </c:pt>
                <c:pt idx="259">
                  <c:v>44393</c:v>
                </c:pt>
                <c:pt idx="260">
                  <c:v>44400</c:v>
                </c:pt>
                <c:pt idx="261">
                  <c:v>44407</c:v>
                </c:pt>
                <c:pt idx="262">
                  <c:v>44414</c:v>
                </c:pt>
                <c:pt idx="263">
                  <c:v>44421</c:v>
                </c:pt>
                <c:pt idx="264">
                  <c:v>44428</c:v>
                </c:pt>
                <c:pt idx="265">
                  <c:v>44435</c:v>
                </c:pt>
                <c:pt idx="266">
                  <c:v>44442</c:v>
                </c:pt>
                <c:pt idx="267">
                  <c:v>44449</c:v>
                </c:pt>
                <c:pt idx="268">
                  <c:v>44456</c:v>
                </c:pt>
                <c:pt idx="269">
                  <c:v>44463</c:v>
                </c:pt>
                <c:pt idx="270">
                  <c:v>44470</c:v>
                </c:pt>
                <c:pt idx="271">
                  <c:v>44477</c:v>
                </c:pt>
                <c:pt idx="272">
                  <c:v>44484</c:v>
                </c:pt>
                <c:pt idx="273">
                  <c:v>44491</c:v>
                </c:pt>
                <c:pt idx="274">
                  <c:v>44498</c:v>
                </c:pt>
                <c:pt idx="275">
                  <c:v>44505</c:v>
                </c:pt>
                <c:pt idx="276">
                  <c:v>44512</c:v>
                </c:pt>
                <c:pt idx="277">
                  <c:v>44519</c:v>
                </c:pt>
                <c:pt idx="278">
                  <c:v>44526</c:v>
                </c:pt>
                <c:pt idx="279">
                  <c:v>44533</c:v>
                </c:pt>
                <c:pt idx="280">
                  <c:v>44540</c:v>
                </c:pt>
                <c:pt idx="281">
                  <c:v>44547</c:v>
                </c:pt>
                <c:pt idx="282">
                  <c:v>44554</c:v>
                </c:pt>
                <c:pt idx="283">
                  <c:v>44561</c:v>
                </c:pt>
                <c:pt idx="284">
                  <c:v>44568</c:v>
                </c:pt>
                <c:pt idx="285">
                  <c:v>44575</c:v>
                </c:pt>
                <c:pt idx="286">
                  <c:v>44582</c:v>
                </c:pt>
                <c:pt idx="287">
                  <c:v>44589</c:v>
                </c:pt>
                <c:pt idx="288">
                  <c:v>44596</c:v>
                </c:pt>
                <c:pt idx="289">
                  <c:v>44603</c:v>
                </c:pt>
                <c:pt idx="290">
                  <c:v>44610</c:v>
                </c:pt>
                <c:pt idx="291">
                  <c:v>44617</c:v>
                </c:pt>
                <c:pt idx="292">
                  <c:v>44624</c:v>
                </c:pt>
                <c:pt idx="293">
                  <c:v>44631</c:v>
                </c:pt>
                <c:pt idx="294">
                  <c:v>44638</c:v>
                </c:pt>
                <c:pt idx="295">
                  <c:v>44645</c:v>
                </c:pt>
                <c:pt idx="296">
                  <c:v>44652</c:v>
                </c:pt>
                <c:pt idx="297">
                  <c:v>44659</c:v>
                </c:pt>
                <c:pt idx="298">
                  <c:v>44673</c:v>
                </c:pt>
                <c:pt idx="299">
                  <c:v>44680</c:v>
                </c:pt>
                <c:pt idx="300">
                  <c:v>44687</c:v>
                </c:pt>
                <c:pt idx="301">
                  <c:v>44694</c:v>
                </c:pt>
                <c:pt idx="302">
                  <c:v>44701</c:v>
                </c:pt>
                <c:pt idx="303">
                  <c:v>44708</c:v>
                </c:pt>
                <c:pt idx="304">
                  <c:v>44715</c:v>
                </c:pt>
                <c:pt idx="305">
                  <c:v>44722</c:v>
                </c:pt>
                <c:pt idx="306">
                  <c:v>44729</c:v>
                </c:pt>
                <c:pt idx="307">
                  <c:v>44736</c:v>
                </c:pt>
                <c:pt idx="308">
                  <c:v>44743</c:v>
                </c:pt>
                <c:pt idx="309">
                  <c:v>44750</c:v>
                </c:pt>
                <c:pt idx="310">
                  <c:v>44757</c:v>
                </c:pt>
                <c:pt idx="311">
                  <c:v>44764</c:v>
                </c:pt>
                <c:pt idx="312">
                  <c:v>44771</c:v>
                </c:pt>
                <c:pt idx="313">
                  <c:v>44778</c:v>
                </c:pt>
                <c:pt idx="314">
                  <c:v>44785</c:v>
                </c:pt>
                <c:pt idx="315">
                  <c:v>44792</c:v>
                </c:pt>
                <c:pt idx="316">
                  <c:v>44799</c:v>
                </c:pt>
                <c:pt idx="317">
                  <c:v>44806</c:v>
                </c:pt>
                <c:pt idx="318">
                  <c:v>44813</c:v>
                </c:pt>
                <c:pt idx="319">
                  <c:v>44820</c:v>
                </c:pt>
                <c:pt idx="320">
                  <c:v>44827</c:v>
                </c:pt>
                <c:pt idx="321">
                  <c:v>44834</c:v>
                </c:pt>
                <c:pt idx="322">
                  <c:v>44841</c:v>
                </c:pt>
                <c:pt idx="323">
                  <c:v>44848</c:v>
                </c:pt>
                <c:pt idx="324">
                  <c:v>44855</c:v>
                </c:pt>
                <c:pt idx="325">
                  <c:v>44862</c:v>
                </c:pt>
                <c:pt idx="326">
                  <c:v>44869</c:v>
                </c:pt>
                <c:pt idx="327">
                  <c:v>44876</c:v>
                </c:pt>
                <c:pt idx="328">
                  <c:v>44883</c:v>
                </c:pt>
                <c:pt idx="329">
                  <c:v>44890</c:v>
                </c:pt>
                <c:pt idx="330">
                  <c:v>44897</c:v>
                </c:pt>
                <c:pt idx="331">
                  <c:v>44904</c:v>
                </c:pt>
                <c:pt idx="332">
                  <c:v>44911</c:v>
                </c:pt>
                <c:pt idx="333">
                  <c:v>44918</c:v>
                </c:pt>
                <c:pt idx="334">
                  <c:v>44925</c:v>
                </c:pt>
                <c:pt idx="335">
                  <c:v>44932</c:v>
                </c:pt>
                <c:pt idx="336">
                  <c:v>44939</c:v>
                </c:pt>
                <c:pt idx="337">
                  <c:v>44946</c:v>
                </c:pt>
                <c:pt idx="338">
                  <c:v>44953</c:v>
                </c:pt>
                <c:pt idx="339">
                  <c:v>44960</c:v>
                </c:pt>
                <c:pt idx="340">
                  <c:v>44967</c:v>
                </c:pt>
                <c:pt idx="341">
                  <c:v>44974</c:v>
                </c:pt>
                <c:pt idx="342">
                  <c:v>44981</c:v>
                </c:pt>
                <c:pt idx="343">
                  <c:v>44988</c:v>
                </c:pt>
                <c:pt idx="344">
                  <c:v>44995</c:v>
                </c:pt>
                <c:pt idx="345">
                  <c:v>45002</c:v>
                </c:pt>
                <c:pt idx="346">
                  <c:v>45009</c:v>
                </c:pt>
                <c:pt idx="347">
                  <c:v>45016</c:v>
                </c:pt>
                <c:pt idx="348">
                  <c:v>45030</c:v>
                </c:pt>
                <c:pt idx="349">
                  <c:v>45037</c:v>
                </c:pt>
                <c:pt idx="350">
                  <c:v>45044</c:v>
                </c:pt>
                <c:pt idx="351">
                  <c:v>45051</c:v>
                </c:pt>
                <c:pt idx="352">
                  <c:v>45058</c:v>
                </c:pt>
              </c:numCache>
            </c:numRef>
          </c:cat>
          <c:val>
            <c:numRef>
              <c:f>Participation!$R$9:$R$361</c:f>
              <c:numCache>
                <c:formatCode>0</c:formatCode>
                <c:ptCount val="353"/>
                <c:pt idx="0">
                  <c:v>-5.804597701149425</c:v>
                </c:pt>
                <c:pt idx="1">
                  <c:v>-5.775862068965516</c:v>
                </c:pt>
                <c:pt idx="2">
                  <c:v>-5.7471264367816079</c:v>
                </c:pt>
                <c:pt idx="3">
                  <c:v>-5.7183908045977008</c:v>
                </c:pt>
                <c:pt idx="4">
                  <c:v>-5.6896551724137936</c:v>
                </c:pt>
                <c:pt idx="5">
                  <c:v>-5.6609195402298864</c:v>
                </c:pt>
                <c:pt idx="6">
                  <c:v>-5.6321839080459792</c:v>
                </c:pt>
                <c:pt idx="7">
                  <c:v>-5.6034482758620721</c:v>
                </c:pt>
                <c:pt idx="8">
                  <c:v>-5.5747126436781649</c:v>
                </c:pt>
                <c:pt idx="9">
                  <c:v>-5.5459770114942568</c:v>
                </c:pt>
                <c:pt idx="10">
                  <c:v>-5.5172413793103487</c:v>
                </c:pt>
                <c:pt idx="11">
                  <c:v>-5.4885057471264407</c:v>
                </c:pt>
                <c:pt idx="12">
                  <c:v>-5.4597701149425326</c:v>
                </c:pt>
                <c:pt idx="13">
                  <c:v>-5.4310344827586228</c:v>
                </c:pt>
                <c:pt idx="14">
                  <c:v>-5.4022988505747129</c:v>
                </c:pt>
                <c:pt idx="15">
                  <c:v>-5.3735632183908031</c:v>
                </c:pt>
                <c:pt idx="16">
                  <c:v>-5.3448275862068932</c:v>
                </c:pt>
                <c:pt idx="17">
                  <c:v>-5.3160919540229834</c:v>
                </c:pt>
                <c:pt idx="18">
                  <c:v>-5.2873563218390736</c:v>
                </c:pt>
                <c:pt idx="19">
                  <c:v>-5.2586206896551637</c:v>
                </c:pt>
                <c:pt idx="20">
                  <c:v>-5.2298850574712539</c:v>
                </c:pt>
                <c:pt idx="21">
                  <c:v>-5.201149425287344</c:v>
                </c:pt>
                <c:pt idx="22">
                  <c:v>-5.1724137931034342</c:v>
                </c:pt>
                <c:pt idx="23">
                  <c:v>-5.1436781609195243</c:v>
                </c:pt>
                <c:pt idx="24">
                  <c:v>-5.1149425287356145</c:v>
                </c:pt>
                <c:pt idx="25">
                  <c:v>-5.0862068965517047</c:v>
                </c:pt>
                <c:pt idx="26">
                  <c:v>-5.0574712643677948</c:v>
                </c:pt>
                <c:pt idx="27">
                  <c:v>-5.028735632183885</c:v>
                </c:pt>
                <c:pt idx="28">
                  <c:v>-4.9999999999999751</c:v>
                </c:pt>
                <c:pt idx="29">
                  <c:v>-4.9999999999999751</c:v>
                </c:pt>
                <c:pt idx="30">
                  <c:v>-5.9999999999999751</c:v>
                </c:pt>
                <c:pt idx="31">
                  <c:v>-5.9999999999999751</c:v>
                </c:pt>
                <c:pt idx="32">
                  <c:v>-5.9999999999999751</c:v>
                </c:pt>
                <c:pt idx="33">
                  <c:v>-6.9999999999999751</c:v>
                </c:pt>
                <c:pt idx="34">
                  <c:v>-6.9999999999999751</c:v>
                </c:pt>
                <c:pt idx="35">
                  <c:v>-6.9999999999999751</c:v>
                </c:pt>
                <c:pt idx="36">
                  <c:v>-5.9999999999999751</c:v>
                </c:pt>
                <c:pt idx="37">
                  <c:v>-4.9999999999999716</c:v>
                </c:pt>
                <c:pt idx="38">
                  <c:v>-4.9999999999999716</c:v>
                </c:pt>
                <c:pt idx="39">
                  <c:v>-4.9999999999999716</c:v>
                </c:pt>
                <c:pt idx="40">
                  <c:v>-4.0000000799999924</c:v>
                </c:pt>
                <c:pt idx="41">
                  <c:v>-4.0000000799999924</c:v>
                </c:pt>
                <c:pt idx="42">
                  <c:v>-4.0000000799999924</c:v>
                </c:pt>
                <c:pt idx="43">
                  <c:v>-4.0000000799999924</c:v>
                </c:pt>
                <c:pt idx="44">
                  <c:v>-3.0000000799999924</c:v>
                </c:pt>
                <c:pt idx="45">
                  <c:v>-3.0000000799999924</c:v>
                </c:pt>
                <c:pt idx="46">
                  <c:v>-3.0000000799999924</c:v>
                </c:pt>
                <c:pt idx="47">
                  <c:v>-3.0000000799999924</c:v>
                </c:pt>
                <c:pt idx="48">
                  <c:v>-3.0000000799999924</c:v>
                </c:pt>
                <c:pt idx="49">
                  <c:v>-3.0000000799999924</c:v>
                </c:pt>
                <c:pt idx="50">
                  <c:v>-3.0000000799999924</c:v>
                </c:pt>
                <c:pt idx="51">
                  <c:v>-3.0000000799999924</c:v>
                </c:pt>
                <c:pt idx="52">
                  <c:v>-3.0000000799999924</c:v>
                </c:pt>
                <c:pt idx="53">
                  <c:v>-3.0000000799999924</c:v>
                </c:pt>
                <c:pt idx="54">
                  <c:v>-4.0000000799999924</c:v>
                </c:pt>
                <c:pt idx="55">
                  <c:v>-5.0000000799999924</c:v>
                </c:pt>
                <c:pt idx="56">
                  <c:v>-6.0000000799999924</c:v>
                </c:pt>
                <c:pt idx="57">
                  <c:v>-6.0000000799999924</c:v>
                </c:pt>
                <c:pt idx="58">
                  <c:v>-5.0000000799999924</c:v>
                </c:pt>
                <c:pt idx="59">
                  <c:v>-4.0000000799999924</c:v>
                </c:pt>
                <c:pt idx="60">
                  <c:v>-3.0000000799999924</c:v>
                </c:pt>
                <c:pt idx="61">
                  <c:v>-2.0000000799999924</c:v>
                </c:pt>
                <c:pt idx="62">
                  <c:v>-1.0000000799999924</c:v>
                </c:pt>
                <c:pt idx="63">
                  <c:v>-1.0000000799999924</c:v>
                </c:pt>
                <c:pt idx="64">
                  <c:v>-1.0000000799999924</c:v>
                </c:pt>
                <c:pt idx="65">
                  <c:v>-1.0000000799999924</c:v>
                </c:pt>
                <c:pt idx="66">
                  <c:v>-1.0000000799999924</c:v>
                </c:pt>
                <c:pt idx="67">
                  <c:v>-1.0000000799999924</c:v>
                </c:pt>
                <c:pt idx="68">
                  <c:v>-1.0000000799999924</c:v>
                </c:pt>
                <c:pt idx="69">
                  <c:v>-1.0000000799999924</c:v>
                </c:pt>
                <c:pt idx="70">
                  <c:v>-1.0000000799999924</c:v>
                </c:pt>
                <c:pt idx="71">
                  <c:v>-1.0000000799999924</c:v>
                </c:pt>
                <c:pt idx="72">
                  <c:v>-1.0000000799999924</c:v>
                </c:pt>
                <c:pt idx="73">
                  <c:v>-1.0000000799999924</c:v>
                </c:pt>
                <c:pt idx="74">
                  <c:v>-7.9999992408374965E-8</c:v>
                </c:pt>
                <c:pt idx="75">
                  <c:v>-7.9999992408374965E-8</c:v>
                </c:pt>
                <c:pt idx="76">
                  <c:v>-7.9999992408374965E-8</c:v>
                </c:pt>
                <c:pt idx="77">
                  <c:v>-7.9999992408374965E-8</c:v>
                </c:pt>
                <c:pt idx="78">
                  <c:v>-7.9999992408374965E-8</c:v>
                </c:pt>
                <c:pt idx="79">
                  <c:v>-7.9999992408374965E-8</c:v>
                </c:pt>
                <c:pt idx="80">
                  <c:v>-7.9999992408374965E-8</c:v>
                </c:pt>
                <c:pt idx="81">
                  <c:v>-1.0000000799999924</c:v>
                </c:pt>
                <c:pt idx="82">
                  <c:v>-2.0000000799999924</c:v>
                </c:pt>
                <c:pt idx="83">
                  <c:v>-2.0000000799999924</c:v>
                </c:pt>
                <c:pt idx="84">
                  <c:v>-1.0000000799999924</c:v>
                </c:pt>
                <c:pt idx="85">
                  <c:v>-2.0000000799999924</c:v>
                </c:pt>
                <c:pt idx="86">
                  <c:v>-1.0000000799999924</c:v>
                </c:pt>
                <c:pt idx="87">
                  <c:v>-1.0000000799999924</c:v>
                </c:pt>
                <c:pt idx="88">
                  <c:v>-1.0000000799999924</c:v>
                </c:pt>
                <c:pt idx="89">
                  <c:v>-1.0000000799999924</c:v>
                </c:pt>
                <c:pt idx="90">
                  <c:v>-1.0000000799999924</c:v>
                </c:pt>
                <c:pt idx="91">
                  <c:v>-1.0000000799999924</c:v>
                </c:pt>
                <c:pt idx="92">
                  <c:v>-2.0000000799999924</c:v>
                </c:pt>
                <c:pt idx="93">
                  <c:v>-2.0000000799999924</c:v>
                </c:pt>
                <c:pt idx="94">
                  <c:v>-1.0000000799999924</c:v>
                </c:pt>
                <c:pt idx="95">
                  <c:v>-1.0000000799999924</c:v>
                </c:pt>
                <c:pt idx="96">
                  <c:v>-1.0000000799999924</c:v>
                </c:pt>
                <c:pt idx="97">
                  <c:v>-1.0000000799999924</c:v>
                </c:pt>
                <c:pt idx="98">
                  <c:v>-1.0000000799999924</c:v>
                </c:pt>
                <c:pt idx="99">
                  <c:v>-7.9999992408374965E-8</c:v>
                </c:pt>
                <c:pt idx="100">
                  <c:v>-7.9999992408374965E-8</c:v>
                </c:pt>
                <c:pt idx="101">
                  <c:v>0.99999992000000759</c:v>
                </c:pt>
                <c:pt idx="102">
                  <c:v>0.99999992000000759</c:v>
                </c:pt>
                <c:pt idx="103">
                  <c:v>0.99999992000000759</c:v>
                </c:pt>
                <c:pt idx="104">
                  <c:v>1.9999999200000076</c:v>
                </c:pt>
                <c:pt idx="105">
                  <c:v>1.9999999200000076</c:v>
                </c:pt>
                <c:pt idx="106">
                  <c:v>1.9999999200000076</c:v>
                </c:pt>
                <c:pt idx="107">
                  <c:v>1.9999999200000076</c:v>
                </c:pt>
                <c:pt idx="108">
                  <c:v>1.9999999200000076</c:v>
                </c:pt>
                <c:pt idx="109">
                  <c:v>1.9999999200000076</c:v>
                </c:pt>
                <c:pt idx="110">
                  <c:v>1.9999999200000076</c:v>
                </c:pt>
                <c:pt idx="111">
                  <c:v>1.9999999200000076</c:v>
                </c:pt>
                <c:pt idx="112">
                  <c:v>1.9999999200000076</c:v>
                </c:pt>
                <c:pt idx="113">
                  <c:v>1.9999999200000076</c:v>
                </c:pt>
                <c:pt idx="114">
                  <c:v>2.9999999200000076</c:v>
                </c:pt>
                <c:pt idx="115">
                  <c:v>2.9999999200000076</c:v>
                </c:pt>
                <c:pt idx="116">
                  <c:v>3.9999999200000076</c:v>
                </c:pt>
                <c:pt idx="117">
                  <c:v>4.9999999200000076</c:v>
                </c:pt>
                <c:pt idx="118">
                  <c:v>4.9999999200000076</c:v>
                </c:pt>
                <c:pt idx="119">
                  <c:v>3.9999999200000076</c:v>
                </c:pt>
                <c:pt idx="120">
                  <c:v>3.9999999200000076</c:v>
                </c:pt>
                <c:pt idx="121">
                  <c:v>3.9999999200000076</c:v>
                </c:pt>
                <c:pt idx="122">
                  <c:v>3.9999999200000076</c:v>
                </c:pt>
                <c:pt idx="123">
                  <c:v>3.9999999200000076</c:v>
                </c:pt>
                <c:pt idx="124">
                  <c:v>3.9999999200000076</c:v>
                </c:pt>
                <c:pt idx="125">
                  <c:v>2.9999999200000076</c:v>
                </c:pt>
                <c:pt idx="126">
                  <c:v>2.9999999200000076</c:v>
                </c:pt>
                <c:pt idx="127">
                  <c:v>2.9999999200000076</c:v>
                </c:pt>
                <c:pt idx="128">
                  <c:v>2.9999999200000076</c:v>
                </c:pt>
                <c:pt idx="129">
                  <c:v>2.9999999200000076</c:v>
                </c:pt>
                <c:pt idx="130">
                  <c:v>3.9999999200000076</c:v>
                </c:pt>
                <c:pt idx="131">
                  <c:v>3.9999999200000076</c:v>
                </c:pt>
                <c:pt idx="132">
                  <c:v>2.9999999200000076</c:v>
                </c:pt>
                <c:pt idx="133">
                  <c:v>2.9999999200000076</c:v>
                </c:pt>
                <c:pt idx="134">
                  <c:v>3.9999999200000076</c:v>
                </c:pt>
                <c:pt idx="135">
                  <c:v>4.9999999200000076</c:v>
                </c:pt>
                <c:pt idx="136">
                  <c:v>5.9999999200000076</c:v>
                </c:pt>
                <c:pt idx="137">
                  <c:v>5.9999999200000076</c:v>
                </c:pt>
                <c:pt idx="138">
                  <c:v>5.9999999200000076</c:v>
                </c:pt>
                <c:pt idx="139">
                  <c:v>5.9999999200000076</c:v>
                </c:pt>
                <c:pt idx="140">
                  <c:v>5.9999999200000076</c:v>
                </c:pt>
                <c:pt idx="141">
                  <c:v>6.9999999200000076</c:v>
                </c:pt>
                <c:pt idx="142">
                  <c:v>6.9999999200000076</c:v>
                </c:pt>
                <c:pt idx="143">
                  <c:v>7.9999999200000076</c:v>
                </c:pt>
                <c:pt idx="144">
                  <c:v>6.9999999200000076</c:v>
                </c:pt>
                <c:pt idx="145">
                  <c:v>7.9999999200000076</c:v>
                </c:pt>
                <c:pt idx="146">
                  <c:v>7.9999999200000076</c:v>
                </c:pt>
                <c:pt idx="147">
                  <c:v>8.0000000000000284</c:v>
                </c:pt>
                <c:pt idx="148">
                  <c:v>8.0000000000000284</c:v>
                </c:pt>
                <c:pt idx="149">
                  <c:v>8.0000000000000284</c:v>
                </c:pt>
                <c:pt idx="150">
                  <c:v>8.0000000000000142</c:v>
                </c:pt>
                <c:pt idx="151">
                  <c:v>8.0000000000000142</c:v>
                </c:pt>
                <c:pt idx="152">
                  <c:v>8.0000000000000142</c:v>
                </c:pt>
                <c:pt idx="153">
                  <c:v>7.0000000000000142</c:v>
                </c:pt>
                <c:pt idx="154">
                  <c:v>7.0000000000000142</c:v>
                </c:pt>
                <c:pt idx="155">
                  <c:v>7.0000000000000142</c:v>
                </c:pt>
                <c:pt idx="156">
                  <c:v>7.0000000000000142</c:v>
                </c:pt>
                <c:pt idx="157">
                  <c:v>7.0000000000000142</c:v>
                </c:pt>
                <c:pt idx="158">
                  <c:v>7.0000000000000142</c:v>
                </c:pt>
                <c:pt idx="159">
                  <c:v>7.0000000000000142</c:v>
                </c:pt>
                <c:pt idx="160">
                  <c:v>8.0000000000000142</c:v>
                </c:pt>
                <c:pt idx="161">
                  <c:v>7.0000000000000142</c:v>
                </c:pt>
                <c:pt idx="162">
                  <c:v>7.0000000000000142</c:v>
                </c:pt>
                <c:pt idx="163">
                  <c:v>7</c:v>
                </c:pt>
                <c:pt idx="164">
                  <c:v>7</c:v>
                </c:pt>
                <c:pt idx="165">
                  <c:v>7</c:v>
                </c:pt>
                <c:pt idx="166">
                  <c:v>7</c:v>
                </c:pt>
                <c:pt idx="167">
                  <c:v>7</c:v>
                </c:pt>
                <c:pt idx="168">
                  <c:v>6</c:v>
                </c:pt>
                <c:pt idx="169">
                  <c:v>7</c:v>
                </c:pt>
                <c:pt idx="170">
                  <c:v>7</c:v>
                </c:pt>
                <c:pt idx="171">
                  <c:v>7</c:v>
                </c:pt>
                <c:pt idx="172">
                  <c:v>7</c:v>
                </c:pt>
                <c:pt idx="173">
                  <c:v>7</c:v>
                </c:pt>
                <c:pt idx="174">
                  <c:v>6</c:v>
                </c:pt>
                <c:pt idx="175">
                  <c:v>6</c:v>
                </c:pt>
                <c:pt idx="176">
                  <c:v>6</c:v>
                </c:pt>
                <c:pt idx="177">
                  <c:v>7</c:v>
                </c:pt>
                <c:pt idx="178">
                  <c:v>7</c:v>
                </c:pt>
                <c:pt idx="179">
                  <c:v>7</c:v>
                </c:pt>
                <c:pt idx="180">
                  <c:v>7</c:v>
                </c:pt>
                <c:pt idx="181">
                  <c:v>6</c:v>
                </c:pt>
                <c:pt idx="182">
                  <c:v>6</c:v>
                </c:pt>
                <c:pt idx="183">
                  <c:v>5</c:v>
                </c:pt>
                <c:pt idx="184">
                  <c:v>5</c:v>
                </c:pt>
                <c:pt idx="185">
                  <c:v>5</c:v>
                </c:pt>
                <c:pt idx="186">
                  <c:v>5</c:v>
                </c:pt>
                <c:pt idx="187">
                  <c:v>5</c:v>
                </c:pt>
                <c:pt idx="188">
                  <c:v>5</c:v>
                </c:pt>
                <c:pt idx="189">
                  <c:v>5</c:v>
                </c:pt>
                <c:pt idx="190">
                  <c:v>5</c:v>
                </c:pt>
                <c:pt idx="191">
                  <c:v>5</c:v>
                </c:pt>
                <c:pt idx="192">
                  <c:v>5</c:v>
                </c:pt>
                <c:pt idx="193">
                  <c:v>6</c:v>
                </c:pt>
                <c:pt idx="194">
                  <c:v>6</c:v>
                </c:pt>
                <c:pt idx="195">
                  <c:v>6</c:v>
                </c:pt>
                <c:pt idx="196">
                  <c:v>6</c:v>
                </c:pt>
                <c:pt idx="197">
                  <c:v>6</c:v>
                </c:pt>
                <c:pt idx="198">
                  <c:v>6</c:v>
                </c:pt>
                <c:pt idx="199">
                  <c:v>6</c:v>
                </c:pt>
                <c:pt idx="200">
                  <c:v>6</c:v>
                </c:pt>
                <c:pt idx="201">
                  <c:v>6</c:v>
                </c:pt>
                <c:pt idx="202">
                  <c:v>5</c:v>
                </c:pt>
                <c:pt idx="203">
                  <c:v>5</c:v>
                </c:pt>
                <c:pt idx="204">
                  <c:v>5</c:v>
                </c:pt>
                <c:pt idx="205">
                  <c:v>5</c:v>
                </c:pt>
                <c:pt idx="206">
                  <c:v>5</c:v>
                </c:pt>
                <c:pt idx="207">
                  <c:v>5</c:v>
                </c:pt>
                <c:pt idx="208">
                  <c:v>5</c:v>
                </c:pt>
                <c:pt idx="209">
                  <c:v>5</c:v>
                </c:pt>
                <c:pt idx="210">
                  <c:v>6</c:v>
                </c:pt>
                <c:pt idx="211">
                  <c:v>5</c:v>
                </c:pt>
                <c:pt idx="212">
                  <c:v>5</c:v>
                </c:pt>
                <c:pt idx="213">
                  <c:v>5</c:v>
                </c:pt>
                <c:pt idx="214">
                  <c:v>5</c:v>
                </c:pt>
                <c:pt idx="215">
                  <c:v>6</c:v>
                </c:pt>
                <c:pt idx="216">
                  <c:v>6</c:v>
                </c:pt>
                <c:pt idx="217">
                  <c:v>6</c:v>
                </c:pt>
                <c:pt idx="218">
                  <c:v>6</c:v>
                </c:pt>
                <c:pt idx="219">
                  <c:v>6</c:v>
                </c:pt>
                <c:pt idx="220">
                  <c:v>6</c:v>
                </c:pt>
                <c:pt idx="221">
                  <c:v>6</c:v>
                </c:pt>
                <c:pt idx="222">
                  <c:v>7</c:v>
                </c:pt>
                <c:pt idx="223">
                  <c:v>7</c:v>
                </c:pt>
                <c:pt idx="224">
                  <c:v>8</c:v>
                </c:pt>
                <c:pt idx="225">
                  <c:v>8</c:v>
                </c:pt>
                <c:pt idx="226">
                  <c:v>9</c:v>
                </c:pt>
                <c:pt idx="227">
                  <c:v>9</c:v>
                </c:pt>
                <c:pt idx="228">
                  <c:v>9</c:v>
                </c:pt>
                <c:pt idx="229">
                  <c:v>9</c:v>
                </c:pt>
                <c:pt idx="230">
                  <c:v>9</c:v>
                </c:pt>
                <c:pt idx="231">
                  <c:v>9</c:v>
                </c:pt>
                <c:pt idx="232">
                  <c:v>10</c:v>
                </c:pt>
                <c:pt idx="233">
                  <c:v>11</c:v>
                </c:pt>
                <c:pt idx="234">
                  <c:v>12</c:v>
                </c:pt>
                <c:pt idx="235">
                  <c:v>12</c:v>
                </c:pt>
                <c:pt idx="236">
                  <c:v>11</c:v>
                </c:pt>
                <c:pt idx="237">
                  <c:v>11</c:v>
                </c:pt>
                <c:pt idx="238">
                  <c:v>11</c:v>
                </c:pt>
                <c:pt idx="239">
                  <c:v>12</c:v>
                </c:pt>
                <c:pt idx="240">
                  <c:v>11</c:v>
                </c:pt>
                <c:pt idx="241">
                  <c:v>11</c:v>
                </c:pt>
                <c:pt idx="242">
                  <c:v>11</c:v>
                </c:pt>
                <c:pt idx="243">
                  <c:v>11</c:v>
                </c:pt>
                <c:pt idx="244">
                  <c:v>10</c:v>
                </c:pt>
                <c:pt idx="245">
                  <c:v>10</c:v>
                </c:pt>
                <c:pt idx="246">
                  <c:v>10</c:v>
                </c:pt>
                <c:pt idx="247">
                  <c:v>10</c:v>
                </c:pt>
                <c:pt idx="248">
                  <c:v>11</c:v>
                </c:pt>
                <c:pt idx="249">
                  <c:v>11</c:v>
                </c:pt>
                <c:pt idx="250">
                  <c:v>11</c:v>
                </c:pt>
                <c:pt idx="251">
                  <c:v>12</c:v>
                </c:pt>
                <c:pt idx="252">
                  <c:v>13</c:v>
                </c:pt>
                <c:pt idx="253">
                  <c:v>13</c:v>
                </c:pt>
                <c:pt idx="254">
                  <c:v>13</c:v>
                </c:pt>
                <c:pt idx="255">
                  <c:v>13</c:v>
                </c:pt>
                <c:pt idx="256">
                  <c:v>13</c:v>
                </c:pt>
                <c:pt idx="257">
                  <c:v>14</c:v>
                </c:pt>
                <c:pt idx="258">
                  <c:v>14</c:v>
                </c:pt>
                <c:pt idx="259">
                  <c:v>15</c:v>
                </c:pt>
                <c:pt idx="260">
                  <c:v>14.999999919999993</c:v>
                </c:pt>
                <c:pt idx="261">
                  <c:v>15</c:v>
                </c:pt>
                <c:pt idx="262">
                  <c:v>15</c:v>
                </c:pt>
                <c:pt idx="263">
                  <c:v>15</c:v>
                </c:pt>
                <c:pt idx="264">
                  <c:v>14</c:v>
                </c:pt>
                <c:pt idx="265">
                  <c:v>14</c:v>
                </c:pt>
                <c:pt idx="266">
                  <c:v>15</c:v>
                </c:pt>
                <c:pt idx="267">
                  <c:v>14</c:v>
                </c:pt>
                <c:pt idx="268">
                  <c:v>14</c:v>
                </c:pt>
                <c:pt idx="269">
                  <c:v>14</c:v>
                </c:pt>
                <c:pt idx="270">
                  <c:v>15</c:v>
                </c:pt>
                <c:pt idx="271">
                  <c:v>15</c:v>
                </c:pt>
                <c:pt idx="272">
                  <c:v>16</c:v>
                </c:pt>
                <c:pt idx="273">
                  <c:v>15</c:v>
                </c:pt>
                <c:pt idx="274">
                  <c:v>14</c:v>
                </c:pt>
                <c:pt idx="275">
                  <c:v>14.999999919999993</c:v>
                </c:pt>
                <c:pt idx="276">
                  <c:v>14.999999919999993</c:v>
                </c:pt>
                <c:pt idx="277">
                  <c:v>14.999999919999993</c:v>
                </c:pt>
                <c:pt idx="278">
                  <c:v>15</c:v>
                </c:pt>
                <c:pt idx="279">
                  <c:v>15.999999919999993</c:v>
                </c:pt>
                <c:pt idx="280">
                  <c:v>15.999999919999993</c:v>
                </c:pt>
                <c:pt idx="281">
                  <c:v>14.999999919999993</c:v>
                </c:pt>
                <c:pt idx="282">
                  <c:v>14.999999919999993</c:v>
                </c:pt>
                <c:pt idx="283">
                  <c:v>14</c:v>
                </c:pt>
                <c:pt idx="284">
                  <c:v>14.999999919999993</c:v>
                </c:pt>
                <c:pt idx="285">
                  <c:v>15</c:v>
                </c:pt>
                <c:pt idx="286">
                  <c:v>15</c:v>
                </c:pt>
                <c:pt idx="287">
                  <c:v>15</c:v>
                </c:pt>
                <c:pt idx="288">
                  <c:v>15.999999919999993</c:v>
                </c:pt>
                <c:pt idx="289">
                  <c:v>15.999999919999993</c:v>
                </c:pt>
                <c:pt idx="290">
                  <c:v>15.999999919999993</c:v>
                </c:pt>
                <c:pt idx="291">
                  <c:v>16</c:v>
                </c:pt>
                <c:pt idx="292">
                  <c:v>17</c:v>
                </c:pt>
                <c:pt idx="293">
                  <c:v>17</c:v>
                </c:pt>
                <c:pt idx="294">
                  <c:v>16</c:v>
                </c:pt>
                <c:pt idx="295">
                  <c:v>17</c:v>
                </c:pt>
                <c:pt idx="296">
                  <c:v>18</c:v>
                </c:pt>
                <c:pt idx="297">
                  <c:v>18</c:v>
                </c:pt>
                <c:pt idx="298">
                  <c:v>18</c:v>
                </c:pt>
                <c:pt idx="299">
                  <c:v>18</c:v>
                </c:pt>
                <c:pt idx="300">
                  <c:v>19</c:v>
                </c:pt>
                <c:pt idx="301">
                  <c:v>18</c:v>
                </c:pt>
                <c:pt idx="302">
                  <c:v>17</c:v>
                </c:pt>
                <c:pt idx="303">
                  <c:v>17.999999919999993</c:v>
                </c:pt>
                <c:pt idx="304">
                  <c:v>18.999999919999993</c:v>
                </c:pt>
                <c:pt idx="305">
                  <c:v>18.999999919999993</c:v>
                </c:pt>
                <c:pt idx="306">
                  <c:v>17.999999919999993</c:v>
                </c:pt>
                <c:pt idx="307">
                  <c:v>18.999999919999993</c:v>
                </c:pt>
                <c:pt idx="308">
                  <c:v>19</c:v>
                </c:pt>
                <c:pt idx="309">
                  <c:v>20</c:v>
                </c:pt>
                <c:pt idx="310">
                  <c:v>20</c:v>
                </c:pt>
                <c:pt idx="311">
                  <c:v>19</c:v>
                </c:pt>
                <c:pt idx="312">
                  <c:v>19</c:v>
                </c:pt>
                <c:pt idx="313">
                  <c:v>19</c:v>
                </c:pt>
                <c:pt idx="314">
                  <c:v>19</c:v>
                </c:pt>
                <c:pt idx="315">
                  <c:v>19</c:v>
                </c:pt>
                <c:pt idx="316">
                  <c:v>19</c:v>
                </c:pt>
                <c:pt idx="317">
                  <c:v>19</c:v>
                </c:pt>
                <c:pt idx="318">
                  <c:v>19</c:v>
                </c:pt>
                <c:pt idx="319">
                  <c:v>18</c:v>
                </c:pt>
                <c:pt idx="320">
                  <c:v>18</c:v>
                </c:pt>
                <c:pt idx="321">
                  <c:v>18</c:v>
                </c:pt>
                <c:pt idx="322">
                  <c:v>18</c:v>
                </c:pt>
                <c:pt idx="323">
                  <c:v>18</c:v>
                </c:pt>
                <c:pt idx="324">
                  <c:v>18</c:v>
                </c:pt>
                <c:pt idx="325">
                  <c:v>18</c:v>
                </c:pt>
                <c:pt idx="326">
                  <c:v>18</c:v>
                </c:pt>
                <c:pt idx="327">
                  <c:v>17</c:v>
                </c:pt>
                <c:pt idx="328">
                  <c:v>18</c:v>
                </c:pt>
                <c:pt idx="329">
                  <c:v>18</c:v>
                </c:pt>
                <c:pt idx="330">
                  <c:v>19</c:v>
                </c:pt>
                <c:pt idx="331">
                  <c:v>20</c:v>
                </c:pt>
                <c:pt idx="332">
                  <c:v>20</c:v>
                </c:pt>
                <c:pt idx="333">
                  <c:v>20</c:v>
                </c:pt>
                <c:pt idx="334">
                  <c:v>19</c:v>
                </c:pt>
                <c:pt idx="335">
                  <c:v>19</c:v>
                </c:pt>
                <c:pt idx="336">
                  <c:v>18</c:v>
                </c:pt>
                <c:pt idx="337">
                  <c:v>17</c:v>
                </c:pt>
                <c:pt idx="338">
                  <c:v>16</c:v>
                </c:pt>
                <c:pt idx="339">
                  <c:v>16</c:v>
                </c:pt>
                <c:pt idx="340">
                  <c:v>16</c:v>
                </c:pt>
                <c:pt idx="341">
                  <c:v>15</c:v>
                </c:pt>
                <c:pt idx="342">
                  <c:v>15</c:v>
                </c:pt>
                <c:pt idx="343">
                  <c:v>14</c:v>
                </c:pt>
                <c:pt idx="344">
                  <c:v>15</c:v>
                </c:pt>
                <c:pt idx="345">
                  <c:v>15</c:v>
                </c:pt>
                <c:pt idx="346">
                  <c:v>15</c:v>
                </c:pt>
                <c:pt idx="347">
                  <c:v>15</c:v>
                </c:pt>
                <c:pt idx="348">
                  <c:v>14</c:v>
                </c:pt>
                <c:pt idx="349">
                  <c:v>15</c:v>
                </c:pt>
                <c:pt idx="350">
                  <c:v>15</c:v>
                </c:pt>
                <c:pt idx="351">
                  <c:v>15</c:v>
                </c:pt>
                <c:pt idx="352">
                  <c:v>14</c:v>
                </c:pt>
              </c:numCache>
            </c:numRef>
          </c:val>
          <c:smooth val="0"/>
          <c:extLst>
            <c:ext xmlns:c16="http://schemas.microsoft.com/office/drawing/2014/chart" uri="{C3380CC4-5D6E-409C-BE32-E72D297353CC}">
              <c16:uniqueId val="{00000000-9E2D-4435-8F50-B600EDC36854}"/>
            </c:ext>
          </c:extLst>
        </c:ser>
        <c:dLbls>
          <c:showLegendKey val="0"/>
          <c:showVal val="0"/>
          <c:showCatName val="0"/>
          <c:showSerName val="0"/>
          <c:showPercent val="0"/>
          <c:showBubbleSize val="0"/>
        </c:dLbls>
        <c:smooth val="0"/>
        <c:axId val="841434607"/>
        <c:axId val="841433775"/>
      </c:lineChart>
      <c:dateAx>
        <c:axId val="841434607"/>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3775"/>
        <c:crosses val="autoZero"/>
        <c:auto val="1"/>
        <c:lblOffset val="100"/>
        <c:baseTimeUnit val="days"/>
      </c:dateAx>
      <c:valAx>
        <c:axId val="8414337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4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jpeg"/><Relationship Id="rId2" Type="http://schemas.openxmlformats.org/officeDocument/2006/relationships/image" Target="../media/image3.png"/><Relationship Id="rId1" Type="http://schemas.openxmlformats.org/officeDocument/2006/relationships/image" Target="../media/image2.jpe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3.xml.rels><?xml version="1.0" encoding="UTF-8" standalone="yes"?>
<Relationships xmlns="http://schemas.openxmlformats.org/package/2006/relationships"><Relationship Id="rId13" Type="http://schemas.openxmlformats.org/officeDocument/2006/relationships/chart" Target="../charts/chart4.xml"/><Relationship Id="rId3" Type="http://schemas.openxmlformats.org/officeDocument/2006/relationships/image" Target="../media/image17.png"/><Relationship Id="rId7" Type="http://schemas.openxmlformats.org/officeDocument/2006/relationships/customXml" Target="../ink/ink1.xml"/><Relationship Id="rId12" Type="http://schemas.openxmlformats.org/officeDocument/2006/relationships/image" Target="../media/image150.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chart" Target="../charts/chart3.xml"/><Relationship Id="rId11" Type="http://schemas.openxmlformats.org/officeDocument/2006/relationships/customXml" Target="../ink/ink2.xml"/><Relationship Id="rId5" Type="http://schemas.openxmlformats.org/officeDocument/2006/relationships/image" Target="../media/image18.jpeg"/><Relationship Id="rId15" Type="http://schemas.openxmlformats.org/officeDocument/2006/relationships/image" Target="../media/image19.png"/><Relationship Id="rId10" Type="http://schemas.openxmlformats.org/officeDocument/2006/relationships/image" Target="../media/image140.png"/><Relationship Id="rId4" Type="http://schemas.openxmlformats.org/officeDocument/2006/relationships/image" Target="../media/image4.png"/><Relationship Id="rId14" Type="http://schemas.openxmlformats.org/officeDocument/2006/relationships/image" Target="../media/image11.pn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6.png"/><Relationship Id="rId1" Type="http://schemas.openxmlformats.org/officeDocument/2006/relationships/image" Target="../media/image3.png"/><Relationship Id="rId6" Type="http://schemas.openxmlformats.org/officeDocument/2006/relationships/image" Target="../media/image11.png"/><Relationship Id="rId5" Type="http://schemas.openxmlformats.org/officeDocument/2006/relationships/image" Target="../media/image5.png"/><Relationship Id="rId4" Type="http://schemas.openxmlformats.org/officeDocument/2006/relationships/image" Target="../media/image20.jpeg"/></Relationships>
</file>

<file path=xl/drawings/_rels/drawing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8" Type="http://schemas.openxmlformats.org/officeDocument/2006/relationships/image" Target="../media/image19.png"/><Relationship Id="rId13" Type="http://schemas.openxmlformats.org/officeDocument/2006/relationships/image" Target="../media/image8.png"/><Relationship Id="rId18" Type="http://schemas.openxmlformats.org/officeDocument/2006/relationships/image" Target="../media/image26.jpeg"/><Relationship Id="rId3" Type="http://schemas.openxmlformats.org/officeDocument/2006/relationships/image" Target="../media/image5.png"/><Relationship Id="rId7" Type="http://schemas.openxmlformats.org/officeDocument/2006/relationships/image" Target="../media/image4.png"/><Relationship Id="rId12" Type="http://schemas.openxmlformats.org/officeDocument/2006/relationships/image" Target="../media/image7.png"/><Relationship Id="rId17" Type="http://schemas.openxmlformats.org/officeDocument/2006/relationships/image" Target="../media/image12.png"/><Relationship Id="rId2" Type="http://schemas.openxmlformats.org/officeDocument/2006/relationships/image" Target="../media/image3.png"/><Relationship Id="rId16"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2.jpeg"/><Relationship Id="rId11" Type="http://schemas.openxmlformats.org/officeDocument/2006/relationships/image" Target="../media/image24.png"/><Relationship Id="rId5" Type="http://schemas.openxmlformats.org/officeDocument/2006/relationships/image" Target="../media/image21.jpeg"/><Relationship Id="rId15" Type="http://schemas.openxmlformats.org/officeDocument/2006/relationships/image" Target="../media/image9.png"/><Relationship Id="rId10" Type="http://schemas.openxmlformats.org/officeDocument/2006/relationships/image" Target="../media/image23.png"/><Relationship Id="rId19" Type="http://schemas.openxmlformats.org/officeDocument/2006/relationships/image" Target="../media/image13.jpeg"/><Relationship Id="rId4" Type="http://schemas.openxmlformats.org/officeDocument/2006/relationships/image" Target="../media/image6.png"/><Relationship Id="rId9" Type="http://schemas.openxmlformats.org/officeDocument/2006/relationships/image" Target="../media/image22.jpeg"/><Relationship Id="rId14" Type="http://schemas.openxmlformats.org/officeDocument/2006/relationships/image" Target="../media/image25.png"/></Relationships>
</file>

<file path=xl/drawings/_rels/drawing9.xml.rels><?xml version="1.0" encoding="UTF-8" standalone="yes"?>
<Relationships xmlns="http://schemas.openxmlformats.org/package/2006/relationships"><Relationship Id="rId8" Type="http://schemas.openxmlformats.org/officeDocument/2006/relationships/image" Target="../media/image22.jpeg"/><Relationship Id="rId13" Type="http://schemas.openxmlformats.org/officeDocument/2006/relationships/image" Target="../media/image8.png"/><Relationship Id="rId3" Type="http://schemas.openxmlformats.org/officeDocument/2006/relationships/image" Target="../media/image6.png"/><Relationship Id="rId7" Type="http://schemas.openxmlformats.org/officeDocument/2006/relationships/image" Target="../media/image19.png"/><Relationship Id="rId12" Type="http://schemas.openxmlformats.org/officeDocument/2006/relationships/image" Target="../media/image7.png"/><Relationship Id="rId17" Type="http://schemas.openxmlformats.org/officeDocument/2006/relationships/image" Target="../media/image12.png"/><Relationship Id="rId2" Type="http://schemas.openxmlformats.org/officeDocument/2006/relationships/image" Target="../media/image5.png"/><Relationship Id="rId16" Type="http://schemas.openxmlformats.org/officeDocument/2006/relationships/image" Target="../media/image11.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24.png"/><Relationship Id="rId5" Type="http://schemas.openxmlformats.org/officeDocument/2006/relationships/image" Target="../media/image27.jpeg"/><Relationship Id="rId15" Type="http://schemas.openxmlformats.org/officeDocument/2006/relationships/image" Target="../media/image9.png"/><Relationship Id="rId10" Type="http://schemas.openxmlformats.org/officeDocument/2006/relationships/image" Target="../media/image10.png"/><Relationship Id="rId4" Type="http://schemas.openxmlformats.org/officeDocument/2006/relationships/image" Target="../media/image21.jpeg"/><Relationship Id="rId9" Type="http://schemas.openxmlformats.org/officeDocument/2006/relationships/image" Target="../media/image23.png"/><Relationship Id="rId14" Type="http://schemas.openxmlformats.org/officeDocument/2006/relationships/image" Target="../media/image25.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9.png"/><Relationship Id="rId13" Type="http://schemas.openxmlformats.org/officeDocument/2006/relationships/image" Target="../media/image7.png"/><Relationship Id="rId3" Type="http://schemas.openxmlformats.org/officeDocument/2006/relationships/image" Target="../media/image6.png"/><Relationship Id="rId7" Type="http://schemas.openxmlformats.org/officeDocument/2006/relationships/image" Target="../media/image4.png"/><Relationship Id="rId12" Type="http://schemas.openxmlformats.org/officeDocument/2006/relationships/image" Target="../media/image24.png"/><Relationship Id="rId17" Type="http://schemas.openxmlformats.org/officeDocument/2006/relationships/image" Target="../media/image30.jfif"/><Relationship Id="rId2" Type="http://schemas.openxmlformats.org/officeDocument/2006/relationships/image" Target="../media/image5.png"/><Relationship Id="rId16" Type="http://schemas.openxmlformats.org/officeDocument/2006/relationships/image" Target="../media/image29.png"/><Relationship Id="rId1" Type="http://schemas.openxmlformats.org/officeDocument/2006/relationships/image" Target="../media/image3.png"/><Relationship Id="rId6" Type="http://schemas.openxmlformats.org/officeDocument/2006/relationships/image" Target="../media/image27.jpeg"/><Relationship Id="rId11" Type="http://schemas.openxmlformats.org/officeDocument/2006/relationships/image" Target="../media/image10.png"/><Relationship Id="rId5" Type="http://schemas.openxmlformats.org/officeDocument/2006/relationships/image" Target="../media/image21.jpeg"/><Relationship Id="rId15" Type="http://schemas.openxmlformats.org/officeDocument/2006/relationships/image" Target="../media/image8.pn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 Id="rId14" Type="http://schemas.openxmlformats.org/officeDocument/2006/relationships/image" Target="../media/image25.png"/></Relationships>
</file>

<file path=xl/drawings/_rels/drawing11.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31.jpeg"/><Relationship Id="rId5" Type="http://schemas.openxmlformats.org/officeDocument/2006/relationships/image" Target="../media/image21.jpe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s>
</file>

<file path=xl/drawings/_rels/drawing12.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31.jpeg"/><Relationship Id="rId5" Type="http://schemas.openxmlformats.org/officeDocument/2006/relationships/image" Target="../media/image21.jpe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s>
</file>

<file path=xl/drawings/_rels/drawing13.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23.png"/><Relationship Id="rId7" Type="http://schemas.openxmlformats.org/officeDocument/2006/relationships/image" Target="../media/image32.jpe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1.jpeg"/><Relationship Id="rId5" Type="http://schemas.openxmlformats.org/officeDocument/2006/relationships/image" Target="../media/image28.png"/><Relationship Id="rId10" Type="http://schemas.openxmlformats.org/officeDocument/2006/relationships/image" Target="../media/image22.jpeg"/><Relationship Id="rId4" Type="http://schemas.openxmlformats.org/officeDocument/2006/relationships/image" Target="../media/image6.png"/><Relationship Id="rId9" Type="http://schemas.openxmlformats.org/officeDocument/2006/relationships/image" Target="../media/image19.png"/></Relationships>
</file>

<file path=xl/drawings/_rels/drawing14.xml.rels><?xml version="1.0" encoding="UTF-8" standalone="yes"?>
<Relationships xmlns="http://schemas.openxmlformats.org/package/2006/relationships"><Relationship Id="rId8" Type="http://schemas.openxmlformats.org/officeDocument/2006/relationships/image" Target="../media/image21.jpeg"/><Relationship Id="rId3" Type="http://schemas.openxmlformats.org/officeDocument/2006/relationships/image" Target="../media/image23.png"/><Relationship Id="rId7" Type="http://schemas.openxmlformats.org/officeDocument/2006/relationships/image" Target="../media/image28.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34.jpeg"/><Relationship Id="rId5" Type="http://schemas.openxmlformats.org/officeDocument/2006/relationships/image" Target="../media/image31.jpeg"/><Relationship Id="rId10" Type="http://schemas.openxmlformats.org/officeDocument/2006/relationships/image" Target="../media/image19.png"/><Relationship Id="rId4" Type="http://schemas.openxmlformats.org/officeDocument/2006/relationships/image" Target="../media/image6.png"/><Relationship Id="rId9" Type="http://schemas.openxmlformats.org/officeDocument/2006/relationships/image" Target="../media/image33.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28</xdr:row>
      <xdr:rowOff>57557</xdr:rowOff>
    </xdr:from>
    <xdr:to>
      <xdr:col>14</xdr:col>
      <xdr:colOff>3962152</xdr:colOff>
      <xdr:row>55</xdr:row>
      <xdr:rowOff>188026</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122464</xdr:colOff>
      <xdr:row>27</xdr:row>
      <xdr:rowOff>157684</xdr:rowOff>
    </xdr:from>
    <xdr:to>
      <xdr:col>28</xdr:col>
      <xdr:colOff>645138</xdr:colOff>
      <xdr:row>55</xdr:row>
      <xdr:rowOff>68036</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785DD5E6-A3CA-4EA5-BEFC-D9716A4884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D0E08F6-FED8-41A2-ADEC-DE16D5EE0387}"/>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75EE1295-7E1A-4890-9FD4-A459D80666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16676" y="2489223"/>
          <a:ext cx="177050"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88468959-3298-4F27-A93A-3CD6539EF2D4}"/>
            </a:ext>
          </a:extLst>
        </xdr:cNvPr>
        <xdr:cNvPicPr>
          <a:picLocks noChangeAspect="1"/>
        </xdr:cNvPicPr>
      </xdr:nvPicPr>
      <xdr:blipFill>
        <a:blip xmlns:r="http://schemas.openxmlformats.org/officeDocument/2006/relationships" r:embed="rId4"/>
        <a:stretch>
          <a:fillRect/>
        </a:stretch>
      </xdr:blipFill>
      <xdr:spPr>
        <a:xfrm>
          <a:off x="6093116" y="2056854"/>
          <a:ext cx="183164" cy="165651"/>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1" name="Picture 1" descr="https://static.thenounproject.com/png/200330-200.png">
          <a:extLst>
            <a:ext uri="{FF2B5EF4-FFF2-40B4-BE49-F238E27FC236}">
              <a16:creationId xmlns:a16="http://schemas.microsoft.com/office/drawing/2014/main" id="{45CA75D7-23D0-4EE6-928F-F372A7D24F4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7" name="Picture 21">
          <a:extLst>
            <a:ext uri="{FF2B5EF4-FFF2-40B4-BE49-F238E27FC236}">
              <a16:creationId xmlns:a16="http://schemas.microsoft.com/office/drawing/2014/main" id="{BF65A292-73F2-4C16-9468-6DE417F5F6F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284115" y="2493395"/>
          <a:ext cx="180225" cy="179772"/>
        </a:xfrm>
        <a:prstGeom prst="rect">
          <a:avLst/>
        </a:prstGeom>
      </xdr:spPr>
    </xdr:pic>
    <xdr:clientData/>
  </xdr:twoCellAnchor>
  <xdr:twoCellAnchor editAs="oneCell">
    <xdr:from>
      <xdr:col>13</xdr:col>
      <xdr:colOff>761325</xdr:colOff>
      <xdr:row>6</xdr:row>
      <xdr:rowOff>203855</xdr:rowOff>
    </xdr:from>
    <xdr:to>
      <xdr:col>13</xdr:col>
      <xdr:colOff>963957</xdr:colOff>
      <xdr:row>7</xdr:row>
      <xdr:rowOff>189595</xdr:rowOff>
    </xdr:to>
    <xdr:pic>
      <xdr:nvPicPr>
        <xdr:cNvPr id="23" name="Picture 22">
          <a:extLst>
            <a:ext uri="{FF2B5EF4-FFF2-40B4-BE49-F238E27FC236}">
              <a16:creationId xmlns:a16="http://schemas.microsoft.com/office/drawing/2014/main" id="{465DA7C8-81DA-4ACC-A116-03A2B05FC2EA}"/>
            </a:ext>
          </a:extLst>
        </xdr:cNvPr>
        <xdr:cNvPicPr>
          <a:picLocks noChangeAspect="1"/>
        </xdr:cNvPicPr>
      </xdr:nvPicPr>
      <xdr:blipFill>
        <a:blip xmlns:r="http://schemas.openxmlformats.org/officeDocument/2006/relationships" r:embed="rId6"/>
        <a:stretch>
          <a:fillRect/>
        </a:stretch>
      </xdr:blipFill>
      <xdr:spPr>
        <a:xfrm>
          <a:off x="6258611" y="1608112"/>
          <a:ext cx="205807" cy="198012"/>
        </a:xfrm>
        <a:prstGeom prst="rect">
          <a:avLst/>
        </a:prstGeom>
      </xdr:spPr>
    </xdr:pic>
    <xdr:clientData/>
  </xdr:twoCellAnchor>
  <xdr:twoCellAnchor editAs="oneCell">
    <xdr:from>
      <xdr:col>13</xdr:col>
      <xdr:colOff>852872</xdr:colOff>
      <xdr:row>12</xdr:row>
      <xdr:rowOff>4022</xdr:rowOff>
    </xdr:from>
    <xdr:to>
      <xdr:col>13</xdr:col>
      <xdr:colOff>1059563</xdr:colOff>
      <xdr:row>13</xdr:row>
      <xdr:rowOff>2721</xdr:rowOff>
    </xdr:to>
    <xdr:pic>
      <xdr:nvPicPr>
        <xdr:cNvPr id="24" name="Picture 23">
          <a:extLst>
            <a:ext uri="{FF2B5EF4-FFF2-40B4-BE49-F238E27FC236}">
              <a16:creationId xmlns:a16="http://schemas.microsoft.com/office/drawing/2014/main" id="{E42788D1-C2E2-4D86-A670-E79BB2105D8E}"/>
            </a:ext>
          </a:extLst>
        </xdr:cNvPr>
        <xdr:cNvPicPr>
          <a:picLocks noChangeAspect="1"/>
        </xdr:cNvPicPr>
      </xdr:nvPicPr>
      <xdr:blipFill>
        <a:blip xmlns:r="http://schemas.openxmlformats.org/officeDocument/2006/relationships" r:embed="rId7"/>
        <a:stretch>
          <a:fillRect/>
        </a:stretch>
      </xdr:blipFill>
      <xdr:spPr>
        <a:xfrm>
          <a:off x="6350158" y="2676465"/>
          <a:ext cx="209866" cy="210970"/>
        </a:xfrm>
        <a:prstGeom prst="rect">
          <a:avLst/>
        </a:prstGeom>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3C8E07FE-8D24-489D-AA12-42DD871B0B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508929" y="2473516"/>
          <a:ext cx="186575" cy="20134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186C9B7E-8F90-404C-8AC7-41BCC4E5B7C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37056" y="2483929"/>
          <a:ext cx="186575" cy="204521"/>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39" name="Picture 17">
          <a:extLst>
            <a:ext uri="{FF2B5EF4-FFF2-40B4-BE49-F238E27FC236}">
              <a16:creationId xmlns:a16="http://schemas.microsoft.com/office/drawing/2014/main" id="{4D0B9D11-915A-4644-BAC9-D53978C832A4}"/>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6278261" y="2045205"/>
          <a:ext cx="91164" cy="142688"/>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1" name="Picture 40">
          <a:extLst>
            <a:ext uri="{FF2B5EF4-FFF2-40B4-BE49-F238E27FC236}">
              <a16:creationId xmlns:a16="http://schemas.microsoft.com/office/drawing/2014/main" id="{3AFF390F-B263-486C-AEFB-BADD724ABC4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602188" y="2041851"/>
          <a:ext cx="207088" cy="208965"/>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2" name="Picture 41" descr="Squash Racquet Icons - Free SVG &amp; PNG Squash Racquet Images ...">
          <a:extLst>
            <a:ext uri="{FF2B5EF4-FFF2-40B4-BE49-F238E27FC236}">
              <a16:creationId xmlns:a16="http://schemas.microsoft.com/office/drawing/2014/main" id="{52B97D65-0EBB-4B15-A5E7-70C831A1DDF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rot="2398059">
          <a:off x="6150306" y="1756163"/>
          <a:ext cx="391882"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1457484</xdr:colOff>
      <xdr:row>11</xdr:row>
      <xdr:rowOff>26868</xdr:rowOff>
    </xdr:from>
    <xdr:to>
      <xdr:col>13</xdr:col>
      <xdr:colOff>1631359</xdr:colOff>
      <xdr:row>12</xdr:row>
      <xdr:rowOff>67</xdr:rowOff>
    </xdr:to>
    <xdr:pic>
      <xdr:nvPicPr>
        <xdr:cNvPr id="44" name="Picture 21">
          <a:extLst>
            <a:ext uri="{FF2B5EF4-FFF2-40B4-BE49-F238E27FC236}">
              <a16:creationId xmlns:a16="http://schemas.microsoft.com/office/drawing/2014/main" id="{33B03E1F-3FAA-4507-8BEF-619DB45660D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163863</xdr:rowOff>
    </xdr:to>
    <xdr:pic>
      <xdr:nvPicPr>
        <xdr:cNvPr id="47" name="Picture 46" descr="Accenture Logo, symbol, meaning, history, PNG, brand">
          <a:extLst>
            <a:ext uri="{FF2B5EF4-FFF2-40B4-BE49-F238E27FC236}">
              <a16:creationId xmlns:a16="http://schemas.microsoft.com/office/drawing/2014/main" id="{DB266A64-624B-4819-A0B1-8651D0ED98B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061449" y="1631676"/>
          <a:ext cx="271395" cy="151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49" name="Picture 48" descr="A black background with a black square&#10;&#10;Description automatically generated with medium confidence">
          <a:extLst>
            <a:ext uri="{FF2B5EF4-FFF2-40B4-BE49-F238E27FC236}">
              <a16:creationId xmlns:a16="http://schemas.microsoft.com/office/drawing/2014/main" id="{2207BFD3-474B-4668-8009-4A7E23595FEF}"/>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6388022" y="2041308"/>
          <a:ext cx="192551" cy="183026"/>
        </a:xfrm>
        <a:prstGeom prst="rect">
          <a:avLst/>
        </a:prstGeom>
      </xdr:spPr>
    </xdr:pic>
    <xdr:clientData/>
  </xdr:twoCellAnchor>
  <xdr:twoCellAnchor editAs="oneCell">
    <xdr:from>
      <xdr:col>13</xdr:col>
      <xdr:colOff>1001487</xdr:colOff>
      <xdr:row>7</xdr:row>
      <xdr:rowOff>201385</xdr:rowOff>
    </xdr:from>
    <xdr:to>
      <xdr:col>13</xdr:col>
      <xdr:colOff>1104900</xdr:colOff>
      <xdr:row>8</xdr:row>
      <xdr:rowOff>203129</xdr:rowOff>
    </xdr:to>
    <xdr:pic>
      <xdr:nvPicPr>
        <xdr:cNvPr id="53" name="Picture 52" descr="Squid Game PNG Images (Transparent HD Photo Clipart)">
          <a:extLst>
            <a:ext uri="{FF2B5EF4-FFF2-40B4-BE49-F238E27FC236}">
              <a16:creationId xmlns:a16="http://schemas.microsoft.com/office/drawing/2014/main" id="{A6F58F68-0213-409D-9C0E-0EE1E0FBA3FA}"/>
            </a:ext>
          </a:extLst>
        </xdr:cNvPr>
        <xdr:cNvPicPr>
          <a:picLocks noChangeAspect="1" noChangeArrowheads="1"/>
        </xdr:cNvPicPr>
      </xdr:nvPicPr>
      <xdr:blipFill rotWithShape="1">
        <a:blip xmlns:r="http://schemas.openxmlformats.org/officeDocument/2006/relationships" r:embed="rId12" cstate="print">
          <a:extLst>
            <a:ext uri="{28A0092B-C50C-407E-A947-70E740481C1C}">
              <a14:useLocalDpi xmlns:a14="http://schemas.microsoft.com/office/drawing/2010/main" val="0"/>
            </a:ext>
          </a:extLst>
        </a:blip>
        <a:srcRect l="24690" t="2174" r="26476" b="2329"/>
        <a:stretch/>
      </xdr:blipFill>
      <xdr:spPr bwMode="auto">
        <a:xfrm>
          <a:off x="6498773" y="1817914"/>
          <a:ext cx="103413" cy="2117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16647</xdr:colOff>
      <xdr:row>12</xdr:row>
      <xdr:rowOff>16396</xdr:rowOff>
    </xdr:to>
    <xdr:pic>
      <xdr:nvPicPr>
        <xdr:cNvPr id="57" name="Picture 21">
          <a:extLst>
            <a:ext uri="{FF2B5EF4-FFF2-40B4-BE49-F238E27FC236}">
              <a16:creationId xmlns:a16="http://schemas.microsoft.com/office/drawing/2014/main" id="{19C5A2EA-07DE-418C-A379-251345B6CF3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172485" y="2476153"/>
          <a:ext cx="219231" cy="212686"/>
        </a:xfrm>
        <a:prstGeom prst="rect">
          <a:avLst/>
        </a:prstGeom>
      </xdr:spPr>
    </xdr:pic>
    <xdr:clientData/>
  </xdr:twoCellAnchor>
  <xdr:twoCellAnchor editAs="oneCell">
    <xdr:from>
      <xdr:col>13</xdr:col>
      <xdr:colOff>1331900</xdr:colOff>
      <xdr:row>8</xdr:row>
      <xdr:rowOff>166488</xdr:rowOff>
    </xdr:from>
    <xdr:to>
      <xdr:col>13</xdr:col>
      <xdr:colOff>1620052</xdr:colOff>
      <xdr:row>10</xdr:row>
      <xdr:rowOff>35193</xdr:rowOff>
    </xdr:to>
    <xdr:pic>
      <xdr:nvPicPr>
        <xdr:cNvPr id="61" name="Picture 60" descr="A red go kart with grey wheels&#10;&#10;AI-generated content may be incorrect.">
          <a:extLst>
            <a:ext uri="{FF2B5EF4-FFF2-40B4-BE49-F238E27FC236}">
              <a16:creationId xmlns:a16="http://schemas.microsoft.com/office/drawing/2014/main" id="{18727156-59AB-A8E8-DE37-9AB611D60656}"/>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7504740" y="1991446"/>
          <a:ext cx="288152" cy="288152"/>
        </a:xfrm>
        <a:prstGeom prst="rect">
          <a:avLst/>
        </a:prstGeom>
      </xdr:spPr>
    </xdr:pic>
    <xdr:clientData/>
  </xdr:twoCellAnchor>
  <xdr:twoCellAnchor editAs="oneCell">
    <xdr:from>
      <xdr:col>13</xdr:col>
      <xdr:colOff>378351</xdr:colOff>
      <xdr:row>11</xdr:row>
      <xdr:rowOff>32162</xdr:rowOff>
    </xdr:from>
    <xdr:to>
      <xdr:col>13</xdr:col>
      <xdr:colOff>555401</xdr:colOff>
      <xdr:row>12</xdr:row>
      <xdr:rowOff>8280</xdr:rowOff>
    </xdr:to>
    <xdr:pic>
      <xdr:nvPicPr>
        <xdr:cNvPr id="3" name="Picture 11">
          <a:extLst>
            <a:ext uri="{FF2B5EF4-FFF2-40B4-BE49-F238E27FC236}">
              <a16:creationId xmlns:a16="http://schemas.microsoft.com/office/drawing/2014/main" id="{50A251A6-4331-4BBD-8FD5-D2254D221C0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77595" y="2481448"/>
          <a:ext cx="177050" cy="182881"/>
        </a:xfrm>
        <a:prstGeom prst="rect">
          <a:avLst/>
        </a:prstGeom>
      </xdr:spPr>
    </xdr:pic>
    <xdr:clientData/>
  </xdr:twoCellAnchor>
  <xdr:twoCellAnchor editAs="oneCell">
    <xdr:from>
      <xdr:col>13</xdr:col>
      <xdr:colOff>297485</xdr:colOff>
      <xdr:row>10</xdr:row>
      <xdr:rowOff>169011</xdr:rowOff>
    </xdr:from>
    <xdr:to>
      <xdr:col>13</xdr:col>
      <xdr:colOff>474535</xdr:colOff>
      <xdr:row>11</xdr:row>
      <xdr:rowOff>145128</xdr:rowOff>
    </xdr:to>
    <xdr:pic>
      <xdr:nvPicPr>
        <xdr:cNvPr id="4" name="Picture 11">
          <a:extLst>
            <a:ext uri="{FF2B5EF4-FFF2-40B4-BE49-F238E27FC236}">
              <a16:creationId xmlns:a16="http://schemas.microsoft.com/office/drawing/2014/main" id="{4E8CD9FA-E4F5-4277-B374-C407C3776B6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96729" y="2408358"/>
          <a:ext cx="177050" cy="182881"/>
        </a:xfrm>
        <a:prstGeom prst="rect">
          <a:avLst/>
        </a:prstGeom>
      </xdr:spPr>
    </xdr:pic>
    <xdr:clientData/>
  </xdr:twoCellAnchor>
  <xdr:twoCellAnchor editAs="oneCell">
    <xdr:from>
      <xdr:col>13</xdr:col>
      <xdr:colOff>480987</xdr:colOff>
      <xdr:row>10</xdr:row>
      <xdr:rowOff>189227</xdr:rowOff>
    </xdr:from>
    <xdr:to>
      <xdr:col>13</xdr:col>
      <xdr:colOff>654862</xdr:colOff>
      <xdr:row>11</xdr:row>
      <xdr:rowOff>158994</xdr:rowOff>
    </xdr:to>
    <xdr:pic>
      <xdr:nvPicPr>
        <xdr:cNvPr id="5" name="Picture 11">
          <a:extLst>
            <a:ext uri="{FF2B5EF4-FFF2-40B4-BE49-F238E27FC236}">
              <a16:creationId xmlns:a16="http://schemas.microsoft.com/office/drawing/2014/main" id="{31E3B69D-C834-497E-AF53-12BD52AB774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0231" y="2428574"/>
          <a:ext cx="177050" cy="182881"/>
        </a:xfrm>
        <a:prstGeom prst="rect">
          <a:avLst/>
        </a:prstGeom>
      </xdr:spPr>
    </xdr:pic>
    <xdr:clientData/>
  </xdr:twoCellAnchor>
  <xdr:twoCellAnchor editAs="oneCell">
    <xdr:from>
      <xdr:col>14</xdr:col>
      <xdr:colOff>804447</xdr:colOff>
      <xdr:row>17</xdr:row>
      <xdr:rowOff>38382</xdr:rowOff>
    </xdr:from>
    <xdr:to>
      <xdr:col>14</xdr:col>
      <xdr:colOff>978322</xdr:colOff>
      <xdr:row>18</xdr:row>
      <xdr:rowOff>8150</xdr:rowOff>
    </xdr:to>
    <xdr:pic>
      <xdr:nvPicPr>
        <xdr:cNvPr id="6" name="Picture 11">
          <a:extLst>
            <a:ext uri="{FF2B5EF4-FFF2-40B4-BE49-F238E27FC236}">
              <a16:creationId xmlns:a16="http://schemas.microsoft.com/office/drawing/2014/main" id="{C156D249-48F1-42A2-A720-982B6349F2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085366" y="3669545"/>
          <a:ext cx="177050" cy="182881"/>
        </a:xfrm>
        <a:prstGeom prst="rect">
          <a:avLst/>
        </a:prstGeom>
      </xdr:spPr>
    </xdr:pic>
    <xdr:clientData/>
  </xdr:twoCellAnchor>
  <xdr:twoCellAnchor editAs="oneCell">
    <xdr:from>
      <xdr:col>14</xdr:col>
      <xdr:colOff>210398</xdr:colOff>
      <xdr:row>17</xdr:row>
      <xdr:rowOff>27496</xdr:rowOff>
    </xdr:from>
    <xdr:to>
      <xdr:col>14</xdr:col>
      <xdr:colOff>390623</xdr:colOff>
      <xdr:row>18</xdr:row>
      <xdr:rowOff>439</xdr:rowOff>
    </xdr:to>
    <xdr:pic>
      <xdr:nvPicPr>
        <xdr:cNvPr id="12" name="Picture 11">
          <a:extLst>
            <a:ext uri="{FF2B5EF4-FFF2-40B4-BE49-F238E27FC236}">
              <a16:creationId xmlns:a16="http://schemas.microsoft.com/office/drawing/2014/main" id="{B8251906-D748-441A-A7C2-155A874C1C5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491317" y="3658659"/>
          <a:ext cx="177050" cy="182881"/>
        </a:xfrm>
        <a:prstGeom prst="rect">
          <a:avLst/>
        </a:prstGeom>
      </xdr:spPr>
    </xdr:pic>
    <xdr:clientData/>
  </xdr:twoCellAnchor>
  <xdr:twoCellAnchor editAs="oneCell">
    <xdr:from>
      <xdr:col>4</xdr:col>
      <xdr:colOff>494983</xdr:colOff>
      <xdr:row>17</xdr:row>
      <xdr:rowOff>94365</xdr:rowOff>
    </xdr:from>
    <xdr:to>
      <xdr:col>4</xdr:col>
      <xdr:colOff>675208</xdr:colOff>
      <xdr:row>18</xdr:row>
      <xdr:rowOff>64133</xdr:rowOff>
    </xdr:to>
    <xdr:pic>
      <xdr:nvPicPr>
        <xdr:cNvPr id="13" name="Picture 12">
          <a:extLst>
            <a:ext uri="{FF2B5EF4-FFF2-40B4-BE49-F238E27FC236}">
              <a16:creationId xmlns:a16="http://schemas.microsoft.com/office/drawing/2014/main" id="{A7007C24-D894-43B5-A768-06130D63751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47717" y="3725528"/>
          <a:ext cx="177050" cy="182881"/>
        </a:xfrm>
        <a:prstGeom prst="rect">
          <a:avLst/>
        </a:prstGeom>
      </xdr:spPr>
    </xdr:pic>
    <xdr:clientData/>
  </xdr:twoCellAnchor>
  <xdr:twoCellAnchor editAs="oneCell">
    <xdr:from>
      <xdr:col>4</xdr:col>
      <xdr:colOff>9791</xdr:colOff>
      <xdr:row>17</xdr:row>
      <xdr:rowOff>122357</xdr:rowOff>
    </xdr:from>
    <xdr:to>
      <xdr:col>4</xdr:col>
      <xdr:colOff>183666</xdr:colOff>
      <xdr:row>19</xdr:row>
      <xdr:rowOff>17544</xdr:rowOff>
    </xdr:to>
    <xdr:pic>
      <xdr:nvPicPr>
        <xdr:cNvPr id="14" name="Picture 13">
          <a:extLst>
            <a:ext uri="{FF2B5EF4-FFF2-40B4-BE49-F238E27FC236}">
              <a16:creationId xmlns:a16="http://schemas.microsoft.com/office/drawing/2014/main" id="{39E9FC2B-9A08-49C1-9A11-03BCD7454E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2525" y="3753520"/>
          <a:ext cx="177050" cy="182881"/>
        </a:xfrm>
        <a:prstGeom prst="rect">
          <a:avLst/>
        </a:prstGeom>
      </xdr:spPr>
    </xdr:pic>
    <xdr:clientData/>
  </xdr:twoCellAnchor>
  <xdr:twoCellAnchor editAs="oneCell">
    <xdr:from>
      <xdr:col>2</xdr:col>
      <xdr:colOff>188947</xdr:colOff>
      <xdr:row>7</xdr:row>
      <xdr:rowOff>18166</xdr:rowOff>
    </xdr:from>
    <xdr:to>
      <xdr:col>2</xdr:col>
      <xdr:colOff>362822</xdr:colOff>
      <xdr:row>7</xdr:row>
      <xdr:rowOff>197872</xdr:rowOff>
    </xdr:to>
    <xdr:pic>
      <xdr:nvPicPr>
        <xdr:cNvPr id="15" name="Picture 14">
          <a:extLst>
            <a:ext uri="{FF2B5EF4-FFF2-40B4-BE49-F238E27FC236}">
              <a16:creationId xmlns:a16="http://schemas.microsoft.com/office/drawing/2014/main" id="{4CD5767D-BC46-48D0-9337-8F792EFBAB4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05271" y="1654225"/>
          <a:ext cx="173875" cy="179706"/>
        </a:xfrm>
        <a:prstGeom prst="rect">
          <a:avLst/>
        </a:prstGeom>
      </xdr:spPr>
    </xdr:pic>
    <xdr:clientData/>
  </xdr:twoCellAnchor>
  <xdr:twoCellAnchor editAs="oneCell">
    <xdr:from>
      <xdr:col>14</xdr:col>
      <xdr:colOff>886867</xdr:colOff>
      <xdr:row>17</xdr:row>
      <xdr:rowOff>151904</xdr:rowOff>
    </xdr:from>
    <xdr:to>
      <xdr:col>14</xdr:col>
      <xdr:colOff>1063917</xdr:colOff>
      <xdr:row>19</xdr:row>
      <xdr:rowOff>50266</xdr:rowOff>
    </xdr:to>
    <xdr:pic>
      <xdr:nvPicPr>
        <xdr:cNvPr id="18" name="Picture 17">
          <a:extLst>
            <a:ext uri="{FF2B5EF4-FFF2-40B4-BE49-F238E27FC236}">
              <a16:creationId xmlns:a16="http://schemas.microsoft.com/office/drawing/2014/main" id="{FAD075E9-B8CE-4E3F-A755-B086FEB431A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167786" y="3783067"/>
          <a:ext cx="177050" cy="182881"/>
        </a:xfrm>
        <a:prstGeom prst="rect">
          <a:avLst/>
        </a:prstGeom>
      </xdr:spPr>
    </xdr:pic>
    <xdr:clientData/>
  </xdr:twoCellAnchor>
  <xdr:twoCellAnchor editAs="oneCell">
    <xdr:from>
      <xdr:col>14</xdr:col>
      <xdr:colOff>510532</xdr:colOff>
      <xdr:row>17</xdr:row>
      <xdr:rowOff>141019</xdr:rowOff>
    </xdr:from>
    <xdr:to>
      <xdr:col>14</xdr:col>
      <xdr:colOff>687582</xdr:colOff>
      <xdr:row>19</xdr:row>
      <xdr:rowOff>36206</xdr:rowOff>
    </xdr:to>
    <xdr:pic>
      <xdr:nvPicPr>
        <xdr:cNvPr id="19" name="Picture 18">
          <a:extLst>
            <a:ext uri="{FF2B5EF4-FFF2-40B4-BE49-F238E27FC236}">
              <a16:creationId xmlns:a16="http://schemas.microsoft.com/office/drawing/2014/main" id="{23C32814-E500-4B5D-8BC2-C48B1FCE570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791451" y="3772182"/>
          <a:ext cx="177050" cy="182881"/>
        </a:xfrm>
        <a:prstGeom prst="rect">
          <a:avLst/>
        </a:prstGeom>
      </xdr:spPr>
    </xdr:pic>
    <xdr:clientData/>
  </xdr:twoCellAnchor>
  <xdr:twoCellAnchor editAs="oneCell">
    <xdr:from>
      <xdr:col>12</xdr:col>
      <xdr:colOff>802892</xdr:colOff>
      <xdr:row>10</xdr:row>
      <xdr:rowOff>192337</xdr:rowOff>
    </xdr:from>
    <xdr:to>
      <xdr:col>13</xdr:col>
      <xdr:colOff>93535</xdr:colOff>
      <xdr:row>11</xdr:row>
      <xdr:rowOff>162104</xdr:rowOff>
    </xdr:to>
    <xdr:pic>
      <xdr:nvPicPr>
        <xdr:cNvPr id="20" name="Picture 19">
          <a:extLst>
            <a:ext uri="{FF2B5EF4-FFF2-40B4-BE49-F238E27FC236}">
              <a16:creationId xmlns:a16="http://schemas.microsoft.com/office/drawing/2014/main" id="{3D290C4F-BCDA-40C6-9FB0-48E57998A2A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315729" y="2431684"/>
          <a:ext cx="177050" cy="182881"/>
        </a:xfrm>
        <a:prstGeom prst="rect">
          <a:avLst/>
        </a:prstGeom>
      </xdr:spPr>
    </xdr:pic>
    <xdr:clientData/>
  </xdr:twoCellAnchor>
  <xdr:twoCellAnchor editAs="oneCell">
    <xdr:from>
      <xdr:col>4</xdr:col>
      <xdr:colOff>527639</xdr:colOff>
      <xdr:row>19</xdr:row>
      <xdr:rowOff>10390</xdr:rowOff>
    </xdr:from>
    <xdr:to>
      <xdr:col>5</xdr:col>
      <xdr:colOff>5281</xdr:colOff>
      <xdr:row>19</xdr:row>
      <xdr:rowOff>193271</xdr:rowOff>
    </xdr:to>
    <xdr:pic>
      <xdr:nvPicPr>
        <xdr:cNvPr id="21" name="Picture 20">
          <a:extLst>
            <a:ext uri="{FF2B5EF4-FFF2-40B4-BE49-F238E27FC236}">
              <a16:creationId xmlns:a16="http://schemas.microsoft.com/office/drawing/2014/main" id="{F58CBCAA-2BD7-41FF-9DA4-0FB3D9CBC6A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80373" y="3929247"/>
          <a:ext cx="177050" cy="182881"/>
        </a:xfrm>
        <a:prstGeom prst="rect">
          <a:avLst/>
        </a:prstGeom>
      </xdr:spPr>
    </xdr:pic>
    <xdr:clientData/>
  </xdr:twoCellAnchor>
  <xdr:twoCellAnchor editAs="oneCell">
    <xdr:from>
      <xdr:col>4</xdr:col>
      <xdr:colOff>11345</xdr:colOff>
      <xdr:row>18</xdr:row>
      <xdr:rowOff>69485</xdr:rowOff>
    </xdr:from>
    <xdr:to>
      <xdr:col>4</xdr:col>
      <xdr:colOff>188395</xdr:colOff>
      <xdr:row>19</xdr:row>
      <xdr:rowOff>174610</xdr:rowOff>
    </xdr:to>
    <xdr:pic>
      <xdr:nvPicPr>
        <xdr:cNvPr id="22" name="Picture 21">
          <a:extLst>
            <a:ext uri="{FF2B5EF4-FFF2-40B4-BE49-F238E27FC236}">
              <a16:creationId xmlns:a16="http://schemas.microsoft.com/office/drawing/2014/main" id="{E898058F-768E-46F6-A608-3B5D3763E6A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4079" y="3910586"/>
          <a:ext cx="177050" cy="182881"/>
        </a:xfrm>
        <a:prstGeom prst="rect">
          <a:avLst/>
        </a:prstGeom>
      </xdr:spPr>
    </xdr:pic>
    <xdr:clientData/>
  </xdr:twoCellAnchor>
  <xdr:twoCellAnchor editAs="oneCell">
    <xdr:from>
      <xdr:col>22</xdr:col>
      <xdr:colOff>956846</xdr:colOff>
      <xdr:row>11</xdr:row>
      <xdr:rowOff>11945</xdr:rowOff>
    </xdr:from>
    <xdr:to>
      <xdr:col>23</xdr:col>
      <xdr:colOff>2289</xdr:colOff>
      <xdr:row>11</xdr:row>
      <xdr:rowOff>198001</xdr:rowOff>
    </xdr:to>
    <xdr:pic>
      <xdr:nvPicPr>
        <xdr:cNvPr id="26" name="Picture 25">
          <a:extLst>
            <a:ext uri="{FF2B5EF4-FFF2-40B4-BE49-F238E27FC236}">
              <a16:creationId xmlns:a16="http://schemas.microsoft.com/office/drawing/2014/main" id="{15D016B9-C84D-4651-B92D-2D510A3ABA7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982173" y="2461231"/>
          <a:ext cx="177050" cy="182881"/>
        </a:xfrm>
        <a:prstGeom prst="rect">
          <a:avLst/>
        </a:prstGeom>
      </xdr:spPr>
    </xdr:pic>
    <xdr:clientData/>
  </xdr:twoCellAnchor>
  <xdr:twoCellAnchor editAs="oneCell">
    <xdr:from>
      <xdr:col>26</xdr:col>
      <xdr:colOff>572736</xdr:colOff>
      <xdr:row>11</xdr:row>
      <xdr:rowOff>16610</xdr:rowOff>
    </xdr:from>
    <xdr:to>
      <xdr:col>26</xdr:col>
      <xdr:colOff>752961</xdr:colOff>
      <xdr:row>11</xdr:row>
      <xdr:rowOff>202666</xdr:rowOff>
    </xdr:to>
    <xdr:pic>
      <xdr:nvPicPr>
        <xdr:cNvPr id="27" name="Picture 26">
          <a:extLst>
            <a:ext uri="{FF2B5EF4-FFF2-40B4-BE49-F238E27FC236}">
              <a16:creationId xmlns:a16="http://schemas.microsoft.com/office/drawing/2014/main" id="{773A0AC5-FF2C-4166-9183-4BBFBE6FAD8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34022" y="2465896"/>
          <a:ext cx="177050" cy="182881"/>
        </a:xfrm>
        <a:prstGeom prst="rect">
          <a:avLst/>
        </a:prstGeom>
      </xdr:spPr>
    </xdr:pic>
    <xdr:clientData/>
  </xdr:twoCellAnchor>
  <xdr:twoCellAnchor editAs="oneCell">
    <xdr:from>
      <xdr:col>14</xdr:col>
      <xdr:colOff>980174</xdr:colOff>
      <xdr:row>17</xdr:row>
      <xdr:rowOff>35272</xdr:rowOff>
    </xdr:from>
    <xdr:to>
      <xdr:col>15</xdr:col>
      <xdr:colOff>163</xdr:colOff>
      <xdr:row>18</xdr:row>
      <xdr:rowOff>11390</xdr:rowOff>
    </xdr:to>
    <xdr:pic>
      <xdr:nvPicPr>
        <xdr:cNvPr id="28" name="Picture 11">
          <a:extLst>
            <a:ext uri="{FF2B5EF4-FFF2-40B4-BE49-F238E27FC236}">
              <a16:creationId xmlns:a16="http://schemas.microsoft.com/office/drawing/2014/main" id="{0C82D29F-FA12-4D09-A2D6-B263D2E08EC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61093" y="3666435"/>
          <a:ext cx="177050" cy="182881"/>
        </a:xfrm>
        <a:prstGeom prst="rect">
          <a:avLst/>
        </a:prstGeom>
      </xdr:spPr>
    </xdr:pic>
    <xdr:clientData/>
  </xdr:twoCellAnchor>
  <xdr:twoCellAnchor editAs="oneCell">
    <xdr:from>
      <xdr:col>14</xdr:col>
      <xdr:colOff>969288</xdr:colOff>
      <xdr:row>18</xdr:row>
      <xdr:rowOff>63265</xdr:rowOff>
    </xdr:from>
    <xdr:to>
      <xdr:col>15</xdr:col>
      <xdr:colOff>2030</xdr:colOff>
      <xdr:row>19</xdr:row>
      <xdr:rowOff>168390</xdr:rowOff>
    </xdr:to>
    <xdr:pic>
      <xdr:nvPicPr>
        <xdr:cNvPr id="29" name="Picture 11">
          <a:extLst>
            <a:ext uri="{FF2B5EF4-FFF2-40B4-BE49-F238E27FC236}">
              <a16:creationId xmlns:a16="http://schemas.microsoft.com/office/drawing/2014/main" id="{04DA58A7-DBAD-43E9-AFB2-7F4B4D50C1F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50207" y="3904366"/>
          <a:ext cx="177050" cy="182881"/>
        </a:xfrm>
        <a:prstGeom prst="rect">
          <a:avLst/>
        </a:prstGeom>
      </xdr:spPr>
    </xdr:pic>
    <xdr:clientData/>
  </xdr:twoCellAnchor>
  <xdr:twoCellAnchor editAs="oneCell">
    <xdr:from>
      <xdr:col>14</xdr:col>
      <xdr:colOff>235280</xdr:colOff>
      <xdr:row>17</xdr:row>
      <xdr:rowOff>137909</xdr:rowOff>
    </xdr:from>
    <xdr:to>
      <xdr:col>14</xdr:col>
      <xdr:colOff>409155</xdr:colOff>
      <xdr:row>19</xdr:row>
      <xdr:rowOff>29921</xdr:rowOff>
    </xdr:to>
    <xdr:pic>
      <xdr:nvPicPr>
        <xdr:cNvPr id="30" name="Picture 11">
          <a:extLst>
            <a:ext uri="{FF2B5EF4-FFF2-40B4-BE49-F238E27FC236}">
              <a16:creationId xmlns:a16="http://schemas.microsoft.com/office/drawing/2014/main" id="{988917C2-A2A8-4493-8D96-56BEC864A77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516199" y="3769072"/>
          <a:ext cx="177050" cy="182881"/>
        </a:xfrm>
        <a:prstGeom prst="rect">
          <a:avLst/>
        </a:prstGeom>
      </xdr:spPr>
    </xdr:pic>
    <xdr:clientData/>
  </xdr:twoCellAnchor>
  <xdr:twoCellAnchor editAs="oneCell">
    <xdr:from>
      <xdr:col>13</xdr:col>
      <xdr:colOff>1880580</xdr:colOff>
      <xdr:row>17</xdr:row>
      <xdr:rowOff>18166</xdr:rowOff>
    </xdr:from>
    <xdr:to>
      <xdr:col>14</xdr:col>
      <xdr:colOff>179131</xdr:colOff>
      <xdr:row>17</xdr:row>
      <xdr:rowOff>197872</xdr:rowOff>
    </xdr:to>
    <xdr:pic>
      <xdr:nvPicPr>
        <xdr:cNvPr id="31" name="Picture 11">
          <a:extLst>
            <a:ext uri="{FF2B5EF4-FFF2-40B4-BE49-F238E27FC236}">
              <a16:creationId xmlns:a16="http://schemas.microsoft.com/office/drawing/2014/main" id="{6FF4B251-BC5B-4356-9D7B-5E4F6CF24C0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79824" y="3649329"/>
          <a:ext cx="177050" cy="182881"/>
        </a:xfrm>
        <a:prstGeom prst="rect">
          <a:avLst/>
        </a:prstGeom>
      </xdr:spPr>
    </xdr:pic>
    <xdr:clientData/>
  </xdr:twoCellAnchor>
  <xdr:twoCellAnchor editAs="oneCell">
    <xdr:from>
      <xdr:col>13</xdr:col>
      <xdr:colOff>76660</xdr:colOff>
      <xdr:row>11</xdr:row>
      <xdr:rowOff>10389</xdr:rowOff>
    </xdr:from>
    <xdr:to>
      <xdr:col>13</xdr:col>
      <xdr:colOff>256885</xdr:colOff>
      <xdr:row>11</xdr:row>
      <xdr:rowOff>193270</xdr:rowOff>
    </xdr:to>
    <xdr:pic>
      <xdr:nvPicPr>
        <xdr:cNvPr id="32" name="Picture 31">
          <a:extLst>
            <a:ext uri="{FF2B5EF4-FFF2-40B4-BE49-F238E27FC236}">
              <a16:creationId xmlns:a16="http://schemas.microsoft.com/office/drawing/2014/main" id="{6E7D52C7-9AFA-4DDB-ABA3-A1FB05D1E4C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475904" y="2459675"/>
          <a:ext cx="177050" cy="182881"/>
        </a:xfrm>
        <a:prstGeom prst="rect">
          <a:avLst/>
        </a:prstGeom>
      </xdr:spPr>
    </xdr:pic>
    <xdr:clientData/>
  </xdr:twoCellAnchor>
  <xdr:twoCellAnchor editAs="oneCell">
    <xdr:from>
      <xdr:col>4</xdr:col>
      <xdr:colOff>202164</xdr:colOff>
      <xdr:row>17</xdr:row>
      <xdr:rowOff>202163</xdr:rowOff>
    </xdr:from>
    <xdr:to>
      <xdr:col>4</xdr:col>
      <xdr:colOff>379214</xdr:colOff>
      <xdr:row>19</xdr:row>
      <xdr:rowOff>97350</xdr:rowOff>
    </xdr:to>
    <xdr:pic>
      <xdr:nvPicPr>
        <xdr:cNvPr id="2" name="Picture 11">
          <a:extLst>
            <a:ext uri="{FF2B5EF4-FFF2-40B4-BE49-F238E27FC236}">
              <a16:creationId xmlns:a16="http://schemas.microsoft.com/office/drawing/2014/main" id="{1AFFAB28-A5A3-4567-A96A-62101F896D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54898" y="3833326"/>
          <a:ext cx="177050" cy="182881"/>
        </a:xfrm>
        <a:prstGeom prst="rect">
          <a:avLst/>
        </a:prstGeom>
      </xdr:spPr>
    </xdr:pic>
    <xdr:clientData/>
  </xdr:twoCellAnchor>
  <xdr:twoCellAnchor editAs="oneCell">
    <xdr:from>
      <xdr:col>4</xdr:col>
      <xdr:colOff>354564</xdr:colOff>
      <xdr:row>19</xdr:row>
      <xdr:rowOff>66869</xdr:rowOff>
    </xdr:from>
    <xdr:to>
      <xdr:col>4</xdr:col>
      <xdr:colOff>531614</xdr:colOff>
      <xdr:row>20</xdr:row>
      <xdr:rowOff>39811</xdr:rowOff>
    </xdr:to>
    <xdr:pic>
      <xdr:nvPicPr>
        <xdr:cNvPr id="25" name="Picture 11">
          <a:extLst>
            <a:ext uri="{FF2B5EF4-FFF2-40B4-BE49-F238E27FC236}">
              <a16:creationId xmlns:a16="http://schemas.microsoft.com/office/drawing/2014/main" id="{DFF8CC8C-46F3-47AE-A92A-D4BF640308B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07298" y="3985726"/>
          <a:ext cx="177050" cy="182881"/>
        </a:xfrm>
        <a:prstGeom prst="rect">
          <a:avLst/>
        </a:prstGeom>
      </xdr:spPr>
    </xdr:pic>
    <xdr:clientData/>
  </xdr:twoCellAnchor>
  <xdr:twoCellAnchor editAs="oneCell">
    <xdr:from>
      <xdr:col>4</xdr:col>
      <xdr:colOff>273699</xdr:colOff>
      <xdr:row>17</xdr:row>
      <xdr:rowOff>79310</xdr:rowOff>
    </xdr:from>
    <xdr:to>
      <xdr:col>4</xdr:col>
      <xdr:colOff>447574</xdr:colOff>
      <xdr:row>18</xdr:row>
      <xdr:rowOff>49078</xdr:rowOff>
    </xdr:to>
    <xdr:pic>
      <xdr:nvPicPr>
        <xdr:cNvPr id="33" name="Picture 11">
          <a:extLst>
            <a:ext uri="{FF2B5EF4-FFF2-40B4-BE49-F238E27FC236}">
              <a16:creationId xmlns:a16="http://schemas.microsoft.com/office/drawing/2014/main" id="{3873C2D1-BB0B-4D8C-B0A1-491AA48C29E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326433" y="3710473"/>
          <a:ext cx="177050" cy="182881"/>
        </a:xfrm>
        <a:prstGeom prst="rect">
          <a:avLst/>
        </a:prstGeom>
      </xdr:spPr>
    </xdr:pic>
    <xdr:clientData/>
  </xdr:twoCellAnchor>
  <xdr:twoCellAnchor editAs="oneCell">
    <xdr:from>
      <xdr:col>4</xdr:col>
      <xdr:colOff>426099</xdr:colOff>
      <xdr:row>18</xdr:row>
      <xdr:rowOff>21772</xdr:rowOff>
    </xdr:from>
    <xdr:to>
      <xdr:col>4</xdr:col>
      <xdr:colOff>599974</xdr:colOff>
      <xdr:row>19</xdr:row>
      <xdr:rowOff>123722</xdr:rowOff>
    </xdr:to>
    <xdr:pic>
      <xdr:nvPicPr>
        <xdr:cNvPr id="36" name="Picture 11">
          <a:extLst>
            <a:ext uri="{FF2B5EF4-FFF2-40B4-BE49-F238E27FC236}">
              <a16:creationId xmlns:a16="http://schemas.microsoft.com/office/drawing/2014/main" id="{FB96A3EB-1D01-462C-8BF6-6F2F9229C4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78833" y="3862873"/>
          <a:ext cx="177050" cy="182881"/>
        </a:xfrm>
        <a:prstGeom prst="rect">
          <a:avLst/>
        </a:prstGeom>
      </xdr:spPr>
    </xdr:pic>
    <xdr:clientData/>
  </xdr:twoCellAnchor>
  <xdr:twoCellAnchor editAs="oneCell">
    <xdr:from>
      <xdr:col>14</xdr:col>
      <xdr:colOff>600729</xdr:colOff>
      <xdr:row>17</xdr:row>
      <xdr:rowOff>5725</xdr:rowOff>
    </xdr:from>
    <xdr:to>
      <xdr:col>14</xdr:col>
      <xdr:colOff>774604</xdr:colOff>
      <xdr:row>17</xdr:row>
      <xdr:rowOff>188606</xdr:rowOff>
    </xdr:to>
    <xdr:pic>
      <xdr:nvPicPr>
        <xdr:cNvPr id="37" name="Picture 11">
          <a:extLst>
            <a:ext uri="{FF2B5EF4-FFF2-40B4-BE49-F238E27FC236}">
              <a16:creationId xmlns:a16="http://schemas.microsoft.com/office/drawing/2014/main" id="{F17B3F4F-E5F9-4B36-84BE-B6CFAB1D7C2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81648" y="3636888"/>
          <a:ext cx="177050" cy="182881"/>
        </a:xfrm>
        <a:prstGeom prst="rect">
          <a:avLst/>
        </a:prstGeom>
      </xdr:spPr>
    </xdr:pic>
    <xdr:clientData/>
  </xdr:twoCellAnchor>
  <xdr:twoCellAnchor editAs="oneCell">
    <xdr:from>
      <xdr:col>13</xdr:col>
      <xdr:colOff>1600201</xdr:colOff>
      <xdr:row>9</xdr:row>
      <xdr:rowOff>21770</xdr:rowOff>
    </xdr:from>
    <xdr:to>
      <xdr:col>13</xdr:col>
      <xdr:colOff>1860295</xdr:colOff>
      <xdr:row>9</xdr:row>
      <xdr:rowOff>201385</xdr:rowOff>
    </xdr:to>
    <xdr:pic>
      <xdr:nvPicPr>
        <xdr:cNvPr id="16" name="Picture 15">
          <a:extLst>
            <a:ext uri="{FF2B5EF4-FFF2-40B4-BE49-F238E27FC236}">
              <a16:creationId xmlns:a16="http://schemas.microsoft.com/office/drawing/2014/main" id="{A5D3BD3B-856C-59C8-F6DA-9B65DB53F9E6}"/>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t="18089" r="5850" b="16893"/>
        <a:stretch>
          <a:fillRect/>
        </a:stretch>
      </xdr:blipFill>
      <xdr:spPr>
        <a:xfrm>
          <a:off x="8060872" y="2057399"/>
          <a:ext cx="260094" cy="179615"/>
        </a:xfrm>
        <a:prstGeom prst="rect">
          <a:avLst/>
        </a:prstGeom>
      </xdr:spPr>
    </xdr:pic>
    <xdr:clientData/>
  </xdr:twoCellAnchor>
  <xdr:twoCellAnchor editAs="oneCell">
    <xdr:from>
      <xdr:col>13</xdr:col>
      <xdr:colOff>1066800</xdr:colOff>
      <xdr:row>12</xdr:row>
      <xdr:rowOff>27214</xdr:rowOff>
    </xdr:from>
    <xdr:to>
      <xdr:col>13</xdr:col>
      <xdr:colOff>1310187</xdr:colOff>
      <xdr:row>12</xdr:row>
      <xdr:rowOff>201385</xdr:rowOff>
    </xdr:to>
    <xdr:pic>
      <xdr:nvPicPr>
        <xdr:cNvPr id="38" name="Picture 37">
          <a:extLst>
            <a:ext uri="{FF2B5EF4-FFF2-40B4-BE49-F238E27FC236}">
              <a16:creationId xmlns:a16="http://schemas.microsoft.com/office/drawing/2014/main" id="{1C8DCB06-A68C-F0A0-A742-2DEB9F5F85B5}"/>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l="559" t="28839"/>
        <a:stretch>
          <a:fillRect/>
        </a:stretch>
      </xdr:blipFill>
      <xdr:spPr>
        <a:xfrm>
          <a:off x="7527471" y="2699657"/>
          <a:ext cx="243387" cy="174171"/>
        </a:xfrm>
        <a:prstGeom prst="rect">
          <a:avLst/>
        </a:prstGeom>
      </xdr:spPr>
    </xdr:pic>
    <xdr:clientData/>
  </xdr:twoCellAnchor>
  <xdr:twoCellAnchor editAs="oneCell">
    <xdr:from>
      <xdr:col>13</xdr:col>
      <xdr:colOff>1125712</xdr:colOff>
      <xdr:row>7</xdr:row>
      <xdr:rowOff>200745</xdr:rowOff>
    </xdr:from>
    <xdr:to>
      <xdr:col>13</xdr:col>
      <xdr:colOff>1344946</xdr:colOff>
      <xdr:row>8</xdr:row>
      <xdr:rowOff>206603</xdr:rowOff>
    </xdr:to>
    <xdr:pic>
      <xdr:nvPicPr>
        <xdr:cNvPr id="40" name="Picture 21">
          <a:extLst>
            <a:ext uri="{FF2B5EF4-FFF2-40B4-BE49-F238E27FC236}">
              <a16:creationId xmlns:a16="http://schemas.microsoft.com/office/drawing/2014/main" id="{8469C343-DC0C-455F-8F25-878A8C80926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586383" y="1817274"/>
          <a:ext cx="219234" cy="2126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33540</xdr:colOff>
      <xdr:row>1</xdr:row>
      <xdr:rowOff>49642</xdr:rowOff>
    </xdr:from>
    <xdr:to>
      <xdr:col>4</xdr:col>
      <xdr:colOff>198640</xdr:colOff>
      <xdr:row>1</xdr:row>
      <xdr:rowOff>145863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195301" y="256707"/>
          <a:ext cx="161925" cy="99396"/>
        </a:xfrm>
        <a:prstGeom prst="rect">
          <a:avLst/>
        </a:prstGeom>
      </xdr:spPr>
    </xdr:pic>
    <xdr:clientData/>
  </xdr:twoCellAnchor>
  <xdr:twoCellAnchor editAs="oneCell">
    <xdr:from>
      <xdr:col>5</xdr:col>
      <xdr:colOff>57150</xdr:colOff>
      <xdr:row>1</xdr:row>
      <xdr:rowOff>38100</xdr:rowOff>
    </xdr:from>
    <xdr:to>
      <xdr:col>5</xdr:col>
      <xdr:colOff>215900</xdr:colOff>
      <xdr:row>1</xdr:row>
      <xdr:rowOff>133911</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2714625" y="228600"/>
          <a:ext cx="161925" cy="95811"/>
        </a:xfrm>
        <a:prstGeom prst="rect">
          <a:avLst/>
        </a:prstGeom>
      </xdr:spPr>
    </xdr:pic>
    <xdr:clientData/>
  </xdr:twoCellAnchor>
  <xdr:twoCellAnchor editAs="oneCell">
    <xdr:from>
      <xdr:col>6</xdr:col>
      <xdr:colOff>47625</xdr:colOff>
      <xdr:row>1</xdr:row>
      <xdr:rowOff>56285</xdr:rowOff>
    </xdr:from>
    <xdr:to>
      <xdr:col>6</xdr:col>
      <xdr:colOff>209550</xdr:colOff>
      <xdr:row>1</xdr:row>
      <xdr:rowOff>151326</xdr:rowOff>
    </xdr:to>
    <xdr:pic>
      <xdr:nvPicPr>
        <xdr:cNvPr id="4" name="Pictur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3316432" y="246785"/>
          <a:ext cx="161925" cy="95811"/>
        </a:xfrm>
        <a:prstGeom prst="rect">
          <a:avLst/>
        </a:prstGeom>
      </xdr:spPr>
    </xdr:pic>
    <xdr:clientData/>
  </xdr:twoCellAnchor>
  <xdr:twoCellAnchor editAs="oneCell">
    <xdr:from>
      <xdr:col>7</xdr:col>
      <xdr:colOff>55417</xdr:colOff>
      <xdr:row>1</xdr:row>
      <xdr:rowOff>47625</xdr:rowOff>
    </xdr:from>
    <xdr:to>
      <xdr:col>7</xdr:col>
      <xdr:colOff>220517</xdr:colOff>
      <xdr:row>1</xdr:row>
      <xdr:rowOff>140261</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stretch>
          <a:fillRect/>
        </a:stretch>
      </xdr:blipFill>
      <xdr:spPr>
        <a:xfrm>
          <a:off x="3934690" y="238125"/>
          <a:ext cx="161925" cy="95811"/>
        </a:xfrm>
        <a:prstGeom prst="rect">
          <a:avLst/>
        </a:prstGeom>
      </xdr:spPr>
    </xdr:pic>
    <xdr:clientData/>
  </xdr:twoCellAnchor>
  <xdr:twoCellAnchor editAs="oneCell">
    <xdr:from>
      <xdr:col>2</xdr:col>
      <xdr:colOff>47696</xdr:colOff>
      <xdr:row>1</xdr:row>
      <xdr:rowOff>33077</xdr:rowOff>
    </xdr:from>
    <xdr:to>
      <xdr:col>2</xdr:col>
      <xdr:colOff>209621</xdr:colOff>
      <xdr:row>1</xdr:row>
      <xdr:rowOff>132473</xdr:rowOff>
    </xdr:to>
    <xdr:pic>
      <xdr:nvPicPr>
        <xdr:cNvPr id="8" name="Picture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1"/>
        <a:stretch>
          <a:fillRect/>
        </a:stretch>
      </xdr:blipFill>
      <xdr:spPr>
        <a:xfrm>
          <a:off x="1441067" y="196363"/>
          <a:ext cx="161925" cy="99396"/>
        </a:xfrm>
        <a:prstGeom prst="rect">
          <a:avLst/>
        </a:prstGeom>
      </xdr:spPr>
    </xdr:pic>
    <xdr:clientData/>
  </xdr:twoCellAnchor>
  <xdr:twoCellAnchor editAs="oneCell">
    <xdr:from>
      <xdr:col>17</xdr:col>
      <xdr:colOff>32717</xdr:colOff>
      <xdr:row>4</xdr:row>
      <xdr:rowOff>32302</xdr:rowOff>
    </xdr:from>
    <xdr:to>
      <xdr:col>17</xdr:col>
      <xdr:colOff>197817</xdr:colOff>
      <xdr:row>4</xdr:row>
      <xdr:rowOff>124938</xdr:rowOff>
    </xdr:to>
    <xdr:pic>
      <xdr:nvPicPr>
        <xdr:cNvPr id="9" name="Pictur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a:stretch>
          <a:fillRect/>
        </a:stretch>
      </xdr:blipFill>
      <xdr:spPr>
        <a:xfrm>
          <a:off x="8120803" y="347988"/>
          <a:ext cx="161925" cy="95811"/>
        </a:xfrm>
        <a:prstGeom prst="rect">
          <a:avLst/>
        </a:prstGeom>
      </xdr:spPr>
    </xdr:pic>
    <xdr:clientData/>
  </xdr:twoCellAnchor>
  <xdr:twoCellAnchor editAs="oneCell">
    <xdr:from>
      <xdr:col>18</xdr:col>
      <xdr:colOff>41156</xdr:colOff>
      <xdr:row>1</xdr:row>
      <xdr:rowOff>49338</xdr:rowOff>
    </xdr:from>
    <xdr:to>
      <xdr:col>18</xdr:col>
      <xdr:colOff>196850</xdr:colOff>
      <xdr:row>1</xdr:row>
      <xdr:rowOff>141974</xdr:rowOff>
    </xdr:to>
    <xdr:pic>
      <xdr:nvPicPr>
        <xdr:cNvPr id="10" name="Picture 9">
          <a:extLst>
            <a:ext uri="{FF2B5EF4-FFF2-40B4-BE49-F238E27FC236}">
              <a16:creationId xmlns:a16="http://schemas.microsoft.com/office/drawing/2014/main" id="{00000000-0008-0000-0200-00000A000000}"/>
            </a:ext>
          </a:extLst>
        </xdr:cNvPr>
        <xdr:cNvPicPr>
          <a:picLocks noChangeAspect="1"/>
        </xdr:cNvPicPr>
      </xdr:nvPicPr>
      <xdr:blipFill>
        <a:blip xmlns:r="http://schemas.openxmlformats.org/officeDocument/2006/relationships" r:embed="rId1"/>
        <a:stretch>
          <a:fillRect/>
        </a:stretch>
      </xdr:blipFill>
      <xdr:spPr>
        <a:xfrm>
          <a:off x="7801960" y="231555"/>
          <a:ext cx="161925" cy="95811"/>
        </a:xfrm>
        <a:prstGeom prst="rect">
          <a:avLst/>
        </a:prstGeom>
      </xdr:spPr>
    </xdr:pic>
    <xdr:clientData/>
  </xdr:twoCellAnchor>
  <xdr:twoCellAnchor editAs="oneCell">
    <xdr:from>
      <xdr:col>19</xdr:col>
      <xdr:colOff>21535</xdr:colOff>
      <xdr:row>1</xdr:row>
      <xdr:rowOff>47625</xdr:rowOff>
    </xdr:from>
    <xdr:to>
      <xdr:col>19</xdr:col>
      <xdr:colOff>180285</xdr:colOff>
      <xdr:row>1</xdr:row>
      <xdr:rowOff>140261</xdr:rowOff>
    </xdr:to>
    <xdr:pic>
      <xdr:nvPicPr>
        <xdr:cNvPr id="11" name="Picture 10">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a:stretch>
          <a:fillRect/>
        </a:stretch>
      </xdr:blipFill>
      <xdr:spPr>
        <a:xfrm>
          <a:off x="8328992" y="229842"/>
          <a:ext cx="161925" cy="95811"/>
        </a:xfrm>
        <a:prstGeom prst="rect">
          <a:avLst/>
        </a:prstGeom>
      </xdr:spPr>
    </xdr:pic>
    <xdr:clientData/>
  </xdr:twoCellAnchor>
  <xdr:twoCellAnchor editAs="oneCell">
    <xdr:from>
      <xdr:col>1</xdr:col>
      <xdr:colOff>580533</xdr:colOff>
      <xdr:row>1</xdr:row>
      <xdr:rowOff>33077</xdr:rowOff>
    </xdr:from>
    <xdr:to>
      <xdr:col>1</xdr:col>
      <xdr:colOff>742458</xdr:colOff>
      <xdr:row>1</xdr:row>
      <xdr:rowOff>132473</xdr:rowOff>
    </xdr:to>
    <xdr:pic>
      <xdr:nvPicPr>
        <xdr:cNvPr id="13" name="Picture 12">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a:stretch>
          <a:fillRect/>
        </a:stretch>
      </xdr:blipFill>
      <xdr:spPr>
        <a:xfrm>
          <a:off x="1097604" y="196363"/>
          <a:ext cx="161925" cy="99396"/>
        </a:xfrm>
        <a:prstGeom prst="rect">
          <a:avLst/>
        </a:prstGeom>
      </xdr:spPr>
    </xdr:pic>
    <xdr:clientData/>
  </xdr:twoCellAnchor>
  <xdr:twoCellAnchor editAs="oneCell">
    <xdr:from>
      <xdr:col>1</xdr:col>
      <xdr:colOff>345385</xdr:colOff>
      <xdr:row>2</xdr:row>
      <xdr:rowOff>24849</xdr:rowOff>
    </xdr:from>
    <xdr:to>
      <xdr:col>1</xdr:col>
      <xdr:colOff>522199</xdr:colOff>
      <xdr:row>3</xdr:row>
      <xdr:rowOff>28024</xdr:rowOff>
    </xdr:to>
    <xdr:pic>
      <xdr:nvPicPr>
        <xdr:cNvPr id="7" name="Picture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2"/>
        <a:stretch>
          <a:fillRect/>
        </a:stretch>
      </xdr:blipFill>
      <xdr:spPr>
        <a:xfrm>
          <a:off x="956990" y="836981"/>
          <a:ext cx="173639" cy="165651"/>
        </a:xfrm>
        <a:prstGeom prst="rect">
          <a:avLst/>
        </a:prstGeom>
      </xdr:spPr>
    </xdr:pic>
    <xdr:clientData/>
  </xdr:twoCellAnchor>
  <xdr:twoCellAnchor editAs="oneCell">
    <xdr:from>
      <xdr:col>40</xdr:col>
      <xdr:colOff>37566</xdr:colOff>
      <xdr:row>3</xdr:row>
      <xdr:rowOff>24848</xdr:rowOff>
    </xdr:from>
    <xdr:to>
      <xdr:col>40</xdr:col>
      <xdr:colOff>142207</xdr:colOff>
      <xdr:row>4</xdr:row>
      <xdr:rowOff>28022</xdr:rowOff>
    </xdr:to>
    <xdr:pic>
      <xdr:nvPicPr>
        <xdr:cNvPr id="12" name="Picture 11">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3"/>
        <a:stretch>
          <a:fillRect/>
        </a:stretch>
      </xdr:blipFill>
      <xdr:spPr>
        <a:xfrm>
          <a:off x="12005048" y="1024973"/>
          <a:ext cx="101466" cy="165652"/>
        </a:xfrm>
        <a:prstGeom prst="rect">
          <a:avLst/>
        </a:prstGeom>
      </xdr:spPr>
    </xdr:pic>
    <xdr:clientData/>
  </xdr:twoCellAnchor>
  <xdr:twoCellAnchor editAs="oneCell">
    <xdr:from>
      <xdr:col>40</xdr:col>
      <xdr:colOff>53473</xdr:colOff>
      <xdr:row>6</xdr:row>
      <xdr:rowOff>4328</xdr:rowOff>
    </xdr:from>
    <xdr:to>
      <xdr:col>40</xdr:col>
      <xdr:colOff>154939</xdr:colOff>
      <xdr:row>7</xdr:row>
      <xdr:rowOff>0</xdr:rowOff>
    </xdr:to>
    <xdr:pic>
      <xdr:nvPicPr>
        <xdr:cNvPr id="16" name="Picture 15">
          <a:extLst>
            <a:ext uri="{FF2B5EF4-FFF2-40B4-BE49-F238E27FC236}">
              <a16:creationId xmlns:a16="http://schemas.microsoft.com/office/drawing/2014/main" id="{00000000-0008-0000-0200-000010000000}"/>
            </a:ext>
          </a:extLst>
        </xdr:cNvPr>
        <xdr:cNvPicPr>
          <a:picLocks noChangeAspect="1"/>
        </xdr:cNvPicPr>
      </xdr:nvPicPr>
      <xdr:blipFill>
        <a:blip xmlns:r="http://schemas.openxmlformats.org/officeDocument/2006/relationships" r:embed="rId3"/>
        <a:stretch>
          <a:fillRect/>
        </a:stretch>
      </xdr:blipFill>
      <xdr:spPr>
        <a:xfrm>
          <a:off x="15402330" y="945165"/>
          <a:ext cx="101466" cy="155510"/>
        </a:xfrm>
        <a:prstGeom prst="rect">
          <a:avLst/>
        </a:prstGeom>
      </xdr:spPr>
    </xdr:pic>
    <xdr:clientData/>
  </xdr:twoCellAnchor>
  <xdr:twoCellAnchor editAs="oneCell">
    <xdr:from>
      <xdr:col>41</xdr:col>
      <xdr:colOff>70772</xdr:colOff>
      <xdr:row>3</xdr:row>
      <xdr:rowOff>131457</xdr:rowOff>
    </xdr:from>
    <xdr:to>
      <xdr:col>41</xdr:col>
      <xdr:colOff>172238</xdr:colOff>
      <xdr:row>4</xdr:row>
      <xdr:rowOff>122246</xdr:rowOff>
    </xdr:to>
    <xdr:pic>
      <xdr:nvPicPr>
        <xdr:cNvPr id="17" name="Picture 16">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3"/>
        <a:stretch>
          <a:fillRect/>
        </a:stretch>
      </xdr:blipFill>
      <xdr:spPr>
        <a:xfrm>
          <a:off x="16010568" y="761273"/>
          <a:ext cx="101466" cy="149475"/>
        </a:xfrm>
        <a:prstGeom prst="rect">
          <a:avLst/>
        </a:prstGeom>
      </xdr:spPr>
    </xdr:pic>
    <xdr:clientData/>
  </xdr:twoCellAnchor>
  <xdr:twoCellAnchor editAs="oneCell">
    <xdr:from>
      <xdr:col>42</xdr:col>
      <xdr:colOff>28396</xdr:colOff>
      <xdr:row>3</xdr:row>
      <xdr:rowOff>154784</xdr:rowOff>
    </xdr:from>
    <xdr:to>
      <xdr:col>42</xdr:col>
      <xdr:colOff>126687</xdr:colOff>
      <xdr:row>5</xdr:row>
      <xdr:rowOff>2384</xdr:rowOff>
    </xdr:to>
    <xdr:pic>
      <xdr:nvPicPr>
        <xdr:cNvPr id="18" name="Picture 17">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3"/>
        <a:stretch>
          <a:fillRect/>
        </a:stretch>
      </xdr:blipFill>
      <xdr:spPr>
        <a:xfrm>
          <a:off x="16559130" y="784600"/>
          <a:ext cx="101466" cy="155510"/>
        </a:xfrm>
        <a:prstGeom prst="rect">
          <a:avLst/>
        </a:prstGeom>
      </xdr:spPr>
    </xdr:pic>
    <xdr:clientData/>
  </xdr:twoCellAnchor>
  <xdr:twoCellAnchor editAs="oneCell">
    <xdr:from>
      <xdr:col>42</xdr:col>
      <xdr:colOff>34422</xdr:colOff>
      <xdr:row>6</xdr:row>
      <xdr:rowOff>23326</xdr:rowOff>
    </xdr:from>
    <xdr:to>
      <xdr:col>42</xdr:col>
      <xdr:colOff>135888</xdr:colOff>
      <xdr:row>8</xdr:row>
      <xdr:rowOff>17291</xdr:rowOff>
    </xdr:to>
    <xdr:pic>
      <xdr:nvPicPr>
        <xdr:cNvPr id="19" name="Picture 18">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3"/>
        <a:stretch>
          <a:fillRect/>
        </a:stretch>
      </xdr:blipFill>
      <xdr:spPr>
        <a:xfrm>
          <a:off x="16565156" y="964163"/>
          <a:ext cx="101466" cy="149475"/>
        </a:xfrm>
        <a:prstGeom prst="rect">
          <a:avLst/>
        </a:prstGeom>
      </xdr:spPr>
    </xdr:pic>
    <xdr:clientData/>
  </xdr:twoCellAnchor>
  <xdr:twoCellAnchor editAs="oneCell">
    <xdr:from>
      <xdr:col>43</xdr:col>
      <xdr:colOff>30145</xdr:colOff>
      <xdr:row>3</xdr:row>
      <xdr:rowOff>139233</xdr:rowOff>
    </xdr:from>
    <xdr:to>
      <xdr:col>43</xdr:col>
      <xdr:colOff>131611</xdr:colOff>
      <xdr:row>4</xdr:row>
      <xdr:rowOff>142407</xdr:rowOff>
    </xdr:to>
    <xdr:pic>
      <xdr:nvPicPr>
        <xdr:cNvPr id="20" name="Picture 19">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3"/>
        <a:stretch>
          <a:fillRect/>
        </a:stretch>
      </xdr:blipFill>
      <xdr:spPr>
        <a:xfrm>
          <a:off x="17151818" y="769049"/>
          <a:ext cx="101466" cy="155510"/>
        </a:xfrm>
        <a:prstGeom prst="rect">
          <a:avLst/>
        </a:prstGeom>
      </xdr:spPr>
    </xdr:pic>
    <xdr:clientData/>
  </xdr:twoCellAnchor>
  <xdr:twoCellAnchor editAs="oneCell">
    <xdr:from>
      <xdr:col>43</xdr:col>
      <xdr:colOff>43947</xdr:colOff>
      <xdr:row>5</xdr:row>
      <xdr:rowOff>132183</xdr:rowOff>
    </xdr:from>
    <xdr:to>
      <xdr:col>43</xdr:col>
      <xdr:colOff>142238</xdr:colOff>
      <xdr:row>6</xdr:row>
      <xdr:rowOff>112088</xdr:rowOff>
    </xdr:to>
    <xdr:pic>
      <xdr:nvPicPr>
        <xdr:cNvPr id="21" name="Picture 20">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3"/>
        <a:stretch>
          <a:fillRect/>
        </a:stretch>
      </xdr:blipFill>
      <xdr:spPr>
        <a:xfrm>
          <a:off x="17165620" y="917510"/>
          <a:ext cx="101466" cy="149475"/>
        </a:xfrm>
        <a:prstGeom prst="rect">
          <a:avLst/>
        </a:prstGeom>
      </xdr:spPr>
    </xdr:pic>
    <xdr:clientData/>
  </xdr:twoCellAnchor>
  <xdr:twoCellAnchor editAs="oneCell">
    <xdr:from>
      <xdr:col>1</xdr:col>
      <xdr:colOff>347870</xdr:colOff>
      <xdr:row>2</xdr:row>
      <xdr:rowOff>149088</xdr:rowOff>
    </xdr:from>
    <xdr:to>
      <xdr:col>1</xdr:col>
      <xdr:colOff>521745</xdr:colOff>
      <xdr:row>4</xdr:row>
      <xdr:rowOff>1736</xdr:rowOff>
    </xdr:to>
    <xdr:pic>
      <xdr:nvPicPr>
        <xdr:cNvPr id="25" name="Picture 24">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960783" y="496958"/>
          <a:ext cx="170700" cy="170700"/>
        </a:xfrm>
        <a:prstGeom prst="rect">
          <a:avLst/>
        </a:prstGeom>
      </xdr:spPr>
    </xdr:pic>
    <xdr:clientData/>
  </xdr:twoCellAnchor>
  <xdr:twoCellAnchor editAs="oneCell">
    <xdr:from>
      <xdr:col>1</xdr:col>
      <xdr:colOff>275966</xdr:colOff>
      <xdr:row>4</xdr:row>
      <xdr:rowOff>20843</xdr:rowOff>
    </xdr:from>
    <xdr:to>
      <xdr:col>1</xdr:col>
      <xdr:colOff>410978</xdr:colOff>
      <xdr:row>4</xdr:row>
      <xdr:rowOff>145525</xdr:rowOff>
    </xdr:to>
    <xdr:pic>
      <xdr:nvPicPr>
        <xdr:cNvPr id="28" name="Picture 27">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95131" y="485579"/>
          <a:ext cx="131837" cy="121507"/>
        </a:xfrm>
        <a:prstGeom prst="rect">
          <a:avLst/>
        </a:prstGeom>
      </xdr:spPr>
    </xdr:pic>
    <xdr:clientData/>
  </xdr:twoCellAnchor>
  <xdr:twoCellAnchor editAs="oneCell">
    <xdr:from>
      <xdr:col>20</xdr:col>
      <xdr:colOff>61291</xdr:colOff>
      <xdr:row>4</xdr:row>
      <xdr:rowOff>48867</xdr:rowOff>
    </xdr:from>
    <xdr:to>
      <xdr:col>20</xdr:col>
      <xdr:colOff>220041</xdr:colOff>
      <xdr:row>4</xdr:row>
      <xdr:rowOff>141503</xdr:rowOff>
    </xdr:to>
    <xdr:pic>
      <xdr:nvPicPr>
        <xdr:cNvPr id="27" name="Picture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a:stretch>
          <a:fillRect/>
        </a:stretch>
      </xdr:blipFill>
      <xdr:spPr>
        <a:xfrm>
          <a:off x="8666921" y="396737"/>
          <a:ext cx="161925" cy="95811"/>
        </a:xfrm>
        <a:prstGeom prst="rect">
          <a:avLst/>
        </a:prstGeom>
      </xdr:spPr>
    </xdr:pic>
    <xdr:clientData/>
  </xdr:twoCellAnchor>
  <xdr:twoCellAnchor editAs="oneCell">
    <xdr:from>
      <xdr:col>8</xdr:col>
      <xdr:colOff>64604</xdr:colOff>
      <xdr:row>4</xdr:row>
      <xdr:rowOff>35614</xdr:rowOff>
    </xdr:from>
    <xdr:to>
      <xdr:col>8</xdr:col>
      <xdr:colOff>226529</xdr:colOff>
      <xdr:row>4</xdr:row>
      <xdr:rowOff>131425</xdr:rowOff>
    </xdr:to>
    <xdr:pic>
      <xdr:nvPicPr>
        <xdr:cNvPr id="29" name="Picture 28">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a:stretch>
          <a:fillRect/>
        </a:stretch>
      </xdr:blipFill>
      <xdr:spPr>
        <a:xfrm>
          <a:off x="5373756" y="383484"/>
          <a:ext cx="161925" cy="95811"/>
        </a:xfrm>
        <a:prstGeom prst="rect">
          <a:avLst/>
        </a:prstGeom>
      </xdr:spPr>
    </xdr:pic>
    <xdr:clientData/>
  </xdr:twoCellAnchor>
  <xdr:oneCellAnchor>
    <xdr:from>
      <xdr:col>44</xdr:col>
      <xdr:colOff>30145</xdr:colOff>
      <xdr:row>5</xdr:row>
      <xdr:rowOff>30375</xdr:rowOff>
    </xdr:from>
    <xdr:ext cx="101466" cy="165652"/>
    <xdr:pic>
      <xdr:nvPicPr>
        <xdr:cNvPr id="30" name="Picture 29">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3"/>
        <a:stretch>
          <a:fillRect/>
        </a:stretch>
      </xdr:blipFill>
      <xdr:spPr>
        <a:xfrm>
          <a:off x="17742758" y="815702"/>
          <a:ext cx="101466" cy="165652"/>
        </a:xfrm>
        <a:prstGeom prst="rect">
          <a:avLst/>
        </a:prstGeom>
      </xdr:spPr>
    </xdr:pic>
    <xdr:clientData/>
  </xdr:oneCellAnchor>
  <xdr:oneCellAnchor>
    <xdr:from>
      <xdr:col>44</xdr:col>
      <xdr:colOff>20621</xdr:colOff>
      <xdr:row>6</xdr:row>
      <xdr:rowOff>69979</xdr:rowOff>
    </xdr:from>
    <xdr:ext cx="101466" cy="165652"/>
    <xdr:pic>
      <xdr:nvPicPr>
        <xdr:cNvPr id="31" name="Picture 30">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3"/>
        <a:stretch>
          <a:fillRect/>
        </a:stretch>
      </xdr:blipFill>
      <xdr:spPr>
        <a:xfrm>
          <a:off x="17733234" y="1010816"/>
          <a:ext cx="101466" cy="165652"/>
        </a:xfrm>
        <a:prstGeom prst="rect">
          <a:avLst/>
        </a:prstGeom>
      </xdr:spPr>
    </xdr:pic>
    <xdr:clientData/>
  </xdr:oneCellAnchor>
  <xdr:twoCellAnchor>
    <xdr:from>
      <xdr:col>27</xdr:col>
      <xdr:colOff>336883</xdr:colOff>
      <xdr:row>13</xdr:row>
      <xdr:rowOff>66769</xdr:rowOff>
    </xdr:from>
    <xdr:to>
      <xdr:col>54</xdr:col>
      <xdr:colOff>312033</xdr:colOff>
      <xdr:row>59</xdr:row>
      <xdr:rowOff>79311</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27529</xdr:colOff>
      <xdr:row>1</xdr:row>
      <xdr:rowOff>36383</xdr:rowOff>
    </xdr:from>
    <xdr:to>
      <xdr:col>9</xdr:col>
      <xdr:colOff>193835</xdr:colOff>
      <xdr:row>1</xdr:row>
      <xdr:rowOff>133038</xdr:rowOff>
    </xdr:to>
    <xdr:pic>
      <xdr:nvPicPr>
        <xdr:cNvPr id="33" name="Picture 32">
          <a:extLst>
            <a:ext uri="{FF2B5EF4-FFF2-40B4-BE49-F238E27FC236}">
              <a16:creationId xmlns:a16="http://schemas.microsoft.com/office/drawing/2014/main" id="{00000000-0008-0000-0200-000021000000}"/>
            </a:ext>
          </a:extLst>
        </xdr:cNvPr>
        <xdr:cNvPicPr>
          <a:picLocks noChangeAspect="1"/>
        </xdr:cNvPicPr>
      </xdr:nvPicPr>
      <xdr:blipFill>
        <a:blip xmlns:r="http://schemas.openxmlformats.org/officeDocument/2006/relationships" r:embed="rId1"/>
        <a:stretch>
          <a:fillRect/>
        </a:stretch>
      </xdr:blipFill>
      <xdr:spPr>
        <a:xfrm>
          <a:off x="5927586" y="199669"/>
          <a:ext cx="166306" cy="96655"/>
        </a:xfrm>
        <a:prstGeom prst="rect">
          <a:avLst/>
        </a:prstGeom>
      </xdr:spPr>
    </xdr:pic>
    <xdr:clientData/>
  </xdr:twoCellAnchor>
  <xdr:twoCellAnchor editAs="oneCell">
    <xdr:from>
      <xdr:col>21</xdr:col>
      <xdr:colOff>37985</xdr:colOff>
      <xdr:row>1</xdr:row>
      <xdr:rowOff>36142</xdr:rowOff>
    </xdr:from>
    <xdr:to>
      <xdr:col>21</xdr:col>
      <xdr:colOff>197941</xdr:colOff>
      <xdr:row>1</xdr:row>
      <xdr:rowOff>131953</xdr:rowOff>
    </xdr:to>
    <xdr:pic>
      <xdr:nvPicPr>
        <xdr:cNvPr id="34" name="Picture 33">
          <a:extLst>
            <a:ext uri="{FF2B5EF4-FFF2-40B4-BE49-F238E27FC236}">
              <a16:creationId xmlns:a16="http://schemas.microsoft.com/office/drawing/2014/main" id="{00000000-0008-0000-0200-000022000000}"/>
            </a:ext>
          </a:extLst>
        </xdr:cNvPr>
        <xdr:cNvPicPr>
          <a:picLocks noChangeAspect="1"/>
        </xdr:cNvPicPr>
      </xdr:nvPicPr>
      <xdr:blipFill>
        <a:blip xmlns:r="http://schemas.openxmlformats.org/officeDocument/2006/relationships" r:embed="rId1"/>
        <a:stretch>
          <a:fillRect/>
        </a:stretch>
      </xdr:blipFill>
      <xdr:spPr>
        <a:xfrm>
          <a:off x="8781935" y="217117"/>
          <a:ext cx="163131" cy="95811"/>
        </a:xfrm>
        <a:prstGeom prst="rect">
          <a:avLst/>
        </a:prstGeom>
      </xdr:spPr>
    </xdr:pic>
    <xdr:clientData/>
  </xdr:twoCellAnchor>
  <xdr:twoCellAnchor editAs="oneCell">
    <xdr:from>
      <xdr:col>22</xdr:col>
      <xdr:colOff>13493</xdr:colOff>
      <xdr:row>1</xdr:row>
      <xdr:rowOff>37503</xdr:rowOff>
    </xdr:from>
    <xdr:to>
      <xdr:col>22</xdr:col>
      <xdr:colOff>179799</xdr:colOff>
      <xdr:row>1</xdr:row>
      <xdr:rowOff>133314</xdr:rowOff>
    </xdr:to>
    <xdr:pic>
      <xdr:nvPicPr>
        <xdr:cNvPr id="35" name="Picture 33">
          <a:extLst>
            <a:ext uri="{FF2B5EF4-FFF2-40B4-BE49-F238E27FC236}">
              <a16:creationId xmlns:a16="http://schemas.microsoft.com/office/drawing/2014/main" id="{8DBC93DC-9DC7-43F5-9CF5-3D61B3AE4420}"/>
            </a:ext>
          </a:extLst>
        </xdr:cNvPr>
        <xdr:cNvPicPr>
          <a:picLocks noChangeAspect="1"/>
        </xdr:cNvPicPr>
      </xdr:nvPicPr>
      <xdr:blipFill>
        <a:blip xmlns:r="http://schemas.openxmlformats.org/officeDocument/2006/relationships" r:embed="rId1"/>
        <a:stretch>
          <a:fillRect/>
        </a:stretch>
      </xdr:blipFill>
      <xdr:spPr>
        <a:xfrm>
          <a:off x="9571150" y="200789"/>
          <a:ext cx="163131" cy="95811"/>
        </a:xfrm>
        <a:prstGeom prst="rect">
          <a:avLst/>
        </a:prstGeom>
      </xdr:spPr>
    </xdr:pic>
    <xdr:clientData/>
  </xdr:twoCellAnchor>
  <xdr:twoCellAnchor editAs="oneCell">
    <xdr:from>
      <xdr:col>10</xdr:col>
      <xdr:colOff>40708</xdr:colOff>
      <xdr:row>1</xdr:row>
      <xdr:rowOff>37503</xdr:rowOff>
    </xdr:from>
    <xdr:to>
      <xdr:col>10</xdr:col>
      <xdr:colOff>200664</xdr:colOff>
      <xdr:row>1</xdr:row>
      <xdr:rowOff>133314</xdr:rowOff>
    </xdr:to>
    <xdr:pic>
      <xdr:nvPicPr>
        <xdr:cNvPr id="36" name="Picture 33">
          <a:extLst>
            <a:ext uri="{FF2B5EF4-FFF2-40B4-BE49-F238E27FC236}">
              <a16:creationId xmlns:a16="http://schemas.microsoft.com/office/drawing/2014/main" id="{0A9A068A-ADF5-49E6-A9E5-BE72BC52B2C9}"/>
            </a:ext>
          </a:extLst>
        </xdr:cNvPr>
        <xdr:cNvPicPr>
          <a:picLocks noChangeAspect="1"/>
        </xdr:cNvPicPr>
      </xdr:nvPicPr>
      <xdr:blipFill>
        <a:blip xmlns:r="http://schemas.openxmlformats.org/officeDocument/2006/relationships" r:embed="rId1"/>
        <a:stretch>
          <a:fillRect/>
        </a:stretch>
      </xdr:blipFill>
      <xdr:spPr>
        <a:xfrm>
          <a:off x="6348979" y="200789"/>
          <a:ext cx="163131" cy="95811"/>
        </a:xfrm>
        <a:prstGeom prst="rect">
          <a:avLst/>
        </a:prstGeom>
      </xdr:spPr>
    </xdr:pic>
    <xdr:clientData/>
  </xdr:twoCellAnchor>
  <xdr:oneCellAnchor>
    <xdr:from>
      <xdr:col>46</xdr:col>
      <xdr:colOff>24288</xdr:colOff>
      <xdr:row>5</xdr:row>
      <xdr:rowOff>137746</xdr:rowOff>
    </xdr:from>
    <xdr:ext cx="101466" cy="165652"/>
    <xdr:pic>
      <xdr:nvPicPr>
        <xdr:cNvPr id="14" name="Picture 13">
          <a:extLst>
            <a:ext uri="{FF2B5EF4-FFF2-40B4-BE49-F238E27FC236}">
              <a16:creationId xmlns:a16="http://schemas.microsoft.com/office/drawing/2014/main" id="{F6038DED-4A87-4703-8076-5682A66B9CFC}"/>
            </a:ext>
          </a:extLst>
        </xdr:cNvPr>
        <xdr:cNvPicPr>
          <a:picLocks noChangeAspect="1"/>
        </xdr:cNvPicPr>
      </xdr:nvPicPr>
      <xdr:blipFill>
        <a:blip xmlns:r="http://schemas.openxmlformats.org/officeDocument/2006/relationships" r:embed="rId3"/>
        <a:stretch>
          <a:fillRect/>
        </a:stretch>
      </xdr:blipFill>
      <xdr:spPr>
        <a:xfrm>
          <a:off x="18848798" y="923073"/>
          <a:ext cx="101466" cy="165652"/>
        </a:xfrm>
        <a:prstGeom prst="rect">
          <a:avLst/>
        </a:prstGeom>
      </xdr:spPr>
    </xdr:pic>
    <xdr:clientData/>
  </xdr:oneCellAnchor>
  <xdr:oneCellAnchor>
    <xdr:from>
      <xdr:col>45</xdr:col>
      <xdr:colOff>6968</xdr:colOff>
      <xdr:row>5</xdr:row>
      <xdr:rowOff>136243</xdr:rowOff>
    </xdr:from>
    <xdr:ext cx="101466" cy="165652"/>
    <xdr:pic>
      <xdr:nvPicPr>
        <xdr:cNvPr id="15" name="Picture 14">
          <a:extLst>
            <a:ext uri="{FF2B5EF4-FFF2-40B4-BE49-F238E27FC236}">
              <a16:creationId xmlns:a16="http://schemas.microsoft.com/office/drawing/2014/main" id="{8DC8AB55-877B-44B6-88F4-A4139937C3B9}"/>
            </a:ext>
          </a:extLst>
        </xdr:cNvPr>
        <xdr:cNvPicPr>
          <a:picLocks noChangeAspect="1"/>
        </xdr:cNvPicPr>
      </xdr:nvPicPr>
      <xdr:blipFill>
        <a:blip xmlns:r="http://schemas.openxmlformats.org/officeDocument/2006/relationships" r:embed="rId3"/>
        <a:stretch>
          <a:fillRect/>
        </a:stretch>
      </xdr:blipFill>
      <xdr:spPr>
        <a:xfrm>
          <a:off x="18310519" y="921570"/>
          <a:ext cx="101466" cy="165652"/>
        </a:xfrm>
        <a:prstGeom prst="rect">
          <a:avLst/>
        </a:prstGeom>
      </xdr:spPr>
    </xdr:pic>
    <xdr:clientData/>
  </xdr:oneCellAnchor>
  <xdr:twoCellAnchor editAs="oneCell">
    <xdr:from>
      <xdr:col>41</xdr:col>
      <xdr:colOff>127509</xdr:colOff>
      <xdr:row>14</xdr:row>
      <xdr:rowOff>134446</xdr:rowOff>
    </xdr:from>
    <xdr:to>
      <xdr:col>51</xdr:col>
      <xdr:colOff>470483</xdr:colOff>
      <xdr:row>26</xdr:row>
      <xdr:rowOff>24514</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44" name="Ink 43">
              <a:extLst>
                <a:ext uri="{FF2B5EF4-FFF2-40B4-BE49-F238E27FC236}">
                  <a16:creationId xmlns:a16="http://schemas.microsoft.com/office/drawing/2014/main" id="{B7DB0C96-3EB3-45CD-863C-6060B35D380E}"/>
                </a:ext>
              </a:extLst>
            </xdr14:cNvPr>
            <xdr14:cNvContentPartPr/>
          </xdr14:nvContentPartPr>
          <xdr14:nvPr macro=""/>
          <xdr14:xfrm>
            <a:off x="20788595" y="2099317"/>
            <a:ext cx="5840259" cy="1822283"/>
          </xdr14:xfrm>
        </xdr:contentPart>
      </mc:Choice>
      <mc:Fallback xmlns="">
        <xdr:pic>
          <xdr:nvPicPr>
            <xdr:cNvPr id="44" name="Ink 43">
              <a:extLst>
                <a:ext uri="{FF2B5EF4-FFF2-40B4-BE49-F238E27FC236}">
                  <a16:creationId xmlns:a16="http://schemas.microsoft.com/office/drawing/2014/main" id="{B7DB0C96-3EB3-45CD-863C-6060B35D380E}"/>
                </a:ext>
              </a:extLst>
            </xdr:cNvPr>
            <xdr:cNvPicPr/>
          </xdr:nvPicPr>
          <xdr:blipFill>
            <a:blip xmlns:r="http://schemas.openxmlformats.org/officeDocument/2006/relationships" r:embed="rId10"/>
            <a:stretch>
              <a:fillRect/>
            </a:stretch>
          </xdr:blipFill>
          <xdr:spPr>
            <a:xfrm>
              <a:off x="15541542" y="1959340"/>
              <a:ext cx="5511636" cy="1883088"/>
            </a:xfrm>
            <a:prstGeom prst="rect">
              <a:avLst/>
            </a:prstGeom>
          </xdr:spPr>
        </xdr:pic>
      </mc:Fallback>
    </mc:AlternateContent>
    <xdr:clientData/>
  </xdr:twoCellAnchor>
  <xdr:twoCellAnchor editAs="oneCell">
    <xdr:from>
      <xdr:col>44</xdr:col>
      <xdr:colOff>51133</xdr:colOff>
      <xdr:row>29</xdr:row>
      <xdr:rowOff>113587</xdr:rowOff>
    </xdr:from>
    <xdr:to>
      <xdr:col>51</xdr:col>
      <xdr:colOff>368800</xdr:colOff>
      <xdr:row>40</xdr:row>
      <xdr:rowOff>19500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51" name="Ink 50">
              <a:extLst>
                <a:ext uri="{FF2B5EF4-FFF2-40B4-BE49-F238E27FC236}">
                  <a16:creationId xmlns:a16="http://schemas.microsoft.com/office/drawing/2014/main" id="{9AEF7B25-6823-4173-B7C7-F81A6BF70634}"/>
                </a:ext>
              </a:extLst>
            </xdr14:cNvPr>
            <xdr14:cNvContentPartPr/>
          </xdr14:nvContentPartPr>
          <xdr14:nvPr macro=""/>
          <xdr14:xfrm>
            <a:off x="22372290" y="4418887"/>
            <a:ext cx="4154881" cy="1402699"/>
          </xdr14:xfrm>
        </xdr:contentPart>
      </mc:Choice>
      <mc:Fallback xmlns="">
        <xdr:pic>
          <xdr:nvPicPr>
            <xdr:cNvPr id="51" name="Ink 50">
              <a:extLst>
                <a:ext uri="{FF2B5EF4-FFF2-40B4-BE49-F238E27FC236}">
                  <a16:creationId xmlns:a16="http://schemas.microsoft.com/office/drawing/2014/main" id="{9AEF7B25-6823-4173-B7C7-F81A6BF70634}"/>
                </a:ext>
              </a:extLst>
            </xdr:cNvPr>
            <xdr:cNvPicPr/>
          </xdr:nvPicPr>
          <xdr:blipFill>
            <a:blip xmlns:r="http://schemas.openxmlformats.org/officeDocument/2006/relationships" r:embed="rId12"/>
            <a:stretch>
              <a:fillRect/>
            </a:stretch>
          </xdr:blipFill>
          <xdr:spPr>
            <a:xfrm>
              <a:off x="16779597" y="4886932"/>
              <a:ext cx="3914287" cy="1446268"/>
            </a:xfrm>
            <a:prstGeom prst="rect">
              <a:avLst/>
            </a:prstGeom>
          </xdr:spPr>
        </xdr:pic>
      </mc:Fallback>
    </mc:AlternateContent>
    <xdr:clientData/>
  </xdr:twoCellAnchor>
  <xdr:twoCellAnchor editAs="oneCell">
    <xdr:from>
      <xdr:col>11</xdr:col>
      <xdr:colOff>16389</xdr:colOff>
      <xdr:row>2</xdr:row>
      <xdr:rowOff>32302</xdr:rowOff>
    </xdr:from>
    <xdr:to>
      <xdr:col>11</xdr:col>
      <xdr:colOff>181489</xdr:colOff>
      <xdr:row>2</xdr:row>
      <xdr:rowOff>124938</xdr:rowOff>
    </xdr:to>
    <xdr:pic>
      <xdr:nvPicPr>
        <xdr:cNvPr id="22" name="Picture 21">
          <a:extLst>
            <a:ext uri="{FF2B5EF4-FFF2-40B4-BE49-F238E27FC236}">
              <a16:creationId xmlns:a16="http://schemas.microsoft.com/office/drawing/2014/main" id="{71304885-16C6-4592-ADE6-F1D6996B230B}"/>
            </a:ext>
          </a:extLst>
        </xdr:cNvPr>
        <xdr:cNvPicPr>
          <a:picLocks noChangeAspect="1"/>
        </xdr:cNvPicPr>
      </xdr:nvPicPr>
      <xdr:blipFill>
        <a:blip xmlns:r="http://schemas.openxmlformats.org/officeDocument/2006/relationships" r:embed="rId1"/>
        <a:stretch>
          <a:fillRect/>
        </a:stretch>
      </xdr:blipFill>
      <xdr:spPr>
        <a:xfrm>
          <a:off x="6651232" y="347988"/>
          <a:ext cx="161925" cy="95811"/>
        </a:xfrm>
        <a:prstGeom prst="rect">
          <a:avLst/>
        </a:prstGeom>
      </xdr:spPr>
    </xdr:pic>
    <xdr:clientData/>
  </xdr:twoCellAnchor>
  <xdr:twoCellAnchor editAs="oneCell">
    <xdr:from>
      <xdr:col>23</xdr:col>
      <xdr:colOff>21832</xdr:colOff>
      <xdr:row>2</xdr:row>
      <xdr:rowOff>32302</xdr:rowOff>
    </xdr:from>
    <xdr:to>
      <xdr:col>23</xdr:col>
      <xdr:colOff>180582</xdr:colOff>
      <xdr:row>2</xdr:row>
      <xdr:rowOff>124938</xdr:rowOff>
    </xdr:to>
    <xdr:pic>
      <xdr:nvPicPr>
        <xdr:cNvPr id="23" name="Picture 22">
          <a:extLst>
            <a:ext uri="{FF2B5EF4-FFF2-40B4-BE49-F238E27FC236}">
              <a16:creationId xmlns:a16="http://schemas.microsoft.com/office/drawing/2014/main" id="{5816CDC0-0161-4A8D-B9AD-5B375BCAC33F}"/>
            </a:ext>
          </a:extLst>
        </xdr:cNvPr>
        <xdr:cNvPicPr>
          <a:picLocks noChangeAspect="1"/>
        </xdr:cNvPicPr>
      </xdr:nvPicPr>
      <xdr:blipFill>
        <a:blip xmlns:r="http://schemas.openxmlformats.org/officeDocument/2006/relationships" r:embed="rId1"/>
        <a:stretch>
          <a:fillRect/>
        </a:stretch>
      </xdr:blipFill>
      <xdr:spPr>
        <a:xfrm>
          <a:off x="10749703" y="347988"/>
          <a:ext cx="161925" cy="95811"/>
        </a:xfrm>
        <a:prstGeom prst="rect">
          <a:avLst/>
        </a:prstGeom>
      </xdr:spPr>
    </xdr:pic>
    <xdr:clientData/>
  </xdr:twoCellAnchor>
  <xdr:twoCellAnchor>
    <xdr:from>
      <xdr:col>0</xdr:col>
      <xdr:colOff>0</xdr:colOff>
      <xdr:row>24</xdr:row>
      <xdr:rowOff>125187</xdr:rowOff>
    </xdr:from>
    <xdr:to>
      <xdr:col>21</xdr:col>
      <xdr:colOff>64032</xdr:colOff>
      <xdr:row>51</xdr:row>
      <xdr:rowOff>10886</xdr:rowOff>
    </xdr:to>
    <xdr:graphicFrame macro="">
      <xdr:nvGraphicFramePr>
        <xdr:cNvPr id="42" name="Chart 41">
          <a:extLst>
            <a:ext uri="{FF2B5EF4-FFF2-40B4-BE49-F238E27FC236}">
              <a16:creationId xmlns:a16="http://schemas.microsoft.com/office/drawing/2014/main" id="{F32097DA-68E1-F822-2544-296920820B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12</xdr:col>
      <xdr:colOff>21832</xdr:colOff>
      <xdr:row>2</xdr:row>
      <xdr:rowOff>32302</xdr:rowOff>
    </xdr:from>
    <xdr:to>
      <xdr:col>12</xdr:col>
      <xdr:colOff>186932</xdr:colOff>
      <xdr:row>2</xdr:row>
      <xdr:rowOff>124938</xdr:rowOff>
    </xdr:to>
    <xdr:pic>
      <xdr:nvPicPr>
        <xdr:cNvPr id="45" name="Picture 44">
          <a:extLst>
            <a:ext uri="{FF2B5EF4-FFF2-40B4-BE49-F238E27FC236}">
              <a16:creationId xmlns:a16="http://schemas.microsoft.com/office/drawing/2014/main" id="{D3F309F3-934E-4423-9113-4260A1B62798}"/>
            </a:ext>
          </a:extLst>
        </xdr:cNvPr>
        <xdr:cNvPicPr>
          <a:picLocks noChangeAspect="1"/>
        </xdr:cNvPicPr>
      </xdr:nvPicPr>
      <xdr:blipFill>
        <a:blip xmlns:r="http://schemas.openxmlformats.org/officeDocument/2006/relationships" r:embed="rId1"/>
        <a:stretch>
          <a:fillRect/>
        </a:stretch>
      </xdr:blipFill>
      <xdr:spPr>
        <a:xfrm>
          <a:off x="7554746" y="347988"/>
          <a:ext cx="165100" cy="92636"/>
        </a:xfrm>
        <a:prstGeom prst="rect">
          <a:avLst/>
        </a:prstGeom>
      </xdr:spPr>
    </xdr:pic>
    <xdr:clientData/>
  </xdr:twoCellAnchor>
  <xdr:twoCellAnchor editAs="oneCell">
    <xdr:from>
      <xdr:col>24</xdr:col>
      <xdr:colOff>10946</xdr:colOff>
      <xdr:row>2</xdr:row>
      <xdr:rowOff>26859</xdr:rowOff>
    </xdr:from>
    <xdr:to>
      <xdr:col>24</xdr:col>
      <xdr:colOff>176046</xdr:colOff>
      <xdr:row>2</xdr:row>
      <xdr:rowOff>119495</xdr:rowOff>
    </xdr:to>
    <xdr:pic>
      <xdr:nvPicPr>
        <xdr:cNvPr id="46" name="Picture 45">
          <a:extLst>
            <a:ext uri="{FF2B5EF4-FFF2-40B4-BE49-F238E27FC236}">
              <a16:creationId xmlns:a16="http://schemas.microsoft.com/office/drawing/2014/main" id="{04233BA8-8085-46F4-A74F-371713792481}"/>
            </a:ext>
          </a:extLst>
        </xdr:cNvPr>
        <xdr:cNvPicPr>
          <a:picLocks noChangeAspect="1"/>
        </xdr:cNvPicPr>
      </xdr:nvPicPr>
      <xdr:blipFill>
        <a:blip xmlns:r="http://schemas.openxmlformats.org/officeDocument/2006/relationships" r:embed="rId1"/>
        <a:stretch>
          <a:fillRect/>
        </a:stretch>
      </xdr:blipFill>
      <xdr:spPr>
        <a:xfrm>
          <a:off x="11435503" y="342545"/>
          <a:ext cx="165100" cy="92636"/>
        </a:xfrm>
        <a:prstGeom prst="rect">
          <a:avLst/>
        </a:prstGeom>
      </xdr:spPr>
    </xdr:pic>
    <xdr:clientData/>
  </xdr:twoCellAnchor>
  <xdr:oneCellAnchor>
    <xdr:from>
      <xdr:col>47</xdr:col>
      <xdr:colOff>80545</xdr:colOff>
      <xdr:row>5</xdr:row>
      <xdr:rowOff>148266</xdr:rowOff>
    </xdr:from>
    <xdr:ext cx="101466" cy="165652"/>
    <xdr:pic>
      <xdr:nvPicPr>
        <xdr:cNvPr id="47" name="Picture 46">
          <a:extLst>
            <a:ext uri="{FF2B5EF4-FFF2-40B4-BE49-F238E27FC236}">
              <a16:creationId xmlns:a16="http://schemas.microsoft.com/office/drawing/2014/main" id="{F3A49793-1658-45F7-93F2-B5CB8F3C60A2}"/>
            </a:ext>
          </a:extLst>
        </xdr:cNvPr>
        <xdr:cNvPicPr>
          <a:picLocks noChangeAspect="1"/>
        </xdr:cNvPicPr>
      </xdr:nvPicPr>
      <xdr:blipFill>
        <a:blip xmlns:r="http://schemas.openxmlformats.org/officeDocument/2006/relationships" r:embed="rId3"/>
        <a:stretch>
          <a:fillRect/>
        </a:stretch>
      </xdr:blipFill>
      <xdr:spPr>
        <a:xfrm>
          <a:off x="21019537" y="929477"/>
          <a:ext cx="101466" cy="165652"/>
        </a:xfrm>
        <a:prstGeom prst="rect">
          <a:avLst/>
        </a:prstGeom>
      </xdr:spPr>
    </xdr:pic>
    <xdr:clientData/>
  </xdr:oneCellAnchor>
  <xdr:twoCellAnchor editAs="oneCell">
    <xdr:from>
      <xdr:col>1</xdr:col>
      <xdr:colOff>299913</xdr:colOff>
      <xdr:row>6</xdr:row>
      <xdr:rowOff>0</xdr:rowOff>
    </xdr:from>
    <xdr:to>
      <xdr:col>1</xdr:col>
      <xdr:colOff>564958</xdr:colOff>
      <xdr:row>6</xdr:row>
      <xdr:rowOff>148716</xdr:rowOff>
    </xdr:to>
    <xdr:pic>
      <xdr:nvPicPr>
        <xdr:cNvPr id="40" name="Picture 39" descr="Accenture Logo, symbol, meaning, history, PNG, brand">
          <a:extLst>
            <a:ext uri="{FF2B5EF4-FFF2-40B4-BE49-F238E27FC236}">
              <a16:creationId xmlns:a16="http://schemas.microsoft.com/office/drawing/2014/main" id="{34212FA9-2968-4EBB-87E1-B1AF4139B892}"/>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877522" y="91084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261035</xdr:colOff>
      <xdr:row>5</xdr:row>
      <xdr:rowOff>0</xdr:rowOff>
    </xdr:from>
    <xdr:to>
      <xdr:col>1</xdr:col>
      <xdr:colOff>468101</xdr:colOff>
      <xdr:row>6</xdr:row>
      <xdr:rowOff>12008</xdr:rowOff>
    </xdr:to>
    <xdr:pic>
      <xdr:nvPicPr>
        <xdr:cNvPr id="49" name="Picture 1" descr="https://static.thenounproject.com/png/200330-200.png">
          <a:extLst>
            <a:ext uri="{FF2B5EF4-FFF2-40B4-BE49-F238E27FC236}">
              <a16:creationId xmlns:a16="http://schemas.microsoft.com/office/drawing/2014/main" id="{4B886EB4-76F5-489E-A95F-459722FDA428}"/>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838644" y="73312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3794</xdr:colOff>
      <xdr:row>3</xdr:row>
      <xdr:rowOff>37164</xdr:rowOff>
    </xdr:from>
    <xdr:to>
      <xdr:col>25</xdr:col>
      <xdr:colOff>167869</xdr:colOff>
      <xdr:row>3</xdr:row>
      <xdr:rowOff>129800</xdr:rowOff>
    </xdr:to>
    <xdr:pic>
      <xdr:nvPicPr>
        <xdr:cNvPr id="24" name="Picture 23">
          <a:extLst>
            <a:ext uri="{FF2B5EF4-FFF2-40B4-BE49-F238E27FC236}">
              <a16:creationId xmlns:a16="http://schemas.microsoft.com/office/drawing/2014/main" id="{C27D9A0F-4E40-46E9-8057-562C59FE958D}"/>
            </a:ext>
          </a:extLst>
        </xdr:cNvPr>
        <xdr:cNvPicPr>
          <a:picLocks noChangeAspect="1"/>
        </xdr:cNvPicPr>
      </xdr:nvPicPr>
      <xdr:blipFill>
        <a:blip xmlns:r="http://schemas.openxmlformats.org/officeDocument/2006/relationships" r:embed="rId1"/>
        <a:stretch>
          <a:fillRect/>
        </a:stretch>
      </xdr:blipFill>
      <xdr:spPr>
        <a:xfrm>
          <a:off x="12204168" y="514461"/>
          <a:ext cx="164075" cy="92636"/>
        </a:xfrm>
        <a:prstGeom prst="rect">
          <a:avLst/>
        </a:prstGeom>
      </xdr:spPr>
    </xdr:pic>
    <xdr:clientData/>
  </xdr:twoCellAnchor>
  <xdr:twoCellAnchor editAs="oneCell">
    <xdr:from>
      <xdr:col>12</xdr:col>
      <xdr:colOff>507801</xdr:colOff>
      <xdr:row>3</xdr:row>
      <xdr:rowOff>17307</xdr:rowOff>
    </xdr:from>
    <xdr:to>
      <xdr:col>13</xdr:col>
      <xdr:colOff>128615</xdr:colOff>
      <xdr:row>3</xdr:row>
      <xdr:rowOff>109943</xdr:rowOff>
    </xdr:to>
    <xdr:pic>
      <xdr:nvPicPr>
        <xdr:cNvPr id="26" name="Picture 25">
          <a:extLst>
            <a:ext uri="{FF2B5EF4-FFF2-40B4-BE49-F238E27FC236}">
              <a16:creationId xmlns:a16="http://schemas.microsoft.com/office/drawing/2014/main" id="{F282F077-36EC-4815-8547-7922C0D68443}"/>
            </a:ext>
          </a:extLst>
        </xdr:cNvPr>
        <xdr:cNvPicPr>
          <a:picLocks noChangeAspect="1"/>
        </xdr:cNvPicPr>
      </xdr:nvPicPr>
      <xdr:blipFill>
        <a:blip xmlns:r="http://schemas.openxmlformats.org/officeDocument/2006/relationships" r:embed="rId1"/>
        <a:stretch>
          <a:fillRect/>
        </a:stretch>
      </xdr:blipFill>
      <xdr:spPr>
        <a:xfrm>
          <a:off x="8044492" y="489392"/>
          <a:ext cx="165100" cy="92636"/>
        </a:xfrm>
        <a:prstGeom prst="rect">
          <a:avLst/>
        </a:prstGeom>
      </xdr:spPr>
    </xdr:pic>
    <xdr:clientData/>
  </xdr:twoCellAnchor>
  <xdr:twoCellAnchor editAs="oneCell">
    <xdr:from>
      <xdr:col>26</xdr:col>
      <xdr:colOff>234723</xdr:colOff>
      <xdr:row>3</xdr:row>
      <xdr:rowOff>17008</xdr:rowOff>
    </xdr:from>
    <xdr:to>
      <xdr:col>26</xdr:col>
      <xdr:colOff>316997</xdr:colOff>
      <xdr:row>3</xdr:row>
      <xdr:rowOff>107509</xdr:rowOff>
    </xdr:to>
    <xdr:pic>
      <xdr:nvPicPr>
        <xdr:cNvPr id="32" name="Picture 31">
          <a:extLst>
            <a:ext uri="{FF2B5EF4-FFF2-40B4-BE49-F238E27FC236}">
              <a16:creationId xmlns:a16="http://schemas.microsoft.com/office/drawing/2014/main" id="{8C9804C7-ECFA-40EC-B82C-3D8F03F42EFE}"/>
            </a:ext>
          </a:extLst>
        </xdr:cNvPr>
        <xdr:cNvPicPr>
          <a:picLocks noChangeAspect="1"/>
        </xdr:cNvPicPr>
      </xdr:nvPicPr>
      <xdr:blipFill rotWithShape="1">
        <a:blip xmlns:r="http://schemas.openxmlformats.org/officeDocument/2006/relationships" r:embed="rId1"/>
        <a:srcRect l="49190" t="5543" b="-2"/>
        <a:stretch>
          <a:fillRect/>
        </a:stretch>
      </xdr:blipFill>
      <xdr:spPr>
        <a:xfrm>
          <a:off x="13753419" y="496660"/>
          <a:ext cx="82274" cy="90501"/>
        </a:xfrm>
        <a:prstGeom prst="rect">
          <a:avLst/>
        </a:prstGeom>
      </xdr:spPr>
    </xdr:pic>
    <xdr:clientData/>
  </xdr:twoCellAnchor>
  <xdr:twoCellAnchor editAs="oneCell">
    <xdr:from>
      <xdr:col>26</xdr:col>
      <xdr:colOff>173492</xdr:colOff>
      <xdr:row>2</xdr:row>
      <xdr:rowOff>47626</xdr:rowOff>
    </xdr:from>
    <xdr:to>
      <xdr:col>26</xdr:col>
      <xdr:colOff>261282</xdr:colOff>
      <xdr:row>2</xdr:row>
      <xdr:rowOff>146043</xdr:rowOff>
    </xdr:to>
    <xdr:pic>
      <xdr:nvPicPr>
        <xdr:cNvPr id="37" name="Picture 36">
          <a:extLst>
            <a:ext uri="{FF2B5EF4-FFF2-40B4-BE49-F238E27FC236}">
              <a16:creationId xmlns:a16="http://schemas.microsoft.com/office/drawing/2014/main" id="{E1F5DBB3-8A6C-4A20-A3F9-8E51A065C715}"/>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3692188" y="374197"/>
          <a:ext cx="87790" cy="98417"/>
        </a:xfrm>
        <a:prstGeom prst="rect">
          <a:avLst/>
        </a:prstGeom>
      </xdr:spPr>
    </xdr:pic>
    <xdr:clientData/>
  </xdr:twoCellAnchor>
  <xdr:twoCellAnchor editAs="oneCell">
    <xdr:from>
      <xdr:col>14</xdr:col>
      <xdr:colOff>17009</xdr:colOff>
      <xdr:row>2</xdr:row>
      <xdr:rowOff>37420</xdr:rowOff>
    </xdr:from>
    <xdr:to>
      <xdr:col>14</xdr:col>
      <xdr:colOff>104799</xdr:colOff>
      <xdr:row>2</xdr:row>
      <xdr:rowOff>135837</xdr:rowOff>
    </xdr:to>
    <xdr:pic>
      <xdr:nvPicPr>
        <xdr:cNvPr id="38" name="Picture 37">
          <a:extLst>
            <a:ext uri="{FF2B5EF4-FFF2-40B4-BE49-F238E27FC236}">
              <a16:creationId xmlns:a16="http://schemas.microsoft.com/office/drawing/2014/main" id="{8F0CDD14-B31B-4D95-A6A7-0E26781BFE0C}"/>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8535080" y="363991"/>
          <a:ext cx="87790" cy="98417"/>
        </a:xfrm>
        <a:prstGeom prst="rect">
          <a:avLst/>
        </a:prstGeom>
      </xdr:spPr>
    </xdr:pic>
    <xdr:clientData/>
  </xdr:twoCellAnchor>
  <xdr:twoCellAnchor editAs="oneCell">
    <xdr:from>
      <xdr:col>14</xdr:col>
      <xdr:colOff>43543</xdr:colOff>
      <xdr:row>3</xdr:row>
      <xdr:rowOff>43542</xdr:rowOff>
    </xdr:from>
    <xdr:to>
      <xdr:col>14</xdr:col>
      <xdr:colOff>125817</xdr:colOff>
      <xdr:row>3</xdr:row>
      <xdr:rowOff>134043</xdr:rowOff>
    </xdr:to>
    <xdr:pic>
      <xdr:nvPicPr>
        <xdr:cNvPr id="39" name="Picture 38">
          <a:extLst>
            <a:ext uri="{FF2B5EF4-FFF2-40B4-BE49-F238E27FC236}">
              <a16:creationId xmlns:a16="http://schemas.microsoft.com/office/drawing/2014/main" id="{A1B4C85C-9031-423D-99D6-E5530916A456}"/>
            </a:ext>
          </a:extLst>
        </xdr:cNvPr>
        <xdr:cNvPicPr>
          <a:picLocks noChangeAspect="1"/>
        </xdr:cNvPicPr>
      </xdr:nvPicPr>
      <xdr:blipFill rotWithShape="1">
        <a:blip xmlns:r="http://schemas.openxmlformats.org/officeDocument/2006/relationships" r:embed="rId1"/>
        <a:srcRect l="49190" t="5543" b="-2"/>
        <a:stretch>
          <a:fillRect/>
        </a:stretch>
      </xdr:blipFill>
      <xdr:spPr>
        <a:xfrm>
          <a:off x="8561614" y="523194"/>
          <a:ext cx="82274" cy="90501"/>
        </a:xfrm>
        <a:prstGeom prst="rect">
          <a:avLst/>
        </a:prstGeom>
      </xdr:spPr>
    </xdr:pic>
    <xdr:clientData/>
  </xdr:twoCellAnchor>
  <xdr:twoCellAnchor editAs="oneCell">
    <xdr:from>
      <xdr:col>1</xdr:col>
      <xdr:colOff>500743</xdr:colOff>
      <xdr:row>2</xdr:row>
      <xdr:rowOff>141515</xdr:rowOff>
    </xdr:from>
    <xdr:to>
      <xdr:col>1</xdr:col>
      <xdr:colOff>677793</xdr:colOff>
      <xdr:row>4</xdr:row>
      <xdr:rowOff>19596</xdr:rowOff>
    </xdr:to>
    <xdr:pic>
      <xdr:nvPicPr>
        <xdr:cNvPr id="43" name="Picture 42">
          <a:extLst>
            <a:ext uri="{FF2B5EF4-FFF2-40B4-BE49-F238E27FC236}">
              <a16:creationId xmlns:a16="http://schemas.microsoft.com/office/drawing/2014/main" id="{D18ECFC6-4FBF-405A-8B80-FCFC339F607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77686" y="468086"/>
          <a:ext cx="177050" cy="182881"/>
        </a:xfrm>
        <a:prstGeom prst="rect">
          <a:avLst/>
        </a:prstGeom>
      </xdr:spPr>
    </xdr:pic>
    <xdr:clientData/>
  </xdr:twoCellAnchor>
  <xdr:twoCellAnchor editAs="oneCell">
    <xdr:from>
      <xdr:col>1</xdr:col>
      <xdr:colOff>696686</xdr:colOff>
      <xdr:row>2</xdr:row>
      <xdr:rowOff>146958</xdr:rowOff>
    </xdr:from>
    <xdr:to>
      <xdr:col>1</xdr:col>
      <xdr:colOff>873736</xdr:colOff>
      <xdr:row>4</xdr:row>
      <xdr:rowOff>25039</xdr:rowOff>
    </xdr:to>
    <xdr:pic>
      <xdr:nvPicPr>
        <xdr:cNvPr id="48" name="Picture 47">
          <a:extLst>
            <a:ext uri="{FF2B5EF4-FFF2-40B4-BE49-F238E27FC236}">
              <a16:creationId xmlns:a16="http://schemas.microsoft.com/office/drawing/2014/main" id="{30E55156-B4F8-489B-8F70-7563E466499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73629" y="473529"/>
          <a:ext cx="177050" cy="182881"/>
        </a:xfrm>
        <a:prstGeom prst="rect">
          <a:avLst/>
        </a:prstGeom>
      </xdr:spPr>
    </xdr:pic>
    <xdr:clientData/>
  </xdr:twoCellAnchor>
  <xdr:twoCellAnchor editAs="oneCell">
    <xdr:from>
      <xdr:col>0</xdr:col>
      <xdr:colOff>321129</xdr:colOff>
      <xdr:row>19</xdr:row>
      <xdr:rowOff>119743</xdr:rowOff>
    </xdr:from>
    <xdr:to>
      <xdr:col>0</xdr:col>
      <xdr:colOff>498179</xdr:colOff>
      <xdr:row>20</xdr:row>
      <xdr:rowOff>150224</xdr:rowOff>
    </xdr:to>
    <xdr:pic>
      <xdr:nvPicPr>
        <xdr:cNvPr id="50" name="Picture 49">
          <a:extLst>
            <a:ext uri="{FF2B5EF4-FFF2-40B4-BE49-F238E27FC236}">
              <a16:creationId xmlns:a16="http://schemas.microsoft.com/office/drawing/2014/main" id="{A5EA9ADB-4713-46D1-8795-6FBB6CD2BFA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21129" y="2944586"/>
          <a:ext cx="177050" cy="182881"/>
        </a:xfrm>
        <a:prstGeom prst="rect">
          <a:avLst/>
        </a:prstGeom>
      </xdr:spPr>
    </xdr:pic>
    <xdr:clientData/>
  </xdr:twoCellAnchor>
  <xdr:twoCellAnchor editAs="oneCell">
    <xdr:from>
      <xdr:col>9</xdr:col>
      <xdr:colOff>174172</xdr:colOff>
      <xdr:row>49</xdr:row>
      <xdr:rowOff>5442</xdr:rowOff>
    </xdr:from>
    <xdr:to>
      <xdr:col>9</xdr:col>
      <xdr:colOff>351222</xdr:colOff>
      <xdr:row>50</xdr:row>
      <xdr:rowOff>52252</xdr:rowOff>
    </xdr:to>
    <xdr:pic>
      <xdr:nvPicPr>
        <xdr:cNvPr id="52" name="Picture 51">
          <a:extLst>
            <a:ext uri="{FF2B5EF4-FFF2-40B4-BE49-F238E27FC236}">
              <a16:creationId xmlns:a16="http://schemas.microsoft.com/office/drawing/2014/main" id="{EF04F084-E7D4-4F35-8117-F7D3D906C47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074229" y="7032171"/>
          <a:ext cx="177050" cy="182881"/>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0.10779</cdr:x>
      <cdr:y>0.01768</cdr:y>
    </cdr:from>
    <cdr:to>
      <cdr:x>0.10779</cdr:x>
      <cdr:y>0.95437</cdr:y>
    </cdr:to>
    <cdr:cxnSp macro="">
      <cdr:nvCxnSpPr>
        <cdr:cNvPr id="3" name="Gerader Verbinder 2">
          <a:extLst xmlns:a="http://schemas.openxmlformats.org/drawingml/2006/main">
            <a:ext uri="{FF2B5EF4-FFF2-40B4-BE49-F238E27FC236}">
              <a16:creationId xmlns:a16="http://schemas.microsoft.com/office/drawing/2014/main" id="{EDDDD9FF-CE4B-4E9A-B49E-852EEEF1953C}"/>
            </a:ext>
          </a:extLst>
        </cdr:cNvPr>
        <cdr:cNvCxnSpPr/>
      </cdr:nvCxnSpPr>
      <cdr:spPr>
        <a:xfrm xmlns:a="http://schemas.openxmlformats.org/drawingml/2006/main" flipV="1">
          <a:off x="998174"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0.24916</cdr:x>
      <cdr:y>0.01768</cdr:y>
    </cdr:from>
    <cdr:to>
      <cdr:x>0.24916</cdr:x>
      <cdr:y>0.95437</cdr:y>
    </cdr:to>
    <cdr:cxnSp macro="">
      <cdr:nvCxnSpPr>
        <cdr:cNvPr id="4" name="Gerader Verbinder 3">
          <a:extLst xmlns:a="http://schemas.openxmlformats.org/drawingml/2006/main">
            <a:ext uri="{FF2B5EF4-FFF2-40B4-BE49-F238E27FC236}">
              <a16:creationId xmlns:a16="http://schemas.microsoft.com/office/drawing/2014/main" id="{9CE9DB50-AD8E-4E0E-BE7D-B696D742FD99}"/>
            </a:ext>
          </a:extLst>
        </cdr:cNvPr>
        <cdr:cNvCxnSpPr/>
      </cdr:nvCxnSpPr>
      <cdr:spPr>
        <a:xfrm xmlns:a="http://schemas.openxmlformats.org/drawingml/2006/main" flipV="1">
          <a:off x="2307362"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0.39053</cdr:x>
      <cdr:y>0.01768</cdr:y>
    </cdr:from>
    <cdr:to>
      <cdr:x>0.39053</cdr:x>
      <cdr:y>0.95437</cdr:y>
    </cdr:to>
    <cdr:cxnSp macro="">
      <cdr:nvCxnSpPr>
        <cdr:cNvPr id="5" name="Gerader Verbinder 4">
          <a:extLst xmlns:a="http://schemas.openxmlformats.org/drawingml/2006/main">
            <a:ext uri="{FF2B5EF4-FFF2-40B4-BE49-F238E27FC236}">
              <a16:creationId xmlns:a16="http://schemas.microsoft.com/office/drawing/2014/main" id="{ECCF38EE-9F54-4FC0-8131-2ADB0BC54FCC}"/>
            </a:ext>
          </a:extLst>
        </cdr:cNvPr>
        <cdr:cNvCxnSpPr/>
      </cdr:nvCxnSpPr>
      <cdr:spPr>
        <a:xfrm xmlns:a="http://schemas.openxmlformats.org/drawingml/2006/main" flipV="1">
          <a:off x="3616550"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0.5319</cdr:x>
      <cdr:y>0.01768</cdr:y>
    </cdr:from>
    <cdr:to>
      <cdr:x>0.5319</cdr:x>
      <cdr:y>0.95437</cdr:y>
    </cdr:to>
    <cdr:cxnSp macro="">
      <cdr:nvCxnSpPr>
        <cdr:cNvPr id="6" name="Gerader Verbinder 5">
          <a:extLst xmlns:a="http://schemas.openxmlformats.org/drawingml/2006/main">
            <a:ext uri="{FF2B5EF4-FFF2-40B4-BE49-F238E27FC236}">
              <a16:creationId xmlns:a16="http://schemas.microsoft.com/office/drawing/2014/main" id="{D5B0BF91-4BCD-4F8C-81F7-F7E9143B561C}"/>
            </a:ext>
          </a:extLst>
        </cdr:cNvPr>
        <cdr:cNvCxnSpPr/>
      </cdr:nvCxnSpPr>
      <cdr:spPr>
        <a:xfrm xmlns:a="http://schemas.openxmlformats.org/drawingml/2006/main" flipV="1">
          <a:off x="4925738"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0.67327</cdr:x>
      <cdr:y>0.01768</cdr:y>
    </cdr:from>
    <cdr:to>
      <cdr:x>0.67327</cdr:x>
      <cdr:y>0.95437</cdr:y>
    </cdr:to>
    <cdr:cxnSp macro="">
      <cdr:nvCxnSpPr>
        <cdr:cNvPr id="7" name="Gerader Verbinder 6">
          <a:extLst xmlns:a="http://schemas.openxmlformats.org/drawingml/2006/main">
            <a:ext uri="{FF2B5EF4-FFF2-40B4-BE49-F238E27FC236}">
              <a16:creationId xmlns:a16="http://schemas.microsoft.com/office/drawing/2014/main" id="{6CE802A6-39E9-478E-980E-2E9BE68FA7A0}"/>
            </a:ext>
          </a:extLst>
        </cdr:cNvPr>
        <cdr:cNvCxnSpPr/>
      </cdr:nvCxnSpPr>
      <cdr:spPr>
        <a:xfrm xmlns:a="http://schemas.openxmlformats.org/drawingml/2006/main" flipV="1">
          <a:off x="6234926"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0.81464</cdr:x>
      <cdr:y>0.01685</cdr:y>
    </cdr:from>
    <cdr:to>
      <cdr:x>0.81464</cdr:x>
      <cdr:y>0.95354</cdr:y>
    </cdr:to>
    <cdr:cxnSp macro="">
      <cdr:nvCxnSpPr>
        <cdr:cNvPr id="8" name="Gerader Verbinder 7">
          <a:extLst xmlns:a="http://schemas.openxmlformats.org/drawingml/2006/main">
            <a:ext uri="{FF2B5EF4-FFF2-40B4-BE49-F238E27FC236}">
              <a16:creationId xmlns:a16="http://schemas.microsoft.com/office/drawing/2014/main" id="{2D665EDB-3A01-4623-8774-4D4D527F584D}"/>
            </a:ext>
          </a:extLst>
        </cdr:cNvPr>
        <cdr:cNvCxnSpPr/>
      </cdr:nvCxnSpPr>
      <cdr:spPr>
        <a:xfrm xmlns:a="http://schemas.openxmlformats.org/drawingml/2006/main" flipV="1">
          <a:off x="7544115" y="110514"/>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1</xdr:col>
      <xdr:colOff>754882</xdr:colOff>
      <xdr:row>1</xdr:row>
      <xdr:rowOff>57150</xdr:rowOff>
    </xdr:from>
    <xdr:to>
      <xdr:col>1</xdr:col>
      <xdr:colOff>916807</xdr:colOff>
      <xdr:row>1</xdr:row>
      <xdr:rowOff>156546</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097907" y="266700"/>
          <a:ext cx="161925" cy="99396"/>
        </a:xfrm>
        <a:prstGeom prst="rect">
          <a:avLst/>
        </a:prstGeom>
      </xdr:spPr>
    </xdr:pic>
    <xdr:clientData/>
  </xdr:twoCellAnchor>
  <xdr:twoCellAnchor>
    <xdr:from>
      <xdr:col>1</xdr:col>
      <xdr:colOff>307522</xdr:colOff>
      <xdr:row>4</xdr:row>
      <xdr:rowOff>163338</xdr:rowOff>
    </xdr:from>
    <xdr:to>
      <xdr:col>1</xdr:col>
      <xdr:colOff>514588</xdr:colOff>
      <xdr:row>5</xdr:row>
      <xdr:rowOff>171071</xdr:rowOff>
    </xdr:to>
    <xdr:pic>
      <xdr:nvPicPr>
        <xdr:cNvPr id="3" name="Picture 1" descr="https://static.thenounproject.com/png/200330-200.png">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16479" y="930781"/>
          <a:ext cx="207066" cy="1982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727214</xdr:colOff>
      <xdr:row>3</xdr:row>
      <xdr:rowOff>5024</xdr:rowOff>
    </xdr:from>
    <xdr:to>
      <xdr:col>1</xdr:col>
      <xdr:colOff>897914</xdr:colOff>
      <xdr:row>3</xdr:row>
      <xdr:rowOff>175724</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70239" y="614624"/>
          <a:ext cx="170700" cy="170700"/>
        </a:xfrm>
        <a:prstGeom prst="rect">
          <a:avLst/>
        </a:prstGeom>
      </xdr:spPr>
    </xdr:pic>
    <xdr:clientData/>
  </xdr:twoCellAnchor>
  <xdr:twoCellAnchor editAs="oneCell">
    <xdr:from>
      <xdr:col>1</xdr:col>
      <xdr:colOff>326042</xdr:colOff>
      <xdr:row>3</xdr:row>
      <xdr:rowOff>180436</xdr:rowOff>
    </xdr:from>
    <xdr:to>
      <xdr:col>1</xdr:col>
      <xdr:colOff>516542</xdr:colOff>
      <xdr:row>4</xdr:row>
      <xdr:rowOff>176354</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34999" y="757379"/>
          <a:ext cx="190500" cy="186418"/>
        </a:xfrm>
        <a:prstGeom prst="rect">
          <a:avLst/>
        </a:prstGeom>
      </xdr:spPr>
    </xdr:pic>
    <xdr:clientData/>
  </xdr:twoCellAnchor>
  <xdr:twoCellAnchor editAs="oneCell">
    <xdr:from>
      <xdr:col>1</xdr:col>
      <xdr:colOff>427265</xdr:colOff>
      <xdr:row>2</xdr:row>
      <xdr:rowOff>13607</xdr:rowOff>
    </xdr:from>
    <xdr:to>
      <xdr:col>1</xdr:col>
      <xdr:colOff>600904</xdr:colOff>
      <xdr:row>2</xdr:row>
      <xdr:rowOff>179258</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1336222" y="400050"/>
          <a:ext cx="173639" cy="165651"/>
        </a:xfrm>
        <a:prstGeom prst="rect">
          <a:avLst/>
        </a:prstGeom>
      </xdr:spPr>
    </xdr:pic>
    <xdr:clientData/>
  </xdr:twoCellAnchor>
  <xdr:twoCellAnchor editAs="oneCell">
    <xdr:from>
      <xdr:col>1</xdr:col>
      <xdr:colOff>898664</xdr:colOff>
      <xdr:row>3</xdr:row>
      <xdr:rowOff>14549</xdr:rowOff>
    </xdr:from>
    <xdr:to>
      <xdr:col>1</xdr:col>
      <xdr:colOff>1069364</xdr:colOff>
      <xdr:row>3</xdr:row>
      <xdr:rowOff>185249</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755914" y="643199"/>
          <a:ext cx="170700" cy="170700"/>
        </a:xfrm>
        <a:prstGeom prst="rect">
          <a:avLst/>
        </a:prstGeom>
      </xdr:spPr>
    </xdr:pic>
    <xdr:clientData/>
  </xdr:twoCellAnchor>
  <xdr:twoCellAnchor editAs="oneCell">
    <xdr:from>
      <xdr:col>6</xdr:col>
      <xdr:colOff>50346</xdr:colOff>
      <xdr:row>1</xdr:row>
      <xdr:rowOff>65995</xdr:rowOff>
    </xdr:from>
    <xdr:to>
      <xdr:col>6</xdr:col>
      <xdr:colOff>212271</xdr:colOff>
      <xdr:row>1</xdr:row>
      <xdr:rowOff>161806</xdr:rowOff>
    </xdr:to>
    <xdr:pic>
      <xdr:nvPicPr>
        <xdr:cNvPr id="9" name="Picture 8">
          <a:extLst>
            <a:ext uri="{FF2B5EF4-FFF2-40B4-BE49-F238E27FC236}">
              <a16:creationId xmlns:a16="http://schemas.microsoft.com/office/drawing/2014/main" id="{A3EEDAC5-E2B8-41C1-9598-A1B31023B3D4}"/>
            </a:ext>
          </a:extLst>
        </xdr:cNvPr>
        <xdr:cNvPicPr>
          <a:picLocks noChangeAspect="1"/>
        </xdr:cNvPicPr>
      </xdr:nvPicPr>
      <xdr:blipFill>
        <a:blip xmlns:r="http://schemas.openxmlformats.org/officeDocument/2006/relationships" r:embed="rId1"/>
        <a:stretch>
          <a:fillRect/>
        </a:stretch>
      </xdr:blipFill>
      <xdr:spPr>
        <a:xfrm>
          <a:off x="9891032" y="261938"/>
          <a:ext cx="161925" cy="95811"/>
        </a:xfrm>
        <a:prstGeom prst="rect">
          <a:avLst/>
        </a:prstGeom>
      </xdr:spPr>
    </xdr:pic>
    <xdr:clientData/>
  </xdr:twoCellAnchor>
  <xdr:twoCellAnchor editAs="oneCell">
    <xdr:from>
      <xdr:col>6</xdr:col>
      <xdr:colOff>278946</xdr:colOff>
      <xdr:row>1</xdr:row>
      <xdr:rowOff>60552</xdr:rowOff>
    </xdr:from>
    <xdr:to>
      <xdr:col>6</xdr:col>
      <xdr:colOff>440871</xdr:colOff>
      <xdr:row>1</xdr:row>
      <xdr:rowOff>156363</xdr:rowOff>
    </xdr:to>
    <xdr:pic>
      <xdr:nvPicPr>
        <xdr:cNvPr id="10" name="Picture 9">
          <a:extLst>
            <a:ext uri="{FF2B5EF4-FFF2-40B4-BE49-F238E27FC236}">
              <a16:creationId xmlns:a16="http://schemas.microsoft.com/office/drawing/2014/main" id="{75446423-2081-4E04-8184-C5E2D5078B11}"/>
            </a:ext>
          </a:extLst>
        </xdr:cNvPr>
        <xdr:cNvPicPr>
          <a:picLocks noChangeAspect="1"/>
        </xdr:cNvPicPr>
      </xdr:nvPicPr>
      <xdr:blipFill>
        <a:blip xmlns:r="http://schemas.openxmlformats.org/officeDocument/2006/relationships" r:embed="rId1"/>
        <a:stretch>
          <a:fillRect/>
        </a:stretch>
      </xdr:blipFill>
      <xdr:spPr>
        <a:xfrm>
          <a:off x="10119632" y="256495"/>
          <a:ext cx="161925" cy="95811"/>
        </a:xfrm>
        <a:prstGeom prst="rect">
          <a:avLst/>
        </a:prstGeom>
      </xdr:spPr>
    </xdr:pic>
    <xdr:clientData/>
  </xdr:twoCellAnchor>
  <xdr:twoCellAnchor editAs="oneCell">
    <xdr:from>
      <xdr:col>6</xdr:col>
      <xdr:colOff>485775</xdr:colOff>
      <xdr:row>1</xdr:row>
      <xdr:rowOff>60552</xdr:rowOff>
    </xdr:from>
    <xdr:to>
      <xdr:col>6</xdr:col>
      <xdr:colOff>647700</xdr:colOff>
      <xdr:row>1</xdr:row>
      <xdr:rowOff>156363</xdr:rowOff>
    </xdr:to>
    <xdr:pic>
      <xdr:nvPicPr>
        <xdr:cNvPr id="11" name="Picture 10">
          <a:extLst>
            <a:ext uri="{FF2B5EF4-FFF2-40B4-BE49-F238E27FC236}">
              <a16:creationId xmlns:a16="http://schemas.microsoft.com/office/drawing/2014/main" id="{2AB40676-28FE-3E9A-180F-B0994F7845DB}"/>
            </a:ext>
          </a:extLst>
        </xdr:cNvPr>
        <xdr:cNvPicPr>
          <a:picLocks noChangeAspect="1"/>
        </xdr:cNvPicPr>
      </xdr:nvPicPr>
      <xdr:blipFill>
        <a:blip xmlns:r="http://schemas.openxmlformats.org/officeDocument/2006/relationships" r:embed="rId1"/>
        <a:stretch>
          <a:fillRect/>
        </a:stretch>
      </xdr:blipFill>
      <xdr:spPr>
        <a:xfrm>
          <a:off x="10326461" y="256495"/>
          <a:ext cx="161925" cy="95811"/>
        </a:xfrm>
        <a:prstGeom prst="rect">
          <a:avLst/>
        </a:prstGeom>
      </xdr:spPr>
    </xdr:pic>
    <xdr:clientData/>
  </xdr:twoCellAnchor>
  <xdr:twoCellAnchor editAs="oneCell">
    <xdr:from>
      <xdr:col>6</xdr:col>
      <xdr:colOff>692604</xdr:colOff>
      <xdr:row>1</xdr:row>
      <xdr:rowOff>60552</xdr:rowOff>
    </xdr:from>
    <xdr:to>
      <xdr:col>6</xdr:col>
      <xdr:colOff>854529</xdr:colOff>
      <xdr:row>1</xdr:row>
      <xdr:rowOff>156363</xdr:rowOff>
    </xdr:to>
    <xdr:pic>
      <xdr:nvPicPr>
        <xdr:cNvPr id="12" name="Picture 11">
          <a:extLst>
            <a:ext uri="{FF2B5EF4-FFF2-40B4-BE49-F238E27FC236}">
              <a16:creationId xmlns:a16="http://schemas.microsoft.com/office/drawing/2014/main" id="{3F56209B-2D7A-9AC4-6F46-8690743BD803}"/>
            </a:ext>
          </a:extLst>
        </xdr:cNvPr>
        <xdr:cNvPicPr>
          <a:picLocks noChangeAspect="1"/>
        </xdr:cNvPicPr>
      </xdr:nvPicPr>
      <xdr:blipFill>
        <a:blip xmlns:r="http://schemas.openxmlformats.org/officeDocument/2006/relationships" r:embed="rId1"/>
        <a:stretch>
          <a:fillRect/>
        </a:stretch>
      </xdr:blipFill>
      <xdr:spPr>
        <a:xfrm>
          <a:off x="10533290" y="256495"/>
          <a:ext cx="161925" cy="95811"/>
        </a:xfrm>
        <a:prstGeom prst="rect">
          <a:avLst/>
        </a:prstGeom>
      </xdr:spPr>
    </xdr:pic>
    <xdr:clientData/>
  </xdr:twoCellAnchor>
  <xdr:twoCellAnchor editAs="oneCell">
    <xdr:from>
      <xdr:col>6</xdr:col>
      <xdr:colOff>61232</xdr:colOff>
      <xdr:row>2</xdr:row>
      <xdr:rowOff>65995</xdr:rowOff>
    </xdr:from>
    <xdr:to>
      <xdr:col>6</xdr:col>
      <xdr:colOff>223157</xdr:colOff>
      <xdr:row>2</xdr:row>
      <xdr:rowOff>161806</xdr:rowOff>
    </xdr:to>
    <xdr:pic>
      <xdr:nvPicPr>
        <xdr:cNvPr id="19" name="Picture 18">
          <a:extLst>
            <a:ext uri="{FF2B5EF4-FFF2-40B4-BE49-F238E27FC236}">
              <a16:creationId xmlns:a16="http://schemas.microsoft.com/office/drawing/2014/main" id="{6804C0F7-DA34-4DB4-B6DD-39B2CA6AB591}"/>
            </a:ext>
          </a:extLst>
        </xdr:cNvPr>
        <xdr:cNvPicPr>
          <a:picLocks noChangeAspect="1"/>
        </xdr:cNvPicPr>
      </xdr:nvPicPr>
      <xdr:blipFill>
        <a:blip xmlns:r="http://schemas.openxmlformats.org/officeDocument/2006/relationships" r:embed="rId1"/>
        <a:stretch>
          <a:fillRect/>
        </a:stretch>
      </xdr:blipFill>
      <xdr:spPr>
        <a:xfrm>
          <a:off x="9901918" y="452438"/>
          <a:ext cx="161925" cy="95811"/>
        </a:xfrm>
        <a:prstGeom prst="rect">
          <a:avLst/>
        </a:prstGeom>
      </xdr:spPr>
    </xdr:pic>
    <xdr:clientData/>
  </xdr:twoCellAnchor>
  <xdr:twoCellAnchor editAs="oneCell">
    <xdr:from>
      <xdr:col>6</xdr:col>
      <xdr:colOff>273503</xdr:colOff>
      <xdr:row>2</xdr:row>
      <xdr:rowOff>49666</xdr:rowOff>
    </xdr:from>
    <xdr:to>
      <xdr:col>6</xdr:col>
      <xdr:colOff>435428</xdr:colOff>
      <xdr:row>2</xdr:row>
      <xdr:rowOff>145477</xdr:rowOff>
    </xdr:to>
    <xdr:pic>
      <xdr:nvPicPr>
        <xdr:cNvPr id="20" name="Picture 19">
          <a:extLst>
            <a:ext uri="{FF2B5EF4-FFF2-40B4-BE49-F238E27FC236}">
              <a16:creationId xmlns:a16="http://schemas.microsoft.com/office/drawing/2014/main" id="{269E8005-B944-4778-2949-E5C2A620EF20}"/>
            </a:ext>
          </a:extLst>
        </xdr:cNvPr>
        <xdr:cNvPicPr>
          <a:picLocks noChangeAspect="1"/>
        </xdr:cNvPicPr>
      </xdr:nvPicPr>
      <xdr:blipFill>
        <a:blip xmlns:r="http://schemas.openxmlformats.org/officeDocument/2006/relationships" r:embed="rId1"/>
        <a:stretch>
          <a:fillRect/>
        </a:stretch>
      </xdr:blipFill>
      <xdr:spPr>
        <a:xfrm>
          <a:off x="10114189" y="436109"/>
          <a:ext cx="161925" cy="95811"/>
        </a:xfrm>
        <a:prstGeom prst="rect">
          <a:avLst/>
        </a:prstGeom>
      </xdr:spPr>
    </xdr:pic>
    <xdr:clientData/>
  </xdr:twoCellAnchor>
  <xdr:twoCellAnchor editAs="oneCell">
    <xdr:from>
      <xdr:col>6</xdr:col>
      <xdr:colOff>66674</xdr:colOff>
      <xdr:row>4</xdr:row>
      <xdr:rowOff>55109</xdr:rowOff>
    </xdr:from>
    <xdr:to>
      <xdr:col>6</xdr:col>
      <xdr:colOff>228599</xdr:colOff>
      <xdr:row>4</xdr:row>
      <xdr:rowOff>150920</xdr:rowOff>
    </xdr:to>
    <xdr:pic>
      <xdr:nvPicPr>
        <xdr:cNvPr id="21" name="Picture 20">
          <a:extLst>
            <a:ext uri="{FF2B5EF4-FFF2-40B4-BE49-F238E27FC236}">
              <a16:creationId xmlns:a16="http://schemas.microsoft.com/office/drawing/2014/main" id="{6E359D8A-ECE1-7113-A2DE-96ABA35AADD0}"/>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268060</xdr:colOff>
      <xdr:row>4</xdr:row>
      <xdr:rowOff>49666</xdr:rowOff>
    </xdr:from>
    <xdr:to>
      <xdr:col>6</xdr:col>
      <xdr:colOff>429985</xdr:colOff>
      <xdr:row>4</xdr:row>
      <xdr:rowOff>145477</xdr:rowOff>
    </xdr:to>
    <xdr:pic>
      <xdr:nvPicPr>
        <xdr:cNvPr id="22" name="Picture 21">
          <a:extLst>
            <a:ext uri="{FF2B5EF4-FFF2-40B4-BE49-F238E27FC236}">
              <a16:creationId xmlns:a16="http://schemas.microsoft.com/office/drawing/2014/main" id="{87C3E74E-2970-F78E-8219-C8CC386BB94D}"/>
            </a:ext>
          </a:extLst>
        </xdr:cNvPr>
        <xdr:cNvPicPr>
          <a:picLocks noChangeAspect="1"/>
        </xdr:cNvPicPr>
      </xdr:nvPicPr>
      <xdr:blipFill>
        <a:blip xmlns:r="http://schemas.openxmlformats.org/officeDocument/2006/relationships" r:embed="rId1"/>
        <a:stretch>
          <a:fillRect/>
        </a:stretch>
      </xdr:blipFill>
      <xdr:spPr>
        <a:xfrm>
          <a:off x="10108746" y="626609"/>
          <a:ext cx="161925" cy="95811"/>
        </a:xfrm>
        <a:prstGeom prst="rect">
          <a:avLst/>
        </a:prstGeom>
      </xdr:spPr>
    </xdr:pic>
    <xdr:clientData/>
  </xdr:twoCellAnchor>
  <xdr:twoCellAnchor editAs="oneCell">
    <xdr:from>
      <xdr:col>1</xdr:col>
      <xdr:colOff>558486</xdr:colOff>
      <xdr:row>3</xdr:row>
      <xdr:rowOff>6385</xdr:rowOff>
    </xdr:from>
    <xdr:to>
      <xdr:col>1</xdr:col>
      <xdr:colOff>729186</xdr:colOff>
      <xdr:row>3</xdr:row>
      <xdr:rowOff>177085</xdr:rowOff>
    </xdr:to>
    <xdr:pic>
      <xdr:nvPicPr>
        <xdr:cNvPr id="28" name="Picture 27">
          <a:extLst>
            <a:ext uri="{FF2B5EF4-FFF2-40B4-BE49-F238E27FC236}">
              <a16:creationId xmlns:a16="http://schemas.microsoft.com/office/drawing/2014/main" id="{E4E6CC2E-F11D-4640-B2F5-35D3231949E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67443" y="773828"/>
          <a:ext cx="170700" cy="170700"/>
        </a:xfrm>
        <a:prstGeom prst="rect">
          <a:avLst/>
        </a:prstGeom>
      </xdr:spPr>
    </xdr:pic>
    <xdr:clientData/>
  </xdr:twoCellAnchor>
  <xdr:twoCellAnchor editAs="oneCell">
    <xdr:from>
      <xdr:col>1</xdr:col>
      <xdr:colOff>1113657</xdr:colOff>
      <xdr:row>3</xdr:row>
      <xdr:rowOff>17270</xdr:rowOff>
    </xdr:from>
    <xdr:to>
      <xdr:col>1</xdr:col>
      <xdr:colOff>1284357</xdr:colOff>
      <xdr:row>3</xdr:row>
      <xdr:rowOff>187970</xdr:rowOff>
    </xdr:to>
    <xdr:pic>
      <xdr:nvPicPr>
        <xdr:cNvPr id="29" name="Picture 28">
          <a:extLst>
            <a:ext uri="{FF2B5EF4-FFF2-40B4-BE49-F238E27FC236}">
              <a16:creationId xmlns:a16="http://schemas.microsoft.com/office/drawing/2014/main" id="{C0DE29EA-225B-4E4E-B073-31CC7F3E39F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22614" y="784713"/>
          <a:ext cx="170700" cy="170700"/>
        </a:xfrm>
        <a:prstGeom prst="rect">
          <a:avLst/>
        </a:prstGeom>
      </xdr:spPr>
    </xdr:pic>
    <xdr:clientData/>
  </xdr:twoCellAnchor>
  <xdr:twoCellAnchor editAs="oneCell">
    <xdr:from>
      <xdr:col>1</xdr:col>
      <xdr:colOff>647700</xdr:colOff>
      <xdr:row>2</xdr:row>
      <xdr:rowOff>5443</xdr:rowOff>
    </xdr:from>
    <xdr:to>
      <xdr:col>1</xdr:col>
      <xdr:colOff>735689</xdr:colOff>
      <xdr:row>2</xdr:row>
      <xdr:rowOff>146578</xdr:rowOff>
    </xdr:to>
    <xdr:pic>
      <xdr:nvPicPr>
        <xdr:cNvPr id="30" name="Picture 17">
          <a:extLst>
            <a:ext uri="{FF2B5EF4-FFF2-40B4-BE49-F238E27FC236}">
              <a16:creationId xmlns:a16="http://schemas.microsoft.com/office/drawing/2014/main" id="{9DFEEA71-ADA7-43A9-A1DB-75555F695AD8}"/>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1556657" y="391886"/>
          <a:ext cx="87989" cy="141135"/>
        </a:xfrm>
        <a:prstGeom prst="rect">
          <a:avLst/>
        </a:prstGeom>
      </xdr:spPr>
    </xdr:pic>
    <xdr:clientData/>
  </xdr:twoCellAnchor>
  <xdr:twoCellAnchor editAs="oneCell">
    <xdr:from>
      <xdr:col>6</xdr:col>
      <xdr:colOff>464004</xdr:colOff>
      <xdr:row>2</xdr:row>
      <xdr:rowOff>44224</xdr:rowOff>
    </xdr:from>
    <xdr:to>
      <xdr:col>6</xdr:col>
      <xdr:colOff>551794</xdr:colOff>
      <xdr:row>2</xdr:row>
      <xdr:rowOff>142641</xdr:rowOff>
    </xdr:to>
    <xdr:pic>
      <xdr:nvPicPr>
        <xdr:cNvPr id="32" name="Picture 31">
          <a:extLst>
            <a:ext uri="{FF2B5EF4-FFF2-40B4-BE49-F238E27FC236}">
              <a16:creationId xmlns:a16="http://schemas.microsoft.com/office/drawing/2014/main" id="{B5A72DEB-F756-42CE-8753-E2ECAEA8D3DE}"/>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0110999" y="430854"/>
          <a:ext cx="87790" cy="98417"/>
        </a:xfrm>
        <a:prstGeom prst="rect">
          <a:avLst/>
        </a:prstGeom>
      </xdr:spPr>
    </xdr:pic>
    <xdr:clientData/>
  </xdr:twoCellAnchor>
  <xdr:twoCellAnchor editAs="oneCell">
    <xdr:from>
      <xdr:col>1</xdr:col>
      <xdr:colOff>326572</xdr:colOff>
      <xdr:row>6</xdr:row>
      <xdr:rowOff>21772</xdr:rowOff>
    </xdr:from>
    <xdr:to>
      <xdr:col>1</xdr:col>
      <xdr:colOff>591617</xdr:colOff>
      <xdr:row>6</xdr:row>
      <xdr:rowOff>170488</xdr:rowOff>
    </xdr:to>
    <xdr:pic>
      <xdr:nvPicPr>
        <xdr:cNvPr id="34" name="Picture 33" descr="Accenture Logo, symbol, meaning, history, PNG, brand">
          <a:extLst>
            <a:ext uri="{FF2B5EF4-FFF2-40B4-BE49-F238E27FC236}">
              <a16:creationId xmlns:a16="http://schemas.microsoft.com/office/drawing/2014/main" id="{534C4BCA-4938-47EA-B226-2C5CDB99307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235529" y="117021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66674</xdr:colOff>
      <xdr:row>3</xdr:row>
      <xdr:rowOff>55109</xdr:rowOff>
    </xdr:from>
    <xdr:to>
      <xdr:col>6</xdr:col>
      <xdr:colOff>228599</xdr:colOff>
      <xdr:row>3</xdr:row>
      <xdr:rowOff>150920</xdr:rowOff>
    </xdr:to>
    <xdr:pic>
      <xdr:nvPicPr>
        <xdr:cNvPr id="5" name="Picture 4">
          <a:extLst>
            <a:ext uri="{FF2B5EF4-FFF2-40B4-BE49-F238E27FC236}">
              <a16:creationId xmlns:a16="http://schemas.microsoft.com/office/drawing/2014/main" id="{1494DF45-9B5D-427B-A0EB-AA2F6E1388B3}"/>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282168</xdr:colOff>
      <xdr:row>3</xdr:row>
      <xdr:rowOff>49257</xdr:rowOff>
    </xdr:from>
    <xdr:to>
      <xdr:col>6</xdr:col>
      <xdr:colOff>364442</xdr:colOff>
      <xdr:row>3</xdr:row>
      <xdr:rowOff>139758</xdr:rowOff>
    </xdr:to>
    <xdr:pic>
      <xdr:nvPicPr>
        <xdr:cNvPr id="25" name="Picture 24">
          <a:extLst>
            <a:ext uri="{FF2B5EF4-FFF2-40B4-BE49-F238E27FC236}">
              <a16:creationId xmlns:a16="http://schemas.microsoft.com/office/drawing/2014/main" id="{000E052F-FF82-40F3-87A1-387486A83FAF}"/>
            </a:ext>
          </a:extLst>
        </xdr:cNvPr>
        <xdr:cNvPicPr>
          <a:picLocks noChangeAspect="1"/>
        </xdr:cNvPicPr>
      </xdr:nvPicPr>
      <xdr:blipFill rotWithShape="1">
        <a:blip xmlns:r="http://schemas.openxmlformats.org/officeDocument/2006/relationships" r:embed="rId1"/>
        <a:srcRect l="49190" t="5543" b="-2"/>
        <a:stretch>
          <a:fillRect/>
        </a:stretch>
      </xdr:blipFill>
      <xdr:spPr>
        <a:xfrm>
          <a:off x="9929163" y="627326"/>
          <a:ext cx="82274" cy="90501"/>
        </a:xfrm>
        <a:prstGeom prst="rect">
          <a:avLst/>
        </a:prstGeom>
      </xdr:spPr>
    </xdr:pic>
    <xdr:clientData/>
  </xdr:twoCellAnchor>
  <xdr:twoCellAnchor editAs="oneCell">
    <xdr:from>
      <xdr:col>1</xdr:col>
      <xdr:colOff>345781</xdr:colOff>
      <xdr:row>3</xdr:row>
      <xdr:rowOff>6402</xdr:rowOff>
    </xdr:from>
    <xdr:to>
      <xdr:col>1</xdr:col>
      <xdr:colOff>522831</xdr:colOff>
      <xdr:row>3</xdr:row>
      <xdr:rowOff>189283</xdr:rowOff>
    </xdr:to>
    <xdr:pic>
      <xdr:nvPicPr>
        <xdr:cNvPr id="13" name="Picture 12">
          <a:extLst>
            <a:ext uri="{FF2B5EF4-FFF2-40B4-BE49-F238E27FC236}">
              <a16:creationId xmlns:a16="http://schemas.microsoft.com/office/drawing/2014/main" id="{5D7A6AFC-D765-4503-BC6B-0CC8563A5DC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255059" y="774806"/>
          <a:ext cx="177050" cy="1828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29</xdr:col>
      <xdr:colOff>370299</xdr:colOff>
      <xdr:row>5</xdr:row>
      <xdr:rowOff>129592</xdr:rowOff>
    </xdr:from>
    <xdr:to>
      <xdr:col>72</xdr:col>
      <xdr:colOff>626916</xdr:colOff>
      <xdr:row>47</xdr:row>
      <xdr:rowOff>119814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591290</xdr:colOff>
      <xdr:row>50</xdr:row>
      <xdr:rowOff>89065</xdr:rowOff>
    </xdr:from>
    <xdr:to>
      <xdr:col>43</xdr:col>
      <xdr:colOff>242455</xdr:colOff>
      <xdr:row>72</xdr:row>
      <xdr:rowOff>190500</xdr:rowOff>
    </xdr:to>
    <xdr:graphicFrame macro="">
      <xdr:nvGraphicFramePr>
        <xdr:cNvPr id="4" name="Diagramm 1">
          <a:extLst>
            <a:ext uri="{FF2B5EF4-FFF2-40B4-BE49-F238E27FC236}">
              <a16:creationId xmlns:a16="http://schemas.microsoft.com/office/drawing/2014/main" id="{59468859-B7E1-4854-96B7-6CA704040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435428</xdr:colOff>
      <xdr:row>6</xdr:row>
      <xdr:rowOff>10885</xdr:rowOff>
    </xdr:from>
    <xdr:to>
      <xdr:col>0</xdr:col>
      <xdr:colOff>612478</xdr:colOff>
      <xdr:row>7</xdr:row>
      <xdr:rowOff>8709</xdr:rowOff>
    </xdr:to>
    <xdr:pic>
      <xdr:nvPicPr>
        <xdr:cNvPr id="2" name="Picture 1">
          <a:extLst>
            <a:ext uri="{FF2B5EF4-FFF2-40B4-BE49-F238E27FC236}">
              <a16:creationId xmlns:a16="http://schemas.microsoft.com/office/drawing/2014/main" id="{1BB91FD7-9355-4BD2-A7AB-635055B33B1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5428" y="1377042"/>
          <a:ext cx="177050" cy="18288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127394</xdr:colOff>
      <xdr:row>14</xdr:row>
      <xdr:rowOff>46328</xdr:rowOff>
    </xdr:from>
    <xdr:to>
      <xdr:col>6</xdr:col>
      <xdr:colOff>17045</xdr:colOff>
      <xdr:row>16</xdr:row>
      <xdr:rowOff>36124</xdr:rowOff>
    </xdr:to>
    <xdr:pic>
      <xdr:nvPicPr>
        <xdr:cNvPr id="19" name="Picture 18" descr="Squash Racquet Icons - Free SVG &amp; PNG Squash Racquet Images ...">
          <a:extLst>
            <a:ext uri="{FF2B5EF4-FFF2-40B4-BE49-F238E27FC236}">
              <a16:creationId xmlns:a16="http://schemas.microsoft.com/office/drawing/2014/main" id="{437C010E-8AC2-4F82-B5F9-9AF5462547E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2010623" y="3143314"/>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129667</xdr:colOff>
      <xdr:row>17</xdr:row>
      <xdr:rowOff>17290</xdr:rowOff>
    </xdr:from>
    <xdr:to>
      <xdr:col>19</xdr:col>
      <xdr:colOff>492673</xdr:colOff>
      <xdr:row>18</xdr:row>
      <xdr:rowOff>17291</xdr:rowOff>
    </xdr:to>
    <xdr:pic>
      <xdr:nvPicPr>
        <xdr:cNvPr id="2" name="Picture 1">
          <a:extLst>
            <a:ext uri="{FF2B5EF4-FFF2-40B4-BE49-F238E27FC236}">
              <a16:creationId xmlns:a16="http://schemas.microsoft.com/office/drawing/2014/main" id="{39FE48D6-5015-430E-BFBE-0460ADB8484C}"/>
            </a:ext>
          </a:extLst>
        </xdr:cNvPr>
        <xdr:cNvPicPr>
          <a:picLocks noChangeAspect="1"/>
        </xdr:cNvPicPr>
      </xdr:nvPicPr>
      <xdr:blipFill>
        <a:blip xmlns:r="http://schemas.openxmlformats.org/officeDocument/2006/relationships" r:embed="rId2"/>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35123</xdr:rowOff>
    </xdr:to>
    <xdr:pic>
      <xdr:nvPicPr>
        <xdr:cNvPr id="3" name="Picture 2">
          <a:extLst>
            <a:ext uri="{FF2B5EF4-FFF2-40B4-BE49-F238E27FC236}">
              <a16:creationId xmlns:a16="http://schemas.microsoft.com/office/drawing/2014/main" id="{C1D3CB8C-01C0-419F-ACB8-AACDD7BDEB01}"/>
            </a:ext>
          </a:extLst>
        </xdr:cNvPr>
        <xdr:cNvPicPr>
          <a:picLocks noChangeAspect="1"/>
        </xdr:cNvPicPr>
      </xdr:nvPicPr>
      <xdr:blipFill>
        <a:blip xmlns:r="http://schemas.openxmlformats.org/officeDocument/2006/relationships" r:embed="rId3"/>
        <a:stretch>
          <a:fillRect/>
        </a:stretch>
      </xdr:blipFill>
      <xdr:spPr>
        <a:xfrm>
          <a:off x="12516433" y="3648775"/>
          <a:ext cx="236967" cy="228096"/>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A12C12EF-62CB-4EFD-A4B3-75D987807E4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56322</xdr:colOff>
      <xdr:row>17</xdr:row>
      <xdr:rowOff>15172</xdr:rowOff>
    </xdr:from>
    <xdr:to>
      <xdr:col>16</xdr:col>
      <xdr:colOff>300489</xdr:colOff>
      <xdr:row>18</xdr:row>
      <xdr:rowOff>55641</xdr:rowOff>
    </xdr:to>
    <xdr:pic>
      <xdr:nvPicPr>
        <xdr:cNvPr id="5" name="Picture 8">
          <a:extLst>
            <a:ext uri="{FF2B5EF4-FFF2-40B4-BE49-F238E27FC236}">
              <a16:creationId xmlns:a16="http://schemas.microsoft.com/office/drawing/2014/main" id="{D68C877E-1E3D-4005-9EA0-B56CEEF8A35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630308" y="3651001"/>
          <a:ext cx="240992" cy="252738"/>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6" name="Picture 9">
          <a:extLst>
            <a:ext uri="{FF2B5EF4-FFF2-40B4-BE49-F238E27FC236}">
              <a16:creationId xmlns:a16="http://schemas.microsoft.com/office/drawing/2014/main" id="{82FC3AE7-CE2C-44D3-90AA-4BB6D242B67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7" name="Picture 10">
          <a:extLst>
            <a:ext uri="{FF2B5EF4-FFF2-40B4-BE49-F238E27FC236}">
              <a16:creationId xmlns:a16="http://schemas.microsoft.com/office/drawing/2014/main" id="{5AF4950B-BC8E-441B-B4D7-6BC8D1E0136A}"/>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796440</xdr:colOff>
      <xdr:row>12</xdr:row>
      <xdr:rowOff>1995</xdr:rowOff>
    </xdr:to>
    <xdr:pic>
      <xdr:nvPicPr>
        <xdr:cNvPr id="8" name="Picture 11">
          <a:extLst>
            <a:ext uri="{FF2B5EF4-FFF2-40B4-BE49-F238E27FC236}">
              <a16:creationId xmlns:a16="http://schemas.microsoft.com/office/drawing/2014/main" id="{5E23A84B-A57B-4CD9-A1FD-1EB8E45CCAB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186876</xdr:rowOff>
    </xdr:to>
    <xdr:pic>
      <xdr:nvPicPr>
        <xdr:cNvPr id="9" name="Picture 12">
          <a:extLst>
            <a:ext uri="{FF2B5EF4-FFF2-40B4-BE49-F238E27FC236}">
              <a16:creationId xmlns:a16="http://schemas.microsoft.com/office/drawing/2014/main" id="{DC43BEF4-1E7C-49CE-91C3-22333AF74988}"/>
            </a:ext>
          </a:extLst>
        </xdr:cNvPr>
        <xdr:cNvPicPr>
          <a:picLocks noChangeAspect="1"/>
        </xdr:cNvPicPr>
      </xdr:nvPicPr>
      <xdr:blipFill>
        <a:blip xmlns:r="http://schemas.openxmlformats.org/officeDocument/2006/relationships" r:embed="rId3"/>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0" name="Picture 1" descr="https://static.thenounproject.com/png/200330-200.png">
          <a:extLst>
            <a:ext uri="{FF2B5EF4-FFF2-40B4-BE49-F238E27FC236}">
              <a16:creationId xmlns:a16="http://schemas.microsoft.com/office/drawing/2014/main" id="{FB30620B-2879-4DEE-B4C0-A5000797596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62565</xdr:colOff>
      <xdr:row>15</xdr:row>
      <xdr:rowOff>149686</xdr:rowOff>
    </xdr:from>
    <xdr:to>
      <xdr:col>5</xdr:col>
      <xdr:colOff>269631</xdr:colOff>
      <xdr:row>16</xdr:row>
      <xdr:rowOff>121705</xdr:rowOff>
    </xdr:to>
    <xdr:pic>
      <xdr:nvPicPr>
        <xdr:cNvPr id="11" name="Picture 1" descr="https://static.thenounproject.com/png/200330-200.png">
          <a:extLst>
            <a:ext uri="{FF2B5EF4-FFF2-40B4-BE49-F238E27FC236}">
              <a16:creationId xmlns:a16="http://schemas.microsoft.com/office/drawing/2014/main" id="{303BBEB1-182D-45BA-8E58-C844D2CB80EE}"/>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45794" y="341540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110477</xdr:rowOff>
    </xdr:to>
    <xdr:pic>
      <xdr:nvPicPr>
        <xdr:cNvPr id="12" name="Picture 17">
          <a:extLst>
            <a:ext uri="{FF2B5EF4-FFF2-40B4-BE49-F238E27FC236}">
              <a16:creationId xmlns:a16="http://schemas.microsoft.com/office/drawing/2014/main" id="{91459E72-E882-404B-B928-2A168E36822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74518</xdr:rowOff>
    </xdr:to>
    <xdr:pic>
      <xdr:nvPicPr>
        <xdr:cNvPr id="13" name="Picture 18">
          <a:extLst>
            <a:ext uri="{FF2B5EF4-FFF2-40B4-BE49-F238E27FC236}">
              <a16:creationId xmlns:a16="http://schemas.microsoft.com/office/drawing/2014/main" id="{1C4EA34D-B426-4544-9A65-E5C1D7EFE71C}"/>
            </a:ext>
          </a:extLst>
        </xdr:cNvPr>
        <xdr:cNvPicPr>
          <a:picLocks noChangeAspect="1"/>
        </xdr:cNvPicPr>
      </xdr:nvPicPr>
      <xdr:blipFill>
        <a:blip xmlns:r="http://schemas.openxmlformats.org/officeDocument/2006/relationships" r:embed="rId2"/>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359755</xdr:colOff>
      <xdr:row>16</xdr:row>
      <xdr:rowOff>91685</xdr:rowOff>
    </xdr:to>
    <xdr:pic>
      <xdr:nvPicPr>
        <xdr:cNvPr id="14" name="Picture 19">
          <a:extLst>
            <a:ext uri="{FF2B5EF4-FFF2-40B4-BE49-F238E27FC236}">
              <a16:creationId xmlns:a16="http://schemas.microsoft.com/office/drawing/2014/main" id="{539994A3-0EC9-4BD8-9AF9-DEE39E58EE4A}"/>
            </a:ext>
          </a:extLst>
        </xdr:cNvPr>
        <xdr:cNvPicPr>
          <a:picLocks noChangeAspect="1"/>
        </xdr:cNvPicPr>
      </xdr:nvPicPr>
      <xdr:blipFill>
        <a:blip xmlns:r="http://schemas.openxmlformats.org/officeDocument/2006/relationships" r:embed="rId3"/>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358190</xdr:colOff>
      <xdr:row>16</xdr:row>
      <xdr:rowOff>76089</xdr:rowOff>
    </xdr:to>
    <xdr:pic>
      <xdr:nvPicPr>
        <xdr:cNvPr id="15" name="Picture 20">
          <a:extLst>
            <a:ext uri="{FF2B5EF4-FFF2-40B4-BE49-F238E27FC236}">
              <a16:creationId xmlns:a16="http://schemas.microsoft.com/office/drawing/2014/main" id="{9DC80CE2-5388-417E-B00D-B5D48FCDD22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967054</xdr:colOff>
      <xdr:row>12</xdr:row>
      <xdr:rowOff>724</xdr:rowOff>
    </xdr:to>
    <xdr:pic>
      <xdr:nvPicPr>
        <xdr:cNvPr id="16" name="Picture 21">
          <a:extLst>
            <a:ext uri="{FF2B5EF4-FFF2-40B4-BE49-F238E27FC236}">
              <a16:creationId xmlns:a16="http://schemas.microsoft.com/office/drawing/2014/main" id="{CF51A426-842B-4A0B-AD02-A6FE2AC46DF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986838</xdr:colOff>
      <xdr:row>18</xdr:row>
      <xdr:rowOff>16882</xdr:rowOff>
    </xdr:to>
    <xdr:pic>
      <xdr:nvPicPr>
        <xdr:cNvPr id="17" name="Picture 22" descr="Related image">
          <a:extLst>
            <a:ext uri="{FF2B5EF4-FFF2-40B4-BE49-F238E27FC236}">
              <a16:creationId xmlns:a16="http://schemas.microsoft.com/office/drawing/2014/main" id="{BC6B764A-1343-429F-8417-338A90C7087B}"/>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111620</xdr:rowOff>
    </xdr:to>
    <xdr:pic>
      <xdr:nvPicPr>
        <xdr:cNvPr id="18" name="Picture 23">
          <a:extLst>
            <a:ext uri="{FF2B5EF4-FFF2-40B4-BE49-F238E27FC236}">
              <a16:creationId xmlns:a16="http://schemas.microsoft.com/office/drawing/2014/main" id="{18151D53-05C6-4BB7-958B-20C47323BC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15</xdr:col>
      <xdr:colOff>715223</xdr:colOff>
      <xdr:row>16</xdr:row>
      <xdr:rowOff>149744</xdr:rowOff>
    </xdr:from>
    <xdr:to>
      <xdr:col>16</xdr:col>
      <xdr:colOff>77369</xdr:colOff>
      <xdr:row>19</xdr:row>
      <xdr:rowOff>91462</xdr:rowOff>
    </xdr:to>
    <xdr:pic>
      <xdr:nvPicPr>
        <xdr:cNvPr id="20" name="Picture 19" descr="Squash Racquet Icons - Free SVG &amp; PNG Squash Racquet Images ...">
          <a:extLst>
            <a:ext uri="{FF2B5EF4-FFF2-40B4-BE49-F238E27FC236}">
              <a16:creationId xmlns:a16="http://schemas.microsoft.com/office/drawing/2014/main" id="{620F2EAB-322B-4D70-AC98-FD30C3FF159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57251</xdr:rowOff>
    </xdr:to>
    <xdr:pic>
      <xdr:nvPicPr>
        <xdr:cNvPr id="21" name="Picture 22" descr="Related image">
          <a:extLst>
            <a:ext uri="{FF2B5EF4-FFF2-40B4-BE49-F238E27FC236}">
              <a16:creationId xmlns:a16="http://schemas.microsoft.com/office/drawing/2014/main" id="{C7EAF7BE-EBDE-44F1-8C73-744848B34D28}"/>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396678</xdr:colOff>
      <xdr:row>18</xdr:row>
      <xdr:rowOff>17012</xdr:rowOff>
    </xdr:to>
    <xdr:pic>
      <xdr:nvPicPr>
        <xdr:cNvPr id="22" name="Picture 22" descr="Related image">
          <a:extLst>
            <a:ext uri="{FF2B5EF4-FFF2-40B4-BE49-F238E27FC236}">
              <a16:creationId xmlns:a16="http://schemas.microsoft.com/office/drawing/2014/main" id="{995AE33A-1BC9-4FC9-9429-C9C4CC7AFB9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967132</xdr:colOff>
      <xdr:row>7</xdr:row>
      <xdr:rowOff>189595</xdr:rowOff>
    </xdr:to>
    <xdr:pic>
      <xdr:nvPicPr>
        <xdr:cNvPr id="23" name="Picture 22">
          <a:extLst>
            <a:ext uri="{FF2B5EF4-FFF2-40B4-BE49-F238E27FC236}">
              <a16:creationId xmlns:a16="http://schemas.microsoft.com/office/drawing/2014/main" id="{D8213DE3-1905-42A7-88C4-960911414F2D}"/>
            </a:ext>
          </a:extLst>
        </xdr:cNvPr>
        <xdr:cNvPicPr>
          <a:picLocks noChangeAspect="1"/>
        </xdr:cNvPicPr>
      </xdr:nvPicPr>
      <xdr:blipFill>
        <a:blip xmlns:r="http://schemas.openxmlformats.org/officeDocument/2006/relationships" r:embed="rId12"/>
        <a:stretch>
          <a:fillRect/>
        </a:stretch>
      </xdr:blipFill>
      <xdr:spPr>
        <a:xfrm>
          <a:off x="6258611" y="1608112"/>
          <a:ext cx="196282" cy="198012"/>
        </a:xfrm>
        <a:prstGeom prst="rect">
          <a:avLst/>
        </a:prstGeom>
      </xdr:spPr>
    </xdr:pic>
    <xdr:clientData/>
  </xdr:twoCellAnchor>
  <xdr:twoCellAnchor editAs="oneCell">
    <xdr:from>
      <xdr:col>13</xdr:col>
      <xdr:colOff>852872</xdr:colOff>
      <xdr:row>12</xdr:row>
      <xdr:rowOff>4022</xdr:rowOff>
    </xdr:from>
    <xdr:to>
      <xdr:col>13</xdr:col>
      <xdr:colOff>1062738</xdr:colOff>
      <xdr:row>13</xdr:row>
      <xdr:rowOff>2721</xdr:rowOff>
    </xdr:to>
    <xdr:pic>
      <xdr:nvPicPr>
        <xdr:cNvPr id="24" name="Picture 23">
          <a:extLst>
            <a:ext uri="{FF2B5EF4-FFF2-40B4-BE49-F238E27FC236}">
              <a16:creationId xmlns:a16="http://schemas.microsoft.com/office/drawing/2014/main" id="{28C69A1B-221E-48E2-9C3A-57CBAEF6764A}"/>
            </a:ext>
          </a:extLst>
        </xdr:cNvPr>
        <xdr:cNvPicPr>
          <a:picLocks noChangeAspect="1"/>
        </xdr:cNvPicPr>
      </xdr:nvPicPr>
      <xdr:blipFill>
        <a:blip xmlns:r="http://schemas.openxmlformats.org/officeDocument/2006/relationships" r:embed="rId13"/>
        <a:stretch>
          <a:fillRect/>
        </a:stretch>
      </xdr:blipFill>
      <xdr:spPr>
        <a:xfrm>
          <a:off x="6350158" y="2676465"/>
          <a:ext cx="206691" cy="202806"/>
        </a:xfrm>
        <a:prstGeom prst="rect">
          <a:avLst/>
        </a:prstGeom>
      </xdr:spPr>
    </xdr:pic>
    <xdr:clientData/>
  </xdr:twoCellAnchor>
  <xdr:twoCellAnchor editAs="oneCell">
    <xdr:from>
      <xdr:col>9</xdr:col>
      <xdr:colOff>159736</xdr:colOff>
      <xdr:row>14</xdr:row>
      <xdr:rowOff>77620</xdr:rowOff>
    </xdr:from>
    <xdr:to>
      <xdr:col>9</xdr:col>
      <xdr:colOff>360077</xdr:colOff>
      <xdr:row>15</xdr:row>
      <xdr:rowOff>110751</xdr:rowOff>
    </xdr:to>
    <xdr:pic>
      <xdr:nvPicPr>
        <xdr:cNvPr id="25" name="Picture 24">
          <a:extLst>
            <a:ext uri="{FF2B5EF4-FFF2-40B4-BE49-F238E27FC236}">
              <a16:creationId xmlns:a16="http://schemas.microsoft.com/office/drawing/2014/main" id="{A4AB0FFA-89D4-4C39-BE1A-D28AA92CEBF1}"/>
            </a:ext>
          </a:extLst>
        </xdr:cNvPr>
        <xdr:cNvPicPr>
          <a:picLocks noChangeAspect="1"/>
        </xdr:cNvPicPr>
      </xdr:nvPicPr>
      <xdr:blipFill>
        <a:blip xmlns:r="http://schemas.openxmlformats.org/officeDocument/2006/relationships" r:embed="rId13"/>
        <a:stretch>
          <a:fillRect/>
        </a:stretch>
      </xdr:blipFill>
      <xdr:spPr>
        <a:xfrm>
          <a:off x="4067707" y="3174606"/>
          <a:ext cx="200341" cy="201859"/>
        </a:xfrm>
        <a:prstGeom prst="rect">
          <a:avLst/>
        </a:prstGeom>
      </xdr:spPr>
    </xdr:pic>
    <xdr:clientData/>
  </xdr:twoCellAnchor>
  <xdr:twoCellAnchor editAs="oneCell">
    <xdr:from>
      <xdr:col>5</xdr:col>
      <xdr:colOff>263152</xdr:colOff>
      <xdr:row>15</xdr:row>
      <xdr:rowOff>141278</xdr:rowOff>
    </xdr:from>
    <xdr:to>
      <xdr:col>5</xdr:col>
      <xdr:colOff>455524</xdr:colOff>
      <xdr:row>16</xdr:row>
      <xdr:rowOff>130153</xdr:rowOff>
    </xdr:to>
    <xdr:pic>
      <xdr:nvPicPr>
        <xdr:cNvPr id="26" name="Picture 25">
          <a:extLst>
            <a:ext uri="{FF2B5EF4-FFF2-40B4-BE49-F238E27FC236}">
              <a16:creationId xmlns:a16="http://schemas.microsoft.com/office/drawing/2014/main" id="{BC7A5216-1FE3-49B1-97C8-2CF2CDB190D2}"/>
            </a:ext>
          </a:extLst>
        </xdr:cNvPr>
        <xdr:cNvPicPr>
          <a:picLocks noChangeAspect="1"/>
        </xdr:cNvPicPr>
      </xdr:nvPicPr>
      <xdr:blipFill>
        <a:blip xmlns:r="http://schemas.openxmlformats.org/officeDocument/2006/relationships" r:embed="rId14"/>
        <a:stretch>
          <a:fillRect/>
        </a:stretch>
      </xdr:blipFill>
      <xdr:spPr>
        <a:xfrm>
          <a:off x="2146381" y="3406992"/>
          <a:ext cx="189197" cy="203415"/>
        </a:xfrm>
        <a:prstGeom prst="rect">
          <a:avLst/>
        </a:prstGeom>
      </xdr:spPr>
    </xdr:pic>
    <xdr:clientData/>
  </xdr:twoCellAnchor>
  <xdr:twoCellAnchor editAs="oneCell">
    <xdr:from>
      <xdr:col>7</xdr:col>
      <xdr:colOff>29615</xdr:colOff>
      <xdr:row>15</xdr:row>
      <xdr:rowOff>85770</xdr:rowOff>
    </xdr:from>
    <xdr:to>
      <xdr:col>7</xdr:col>
      <xdr:colOff>225897</xdr:colOff>
      <xdr:row>16</xdr:row>
      <xdr:rowOff>71469</xdr:rowOff>
    </xdr:to>
    <xdr:pic>
      <xdr:nvPicPr>
        <xdr:cNvPr id="27" name="Picture 26">
          <a:extLst>
            <a:ext uri="{FF2B5EF4-FFF2-40B4-BE49-F238E27FC236}">
              <a16:creationId xmlns:a16="http://schemas.microsoft.com/office/drawing/2014/main" id="{5F4DA9DB-F668-478A-B518-EEEE54D42DEB}"/>
            </a:ext>
          </a:extLst>
        </xdr:cNvPr>
        <xdr:cNvPicPr>
          <a:picLocks noChangeAspect="1"/>
        </xdr:cNvPicPr>
      </xdr:nvPicPr>
      <xdr:blipFill>
        <a:blip xmlns:r="http://schemas.openxmlformats.org/officeDocument/2006/relationships" r:embed="rId12"/>
        <a:stretch>
          <a:fillRect/>
        </a:stretch>
      </xdr:blipFill>
      <xdr:spPr>
        <a:xfrm>
          <a:off x="2925215" y="3351484"/>
          <a:ext cx="196282" cy="203414"/>
        </a:xfrm>
        <a:prstGeom prst="rect">
          <a:avLst/>
        </a:prstGeom>
      </xdr:spPr>
    </xdr:pic>
    <xdr:clientData/>
  </xdr:twoCellAnchor>
  <xdr:twoCellAnchor editAs="oneCell">
    <xdr:from>
      <xdr:col>17</xdr:col>
      <xdr:colOff>157405</xdr:colOff>
      <xdr:row>17</xdr:row>
      <xdr:rowOff>10515</xdr:rowOff>
    </xdr:from>
    <xdr:to>
      <xdr:col>17</xdr:col>
      <xdr:colOff>360037</xdr:colOff>
      <xdr:row>18</xdr:row>
      <xdr:rowOff>2152</xdr:rowOff>
    </xdr:to>
    <xdr:pic>
      <xdr:nvPicPr>
        <xdr:cNvPr id="28" name="Picture 27">
          <a:extLst>
            <a:ext uri="{FF2B5EF4-FFF2-40B4-BE49-F238E27FC236}">
              <a16:creationId xmlns:a16="http://schemas.microsoft.com/office/drawing/2014/main" id="{EAE4369C-0D97-44B5-84A9-1EF7475C7708}"/>
            </a:ext>
          </a:extLst>
        </xdr:cNvPr>
        <xdr:cNvPicPr>
          <a:picLocks noChangeAspect="1"/>
        </xdr:cNvPicPr>
      </xdr:nvPicPr>
      <xdr:blipFill>
        <a:blip xmlns:r="http://schemas.openxmlformats.org/officeDocument/2006/relationships" r:embed="rId12"/>
        <a:stretch>
          <a:fillRect/>
        </a:stretch>
      </xdr:blipFill>
      <xdr:spPr>
        <a:xfrm>
          <a:off x="10749205" y="3646344"/>
          <a:ext cx="202632" cy="201185"/>
        </a:xfrm>
        <a:prstGeom prst="rect">
          <a:avLst/>
        </a:prstGeom>
      </xdr:spPr>
    </xdr:pic>
    <xdr:clientData/>
  </xdr:twoCellAnchor>
  <xdr:twoCellAnchor editAs="oneCell">
    <xdr:from>
      <xdr:col>15</xdr:col>
      <xdr:colOff>56085</xdr:colOff>
      <xdr:row>17</xdr:row>
      <xdr:rowOff>44962</xdr:rowOff>
    </xdr:from>
    <xdr:to>
      <xdr:col>15</xdr:col>
      <xdr:colOff>264332</xdr:colOff>
      <xdr:row>18</xdr:row>
      <xdr:rowOff>37054</xdr:rowOff>
    </xdr:to>
    <xdr:pic>
      <xdr:nvPicPr>
        <xdr:cNvPr id="29" name="Picture 28">
          <a:extLst>
            <a:ext uri="{FF2B5EF4-FFF2-40B4-BE49-F238E27FC236}">
              <a16:creationId xmlns:a16="http://schemas.microsoft.com/office/drawing/2014/main" id="{DE374965-D3B0-491D-85FF-E53436AA5AE8}"/>
            </a:ext>
          </a:extLst>
        </xdr:cNvPr>
        <xdr:cNvPicPr>
          <a:picLocks noChangeAspect="1"/>
        </xdr:cNvPicPr>
      </xdr:nvPicPr>
      <xdr:blipFill>
        <a:blip xmlns:r="http://schemas.openxmlformats.org/officeDocument/2006/relationships" r:embed="rId14"/>
        <a:stretch>
          <a:fillRect/>
        </a:stretch>
      </xdr:blipFill>
      <xdr:spPr>
        <a:xfrm>
          <a:off x="8612256" y="3680791"/>
          <a:ext cx="208247" cy="204361"/>
        </a:xfrm>
        <a:prstGeom prst="rect">
          <a:avLst/>
        </a:prstGeom>
      </xdr:spPr>
    </xdr:pic>
    <xdr:clientData/>
  </xdr:twoCellAnchor>
  <xdr:twoCellAnchor editAs="oneCell">
    <xdr:from>
      <xdr:col>19</xdr:col>
      <xdr:colOff>1090229</xdr:colOff>
      <xdr:row>17</xdr:row>
      <xdr:rowOff>17746</xdr:rowOff>
    </xdr:from>
    <xdr:to>
      <xdr:col>19</xdr:col>
      <xdr:colOff>1293745</xdr:colOff>
      <xdr:row>18</xdr:row>
      <xdr:rowOff>14632</xdr:rowOff>
    </xdr:to>
    <xdr:pic>
      <xdr:nvPicPr>
        <xdr:cNvPr id="30" name="Picture 29">
          <a:extLst>
            <a:ext uri="{FF2B5EF4-FFF2-40B4-BE49-F238E27FC236}">
              <a16:creationId xmlns:a16="http://schemas.microsoft.com/office/drawing/2014/main" id="{E68BCB8D-9C1C-4E8C-BC83-E9095BEAB061}"/>
            </a:ext>
          </a:extLst>
        </xdr:cNvPr>
        <xdr:cNvPicPr>
          <a:picLocks noChangeAspect="1"/>
        </xdr:cNvPicPr>
      </xdr:nvPicPr>
      <xdr:blipFill>
        <a:blip xmlns:r="http://schemas.openxmlformats.org/officeDocument/2006/relationships" r:embed="rId13"/>
        <a:stretch>
          <a:fillRect/>
        </a:stretch>
      </xdr:blipFill>
      <xdr:spPr>
        <a:xfrm>
          <a:off x="13951700" y="3653575"/>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206753</xdr:rowOff>
    </xdr:to>
    <xdr:pic>
      <xdr:nvPicPr>
        <xdr:cNvPr id="31" name="Picture 17">
          <a:extLst>
            <a:ext uri="{FF2B5EF4-FFF2-40B4-BE49-F238E27FC236}">
              <a16:creationId xmlns:a16="http://schemas.microsoft.com/office/drawing/2014/main" id="{7B109C43-073E-4304-82BF-7BA40ABA1CE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169837</xdr:rowOff>
    </xdr:to>
    <xdr:pic>
      <xdr:nvPicPr>
        <xdr:cNvPr id="32" name="Picture 17">
          <a:extLst>
            <a:ext uri="{FF2B5EF4-FFF2-40B4-BE49-F238E27FC236}">
              <a16:creationId xmlns:a16="http://schemas.microsoft.com/office/drawing/2014/main" id="{0375A5DD-DBAD-4F08-9238-F64717AC3EB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245622</xdr:colOff>
      <xdr:row>19</xdr:row>
      <xdr:rowOff>114373</xdr:rowOff>
    </xdr:to>
    <xdr:pic>
      <xdr:nvPicPr>
        <xdr:cNvPr id="33" name="Picture 22" descr="Related image">
          <a:extLst>
            <a:ext uri="{FF2B5EF4-FFF2-40B4-BE49-F238E27FC236}">
              <a16:creationId xmlns:a16="http://schemas.microsoft.com/office/drawing/2014/main" id="{7E3BD4AA-23BA-4081-BDE5-415FDCCD636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BDCA25C2-A95D-4A01-8971-1203A906469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C1C93CC2-43E4-40DB-9A55-22B078EBD12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976</xdr:rowOff>
    </xdr:to>
    <xdr:pic>
      <xdr:nvPicPr>
        <xdr:cNvPr id="36" name="Picture 22" descr="Related image">
          <a:extLst>
            <a:ext uri="{FF2B5EF4-FFF2-40B4-BE49-F238E27FC236}">
              <a16:creationId xmlns:a16="http://schemas.microsoft.com/office/drawing/2014/main" id="{6BAD4E8E-8007-43F3-A783-E1D3B9A00EC4}"/>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280496" y="3632487"/>
          <a:ext cx="305369" cy="2165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34274</xdr:colOff>
      <xdr:row>15</xdr:row>
      <xdr:rowOff>204871</xdr:rowOff>
    </xdr:to>
    <xdr:pic>
      <xdr:nvPicPr>
        <xdr:cNvPr id="37" name="Picture 17">
          <a:extLst>
            <a:ext uri="{FF2B5EF4-FFF2-40B4-BE49-F238E27FC236}">
              <a16:creationId xmlns:a16="http://schemas.microsoft.com/office/drawing/2014/main" id="{595A069C-25A0-4F4B-863F-EC6294FE4D1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111491</xdr:rowOff>
    </xdr:to>
    <xdr:pic>
      <xdr:nvPicPr>
        <xdr:cNvPr id="38" name="Picture 17">
          <a:extLst>
            <a:ext uri="{FF2B5EF4-FFF2-40B4-BE49-F238E27FC236}">
              <a16:creationId xmlns:a16="http://schemas.microsoft.com/office/drawing/2014/main" id="{12150284-9F99-42A2-BE4E-F0762318EDC3}"/>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487562" y="3449057"/>
          <a:ext cx="87989" cy="142688"/>
        </a:xfrm>
        <a:prstGeom prst="rect">
          <a:avLst/>
        </a:prstGeom>
      </xdr:spPr>
    </xdr:pic>
    <xdr:clientData/>
  </xdr:twoCellAnchor>
  <xdr:twoCellAnchor editAs="oneCell">
    <xdr:from>
      <xdr:col>13</xdr:col>
      <xdr:colOff>780975</xdr:colOff>
      <xdr:row>9</xdr:row>
      <xdr:rowOff>9576</xdr:rowOff>
    </xdr:from>
    <xdr:to>
      <xdr:col>13</xdr:col>
      <xdr:colOff>872139</xdr:colOff>
      <xdr:row>9</xdr:row>
      <xdr:rowOff>152264</xdr:rowOff>
    </xdr:to>
    <xdr:pic>
      <xdr:nvPicPr>
        <xdr:cNvPr id="39" name="Picture 17">
          <a:extLst>
            <a:ext uri="{FF2B5EF4-FFF2-40B4-BE49-F238E27FC236}">
              <a16:creationId xmlns:a16="http://schemas.microsoft.com/office/drawing/2014/main" id="{BB716DAF-7A75-4FA2-BCE1-A20974728156}"/>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278261" y="2045205"/>
          <a:ext cx="87989" cy="142688"/>
        </a:xfrm>
        <a:prstGeom prst="rect">
          <a:avLst/>
        </a:prstGeom>
      </xdr:spPr>
    </xdr:pic>
    <xdr:clientData/>
  </xdr:twoCellAnchor>
  <xdr:twoCellAnchor editAs="oneCell">
    <xdr:from>
      <xdr:col>8</xdr:col>
      <xdr:colOff>235600</xdr:colOff>
      <xdr:row>14</xdr:row>
      <xdr:rowOff>90975</xdr:rowOff>
    </xdr:from>
    <xdr:to>
      <xdr:col>8</xdr:col>
      <xdr:colOff>453573</xdr:colOff>
      <xdr:row>15</xdr:row>
      <xdr:rowOff>114301</xdr:rowOff>
    </xdr:to>
    <xdr:pic>
      <xdr:nvPicPr>
        <xdr:cNvPr id="41" name="Picture 40">
          <a:extLst>
            <a:ext uri="{FF2B5EF4-FFF2-40B4-BE49-F238E27FC236}">
              <a16:creationId xmlns:a16="http://schemas.microsoft.com/office/drawing/2014/main" id="{CA629FDF-7092-4A63-B7E0-2B6EFF5DF4A1}"/>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37386" y="3187961"/>
          <a:ext cx="214798" cy="192054"/>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2" name="Picture 41">
          <a:extLst>
            <a:ext uri="{FF2B5EF4-FFF2-40B4-BE49-F238E27FC236}">
              <a16:creationId xmlns:a16="http://schemas.microsoft.com/office/drawing/2014/main" id="{59F01AF1-6272-470D-8306-86565306572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602188" y="2041851"/>
          <a:ext cx="194388" cy="191276"/>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4" name="Picture 43" descr="Squash Racquet Icons - Free SVG &amp; PNG Squash Racquet Images ...">
          <a:extLst>
            <a:ext uri="{FF2B5EF4-FFF2-40B4-BE49-F238E27FC236}">
              <a16:creationId xmlns:a16="http://schemas.microsoft.com/office/drawing/2014/main" id="{E217838F-1906-452F-9C0D-0786CA54736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6150306" y="1756163"/>
          <a:ext cx="382357"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41211</xdr:colOff>
      <xdr:row>17</xdr:row>
      <xdr:rowOff>21773</xdr:rowOff>
    </xdr:from>
    <xdr:to>
      <xdr:col>18</xdr:col>
      <xdr:colOff>245124</xdr:colOff>
      <xdr:row>18</xdr:row>
      <xdr:rowOff>15748</xdr:rowOff>
    </xdr:to>
    <xdr:pic>
      <xdr:nvPicPr>
        <xdr:cNvPr id="45" name="Picture 44">
          <a:extLst>
            <a:ext uri="{FF2B5EF4-FFF2-40B4-BE49-F238E27FC236}">
              <a16:creationId xmlns:a16="http://schemas.microsoft.com/office/drawing/2014/main" id="{F963DF0A-EF58-4471-826D-5902A7975CF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1580068" y="3657602"/>
          <a:ext cx="194388" cy="196719"/>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46" name="Picture 21">
          <a:extLst>
            <a:ext uri="{FF2B5EF4-FFF2-40B4-BE49-F238E27FC236}">
              <a16:creationId xmlns:a16="http://schemas.microsoft.com/office/drawing/2014/main" id="{A7E4528B-39F0-4511-AD45-E96FFC64904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7</xdr:col>
      <xdr:colOff>165652</xdr:colOff>
      <xdr:row>15</xdr:row>
      <xdr:rowOff>184585</xdr:rowOff>
    </xdr:from>
    <xdr:to>
      <xdr:col>7</xdr:col>
      <xdr:colOff>433872</xdr:colOff>
      <xdr:row>16</xdr:row>
      <xdr:rowOff>115586</xdr:rowOff>
    </xdr:to>
    <xdr:pic>
      <xdr:nvPicPr>
        <xdr:cNvPr id="47" name="Picture 46" descr="Accenture Logo, symbol, meaning, history, PNG, brand">
          <a:extLst>
            <a:ext uri="{FF2B5EF4-FFF2-40B4-BE49-F238E27FC236}">
              <a16:creationId xmlns:a16="http://schemas.microsoft.com/office/drawing/2014/main" id="{780CD566-9357-4FC4-96B2-871192DC5A31}"/>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1252" y="3450299"/>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71230</xdr:colOff>
      <xdr:row>14</xdr:row>
      <xdr:rowOff>121864</xdr:rowOff>
    </xdr:from>
    <xdr:to>
      <xdr:col>8</xdr:col>
      <xdr:colOff>250371</xdr:colOff>
      <xdr:row>15</xdr:row>
      <xdr:rowOff>130627</xdr:rowOff>
    </xdr:to>
    <xdr:pic>
      <xdr:nvPicPr>
        <xdr:cNvPr id="48" name="Picture 47" descr="A black background with a black square&#10;&#10;Description automatically generated with medium confidence">
          <a:extLst>
            <a:ext uri="{FF2B5EF4-FFF2-40B4-BE49-F238E27FC236}">
              <a16:creationId xmlns:a16="http://schemas.microsoft.com/office/drawing/2014/main" id="{B4729873-1918-4387-9BF0-AA60257AF96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473016" y="3218850"/>
          <a:ext cx="179141" cy="17749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167038</xdr:rowOff>
    </xdr:to>
    <xdr:pic>
      <xdr:nvPicPr>
        <xdr:cNvPr id="49" name="Picture 48" descr="Accenture Logo, symbol, meaning, history, PNG, brand">
          <a:extLst>
            <a:ext uri="{FF2B5EF4-FFF2-40B4-BE49-F238E27FC236}">
              <a16:creationId xmlns:a16="http://schemas.microsoft.com/office/drawing/2014/main" id="{87D8033E-3605-4433-A1F0-CE2368F0A6F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61449" y="163167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1133536</xdr:colOff>
      <xdr:row>7</xdr:row>
      <xdr:rowOff>193339</xdr:rowOff>
    </xdr:from>
    <xdr:to>
      <xdr:col>13</xdr:col>
      <xdr:colOff>1348133</xdr:colOff>
      <xdr:row>8</xdr:row>
      <xdr:rowOff>190874</xdr:rowOff>
    </xdr:to>
    <xdr:pic>
      <xdr:nvPicPr>
        <xdr:cNvPr id="50" name="Picture 49">
          <a:extLst>
            <a:ext uri="{FF2B5EF4-FFF2-40B4-BE49-F238E27FC236}">
              <a16:creationId xmlns:a16="http://schemas.microsoft.com/office/drawing/2014/main" id="{BE7CED36-52B2-443C-B049-0A52D198F470}"/>
            </a:ext>
          </a:extLst>
        </xdr:cNvPr>
        <xdr:cNvPicPr>
          <a:picLocks noChangeAspect="1"/>
        </xdr:cNvPicPr>
      </xdr:nvPicPr>
      <xdr:blipFill>
        <a:blip xmlns:r="http://schemas.openxmlformats.org/officeDocument/2006/relationships" r:embed="rId14"/>
        <a:stretch>
          <a:fillRect/>
        </a:stretch>
      </xdr:blipFill>
      <xdr:spPr>
        <a:xfrm>
          <a:off x="6630822" y="1809868"/>
          <a:ext cx="208247" cy="204363"/>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51" name="Picture 50" descr="A black background with a black square&#10;&#10;Description automatically generated with medium confidence">
          <a:extLst>
            <a:ext uri="{FF2B5EF4-FFF2-40B4-BE49-F238E27FC236}">
              <a16:creationId xmlns:a16="http://schemas.microsoft.com/office/drawing/2014/main" id="{274B25B8-F542-4397-A235-5C5AD08B2236}"/>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388022" y="2041308"/>
          <a:ext cx="179851" cy="179851"/>
        </a:xfrm>
        <a:prstGeom prst="rect">
          <a:avLst/>
        </a:prstGeom>
      </xdr:spPr>
    </xdr:pic>
    <xdr:clientData/>
  </xdr:twoCellAnchor>
  <xdr:twoCellAnchor editAs="oneCell">
    <xdr:from>
      <xdr:col>17</xdr:col>
      <xdr:colOff>650302</xdr:colOff>
      <xdr:row>17</xdr:row>
      <xdr:rowOff>41651</xdr:rowOff>
    </xdr:from>
    <xdr:to>
      <xdr:col>17</xdr:col>
      <xdr:colOff>896297</xdr:colOff>
      <xdr:row>17</xdr:row>
      <xdr:rowOff>190367</xdr:rowOff>
    </xdr:to>
    <xdr:pic>
      <xdr:nvPicPr>
        <xdr:cNvPr id="52" name="Picture 51" descr="Accenture Logo, symbol, meaning, history, PNG, brand">
          <a:extLst>
            <a:ext uri="{FF2B5EF4-FFF2-40B4-BE49-F238E27FC236}">
              <a16:creationId xmlns:a16="http://schemas.microsoft.com/office/drawing/2014/main" id="{B2EFAFAC-A8B9-4527-85EA-F231D8CD58DA}"/>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283976</xdr:colOff>
      <xdr:row>17</xdr:row>
      <xdr:rowOff>14671</xdr:rowOff>
    </xdr:from>
    <xdr:to>
      <xdr:col>18</xdr:col>
      <xdr:colOff>473352</xdr:colOff>
      <xdr:row>17</xdr:row>
      <xdr:rowOff>192865</xdr:rowOff>
    </xdr:to>
    <xdr:pic>
      <xdr:nvPicPr>
        <xdr:cNvPr id="53" name="Picture 52" descr="A black background with a black square&#10;&#10;Description automatically generated with medium confidence">
          <a:extLst>
            <a:ext uri="{FF2B5EF4-FFF2-40B4-BE49-F238E27FC236}">
              <a16:creationId xmlns:a16="http://schemas.microsoft.com/office/drawing/2014/main" id="{CEDCC7AD-6C1B-4090-8423-11509164467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822833" y="3650500"/>
          <a:ext cx="179851" cy="178194"/>
        </a:xfrm>
        <a:prstGeom prst="rect">
          <a:avLst/>
        </a:prstGeom>
      </xdr:spPr>
    </xdr:pic>
    <xdr:clientData/>
  </xdr:twoCellAnchor>
  <xdr:twoCellAnchor editAs="oneCell">
    <xdr:from>
      <xdr:col>5</xdr:col>
      <xdr:colOff>424544</xdr:colOff>
      <xdr:row>15</xdr:row>
      <xdr:rowOff>119743</xdr:rowOff>
    </xdr:from>
    <xdr:to>
      <xdr:col>6</xdr:col>
      <xdr:colOff>21772</xdr:colOff>
      <xdr:row>16</xdr:row>
      <xdr:rowOff>110600</xdr:rowOff>
    </xdr:to>
    <xdr:pic>
      <xdr:nvPicPr>
        <xdr:cNvPr id="55" name="Picture 54" descr="Squid Game PNG Images (Transparent HD Photo Clipart)">
          <a:extLst>
            <a:ext uri="{FF2B5EF4-FFF2-40B4-BE49-F238E27FC236}">
              <a16:creationId xmlns:a16="http://schemas.microsoft.com/office/drawing/2014/main" id="{FF4232D7-0901-8496-1CA3-9EE32950AA6D}"/>
            </a:ext>
          </a:extLst>
        </xdr:cNvPr>
        <xdr:cNvPicPr>
          <a:picLocks noChangeAspect="1" noChangeArrowheads="1"/>
        </xdr:cNvPicPr>
      </xdr:nvPicPr>
      <xdr:blipFill rotWithShape="1">
        <a:blip xmlns:r="http://schemas.openxmlformats.org/officeDocument/2006/relationships" r:embed="rId18" cstate="print">
          <a:extLst>
            <a:ext uri="{28A0092B-C50C-407E-A947-70E740481C1C}">
              <a14:useLocalDpi xmlns:a14="http://schemas.microsoft.com/office/drawing/2010/main" val="0"/>
            </a:ext>
          </a:extLst>
        </a:blip>
        <a:srcRect l="24690" t="2174" r="26476" b="2329"/>
        <a:stretch/>
      </xdr:blipFill>
      <xdr:spPr bwMode="auto">
        <a:xfrm>
          <a:off x="2307773" y="3385457"/>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1001487</xdr:colOff>
      <xdr:row>7</xdr:row>
      <xdr:rowOff>201385</xdr:rowOff>
    </xdr:from>
    <xdr:to>
      <xdr:col>13</xdr:col>
      <xdr:colOff>1104900</xdr:colOff>
      <xdr:row>8</xdr:row>
      <xdr:rowOff>206304</xdr:rowOff>
    </xdr:to>
    <xdr:pic>
      <xdr:nvPicPr>
        <xdr:cNvPr id="56" name="Picture 55" descr="Squid Game PNG Images (Transparent HD Photo Clipart)">
          <a:extLst>
            <a:ext uri="{FF2B5EF4-FFF2-40B4-BE49-F238E27FC236}">
              <a16:creationId xmlns:a16="http://schemas.microsoft.com/office/drawing/2014/main" id="{756281B7-D469-4ECE-9A29-A5DD4C2A7158}"/>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6498773" y="1817914"/>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266701</xdr:colOff>
      <xdr:row>17</xdr:row>
      <xdr:rowOff>38100</xdr:rowOff>
    </xdr:from>
    <xdr:to>
      <xdr:col>15</xdr:col>
      <xdr:colOff>376464</xdr:colOff>
      <xdr:row>18</xdr:row>
      <xdr:rowOff>34403</xdr:rowOff>
    </xdr:to>
    <xdr:pic>
      <xdr:nvPicPr>
        <xdr:cNvPr id="57" name="Picture 56" descr="Squid Game PNG Images (Transparent HD Photo Clipart)">
          <a:extLst>
            <a:ext uri="{FF2B5EF4-FFF2-40B4-BE49-F238E27FC236}">
              <a16:creationId xmlns:a16="http://schemas.microsoft.com/office/drawing/2014/main" id="{8D1324F5-6DFD-472B-9E04-F3DFED4A1BA1}"/>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8822872" y="3673929"/>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565828</xdr:colOff>
      <xdr:row>17</xdr:row>
      <xdr:rowOff>123056</xdr:rowOff>
    </xdr:from>
    <xdr:to>
      <xdr:col>14</xdr:col>
      <xdr:colOff>796274</xdr:colOff>
      <xdr:row>19</xdr:row>
      <xdr:rowOff>40920</xdr:rowOff>
    </xdr:to>
    <xdr:pic>
      <xdr:nvPicPr>
        <xdr:cNvPr id="43" name="Picture 22" descr="Related image">
          <a:extLst>
            <a:ext uri="{FF2B5EF4-FFF2-40B4-BE49-F238E27FC236}">
              <a16:creationId xmlns:a16="http://schemas.microsoft.com/office/drawing/2014/main" id="{22979D42-26DD-4AD5-81DC-00D3F9E1D3E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940899" y="3758885"/>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288242</xdr:colOff>
      <xdr:row>17</xdr:row>
      <xdr:rowOff>128500</xdr:rowOff>
    </xdr:from>
    <xdr:to>
      <xdr:col>14</xdr:col>
      <xdr:colOff>512338</xdr:colOff>
      <xdr:row>19</xdr:row>
      <xdr:rowOff>52714</xdr:rowOff>
    </xdr:to>
    <xdr:pic>
      <xdr:nvPicPr>
        <xdr:cNvPr id="54" name="Picture 22" descr="Related image">
          <a:extLst>
            <a:ext uri="{FF2B5EF4-FFF2-40B4-BE49-F238E27FC236}">
              <a16:creationId xmlns:a16="http://schemas.microsoft.com/office/drawing/2014/main" id="{A0F33CEC-A798-4D00-AD54-CDD6BDFEB71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663313" y="3764329"/>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16645</xdr:colOff>
      <xdr:row>12</xdr:row>
      <xdr:rowOff>16396</xdr:rowOff>
    </xdr:to>
    <xdr:pic>
      <xdr:nvPicPr>
        <xdr:cNvPr id="58" name="Picture 21">
          <a:extLst>
            <a:ext uri="{FF2B5EF4-FFF2-40B4-BE49-F238E27FC236}">
              <a16:creationId xmlns:a16="http://schemas.microsoft.com/office/drawing/2014/main" id="{A660692E-3229-487C-9FD0-EC3AA0AB985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7172485" y="2476153"/>
          <a:ext cx="177050" cy="185471"/>
        </a:xfrm>
        <a:prstGeom prst="rect">
          <a:avLst/>
        </a:prstGeom>
      </xdr:spPr>
    </xdr:pic>
    <xdr:clientData/>
  </xdr:twoCellAnchor>
  <xdr:twoCellAnchor editAs="oneCell">
    <xdr:from>
      <xdr:col>13</xdr:col>
      <xdr:colOff>336256</xdr:colOff>
      <xdr:row>12</xdr:row>
      <xdr:rowOff>25053</xdr:rowOff>
    </xdr:from>
    <xdr:to>
      <xdr:col>13</xdr:col>
      <xdr:colOff>529181</xdr:colOff>
      <xdr:row>13</xdr:row>
      <xdr:rowOff>15943</xdr:rowOff>
    </xdr:to>
    <xdr:pic>
      <xdr:nvPicPr>
        <xdr:cNvPr id="59" name="Picture 21">
          <a:extLst>
            <a:ext uri="{FF2B5EF4-FFF2-40B4-BE49-F238E27FC236}">
              <a16:creationId xmlns:a16="http://schemas.microsoft.com/office/drawing/2014/main" id="{FDDAEBE0-DE0A-4ECB-A9BD-1A9910A317C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70042" y="2682982"/>
          <a:ext cx="183400" cy="199532"/>
        </a:xfrm>
        <a:prstGeom prst="rect">
          <a:avLst/>
        </a:prstGeom>
      </xdr:spPr>
    </xdr:pic>
    <xdr:clientData/>
  </xdr:twoCellAnchor>
  <xdr:twoCellAnchor editAs="oneCell">
    <xdr:from>
      <xdr:col>3</xdr:col>
      <xdr:colOff>816845</xdr:colOff>
      <xdr:row>15</xdr:row>
      <xdr:rowOff>139427</xdr:rowOff>
    </xdr:from>
    <xdr:to>
      <xdr:col>4</xdr:col>
      <xdr:colOff>109884</xdr:colOff>
      <xdr:row>16</xdr:row>
      <xdr:rowOff>74132</xdr:rowOff>
    </xdr:to>
    <xdr:pic>
      <xdr:nvPicPr>
        <xdr:cNvPr id="60" name="Picture 17">
          <a:extLst>
            <a:ext uri="{FF2B5EF4-FFF2-40B4-BE49-F238E27FC236}">
              <a16:creationId xmlns:a16="http://schemas.microsoft.com/office/drawing/2014/main" id="{AE1AAA19-104C-4A49-B4A3-A050D1FBF41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6702" y="3405141"/>
          <a:ext cx="170700" cy="146070"/>
        </a:xfrm>
        <a:prstGeom prst="rect">
          <a:avLst/>
        </a:prstGeom>
      </xdr:spPr>
    </xdr:pic>
    <xdr:clientData/>
  </xdr:twoCellAnchor>
  <xdr:twoCellAnchor editAs="oneCell">
    <xdr:from>
      <xdr:col>4</xdr:col>
      <xdr:colOff>337873</xdr:colOff>
      <xdr:row>16</xdr:row>
      <xdr:rowOff>46898</xdr:rowOff>
    </xdr:from>
    <xdr:to>
      <xdr:col>5</xdr:col>
      <xdr:colOff>2387</xdr:colOff>
      <xdr:row>17</xdr:row>
      <xdr:rowOff>40568</xdr:rowOff>
    </xdr:to>
    <xdr:pic>
      <xdr:nvPicPr>
        <xdr:cNvPr id="61" name="Picture 17">
          <a:extLst>
            <a:ext uri="{FF2B5EF4-FFF2-40B4-BE49-F238E27FC236}">
              <a16:creationId xmlns:a16="http://schemas.microsoft.com/office/drawing/2014/main" id="{402CD12D-8BEC-4027-8FD5-3E073CF5D9E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14916" y="3530327"/>
          <a:ext cx="170700" cy="14607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19</xdr:col>
      <xdr:colOff>129667</xdr:colOff>
      <xdr:row>17</xdr:row>
      <xdr:rowOff>17290</xdr:rowOff>
    </xdr:from>
    <xdr:to>
      <xdr:col>19</xdr:col>
      <xdr:colOff>489498</xdr:colOff>
      <xdr:row>18</xdr:row>
      <xdr:rowOff>14114</xdr:rowOff>
    </xdr:to>
    <xdr:pic>
      <xdr:nvPicPr>
        <xdr:cNvPr id="2" name="Picture 1">
          <a:extLst>
            <a:ext uri="{FF2B5EF4-FFF2-40B4-BE49-F238E27FC236}">
              <a16:creationId xmlns:a16="http://schemas.microsoft.com/office/drawing/2014/main" id="{241FF9C9-D165-47B2-B14E-6874B60E2305}"/>
            </a:ext>
          </a:extLst>
        </xdr:cNvPr>
        <xdr:cNvPicPr>
          <a:picLocks noChangeAspect="1"/>
        </xdr:cNvPicPr>
      </xdr:nvPicPr>
      <xdr:blipFill>
        <a:blip xmlns:r="http://schemas.openxmlformats.org/officeDocument/2006/relationships" r:embed="rId1"/>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28771</xdr:rowOff>
    </xdr:to>
    <xdr:pic>
      <xdr:nvPicPr>
        <xdr:cNvPr id="3" name="Picture 2">
          <a:extLst>
            <a:ext uri="{FF2B5EF4-FFF2-40B4-BE49-F238E27FC236}">
              <a16:creationId xmlns:a16="http://schemas.microsoft.com/office/drawing/2014/main" id="{885768CB-752B-44B2-A95D-3223603ECBAA}"/>
            </a:ext>
          </a:extLst>
        </xdr:cNvPr>
        <xdr:cNvPicPr>
          <a:picLocks noChangeAspect="1"/>
        </xdr:cNvPicPr>
      </xdr:nvPicPr>
      <xdr:blipFill>
        <a:blip xmlns:r="http://schemas.openxmlformats.org/officeDocument/2006/relationships" r:embed="rId2"/>
        <a:stretch>
          <a:fillRect/>
        </a:stretch>
      </xdr:blipFill>
      <xdr:spPr>
        <a:xfrm>
          <a:off x="12524209" y="3636333"/>
          <a:ext cx="236967" cy="225765"/>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B69EED7A-4864-45C8-8405-E4B1B7FF5BA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6" name="Picture 8">
          <a:extLst>
            <a:ext uri="{FF2B5EF4-FFF2-40B4-BE49-F238E27FC236}">
              <a16:creationId xmlns:a16="http://schemas.microsoft.com/office/drawing/2014/main" id="{C2C9AD13-73D3-40B0-9EDA-9B2C4E58492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278008" y="3672773"/>
          <a:ext cx="240992" cy="252738"/>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CFE044F0-96C6-4470-88B6-690ED68BEB0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061FECD-2C54-4238-B6DF-7D485079858F}"/>
            </a:ext>
          </a:extLst>
        </xdr:cNvPr>
        <xdr:cNvPicPr>
          <a:picLocks noChangeAspect="1"/>
        </xdr:cNvPicPr>
      </xdr:nvPicPr>
      <xdr:blipFill>
        <a:blip xmlns:r="http://schemas.openxmlformats.org/officeDocument/2006/relationships" r:embed="rId1"/>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18578A08-2471-44CB-8CE3-EFF17F7914A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555FDBC1-FE59-4B90-BA7E-F87D756D5B12}"/>
            </a:ext>
          </a:extLst>
        </xdr:cNvPr>
        <xdr:cNvPicPr>
          <a:picLocks noChangeAspect="1"/>
        </xdr:cNvPicPr>
      </xdr:nvPicPr>
      <xdr:blipFill>
        <a:blip xmlns:r="http://schemas.openxmlformats.org/officeDocument/2006/relationships" r:embed="rId2"/>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2" name="Picture 1" descr="https://static.thenounproject.com/png/200330-200.png">
          <a:extLst>
            <a:ext uri="{FF2B5EF4-FFF2-40B4-BE49-F238E27FC236}">
              <a16:creationId xmlns:a16="http://schemas.microsoft.com/office/drawing/2014/main" id="{692CD0AC-CFBC-443A-ACC7-1F8A3F0CB8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3" name="Picture 1" descr="https://static.thenounproject.com/png/200330-200.png">
          <a:extLst>
            <a:ext uri="{FF2B5EF4-FFF2-40B4-BE49-F238E27FC236}">
              <a16:creationId xmlns:a16="http://schemas.microsoft.com/office/drawing/2014/main" id="{FD6B80FA-64B3-4DC3-A9B1-E9A437D4A8B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5" name="Picture 17">
          <a:extLst>
            <a:ext uri="{FF2B5EF4-FFF2-40B4-BE49-F238E27FC236}">
              <a16:creationId xmlns:a16="http://schemas.microsoft.com/office/drawing/2014/main" id="{BCF0F52A-D23E-4FC0-8F61-721D7066EC5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6" name="Picture 18">
          <a:extLst>
            <a:ext uri="{FF2B5EF4-FFF2-40B4-BE49-F238E27FC236}">
              <a16:creationId xmlns:a16="http://schemas.microsoft.com/office/drawing/2014/main" id="{032DA410-8D27-4187-A4A9-F5845A63A039}"/>
            </a:ext>
          </a:extLst>
        </xdr:cNvPr>
        <xdr:cNvPicPr>
          <a:picLocks noChangeAspect="1"/>
        </xdr:cNvPicPr>
      </xdr:nvPicPr>
      <xdr:blipFill>
        <a:blip xmlns:r="http://schemas.openxmlformats.org/officeDocument/2006/relationships" r:embed="rId1"/>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7" name="Picture 19">
          <a:extLst>
            <a:ext uri="{FF2B5EF4-FFF2-40B4-BE49-F238E27FC236}">
              <a16:creationId xmlns:a16="http://schemas.microsoft.com/office/drawing/2014/main" id="{F6ED6E7E-DD20-4AE8-BFFF-A5C6A904D974}"/>
            </a:ext>
          </a:extLst>
        </xdr:cNvPr>
        <xdr:cNvPicPr>
          <a:picLocks noChangeAspect="1"/>
        </xdr:cNvPicPr>
      </xdr:nvPicPr>
      <xdr:blipFill>
        <a:blip xmlns:r="http://schemas.openxmlformats.org/officeDocument/2006/relationships" r:embed="rId2"/>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8" name="Picture 20">
          <a:extLst>
            <a:ext uri="{FF2B5EF4-FFF2-40B4-BE49-F238E27FC236}">
              <a16:creationId xmlns:a16="http://schemas.microsoft.com/office/drawing/2014/main" id="{6A3A1848-64D0-487F-BC2F-4C38E2123C4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9" name="Picture 21">
          <a:extLst>
            <a:ext uri="{FF2B5EF4-FFF2-40B4-BE49-F238E27FC236}">
              <a16:creationId xmlns:a16="http://schemas.microsoft.com/office/drawing/2014/main" id="{1FB7421A-8D29-4F49-AC4E-0CAF410CD3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0" name="Picture 22" descr="Related image">
          <a:extLst>
            <a:ext uri="{FF2B5EF4-FFF2-40B4-BE49-F238E27FC236}">
              <a16:creationId xmlns:a16="http://schemas.microsoft.com/office/drawing/2014/main" id="{9DDBCAF9-5ED1-4A14-A46F-18997794504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1" name="Picture 23">
          <a:extLst>
            <a:ext uri="{FF2B5EF4-FFF2-40B4-BE49-F238E27FC236}">
              <a16:creationId xmlns:a16="http://schemas.microsoft.com/office/drawing/2014/main" id="{BD7CD2B2-3EBF-43E2-8F1E-7D0102E7BB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22" name="Picture 21" descr="Squash Racquet Icons - Free SVG &amp; PNG Squash Racquet Images ...">
          <a:extLst>
            <a:ext uri="{FF2B5EF4-FFF2-40B4-BE49-F238E27FC236}">
              <a16:creationId xmlns:a16="http://schemas.microsoft.com/office/drawing/2014/main" id="{93B84998-2E87-43B5-B5D9-CD8ACF962C3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C3675D8A-BF91-4C3D-AF7F-3F228B4C2243}"/>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9C047C6B-4609-4BE6-A3B2-C189768BE9B1}"/>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E2D8DD47-8D59-436E-BA56-1F968BEF215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957607</xdr:colOff>
      <xdr:row>7</xdr:row>
      <xdr:rowOff>189595</xdr:rowOff>
    </xdr:to>
    <xdr:pic>
      <xdr:nvPicPr>
        <xdr:cNvPr id="26" name="Picture 25">
          <a:extLst>
            <a:ext uri="{FF2B5EF4-FFF2-40B4-BE49-F238E27FC236}">
              <a16:creationId xmlns:a16="http://schemas.microsoft.com/office/drawing/2014/main" id="{2704D7FC-FC8A-4E5E-8238-4EC971F9B5B0}"/>
            </a:ext>
          </a:extLst>
        </xdr:cNvPr>
        <xdr:cNvPicPr>
          <a:picLocks noChangeAspect="1"/>
        </xdr:cNvPicPr>
      </xdr:nvPicPr>
      <xdr:blipFill>
        <a:blip xmlns:r="http://schemas.openxmlformats.org/officeDocument/2006/relationships" r:embed="rId12"/>
        <a:stretch>
          <a:fillRect/>
        </a:stretch>
      </xdr:blipFill>
      <xdr:spPr>
        <a:xfrm>
          <a:off x="6275176" y="1609532"/>
          <a:ext cx="196282" cy="198721"/>
        </a:xfrm>
        <a:prstGeom prst="rect">
          <a:avLst/>
        </a:prstGeom>
      </xdr:spPr>
    </xdr:pic>
    <xdr:clientData/>
  </xdr:twoCellAnchor>
  <xdr:twoCellAnchor editAs="oneCell">
    <xdr:from>
      <xdr:col>13</xdr:col>
      <xdr:colOff>809330</xdr:colOff>
      <xdr:row>10</xdr:row>
      <xdr:rowOff>9465</xdr:rowOff>
    </xdr:from>
    <xdr:to>
      <xdr:col>13</xdr:col>
      <xdr:colOff>1016021</xdr:colOff>
      <xdr:row>11</xdr:row>
      <xdr:rowOff>0</xdr:rowOff>
    </xdr:to>
    <xdr:pic>
      <xdr:nvPicPr>
        <xdr:cNvPr id="28" name="Picture 27">
          <a:extLst>
            <a:ext uri="{FF2B5EF4-FFF2-40B4-BE49-F238E27FC236}">
              <a16:creationId xmlns:a16="http://schemas.microsoft.com/office/drawing/2014/main" id="{40297F23-4E82-4A68-A1B4-6D91DCBF89F5}"/>
            </a:ext>
          </a:extLst>
        </xdr:cNvPr>
        <xdr:cNvPicPr>
          <a:picLocks noChangeAspect="1"/>
        </xdr:cNvPicPr>
      </xdr:nvPicPr>
      <xdr:blipFill>
        <a:blip xmlns:r="http://schemas.openxmlformats.org/officeDocument/2006/relationships" r:embed="rId13"/>
        <a:stretch>
          <a:fillRect/>
        </a:stretch>
      </xdr:blipFill>
      <xdr:spPr>
        <a:xfrm>
          <a:off x="6323181" y="2262335"/>
          <a:ext cx="206691" cy="203516"/>
        </a:xfrm>
        <a:prstGeom prst="rect">
          <a:avLst/>
        </a:prstGeom>
      </xdr:spPr>
    </xdr:pic>
    <xdr:clientData/>
  </xdr:twoCellAnchor>
  <xdr:twoCellAnchor editAs="oneCell">
    <xdr:from>
      <xdr:col>6</xdr:col>
      <xdr:colOff>159736</xdr:colOff>
      <xdr:row>14</xdr:row>
      <xdr:rowOff>93949</xdr:rowOff>
    </xdr:from>
    <xdr:to>
      <xdr:col>6</xdr:col>
      <xdr:colOff>360077</xdr:colOff>
      <xdr:row>15</xdr:row>
      <xdr:rowOff>127080</xdr:rowOff>
    </xdr:to>
    <xdr:pic>
      <xdr:nvPicPr>
        <xdr:cNvPr id="29" name="Picture 28">
          <a:extLst>
            <a:ext uri="{FF2B5EF4-FFF2-40B4-BE49-F238E27FC236}">
              <a16:creationId xmlns:a16="http://schemas.microsoft.com/office/drawing/2014/main" id="{013A267D-B718-4093-BEEF-D4A4B2D45074}"/>
            </a:ext>
          </a:extLst>
        </xdr:cNvPr>
        <xdr:cNvPicPr>
          <a:picLocks noChangeAspect="1"/>
        </xdr:cNvPicPr>
      </xdr:nvPicPr>
      <xdr:blipFill>
        <a:blip xmlns:r="http://schemas.openxmlformats.org/officeDocument/2006/relationships" r:embed="rId13"/>
        <a:stretch>
          <a:fillRect/>
        </a:stretch>
      </xdr:blipFill>
      <xdr:spPr>
        <a:xfrm>
          <a:off x="2554593" y="3198744"/>
          <a:ext cx="200341" cy="203516"/>
        </a:xfrm>
        <a:prstGeom prst="rect">
          <a:avLst/>
        </a:prstGeom>
      </xdr:spPr>
    </xdr:pic>
    <xdr:clientData/>
  </xdr:twoCellAnchor>
  <xdr:twoCellAnchor editAs="oneCell">
    <xdr:from>
      <xdr:col>7</xdr:col>
      <xdr:colOff>284924</xdr:colOff>
      <xdr:row>14</xdr:row>
      <xdr:rowOff>81406</xdr:rowOff>
    </xdr:from>
    <xdr:to>
      <xdr:col>7</xdr:col>
      <xdr:colOff>474121</xdr:colOff>
      <xdr:row>15</xdr:row>
      <xdr:rowOff>116093</xdr:rowOff>
    </xdr:to>
    <xdr:pic>
      <xdr:nvPicPr>
        <xdr:cNvPr id="30" name="Picture 29">
          <a:extLst>
            <a:ext uri="{FF2B5EF4-FFF2-40B4-BE49-F238E27FC236}">
              <a16:creationId xmlns:a16="http://schemas.microsoft.com/office/drawing/2014/main" id="{23561430-23EF-4B55-8C45-124D5CE219BC}"/>
            </a:ext>
          </a:extLst>
        </xdr:cNvPr>
        <xdr:cNvPicPr>
          <a:picLocks noChangeAspect="1"/>
        </xdr:cNvPicPr>
      </xdr:nvPicPr>
      <xdr:blipFill>
        <a:blip xmlns:r="http://schemas.openxmlformats.org/officeDocument/2006/relationships" r:embed="rId14"/>
        <a:stretch>
          <a:fillRect/>
        </a:stretch>
      </xdr:blipFill>
      <xdr:spPr>
        <a:xfrm>
          <a:off x="3186203" y="3186201"/>
          <a:ext cx="208247" cy="205072"/>
        </a:xfrm>
        <a:prstGeom prst="rect">
          <a:avLst/>
        </a:prstGeom>
      </xdr:spPr>
    </xdr:pic>
    <xdr:clientData/>
  </xdr:twoCellAnchor>
  <xdr:twoCellAnchor editAs="oneCell">
    <xdr:from>
      <xdr:col>7</xdr:col>
      <xdr:colOff>94930</xdr:colOff>
      <xdr:row>14</xdr:row>
      <xdr:rowOff>91212</xdr:rowOff>
    </xdr:from>
    <xdr:to>
      <xdr:col>7</xdr:col>
      <xdr:colOff>291212</xdr:colOff>
      <xdr:row>15</xdr:row>
      <xdr:rowOff>125898</xdr:rowOff>
    </xdr:to>
    <xdr:pic>
      <xdr:nvPicPr>
        <xdr:cNvPr id="31" name="Picture 30">
          <a:extLst>
            <a:ext uri="{FF2B5EF4-FFF2-40B4-BE49-F238E27FC236}">
              <a16:creationId xmlns:a16="http://schemas.microsoft.com/office/drawing/2014/main" id="{6C57E058-06A8-4BD7-B134-38F3F2B10FE6}"/>
            </a:ext>
          </a:extLst>
        </xdr:cNvPr>
        <xdr:cNvPicPr>
          <a:picLocks noChangeAspect="1"/>
        </xdr:cNvPicPr>
      </xdr:nvPicPr>
      <xdr:blipFill>
        <a:blip xmlns:r="http://schemas.openxmlformats.org/officeDocument/2006/relationships" r:embed="rId12"/>
        <a:stretch>
          <a:fillRect/>
        </a:stretch>
      </xdr:blipFill>
      <xdr:spPr>
        <a:xfrm>
          <a:off x="2996209" y="3196007"/>
          <a:ext cx="196282" cy="205071"/>
        </a:xfrm>
        <a:prstGeom prst="rect">
          <a:avLst/>
        </a:prstGeom>
      </xdr:spPr>
    </xdr:pic>
    <xdr:clientData/>
  </xdr:twoCellAnchor>
  <xdr:twoCellAnchor editAs="oneCell">
    <xdr:from>
      <xdr:col>17</xdr:col>
      <xdr:colOff>146519</xdr:colOff>
      <xdr:row>17</xdr:row>
      <xdr:rowOff>59501</xdr:rowOff>
    </xdr:from>
    <xdr:to>
      <xdr:col>17</xdr:col>
      <xdr:colOff>349151</xdr:colOff>
      <xdr:row>18</xdr:row>
      <xdr:rowOff>48415</xdr:rowOff>
    </xdr:to>
    <xdr:pic>
      <xdr:nvPicPr>
        <xdr:cNvPr id="32" name="Picture 31">
          <a:extLst>
            <a:ext uri="{FF2B5EF4-FFF2-40B4-BE49-F238E27FC236}">
              <a16:creationId xmlns:a16="http://schemas.microsoft.com/office/drawing/2014/main" id="{1BEE3D6C-31BE-491C-BDB4-22B042F69392}"/>
            </a:ext>
          </a:extLst>
        </xdr:cNvPr>
        <xdr:cNvPicPr>
          <a:picLocks noChangeAspect="1"/>
        </xdr:cNvPicPr>
      </xdr:nvPicPr>
      <xdr:blipFill>
        <a:blip xmlns:r="http://schemas.openxmlformats.org/officeDocument/2006/relationships" r:embed="rId12"/>
        <a:stretch>
          <a:fillRect/>
        </a:stretch>
      </xdr:blipFill>
      <xdr:spPr>
        <a:xfrm>
          <a:off x="10738319" y="3695330"/>
          <a:ext cx="202632" cy="201185"/>
        </a:xfrm>
        <a:prstGeom prst="rect">
          <a:avLst/>
        </a:prstGeom>
      </xdr:spPr>
    </xdr:pic>
    <xdr:clientData/>
  </xdr:twoCellAnchor>
  <xdr:twoCellAnchor editAs="oneCell">
    <xdr:from>
      <xdr:col>16</xdr:col>
      <xdr:colOff>992256</xdr:colOff>
      <xdr:row>17</xdr:row>
      <xdr:rowOff>61291</xdr:rowOff>
    </xdr:from>
    <xdr:to>
      <xdr:col>17</xdr:col>
      <xdr:colOff>182689</xdr:colOff>
      <xdr:row>18</xdr:row>
      <xdr:rowOff>53381</xdr:rowOff>
    </xdr:to>
    <xdr:pic>
      <xdr:nvPicPr>
        <xdr:cNvPr id="33" name="Picture 32">
          <a:extLst>
            <a:ext uri="{FF2B5EF4-FFF2-40B4-BE49-F238E27FC236}">
              <a16:creationId xmlns:a16="http://schemas.microsoft.com/office/drawing/2014/main" id="{134387FC-13B3-44C1-ADF6-B06CBE3166B5}"/>
            </a:ext>
          </a:extLst>
        </xdr:cNvPr>
        <xdr:cNvPicPr>
          <a:picLocks noChangeAspect="1"/>
        </xdr:cNvPicPr>
      </xdr:nvPicPr>
      <xdr:blipFill>
        <a:blip xmlns:r="http://schemas.openxmlformats.org/officeDocument/2006/relationships" r:embed="rId14"/>
        <a:stretch>
          <a:fillRect/>
        </a:stretch>
      </xdr:blipFill>
      <xdr:spPr>
        <a:xfrm>
          <a:off x="10566242" y="3697120"/>
          <a:ext cx="208247" cy="204361"/>
        </a:xfrm>
        <a:prstGeom prst="rect">
          <a:avLst/>
        </a:prstGeom>
      </xdr:spPr>
    </xdr:pic>
    <xdr:clientData/>
  </xdr:twoCellAnchor>
  <xdr:twoCellAnchor editAs="oneCell">
    <xdr:from>
      <xdr:col>16</xdr:col>
      <xdr:colOff>94186</xdr:colOff>
      <xdr:row>17</xdr:row>
      <xdr:rowOff>28632</xdr:rowOff>
    </xdr:from>
    <xdr:to>
      <xdr:col>16</xdr:col>
      <xdr:colOff>294527</xdr:colOff>
      <xdr:row>18</xdr:row>
      <xdr:rowOff>22341</xdr:rowOff>
    </xdr:to>
    <xdr:pic>
      <xdr:nvPicPr>
        <xdr:cNvPr id="34" name="Picture 33">
          <a:extLst>
            <a:ext uri="{FF2B5EF4-FFF2-40B4-BE49-F238E27FC236}">
              <a16:creationId xmlns:a16="http://schemas.microsoft.com/office/drawing/2014/main" id="{C59C3F5C-B96A-4071-A27B-F5CD8FDC601C}"/>
            </a:ext>
          </a:extLst>
        </xdr:cNvPr>
        <xdr:cNvPicPr>
          <a:picLocks noChangeAspect="1"/>
        </xdr:cNvPicPr>
      </xdr:nvPicPr>
      <xdr:blipFill>
        <a:blip xmlns:r="http://schemas.openxmlformats.org/officeDocument/2006/relationships" r:embed="rId13"/>
        <a:stretch>
          <a:fillRect/>
        </a:stretch>
      </xdr:blipFill>
      <xdr:spPr>
        <a:xfrm>
          <a:off x="9668172" y="3664461"/>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B15965E6-4D77-4443-BDDB-6E08F12B715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B0524FFC-607F-4499-AF3E-AA7D13E6E76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18412160-9837-4C23-BAE4-19BEC9B580BF}"/>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2C236BE-A4E7-47ED-B219-2942ED54438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72D30C4E-5B90-4F65-AC0F-9D87F16D4C7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974</xdr:rowOff>
    </xdr:to>
    <xdr:pic>
      <xdr:nvPicPr>
        <xdr:cNvPr id="40" name="Picture 22" descr="Related image">
          <a:extLst>
            <a:ext uri="{FF2B5EF4-FFF2-40B4-BE49-F238E27FC236}">
              <a16:creationId xmlns:a16="http://schemas.microsoft.com/office/drawing/2014/main" id="{E32DCF11-5B49-4C01-A3EB-BF527AF81D98}"/>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280496" y="3616935"/>
          <a:ext cx="309257" cy="2115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C84C20F-B366-4646-9966-80DFD695518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108316</xdr:rowOff>
    </xdr:to>
    <xdr:pic>
      <xdr:nvPicPr>
        <xdr:cNvPr id="42" name="Picture 17">
          <a:extLst>
            <a:ext uri="{FF2B5EF4-FFF2-40B4-BE49-F238E27FC236}">
              <a16:creationId xmlns:a16="http://schemas.microsoft.com/office/drawing/2014/main" id="{7AD822D2-04F1-4DEB-A255-248DB9D53969}"/>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3493478" y="3458523"/>
          <a:ext cx="87989" cy="142688"/>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43" name="Picture 17">
          <a:extLst>
            <a:ext uri="{FF2B5EF4-FFF2-40B4-BE49-F238E27FC236}">
              <a16:creationId xmlns:a16="http://schemas.microsoft.com/office/drawing/2014/main" id="{627FCD43-AD83-4844-B0CE-CBC871DE02F3}"/>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6294826" y="2049464"/>
          <a:ext cx="87989" cy="142688"/>
        </a:xfrm>
        <a:prstGeom prst="rect">
          <a:avLst/>
        </a:prstGeom>
      </xdr:spPr>
    </xdr:pic>
    <xdr:clientData/>
  </xdr:twoCellAnchor>
  <xdr:twoCellAnchor editAs="oneCell">
    <xdr:from>
      <xdr:col>18</xdr:col>
      <xdr:colOff>900405</xdr:colOff>
      <xdr:row>17</xdr:row>
      <xdr:rowOff>125962</xdr:rowOff>
    </xdr:from>
    <xdr:to>
      <xdr:col>18</xdr:col>
      <xdr:colOff>988394</xdr:colOff>
      <xdr:row>18</xdr:row>
      <xdr:rowOff>57157</xdr:rowOff>
    </xdr:to>
    <xdr:pic>
      <xdr:nvPicPr>
        <xdr:cNvPr id="44" name="Picture 17">
          <a:extLst>
            <a:ext uri="{FF2B5EF4-FFF2-40B4-BE49-F238E27FC236}">
              <a16:creationId xmlns:a16="http://schemas.microsoft.com/office/drawing/2014/main" id="{393274F7-1220-4A4E-A336-31F42610C278}"/>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12447038" y="3749349"/>
          <a:ext cx="87989" cy="141135"/>
        </a:xfrm>
        <a:prstGeom prst="rect">
          <a:avLst/>
        </a:prstGeom>
      </xdr:spPr>
    </xdr:pic>
    <xdr:clientData/>
  </xdr:twoCellAnchor>
  <xdr:twoCellAnchor editAs="oneCell">
    <xdr:from>
      <xdr:col>5</xdr:col>
      <xdr:colOff>295471</xdr:colOff>
      <xdr:row>14</xdr:row>
      <xdr:rowOff>85532</xdr:rowOff>
    </xdr:from>
    <xdr:to>
      <xdr:col>6</xdr:col>
      <xdr:colOff>4084</xdr:colOff>
      <xdr:row>15</xdr:row>
      <xdr:rowOff>108858</xdr:rowOff>
    </xdr:to>
    <xdr:pic>
      <xdr:nvPicPr>
        <xdr:cNvPr id="50" name="Picture 49">
          <a:extLst>
            <a:ext uri="{FF2B5EF4-FFF2-40B4-BE49-F238E27FC236}">
              <a16:creationId xmlns:a16="http://schemas.microsoft.com/office/drawing/2014/main" id="{21694CA5-E673-9CB0-D935-4B4685B1D83D}"/>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177144" y="3164633"/>
          <a:ext cx="194388" cy="194388"/>
        </a:xfrm>
        <a:prstGeom prst="rect">
          <a:avLst/>
        </a:prstGeom>
      </xdr:spPr>
    </xdr:pic>
    <xdr:clientData/>
  </xdr:twoCellAnchor>
  <xdr:twoCellAnchor editAs="oneCell">
    <xdr:from>
      <xdr:col>13</xdr:col>
      <xdr:colOff>968830</xdr:colOff>
      <xdr:row>7</xdr:row>
      <xdr:rowOff>191279</xdr:rowOff>
    </xdr:from>
    <xdr:to>
      <xdr:col>13</xdr:col>
      <xdr:colOff>1163218</xdr:colOff>
      <xdr:row>8</xdr:row>
      <xdr:rowOff>175727</xdr:rowOff>
    </xdr:to>
    <xdr:pic>
      <xdr:nvPicPr>
        <xdr:cNvPr id="51" name="Picture 50">
          <a:extLst>
            <a:ext uri="{FF2B5EF4-FFF2-40B4-BE49-F238E27FC236}">
              <a16:creationId xmlns:a16="http://schemas.microsoft.com/office/drawing/2014/main" id="{DE915CDC-617D-49DE-B0AB-C2BD163F088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466116" y="1800809"/>
          <a:ext cx="194388" cy="194388"/>
        </a:xfrm>
        <a:prstGeom prst="rect">
          <a:avLst/>
        </a:prstGeom>
      </xdr:spPr>
    </xdr:pic>
    <xdr:clientData/>
  </xdr:twoCellAnchor>
  <xdr:twoCellAnchor editAs="oneCell">
    <xdr:from>
      <xdr:col>4</xdr:col>
      <xdr:colOff>492843</xdr:colOff>
      <xdr:row>14</xdr:row>
      <xdr:rowOff>80542</xdr:rowOff>
    </xdr:from>
    <xdr:to>
      <xdr:col>5</xdr:col>
      <xdr:colOff>369793</xdr:colOff>
      <xdr:row>16</xdr:row>
      <xdr:rowOff>67163</xdr:rowOff>
    </xdr:to>
    <xdr:pic>
      <xdr:nvPicPr>
        <xdr:cNvPr id="52" name="Picture 51" descr="Squash Racquet Icons - Free SVG &amp; PNG Squash Racquet Images ...">
          <a:extLst>
            <a:ext uri="{FF2B5EF4-FFF2-40B4-BE49-F238E27FC236}">
              <a16:creationId xmlns:a16="http://schemas.microsoft.com/office/drawing/2014/main" id="{8DCDA924-A2C9-48B4-990F-02AD458F1E2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653020</xdr:colOff>
      <xdr:row>7</xdr:row>
      <xdr:rowOff>139634</xdr:rowOff>
    </xdr:from>
    <xdr:to>
      <xdr:col>13</xdr:col>
      <xdr:colOff>1035377</xdr:colOff>
      <xdr:row>9</xdr:row>
      <xdr:rowOff>95152</xdr:rowOff>
    </xdr:to>
    <xdr:pic>
      <xdr:nvPicPr>
        <xdr:cNvPr id="53" name="Picture 52" descr="Squash Racquet Icons - Free SVG &amp; PNG Squash Racquet Images ...">
          <a:extLst>
            <a:ext uri="{FF2B5EF4-FFF2-40B4-BE49-F238E27FC236}">
              <a16:creationId xmlns:a16="http://schemas.microsoft.com/office/drawing/2014/main" id="{DA37D3C1-E5AC-47C0-830F-95A63C1ED27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6150306" y="1749164"/>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79312</xdr:colOff>
      <xdr:row>17</xdr:row>
      <xdr:rowOff>32659</xdr:rowOff>
    </xdr:from>
    <xdr:to>
      <xdr:col>15</xdr:col>
      <xdr:colOff>273700</xdr:colOff>
      <xdr:row>18</xdr:row>
      <xdr:rowOff>17107</xdr:rowOff>
    </xdr:to>
    <xdr:pic>
      <xdr:nvPicPr>
        <xdr:cNvPr id="54" name="Picture 53">
          <a:extLst>
            <a:ext uri="{FF2B5EF4-FFF2-40B4-BE49-F238E27FC236}">
              <a16:creationId xmlns:a16="http://schemas.microsoft.com/office/drawing/2014/main" id="{DE703678-A814-4109-8969-E88F91354D84}"/>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640149" y="3656046"/>
          <a:ext cx="194388" cy="194388"/>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55" name="Picture 21">
          <a:extLst>
            <a:ext uri="{FF2B5EF4-FFF2-40B4-BE49-F238E27FC236}">
              <a16:creationId xmlns:a16="http://schemas.microsoft.com/office/drawing/2014/main" id="{C3DD1E38-C8D3-4E47-BD3A-CC14EB63215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954770" y="2476154"/>
          <a:ext cx="177050" cy="177306"/>
        </a:xfrm>
        <a:prstGeom prst="rect">
          <a:avLst/>
        </a:prstGeom>
      </xdr:spPr>
    </xdr:pic>
    <xdr:clientData/>
  </xdr:twoCellAnchor>
  <xdr:twoCellAnchor editAs="oneCell">
    <xdr:from>
      <xdr:col>7</xdr:col>
      <xdr:colOff>165652</xdr:colOff>
      <xdr:row>15</xdr:row>
      <xdr:rowOff>184585</xdr:rowOff>
    </xdr:from>
    <xdr:to>
      <xdr:col>7</xdr:col>
      <xdr:colOff>430697</xdr:colOff>
      <xdr:row>16</xdr:row>
      <xdr:rowOff>115586</xdr:rowOff>
    </xdr:to>
    <xdr:pic>
      <xdr:nvPicPr>
        <xdr:cNvPr id="49" name="Picture 48" descr="Accenture Logo, symbol, meaning, history, PNG, brand">
          <a:extLst>
            <a:ext uri="{FF2B5EF4-FFF2-40B4-BE49-F238E27FC236}">
              <a16:creationId xmlns:a16="http://schemas.microsoft.com/office/drawing/2014/main" id="{171426F6-ABE6-B692-6448-9A6082C757CE}"/>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6931" y="345976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141988</xdr:colOff>
      <xdr:row>14</xdr:row>
      <xdr:rowOff>99391</xdr:rowOff>
    </xdr:from>
    <xdr:to>
      <xdr:col>8</xdr:col>
      <xdr:colOff>321839</xdr:colOff>
      <xdr:row>15</xdr:row>
      <xdr:rowOff>108857</xdr:rowOff>
    </xdr:to>
    <xdr:pic>
      <xdr:nvPicPr>
        <xdr:cNvPr id="56" name="Picture 55" descr="A black background with a black square&#10;&#10;Description automatically generated with medium confidence">
          <a:extLst>
            <a:ext uri="{FF2B5EF4-FFF2-40B4-BE49-F238E27FC236}">
              <a16:creationId xmlns:a16="http://schemas.microsoft.com/office/drawing/2014/main" id="{C4EC00E2-6204-01B6-89D5-F69FF1B2F7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549690" y="3204186"/>
          <a:ext cx="179851" cy="179851"/>
        </a:xfrm>
        <a:prstGeom prst="rect">
          <a:avLst/>
        </a:prstGeom>
      </xdr:spPr>
    </xdr:pic>
    <xdr:clientData/>
  </xdr:twoCellAnchor>
  <xdr:twoCellAnchor editAs="oneCell">
    <xdr:from>
      <xdr:col>13</xdr:col>
      <xdr:colOff>564163</xdr:colOff>
      <xdr:row>7</xdr:row>
      <xdr:rowOff>15147</xdr:rowOff>
    </xdr:from>
    <xdr:to>
      <xdr:col>13</xdr:col>
      <xdr:colOff>829208</xdr:colOff>
      <xdr:row>7</xdr:row>
      <xdr:rowOff>163863</xdr:rowOff>
    </xdr:to>
    <xdr:pic>
      <xdr:nvPicPr>
        <xdr:cNvPr id="57" name="Picture 56" descr="Accenture Logo, symbol, meaning, history, PNG, brand">
          <a:extLst>
            <a:ext uri="{FF2B5EF4-FFF2-40B4-BE49-F238E27FC236}">
              <a16:creationId xmlns:a16="http://schemas.microsoft.com/office/drawing/2014/main" id="{8E102D71-B5F2-4A99-8E32-344A72999B9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78014" y="163380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948479</xdr:colOff>
      <xdr:row>6</xdr:row>
      <xdr:rowOff>177011</xdr:rowOff>
    </xdr:from>
    <xdr:to>
      <xdr:col>13</xdr:col>
      <xdr:colOff>1156726</xdr:colOff>
      <xdr:row>7</xdr:row>
      <xdr:rowOff>169102</xdr:rowOff>
    </xdr:to>
    <xdr:pic>
      <xdr:nvPicPr>
        <xdr:cNvPr id="58" name="Picture 57">
          <a:extLst>
            <a:ext uri="{FF2B5EF4-FFF2-40B4-BE49-F238E27FC236}">
              <a16:creationId xmlns:a16="http://schemas.microsoft.com/office/drawing/2014/main" id="{33DC6CCF-63D7-4117-8E80-4042F4794D53}"/>
            </a:ext>
          </a:extLst>
        </xdr:cNvPr>
        <xdr:cNvPicPr>
          <a:picLocks noChangeAspect="1"/>
        </xdr:cNvPicPr>
      </xdr:nvPicPr>
      <xdr:blipFill>
        <a:blip xmlns:r="http://schemas.openxmlformats.org/officeDocument/2006/relationships" r:embed="rId14"/>
        <a:stretch>
          <a:fillRect/>
        </a:stretch>
      </xdr:blipFill>
      <xdr:spPr>
        <a:xfrm>
          <a:off x="6462330" y="1582688"/>
          <a:ext cx="208247" cy="205072"/>
        </a:xfrm>
        <a:prstGeom prst="rect">
          <a:avLst/>
        </a:prstGeom>
      </xdr:spPr>
    </xdr:pic>
    <xdr:clientData/>
  </xdr:twoCellAnchor>
  <xdr:twoCellAnchor editAs="oneCell">
    <xdr:from>
      <xdr:col>13</xdr:col>
      <xdr:colOff>890736</xdr:colOff>
      <xdr:row>9</xdr:row>
      <xdr:rowOff>5679</xdr:rowOff>
    </xdr:from>
    <xdr:to>
      <xdr:col>13</xdr:col>
      <xdr:colOff>1070587</xdr:colOff>
      <xdr:row>9</xdr:row>
      <xdr:rowOff>185530</xdr:rowOff>
    </xdr:to>
    <xdr:pic>
      <xdr:nvPicPr>
        <xdr:cNvPr id="59" name="Picture 58" descr="A black background with a black square&#10;&#10;Description automatically generated with medium confidence">
          <a:extLst>
            <a:ext uri="{FF2B5EF4-FFF2-40B4-BE49-F238E27FC236}">
              <a16:creationId xmlns:a16="http://schemas.microsoft.com/office/drawing/2014/main" id="{95F17C68-ECA0-4E9A-8F68-BF1E400408E3}"/>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404587" y="2045567"/>
          <a:ext cx="179851" cy="179851"/>
        </a:xfrm>
        <a:prstGeom prst="rect">
          <a:avLst/>
        </a:prstGeom>
      </xdr:spPr>
    </xdr:pic>
    <xdr:clientData/>
  </xdr:twoCellAnchor>
  <xdr:twoCellAnchor editAs="oneCell">
    <xdr:from>
      <xdr:col>17</xdr:col>
      <xdr:colOff>650302</xdr:colOff>
      <xdr:row>17</xdr:row>
      <xdr:rowOff>41651</xdr:rowOff>
    </xdr:from>
    <xdr:to>
      <xdr:col>17</xdr:col>
      <xdr:colOff>915347</xdr:colOff>
      <xdr:row>17</xdr:row>
      <xdr:rowOff>190367</xdr:rowOff>
    </xdr:to>
    <xdr:pic>
      <xdr:nvPicPr>
        <xdr:cNvPr id="11" name="Picture 10" descr="Accenture Logo, symbol, meaning, history, PNG, brand">
          <a:extLst>
            <a:ext uri="{FF2B5EF4-FFF2-40B4-BE49-F238E27FC236}">
              <a16:creationId xmlns:a16="http://schemas.microsoft.com/office/drawing/2014/main" id="{C10C21E6-9CD6-4FBD-A7F1-9EE5EBE0EF85}"/>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245876</xdr:colOff>
      <xdr:row>17</xdr:row>
      <xdr:rowOff>36442</xdr:rowOff>
    </xdr:from>
    <xdr:to>
      <xdr:col>18</xdr:col>
      <xdr:colOff>425727</xdr:colOff>
      <xdr:row>18</xdr:row>
      <xdr:rowOff>2365</xdr:rowOff>
    </xdr:to>
    <xdr:pic>
      <xdr:nvPicPr>
        <xdr:cNvPr id="14" name="Picture 13" descr="A black background with a black square&#10;&#10;Description automatically generated with medium confidence">
          <a:extLst>
            <a:ext uri="{FF2B5EF4-FFF2-40B4-BE49-F238E27FC236}">
              <a16:creationId xmlns:a16="http://schemas.microsoft.com/office/drawing/2014/main" id="{00E96154-831D-4F6A-8755-6713BF6719CE}"/>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784733" y="3672271"/>
          <a:ext cx="179851" cy="17819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30443</xdr:rowOff>
    </xdr:to>
    <xdr:pic>
      <xdr:nvPicPr>
        <xdr:cNvPr id="2" name="Picture 1">
          <a:extLst>
            <a:ext uri="{FF2B5EF4-FFF2-40B4-BE49-F238E27FC236}">
              <a16:creationId xmlns:a16="http://schemas.microsoft.com/office/drawing/2014/main" id="{C6C8BE9C-F936-4079-B7F9-4AF095FF0DAC}"/>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736535</xdr:colOff>
      <xdr:row>17</xdr:row>
      <xdr:rowOff>12946</xdr:rowOff>
    </xdr:from>
    <xdr:to>
      <xdr:col>18</xdr:col>
      <xdr:colOff>973502</xdr:colOff>
      <xdr:row>18</xdr:row>
      <xdr:rowOff>28771</xdr:rowOff>
    </xdr:to>
    <xdr:pic>
      <xdr:nvPicPr>
        <xdr:cNvPr id="3" name="Picture 2">
          <a:extLst>
            <a:ext uri="{FF2B5EF4-FFF2-40B4-BE49-F238E27FC236}">
              <a16:creationId xmlns:a16="http://schemas.microsoft.com/office/drawing/2014/main" id="{2BB16032-21F5-41D7-9BF8-396C43E28DF3}"/>
            </a:ext>
          </a:extLst>
        </xdr:cNvPr>
        <xdr:cNvPicPr>
          <a:picLocks noChangeAspect="1"/>
        </xdr:cNvPicPr>
      </xdr:nvPicPr>
      <xdr:blipFill>
        <a:blip xmlns:r="http://schemas.openxmlformats.org/officeDocument/2006/relationships" r:embed="rId2"/>
        <a:stretch>
          <a:fillRect/>
        </a:stretch>
      </xdr:blipFill>
      <xdr:spPr>
        <a:xfrm>
          <a:off x="12280125" y="3657294"/>
          <a:ext cx="236967" cy="231982"/>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B1D28A1C-4BAD-4B61-8C8E-B532C94E9B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53976</xdr:rowOff>
    </xdr:to>
    <xdr:pic>
      <xdr:nvPicPr>
        <xdr:cNvPr id="6" name="Picture 7">
          <a:extLst>
            <a:ext uri="{FF2B5EF4-FFF2-40B4-BE49-F238E27FC236}">
              <a16:creationId xmlns:a16="http://schemas.microsoft.com/office/drawing/2014/main" id="{68C4F200-108E-4772-A701-759E05BAD07F}"/>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7" name="Picture 8">
          <a:extLst>
            <a:ext uri="{FF2B5EF4-FFF2-40B4-BE49-F238E27FC236}">
              <a16:creationId xmlns:a16="http://schemas.microsoft.com/office/drawing/2014/main" id="{9C2226AE-2841-47C8-972A-FE6FC44304B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8" name="Picture 9">
          <a:extLst>
            <a:ext uri="{FF2B5EF4-FFF2-40B4-BE49-F238E27FC236}">
              <a16:creationId xmlns:a16="http://schemas.microsoft.com/office/drawing/2014/main" id="{2E230CD8-2C91-4902-A187-0E2C987E7D9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9" name="Picture 10">
          <a:extLst>
            <a:ext uri="{FF2B5EF4-FFF2-40B4-BE49-F238E27FC236}">
              <a16:creationId xmlns:a16="http://schemas.microsoft.com/office/drawing/2014/main" id="{22D80406-0827-40B3-9CB9-2B7C044CC72E}"/>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10" name="Picture 11">
          <a:extLst>
            <a:ext uri="{FF2B5EF4-FFF2-40B4-BE49-F238E27FC236}">
              <a16:creationId xmlns:a16="http://schemas.microsoft.com/office/drawing/2014/main" id="{AC82D20F-C95A-44CE-AEC5-ED7ED60B6CE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1" name="Picture 12">
          <a:extLst>
            <a:ext uri="{FF2B5EF4-FFF2-40B4-BE49-F238E27FC236}">
              <a16:creationId xmlns:a16="http://schemas.microsoft.com/office/drawing/2014/main" id="{C27D2340-ABC6-48B8-9A01-6FA0E619DB60}"/>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183323</xdr:rowOff>
    </xdr:to>
    <xdr:pic>
      <xdr:nvPicPr>
        <xdr:cNvPr id="12" name="Picture 13">
          <a:extLst>
            <a:ext uri="{FF2B5EF4-FFF2-40B4-BE49-F238E27FC236}">
              <a16:creationId xmlns:a16="http://schemas.microsoft.com/office/drawing/2014/main" id="{8D8ACBF6-948A-40F4-8881-FF27FF4205D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193B3988-7B2D-4FFD-ADAA-C5DF643F016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94B3D8DD-B3C3-41CE-9C75-ED4707A5B2F6}"/>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397596</xdr:colOff>
      <xdr:row>16</xdr:row>
      <xdr:rowOff>58867</xdr:rowOff>
    </xdr:to>
    <xdr:pic>
      <xdr:nvPicPr>
        <xdr:cNvPr id="15" name="Picture 16">
          <a:extLst>
            <a:ext uri="{FF2B5EF4-FFF2-40B4-BE49-F238E27FC236}">
              <a16:creationId xmlns:a16="http://schemas.microsoft.com/office/drawing/2014/main" id="{31B99118-A805-41FB-9599-449ECAE396F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6" name="Picture 17">
          <a:extLst>
            <a:ext uri="{FF2B5EF4-FFF2-40B4-BE49-F238E27FC236}">
              <a16:creationId xmlns:a16="http://schemas.microsoft.com/office/drawing/2014/main" id="{8CBB6EAB-7F96-46A0-BC85-038A0EC0511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7" name="Picture 18">
          <a:extLst>
            <a:ext uri="{FF2B5EF4-FFF2-40B4-BE49-F238E27FC236}">
              <a16:creationId xmlns:a16="http://schemas.microsoft.com/office/drawing/2014/main" id="{D5D40BF3-959B-4765-956C-3FBEEE01D8C7}"/>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8" name="Picture 19">
          <a:extLst>
            <a:ext uri="{FF2B5EF4-FFF2-40B4-BE49-F238E27FC236}">
              <a16:creationId xmlns:a16="http://schemas.microsoft.com/office/drawing/2014/main" id="{6E13D4B2-9C5E-472B-A64A-7DC227C055AC}"/>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9" name="Picture 20">
          <a:extLst>
            <a:ext uri="{FF2B5EF4-FFF2-40B4-BE49-F238E27FC236}">
              <a16:creationId xmlns:a16="http://schemas.microsoft.com/office/drawing/2014/main" id="{0C4AD0B2-8347-4BC7-815F-772106A1E4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20" name="Picture 21">
          <a:extLst>
            <a:ext uri="{FF2B5EF4-FFF2-40B4-BE49-F238E27FC236}">
              <a16:creationId xmlns:a16="http://schemas.microsoft.com/office/drawing/2014/main" id="{CB287B85-2CB9-446A-BAD3-DCE35299B21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1" name="Picture 22" descr="Related image">
          <a:extLst>
            <a:ext uri="{FF2B5EF4-FFF2-40B4-BE49-F238E27FC236}">
              <a16:creationId xmlns:a16="http://schemas.microsoft.com/office/drawing/2014/main" id="{D82D85EC-7D59-41F3-917A-A394F6510B52}"/>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2" name="Picture 23">
          <a:extLst>
            <a:ext uri="{FF2B5EF4-FFF2-40B4-BE49-F238E27FC236}">
              <a16:creationId xmlns:a16="http://schemas.microsoft.com/office/drawing/2014/main" id="{9DF590A3-9872-42A7-A1D3-897A366B92C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4" name="Picture 3" descr="Squash Racquet Icons - Free SVG &amp; PNG Squash Racquet Images ...">
          <a:extLst>
            <a:ext uri="{FF2B5EF4-FFF2-40B4-BE49-F238E27FC236}">
              <a16:creationId xmlns:a16="http://schemas.microsoft.com/office/drawing/2014/main" id="{3331E53B-43C7-2FBE-757A-F00502842A9B}"/>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1869109" y="315964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F3CA72A0-94AF-41A0-A8C0-D58978B38D6E}"/>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68E7954B-6690-4D37-B250-4B69BC453AB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42115" y="3686572"/>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6F1A657D-8A6A-9CFA-2E77-814799A0D5A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9230" y="3636808"/>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841785</xdr:colOff>
      <xdr:row>6</xdr:row>
      <xdr:rowOff>175458</xdr:rowOff>
    </xdr:from>
    <xdr:to>
      <xdr:col>13</xdr:col>
      <xdr:colOff>1038067</xdr:colOff>
      <xdr:row>7</xdr:row>
      <xdr:rowOff>161198</xdr:rowOff>
    </xdr:to>
    <xdr:pic>
      <xdr:nvPicPr>
        <xdr:cNvPr id="26" name="Picture 25">
          <a:extLst>
            <a:ext uri="{FF2B5EF4-FFF2-40B4-BE49-F238E27FC236}">
              <a16:creationId xmlns:a16="http://schemas.microsoft.com/office/drawing/2014/main" id="{30B4F47D-74C9-D642-31A8-90CAF1E6D6E4}"/>
            </a:ext>
          </a:extLst>
        </xdr:cNvPr>
        <xdr:cNvPicPr>
          <a:picLocks noChangeAspect="1"/>
        </xdr:cNvPicPr>
      </xdr:nvPicPr>
      <xdr:blipFill>
        <a:blip xmlns:r="http://schemas.openxmlformats.org/officeDocument/2006/relationships" r:embed="rId13"/>
        <a:stretch>
          <a:fillRect/>
        </a:stretch>
      </xdr:blipFill>
      <xdr:spPr>
        <a:xfrm>
          <a:off x="6341437" y="1581135"/>
          <a:ext cx="199457" cy="201896"/>
        </a:xfrm>
        <a:prstGeom prst="rect">
          <a:avLst/>
        </a:prstGeom>
      </xdr:spPr>
    </xdr:pic>
    <xdr:clientData/>
  </xdr:twoCellAnchor>
  <xdr:twoCellAnchor editAs="oneCell">
    <xdr:from>
      <xdr:col>13</xdr:col>
      <xdr:colOff>776199</xdr:colOff>
      <xdr:row>8</xdr:row>
      <xdr:rowOff>203516</xdr:rowOff>
    </xdr:from>
    <xdr:to>
      <xdr:col>13</xdr:col>
      <xdr:colOff>981271</xdr:colOff>
      <xdr:row>9</xdr:row>
      <xdr:rowOff>201957</xdr:rowOff>
    </xdr:to>
    <xdr:pic>
      <xdr:nvPicPr>
        <xdr:cNvPr id="27" name="Picture 26">
          <a:extLst>
            <a:ext uri="{FF2B5EF4-FFF2-40B4-BE49-F238E27FC236}">
              <a16:creationId xmlns:a16="http://schemas.microsoft.com/office/drawing/2014/main" id="{DE0BE63E-6039-56CE-120B-6D6A00F44E5D}"/>
            </a:ext>
          </a:extLst>
        </xdr:cNvPr>
        <xdr:cNvPicPr>
          <a:picLocks noChangeAspect="1"/>
        </xdr:cNvPicPr>
      </xdr:nvPicPr>
      <xdr:blipFill>
        <a:blip xmlns:r="http://schemas.openxmlformats.org/officeDocument/2006/relationships" r:embed="rId14"/>
        <a:stretch>
          <a:fillRect/>
        </a:stretch>
      </xdr:blipFill>
      <xdr:spPr>
        <a:xfrm>
          <a:off x="6275851" y="2030423"/>
          <a:ext cx="208247" cy="208247"/>
        </a:xfrm>
        <a:prstGeom prst="rect">
          <a:avLst/>
        </a:prstGeom>
      </xdr:spPr>
    </xdr:pic>
    <xdr:clientData/>
  </xdr:twoCellAnchor>
  <xdr:twoCellAnchor editAs="oneCell">
    <xdr:from>
      <xdr:col>13</xdr:col>
      <xdr:colOff>870858</xdr:colOff>
      <xdr:row>12</xdr:row>
      <xdr:rowOff>9466</xdr:rowOff>
    </xdr:from>
    <xdr:to>
      <xdr:col>13</xdr:col>
      <xdr:colOff>1077549</xdr:colOff>
      <xdr:row>13</xdr:row>
      <xdr:rowOff>0</xdr:rowOff>
    </xdr:to>
    <xdr:pic>
      <xdr:nvPicPr>
        <xdr:cNvPr id="28" name="Picture 27">
          <a:extLst>
            <a:ext uri="{FF2B5EF4-FFF2-40B4-BE49-F238E27FC236}">
              <a16:creationId xmlns:a16="http://schemas.microsoft.com/office/drawing/2014/main" id="{947749AE-FDA0-F16A-0A55-6AB4DE31DC2A}"/>
            </a:ext>
          </a:extLst>
        </xdr:cNvPr>
        <xdr:cNvPicPr>
          <a:picLocks noChangeAspect="1"/>
        </xdr:cNvPicPr>
      </xdr:nvPicPr>
      <xdr:blipFill>
        <a:blip xmlns:r="http://schemas.openxmlformats.org/officeDocument/2006/relationships" r:embed="rId15"/>
        <a:stretch>
          <a:fillRect/>
        </a:stretch>
      </xdr:blipFill>
      <xdr:spPr>
        <a:xfrm>
          <a:off x="6370510" y="2688298"/>
          <a:ext cx="203516" cy="203516"/>
        </a:xfrm>
        <a:prstGeom prst="rect">
          <a:avLst/>
        </a:prstGeom>
      </xdr:spPr>
    </xdr:pic>
    <xdr:clientData/>
  </xdr:twoCellAnchor>
  <xdr:twoCellAnchor editAs="oneCell">
    <xdr:from>
      <xdr:col>9</xdr:col>
      <xdr:colOff>171333</xdr:colOff>
      <xdr:row>14</xdr:row>
      <xdr:rowOff>119269</xdr:rowOff>
    </xdr:from>
    <xdr:to>
      <xdr:col>9</xdr:col>
      <xdr:colOff>371674</xdr:colOff>
      <xdr:row>15</xdr:row>
      <xdr:rowOff>152400</xdr:rowOff>
    </xdr:to>
    <xdr:pic>
      <xdr:nvPicPr>
        <xdr:cNvPr id="29" name="Picture 28">
          <a:extLst>
            <a:ext uri="{FF2B5EF4-FFF2-40B4-BE49-F238E27FC236}">
              <a16:creationId xmlns:a16="http://schemas.microsoft.com/office/drawing/2014/main" id="{ADA47E32-7E61-49A4-AD18-5EAEA5623F2D}"/>
            </a:ext>
          </a:extLst>
        </xdr:cNvPr>
        <xdr:cNvPicPr>
          <a:picLocks noChangeAspect="1"/>
        </xdr:cNvPicPr>
      </xdr:nvPicPr>
      <xdr:blipFill>
        <a:blip xmlns:r="http://schemas.openxmlformats.org/officeDocument/2006/relationships" r:embed="rId15"/>
        <a:stretch>
          <a:fillRect/>
        </a:stretch>
      </xdr:blipFill>
      <xdr:spPr>
        <a:xfrm>
          <a:off x="4080724" y="3224064"/>
          <a:ext cx="203516" cy="203516"/>
        </a:xfrm>
        <a:prstGeom prst="rect">
          <a:avLst/>
        </a:prstGeom>
      </xdr:spPr>
    </xdr:pic>
    <xdr:clientData/>
  </xdr:twoCellAnchor>
  <xdr:twoCellAnchor editAs="oneCell">
    <xdr:from>
      <xdr:col>8</xdr:col>
      <xdr:colOff>171332</xdr:colOff>
      <xdr:row>14</xdr:row>
      <xdr:rowOff>90872</xdr:rowOff>
    </xdr:from>
    <xdr:to>
      <xdr:col>8</xdr:col>
      <xdr:colOff>379579</xdr:colOff>
      <xdr:row>15</xdr:row>
      <xdr:rowOff>125559</xdr:rowOff>
    </xdr:to>
    <xdr:pic>
      <xdr:nvPicPr>
        <xdr:cNvPr id="30" name="Picture 29">
          <a:extLst>
            <a:ext uri="{FF2B5EF4-FFF2-40B4-BE49-F238E27FC236}">
              <a16:creationId xmlns:a16="http://schemas.microsoft.com/office/drawing/2014/main" id="{9E1065FB-2285-4BEB-A879-243B1069CD38}"/>
            </a:ext>
          </a:extLst>
        </xdr:cNvPr>
        <xdr:cNvPicPr>
          <a:picLocks noChangeAspect="1"/>
        </xdr:cNvPicPr>
      </xdr:nvPicPr>
      <xdr:blipFill>
        <a:blip xmlns:r="http://schemas.openxmlformats.org/officeDocument/2006/relationships" r:embed="rId14"/>
        <a:stretch>
          <a:fillRect/>
        </a:stretch>
      </xdr:blipFill>
      <xdr:spPr>
        <a:xfrm>
          <a:off x="3574301" y="3195667"/>
          <a:ext cx="208247" cy="208247"/>
        </a:xfrm>
        <a:prstGeom prst="rect">
          <a:avLst/>
        </a:prstGeom>
      </xdr:spPr>
    </xdr:pic>
    <xdr:clientData/>
  </xdr:twoCellAnchor>
  <xdr:twoCellAnchor editAs="oneCell">
    <xdr:from>
      <xdr:col>7</xdr:col>
      <xdr:colOff>156458</xdr:colOff>
      <xdr:row>14</xdr:row>
      <xdr:rowOff>86479</xdr:rowOff>
    </xdr:from>
    <xdr:to>
      <xdr:col>7</xdr:col>
      <xdr:colOff>352740</xdr:colOff>
      <xdr:row>15</xdr:row>
      <xdr:rowOff>121165</xdr:rowOff>
    </xdr:to>
    <xdr:pic>
      <xdr:nvPicPr>
        <xdr:cNvPr id="31" name="Picture 30">
          <a:extLst>
            <a:ext uri="{FF2B5EF4-FFF2-40B4-BE49-F238E27FC236}">
              <a16:creationId xmlns:a16="http://schemas.microsoft.com/office/drawing/2014/main" id="{B89F9947-8E40-4690-A8C3-BCE46D47E1ED}"/>
            </a:ext>
          </a:extLst>
        </xdr:cNvPr>
        <xdr:cNvPicPr>
          <a:picLocks noChangeAspect="1"/>
        </xdr:cNvPicPr>
      </xdr:nvPicPr>
      <xdr:blipFill>
        <a:blip xmlns:r="http://schemas.openxmlformats.org/officeDocument/2006/relationships" r:embed="rId13"/>
        <a:stretch>
          <a:fillRect/>
        </a:stretch>
      </xdr:blipFill>
      <xdr:spPr>
        <a:xfrm>
          <a:off x="3053005" y="3191274"/>
          <a:ext cx="199457" cy="201896"/>
        </a:xfrm>
        <a:prstGeom prst="rect">
          <a:avLst/>
        </a:prstGeom>
      </xdr:spPr>
    </xdr:pic>
    <xdr:clientData/>
  </xdr:twoCellAnchor>
  <xdr:twoCellAnchor editAs="oneCell">
    <xdr:from>
      <xdr:col>17</xdr:col>
      <xdr:colOff>113862</xdr:colOff>
      <xdr:row>17</xdr:row>
      <xdr:rowOff>48615</xdr:rowOff>
    </xdr:from>
    <xdr:to>
      <xdr:col>17</xdr:col>
      <xdr:colOff>316494</xdr:colOff>
      <xdr:row>18</xdr:row>
      <xdr:rowOff>37529</xdr:rowOff>
    </xdr:to>
    <xdr:pic>
      <xdr:nvPicPr>
        <xdr:cNvPr id="32" name="Picture 31">
          <a:extLst>
            <a:ext uri="{FF2B5EF4-FFF2-40B4-BE49-F238E27FC236}">
              <a16:creationId xmlns:a16="http://schemas.microsoft.com/office/drawing/2014/main" id="{F175C4C6-1E8F-4CF4-BDFD-5D30E2D75B64}"/>
            </a:ext>
          </a:extLst>
        </xdr:cNvPr>
        <xdr:cNvPicPr>
          <a:picLocks noChangeAspect="1"/>
        </xdr:cNvPicPr>
      </xdr:nvPicPr>
      <xdr:blipFill>
        <a:blip xmlns:r="http://schemas.openxmlformats.org/officeDocument/2006/relationships" r:embed="rId13"/>
        <a:stretch>
          <a:fillRect/>
        </a:stretch>
      </xdr:blipFill>
      <xdr:spPr>
        <a:xfrm>
          <a:off x="10710868" y="3692963"/>
          <a:ext cx="199457" cy="201896"/>
        </a:xfrm>
        <a:prstGeom prst="rect">
          <a:avLst/>
        </a:prstGeom>
      </xdr:spPr>
    </xdr:pic>
    <xdr:clientData/>
  </xdr:twoCellAnchor>
  <xdr:twoCellAnchor editAs="oneCell">
    <xdr:from>
      <xdr:col>18</xdr:col>
      <xdr:colOff>213928</xdr:colOff>
      <xdr:row>17</xdr:row>
      <xdr:rowOff>34077</xdr:rowOff>
    </xdr:from>
    <xdr:to>
      <xdr:col>18</xdr:col>
      <xdr:colOff>422175</xdr:colOff>
      <xdr:row>18</xdr:row>
      <xdr:rowOff>26167</xdr:rowOff>
    </xdr:to>
    <xdr:pic>
      <xdr:nvPicPr>
        <xdr:cNvPr id="33" name="Picture 32">
          <a:extLst>
            <a:ext uri="{FF2B5EF4-FFF2-40B4-BE49-F238E27FC236}">
              <a16:creationId xmlns:a16="http://schemas.microsoft.com/office/drawing/2014/main" id="{2738DF8C-9BC7-460C-A900-6F114875C632}"/>
            </a:ext>
          </a:extLst>
        </xdr:cNvPr>
        <xdr:cNvPicPr>
          <a:picLocks noChangeAspect="1"/>
        </xdr:cNvPicPr>
      </xdr:nvPicPr>
      <xdr:blipFill>
        <a:blip xmlns:r="http://schemas.openxmlformats.org/officeDocument/2006/relationships" r:embed="rId14"/>
        <a:stretch>
          <a:fillRect/>
        </a:stretch>
      </xdr:blipFill>
      <xdr:spPr>
        <a:xfrm>
          <a:off x="11757518" y="3678425"/>
          <a:ext cx="208247" cy="208247"/>
        </a:xfrm>
        <a:prstGeom prst="rect">
          <a:avLst/>
        </a:prstGeom>
      </xdr:spPr>
    </xdr:pic>
    <xdr:clientData/>
  </xdr:twoCellAnchor>
  <xdr:twoCellAnchor editAs="oneCell">
    <xdr:from>
      <xdr:col>19</xdr:col>
      <xdr:colOff>322787</xdr:colOff>
      <xdr:row>17</xdr:row>
      <xdr:rowOff>34076</xdr:rowOff>
    </xdr:from>
    <xdr:to>
      <xdr:col>19</xdr:col>
      <xdr:colOff>523128</xdr:colOff>
      <xdr:row>18</xdr:row>
      <xdr:rowOff>27785</xdr:rowOff>
    </xdr:to>
    <xdr:pic>
      <xdr:nvPicPr>
        <xdr:cNvPr id="34" name="Picture 33">
          <a:extLst>
            <a:ext uri="{FF2B5EF4-FFF2-40B4-BE49-F238E27FC236}">
              <a16:creationId xmlns:a16="http://schemas.microsoft.com/office/drawing/2014/main" id="{74DBB5EF-7B83-4FB1-A331-2937E12553AD}"/>
            </a:ext>
          </a:extLst>
        </xdr:cNvPr>
        <xdr:cNvPicPr>
          <a:picLocks noChangeAspect="1"/>
        </xdr:cNvPicPr>
      </xdr:nvPicPr>
      <xdr:blipFill>
        <a:blip xmlns:r="http://schemas.openxmlformats.org/officeDocument/2006/relationships" r:embed="rId15"/>
        <a:stretch>
          <a:fillRect/>
        </a:stretch>
      </xdr:blipFill>
      <xdr:spPr>
        <a:xfrm>
          <a:off x="12997544" y="3678424"/>
          <a:ext cx="203516" cy="203516"/>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0108A063-F134-4527-AD4E-8B3FE080323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5234" y="3326338"/>
          <a:ext cx="170700" cy="149245"/>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381AD092-1C31-44C7-A8A2-163FBDA5D1A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795" y="3289422"/>
          <a:ext cx="170700" cy="149245"/>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ED381A9C-FC43-4F1D-927A-88F48D8D786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8311" y="3830858"/>
          <a:ext cx="206407" cy="2165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D37FB71-7B75-496C-B3E9-6EF787A63AD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11295" y="2479196"/>
          <a:ext cx="180225" cy="180481"/>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3CEDC264-300F-40CC-A9FE-90DA3C9931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9422" y="2489609"/>
          <a:ext cx="180225" cy="180481"/>
        </a:xfrm>
        <a:prstGeom prst="rect">
          <a:avLst/>
        </a:prstGeom>
      </xdr:spPr>
    </xdr:pic>
    <xdr:clientData/>
  </xdr:twoCellAnchor>
  <xdr:twoCellAnchor editAs="oneCell">
    <xdr:from>
      <xdr:col>13</xdr:col>
      <xdr:colOff>1752108</xdr:colOff>
      <xdr:row>17</xdr:row>
      <xdr:rowOff>9099</xdr:rowOff>
    </xdr:from>
    <xdr:to>
      <xdr:col>14</xdr:col>
      <xdr:colOff>179692</xdr:colOff>
      <xdr:row>18</xdr:row>
      <xdr:rowOff>10693</xdr:rowOff>
    </xdr:to>
    <xdr:pic>
      <xdr:nvPicPr>
        <xdr:cNvPr id="40" name="Picture 22" descr="Related image">
          <a:extLst>
            <a:ext uri="{FF2B5EF4-FFF2-40B4-BE49-F238E27FC236}">
              <a16:creationId xmlns:a16="http://schemas.microsoft.com/office/drawing/2014/main" id="{1D117DED-00BC-42B9-9844-FBACF2BCCB8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973219" y="3701506"/>
          <a:ext cx="206407" cy="2100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39F2946-A9ED-4CAB-B317-2AA15DD8E57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50981" y="3359978"/>
          <a:ext cx="170700" cy="149245"/>
        </a:xfrm>
        <a:prstGeom prst="rect">
          <a:avLst/>
        </a:prstGeom>
      </xdr:spPr>
    </xdr:pic>
    <xdr:clientData/>
  </xdr:twoCellAnchor>
  <xdr:twoCellAnchor editAs="oneCell">
    <xdr:from>
      <xdr:col>8</xdr:col>
      <xdr:colOff>114174</xdr:colOff>
      <xdr:row>15</xdr:row>
      <xdr:rowOff>3492</xdr:rowOff>
    </xdr:from>
    <xdr:to>
      <xdr:col>8</xdr:col>
      <xdr:colOff>202163</xdr:colOff>
      <xdr:row>15</xdr:row>
      <xdr:rowOff>146180</xdr:rowOff>
    </xdr:to>
    <xdr:pic>
      <xdr:nvPicPr>
        <xdr:cNvPr id="42" name="Picture 17">
          <a:extLst>
            <a:ext uri="{FF2B5EF4-FFF2-40B4-BE49-F238E27FC236}">
              <a16:creationId xmlns:a16="http://schemas.microsoft.com/office/drawing/2014/main" id="{CB41DF3D-BB3E-431B-9D15-0001806FC41C}"/>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526068" y="3269206"/>
          <a:ext cx="87989" cy="142688"/>
        </a:xfrm>
        <a:prstGeom prst="rect">
          <a:avLst/>
        </a:prstGeom>
      </xdr:spPr>
    </xdr:pic>
    <xdr:clientData/>
  </xdr:twoCellAnchor>
  <xdr:twoCellAnchor editAs="oneCell">
    <xdr:from>
      <xdr:col>13</xdr:col>
      <xdr:colOff>1022354</xdr:colOff>
      <xdr:row>9</xdr:row>
      <xdr:rowOff>19042</xdr:rowOff>
    </xdr:from>
    <xdr:to>
      <xdr:col>13</xdr:col>
      <xdr:colOff>1110343</xdr:colOff>
      <xdr:row>9</xdr:row>
      <xdr:rowOff>161730</xdr:rowOff>
    </xdr:to>
    <xdr:pic>
      <xdr:nvPicPr>
        <xdr:cNvPr id="43" name="Picture 17">
          <a:extLst>
            <a:ext uri="{FF2B5EF4-FFF2-40B4-BE49-F238E27FC236}">
              <a16:creationId xmlns:a16="http://schemas.microsoft.com/office/drawing/2014/main" id="{D4412BCF-D368-43A2-B23D-93E015D8382D}"/>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539856" y="2059336"/>
          <a:ext cx="87989" cy="142688"/>
        </a:xfrm>
        <a:prstGeom prst="rect">
          <a:avLst/>
        </a:prstGeom>
      </xdr:spPr>
    </xdr:pic>
    <xdr:clientData/>
  </xdr:twoCellAnchor>
  <xdr:twoCellAnchor editAs="oneCell">
    <xdr:from>
      <xdr:col>18</xdr:col>
      <xdr:colOff>690466</xdr:colOff>
      <xdr:row>17</xdr:row>
      <xdr:rowOff>133738</xdr:rowOff>
    </xdr:from>
    <xdr:to>
      <xdr:col>18</xdr:col>
      <xdr:colOff>778455</xdr:colOff>
      <xdr:row>18</xdr:row>
      <xdr:rowOff>64933</xdr:rowOff>
    </xdr:to>
    <xdr:pic>
      <xdr:nvPicPr>
        <xdr:cNvPr id="45" name="Picture 17">
          <a:extLst>
            <a:ext uri="{FF2B5EF4-FFF2-40B4-BE49-F238E27FC236}">
              <a16:creationId xmlns:a16="http://schemas.microsoft.com/office/drawing/2014/main" id="{D7E9A3C2-F5E0-4A29-9DD9-3D78CEBB9824}"/>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12266645" y="3769567"/>
          <a:ext cx="87989" cy="142688"/>
        </a:xfrm>
        <a:prstGeom prst="rect">
          <a:avLst/>
        </a:prstGeom>
      </xdr:spPr>
    </xdr:pic>
    <xdr:clientData/>
  </xdr:twoCellAnchor>
  <xdr:twoCellAnchor editAs="oneCell">
    <xdr:from>
      <xdr:col>6</xdr:col>
      <xdr:colOff>166489</xdr:colOff>
      <xdr:row>14</xdr:row>
      <xdr:rowOff>108857</xdr:rowOff>
    </xdr:from>
    <xdr:to>
      <xdr:col>6</xdr:col>
      <xdr:colOff>339380</xdr:colOff>
      <xdr:row>15</xdr:row>
      <xdr:rowOff>115261</xdr:rowOff>
    </xdr:to>
    <xdr:pic>
      <xdr:nvPicPr>
        <xdr:cNvPr id="44" name="Picture 43" descr="A black background with a black square&#10;&#10;Description automatically generated with medium confidence">
          <a:extLst>
            <a:ext uri="{FF2B5EF4-FFF2-40B4-BE49-F238E27FC236}">
              <a16:creationId xmlns:a16="http://schemas.microsoft.com/office/drawing/2014/main" id="{B074245E-AA75-9269-7118-6156A3D81EB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567749" y="3201681"/>
          <a:ext cx="172891" cy="172891"/>
        </a:xfrm>
        <a:prstGeom prst="rect">
          <a:avLst/>
        </a:prstGeom>
      </xdr:spPr>
    </xdr:pic>
    <xdr:clientData/>
  </xdr:twoCellAnchor>
  <xdr:twoCellAnchor editAs="oneCell">
    <xdr:from>
      <xdr:col>16</xdr:col>
      <xdr:colOff>113981</xdr:colOff>
      <xdr:row>17</xdr:row>
      <xdr:rowOff>49946</xdr:rowOff>
    </xdr:from>
    <xdr:to>
      <xdr:col>16</xdr:col>
      <xdr:colOff>286872</xdr:colOff>
      <xdr:row>18</xdr:row>
      <xdr:rowOff>11527</xdr:rowOff>
    </xdr:to>
    <xdr:pic>
      <xdr:nvPicPr>
        <xdr:cNvPr id="46" name="Picture 45" descr="A black background with a black square&#10;&#10;Description automatically generated with medium confidence">
          <a:extLst>
            <a:ext uri="{FF2B5EF4-FFF2-40B4-BE49-F238E27FC236}">
              <a16:creationId xmlns:a16="http://schemas.microsoft.com/office/drawing/2014/main" id="{61EDF4D4-FA31-4078-A9F7-E08B71BAD92B}"/>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9712620" y="3680652"/>
          <a:ext cx="172891" cy="172891"/>
        </a:xfrm>
        <a:prstGeom prst="rect">
          <a:avLst/>
        </a:prstGeom>
      </xdr:spPr>
    </xdr:pic>
    <xdr:clientData/>
  </xdr:twoCellAnchor>
  <xdr:twoCellAnchor editAs="oneCell">
    <xdr:from>
      <xdr:col>13</xdr:col>
      <xdr:colOff>836280</xdr:colOff>
      <xdr:row>10</xdr:row>
      <xdr:rowOff>23052</xdr:rowOff>
    </xdr:from>
    <xdr:to>
      <xdr:col>13</xdr:col>
      <xdr:colOff>1009171</xdr:colOff>
      <xdr:row>10</xdr:row>
      <xdr:rowOff>195943</xdr:rowOff>
    </xdr:to>
    <xdr:pic>
      <xdr:nvPicPr>
        <xdr:cNvPr id="47" name="Picture 46" descr="A black background with a black square&#10;&#10;Description automatically generated with medium confidence">
          <a:extLst>
            <a:ext uri="{FF2B5EF4-FFF2-40B4-BE49-F238E27FC236}">
              <a16:creationId xmlns:a16="http://schemas.microsoft.com/office/drawing/2014/main" id="{62FA1571-6CE8-4B36-B53B-6AF0647FA341}"/>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6355978" y="2270632"/>
          <a:ext cx="172891" cy="172891"/>
        </a:xfrm>
        <a:prstGeom prst="rect">
          <a:avLst/>
        </a:prstGeom>
      </xdr:spPr>
    </xdr:pic>
    <xdr:clientData/>
  </xdr:twoCellAnchor>
  <xdr:twoCellAnchor editAs="oneCell">
    <xdr:from>
      <xdr:col>28</xdr:col>
      <xdr:colOff>497808</xdr:colOff>
      <xdr:row>34</xdr:row>
      <xdr:rowOff>186789</xdr:rowOff>
    </xdr:from>
    <xdr:to>
      <xdr:col>32</xdr:col>
      <xdr:colOff>386370</xdr:colOff>
      <xdr:row>68</xdr:row>
      <xdr:rowOff>101436</xdr:rowOff>
    </xdr:to>
    <xdr:pic>
      <xdr:nvPicPr>
        <xdr:cNvPr id="49" name="Picture 48">
          <a:extLst>
            <a:ext uri="{FF2B5EF4-FFF2-40B4-BE49-F238E27FC236}">
              <a16:creationId xmlns:a16="http://schemas.microsoft.com/office/drawing/2014/main" id="{0D22C846-F974-6190-F1B6-AED385B84168}"/>
            </a:ext>
          </a:extLst>
        </xdr:cNvPr>
        <xdr:cNvPicPr>
          <a:picLocks noChangeAspect="1"/>
        </xdr:cNvPicPr>
      </xdr:nvPicPr>
      <xdr:blipFill rotWithShape="1">
        <a:blip xmlns:r="http://schemas.openxmlformats.org/officeDocument/2006/relationships" r:embed="rId17">
          <a:extLst>
            <a:ext uri="{28A0092B-C50C-407E-A947-70E740481C1C}">
              <a14:useLocalDpi xmlns:a14="http://schemas.microsoft.com/office/drawing/2010/main" val="0"/>
            </a:ext>
          </a:extLst>
        </a:blip>
        <a:srcRect t="10644" b="17791"/>
        <a:stretch/>
      </xdr:blipFill>
      <xdr:spPr>
        <a:xfrm>
          <a:off x="24288043" y="7064582"/>
          <a:ext cx="4549625" cy="698046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F52F2CE-3F01-462C-84C8-0C0A1A09FD94}"/>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623482B2-DC2B-41DC-B8F0-F0D03E5459F9}"/>
            </a:ext>
          </a:extLst>
        </xdr:cNvPr>
        <xdr:cNvPicPr>
          <a:picLocks noChangeAspect="1"/>
        </xdr:cNvPicPr>
      </xdr:nvPicPr>
      <xdr:blipFill>
        <a:blip xmlns:r="http://schemas.openxmlformats.org/officeDocument/2006/relationships" r:embed="rId2"/>
        <a:stretch>
          <a:fillRect/>
        </a:stretch>
      </xdr:blipFill>
      <xdr:spPr>
        <a:xfrm>
          <a:off x="12237529" y="3658241"/>
          <a:ext cx="236967" cy="231271"/>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A4D96D8E-AA27-4F20-A7C2-F3103B245109}"/>
            </a:ext>
          </a:extLst>
        </xdr:cNvPr>
        <xdr:cNvSpPr>
          <a:spLocks noChangeAspect="1" noChangeArrowheads="1"/>
        </xdr:cNvSpPr>
      </xdr:nvSpPr>
      <xdr:spPr bwMode="auto">
        <a:xfrm>
          <a:off x="20699186" y="6123214"/>
          <a:ext cx="5029340" cy="452029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1A4D6CE7-B649-4B9E-875B-3EFEA7772BA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6" name="Picture 7">
          <a:extLst>
            <a:ext uri="{FF2B5EF4-FFF2-40B4-BE49-F238E27FC236}">
              <a16:creationId xmlns:a16="http://schemas.microsoft.com/office/drawing/2014/main" id="{715A8079-C9C6-4F24-9895-F58BED38393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7" name="Picture 8">
          <a:extLst>
            <a:ext uri="{FF2B5EF4-FFF2-40B4-BE49-F238E27FC236}">
              <a16:creationId xmlns:a16="http://schemas.microsoft.com/office/drawing/2014/main" id="{49485B25-EE37-49E0-B364-5F0100A17CA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8" name="Picture 9">
          <a:extLst>
            <a:ext uri="{FF2B5EF4-FFF2-40B4-BE49-F238E27FC236}">
              <a16:creationId xmlns:a16="http://schemas.microsoft.com/office/drawing/2014/main" id="{8168BBB6-1DC1-49EB-9C1D-C669FB95AD2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9" name="Picture 10">
          <a:extLst>
            <a:ext uri="{FF2B5EF4-FFF2-40B4-BE49-F238E27FC236}">
              <a16:creationId xmlns:a16="http://schemas.microsoft.com/office/drawing/2014/main" id="{7393CE28-B0BA-4027-8FD7-C0161466CF88}"/>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0" name="Picture 11">
          <a:extLst>
            <a:ext uri="{FF2B5EF4-FFF2-40B4-BE49-F238E27FC236}">
              <a16:creationId xmlns:a16="http://schemas.microsoft.com/office/drawing/2014/main" id="{E9F9534F-8B13-4531-9524-0ECB9E83885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1" name="Picture 12">
          <a:extLst>
            <a:ext uri="{FF2B5EF4-FFF2-40B4-BE49-F238E27FC236}">
              <a16:creationId xmlns:a16="http://schemas.microsoft.com/office/drawing/2014/main" id="{1D21C736-918A-40FB-8420-E349D5E92AF7}"/>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2" name="Picture 13">
          <a:extLst>
            <a:ext uri="{FF2B5EF4-FFF2-40B4-BE49-F238E27FC236}">
              <a16:creationId xmlns:a16="http://schemas.microsoft.com/office/drawing/2014/main" id="{561B61BE-C16B-4B98-B7AF-AE79D8F51643}"/>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91D0C9C5-DEAF-489F-9772-2F81CBBB60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04AD6101-32A7-4B32-893C-F89BF13F7E2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5" name="Picture 16">
          <a:extLst>
            <a:ext uri="{FF2B5EF4-FFF2-40B4-BE49-F238E27FC236}">
              <a16:creationId xmlns:a16="http://schemas.microsoft.com/office/drawing/2014/main" id="{BB12CB0C-C246-4CC1-AF9A-77BF1BB0186C}"/>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6" name="Picture 17">
          <a:extLst>
            <a:ext uri="{FF2B5EF4-FFF2-40B4-BE49-F238E27FC236}">
              <a16:creationId xmlns:a16="http://schemas.microsoft.com/office/drawing/2014/main" id="{6C6C70BB-8740-4BC3-9C88-17ADA4A37AA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7" name="Picture 18">
          <a:extLst>
            <a:ext uri="{FF2B5EF4-FFF2-40B4-BE49-F238E27FC236}">
              <a16:creationId xmlns:a16="http://schemas.microsoft.com/office/drawing/2014/main" id="{7455BD75-C2C1-4C13-8175-E89F6A661188}"/>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18" name="Picture 19">
          <a:extLst>
            <a:ext uri="{FF2B5EF4-FFF2-40B4-BE49-F238E27FC236}">
              <a16:creationId xmlns:a16="http://schemas.microsoft.com/office/drawing/2014/main" id="{807DAB63-1405-4408-925C-2639D98DD6D4}"/>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19" name="Picture 20">
          <a:extLst>
            <a:ext uri="{FF2B5EF4-FFF2-40B4-BE49-F238E27FC236}">
              <a16:creationId xmlns:a16="http://schemas.microsoft.com/office/drawing/2014/main" id="{8799F5E6-A6E8-455B-A3E3-107578080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0" name="Picture 21">
          <a:extLst>
            <a:ext uri="{FF2B5EF4-FFF2-40B4-BE49-F238E27FC236}">
              <a16:creationId xmlns:a16="http://schemas.microsoft.com/office/drawing/2014/main" id="{91128EEC-6C40-4555-8CCD-118B4BB2ECD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1" name="Picture 22" descr="Related image">
          <a:extLst>
            <a:ext uri="{FF2B5EF4-FFF2-40B4-BE49-F238E27FC236}">
              <a16:creationId xmlns:a16="http://schemas.microsoft.com/office/drawing/2014/main" id="{73A78EAC-C783-43ED-8A6F-C0692BDF2BBC}"/>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2" name="Picture 23">
          <a:extLst>
            <a:ext uri="{FF2B5EF4-FFF2-40B4-BE49-F238E27FC236}">
              <a16:creationId xmlns:a16="http://schemas.microsoft.com/office/drawing/2014/main" id="{212D41E8-C0A2-490A-944F-58321F4CE3F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2777507" y="3710269"/>
          <a:ext cx="359831" cy="209549"/>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1595272" y="3699062"/>
          <a:ext cx="236967" cy="228550"/>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00000000-0008-0000-0100-000004000000}"/>
            </a:ext>
          </a:extLst>
        </xdr:cNvPr>
        <xdr:cNvSpPr>
          <a:spLocks noChangeAspect="1" noChangeArrowheads="1"/>
        </xdr:cNvSpPr>
      </xdr:nvSpPr>
      <xdr:spPr bwMode="auto">
        <a:xfrm>
          <a:off x="19545300" y="5924550"/>
          <a:ext cx="476128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737238" y="37073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0557498" y="3798820"/>
          <a:ext cx="298824" cy="135006"/>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743247" y="3713594"/>
          <a:ext cx="240992" cy="236864"/>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10" name="Picture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96551" y="2296854"/>
          <a:ext cx="190500" cy="190716"/>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1" name="Picture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1"/>
        <a:stretch>
          <a:fillRect/>
        </a:stretch>
      </xdr:blipFill>
      <xdr:spPr>
        <a:xfrm>
          <a:off x="573410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81051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a:stretch>
          <a:fillRect/>
        </a:stretch>
      </xdr:blipFill>
      <xdr:spPr>
        <a:xfrm>
          <a:off x="578695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4" name="Picture 13">
          <a:extLst>
            <a:ext uri="{FF2B5EF4-FFF2-40B4-BE49-F238E27FC236}">
              <a16:creationId xmlns:a16="http://schemas.microsoft.com/office/drawing/2014/main" id="{00000000-0008-0000-0100-00000E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574737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5" name="Picture 1" descr="https://static.thenounproject.com/png/200330-200.png">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6319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6" name="Picture 1" descr="https://static.thenounproject.com/png/200330-200.png">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30826" y="3386825"/>
          <a:ext cx="207066" cy="21014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7" name="Picture 16">
          <a:extLst>
            <a:ext uri="{FF2B5EF4-FFF2-40B4-BE49-F238E27FC236}">
              <a16:creationId xmlns:a16="http://schemas.microsoft.com/office/drawing/2014/main" id="{00000000-0008-0000-0100-000011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826097" y="3457990"/>
          <a:ext cx="298824" cy="12512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55713" y="3465072"/>
          <a:ext cx="170700" cy="16330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a:stretch>
          <a:fillRect/>
        </a:stretch>
      </xdr:blipFill>
      <xdr:spPr>
        <a:xfrm>
          <a:off x="3803670" y="3443494"/>
          <a:ext cx="259832" cy="15209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a:stretch>
          <a:fillRect/>
        </a:stretch>
      </xdr:blipFill>
      <xdr:spPr>
        <a:xfrm>
          <a:off x="3383341" y="3448154"/>
          <a:ext cx="173639" cy="15825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21" name="Picture 20">
          <a:extLst>
            <a:ext uri="{FF2B5EF4-FFF2-40B4-BE49-F238E27FC236}">
              <a16:creationId xmlns:a16="http://schemas.microsoft.com/office/drawing/2014/main" id="{00000000-0008-0000-0100-000015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415590" y="3422461"/>
          <a:ext cx="190500" cy="17787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977954" y="2519249"/>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3" name="Picture 22" descr="Related image">
          <a:extLst>
            <a:ext uri="{FF2B5EF4-FFF2-40B4-BE49-F238E27FC236}">
              <a16:creationId xmlns:a16="http://schemas.microsoft.com/office/drawing/2014/main" id="{00000000-0008-0000-0100-000017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743206" y="3696291"/>
          <a:ext cx="203232" cy="2036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58634" y="3459865"/>
          <a:ext cx="170700" cy="16330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2763500" y="3641913"/>
          <a:ext cx="359831" cy="212912"/>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11582020" y="3617064"/>
          <a:ext cx="236967" cy="226066"/>
        </a:xfrm>
        <a:prstGeom prst="rect">
          <a:avLst/>
        </a:prstGeom>
      </xdr:spPr>
    </xdr:pic>
    <xdr:clientData/>
  </xdr:twoCellAnchor>
  <xdr:twoCellAnchor editAs="oneCell">
    <xdr:from>
      <xdr:col>26</xdr:col>
      <xdr:colOff>0</xdr:colOff>
      <xdr:row>29</xdr:row>
      <xdr:rowOff>0</xdr:rowOff>
    </xdr:from>
    <xdr:to>
      <xdr:col>32</xdr:col>
      <xdr:colOff>141655</xdr:colOff>
      <xdr:row>50</xdr:row>
      <xdr:rowOff>133350</xdr:rowOff>
    </xdr:to>
    <xdr:sp macro="" textlink="">
      <xdr:nvSpPr>
        <xdr:cNvPr id="1027" name="AutoShape 3" descr="Image result for gurke symbol">
          <a:extLst>
            <a:ext uri="{FF2B5EF4-FFF2-40B4-BE49-F238E27FC236}">
              <a16:creationId xmlns:a16="http://schemas.microsoft.com/office/drawing/2014/main" id="{00000000-0008-0000-0500-000003040000}"/>
            </a:ext>
          </a:extLst>
        </xdr:cNvPr>
        <xdr:cNvSpPr>
          <a:spLocks noChangeAspect="1" noChangeArrowheads="1"/>
        </xdr:cNvSpPr>
      </xdr:nvSpPr>
      <xdr:spPr bwMode="auto">
        <a:xfrm>
          <a:off x="1729740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editAs="oneCell">
    <xdr:from>
      <xdr:col>21</xdr:col>
      <xdr:colOff>0</xdr:colOff>
      <xdr:row>27</xdr:row>
      <xdr:rowOff>0</xdr:rowOff>
    </xdr:from>
    <xdr:to>
      <xdr:col>24</xdr:col>
      <xdr:colOff>2103085</xdr:colOff>
      <xdr:row>48</xdr:row>
      <xdr:rowOff>133350</xdr:rowOff>
    </xdr:to>
    <xdr:sp macro="" textlink="">
      <xdr:nvSpPr>
        <xdr:cNvPr id="1028" name="AutoShape 4" descr="Image result for gurke symbol">
          <a:extLst>
            <a:ext uri="{FF2B5EF4-FFF2-40B4-BE49-F238E27FC236}">
              <a16:creationId xmlns:a16="http://schemas.microsoft.com/office/drawing/2014/main" id="{00000000-0008-0000-0500-000004040000}"/>
            </a:ext>
          </a:extLst>
        </xdr:cNvPr>
        <xdr:cNvSpPr>
          <a:spLocks noChangeAspect="1" noChangeArrowheads="1"/>
        </xdr:cNvSpPr>
      </xdr:nvSpPr>
      <xdr:spPr bwMode="auto">
        <a:xfrm>
          <a:off x="13449300" y="54292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929897</xdr:colOff>
      <xdr:row>17</xdr:row>
      <xdr:rowOff>185018</xdr:rowOff>
    </xdr:from>
    <xdr:to>
      <xdr:col>14</xdr:col>
      <xdr:colOff>1092322</xdr:colOff>
      <xdr:row>19</xdr:row>
      <xdr:rowOff>62244</xdr:rowOff>
    </xdr:to>
    <xdr:pic>
      <xdr:nvPicPr>
        <xdr:cNvPr id="8" name="Picture 7" descr="Related image">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919465" y="3789442"/>
          <a:ext cx="162425" cy="165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27299" y="3625348"/>
          <a:ext cx="240331" cy="2343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18" name="Picture 17">
          <a:extLst>
            <a:ext uri="{FF2B5EF4-FFF2-40B4-BE49-F238E27FC236}">
              <a16:creationId xmlns:a16="http://schemas.microsoft.com/office/drawing/2014/main" id="{00000000-0008-0000-0500-000012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rot="19111093">
          <a:off x="10545074" y="3716822"/>
          <a:ext cx="298824" cy="132522"/>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19" name="Picture 18">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9732065" y="3631596"/>
          <a:ext cx="240992" cy="234380"/>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20" name="Picture 19">
          <a:extLst>
            <a:ext uri="{FF2B5EF4-FFF2-40B4-BE49-F238E27FC236}">
              <a16:creationId xmlns:a16="http://schemas.microsoft.com/office/drawing/2014/main" id="{00000000-0008-0000-0500-000014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82056" y="2298096"/>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21" name="Picture 20">
          <a:extLst>
            <a:ext uri="{FF2B5EF4-FFF2-40B4-BE49-F238E27FC236}">
              <a16:creationId xmlns:a16="http://schemas.microsoft.com/office/drawing/2014/main" id="{00000000-0008-0000-0500-000015000000}"/>
            </a:ext>
          </a:extLst>
        </xdr:cNvPr>
        <xdr:cNvPicPr>
          <a:picLocks noChangeAspect="1"/>
        </xdr:cNvPicPr>
      </xdr:nvPicPr>
      <xdr:blipFill>
        <a:blip xmlns:r="http://schemas.openxmlformats.org/officeDocument/2006/relationships" r:embed="rId1"/>
        <a:stretch>
          <a:fillRect/>
        </a:stretch>
      </xdr:blipFill>
      <xdr:spPr>
        <a:xfrm>
          <a:off x="5719612" y="2716696"/>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22" name="Picture 21">
          <a:extLst>
            <a:ext uri="{FF2B5EF4-FFF2-40B4-BE49-F238E27FC236}">
              <a16:creationId xmlns:a16="http://schemas.microsoft.com/office/drawing/2014/main" id="{00000000-0008-0000-0500-000016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796020" y="2513835"/>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23" name="Picture 22">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2"/>
        <a:stretch>
          <a:fillRect/>
        </a:stretch>
      </xdr:blipFill>
      <xdr:spPr>
        <a:xfrm>
          <a:off x="5772460" y="2091877"/>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4" name="Picture 23">
          <a:extLst>
            <a:ext uri="{FF2B5EF4-FFF2-40B4-BE49-F238E27FC236}">
              <a16:creationId xmlns:a16="http://schemas.microsoft.com/office/drawing/2014/main" id="{00000000-0008-0000-0500-000018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5732878" y="1704148"/>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5" name="Picture 1" descr="https://static.thenounproject.com/png/200330-200.png">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48695" y="186489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7" name="Picture 1" descr="https://static.thenounproject.com/png/200330-200.png">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913847" y="3314352"/>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28" name="Picture 27">
          <a:extLst>
            <a:ext uri="{FF2B5EF4-FFF2-40B4-BE49-F238E27FC236}">
              <a16:creationId xmlns:a16="http://schemas.microsoft.com/office/drawing/2014/main" id="{00000000-0008-0000-0500-00001C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2817400" y="3385517"/>
          <a:ext cx="298824" cy="132522"/>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29" name="Picture 28">
          <a:extLst>
            <a:ext uri="{FF2B5EF4-FFF2-40B4-BE49-F238E27FC236}">
              <a16:creationId xmlns:a16="http://schemas.microsoft.com/office/drawing/2014/main" id="{00000000-0008-0000-0500-00001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59619" y="3406483"/>
          <a:ext cx="170700" cy="16492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30" name="Picture 29">
          <a:extLst>
            <a:ext uri="{FF2B5EF4-FFF2-40B4-BE49-F238E27FC236}">
              <a16:creationId xmlns:a16="http://schemas.microsoft.com/office/drawing/2014/main" id="{00000000-0008-0000-0500-00001E000000}"/>
            </a:ext>
          </a:extLst>
        </xdr:cNvPr>
        <xdr:cNvPicPr>
          <a:picLocks noChangeAspect="1"/>
        </xdr:cNvPicPr>
      </xdr:nvPicPr>
      <xdr:blipFill>
        <a:blip xmlns:r="http://schemas.openxmlformats.org/officeDocument/2006/relationships" r:embed="rId1"/>
        <a:stretch>
          <a:fillRect/>
        </a:stretch>
      </xdr:blipFill>
      <xdr:spPr>
        <a:xfrm>
          <a:off x="3803256" y="3371021"/>
          <a:ext cx="259832" cy="159494"/>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31" name="Picture 30">
          <a:extLst>
            <a:ext uri="{FF2B5EF4-FFF2-40B4-BE49-F238E27FC236}">
              <a16:creationId xmlns:a16="http://schemas.microsoft.com/office/drawing/2014/main" id="{00000000-0008-0000-0500-00001F000000}"/>
            </a:ext>
          </a:extLst>
        </xdr:cNvPr>
        <xdr:cNvPicPr>
          <a:picLocks noChangeAspect="1"/>
        </xdr:cNvPicPr>
      </xdr:nvPicPr>
      <xdr:blipFill>
        <a:blip xmlns:r="http://schemas.openxmlformats.org/officeDocument/2006/relationships" r:embed="rId2"/>
        <a:stretch>
          <a:fillRect/>
        </a:stretch>
      </xdr:blipFill>
      <xdr:spPr>
        <a:xfrm>
          <a:off x="3378786" y="3375681"/>
          <a:ext cx="173639" cy="165651"/>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32" name="Picture 31">
          <a:extLst>
            <a:ext uri="{FF2B5EF4-FFF2-40B4-BE49-F238E27FC236}">
              <a16:creationId xmlns:a16="http://schemas.microsoft.com/office/drawing/2014/main" id="{00000000-0008-0000-0500-000020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402752" y="3349988"/>
          <a:ext cx="190500" cy="185273"/>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6" name="Picture 25">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001595" y="2520688"/>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34" name="Picture 33" descr="Related image">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769999" y="3624065"/>
          <a:ext cx="203232" cy="206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35" name="Picture 34">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62540" y="3401276"/>
          <a:ext cx="170700" cy="16492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2720357" y="3634069"/>
          <a:ext cx="359831" cy="20955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41413</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1538122" y="3622862"/>
          <a:ext cx="236967" cy="228551"/>
        </a:xfrm>
        <a:prstGeom prst="rect">
          <a:avLst/>
        </a:prstGeom>
      </xdr:spPr>
    </xdr:pic>
    <xdr:clientData/>
  </xdr:twoCellAnchor>
  <xdr:twoCellAnchor editAs="oneCell">
    <xdr:from>
      <xdr:col>26</xdr:col>
      <xdr:colOff>0</xdr:colOff>
      <xdr:row>29</xdr:row>
      <xdr:rowOff>0</xdr:rowOff>
    </xdr:from>
    <xdr:to>
      <xdr:col>32</xdr:col>
      <xdr:colOff>190500</xdr:colOff>
      <xdr:row>50</xdr:row>
      <xdr:rowOff>133350</xdr:rowOff>
    </xdr:to>
    <xdr:sp macro="" textlink="">
      <xdr:nvSpPr>
        <xdr:cNvPr id="4" name="AutoShape 3" descr="Image result for gurke symbol">
          <a:extLst>
            <a:ext uri="{FF2B5EF4-FFF2-40B4-BE49-F238E27FC236}">
              <a16:creationId xmlns:a16="http://schemas.microsoft.com/office/drawing/2014/main" id="{00000000-0008-0000-0600-000004000000}"/>
            </a:ext>
          </a:extLst>
        </xdr:cNvPr>
        <xdr:cNvSpPr>
          <a:spLocks noChangeAspect="1" noChangeArrowheads="1"/>
        </xdr:cNvSpPr>
      </xdr:nvSpPr>
      <xdr:spPr bwMode="auto">
        <a:xfrm>
          <a:off x="1701165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27</xdr:row>
      <xdr:rowOff>0</xdr:rowOff>
    </xdr:from>
    <xdr:to>
      <xdr:col>27</xdr:col>
      <xdr:colOff>152399</xdr:colOff>
      <xdr:row>48</xdr:row>
      <xdr:rowOff>133350</xdr:rowOff>
    </xdr:to>
    <xdr:sp macro="" textlink="">
      <xdr:nvSpPr>
        <xdr:cNvPr id="5" name="AutoShape 4" descr="Image result for gurke symbol">
          <a:extLst>
            <a:ext uri="{FF2B5EF4-FFF2-40B4-BE49-F238E27FC236}">
              <a16:creationId xmlns:a16="http://schemas.microsoft.com/office/drawing/2014/main" id="{00000000-0008-0000-0600-000005000000}"/>
            </a:ext>
          </a:extLst>
        </xdr:cNvPr>
        <xdr:cNvSpPr>
          <a:spLocks noChangeAspect="1" noChangeArrowheads="1"/>
        </xdr:cNvSpPr>
      </xdr:nvSpPr>
      <xdr:spPr bwMode="auto">
        <a:xfrm>
          <a:off x="13163550" y="5429250"/>
          <a:ext cx="4762499"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737671</xdr:colOff>
      <xdr:row>17</xdr:row>
      <xdr:rowOff>24848</xdr:rowOff>
    </xdr:from>
    <xdr:to>
      <xdr:col>14</xdr:col>
      <xdr:colOff>1037503</xdr:colOff>
      <xdr:row>19</xdr:row>
      <xdr:rowOff>41687</xdr:rowOff>
    </xdr:to>
    <xdr:pic>
      <xdr:nvPicPr>
        <xdr:cNvPr id="6" name="Picture 5" descr="Related image">
          <a:extLst>
            <a:ext uri="{FF2B5EF4-FFF2-40B4-BE49-F238E27FC236}">
              <a16:creationId xmlns:a16="http://schemas.microsoft.com/office/drawing/2014/main" id="{00000000-0008-0000-0600-000006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643296" y="3625298"/>
          <a:ext cx="299832" cy="30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680088" y="36311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583407</xdr:colOff>
      <xdr:row>7</xdr:row>
      <xdr:rowOff>14520</xdr:rowOff>
    </xdr:from>
    <xdr:to>
      <xdr:col>3</xdr:col>
      <xdr:colOff>773907</xdr:colOff>
      <xdr:row>7</xdr:row>
      <xdr:rowOff>199793</xdr:rowOff>
    </xdr:to>
    <xdr:pic>
      <xdr:nvPicPr>
        <xdr:cNvPr id="8" name="Picture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50132" y="1662345"/>
          <a:ext cx="190500" cy="185273"/>
        </a:xfrm>
        <a:prstGeom prst="rect">
          <a:avLst/>
        </a:prstGeom>
      </xdr:spPr>
    </xdr:pic>
    <xdr:clientData/>
  </xdr:twoCellAnchor>
  <xdr:twoCellAnchor editAs="oneCell">
    <xdr:from>
      <xdr:col>3</xdr:col>
      <xdr:colOff>583407</xdr:colOff>
      <xdr:row>9</xdr:row>
      <xdr:rowOff>61563</xdr:rowOff>
    </xdr:from>
    <xdr:to>
      <xdr:col>3</xdr:col>
      <xdr:colOff>745332</xdr:colOff>
      <xdr:row>9</xdr:row>
      <xdr:rowOff>160959</xdr:rowOff>
    </xdr:to>
    <xdr:pic>
      <xdr:nvPicPr>
        <xdr:cNvPr id="9" name="Picture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1"/>
        <a:stretch>
          <a:fillRect/>
        </a:stretch>
      </xdr:blipFill>
      <xdr:spPr>
        <a:xfrm>
          <a:off x="1050132" y="2128488"/>
          <a:ext cx="161925" cy="99396"/>
        </a:xfrm>
        <a:prstGeom prst="rect">
          <a:avLst/>
        </a:prstGeom>
      </xdr:spPr>
    </xdr:pic>
    <xdr:clientData/>
  </xdr:twoCellAnchor>
  <xdr:twoCellAnchor editAs="oneCell">
    <xdr:from>
      <xdr:col>3</xdr:col>
      <xdr:colOff>564240</xdr:colOff>
      <xdr:row>10</xdr:row>
      <xdr:rowOff>17133</xdr:rowOff>
    </xdr:from>
    <xdr:to>
      <xdr:col>3</xdr:col>
      <xdr:colOff>734940</xdr:colOff>
      <xdr:row>10</xdr:row>
      <xdr:rowOff>187833</xdr:rowOff>
    </xdr:to>
    <xdr:pic>
      <xdr:nvPicPr>
        <xdr:cNvPr id="10" name="Picture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30965" y="2293608"/>
          <a:ext cx="170700" cy="170700"/>
        </a:xfrm>
        <a:prstGeom prst="rect">
          <a:avLst/>
        </a:prstGeom>
      </xdr:spPr>
    </xdr:pic>
    <xdr:clientData/>
  </xdr:twoCellAnchor>
  <xdr:twoCellAnchor editAs="oneCell">
    <xdr:from>
      <xdr:col>3</xdr:col>
      <xdr:colOff>583406</xdr:colOff>
      <xdr:row>8</xdr:row>
      <xdr:rowOff>35719</xdr:rowOff>
    </xdr:from>
    <xdr:to>
      <xdr:col>3</xdr:col>
      <xdr:colOff>757045</xdr:colOff>
      <xdr:row>8</xdr:row>
      <xdr:rowOff>201370</xdr:rowOff>
    </xdr:to>
    <xdr:pic>
      <xdr:nvPicPr>
        <xdr:cNvPr id="11" name="Picture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2"/>
        <a:stretch>
          <a:fillRect/>
        </a:stretch>
      </xdr:blipFill>
      <xdr:spPr>
        <a:xfrm>
          <a:off x="1050131" y="1893094"/>
          <a:ext cx="173639" cy="165651"/>
        </a:xfrm>
        <a:prstGeom prst="rect">
          <a:avLst/>
        </a:prstGeom>
      </xdr:spPr>
    </xdr:pic>
    <xdr:clientData/>
  </xdr:twoCellAnchor>
  <xdr:twoCellAnchor editAs="oneCell">
    <xdr:from>
      <xdr:col>3</xdr:col>
      <xdr:colOff>476250</xdr:colOff>
      <xdr:row>11</xdr:row>
      <xdr:rowOff>33687</xdr:rowOff>
    </xdr:from>
    <xdr:to>
      <xdr:col>3</xdr:col>
      <xdr:colOff>775074</xdr:colOff>
      <xdr:row>11</xdr:row>
      <xdr:rowOff>166209</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942975" y="2519712"/>
          <a:ext cx="298824" cy="132522"/>
        </a:xfrm>
        <a:prstGeom prst="rect">
          <a:avLst/>
        </a:prstGeom>
      </xdr:spPr>
    </xdr:pic>
    <xdr:clientData/>
  </xdr:twoCellAnchor>
  <xdr:twoCellAnchor>
    <xdr:from>
      <xdr:col>3</xdr:col>
      <xdr:colOff>550045</xdr:colOff>
      <xdr:row>12</xdr:row>
      <xdr:rowOff>1915</xdr:rowOff>
    </xdr:from>
    <xdr:to>
      <xdr:col>3</xdr:col>
      <xdr:colOff>757111</xdr:colOff>
      <xdr:row>12</xdr:row>
      <xdr:rowOff>205847</xdr:rowOff>
    </xdr:to>
    <xdr:pic>
      <xdr:nvPicPr>
        <xdr:cNvPr id="13" name="Picture 1" descr="https://static.thenounproject.com/png/200330-200.png">
          <a:extLst>
            <a:ext uri="{FF2B5EF4-FFF2-40B4-BE49-F238E27FC236}">
              <a16:creationId xmlns:a16="http://schemas.microsoft.com/office/drawing/2014/main" id="{00000000-0008-0000-0600-00000D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16770" y="2697490"/>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47627</xdr:rowOff>
    </xdr:to>
    <xdr:pic>
      <xdr:nvPicPr>
        <xdr:cNvPr id="14" name="Picture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rot="19111093">
          <a:off x="10500348" y="3722620"/>
          <a:ext cx="298824" cy="13500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64259</xdr:rowOff>
    </xdr:to>
    <xdr:pic>
      <xdr:nvPicPr>
        <xdr:cNvPr id="15" name="Picture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686097" y="3637394"/>
          <a:ext cx="240992" cy="236865"/>
        </a:xfrm>
        <a:prstGeom prst="rect">
          <a:avLst/>
        </a:prstGeom>
      </xdr:spPr>
    </xdr:pic>
    <xdr:clientData/>
  </xdr:twoCellAnchor>
  <xdr:twoCellAnchor editAs="oneCell">
    <xdr:from>
      <xdr:col>13</xdr:col>
      <xdr:colOff>605426</xdr:colOff>
      <xdr:row>10</xdr:row>
      <xdr:rowOff>20379</xdr:rowOff>
    </xdr:from>
    <xdr:to>
      <xdr:col>13</xdr:col>
      <xdr:colOff>795926</xdr:colOff>
      <xdr:row>10</xdr:row>
      <xdr:rowOff>205652</xdr:rowOff>
    </xdr:to>
    <xdr:pic>
      <xdr:nvPicPr>
        <xdr:cNvPr id="16" name="Picture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739401" y="2296854"/>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7" name="Picture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
        <a:stretch>
          <a:fillRect/>
        </a:stretch>
      </xdr:blipFill>
      <xdr:spPr>
        <a:xfrm>
          <a:off x="567695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8" name="Picture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5336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9" name="Picture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2"/>
        <a:stretch>
          <a:fillRect/>
        </a:stretch>
      </xdr:blipFill>
      <xdr:spPr>
        <a:xfrm>
          <a:off x="572980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569022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1" name="Picture 1" descr="https://static.thenounproject.com/png/200330-200.png">
          <a:extLst>
            <a:ext uri="{FF2B5EF4-FFF2-40B4-BE49-F238E27FC236}">
              <a16:creationId xmlns:a16="http://schemas.microsoft.com/office/drawing/2014/main" id="{00000000-0008-0000-0600-000015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0604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2" name="Picture 1" descr="https://static.thenounproject.com/png/200330-200.png">
          <a:extLst>
            <a:ext uri="{FF2B5EF4-FFF2-40B4-BE49-F238E27FC236}">
              <a16:creationId xmlns:a16="http://schemas.microsoft.com/office/drawing/2014/main" id="{00000000-0008-0000-0600-000016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902251" y="3320150"/>
          <a:ext cx="207066" cy="20061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72474</xdr:rowOff>
    </xdr:to>
    <xdr:pic>
      <xdr:nvPicPr>
        <xdr:cNvPr id="23" name="Picture 22">
          <a:extLst>
            <a:ext uri="{FF2B5EF4-FFF2-40B4-BE49-F238E27FC236}">
              <a16:creationId xmlns:a16="http://schemas.microsoft.com/office/drawing/2014/main" id="{00000000-0008-0000-0600-000017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2797522" y="3391315"/>
          <a:ext cx="298824" cy="129209"/>
        </a:xfrm>
        <a:prstGeom prst="rect">
          <a:avLst/>
        </a:prstGeom>
      </xdr:spPr>
    </xdr:pic>
    <xdr:clientData/>
  </xdr:twoCellAnchor>
  <xdr:twoCellAnchor editAs="oneCell">
    <xdr:from>
      <xdr:col>4</xdr:col>
      <xdr:colOff>161705</xdr:colOff>
      <xdr:row>15</xdr:row>
      <xdr:rowOff>144685</xdr:rowOff>
    </xdr:from>
    <xdr:to>
      <xdr:col>4</xdr:col>
      <xdr:colOff>332405</xdr:colOff>
      <xdr:row>16</xdr:row>
      <xdr:rowOff>83472</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8055" y="3364135"/>
          <a:ext cx="170700" cy="167387"/>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84950</xdr:rowOff>
    </xdr:to>
    <xdr:pic>
      <xdr:nvPicPr>
        <xdr:cNvPr id="25" name="Picture 24">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1"/>
        <a:stretch>
          <a:fillRect/>
        </a:stretch>
      </xdr:blipFill>
      <xdr:spPr>
        <a:xfrm>
          <a:off x="3775095" y="3376819"/>
          <a:ext cx="259832" cy="156181"/>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95767</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2"/>
        <a:stretch>
          <a:fillRect/>
        </a:stretch>
      </xdr:blipFill>
      <xdr:spPr>
        <a:xfrm>
          <a:off x="3354766" y="3381479"/>
          <a:ext cx="173639" cy="162338"/>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89696</xdr:rowOff>
    </xdr:to>
    <xdr:pic>
      <xdr:nvPicPr>
        <xdr:cNvPr id="27" name="Picture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387015" y="3355786"/>
          <a:ext cx="190500" cy="181960"/>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03.542"/>
    </inkml:context>
    <inkml:brush xml:id="br0">
      <inkml:brushProperty name="width" value="0.05" units="cm"/>
      <inkml:brushProperty name="height" value="0.05" units="cm"/>
      <inkml:brushProperty name="color" value="#E71224"/>
    </inkml:brush>
  </inkml:definitions>
  <inkml:trace contextRef="#ctx0" brushRef="#br0">14220 1191 24575,'-4'-9'0,"-4"1"0,0-7 0,1 10 0,-2-3 0,3-1 0,-2-1 0,2 5 0,-17-12 0,-10-3 0,-43-22 0,52 26 0,-130-62 15,-3 6-1,-5 4 0,-340-95 0,288 116-254,-2 8-1,-401-31 1,332 54 157,-413 30 0,581-6 87,-3 8 1,1 4 0,-2 7 0,5-1-1,-3 9 1,-110 47 0,194-65 61,1-1 1,0 3-1,2 1 1,-1-3-1,-34 38 1,48-43-28,2 8 1,0-1 0,0-3 0,3 2 0,1 1 0,0 4 0,0-2 0,3-2-1,-10 28 1,-17 70-40,4-1 0,-22 219 0,38-189 0,5 229 0,15-283 0,7 8 0,3-8 0,41 139 0,-17-129 6,2-1 0,3-4 0,7-1 0,4-4 0,8 1 0,1 0-1,2-7 1,136 134 0,-93-112-115,11-6-1,9-5 1,-6-6 0,12-1-1,235 119 1,-81-73 33,523 179 1,-599-252 82,9-7 1,2-9 0,293 29-1,-256-57-7,331-11 0,-499-12 0,-6-4 0,-1-5 0,112-24 0,-143 23 0,-4-1 0,7-7 0,-8 3 0,5-4 0,-4-3 0,53-33 0,-38 15-67,-1-8 1,-1 2-1,71-78 0,-45 23-180,83-114-1,-102 115 227,-4-3 1,-7 1-1,-1-6 0,-11 3 0,0-6 1,-9 0-1,29-137 0,-52 169 23,-3-4-1,-3 1 0,-5-6 0,-3 7 0,-5-3 1,-4 0-1,-4 1 0,-2-1 0,-8 4 0,-49-130 1,30 122-10,-6 0 0,-2 3 0,-8-1 0,-94-109 0,67 99-197,-9 4 0,-5 4 0,-114-85 0,48 57 54,-7 2 0,-7 17 0,-5 1 0,-326-127 0,260 139 75,-3 7 0,-7 12-1,-1 8 1,-539-51 0,637 100-684,40 7-3037</inkml:trace>
  <inkml:trace contextRef="#ctx0" brushRef="#br0" timeOffset="2513.1">53 956 24575,'-21'372'0,"-4"-91"0,22-209 0,-1 110 0,5-158 0,1 3 0,2 0 0,1-3 0,16 48 0,-19-67 0,-2 4 0,2 0 0,1-6 0,2 2 0,0 0 0,-2 3 0,3-4 0,-2 1 0,7 7 0,-8-10 0,0 1 0,-2-1 0,1 0 0,0-1 0,3 0 0,-2-1 0,-1 1 0,2 0 0,-1-1 0,3 4 0,-5-3 0,2-1 0,-3 0 0,7 0 0,-5 1 0,2-1 0,-1 0 0,0-1 0,-2 1 0,3 0 0,-2 0 0,1-1 0,8-3 0,4 0 0,-2-4 0,-3 2 0,8-3 0,-5 3 0,-1-4 0,0 2 0,-1 1 0,23-23 0,81-97 0,-103 104 0,175-225 0,-70 81 0,-109 161 0,-3-2 0,-1 1 0,7-1 0,-6 3 0,5-5 0,5-4 0,-12 13 0,0-1 0,-2 0 0,1 2 0,0-1 0,0 0 0,-1 1 0,2 0 0,-2 0 0,0-1 0,4 1 0,-3-1 0,0 1 0,0 0 0,-1 0 0,3 0 0,-2 1 0,2-1 0,-3 0 0,1 1 0,0-1 0,0 0 0,0 0 0,1 1 0,-1 0 0,3-1 0,-4 2 0,1 0 0,-1-1 0,1-1 0,-1 4 0,3 1 0,22 18 0,-3 1 0,44 49 0,5 11 0,-37-44 0,5-1 0,3-2 0,2-2 0,-1 2 0,4-6 0,0-4 0,1 2 0,4-4 0,58 21 0,-102-43 0,-5 1 0,5-2 0,0 3 0,-2-3 0,1 0 0,3-2 0,-7 0 0,4 1 0,-1-1 0,16-1 0,-19 0 0,-1-2 0,5 3 0,-2-5 0,-2 3 0,1-2 0,-3 2 0,3 1 0,-2 0 0,2-2 0,-3-1 0,5-2 0,-5 3 0,1 1 0,3-2 0,-4 0 0,7-8 0,7-12 0,2-4 0,-5 0 0,-1 1 0,4-1 0,7-41 0,28-159 0,-46 200 0,25-172-455,-9 0 0,-6-226 0,-15 359-6371</inkml:trace>
  <inkml:trace contextRef="#ctx0" brushRef="#br0" timeOffset="3364.11">3273 2316 24575,'14'0'0,"2"-1"0,-3-2 0,1 0 0,-3 2 0,2-4 0,-2 1 0,3-1 0,1 2 0,-3-3 0,-4-1 0,6 1 0,-8-1 0,22-14 0,9-6 0,-8 0 0,51-56 0,-43 40 0,0-1 0,54-91 0,-79 112 0,-1 0 0,0 0 0,-5-3 0,3-3 0,0 7 0,-4-4 0,0 3 0,3-38 0,-8 59 0,0-2 0,0-2 0,0 1 0,0 2 0,-3 1 0,-1 1 0,4-3 0,-1-9 0,0 12 0,1 1 0,-1-1 0,1 1 0,-1 0 0,0-1 0,1 1 0,-1-1 0,-1 0 0,2 0 0,0 1 0,0-1 0,0 1 0,-3 0 0,2 0 0,-1 0 0,0-1 0,2 1 0,-1-1 0,-1 1 0,0-2 0,-1 2 0,-1 0 0,3 2 0,-3-2 0,2 1 0,-3 0 0,2-1 0,1 0 0,-2 1 0,4 0 0,-5 1 0,4-1 0,-5-1 0,4 1 0,1 3 0,0-1 0,-2-2 0,1 3 0,-6 2 0,-36 35 0,6 1 0,-70 93 0,102-125 0,-2 0 0,5 0 0,-2-1 0,1 3 0,-4-1 0,4-1 0,1 5 0,0-8 0,2 7 0,-3-4 0,3 13 0,1-11 0,1-4 0,2 0 0,-2 2 0,0-1 0,4 0 0,-4-1 0,2 0 0,3-2 0,1 7 0,-5-6 0,2-2 0,1 0 0,1 6 0,12 8 0,6 3 0,3 0 0,-1-4 0,2 3 0,-2-5 0,4 1 0,-1-1 0,1-4 0,34 17 0,43 4 0,111 26 0,-214-59 0,93 19-273,-3-3 0,-1-8 0,2-3 0,122-5 0,-163-1-6553</inkml:trace>
  <inkml:trace contextRef="#ctx0" brushRef="#br0" timeOffset="3847.1">5168 1895 24575,'0'11'0,"-6"3"0,-16 26 0,1 16 0,-11 13 0,4 6 0,10 4 0,3-2 0,5-4 0,4-16-8191</inkml:trace>
  <inkml:trace contextRef="#ctx0" brushRef="#br0" timeOffset="4449.11">5320 1191 24575</inkml:trace>
  <inkml:trace contextRef="#ctx0" brushRef="#br0" timeOffset="5221.67">5784 1611 24575,'82'-1'0,"2"3"0,-1 8 0,83 11 0,-147-18 0,65 9 0,5 10 0,-7-1 0,103 42 0,-173-55 0,5-2 0,-4 4 0,-3-2 0,4 1 0,-1 1 0,1-2 0,-5 1 0,14 13 0,-20-16 0,3-3 0,-3 3 0,-1-1 0,1 0 0,1 2 0,-2-4 0,1 4 0,1 3 0,-2-5 0,2-4 0,-1 6 0,-3 0 0,0 0 0,1-2 0,-1 1 0,0-1 0,0 5 0,-1-6 0,1 2 0,-7 11 0,0-1 0,0 0 0,3-4 0,-5 1 0,0 5 0,-16 15 0,-64 67 0,61-75 0,5-3 0,-1 9 0,6-5 0,-29 42 0,41-61 0,1 2 0,1 1 0,0 0 0,3-2 0,-4-1 0,2 4 0,3 0 0,-1-1 0,0-4 0,1 4 0,0 1 0,1 0 0,0-2 0,0-2 0,1 3 0,3-2 0,-2 3 0,-1-2 0,13 15 0,-7-8 14,2 2-1,3-4 0,3 5 0,-6-4 1,6-2-1,-3 4 0,2-3 1,28 19-1,-18-16-261,1-1 1,2-2-1,-5-2 1,3 1-1,50 14 1,-36-17-6579</inkml:trace>
  <inkml:trace contextRef="#ctx0" brushRef="#br0" timeOffset="5936.67">5834 2178 24575,'9'0'0,"11"0"0,10 0 0,13 0 0,18 0 0,12 0 0,3 9 0,2-1 0,10 6 0,-15-2 0,-7 6 0,-8-5 0,-6-2 0,1-6 0,-14 0-8191</inkml:trace>
  <inkml:trace contextRef="#ctx0" brushRef="#br0" timeOffset="6805.29">7517 2647 24575,'18'0'0,"14"1"0,6-2 0,-6-1 0,69-11 0,-90 10 0,-2-2 0,0 2 0,-1-1 0,0 0 0,5 3 0,-5-4 0,0 0 0,0-2 0,0 5 0,1-9 0,1 4 0,-3 2 0,-1-1 0,3-2 0,-4 0 0,-1 1 0,11-13 0,-10 6 0,1 3 0,5-5 0,-7 0 0,0 2 0,5-26 0,-8 35 0,0-1 0,1 1 0,-2 0 0,0 0 0,0-1 0,0 1 0,0-1 0,0 4 0,-2-5 0,1 1 0,-1 0 0,1 2 0,-2 0 0,0-2 0,3 0 0,-2 2 0,1-2 0,-3 3 0,-9-9 0,10 11 0,0-1 0,0 0 0,1 1 0,-2-1 0,0 1 0,-1 0 0,2 1 0,0 0 0,-2-2 0,1 1 0,1 1 0,0 0 0,-2 0 0,-1 0 0,5 0 0,-4 0 0,0 1 0,2 1 0,-3-2 0,4 0 0,-2 1 0,1 1 0,-2-1 0,-5 4 0,-11 4 0,2 3 0,-39 22 0,51-26 0,-25 17 0,-2 3 0,1 3 0,0-1 0,-33 45 0,28-27 0,-51 63 0,82-101 0,-1 6 0,2-3 0,-2-1 0,4 1 0,-2-1 0,0 2 0,-1 22 0,7-30 0,0-2 0,0 2 0,0 4 0,1-3 0,-1-5 0,0 8 0,2-4 0,2 3 0,-1-4 0,1 2 0,0-3 0,-1 2 0,-1 0 0,0-1 0,4 2 0,-1-2 0,0 1 0,-1-3 0,2 3 0,1-2 0,6 9 0,14 5 0,2 0 0,2 0 0,36 16 0,-44-20 0,91 38-455,2-3 0,215 62 0,-278-94-6371</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11.976"/>
    </inkml:context>
    <inkml:brush xml:id="br0">
      <inkml:brushProperty name="width" value="0.05" units="cm"/>
      <inkml:brushProperty name="height" value="0.05" units="cm"/>
      <inkml:brushProperty name="color" value="#E71224"/>
    </inkml:brush>
  </inkml:definitions>
  <inkml:trace contextRef="#ctx0" brushRef="#br0">10393 297 24575,'-18'0'0,"8"0"0,-2-2 0,1 0 0,5-2 0,-7 3 0,-1-4 0,-9-4 0,-14-5 0,-106-28 0,-162-30 0,206 56 0,5 6 0,-182-6 0,242 16 0,-6 5 0,5-2 0,-2 5 0,3-4 0,-5 2 0,6 4 0,-4 2 0,3 2 0,3-1 0,-3 3 0,-46 26 0,10 0 0,10 4 0,-3 3 0,5 0 0,-1 7 0,-53 65 0,-218 320 0,217-274 0,-98 212 0,169-289 0,5 2 0,3 1 0,3 2 0,-20 132 0,31-37 0,6-2 0,20 310 0,-1-422 0,3 1 0,33 111 0,-31-148 0,0-1 0,6-2 0,1 1 0,2-2 0,3-2 0,37 56 0,-48-75 0,3-2 0,-2 3 0,1-6 0,2 0 0,-1 6 0,-1-6 0,6-2 0,-4 3 0,2-1 0,1 0 0,32 8 0,-17-10 0,-1 1 0,3-2 0,-5-2 0,3-2 0,0-1 0,40-1 0,330-31 0,-311 23 0,56-12 3,5-9 0,224-59 0,265-141-107,-519 179-22,-9-6 0,3-3 0,136-95 1,-194 110 128,0-3 1,1-4 0,-5 0-1,1-3 1,-10-3-1,86-112 1,-72 69-4,-5-3 0,-6 1 0,-6-6 0,-1 3 0,43-218 0,-52 171 0,-14 0 0,-5 0 0,-16-290 0,-5 383 39,-20-105 0,25 140-135,-5 7-1,-1-5 1,-3 3-1,5 0 0,-1-2 1,-4 2-1,0 2 1,-3-1-1,-10-18 0,-12 7-6633</inkml:trace>
  <inkml:trace contextRef="#ctx0" brushRef="#br0" timeOffset="1612">1875 297 24575,'-17'2'0,"-1"0"0,-3 2 0,5-2 0,-4 0 0,2 5 0,2-2 0,-22 7 0,-110 60 0,128-61 0,-67 40 0,1-3 0,2 6 0,4 6 0,4-1 0,4 3 0,-77 86 0,137-135 0,0-2 0,3 4 0,-3 1 0,0 0 0,7-2 0,-14 22 0,18-34 0,0 3 0,0-2 0,-1 2 0,-1 2 0,3-3 0,0-2 0,0 2 0,0 0 0,0 2 0,0-3 0,0 0 0,3 5 0,-1-5 0,-1 2 0,0-2 0,0 1 0,1-2 0,-1 3 0,1-1 0,-1 0 0,2-1 0,0 1 0,3-2 0,-3 2 0,-1-1 0,-1 1 0,6-1 0,-6 1 0,4-2 0,0 2 0,17 6 0,-2 3 0,0-3 0,3-3 0,-3 1 0,4-2 0,37 11 0,150 14 0,-141-23 0,-5 0 0,261 45 0,-290-44 0,8 3 0,-5 2 0,1-2 0,0 5 0,67 39 0,-65-28 0,2 0 0,-1 3 0,-2 5 0,-5 3 0,51 54 0,-68-75 0,-6 3 0,4 2 0,-1 0 0,-1-3 0,-1 6 0,-5 0 0,3-5 0,-2 5 0,-6-1 0,3 0 0,0 2 0,-1 32 0,-6-46 0,-2 2 0,0 0 0,1-1 0,-1 1 0,-4 0 0,2-4 0,1 5 0,-1-1 0,-5-3 0,3 2 0,-2-2 0,0 2 0,-2-4 0,4 4 0,-8-3 0,2 1 0,2-5 0,-3 8 0,-9 4 0,-21 9 0,-2 1 0,3-4 0,-4-2 0,-76 29 0,5-11 0,0-3 0,-1-6 0,-5-4 0,-222 26 0,-505-26 0,565-39-1365,200-3-5461</inkml:trace>
  <inkml:trace contextRef="#ctx0" brushRef="#br0" timeOffset="2918.28">3004 1192 24575,'1'54'0,"3"-1"0,4-1 0,-2-1 0,25 53 0,74 196 0,-63-188 0,148 355 0,65 201 0,-224-581 0,-27-58 0,-4-29 0,0 0 0,0 0 0,0 0 0,0 0 0,-1 0 0,1 0 0,0 0 0,0 2 0,0-2 0,0 0 0,-1 0 0,1 0 0,0 0 0,0 0 0,0 0 0,-1 0 0,1 0 0,0 0 0,0 0 0,0 0 0,0 0 0,0 0 0,0 0 0,0 0 0,0 0 0,0 0 0,-1 0 0,1 0 0,0 0 0,0 0 0,0-2 0,0 2 0,0 0 0,0 0 0,0 0 0,0 0 0,0 0 0,0 0 0,-3 0 0,3 0 0,0 0 0,0 0 0,0 0 0,0 0 0,0 0 0,0 0 0,0 0 0,0 0 0,0 0 0,0-1 0,-3 1 0,3 0 0,0 0 0,0 0 0,0-3 0,0 3 0,-29-43 0,28 38 0,-226-441 0,99 190 0,102 210 0,-197-422 0,190 389 0,1-4 0,7-3 0,-26-154 0,50 220 0,-2 0 0,3 1 0,3 1 0,-3-2 0,2 0 0,7 0 0,-7 0 0,14-31 0,-14 42 0,1 1 0,-1 2 0,3 1 0,-1-1 0,0-1 0,-1 4 0,1-4 0,1 1 0,-1 3 0,0-2 0,3 0 0,2 2 0,-5-1 0,1-3 0,3 3 0,-2 1 0,-2 1 0,4-2 0,-2 3 0,0-1 0,3-2 0,-5 3 0,6-1 0,-2 1 0,-2 0 0,2 0 0,-1 1 0,16 0 0,-18 1 0,2 1 0,0-1 0,-3 1 0,3 2 0,2-3 0,-5 1 0,4 2 0,-3-3 0,-3 3 0,7 0 0,-3 2 0,-3-4 0,1 4 0,4-3 0,-4 2 0,-2 0 0,3 1 0,0-1 0,3 7 0,7 7 0,-7 1 0,3 3 0,19 37 0,-23-41 24,-3-1 0,2-1 0,-3 2 0,5 31 0,-8-44-102,0 1 0,0-3 0,0 0-1,0 5 1,-1-1 0,0-4 0,0 2 0,-4-2 0,3 4-1,1-4 1,-2 1 0,0 3 0,3-5 0,-5 3 0,1-2-1,-1 2 1,0-3 0,-6 10 0,-24 11-6748</inkml:trace>
  <inkml:trace contextRef="#ctx0" brushRef="#br0" timeOffset="3695.13">3927 1052 24575,'4'16'0,"-2"3"0,2-1 0,1-2 0,-3 1 0,9 0 0,-7-1 0,1-1 0,2 5 0,17 13 0,-11-14 0,0 2 0,-4 0 0,2-2 0,4 27 0,-30-88 0,1 0 0,-32-50 0,-59-102 0,88 165 0,-37-71 0,11 26 0,-65-155 0,106 222 0,-4 1 0,5-3 0,-2 2 0,3-1 0,-1-1 0,0 3 0,1-1 0,0-1 0,2-15 0,-2 22 0,0-1 0,2 0 0,-1-1 0,0-3 0,1 5 0,2-2 0,-2 0 0,-2 1 0,0-1 0,1 3 0,1-2 0,1 0 0,-1 1 0,3-1 0,-5-2 0,4 2 0,2 1 0,-5-1 0,1 1 0,1-5 0,1 6 0,-4-1 0,4 1 0,0 0 0,-1 0 0,0 0 0,4-1 0,25-2 31,0 2 0,3 1-1,62 5 1,-64-1-403,-2 2 0,5-6 0,54-6 0,-37 0-6454</inkml:trace>
  <inkml:trace contextRef="#ctx0" brushRef="#br0" timeOffset="4757.31">4439 912 24575,'46'-3'0,"-1"-1"0,-6 0 0,6-5 0,-3 2 0,0-5 0,4-1 0,-7-3 0,-2 3 0,4-5 0,64-39 0,-93 46 0,2 4 0,0-3 0,-2 0 0,0-2 0,-3 2 0,0-4 0,-1 4 0,2-4 0,15-18 0,-21 18 0,1 9 0,-2-4 0,2-2 0,-2 2 0,-1-4 0,3 7 0,-5-3 0,0-2 0,0 1 0,1-1 0,-1 3 0,-1-2 0,1 0 0,0 2 0,-8-22 0,7 28 0,1-1 0,-1 3 0,0-3 0,-3 1 0,4 0 0,0-3 0,-3 3 0,2 0 0,-3-2 0,4 0 0,-2 4 0,0-1 0,1 0 0,-2-1 0,2 1 0,-4-1 0,1 2 0,3-1 0,-2-1 0,0 0 0,-1 1 0,-4-2 0,4 3 0,-2 0 0,1 0 0,1 0 0,2 0 0,-5 0 0,2 0 0,-1 2 0,0-1 0,3 0 0,-3 3 0,-7-3 0,-5 6 0,0 3 0,4 0 0,-7-2 0,3 4 0,-23 21 0,26-20 0,4 3 0,-2-2 0,0 1 0,6 1 0,-6 0 0,7 0 0,-3 4 0,-2-6 0,6 4 0,1 0 0,0 2 0,0-2 0,1 0 0,1-1 0,1 2 0,0 2 0,1-3 0,1-1 0,1 2 0,0 1 0,8 26 0,-9-38 0,1-1 0,1 1 0,0-3 0,2 7 0,1-5 0,-2-2 0,1-1 0,0 5 0,2-2 0,0-3 0,-2 4 0,-1-2 0,4-3 0,-3 1 0,4 2 0,12 6 0,9-1 0,-5 3 0,7-7 0,39 13 0,-35-9 0,469 104 0,-389-97 0,1-4 0,167 2 0,-261-16 24,-7 0 0,4-1 0,-3-4 0,42-7 0,-53 12-102,0-1 0,-1-1 0,2-1-1,-1 1 1,-2-4 0,0 2 0,4 3 0,-6-1 0,1 1-1,4-7 1,-1 6 0,-1-4 0,-3 2 0,2-1 0,-1 2-1,3-1 1,-3-2 0,3-8 0,6-25-6748</inkml:trace>
  <inkml:trace contextRef="#ctx0" brushRef="#br0" timeOffset="5657.83">6235 390 24575,'0'25'0,"0"-6"0,1 2 0,2-2 0,0 5 0,11 37 0,-10-57 0,0 4 0,0 0 0,2-2 0,-5 0 0,4 2 0,1-4 0,-2 2 0,0-2 0,1 7 0,4-6 0,-5-3 0,1 2 0,5 4 0,-3-5 0,-2 2 0,4-3 0,-5 0 0,4 1 0,16 7 0,-4-6 0,0-1 0,3 1 0,-2-1 0,3-2 0,-5 2 0,2-3 0,2-3 0,-1 2 0,0-2 0,1-1 0,-2 1 0,-2-1 0,39-16 0,-32 8 0,3 4 0,-7-8 0,6 4 0,1-4 0,-9 1 0,4-3 0,-2 1 0,-2-1 0,33-35 0,-8-7 0,-1 1 0,-5-5 0,-6 2 0,50-110 0,-64 133 0,-19 39 0,0 0 0,0 0 0,0-2 0,0 2 0,0 0 0,0 0 0,0-1 0,0 1 0,2 0 0,-2 0 0,0 0 0,0-1 0,0 1 0,0 0 0,0 0 0,0 0 0,1-1 0,-1 1 0,0 0 0,0 0 0,0 0 0,2 0 0,-2 0 0,0 0 0,0-1 0,0 1 0,1 0 0,-1 0 0,0 0 0,0 0 0,1 0 0,-1 0 0,0 0 0,0 0 0,0 0 0,1 0 0,-1 0 0,0 0 0,0 0 0,0 0 0,0 0 0,0 0 0,0 0 0,0 1 0,1-1 0,-1 0 0,0 0 0,0 0 0,1 0 0,10 17 0,0 36 0,-5-38 0,29 114 0,98 217 0,-127-333-341,1 3 0,0 0-1,20 20 1,-3-11-6485</inkml:trace>
</inkm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P78"/>
  <sheetViews>
    <sheetView topLeftCell="B25" zoomScale="70" zoomScaleNormal="70" workbookViewId="0">
      <selection activeCell="O59" sqref="O59"/>
    </sheetView>
  </sheetViews>
  <sheetFormatPr defaultColWidth="9.15234375" defaultRowHeight="16.75"/>
  <cols>
    <col min="1" max="1" width="13.69140625" style="58" hidden="1" customWidth="1"/>
    <col min="2" max="2" width="14.3046875" style="58" customWidth="1"/>
    <col min="3" max="8" width="10" style="58" customWidth="1"/>
    <col min="9" max="14" width="10" style="58" hidden="1" customWidth="1"/>
    <col min="15" max="15" width="64.3828125" style="58" customWidth="1"/>
    <col min="16" max="16" width="12.15234375" style="58" customWidth="1"/>
    <col min="17" max="23" width="10.15234375" style="58" customWidth="1"/>
    <col min="24" max="24" width="12.3828125" style="58" bestFit="1" customWidth="1"/>
    <col min="25" max="25" width="13.84375" style="58" customWidth="1"/>
    <col min="26" max="31" width="10.15234375" style="58" customWidth="1"/>
    <col min="32" max="32" width="9.15234375" style="58"/>
    <col min="39" max="45" width="8.53515625" style="58" customWidth="1"/>
    <col min="46" max="16384" width="9.15234375" style="58"/>
  </cols>
  <sheetData>
    <row r="1" spans="1:42">
      <c r="B1" s="57"/>
      <c r="C1" s="58" t="str">
        <f>'Stats 2020'!O18</f>
        <v>JWU</v>
      </c>
      <c r="D1" s="58" t="str">
        <f>'Stats 2020'!P18</f>
        <v>CBO</v>
      </c>
      <c r="E1" s="58" t="str">
        <f>'Stats 2020'!Q18</f>
        <v>PKN</v>
      </c>
      <c r="F1" s="58" t="str">
        <f>'Stats 2020'!R18</f>
        <v>YMI</v>
      </c>
      <c r="G1" s="58" t="str">
        <f>'Stats 2020'!S18</f>
        <v>SJU</v>
      </c>
      <c r="H1" s="58" t="str">
        <f>'Stats 2020'!T18</f>
        <v>MST</v>
      </c>
      <c r="I1" s="58" t="str">
        <f t="shared" ref="I1:N1" si="0">C1</f>
        <v>JWU</v>
      </c>
      <c r="J1" s="58" t="str">
        <f t="shared" si="0"/>
        <v>CBO</v>
      </c>
      <c r="K1" s="58" t="str">
        <f t="shared" si="0"/>
        <v>PKN</v>
      </c>
      <c r="L1" s="58" t="str">
        <f t="shared" si="0"/>
        <v>YMI</v>
      </c>
      <c r="M1" s="58" t="str">
        <f t="shared" si="0"/>
        <v>SJU</v>
      </c>
      <c r="N1" s="58" t="str">
        <f t="shared" si="0"/>
        <v>MST</v>
      </c>
      <c r="Q1" s="58" t="str">
        <f>C1</f>
        <v>JWU</v>
      </c>
      <c r="R1" s="58" t="str">
        <f>D1</f>
        <v>CBO</v>
      </c>
      <c r="S1" s="58" t="str">
        <f>E1</f>
        <v>PKN</v>
      </c>
      <c r="T1" s="58" t="str">
        <f>F1</f>
        <v>YMI</v>
      </c>
      <c r="U1" s="58" t="str">
        <f>G1</f>
        <v>SJU</v>
      </c>
      <c r="V1" s="58" t="s">
        <v>21</v>
      </c>
      <c r="Y1" s="58" t="str">
        <f t="shared" ref="Y1:AD1" si="1">Q1</f>
        <v>JWU</v>
      </c>
      <c r="Z1" s="58" t="str">
        <f t="shared" si="1"/>
        <v>CBO</v>
      </c>
      <c r="AA1" s="58" t="str">
        <f t="shared" si="1"/>
        <v>PKN</v>
      </c>
      <c r="AB1" s="58" t="str">
        <f t="shared" si="1"/>
        <v>YMI</v>
      </c>
      <c r="AC1" s="58" t="str">
        <f t="shared" si="1"/>
        <v>SJU</v>
      </c>
      <c r="AD1" s="58" t="str">
        <f t="shared" si="1"/>
        <v>MSO</v>
      </c>
      <c r="AE1" s="58" t="s">
        <v>48</v>
      </c>
      <c r="AF1" s="58" t="str">
        <f>Y1</f>
        <v>JWU</v>
      </c>
      <c r="AG1" s="58" t="str">
        <f t="shared" ref="AG1:AL1" si="2">Z1</f>
        <v>CBO</v>
      </c>
      <c r="AH1" s="58" t="str">
        <f t="shared" si="2"/>
        <v>PKN</v>
      </c>
      <c r="AI1" s="58" t="str">
        <f t="shared" si="2"/>
        <v>YMI</v>
      </c>
      <c r="AJ1" s="58" t="str">
        <f t="shared" si="2"/>
        <v>SJU</v>
      </c>
      <c r="AK1" s="58" t="str">
        <f t="shared" si="2"/>
        <v>MSO</v>
      </c>
      <c r="AL1" s="58" t="str">
        <f t="shared" si="2"/>
        <v>Overall</v>
      </c>
      <c r="AO1" s="53" t="s">
        <v>71</v>
      </c>
    </row>
    <row r="2" spans="1:42">
      <c r="A2" s="74" t="e">
        <f ca="1">IF(AND((TODAY()-B2)&lt;7,(TODAY()-B2&gt;=0)),B2,NA())</f>
        <v>#N/A</v>
      </c>
      <c r="B2" s="56">
        <v>43854</v>
      </c>
      <c r="C2" s="59">
        <f ca="1">IF($B2&lt;=TODAY(),SUMIF('Stats 2020'!$M$24:$M$1048576,"&lt;="&amp;Graphs!$B2,'Stats 2020'!O$24:O$1048576),NA())</f>
        <v>50</v>
      </c>
      <c r="D2" s="59">
        <f ca="1">IF($B2&lt;=TODAY(),MAX($C2,$E2,$G2,$H2)+11,NA())</f>
        <v>61</v>
      </c>
      <c r="E2" s="59">
        <f ca="1">IF($B2&lt;=TODAY(),SUMIF('Stats 2020'!$M$24:$M$1048576,"&lt;="&amp;Graphs!$B2,'Stats 2020'!Q$24:Q$1048576),NA())</f>
        <v>50</v>
      </c>
      <c r="F2" s="59">
        <f ca="1">IF($B2&lt;=TODAY(),MAX($C2,$E2,$G2,$H2)+11,NA())</f>
        <v>61</v>
      </c>
      <c r="G2" s="59">
        <f ca="1">IF($B2&lt;=TODAY(),SUMIF('Stats 2020'!$M$24:$M$1048576,"&lt;="&amp;Graphs!$B2,'Stats 2020'!S$24:S$1048576),NA())</f>
        <v>50</v>
      </c>
      <c r="H2" s="59">
        <f ca="1">IF($B2&lt;=TODAY(),SUMIF('Stats 2020'!$M$24:$M$1048576,"&lt;="&amp;Graphs!$B2,'Stats 2020'!T$24:T$1048576),NA())</f>
        <v>50</v>
      </c>
      <c r="I2" s="58" t="e">
        <f t="shared" ref="I2:N11" ca="1" si="3">VLOOKUP($A2,$B$1:$H$59,MATCH(I$1,$B$1:$H$1,0),0)</f>
        <v>#N/A</v>
      </c>
      <c r="J2" s="58" t="e">
        <f t="shared" ca="1" si="3"/>
        <v>#N/A</v>
      </c>
      <c r="K2" s="58" t="e">
        <f t="shared" ca="1" si="3"/>
        <v>#N/A</v>
      </c>
      <c r="L2" s="58" t="e">
        <f t="shared" ca="1" si="3"/>
        <v>#N/A</v>
      </c>
      <c r="M2" s="58" t="e">
        <f t="shared" ca="1" si="3"/>
        <v>#N/A</v>
      </c>
      <c r="N2" s="58" t="e">
        <f t="shared" ca="1" si="3"/>
        <v>#N/A</v>
      </c>
      <c r="O2" s="60"/>
      <c r="P2" s="65">
        <f>B2</f>
        <v>43854</v>
      </c>
      <c r="Q2" s="66">
        <f>VLOOKUP($B2,'Stats 2020'!$D$25:$J$200,MATCH(Graphs!Q$1,'Stats 2020'!$D$18:$J$18,0),0)</f>
        <v>1</v>
      </c>
      <c r="R2" s="66" t="str">
        <f>VLOOKUP($B2,'Stats 2020'!$D$25:$J$200,MATCH(Graphs!R$1,'Stats 2020'!$D$18:$J$18,0),0)</f>
        <v/>
      </c>
      <c r="S2" s="66">
        <f>VLOOKUP($B2,'Stats 2020'!$D$25:$J$200,MATCH(Graphs!S$1,'Stats 2020'!$D$18:$J$18,0),0)</f>
        <v>1</v>
      </c>
      <c r="T2" s="66" t="str">
        <f>VLOOKUP($B2,'Stats 2020'!$D$25:$J$200,MATCH(Graphs!T$1,'Stats 2020'!$D$18:$J$18,0),0)</f>
        <v/>
      </c>
      <c r="U2" s="66">
        <f>VLOOKUP($B2,'Stats 2020'!$D$25:$J$200,MATCH(Graphs!U$1,'Stats 2020'!$D$18:$J$18,0),0)</f>
        <v>1</v>
      </c>
      <c r="V2" s="66">
        <f>VLOOKUP($B2,'Stats 2020'!$D$25:$J$200,MATCH(Graphs!V$1,'Stats 2020'!$D$18:$J$18,0),0)</f>
        <v>1</v>
      </c>
      <c r="W2" s="69"/>
      <c r="X2" s="65">
        <f>B2</f>
        <v>43854</v>
      </c>
      <c r="Y2" s="69">
        <f>SUM(Q$2:Q2)/COUNTA($P$2:$P2)</f>
        <v>1</v>
      </c>
      <c r="Z2" s="69">
        <f>SUM(R$2:R2)/COUNTA($P$2:$P2)</f>
        <v>0</v>
      </c>
      <c r="AA2" s="69">
        <f>SUM(S$2:S2)/COUNTA($P$2:$P2)</f>
        <v>1</v>
      </c>
      <c r="AB2" s="69">
        <f>SUM(T$2:T2)/COUNTA($P$2:$P2)</f>
        <v>0</v>
      </c>
      <c r="AC2" s="69">
        <f>SUM(U$2:U2)/COUNTA($P$2:$P2)</f>
        <v>1</v>
      </c>
      <c r="AD2" s="69">
        <f>SUM(V$2:V2)/COUNTA($P$2:$P2)</f>
        <v>1</v>
      </c>
      <c r="AE2" s="70">
        <f>AVERAGE(Y2:AD2)</f>
        <v>0.66666666666666663</v>
      </c>
      <c r="AF2" s="58" t="e">
        <f ca="1">VLOOKUP($A2,$X$1:$AE$59,MATCH(AF$1,$X$1:$AE$1,0),0)</f>
        <v>#N/A</v>
      </c>
      <c r="AG2" s="58" t="e">
        <f t="shared" ref="AF2:AL11" ca="1" si="4">VLOOKUP($A2,$X$1:$AE$59,MATCH(AG$1,$X$1:$AE$1,0),0)</f>
        <v>#N/A</v>
      </c>
      <c r="AH2" s="58" t="e">
        <f t="shared" ca="1" si="4"/>
        <v>#N/A</v>
      </c>
      <c r="AI2" s="58" t="e">
        <f t="shared" ca="1" si="4"/>
        <v>#N/A</v>
      </c>
      <c r="AJ2" s="58" t="e">
        <f t="shared" ca="1" si="4"/>
        <v>#N/A</v>
      </c>
      <c r="AK2" s="58" t="e">
        <f t="shared" ca="1" si="4"/>
        <v>#N/A</v>
      </c>
      <c r="AL2" s="58" t="e">
        <f t="shared" ca="1" si="4"/>
        <v>#N/A</v>
      </c>
      <c r="AO2" s="53" t="s">
        <v>72</v>
      </c>
      <c r="AP2" s="66"/>
    </row>
    <row r="3" spans="1:42" ht="16.5" customHeight="1">
      <c r="A3" s="74" t="e">
        <f ca="1">IF(AND((TODAY()-B3)&lt;7,(TODAY()-B3&gt;=0)),B3,NA())</f>
        <v>#N/A</v>
      </c>
      <c r="B3" s="56">
        <f>B2+7</f>
        <v>43861</v>
      </c>
      <c r="C3" s="59">
        <f ca="1">IF($B3&lt;=TODAY(),SUMIF('Stats 2020'!$M$24:$M$1048576,"&lt;="&amp;Graphs!$B3,'Stats 2020'!O$24:O$1048576),NA())</f>
        <v>50</v>
      </c>
      <c r="D3" s="59">
        <f t="shared" ref="D3:D8" ca="1" si="5">IF($B3&lt;=TODAY(),MAX($C3,$E3,$G3,$H3)+11,NA())</f>
        <v>72</v>
      </c>
      <c r="E3" s="59">
        <f ca="1">IF($B3&lt;=TODAY(),SUMIF('Stats 2020'!$M$24:$M$1048576,"&lt;="&amp;Graphs!$B3,'Stats 2020'!Q$24:Q$1048576),NA())</f>
        <v>50</v>
      </c>
      <c r="F3" s="59">
        <f t="shared" ref="F3:F8" ca="1" si="6">IF($B3&lt;=TODAY(),MAX($C3,$E3,$G3,$H3)+11,NA())</f>
        <v>72</v>
      </c>
      <c r="G3" s="59">
        <f ca="1">IF($B3&lt;=TODAY(),SUMIF('Stats 2020'!$M$24:$M$1048576,"&lt;="&amp;Graphs!$B3,'Stats 2020'!S$24:S$1048576),NA())</f>
        <v>61</v>
      </c>
      <c r="H3" s="59">
        <f ca="1">IF($B3&lt;=TODAY(),SUMIF('Stats 2020'!$M$24:$M$1048576,"&lt;="&amp;Graphs!$B3,'Stats 2020'!T$24:T$1048576),NA())</f>
        <v>50</v>
      </c>
      <c r="I3" s="58" t="e">
        <f t="shared" ca="1" si="3"/>
        <v>#N/A</v>
      </c>
      <c r="J3" s="58" t="e">
        <f t="shared" ca="1" si="3"/>
        <v>#N/A</v>
      </c>
      <c r="K3" s="58" t="e">
        <f t="shared" ca="1" si="3"/>
        <v>#N/A</v>
      </c>
      <c r="L3" s="58" t="e">
        <f t="shared" ca="1" si="3"/>
        <v>#N/A</v>
      </c>
      <c r="M3" s="58" t="e">
        <f t="shared" ca="1" si="3"/>
        <v>#N/A</v>
      </c>
      <c r="N3" s="58" t="e">
        <f t="shared" ca="1" si="3"/>
        <v>#N/A</v>
      </c>
      <c r="O3" s="60"/>
      <c r="P3" s="65">
        <f t="shared" ref="P3:P58" si="7">B3</f>
        <v>43861</v>
      </c>
      <c r="Q3" s="66">
        <f>VLOOKUP($B3,'Stats 2020'!$D$25:$J$200,MATCH(Graphs!Q$1,'Stats 2020'!$D$18:$J$18,0),0)</f>
        <v>1</v>
      </c>
      <c r="R3" s="66" t="str">
        <f>VLOOKUP($B3,'Stats 2020'!$D$25:$J$200,MATCH(Graphs!R$1,'Stats 2020'!$D$18:$J$18,0),0)</f>
        <v/>
      </c>
      <c r="S3" s="66">
        <f>VLOOKUP($B3,'Stats 2020'!$D$25:$J$200,MATCH(Graphs!S$1,'Stats 2020'!$D$18:$J$18,0),0)</f>
        <v>1</v>
      </c>
      <c r="T3" s="66" t="str">
        <f>VLOOKUP($B3,'Stats 2020'!$D$25:$J$200,MATCH(Graphs!T$1,'Stats 2020'!$D$18:$J$18,0),0)</f>
        <v/>
      </c>
      <c r="U3" s="66">
        <f>VLOOKUP($B3,'Stats 2020'!$D$25:$J$200,MATCH(Graphs!U$1,'Stats 2020'!$D$18:$J$18,0),0)</f>
        <v>0</v>
      </c>
      <c r="V3" s="66">
        <f>VLOOKUP($B3,'Stats 2020'!$D$25:$J$200,MATCH(Graphs!V$1,'Stats 2020'!$D$18:$J$18,0),0)</f>
        <v>1</v>
      </c>
      <c r="W3" s="69"/>
      <c r="X3" s="65">
        <f t="shared" ref="X3:X47" si="8">B3</f>
        <v>43861</v>
      </c>
      <c r="Y3" s="69">
        <f>SUM(Q$2:Q3)/COUNTA($P$2:$P3)</f>
        <v>1</v>
      </c>
      <c r="Z3" s="69">
        <f>SUM(R$2:R3)/COUNTA($P$2:$P3)</f>
        <v>0</v>
      </c>
      <c r="AA3" s="69">
        <f>SUM(S$2:S3)/COUNTA($P$2:$P3)</f>
        <v>1</v>
      </c>
      <c r="AB3" s="69">
        <f>SUM(T$2:T3)/COUNTA($P$2:$P3)</f>
        <v>0</v>
      </c>
      <c r="AC3" s="69">
        <f>SUM(U$2:U3)/COUNTA($P$2:$P3)</f>
        <v>0.5</v>
      </c>
      <c r="AD3" s="69">
        <f>SUM(V$2:V3)/COUNTA($P$2:$P3)</f>
        <v>1</v>
      </c>
      <c r="AE3" s="70">
        <f t="shared" ref="AE3:AE14" si="9">AVERAGE(Y3:AD3)</f>
        <v>0.58333333333333337</v>
      </c>
      <c r="AF3" s="58" t="e">
        <f t="shared" ca="1" si="4"/>
        <v>#N/A</v>
      </c>
      <c r="AG3" s="58" t="e">
        <f t="shared" ca="1" si="4"/>
        <v>#N/A</v>
      </c>
      <c r="AH3" s="58" t="e">
        <f t="shared" ca="1" si="4"/>
        <v>#N/A</v>
      </c>
      <c r="AI3" s="58" t="e">
        <f t="shared" ca="1" si="4"/>
        <v>#N/A</v>
      </c>
      <c r="AJ3" s="58" t="e">
        <f t="shared" ca="1" si="4"/>
        <v>#N/A</v>
      </c>
      <c r="AK3" s="58" t="e">
        <f t="shared" ca="1" si="4"/>
        <v>#N/A</v>
      </c>
      <c r="AL3" s="58" t="e">
        <f t="shared" ca="1" si="4"/>
        <v>#N/A</v>
      </c>
      <c r="AP3" s="66"/>
    </row>
    <row r="4" spans="1:42" ht="16.5" customHeight="1">
      <c r="A4" s="74" t="e">
        <f ca="1">IF(AND((TODAY()-B4)&lt;7,(TODAY()-B4&gt;=0)),B4,NA())</f>
        <v>#N/A</v>
      </c>
      <c r="B4" s="56">
        <f t="shared" ref="B4:B67" si="10">B3+7</f>
        <v>43868</v>
      </c>
      <c r="C4" s="59">
        <f ca="1">IF($B4&lt;=TODAY(),SUMIF('Stats 2020'!$M$24:$M$1048576,"&lt;="&amp;Graphs!$B4,'Stats 2020'!O$24:O$1048576),NA())</f>
        <v>61</v>
      </c>
      <c r="D4" s="59">
        <f t="shared" ca="1" si="5"/>
        <v>83</v>
      </c>
      <c r="E4" s="59">
        <f ca="1">IF($B4&lt;=TODAY(),SUMIF('Stats 2020'!$M$24:$M$1048576,"&lt;="&amp;Graphs!$B4,'Stats 2020'!Q$24:Q$1048576),NA())</f>
        <v>50</v>
      </c>
      <c r="F4" s="59">
        <f t="shared" ca="1" si="6"/>
        <v>83</v>
      </c>
      <c r="G4" s="59">
        <f ca="1">IF($B4&lt;=TODAY(),SUMIF('Stats 2020'!$M$24:$M$1048576,"&lt;="&amp;Graphs!$B4,'Stats 2020'!S$24:S$1048576),NA())</f>
        <v>72</v>
      </c>
      <c r="H4" s="59">
        <f ca="1">IF($B4&lt;=TODAY(),SUMIF('Stats 2020'!$M$24:$M$1048576,"&lt;="&amp;Graphs!$B4,'Stats 2020'!T$24:T$1048576),NA())</f>
        <v>50</v>
      </c>
      <c r="I4" s="58" t="e">
        <f t="shared" ca="1" si="3"/>
        <v>#N/A</v>
      </c>
      <c r="J4" s="58" t="e">
        <f t="shared" ca="1" si="3"/>
        <v>#N/A</v>
      </c>
      <c r="K4" s="58" t="e">
        <f t="shared" ca="1" si="3"/>
        <v>#N/A</v>
      </c>
      <c r="L4" s="58" t="e">
        <f t="shared" ca="1" si="3"/>
        <v>#N/A</v>
      </c>
      <c r="M4" s="58" t="e">
        <f t="shared" ca="1" si="3"/>
        <v>#N/A</v>
      </c>
      <c r="N4" s="58" t="e">
        <f t="shared" ca="1" si="3"/>
        <v>#N/A</v>
      </c>
      <c r="O4" s="60"/>
      <c r="P4" s="65">
        <f t="shared" si="7"/>
        <v>43868</v>
      </c>
      <c r="Q4" s="66">
        <f>VLOOKUP($B4,'Stats 2020'!$D$25:$J$200,MATCH(Graphs!Q$1,'Stats 2020'!$D$18:$J$18,0),0)</f>
        <v>0</v>
      </c>
      <c r="R4" s="66" t="str">
        <f>VLOOKUP($B4,'Stats 2020'!$D$25:$J$200,MATCH(Graphs!R$1,'Stats 2020'!$D$18:$J$18,0),0)</f>
        <v/>
      </c>
      <c r="S4" s="66">
        <f>VLOOKUP($B4,'Stats 2020'!$D$25:$J$200,MATCH(Graphs!S$1,'Stats 2020'!$D$18:$J$18,0),0)</f>
        <v>1</v>
      </c>
      <c r="T4" s="66" t="str">
        <f>VLOOKUP($B4,'Stats 2020'!$D$25:$J$200,MATCH(Graphs!T$1,'Stats 2020'!$D$18:$J$18,0),0)</f>
        <v/>
      </c>
      <c r="U4" s="66">
        <f>VLOOKUP($B4,'Stats 2020'!$D$25:$J$200,MATCH(Graphs!U$1,'Stats 2020'!$D$18:$J$18,0),0)</f>
        <v>0</v>
      </c>
      <c r="V4" s="66">
        <f>VLOOKUP($B4,'Stats 2020'!$D$25:$J$200,MATCH(Graphs!V$1,'Stats 2020'!$D$18:$J$18,0),0)</f>
        <v>1</v>
      </c>
      <c r="W4" s="69"/>
      <c r="X4" s="65">
        <f t="shared" si="8"/>
        <v>43868</v>
      </c>
      <c r="Y4" s="69">
        <f>SUM(Q$2:Q4)/COUNTA($P$2:$P4)</f>
        <v>0.66666666666666663</v>
      </c>
      <c r="Z4" s="69">
        <f>SUM(R$2:R4)/COUNTA($P$2:$P4)</f>
        <v>0</v>
      </c>
      <c r="AA4" s="69">
        <f>SUM(S$2:S4)/COUNTA($P$2:$P4)</f>
        <v>1</v>
      </c>
      <c r="AB4" s="69">
        <f>SUM(T$2:T4)/COUNTA($P$2:$P4)</f>
        <v>0</v>
      </c>
      <c r="AC4" s="69">
        <f>SUM(U$2:U4)/COUNTA($P$2:$P4)</f>
        <v>0.33333333333333331</v>
      </c>
      <c r="AD4" s="69">
        <f>SUM(V$2:V4)/COUNTA($P$2:$P4)</f>
        <v>1</v>
      </c>
      <c r="AE4" s="70">
        <f t="shared" si="9"/>
        <v>0.5</v>
      </c>
      <c r="AF4" s="58" t="e">
        <f t="shared" ca="1" si="4"/>
        <v>#N/A</v>
      </c>
      <c r="AG4" s="58" t="e">
        <f t="shared" ca="1" si="4"/>
        <v>#N/A</v>
      </c>
      <c r="AH4" s="58" t="e">
        <f t="shared" ca="1" si="4"/>
        <v>#N/A</v>
      </c>
      <c r="AI4" s="58" t="e">
        <f t="shared" ca="1" si="4"/>
        <v>#N/A</v>
      </c>
      <c r="AJ4" s="58" t="e">
        <f t="shared" ca="1" si="4"/>
        <v>#N/A</v>
      </c>
      <c r="AK4" s="58" t="e">
        <f t="shared" ca="1" si="4"/>
        <v>#N/A</v>
      </c>
      <c r="AL4" s="58" t="e">
        <f t="shared" ca="1" si="4"/>
        <v>#N/A</v>
      </c>
      <c r="AP4" s="66"/>
    </row>
    <row r="5" spans="1:42" ht="16.5" customHeight="1">
      <c r="A5" s="74" t="e">
        <f ca="1">IF(AND((TODAY()-B5)&lt;7,(TODAY()-B5&gt;=0)),B5,NA())</f>
        <v>#N/A</v>
      </c>
      <c r="B5" s="56">
        <f t="shared" si="10"/>
        <v>43875</v>
      </c>
      <c r="C5" s="59">
        <f ca="1">IF($B5&lt;=TODAY(),SUMIF('Stats 2020'!$M$24:$M$1048576,"&lt;="&amp;Graphs!$B5,'Stats 2020'!O$24:O$1048576),NA())</f>
        <v>61</v>
      </c>
      <c r="D5" s="59">
        <f t="shared" ca="1" si="5"/>
        <v>94</v>
      </c>
      <c r="E5" s="59">
        <f ca="1">IF($B5&lt;=TODAY(),SUMIF('Stats 2020'!$M$24:$M$1048576,"&lt;="&amp;Graphs!$B5,'Stats 2020'!Q$24:Q$1048576),NA())</f>
        <v>50</v>
      </c>
      <c r="F5" s="59">
        <f t="shared" ca="1" si="6"/>
        <v>94</v>
      </c>
      <c r="G5" s="59">
        <f ca="1">IF($B5&lt;=TODAY(),SUMIF('Stats 2020'!$M$24:$M$1048576,"&lt;="&amp;Graphs!$B5,'Stats 2020'!S$24:S$1048576),NA())</f>
        <v>83</v>
      </c>
      <c r="H5" s="59">
        <f ca="1">IF($B5&lt;=TODAY(),SUMIF('Stats 2020'!$M$24:$M$1048576,"&lt;="&amp;Graphs!$B5,'Stats 2020'!T$24:T$1048576),NA())</f>
        <v>50</v>
      </c>
      <c r="I5" s="58" t="e">
        <f t="shared" ca="1" si="3"/>
        <v>#N/A</v>
      </c>
      <c r="J5" s="58" t="e">
        <f t="shared" ca="1" si="3"/>
        <v>#N/A</v>
      </c>
      <c r="K5" s="58" t="e">
        <f t="shared" ca="1" si="3"/>
        <v>#N/A</v>
      </c>
      <c r="L5" s="58" t="e">
        <f t="shared" ca="1" si="3"/>
        <v>#N/A</v>
      </c>
      <c r="M5" s="58" t="e">
        <f t="shared" ca="1" si="3"/>
        <v>#N/A</v>
      </c>
      <c r="N5" s="58" t="e">
        <f t="shared" ca="1" si="3"/>
        <v>#N/A</v>
      </c>
      <c r="O5" s="60"/>
      <c r="P5" s="65">
        <f t="shared" si="7"/>
        <v>43875</v>
      </c>
      <c r="Q5" s="66">
        <f>VLOOKUP($B5,'Stats 2020'!$D$25:$J$200,MATCH(Graphs!Q$1,'Stats 2020'!$D$18:$J$18,0),0)</f>
        <v>1</v>
      </c>
      <c r="R5" s="66" t="str">
        <f>VLOOKUP($B5,'Stats 2020'!$D$25:$J$200,MATCH(Graphs!R$1,'Stats 2020'!$D$18:$J$18,0),0)</f>
        <v/>
      </c>
      <c r="S5" s="66">
        <f>VLOOKUP($B5,'Stats 2020'!$D$25:$J$200,MATCH(Graphs!S$1,'Stats 2020'!$D$18:$J$18,0),0)</f>
        <v>1</v>
      </c>
      <c r="T5" s="66" t="str">
        <f>VLOOKUP($B5,'Stats 2020'!$D$25:$J$200,MATCH(Graphs!T$1,'Stats 2020'!$D$18:$J$18,0),0)</f>
        <v/>
      </c>
      <c r="U5" s="66">
        <f>VLOOKUP($B5,'Stats 2020'!$D$25:$J$200,MATCH(Graphs!U$1,'Stats 2020'!$D$18:$J$18,0),0)</f>
        <v>0</v>
      </c>
      <c r="V5" s="66">
        <f>VLOOKUP($B5,'Stats 2020'!$D$25:$J$200,MATCH(Graphs!V$1,'Stats 2020'!$D$18:$J$18,0),0)</f>
        <v>1</v>
      </c>
      <c r="W5" s="69"/>
      <c r="X5" s="65">
        <f t="shared" si="8"/>
        <v>43875</v>
      </c>
      <c r="Y5" s="69">
        <f>SUM(Q$2:Q5)/COUNTA($P$2:$P5)</f>
        <v>0.75</v>
      </c>
      <c r="Z5" s="69">
        <f>SUM(R$2:R5)/COUNTA($P$2:$P5)</f>
        <v>0</v>
      </c>
      <c r="AA5" s="69">
        <f>SUM(S$2:S5)/COUNTA($P$2:$P5)</f>
        <v>1</v>
      </c>
      <c r="AB5" s="69">
        <f>SUM(T$2:T5)/COUNTA($P$2:$P5)</f>
        <v>0</v>
      </c>
      <c r="AC5" s="69">
        <f>SUM(U$2:U5)/COUNTA($P$2:$P5)</f>
        <v>0.25</v>
      </c>
      <c r="AD5" s="69">
        <f>SUM(V$2:V5)/COUNTA($P$2:$P5)</f>
        <v>1</v>
      </c>
      <c r="AE5" s="70">
        <f t="shared" si="9"/>
        <v>0.5</v>
      </c>
      <c r="AF5" s="58" t="e">
        <f t="shared" ca="1" si="4"/>
        <v>#N/A</v>
      </c>
      <c r="AG5" s="58" t="e">
        <f t="shared" ca="1" si="4"/>
        <v>#N/A</v>
      </c>
      <c r="AH5" s="58" t="e">
        <f t="shared" ca="1" si="4"/>
        <v>#N/A</v>
      </c>
      <c r="AI5" s="58" t="e">
        <f t="shared" ca="1" si="4"/>
        <v>#N/A</v>
      </c>
      <c r="AJ5" s="58" t="e">
        <f t="shared" ca="1" si="4"/>
        <v>#N/A</v>
      </c>
      <c r="AK5" s="58" t="e">
        <f t="shared" ca="1" si="4"/>
        <v>#N/A</v>
      </c>
      <c r="AL5" s="58" t="e">
        <f t="shared" ca="1" si="4"/>
        <v>#N/A</v>
      </c>
      <c r="AO5" s="81" t="s">
        <v>73</v>
      </c>
      <c r="AP5" s="66"/>
    </row>
    <row r="6" spans="1:42" ht="16.5" customHeight="1">
      <c r="A6" s="74" t="e">
        <f ca="1">IF(AND((TODAY()-B6)&lt;7,(TODAY()-B6&gt;=0)),B6,NA())</f>
        <v>#N/A</v>
      </c>
      <c r="B6" s="56">
        <f t="shared" si="10"/>
        <v>43882</v>
      </c>
      <c r="C6" s="59">
        <f ca="1">IF($B6&lt;=TODAY(),SUMIF('Stats 2020'!$M$24:$M$1048576,"&lt;="&amp;Graphs!$B6,'Stats 2020'!O$24:O$1048576),NA())</f>
        <v>61</v>
      </c>
      <c r="D6" s="59">
        <f t="shared" ca="1" si="5"/>
        <v>94</v>
      </c>
      <c r="E6" s="59">
        <f ca="1">IF($B6&lt;=TODAY(),SUMIF('Stats 2020'!$M$24:$M$1048576,"&lt;="&amp;Graphs!$B6,'Stats 2020'!Q$24:Q$1048576),NA())</f>
        <v>50</v>
      </c>
      <c r="F6" s="59">
        <f t="shared" ca="1" si="6"/>
        <v>94</v>
      </c>
      <c r="G6" s="59">
        <f ca="1">IF($B6&lt;=TODAY(),SUMIF('Stats 2020'!$M$24:$M$1048576,"&lt;="&amp;Graphs!$B6,'Stats 2020'!S$24:S$1048576),NA())</f>
        <v>83</v>
      </c>
      <c r="H6" s="59">
        <f ca="1">IF($B6&lt;=TODAY(),SUMIF('Stats 2020'!$M$24:$M$1048576,"&lt;="&amp;Graphs!$B6,'Stats 2020'!T$24:T$1048576),NA())</f>
        <v>50</v>
      </c>
      <c r="I6" s="58" t="e">
        <f t="shared" ca="1" si="3"/>
        <v>#N/A</v>
      </c>
      <c r="J6" s="58" t="e">
        <f t="shared" ca="1" si="3"/>
        <v>#N/A</v>
      </c>
      <c r="K6" s="58" t="e">
        <f t="shared" ca="1" si="3"/>
        <v>#N/A</v>
      </c>
      <c r="L6" s="58" t="e">
        <f t="shared" ca="1" si="3"/>
        <v>#N/A</v>
      </c>
      <c r="M6" s="58" t="e">
        <f t="shared" ca="1" si="3"/>
        <v>#N/A</v>
      </c>
      <c r="N6" s="58" t="e">
        <f t="shared" ca="1" si="3"/>
        <v>#N/A</v>
      </c>
      <c r="O6" s="60"/>
      <c r="P6" s="65">
        <f t="shared" si="7"/>
        <v>43882</v>
      </c>
      <c r="Q6" s="66">
        <f>VLOOKUP($B6,'Stats 2020'!$D$25:$J$200,MATCH(Graphs!Q$1,'Stats 2020'!$D$18:$J$18,0),0)</f>
        <v>1</v>
      </c>
      <c r="R6" s="66" t="str">
        <f>VLOOKUP($B6,'Stats 2020'!$D$25:$J$200,MATCH(Graphs!R$1,'Stats 2020'!$D$18:$J$18,0),0)</f>
        <v/>
      </c>
      <c r="S6" s="66">
        <f>VLOOKUP($B6,'Stats 2020'!$D$25:$J$200,MATCH(Graphs!S$1,'Stats 2020'!$D$18:$J$18,0),0)</f>
        <v>1</v>
      </c>
      <c r="T6" s="66" t="str">
        <f>VLOOKUP($B6,'Stats 2020'!$D$25:$J$200,MATCH(Graphs!T$1,'Stats 2020'!$D$18:$J$18,0),0)</f>
        <v/>
      </c>
      <c r="U6" s="66">
        <f>VLOOKUP($B6,'Stats 2020'!$D$25:$J$200,MATCH(Graphs!U$1,'Stats 2020'!$D$18:$J$18,0),0)</f>
        <v>1</v>
      </c>
      <c r="V6" s="66">
        <f>VLOOKUP($B6,'Stats 2020'!$D$25:$J$200,MATCH(Graphs!V$1,'Stats 2020'!$D$18:$J$18,0),0)</f>
        <v>1</v>
      </c>
      <c r="W6" s="69"/>
      <c r="X6" s="65">
        <f t="shared" si="8"/>
        <v>43882</v>
      </c>
      <c r="Y6" s="69">
        <f>SUM(Q$2:Q6)/COUNTA($P$2:$P6)</f>
        <v>0.8</v>
      </c>
      <c r="Z6" s="69">
        <f>SUM(R$2:R6)/COUNTA($P$2:$P6)</f>
        <v>0</v>
      </c>
      <c r="AA6" s="69">
        <f>SUM(S$2:S6)/COUNTA($P$2:$P6)</f>
        <v>1</v>
      </c>
      <c r="AB6" s="69">
        <f>SUM(T$2:T6)/COUNTA($P$2:$P6)</f>
        <v>0</v>
      </c>
      <c r="AC6" s="69">
        <f>SUM(U$2:U6)/COUNTA($P$2:$P6)</f>
        <v>0.4</v>
      </c>
      <c r="AD6" s="69">
        <f>SUM(V$2:V6)/COUNTA($P$2:$P6)</f>
        <v>1</v>
      </c>
      <c r="AE6" s="70">
        <f t="shared" si="9"/>
        <v>0.53333333333333333</v>
      </c>
      <c r="AF6" s="75" t="e">
        <f t="shared" ca="1" si="4"/>
        <v>#N/A</v>
      </c>
      <c r="AG6" s="75" t="e">
        <f t="shared" ca="1" si="4"/>
        <v>#N/A</v>
      </c>
      <c r="AH6" s="75" t="e">
        <f t="shared" ca="1" si="4"/>
        <v>#N/A</v>
      </c>
      <c r="AI6" s="75" t="e">
        <f t="shared" ca="1" si="4"/>
        <v>#N/A</v>
      </c>
      <c r="AJ6" s="75" t="e">
        <f t="shared" ca="1" si="4"/>
        <v>#N/A</v>
      </c>
      <c r="AK6" s="75" t="e">
        <f t="shared" ca="1" si="4"/>
        <v>#N/A</v>
      </c>
      <c r="AL6" s="75" t="e">
        <f t="shared" ca="1" si="4"/>
        <v>#N/A</v>
      </c>
      <c r="AO6" s="81" t="s">
        <v>74</v>
      </c>
      <c r="AP6" s="66"/>
    </row>
    <row r="7" spans="1:42" ht="16.5" customHeight="1">
      <c r="A7" s="74" t="e">
        <f t="shared" ref="A7:A59" ca="1" si="11">IF(AND((TODAY()-B7)&lt;7,(TODAY()-B7&gt;=0)),B7,NA())</f>
        <v>#N/A</v>
      </c>
      <c r="B7" s="56">
        <f>B6+7</f>
        <v>43889</v>
      </c>
      <c r="C7" s="59">
        <f ca="1">IF($B7&lt;=TODAY(),SUMIF('Stats 2020'!$M$24:$M$1048576,"&lt;="&amp;Graphs!$B7,'Stats 2020'!O$24:O$1048576),NA())</f>
        <v>63.75</v>
      </c>
      <c r="D7" s="59">
        <f t="shared" ca="1" si="5"/>
        <v>96.75</v>
      </c>
      <c r="E7" s="59">
        <f ca="1">IF($B7&lt;=TODAY(),SUMIF('Stats 2020'!$M$24:$M$1048576,"&lt;="&amp;Graphs!$B7,'Stats 2020'!Q$24:Q$1048576),NA())</f>
        <v>61</v>
      </c>
      <c r="F7" s="59">
        <f t="shared" ca="1" si="6"/>
        <v>96.75</v>
      </c>
      <c r="G7" s="59">
        <f ca="1">IF($B7&lt;=TODAY(),SUMIF('Stats 2020'!$M$24:$M$1048576,"&lt;="&amp;Graphs!$B7,'Stats 2020'!S$24:S$1048576),NA())</f>
        <v>85.75</v>
      </c>
      <c r="H7" s="59">
        <f ca="1">IF($B7&lt;=TODAY(),SUMIF('Stats 2020'!$M$24:$M$1048576,"&lt;="&amp;Graphs!$B7,'Stats 2020'!T$24:T$1048576),NA())</f>
        <v>61</v>
      </c>
      <c r="I7" s="58" t="e">
        <f t="shared" ca="1" si="3"/>
        <v>#N/A</v>
      </c>
      <c r="J7" s="58" t="e">
        <f t="shared" ca="1" si="3"/>
        <v>#N/A</v>
      </c>
      <c r="K7" s="58" t="e">
        <f t="shared" ca="1" si="3"/>
        <v>#N/A</v>
      </c>
      <c r="L7" s="58" t="e">
        <f t="shared" ca="1" si="3"/>
        <v>#N/A</v>
      </c>
      <c r="M7" s="58" t="e">
        <f t="shared" ca="1" si="3"/>
        <v>#N/A</v>
      </c>
      <c r="N7" s="58" t="e">
        <f t="shared" ca="1" si="3"/>
        <v>#N/A</v>
      </c>
      <c r="O7" s="60"/>
      <c r="P7" s="65">
        <f t="shared" si="7"/>
        <v>43889</v>
      </c>
      <c r="Q7" s="66">
        <f>VLOOKUP($B7,'Stats 2020'!$D$25:$J$200,MATCH(Graphs!Q$1,'Stats 2020'!$D$18:$J$18,0),0)</f>
        <v>1</v>
      </c>
      <c r="R7" s="66" t="str">
        <f>VLOOKUP($B7,'Stats 2020'!$D$25:$J$200,MATCH(Graphs!R$1,'Stats 2020'!$D$18:$J$18,0),0)</f>
        <v/>
      </c>
      <c r="S7" s="66">
        <f>VLOOKUP($B7,'Stats 2020'!$D$25:$J$200,MATCH(Graphs!S$1,'Stats 2020'!$D$18:$J$18,0),0)</f>
        <v>0</v>
      </c>
      <c r="T7" s="66" t="str">
        <f>VLOOKUP($B7,'Stats 2020'!$D$25:$J$200,MATCH(Graphs!T$1,'Stats 2020'!$D$18:$J$18,0),0)</f>
        <v/>
      </c>
      <c r="U7" s="66">
        <f>VLOOKUP($B7,'Stats 2020'!$D$25:$J$200,MATCH(Graphs!U$1,'Stats 2020'!$D$18:$J$18,0),0)</f>
        <v>1</v>
      </c>
      <c r="V7" s="66">
        <f>VLOOKUP($B7,'Stats 2020'!$D$25:$J$200,MATCH(Graphs!V$1,'Stats 2020'!$D$18:$J$18,0),0)</f>
        <v>0</v>
      </c>
      <c r="W7" s="66"/>
      <c r="X7" s="65">
        <f t="shared" si="8"/>
        <v>43889</v>
      </c>
      <c r="Y7" s="69">
        <f>SUM(Q$2:Q7)/COUNTA($P$2:$P7)</f>
        <v>0.83333333333333337</v>
      </c>
      <c r="Z7" s="69">
        <f>SUM(R$2:R7)/COUNTA($P$2:$P7)</f>
        <v>0</v>
      </c>
      <c r="AA7" s="69">
        <f>SUM(S$2:S7)/COUNTA($P$2:$P7)</f>
        <v>0.83333333333333337</v>
      </c>
      <c r="AB7" s="69">
        <f>SUM(T$2:T7)/COUNTA($P$2:$P7)</f>
        <v>0</v>
      </c>
      <c r="AC7" s="69">
        <f>SUM(U$2:U7)/COUNTA($P$2:$P7)</f>
        <v>0.5</v>
      </c>
      <c r="AD7" s="69">
        <f>SUM(V$2:V7)/COUNTA($P$2:$P7)</f>
        <v>0.83333333333333337</v>
      </c>
      <c r="AE7" s="70">
        <f t="shared" si="9"/>
        <v>0.50000000000000011</v>
      </c>
      <c r="AF7" s="58" t="e">
        <f t="shared" ca="1" si="4"/>
        <v>#N/A</v>
      </c>
      <c r="AG7" s="58" t="e">
        <f t="shared" ca="1" si="4"/>
        <v>#N/A</v>
      </c>
      <c r="AH7" s="58" t="e">
        <f t="shared" ca="1" si="4"/>
        <v>#N/A</v>
      </c>
      <c r="AI7" s="58" t="e">
        <f t="shared" ca="1" si="4"/>
        <v>#N/A</v>
      </c>
      <c r="AJ7" s="58" t="e">
        <f t="shared" ca="1" si="4"/>
        <v>#N/A</v>
      </c>
      <c r="AK7" s="58" t="e">
        <f t="shared" ca="1" si="4"/>
        <v>#N/A</v>
      </c>
      <c r="AL7" s="58" t="e">
        <f t="shared" ca="1" si="4"/>
        <v>#N/A</v>
      </c>
      <c r="AO7" s="81" t="s">
        <v>75</v>
      </c>
      <c r="AP7" s="66"/>
    </row>
    <row r="8" spans="1:42" ht="16.5" customHeight="1">
      <c r="A8" s="74" t="e">
        <f t="shared" ca="1" si="11"/>
        <v>#N/A</v>
      </c>
      <c r="B8" s="56">
        <f t="shared" si="10"/>
        <v>43896</v>
      </c>
      <c r="C8" s="59">
        <f ca="1">IF($B8&lt;=TODAY(),SUMIF('Stats 2020'!$M$24:$M$1048576,"&lt;="&amp;Graphs!$B8,'Stats 2020'!O$24:O$1048576),NA())</f>
        <v>63.75</v>
      </c>
      <c r="D8" s="59">
        <f t="shared" ca="1" si="5"/>
        <v>96.75</v>
      </c>
      <c r="E8" s="59">
        <f ca="1">IF($B8&lt;=TODAY(),SUMIF('Stats 2020'!$M$24:$M$1048576,"&lt;="&amp;Graphs!$B8,'Stats 2020'!Q$24:Q$1048576),NA())</f>
        <v>61</v>
      </c>
      <c r="F8" s="59">
        <f t="shared" ca="1" si="6"/>
        <v>96.75</v>
      </c>
      <c r="G8" s="59">
        <f ca="1">IF($B8&lt;=TODAY(),SUMIF('Stats 2020'!$M$24:$M$1048576,"&lt;="&amp;Graphs!$B8,'Stats 2020'!S$24:S$1048576),NA())</f>
        <v>85.75</v>
      </c>
      <c r="H8" s="59">
        <f ca="1">IF($B8&lt;=TODAY(),SUMIF('Stats 2020'!$M$24:$M$1048576,"&lt;="&amp;Graphs!$B8,'Stats 2020'!T$24:T$1048576),NA())</f>
        <v>61</v>
      </c>
      <c r="I8" s="58" t="e">
        <f t="shared" ca="1" si="3"/>
        <v>#N/A</v>
      </c>
      <c r="J8" s="58" t="e">
        <f t="shared" ca="1" si="3"/>
        <v>#N/A</v>
      </c>
      <c r="K8" s="58" t="e">
        <f t="shared" ca="1" si="3"/>
        <v>#N/A</v>
      </c>
      <c r="L8" s="58" t="e">
        <f t="shared" ca="1" si="3"/>
        <v>#N/A</v>
      </c>
      <c r="M8" s="58" t="e">
        <f t="shared" ca="1" si="3"/>
        <v>#N/A</v>
      </c>
      <c r="N8" s="58" t="e">
        <f t="shared" ca="1" si="3"/>
        <v>#N/A</v>
      </c>
      <c r="O8" s="60"/>
      <c r="P8" s="65">
        <f t="shared" si="7"/>
        <v>43896</v>
      </c>
      <c r="Q8" s="66">
        <f>VLOOKUP($B8,'Stats 2020'!$D$25:$J$200,MATCH(Graphs!Q$1,'Stats 2020'!$D$18:$J$18,0),0)</f>
        <v>1</v>
      </c>
      <c r="R8" s="66" t="str">
        <f>VLOOKUP($B8,'Stats 2020'!$D$25:$J$200,MATCH(Graphs!R$1,'Stats 2020'!$D$18:$J$18,0),0)</f>
        <v/>
      </c>
      <c r="S8" s="66">
        <f>VLOOKUP($B8,'Stats 2020'!$D$25:$J$200,MATCH(Graphs!S$1,'Stats 2020'!$D$18:$J$18,0),0)</f>
        <v>1</v>
      </c>
      <c r="T8" s="66" t="str">
        <f>VLOOKUP($B8,'Stats 2020'!$D$25:$J$200,MATCH(Graphs!T$1,'Stats 2020'!$D$18:$J$18,0),0)</f>
        <v/>
      </c>
      <c r="U8" s="66">
        <f>VLOOKUP($B8,'Stats 2020'!$D$25:$J$200,MATCH(Graphs!U$1,'Stats 2020'!$D$18:$J$18,0),0)</f>
        <v>1</v>
      </c>
      <c r="V8" s="66">
        <f>VLOOKUP($B8,'Stats 2020'!$D$25:$J$200,MATCH(Graphs!V$1,'Stats 2020'!$D$18:$J$18,0),0)</f>
        <v>1</v>
      </c>
      <c r="W8" s="66"/>
      <c r="X8" s="65">
        <f t="shared" si="8"/>
        <v>43896</v>
      </c>
      <c r="Y8" s="69">
        <f>SUM(Q$2:Q8)/COUNTA($P$2:$P8)</f>
        <v>0.8571428571428571</v>
      </c>
      <c r="Z8" s="69">
        <f>SUM(R$2:R8)/COUNTA($P$2:$P8)</f>
        <v>0</v>
      </c>
      <c r="AA8" s="69">
        <f>SUM(S$2:S8)/COUNTA($P$2:$P8)</f>
        <v>0.8571428571428571</v>
      </c>
      <c r="AB8" s="69">
        <f>SUM(T$2:T8)/COUNTA($P$2:$P8)</f>
        <v>0</v>
      </c>
      <c r="AC8" s="69">
        <f>SUM(U$2:U8)/COUNTA($P$2:$P8)</f>
        <v>0.5714285714285714</v>
      </c>
      <c r="AD8" s="69">
        <f>SUM(V$2:V8)/COUNTA($P$2:$P8)</f>
        <v>0.8571428571428571</v>
      </c>
      <c r="AE8" s="70">
        <f t="shared" si="9"/>
        <v>0.52380952380952384</v>
      </c>
      <c r="AF8" s="58" t="e">
        <f t="shared" ca="1" si="4"/>
        <v>#N/A</v>
      </c>
      <c r="AG8" s="58" t="e">
        <f t="shared" ca="1" si="4"/>
        <v>#N/A</v>
      </c>
      <c r="AH8" s="58" t="e">
        <f t="shared" ca="1" si="4"/>
        <v>#N/A</v>
      </c>
      <c r="AI8" s="58" t="e">
        <f t="shared" ca="1" si="4"/>
        <v>#N/A</v>
      </c>
      <c r="AJ8" s="58" t="e">
        <f t="shared" ca="1" si="4"/>
        <v>#N/A</v>
      </c>
      <c r="AK8" s="58" t="e">
        <f t="shared" ca="1" si="4"/>
        <v>#N/A</v>
      </c>
      <c r="AL8" s="58" t="e">
        <f t="shared" ca="1" si="4"/>
        <v>#N/A</v>
      </c>
      <c r="AO8" s="81" t="s">
        <v>76</v>
      </c>
      <c r="AP8" s="66"/>
    </row>
    <row r="9" spans="1:42" ht="16.5" customHeight="1">
      <c r="A9" s="74" t="e">
        <f t="shared" ca="1" si="11"/>
        <v>#N/A</v>
      </c>
      <c r="B9" s="56">
        <f t="shared" si="10"/>
        <v>43903</v>
      </c>
      <c r="C9" s="59">
        <f ca="1">IF($B9&lt;=TODAY(),SUMIF('Stats 2020'!$M$24:$M$1048576,"&lt;="&amp;Graphs!$B9,'Stats 2020'!O$24:O$1048576),NA())</f>
        <v>63.75</v>
      </c>
      <c r="D9" s="59">
        <f ca="1">IF($B9&lt;=TODAY(),MAX($C9,$E9,$G9,$H9)+11+16.5,NA())</f>
        <v>113.25</v>
      </c>
      <c r="E9" s="59">
        <f ca="1">IF($B9&lt;=TODAY(),SUMIF('Stats 2020'!$M$24:$M$1048576,"&lt;="&amp;Graphs!$B9,'Stats 2020'!Q$24:Q$1048576),NA())</f>
        <v>72</v>
      </c>
      <c r="F9" s="59">
        <f ca="1">IF($B9&lt;=TODAY(),MAX($C9,$E9,$G9,$H9)+11+16.5,NA())</f>
        <v>113.25</v>
      </c>
      <c r="G9" s="59">
        <f ca="1">IF($B9&lt;=TODAY(),SUMIF('Stats 2020'!$M$24:$M$1048576,"&lt;="&amp;Graphs!$B9,'Stats 2020'!S$24:S$1048576),NA())</f>
        <v>85.75</v>
      </c>
      <c r="H9" s="59">
        <f ca="1">IF($B9&lt;=TODAY(),SUMIF('Stats 2020'!$M$24:$M$1048576,"&lt;="&amp;Graphs!$B9,'Stats 2020'!T$24:T$1048576),NA())</f>
        <v>61</v>
      </c>
      <c r="I9" s="58" t="e">
        <f t="shared" ca="1" si="3"/>
        <v>#N/A</v>
      </c>
      <c r="J9" s="58" t="e">
        <f t="shared" ca="1" si="3"/>
        <v>#N/A</v>
      </c>
      <c r="K9" s="58" t="e">
        <f t="shared" ca="1" si="3"/>
        <v>#N/A</v>
      </c>
      <c r="L9" s="58" t="e">
        <f t="shared" ca="1" si="3"/>
        <v>#N/A</v>
      </c>
      <c r="M9" s="58" t="e">
        <f t="shared" ca="1" si="3"/>
        <v>#N/A</v>
      </c>
      <c r="N9" s="58" t="e">
        <f t="shared" ca="1" si="3"/>
        <v>#N/A</v>
      </c>
      <c r="O9" s="60"/>
      <c r="P9" s="65">
        <f t="shared" si="7"/>
        <v>43903</v>
      </c>
      <c r="Q9" s="66">
        <f>VLOOKUP($B9,'Stats 2020'!$D$25:$J$200,MATCH(Graphs!Q$1,'Stats 2020'!$D$18:$J$18,0),0)</f>
        <v>1</v>
      </c>
      <c r="R9" s="66" t="str">
        <f>VLOOKUP($B9,'Stats 2020'!$D$25:$J$200,MATCH(Graphs!R$1,'Stats 2020'!$D$18:$J$18,0),0)</f>
        <v/>
      </c>
      <c r="S9" s="66">
        <f>VLOOKUP($B9,'Stats 2020'!$D$25:$J$200,MATCH(Graphs!S$1,'Stats 2020'!$D$18:$J$18,0),0)</f>
        <v>0</v>
      </c>
      <c r="T9" s="66" t="str">
        <f>VLOOKUP($B9,'Stats 2020'!$D$25:$J$200,MATCH(Graphs!T$1,'Stats 2020'!$D$18:$J$18,0),0)</f>
        <v/>
      </c>
      <c r="U9" s="66">
        <f>VLOOKUP($B9,'Stats 2020'!$D$25:$J$200,MATCH(Graphs!U$1,'Stats 2020'!$D$18:$J$18,0),0)</f>
        <v>1</v>
      </c>
      <c r="V9" s="66">
        <f>VLOOKUP($B9,'Stats 2020'!$D$25:$J$200,MATCH(Graphs!V$1,'Stats 2020'!$D$18:$J$18,0),0)</f>
        <v>1</v>
      </c>
      <c r="W9" s="66"/>
      <c r="X9" s="65">
        <f t="shared" si="8"/>
        <v>43903</v>
      </c>
      <c r="Y9" s="69">
        <f>SUM(Q$2:Q9)/COUNTA($P$2:$P9)</f>
        <v>0.875</v>
      </c>
      <c r="Z9" s="69">
        <f>SUM(R$2:R9)/COUNTA($P$2:$P9)</f>
        <v>0</v>
      </c>
      <c r="AA9" s="69">
        <f>SUM(S$2:S9)/COUNTA($P$2:$P9)</f>
        <v>0.75</v>
      </c>
      <c r="AB9" s="69">
        <f>SUM(T$2:T9)/COUNTA($P$2:$P9)</f>
        <v>0</v>
      </c>
      <c r="AC9" s="69">
        <f>SUM(U$2:U9)/COUNTA($P$2:$P9)</f>
        <v>0.625</v>
      </c>
      <c r="AD9" s="69">
        <f>SUM(V$2:V9)/COUNTA($P$2:$P9)</f>
        <v>0.875</v>
      </c>
      <c r="AE9" s="70">
        <f t="shared" si="9"/>
        <v>0.52083333333333337</v>
      </c>
      <c r="AF9" s="58" t="e">
        <f t="shared" ca="1" si="4"/>
        <v>#N/A</v>
      </c>
      <c r="AG9" s="58" t="e">
        <f t="shared" ca="1" si="4"/>
        <v>#N/A</v>
      </c>
      <c r="AH9" s="58" t="e">
        <f t="shared" ca="1" si="4"/>
        <v>#N/A</v>
      </c>
      <c r="AI9" s="58" t="e">
        <f t="shared" ca="1" si="4"/>
        <v>#N/A</v>
      </c>
      <c r="AJ9" s="58" t="e">
        <f t="shared" ca="1" si="4"/>
        <v>#N/A</v>
      </c>
      <c r="AK9" s="58" t="e">
        <f t="shared" ca="1" si="4"/>
        <v>#N/A</v>
      </c>
      <c r="AL9" s="58" t="e">
        <f t="shared" ca="1" si="4"/>
        <v>#N/A</v>
      </c>
      <c r="AO9" s="81" t="s">
        <v>77</v>
      </c>
      <c r="AP9" s="66"/>
    </row>
    <row r="10" spans="1:42">
      <c r="A10" s="74" t="e">
        <f t="shared" ca="1" si="11"/>
        <v>#N/A</v>
      </c>
      <c r="B10" s="56">
        <f t="shared" si="10"/>
        <v>43910</v>
      </c>
      <c r="C10" s="59">
        <f ca="1">IF($B10&lt;=TODAY(),SUMIF('Stats 2020'!$M$24:$M$1048576,"&lt;="&amp;Graphs!$B10,'Stats 2020'!O$24:O$1048576),NA())</f>
        <v>63.75</v>
      </c>
      <c r="D10" s="59">
        <f t="shared" ref="D10:D73" ca="1" si="12">IF($B10&lt;=TODAY(),MAX($C10,$E10,$G10,$H10)+11+16.5,NA())</f>
        <v>113.25</v>
      </c>
      <c r="E10" s="59">
        <f ca="1">IF($B10&lt;=TODAY(),SUMIF('Stats 2020'!$M$24:$M$1048576,"&lt;="&amp;Graphs!$B10,'Stats 2020'!Q$24:Q$1048576),NA())</f>
        <v>72</v>
      </c>
      <c r="F10" s="59">
        <f t="shared" ref="F10:F73" ca="1" si="13">IF($B10&lt;=TODAY(),MAX($C10,$E10,$G10,$H10)+11+16.5,NA())</f>
        <v>113.25</v>
      </c>
      <c r="G10" s="59">
        <f ca="1">IF($B10&lt;=TODAY(),SUMIF('Stats 2020'!$M$24:$M$1048576,"&lt;="&amp;Graphs!$B10,'Stats 2020'!S$24:S$1048576),NA())</f>
        <v>85.75</v>
      </c>
      <c r="H10" s="59">
        <f ca="1">IF($B10&lt;=TODAY(),SUMIF('Stats 2020'!$M$24:$M$1048576,"&lt;="&amp;Graphs!$B10,'Stats 2020'!T$24:T$1048576),NA())</f>
        <v>61</v>
      </c>
      <c r="I10" s="58" t="e">
        <f t="shared" ca="1" si="3"/>
        <v>#N/A</v>
      </c>
      <c r="J10" s="58" t="e">
        <f t="shared" ca="1" si="3"/>
        <v>#N/A</v>
      </c>
      <c r="K10" s="58" t="e">
        <f t="shared" ca="1" si="3"/>
        <v>#N/A</v>
      </c>
      <c r="L10" s="58" t="e">
        <f t="shared" ca="1" si="3"/>
        <v>#N/A</v>
      </c>
      <c r="M10" s="58" t="e">
        <f t="shared" ca="1" si="3"/>
        <v>#N/A</v>
      </c>
      <c r="N10" s="58" t="e">
        <f t="shared" ca="1" si="3"/>
        <v>#N/A</v>
      </c>
      <c r="O10" s="60"/>
      <c r="P10" s="65">
        <f t="shared" si="7"/>
        <v>43910</v>
      </c>
      <c r="Q10" s="66">
        <f>VLOOKUP($B10,'Stats 2020'!$D$25:$J$200,MATCH(Graphs!Q$1,'Stats 2020'!$D$18:$J$18,0),0)</f>
        <v>1</v>
      </c>
      <c r="R10" s="66" t="str">
        <f>VLOOKUP($B10,'Stats 2020'!$D$25:$J$200,MATCH(Graphs!R$1,'Stats 2020'!$D$18:$J$18,0),0)</f>
        <v/>
      </c>
      <c r="S10" s="66">
        <f>VLOOKUP($B10,'Stats 2020'!$D$25:$J$200,MATCH(Graphs!S$1,'Stats 2020'!$D$18:$J$18,0),0)</f>
        <v>1</v>
      </c>
      <c r="T10" s="66">
        <f>VLOOKUP($B10,'Stats 2020'!$D$25:$J$200,MATCH(Graphs!T$1,'Stats 2020'!$D$18:$J$18,0),0)</f>
        <v>1</v>
      </c>
      <c r="U10" s="66">
        <f>VLOOKUP($B10,'Stats 2020'!$D$25:$J$200,MATCH(Graphs!U$1,'Stats 2020'!$D$18:$J$18,0),0)</f>
        <v>1</v>
      </c>
      <c r="V10" s="66">
        <f>VLOOKUP($B10,'Stats 2020'!$D$25:$J$200,MATCH(Graphs!V$1,'Stats 2020'!$D$18:$J$18,0),0)</f>
        <v>1</v>
      </c>
      <c r="W10" s="66"/>
      <c r="X10" s="65">
        <f t="shared" si="8"/>
        <v>43910</v>
      </c>
      <c r="Y10" s="69">
        <f>SUM(Q$2:Q10)/COUNTA($P$2:$P10)</f>
        <v>0.88888888888888884</v>
      </c>
      <c r="Z10" s="69">
        <f>SUM(R$2:R10)/COUNTA($P$2:$P10)</f>
        <v>0</v>
      </c>
      <c r="AA10" s="69">
        <f>SUM(S$2:S10)/COUNTA($P$2:$P10)</f>
        <v>0.77777777777777779</v>
      </c>
      <c r="AB10" s="69">
        <f>SUM(T$2:T10)/COUNTA($P$2:$P10)</f>
        <v>0.1111111111111111</v>
      </c>
      <c r="AC10" s="69">
        <f>SUM(U$2:U10)/COUNTA($P$2:$P10)</f>
        <v>0.66666666666666663</v>
      </c>
      <c r="AD10" s="69">
        <f>SUM(V$2:V10)/COUNTA($P$2:$P10)</f>
        <v>0.88888888888888884</v>
      </c>
      <c r="AE10" s="70">
        <f t="shared" si="9"/>
        <v>0.55555555555555547</v>
      </c>
      <c r="AF10" s="58" t="e">
        <f t="shared" ca="1" si="4"/>
        <v>#N/A</v>
      </c>
      <c r="AG10" s="58" t="e">
        <f t="shared" ca="1" si="4"/>
        <v>#N/A</v>
      </c>
      <c r="AH10" s="58" t="e">
        <f t="shared" ca="1" si="4"/>
        <v>#N/A</v>
      </c>
      <c r="AI10" s="58" t="e">
        <f t="shared" ca="1" si="4"/>
        <v>#N/A</v>
      </c>
      <c r="AJ10" s="58" t="e">
        <f t="shared" ca="1" si="4"/>
        <v>#N/A</v>
      </c>
      <c r="AK10" s="58" t="e">
        <f t="shared" ca="1" si="4"/>
        <v>#N/A</v>
      </c>
      <c r="AL10" s="58" t="e">
        <f t="shared" ca="1" si="4"/>
        <v>#N/A</v>
      </c>
      <c r="AP10" s="66"/>
    </row>
    <row r="11" spans="1:42">
      <c r="A11" s="74" t="e">
        <f t="shared" ca="1" si="11"/>
        <v>#N/A</v>
      </c>
      <c r="B11" s="56">
        <f>7+B10</f>
        <v>43917</v>
      </c>
      <c r="C11" s="59">
        <f ca="1">IF($B11&lt;=TODAY(),SUMIF('Stats 2020'!$M$24:$M$1048576,"&lt;="&amp;Graphs!$B11,'Stats 2020'!O$24:O$1048576),NA())</f>
        <v>63.75</v>
      </c>
      <c r="D11" s="59">
        <f t="shared" ca="1" si="12"/>
        <v>113.25</v>
      </c>
      <c r="E11" s="59">
        <f ca="1">IF($B11&lt;=TODAY(),SUMIF('Stats 2020'!$M$24:$M$1048576,"&lt;="&amp;Graphs!$B11,'Stats 2020'!Q$24:Q$1048576),NA())</f>
        <v>72</v>
      </c>
      <c r="F11" s="59">
        <f t="shared" ca="1" si="13"/>
        <v>113.25</v>
      </c>
      <c r="G11" s="59">
        <f ca="1">IF($B11&lt;=TODAY(),SUMIF('Stats 2020'!$M$24:$M$1048576,"&lt;="&amp;Graphs!$B11,'Stats 2020'!S$24:S$1048576),NA())</f>
        <v>85.75</v>
      </c>
      <c r="H11" s="59">
        <f ca="1">IF($B11&lt;=TODAY(),SUMIF('Stats 2020'!$M$24:$M$1048576,"&lt;="&amp;Graphs!$B11,'Stats 2020'!T$24:T$1048576),NA())</f>
        <v>61</v>
      </c>
      <c r="I11" s="58" t="e">
        <f t="shared" ca="1" si="3"/>
        <v>#N/A</v>
      </c>
      <c r="J11" s="58" t="e">
        <f t="shared" ca="1" si="3"/>
        <v>#N/A</v>
      </c>
      <c r="K11" s="58" t="e">
        <f t="shared" ca="1" si="3"/>
        <v>#N/A</v>
      </c>
      <c r="L11" s="58" t="e">
        <f t="shared" ca="1" si="3"/>
        <v>#N/A</v>
      </c>
      <c r="M11" s="58" t="e">
        <f t="shared" ca="1" si="3"/>
        <v>#N/A</v>
      </c>
      <c r="N11" s="58" t="e">
        <f t="shared" ca="1" si="3"/>
        <v>#N/A</v>
      </c>
      <c r="O11" s="60"/>
      <c r="P11" s="65">
        <f t="shared" si="7"/>
        <v>43917</v>
      </c>
      <c r="Q11" s="66">
        <f>VLOOKUP($B11,'Stats 2020'!$D$25:$J$200,MATCH(Graphs!Q$1,'Stats 2020'!$D$18:$J$18,0),0)</f>
        <v>1</v>
      </c>
      <c r="R11" s="66">
        <f>VLOOKUP($B11,'Stats 2020'!$D$25:$J$200,MATCH(Graphs!R$1,'Stats 2020'!$D$18:$J$18,0),0)</f>
        <v>1</v>
      </c>
      <c r="S11" s="66">
        <f>VLOOKUP($B11,'Stats 2020'!$D$25:$J$200,MATCH(Graphs!S$1,'Stats 2020'!$D$18:$J$18,0),0)</f>
        <v>1</v>
      </c>
      <c r="T11" s="66">
        <f>VLOOKUP($B11,'Stats 2020'!$D$25:$J$200,MATCH(Graphs!T$1,'Stats 2020'!$D$18:$J$18,0),0)</f>
        <v>1</v>
      </c>
      <c r="U11" s="66">
        <f>VLOOKUP($B11,'Stats 2020'!$D$25:$J$200,MATCH(Graphs!U$1,'Stats 2020'!$D$18:$J$18,0),0)</f>
        <v>1</v>
      </c>
      <c r="V11" s="66">
        <f>VLOOKUP($B11,'Stats 2020'!$D$25:$J$200,MATCH(Graphs!V$1,'Stats 2020'!$D$18:$J$18,0),0)</f>
        <v>1</v>
      </c>
      <c r="W11" s="66"/>
      <c r="X11" s="65">
        <f t="shared" si="8"/>
        <v>43917</v>
      </c>
      <c r="Y11" s="69">
        <f>SUM(Q$2:Q11)/COUNTA($P$2:$P11)</f>
        <v>0.9</v>
      </c>
      <c r="Z11" s="69">
        <f>SUM(R$2:R11)/COUNTA($P$2:$P11)</f>
        <v>0.1</v>
      </c>
      <c r="AA11" s="69">
        <f>SUM(S$2:S11)/COUNTA($P$2:$P11)</f>
        <v>0.8</v>
      </c>
      <c r="AB11" s="69">
        <f>SUM(T$2:T11)/COUNTA($P$2:$P11)</f>
        <v>0.2</v>
      </c>
      <c r="AC11" s="69">
        <f>SUM(U$2:U11)/COUNTA($P$2:$P11)</f>
        <v>0.7</v>
      </c>
      <c r="AD11" s="69">
        <f>SUM(V$2:V11)/COUNTA($P$2:$P11)</f>
        <v>0.9</v>
      </c>
      <c r="AE11" s="70">
        <f>AVERAGE(Y11:AD11)</f>
        <v>0.6</v>
      </c>
      <c r="AF11" s="58" t="e">
        <f t="shared" ca="1" si="4"/>
        <v>#N/A</v>
      </c>
      <c r="AG11" s="58" t="e">
        <f t="shared" ca="1" si="4"/>
        <v>#N/A</v>
      </c>
      <c r="AH11" s="58" t="e">
        <f t="shared" ca="1" si="4"/>
        <v>#N/A</v>
      </c>
      <c r="AI11" s="58" t="e">
        <f t="shared" ca="1" si="4"/>
        <v>#N/A</v>
      </c>
      <c r="AJ11" s="58" t="e">
        <f t="shared" ca="1" si="4"/>
        <v>#N/A</v>
      </c>
      <c r="AK11" s="58" t="e">
        <f t="shared" ca="1" si="4"/>
        <v>#N/A</v>
      </c>
      <c r="AL11" s="58" t="e">
        <f t="shared" ca="1" si="4"/>
        <v>#N/A</v>
      </c>
      <c r="AP11" s="66"/>
    </row>
    <row r="12" spans="1:42" ht="16.5" customHeight="1">
      <c r="A12" s="74" t="e">
        <f t="shared" ca="1" si="11"/>
        <v>#N/A</v>
      </c>
      <c r="B12" s="56">
        <f>B10+14</f>
        <v>43924</v>
      </c>
      <c r="C12" s="59">
        <f ca="1">IF($B12&lt;=TODAY(),SUMIF('Stats 2020'!$M$24:$M$1048576,"&lt;="&amp;Graphs!$B12,'Stats 2020'!O$24:O$1048576),NA())</f>
        <v>63.75</v>
      </c>
      <c r="D12" s="59">
        <f t="shared" ca="1" si="12"/>
        <v>113.25</v>
      </c>
      <c r="E12" s="59">
        <f ca="1">IF($B12&lt;=TODAY(),SUMIF('Stats 2020'!$M$24:$M$1048576,"&lt;="&amp;Graphs!$B12,'Stats 2020'!Q$24:Q$1048576),NA())</f>
        <v>72</v>
      </c>
      <c r="F12" s="59">
        <f t="shared" ca="1" si="13"/>
        <v>113.25</v>
      </c>
      <c r="G12" s="59">
        <f ca="1">IF($B12&lt;=TODAY(),SUMIF('Stats 2020'!$M$24:$M$1048576,"&lt;="&amp;Graphs!$B12,'Stats 2020'!S$24:S$1048576),NA())</f>
        <v>85.75</v>
      </c>
      <c r="H12" s="59">
        <f ca="1">IF($B12&lt;=TODAY(),SUMIF('Stats 2020'!$M$24:$M$1048576,"&lt;="&amp;Graphs!$B12,'Stats 2020'!T$24:T$1048576),NA())</f>
        <v>61</v>
      </c>
      <c r="I12" s="58" t="e">
        <f t="shared" ref="I12:N21" ca="1" si="14">VLOOKUP($A12,$B$1:$H$59,MATCH(I$1,$B$1:$H$1,0),0)</f>
        <v>#N/A</v>
      </c>
      <c r="J12" s="58" t="e">
        <f t="shared" ca="1" si="14"/>
        <v>#N/A</v>
      </c>
      <c r="K12" s="58" t="e">
        <f t="shared" ca="1" si="14"/>
        <v>#N/A</v>
      </c>
      <c r="L12" s="58" t="e">
        <f t="shared" ca="1" si="14"/>
        <v>#N/A</v>
      </c>
      <c r="M12" s="58" t="e">
        <f t="shared" ca="1" si="14"/>
        <v>#N/A</v>
      </c>
      <c r="N12" s="58" t="e">
        <f t="shared" ca="1" si="14"/>
        <v>#N/A</v>
      </c>
      <c r="O12" s="60"/>
      <c r="P12" s="65">
        <f t="shared" si="7"/>
        <v>43924</v>
      </c>
      <c r="Q12" s="66">
        <f>VLOOKUP($B12,'Stats 2020'!$D$25:$J$200,MATCH(Graphs!Q$1,'Stats 2020'!$D$18:$J$18,0),0)</f>
        <v>1</v>
      </c>
      <c r="R12" s="66" t="str">
        <f>VLOOKUP($B12,'Stats 2020'!$D$25:$J$200,MATCH(Graphs!R$1,'Stats 2020'!$D$18:$J$18,0),0)</f>
        <v/>
      </c>
      <c r="S12" s="66">
        <f>VLOOKUP($B12,'Stats 2020'!$D$25:$J$200,MATCH(Graphs!S$1,'Stats 2020'!$D$18:$J$18,0),0)</f>
        <v>1</v>
      </c>
      <c r="T12" s="66">
        <f>VLOOKUP($B12,'Stats 2020'!$D$25:$J$200,MATCH(Graphs!T$1,'Stats 2020'!$D$18:$J$18,0),0)</f>
        <v>1</v>
      </c>
      <c r="U12" s="66">
        <f>VLOOKUP($B12,'Stats 2020'!$D$25:$J$200,MATCH(Graphs!U$1,'Stats 2020'!$D$18:$J$18,0),0)</f>
        <v>1</v>
      </c>
      <c r="V12" s="66">
        <f>VLOOKUP($B12,'Stats 2020'!$D$25:$J$200,MATCH(Graphs!V$1,'Stats 2020'!$D$18:$J$18,0),0)</f>
        <v>1</v>
      </c>
      <c r="W12" s="66"/>
      <c r="X12" s="65">
        <f t="shared" si="8"/>
        <v>43924</v>
      </c>
      <c r="Y12" s="69">
        <f>SUM(Q$2:Q12)/COUNTA($P$2:$P12)</f>
        <v>0.90909090909090906</v>
      </c>
      <c r="Z12" s="69">
        <f>SUM(R$2:R12)/COUNTA($P$2:$P12)</f>
        <v>9.0909090909090912E-2</v>
      </c>
      <c r="AA12" s="69">
        <f>SUM(S$2:S12)/COUNTA($P$2:$P12)</f>
        <v>0.81818181818181823</v>
      </c>
      <c r="AB12" s="69">
        <f>SUM(T$2:T12)/COUNTA($P$2:$P12)</f>
        <v>0.27272727272727271</v>
      </c>
      <c r="AC12" s="69">
        <f>SUM(U$2:U12)/COUNTA($P$2:$P12)</f>
        <v>0.72727272727272729</v>
      </c>
      <c r="AD12" s="69">
        <f>SUM(V$2:V12)/COUNTA($P$2:$P12)</f>
        <v>0.90909090909090906</v>
      </c>
      <c r="AE12" s="70">
        <f t="shared" si="9"/>
        <v>0.62121212121212122</v>
      </c>
      <c r="AF12" s="58" t="e">
        <f t="shared" ref="AF12:AL21" ca="1" si="15">VLOOKUP($A12,$X$1:$AE$59,MATCH(AF$1,$X$1:$AE$1,0),0)</f>
        <v>#N/A</v>
      </c>
      <c r="AG12" s="58" t="e">
        <f t="shared" ca="1" si="15"/>
        <v>#N/A</v>
      </c>
      <c r="AH12" s="58" t="e">
        <f t="shared" ca="1" si="15"/>
        <v>#N/A</v>
      </c>
      <c r="AI12" s="58" t="e">
        <f t="shared" ca="1" si="15"/>
        <v>#N/A</v>
      </c>
      <c r="AJ12" s="58" t="e">
        <f t="shared" ca="1" si="15"/>
        <v>#N/A</v>
      </c>
      <c r="AK12" s="58" t="e">
        <f t="shared" ca="1" si="15"/>
        <v>#N/A</v>
      </c>
      <c r="AL12" s="58" t="e">
        <f t="shared" ca="1" si="15"/>
        <v>#N/A</v>
      </c>
      <c r="AP12" s="66"/>
    </row>
    <row r="13" spans="1:42" ht="16.5" customHeight="1">
      <c r="A13" s="74" t="e">
        <f t="shared" ca="1" si="11"/>
        <v>#N/A</v>
      </c>
      <c r="B13" s="56">
        <f t="shared" si="10"/>
        <v>43931</v>
      </c>
      <c r="C13" s="59">
        <f ca="1">IF($B13&lt;=TODAY(),SUMIF('Stats 2020'!$M$24:$M$1048576,"&lt;="&amp;Graphs!$B13,'Stats 2020'!O$24:O$1048576),NA())</f>
        <v>63.75</v>
      </c>
      <c r="D13" s="59">
        <f t="shared" ca="1" si="12"/>
        <v>113.25</v>
      </c>
      <c r="E13" s="59">
        <f ca="1">IF($B13&lt;=TODAY(),SUMIF('Stats 2020'!$M$24:$M$1048576,"&lt;="&amp;Graphs!$B13,'Stats 2020'!Q$24:Q$1048576),NA())</f>
        <v>72</v>
      </c>
      <c r="F13" s="59">
        <f t="shared" ca="1" si="13"/>
        <v>113.25</v>
      </c>
      <c r="G13" s="59">
        <f ca="1">IF($B13&lt;=TODAY(),SUMIF('Stats 2020'!$M$24:$M$1048576,"&lt;="&amp;Graphs!$B13,'Stats 2020'!S$24:S$1048576),NA())</f>
        <v>85.75</v>
      </c>
      <c r="H13" s="59">
        <f ca="1">IF($B13&lt;=TODAY(),SUMIF('Stats 2020'!$M$24:$M$1048576,"&lt;="&amp;Graphs!$B13,'Stats 2020'!T$24:T$1048576),NA())</f>
        <v>61</v>
      </c>
      <c r="I13" s="58" t="e">
        <f t="shared" ca="1" si="14"/>
        <v>#N/A</v>
      </c>
      <c r="J13" s="58" t="e">
        <f t="shared" ca="1" si="14"/>
        <v>#N/A</v>
      </c>
      <c r="K13" s="58" t="e">
        <f t="shared" ca="1" si="14"/>
        <v>#N/A</v>
      </c>
      <c r="L13" s="58" t="e">
        <f t="shared" ca="1" si="14"/>
        <v>#N/A</v>
      </c>
      <c r="M13" s="58" t="e">
        <f t="shared" ca="1" si="14"/>
        <v>#N/A</v>
      </c>
      <c r="N13" s="58" t="e">
        <f t="shared" ca="1" si="14"/>
        <v>#N/A</v>
      </c>
      <c r="O13" s="60"/>
      <c r="P13" s="65">
        <f t="shared" si="7"/>
        <v>43931</v>
      </c>
      <c r="Q13" s="66"/>
      <c r="R13" s="66"/>
      <c r="S13" s="66"/>
      <c r="T13" s="66"/>
      <c r="U13" s="66"/>
      <c r="V13" s="66"/>
      <c r="W13" s="66"/>
      <c r="X13" s="65">
        <f t="shared" si="8"/>
        <v>43931</v>
      </c>
      <c r="Y13" s="69">
        <f>SUM(Q$2:Q12)/COUNTA($P$2:$P12)</f>
        <v>0.90909090909090906</v>
      </c>
      <c r="Z13" s="69">
        <f>SUM(R$2:R12)/COUNTA($P$2:$P12)</f>
        <v>9.0909090909090912E-2</v>
      </c>
      <c r="AA13" s="69">
        <f>SUM(S$2:S12)/COUNTA($P$2:$P12)</f>
        <v>0.81818181818181823</v>
      </c>
      <c r="AB13" s="69">
        <f>SUM(T$2:T12)/COUNTA($P$2:$P12)</f>
        <v>0.27272727272727271</v>
      </c>
      <c r="AC13" s="69">
        <f>SUM(U$2:U12)/COUNTA($P$2:$P12)</f>
        <v>0.72727272727272729</v>
      </c>
      <c r="AD13" s="69">
        <f>SUM(V$2:V12)/COUNTA($P$2:$P12)</f>
        <v>0.90909090909090906</v>
      </c>
      <c r="AE13" s="70">
        <f t="shared" si="9"/>
        <v>0.62121212121212122</v>
      </c>
      <c r="AF13" s="58" t="e">
        <f t="shared" ca="1" si="15"/>
        <v>#N/A</v>
      </c>
      <c r="AG13" s="58" t="e">
        <f t="shared" ca="1" si="15"/>
        <v>#N/A</v>
      </c>
      <c r="AH13" s="58" t="e">
        <f t="shared" ca="1" si="15"/>
        <v>#N/A</v>
      </c>
      <c r="AI13" s="58" t="e">
        <f t="shared" ca="1" si="15"/>
        <v>#N/A</v>
      </c>
      <c r="AJ13" s="58" t="e">
        <f t="shared" ca="1" si="15"/>
        <v>#N/A</v>
      </c>
      <c r="AK13" s="58" t="e">
        <f t="shared" ca="1" si="15"/>
        <v>#N/A</v>
      </c>
      <c r="AL13" s="58" t="e">
        <f t="shared" ca="1" si="15"/>
        <v>#N/A</v>
      </c>
      <c r="AP13" s="66"/>
    </row>
    <row r="14" spans="1:42" ht="16.5" customHeight="1">
      <c r="A14" s="74" t="e">
        <f t="shared" ca="1" si="11"/>
        <v>#N/A</v>
      </c>
      <c r="B14" s="56">
        <f>B13+7</f>
        <v>43938</v>
      </c>
      <c r="C14" s="59">
        <f ca="1">IF($B14&lt;=TODAY(),SUMIF('Stats 2020'!$M$24:$M$1048576,"&lt;="&amp;Graphs!$B14,'Stats 2020'!O$24:O$1048576),NA())</f>
        <v>74.75</v>
      </c>
      <c r="D14" s="59">
        <f t="shared" ca="1" si="12"/>
        <v>113.25</v>
      </c>
      <c r="E14" s="59">
        <f ca="1">IF($B14&lt;=TODAY(),SUMIF('Stats 2020'!$M$24:$M$1048576,"&lt;="&amp;Graphs!$B14,'Stats 2020'!Q$24:Q$1048576),NA())</f>
        <v>72</v>
      </c>
      <c r="F14" s="59">
        <f t="shared" ca="1" si="13"/>
        <v>113.25</v>
      </c>
      <c r="G14" s="59">
        <f ca="1">IF($B14&lt;=TODAY(),SUMIF('Stats 2020'!$M$24:$M$1048576,"&lt;="&amp;Graphs!$B14,'Stats 2020'!S$24:S$1048576),NA())</f>
        <v>85.75</v>
      </c>
      <c r="H14" s="59">
        <f ca="1">IF($B14&lt;=TODAY(),SUMIF('Stats 2020'!$M$24:$M$1048576,"&lt;="&amp;Graphs!$B14,'Stats 2020'!T$24:T$1048576),NA())</f>
        <v>61</v>
      </c>
      <c r="I14" s="58" t="e">
        <f t="shared" ca="1" si="14"/>
        <v>#N/A</v>
      </c>
      <c r="J14" s="58" t="e">
        <f t="shared" ca="1" si="14"/>
        <v>#N/A</v>
      </c>
      <c r="K14" s="58" t="e">
        <f t="shared" ca="1" si="14"/>
        <v>#N/A</v>
      </c>
      <c r="L14" s="58" t="e">
        <f t="shared" ca="1" si="14"/>
        <v>#N/A</v>
      </c>
      <c r="M14" s="58" t="e">
        <f t="shared" ca="1" si="14"/>
        <v>#N/A</v>
      </c>
      <c r="N14" s="58" t="e">
        <f t="shared" ca="1" si="14"/>
        <v>#N/A</v>
      </c>
      <c r="O14" s="60"/>
      <c r="P14" s="65">
        <f t="shared" si="7"/>
        <v>43938</v>
      </c>
      <c r="Q14" s="66">
        <f>VLOOKUP($B14,'Stats 2020'!$D$25:$J$200,MATCH(Graphs!Q$1,'Stats 2020'!$D$18:$J$18,0),0)</f>
        <v>1</v>
      </c>
      <c r="R14" s="66" t="str">
        <f>VLOOKUP($B14,'Stats 2020'!$D$25:$J$200,MATCH(Graphs!R$1,'Stats 2020'!$D$18:$J$18,0),0)</f>
        <v/>
      </c>
      <c r="S14" s="66">
        <f>VLOOKUP($B14,'Stats 2020'!$D$25:$J$200,MATCH(Graphs!S$1,'Stats 2020'!$D$18:$J$18,0),0)</f>
        <v>1</v>
      </c>
      <c r="T14" s="66" t="str">
        <f>VLOOKUP($B14,'Stats 2020'!$D$25:$J$200,MATCH(Graphs!T$1,'Stats 2020'!$D$18:$J$18,0),0)</f>
        <v/>
      </c>
      <c r="U14" s="66">
        <f>VLOOKUP($B14,'Stats 2020'!$D$25:$J$200,MATCH(Graphs!U$1,'Stats 2020'!$D$18:$J$18,0),0)</f>
        <v>1</v>
      </c>
      <c r="V14" s="66">
        <f>VLOOKUP($B14,'Stats 2020'!$D$25:$J$200,MATCH(Graphs!V$1,'Stats 2020'!$D$18:$J$18,0),0)</f>
        <v>1</v>
      </c>
      <c r="W14" s="66"/>
      <c r="X14" s="65">
        <f t="shared" si="8"/>
        <v>43938</v>
      </c>
      <c r="Y14" s="69">
        <f>SUM(Q$2:Q14)/COUNTA($P$2:$P14)</f>
        <v>0.84615384615384615</v>
      </c>
      <c r="Z14" s="69">
        <f>SUM(R$2:R14)/COUNTA($P$2:$P14)</f>
        <v>7.6923076923076927E-2</v>
      </c>
      <c r="AA14" s="69">
        <f>SUM(S$2:S14)/COUNTA($P$2:$P14)</f>
        <v>0.76923076923076927</v>
      </c>
      <c r="AB14" s="69">
        <f>SUM(T$2:T14)/COUNTA($P$2:$P14)</f>
        <v>0.23076923076923078</v>
      </c>
      <c r="AC14" s="69">
        <f>SUM(U$2:U14)/COUNTA($P$2:$P14)</f>
        <v>0.69230769230769229</v>
      </c>
      <c r="AD14" s="69">
        <f>SUM(V$2:V14)/COUNTA($P$2:$P14)</f>
        <v>0.84615384615384615</v>
      </c>
      <c r="AE14" s="70">
        <f t="shared" si="9"/>
        <v>0.57692307692307698</v>
      </c>
      <c r="AF14" s="58" t="e">
        <f t="shared" ca="1" si="15"/>
        <v>#N/A</v>
      </c>
      <c r="AG14" s="58" t="e">
        <f t="shared" ca="1" si="15"/>
        <v>#N/A</v>
      </c>
      <c r="AH14" s="58" t="e">
        <f t="shared" ca="1" si="15"/>
        <v>#N/A</v>
      </c>
      <c r="AI14" s="58" t="e">
        <f t="shared" ca="1" si="15"/>
        <v>#N/A</v>
      </c>
      <c r="AJ14" s="58" t="e">
        <f t="shared" ca="1" si="15"/>
        <v>#N/A</v>
      </c>
      <c r="AK14" s="58" t="e">
        <f t="shared" ca="1" si="15"/>
        <v>#N/A</v>
      </c>
      <c r="AL14" s="58" t="e">
        <f t="shared" ca="1" si="15"/>
        <v>#N/A</v>
      </c>
      <c r="AP14" s="66"/>
    </row>
    <row r="15" spans="1:42" ht="16.5" customHeight="1">
      <c r="A15" s="74" t="e">
        <f t="shared" ca="1" si="11"/>
        <v>#N/A</v>
      </c>
      <c r="B15" s="56">
        <f t="shared" si="10"/>
        <v>43945</v>
      </c>
      <c r="C15" s="59">
        <f ca="1">IF($B15&lt;=TODAY(),SUMIF('Stats 2020'!$M$24:$M$1048576,"&lt;="&amp;Graphs!$B15,'Stats 2020'!O$24:O$1048576),NA())</f>
        <v>74.75</v>
      </c>
      <c r="D15" s="59">
        <f t="shared" ca="1" si="12"/>
        <v>113.25</v>
      </c>
      <c r="E15" s="59">
        <f ca="1">IF($B15&lt;=TODAY(),SUMIF('Stats 2020'!$M$24:$M$1048576,"&lt;="&amp;Graphs!$B15,'Stats 2020'!Q$24:Q$1048576),NA())</f>
        <v>72</v>
      </c>
      <c r="F15" s="59">
        <f t="shared" ca="1" si="13"/>
        <v>113.25</v>
      </c>
      <c r="G15" s="59">
        <f ca="1">IF($B15&lt;=TODAY(),SUMIF('Stats 2020'!$M$24:$M$1048576,"&lt;="&amp;Graphs!$B15,'Stats 2020'!S$24:S$1048576),NA())</f>
        <v>85.75</v>
      </c>
      <c r="H15" s="59">
        <f ca="1">IF($B15&lt;=TODAY(),SUMIF('Stats 2020'!$M$24:$M$1048576,"&lt;="&amp;Graphs!$B15,'Stats 2020'!T$24:T$1048576),NA())</f>
        <v>61</v>
      </c>
      <c r="I15" s="58" t="e">
        <f t="shared" ca="1" si="14"/>
        <v>#N/A</v>
      </c>
      <c r="J15" s="58" t="e">
        <f t="shared" ca="1" si="14"/>
        <v>#N/A</v>
      </c>
      <c r="K15" s="58" t="e">
        <f t="shared" ca="1" si="14"/>
        <v>#N/A</v>
      </c>
      <c r="L15" s="58" t="e">
        <f t="shared" ca="1" si="14"/>
        <v>#N/A</v>
      </c>
      <c r="M15" s="58" t="e">
        <f t="shared" ca="1" si="14"/>
        <v>#N/A</v>
      </c>
      <c r="N15" s="58" t="e">
        <f t="shared" ca="1" si="14"/>
        <v>#N/A</v>
      </c>
      <c r="O15" s="60"/>
      <c r="P15" s="65">
        <f t="shared" si="7"/>
        <v>43945</v>
      </c>
      <c r="Q15" s="66">
        <f>VLOOKUP($B15,'Stats 2020'!$D$25:$J$200,MATCH(Graphs!Q$1,'Stats 2020'!$D$18:$J$18,0),0)</f>
        <v>1</v>
      </c>
      <c r="R15" s="66" t="str">
        <f>VLOOKUP($B15,'Stats 2020'!$D$25:$J$200,MATCH(Graphs!R$1,'Stats 2020'!$D$18:$J$18,0),0)</f>
        <v/>
      </c>
      <c r="S15" s="66">
        <f>VLOOKUP($B15,'Stats 2020'!$D$25:$J$200,MATCH(Graphs!S$1,'Stats 2020'!$D$18:$J$18,0),0)</f>
        <v>1</v>
      </c>
      <c r="T15" s="66">
        <f>VLOOKUP($B15,'Stats 2020'!$D$25:$J$200,MATCH(Graphs!T$1,'Stats 2020'!$D$18:$J$18,0),0)</f>
        <v>1</v>
      </c>
      <c r="U15" s="66">
        <f>VLOOKUP($B15,'Stats 2020'!$D$25:$J$200,MATCH(Graphs!U$1,'Stats 2020'!$D$18:$J$18,0),0)</f>
        <v>1</v>
      </c>
      <c r="V15" s="66">
        <f>VLOOKUP($B15,'Stats 2020'!$D$25:$J$200,MATCH(Graphs!V$1,'Stats 2020'!$D$18:$J$18,0),0)</f>
        <v>1</v>
      </c>
      <c r="W15" s="66"/>
      <c r="X15" s="65">
        <f t="shared" si="8"/>
        <v>43945</v>
      </c>
      <c r="Y15" s="69">
        <f>SUM(Q$2:Q15)/COUNTA($P$2:$P15)</f>
        <v>0.8571428571428571</v>
      </c>
      <c r="Z15" s="69">
        <f>SUM(R$2:R15)/COUNTA($P$2:$P15)</f>
        <v>7.1428571428571425E-2</v>
      </c>
      <c r="AA15" s="69">
        <f>SUM(S$2:S15)/COUNTA($P$2:$P15)</f>
        <v>0.7857142857142857</v>
      </c>
      <c r="AB15" s="69">
        <f>SUM(T$2:T15)/COUNTA($P$2:$P15)</f>
        <v>0.2857142857142857</v>
      </c>
      <c r="AC15" s="69">
        <f>SUM(U$2:U15)/COUNTA($P$2:$P15)</f>
        <v>0.7142857142857143</v>
      </c>
      <c r="AD15" s="69">
        <f>SUM(V$2:V15)/COUNTA($P$2:$P15)</f>
        <v>0.8571428571428571</v>
      </c>
      <c r="AE15" s="70">
        <f t="shared" ref="AE15:AE78" si="16">AVERAGE(Y15:AD15)</f>
        <v>0.59523809523809523</v>
      </c>
      <c r="AF15" s="58" t="e">
        <f t="shared" ca="1" si="15"/>
        <v>#N/A</v>
      </c>
      <c r="AG15" s="58" t="e">
        <f t="shared" ca="1" si="15"/>
        <v>#N/A</v>
      </c>
      <c r="AH15" s="58" t="e">
        <f t="shared" ca="1" si="15"/>
        <v>#N/A</v>
      </c>
      <c r="AI15" s="58" t="e">
        <f t="shared" ca="1" si="15"/>
        <v>#N/A</v>
      </c>
      <c r="AJ15" s="58" t="e">
        <f t="shared" ca="1" si="15"/>
        <v>#N/A</v>
      </c>
      <c r="AK15" s="58" t="e">
        <f t="shared" ca="1" si="15"/>
        <v>#N/A</v>
      </c>
      <c r="AL15" s="58" t="e">
        <f t="shared" ca="1" si="15"/>
        <v>#N/A</v>
      </c>
      <c r="AP15" s="66"/>
    </row>
    <row r="16" spans="1:42" ht="16.5" customHeight="1">
      <c r="A16" s="74" t="e">
        <f t="shared" ca="1" si="11"/>
        <v>#N/A</v>
      </c>
      <c r="B16" s="56">
        <f t="shared" si="10"/>
        <v>43952</v>
      </c>
      <c r="C16" s="59">
        <f ca="1">IF($B16&lt;=TODAY(),SUMIF('Stats 2020'!$M$24:$M$1048576,"&lt;="&amp;Graphs!$B16,'Stats 2020'!O$24:O$1048576),NA())</f>
        <v>74.75</v>
      </c>
      <c r="D16" s="59">
        <f t="shared" ca="1" si="12"/>
        <v>113.25</v>
      </c>
      <c r="E16" s="59">
        <f ca="1">IF($B16&lt;=TODAY(),SUMIF('Stats 2020'!$M$24:$M$1048576,"&lt;="&amp;Graphs!$B16,'Stats 2020'!Q$24:Q$1048576),NA())</f>
        <v>72</v>
      </c>
      <c r="F16" s="59">
        <f t="shared" ca="1" si="13"/>
        <v>113.25</v>
      </c>
      <c r="G16" s="59">
        <f ca="1">IF($B16&lt;=TODAY(),SUMIF('Stats 2020'!$M$24:$M$1048576,"&lt;="&amp;Graphs!$B16,'Stats 2020'!S$24:S$1048576),NA())</f>
        <v>85.75</v>
      </c>
      <c r="H16" s="59">
        <f ca="1">IF($B16&lt;=TODAY(),SUMIF('Stats 2020'!$M$24:$M$1048576,"&lt;="&amp;Graphs!$B16,'Stats 2020'!T$24:T$1048576),NA())</f>
        <v>61</v>
      </c>
      <c r="I16" s="58" t="e">
        <f t="shared" ca="1" si="14"/>
        <v>#N/A</v>
      </c>
      <c r="J16" s="58" t="e">
        <f t="shared" ca="1" si="14"/>
        <v>#N/A</v>
      </c>
      <c r="K16" s="58" t="e">
        <f t="shared" ca="1" si="14"/>
        <v>#N/A</v>
      </c>
      <c r="L16" s="58" t="e">
        <f t="shared" ca="1" si="14"/>
        <v>#N/A</v>
      </c>
      <c r="M16" s="58" t="e">
        <f t="shared" ca="1" si="14"/>
        <v>#N/A</v>
      </c>
      <c r="N16" s="58" t="e">
        <f t="shared" ca="1" si="14"/>
        <v>#N/A</v>
      </c>
      <c r="O16" s="60"/>
      <c r="P16" s="65">
        <f t="shared" si="7"/>
        <v>43952</v>
      </c>
      <c r="Q16" s="66">
        <f>VLOOKUP($B16,'Stats 2020'!$D$25:$J$200,MATCH(Graphs!Q$1,'Stats 2020'!$D$18:$J$18,0),0)</f>
        <v>1</v>
      </c>
      <c r="R16" s="66" t="str">
        <f>VLOOKUP($B16,'Stats 2020'!$D$25:$J$200,MATCH(Graphs!R$1,'Stats 2020'!$D$18:$J$18,0),0)</f>
        <v/>
      </c>
      <c r="S16" s="66">
        <f>VLOOKUP($B16,'Stats 2020'!$D$25:$J$200,MATCH(Graphs!S$1,'Stats 2020'!$D$18:$J$18,0),0)</f>
        <v>1</v>
      </c>
      <c r="T16" s="66">
        <f>VLOOKUP($B16,'Stats 2020'!$D$25:$J$200,MATCH(Graphs!T$1,'Stats 2020'!$D$18:$J$18,0),0)</f>
        <v>1</v>
      </c>
      <c r="U16" s="66">
        <f>VLOOKUP($B16,'Stats 2020'!$D$25:$J$200,MATCH(Graphs!U$1,'Stats 2020'!$D$18:$J$18,0),0)</f>
        <v>1</v>
      </c>
      <c r="V16" s="66">
        <f>VLOOKUP($B16,'Stats 2020'!$D$25:$J$200,MATCH(Graphs!V$1,'Stats 2020'!$D$18:$J$18,0),0)</f>
        <v>1</v>
      </c>
      <c r="W16" s="66"/>
      <c r="X16" s="65">
        <f t="shared" si="8"/>
        <v>43952</v>
      </c>
      <c r="Y16" s="69">
        <f>SUM(Q$2:Q16)/COUNTA($P$2:$P16)</f>
        <v>0.8666666666666667</v>
      </c>
      <c r="Z16" s="69">
        <f>SUM(R$2:R16)/COUNTA($P$2:$P16)</f>
        <v>6.6666666666666666E-2</v>
      </c>
      <c r="AA16" s="69">
        <f>SUM(S$2:S16)/COUNTA($P$2:$P16)</f>
        <v>0.8</v>
      </c>
      <c r="AB16" s="69">
        <f>SUM(T$2:T16)/COUNTA($P$2:$P16)</f>
        <v>0.33333333333333331</v>
      </c>
      <c r="AC16" s="69">
        <f>SUM(U$2:U16)/COUNTA($P$2:$P16)</f>
        <v>0.73333333333333328</v>
      </c>
      <c r="AD16" s="69">
        <f>SUM(V$2:V16)/COUNTA($P$2:$P16)</f>
        <v>0.8666666666666667</v>
      </c>
      <c r="AE16" s="70">
        <f t="shared" si="16"/>
        <v>0.61111111111111116</v>
      </c>
      <c r="AF16" s="58" t="e">
        <f t="shared" ca="1" si="15"/>
        <v>#N/A</v>
      </c>
      <c r="AG16" s="58" t="e">
        <f t="shared" ca="1" si="15"/>
        <v>#N/A</v>
      </c>
      <c r="AH16" s="58" t="e">
        <f t="shared" ca="1" si="15"/>
        <v>#N/A</v>
      </c>
      <c r="AI16" s="58" t="e">
        <f t="shared" ca="1" si="15"/>
        <v>#N/A</v>
      </c>
      <c r="AJ16" s="58" t="e">
        <f t="shared" ca="1" si="15"/>
        <v>#N/A</v>
      </c>
      <c r="AK16" s="58" t="e">
        <f t="shared" ca="1" si="15"/>
        <v>#N/A</v>
      </c>
      <c r="AL16" s="58" t="e">
        <f t="shared" ca="1" si="15"/>
        <v>#N/A</v>
      </c>
      <c r="AP16" s="66"/>
    </row>
    <row r="17" spans="1:42" ht="16.5" customHeight="1">
      <c r="A17" s="74" t="e">
        <f t="shared" ca="1" si="11"/>
        <v>#N/A</v>
      </c>
      <c r="B17" s="56">
        <f t="shared" si="10"/>
        <v>43959</v>
      </c>
      <c r="C17" s="59">
        <f ca="1">IF($B17&lt;=TODAY(),SUMIF('Stats 2020'!$M$24:$M$1048576,"&lt;="&amp;Graphs!$B17,'Stats 2020'!O$24:O$1048576),NA())</f>
        <v>74.75</v>
      </c>
      <c r="D17" s="59">
        <f t="shared" ca="1" si="12"/>
        <v>113.25</v>
      </c>
      <c r="E17" s="59">
        <f ca="1">IF($B17&lt;=TODAY(),SUMIF('Stats 2020'!$M$24:$M$1048576,"&lt;="&amp;Graphs!$B17,'Stats 2020'!Q$24:Q$1048576),NA())</f>
        <v>72</v>
      </c>
      <c r="F17" s="59">
        <f t="shared" ca="1" si="13"/>
        <v>113.25</v>
      </c>
      <c r="G17" s="59">
        <f ca="1">IF($B17&lt;=TODAY(),SUMIF('Stats 2020'!$M$24:$M$1048576,"&lt;="&amp;Graphs!$B17,'Stats 2020'!S$24:S$1048576),NA())</f>
        <v>85.75</v>
      </c>
      <c r="H17" s="59">
        <f ca="1">IF($B17&lt;=TODAY(),SUMIF('Stats 2020'!$M$24:$M$1048576,"&lt;="&amp;Graphs!$B17,'Stats 2020'!T$24:T$1048576),NA())</f>
        <v>61</v>
      </c>
      <c r="I17" s="58" t="e">
        <f t="shared" ca="1" si="14"/>
        <v>#N/A</v>
      </c>
      <c r="J17" s="58" t="e">
        <f t="shared" ca="1" si="14"/>
        <v>#N/A</v>
      </c>
      <c r="K17" s="58" t="e">
        <f t="shared" ca="1" si="14"/>
        <v>#N/A</v>
      </c>
      <c r="L17" s="58" t="e">
        <f t="shared" ca="1" si="14"/>
        <v>#N/A</v>
      </c>
      <c r="M17" s="58" t="e">
        <f t="shared" ca="1" si="14"/>
        <v>#N/A</v>
      </c>
      <c r="N17" s="58" t="e">
        <f t="shared" ca="1" si="14"/>
        <v>#N/A</v>
      </c>
      <c r="O17" s="60"/>
      <c r="P17" s="65">
        <f t="shared" si="7"/>
        <v>43959</v>
      </c>
      <c r="Q17" s="66">
        <f>VLOOKUP($B17,'Stats 2020'!$D$25:$J$200,MATCH(Graphs!Q$1,'Stats 2020'!$D$18:$J$18,0),0)</f>
        <v>1</v>
      </c>
      <c r="R17" s="66" t="str">
        <f>VLOOKUP($B17,'Stats 2020'!$D$25:$J$200,MATCH(Graphs!R$1,'Stats 2020'!$D$18:$J$18,0),0)</f>
        <v/>
      </c>
      <c r="S17" s="66">
        <f>VLOOKUP($B17,'Stats 2020'!$D$25:$J$200,MATCH(Graphs!S$1,'Stats 2020'!$D$18:$J$18,0),0)</f>
        <v>1</v>
      </c>
      <c r="T17" s="66" t="str">
        <f>VLOOKUP($B17,'Stats 2020'!$D$25:$J$200,MATCH(Graphs!T$1,'Stats 2020'!$D$18:$J$18,0),0)</f>
        <v/>
      </c>
      <c r="U17" s="66">
        <f>VLOOKUP($B17,'Stats 2020'!$D$25:$J$200,MATCH(Graphs!U$1,'Stats 2020'!$D$18:$J$18,0),0)</f>
        <v>1</v>
      </c>
      <c r="V17" s="66">
        <f>VLOOKUP($B17,'Stats 2020'!$D$25:$J$200,MATCH(Graphs!V$1,'Stats 2020'!$D$18:$J$18,0),0)</f>
        <v>1</v>
      </c>
      <c r="W17" s="66"/>
      <c r="X17" s="65">
        <f t="shared" si="8"/>
        <v>43959</v>
      </c>
      <c r="Y17" s="69">
        <f>SUM(Q$2:Q17)/COUNTA($P$2:$P17)</f>
        <v>0.875</v>
      </c>
      <c r="Z17" s="69">
        <f>SUM(R$2:R17)/COUNTA($P$2:$P17)</f>
        <v>6.25E-2</v>
      </c>
      <c r="AA17" s="69">
        <f>SUM(S$2:S17)/COUNTA($P$2:$P17)</f>
        <v>0.8125</v>
      </c>
      <c r="AB17" s="69">
        <f>SUM(T$2:T17)/COUNTA($P$2:$P17)</f>
        <v>0.3125</v>
      </c>
      <c r="AC17" s="69">
        <f>SUM(U$2:U17)/COUNTA($P$2:$P17)</f>
        <v>0.75</v>
      </c>
      <c r="AD17" s="69">
        <f>SUM(V$2:V17)/COUNTA($P$2:$P17)</f>
        <v>0.875</v>
      </c>
      <c r="AE17" s="70">
        <f t="shared" si="16"/>
        <v>0.61458333333333337</v>
      </c>
      <c r="AF17" s="58" t="e">
        <f t="shared" ca="1" si="15"/>
        <v>#N/A</v>
      </c>
      <c r="AG17" s="58" t="e">
        <f t="shared" ca="1" si="15"/>
        <v>#N/A</v>
      </c>
      <c r="AH17" s="58" t="e">
        <f t="shared" ca="1" si="15"/>
        <v>#N/A</v>
      </c>
      <c r="AI17" s="58" t="e">
        <f t="shared" ca="1" si="15"/>
        <v>#N/A</v>
      </c>
      <c r="AJ17" s="58" t="e">
        <f t="shared" ca="1" si="15"/>
        <v>#N/A</v>
      </c>
      <c r="AK17" s="58" t="e">
        <f t="shared" ca="1" si="15"/>
        <v>#N/A</v>
      </c>
      <c r="AL17" s="58" t="e">
        <f t="shared" ca="1" si="15"/>
        <v>#N/A</v>
      </c>
      <c r="AP17" s="66"/>
    </row>
    <row r="18" spans="1:42" ht="16.5" customHeight="1">
      <c r="A18" s="74" t="e">
        <f t="shared" ca="1" si="11"/>
        <v>#N/A</v>
      </c>
      <c r="B18" s="56">
        <f t="shared" si="10"/>
        <v>43966</v>
      </c>
      <c r="C18" s="59">
        <f ca="1">IF($B18&lt;=TODAY(),SUMIF('Stats 2020'!$M$24:$M$1048576,"&lt;="&amp;Graphs!$B18,'Stats 2020'!O$24:O$1048576),NA())</f>
        <v>74.75</v>
      </c>
      <c r="D18" s="59">
        <f t="shared" ca="1" si="12"/>
        <v>113.25</v>
      </c>
      <c r="E18" s="59">
        <f ca="1">IF($B18&lt;=TODAY(),SUMIF('Stats 2020'!$M$24:$M$1048576,"&lt;="&amp;Graphs!$B18,'Stats 2020'!Q$24:Q$1048576),NA())</f>
        <v>72</v>
      </c>
      <c r="F18" s="59">
        <f t="shared" ca="1" si="13"/>
        <v>113.25</v>
      </c>
      <c r="G18" s="59">
        <f ca="1">IF($B18&lt;=TODAY(),SUMIF('Stats 2020'!$M$24:$M$1048576,"&lt;="&amp;Graphs!$B18,'Stats 2020'!S$24:S$1048576),NA())</f>
        <v>85.75</v>
      </c>
      <c r="H18" s="59">
        <f ca="1">IF($B18&lt;=TODAY(),SUMIF('Stats 2020'!$M$24:$M$1048576,"&lt;="&amp;Graphs!$B18,'Stats 2020'!T$24:T$1048576),NA())</f>
        <v>61</v>
      </c>
      <c r="I18" s="58" t="e">
        <f t="shared" ca="1" si="14"/>
        <v>#N/A</v>
      </c>
      <c r="J18" s="58" t="e">
        <f t="shared" ca="1" si="14"/>
        <v>#N/A</v>
      </c>
      <c r="K18" s="58" t="e">
        <f t="shared" ca="1" si="14"/>
        <v>#N/A</v>
      </c>
      <c r="L18" s="58" t="e">
        <f t="shared" ca="1" si="14"/>
        <v>#N/A</v>
      </c>
      <c r="M18" s="58" t="e">
        <f t="shared" ca="1" si="14"/>
        <v>#N/A</v>
      </c>
      <c r="N18" s="58" t="e">
        <f t="shared" ca="1" si="14"/>
        <v>#N/A</v>
      </c>
      <c r="O18" s="60"/>
      <c r="P18" s="65">
        <f t="shared" si="7"/>
        <v>43966</v>
      </c>
      <c r="Q18" s="66">
        <f>VLOOKUP($B18,'Stats 2020'!$D$25:$J$200,MATCH(Graphs!Q$1,'Stats 2020'!$D$18:$J$18,0),0)</f>
        <v>1</v>
      </c>
      <c r="R18" s="66" t="str">
        <f>VLOOKUP($B18,'Stats 2020'!$D$25:$J$200,MATCH(Graphs!R$1,'Stats 2020'!$D$18:$J$18,0),0)</f>
        <v/>
      </c>
      <c r="S18" s="66">
        <f>VLOOKUP($B18,'Stats 2020'!$D$25:$J$200,MATCH(Graphs!S$1,'Stats 2020'!$D$18:$J$18,0),0)</f>
        <v>1</v>
      </c>
      <c r="T18" s="66" t="str">
        <f>VLOOKUP($B18,'Stats 2020'!$D$25:$J$200,MATCH(Graphs!T$1,'Stats 2020'!$D$18:$J$18,0),0)</f>
        <v/>
      </c>
      <c r="U18" s="66">
        <f>VLOOKUP($B18,'Stats 2020'!$D$25:$J$200,MATCH(Graphs!U$1,'Stats 2020'!$D$18:$J$18,0),0)</f>
        <v>1</v>
      </c>
      <c r="V18" s="66">
        <f>VLOOKUP($B18,'Stats 2020'!$D$25:$J$200,MATCH(Graphs!V$1,'Stats 2020'!$D$18:$J$18,0),0)</f>
        <v>1</v>
      </c>
      <c r="W18" s="66"/>
      <c r="X18" s="65">
        <f t="shared" si="8"/>
        <v>43966</v>
      </c>
      <c r="Y18" s="69">
        <f>SUM(Q$2:Q18)/COUNTA($P$2:$P18)</f>
        <v>0.88235294117647056</v>
      </c>
      <c r="Z18" s="69">
        <f>SUM(R$2:R18)/COUNTA($P$2:$P18)</f>
        <v>5.8823529411764705E-2</v>
      </c>
      <c r="AA18" s="69">
        <f>SUM(S$2:S18)/COUNTA($P$2:$P18)</f>
        <v>0.82352941176470584</v>
      </c>
      <c r="AB18" s="69">
        <f>SUM(T$2:T18)/COUNTA($P$2:$P18)</f>
        <v>0.29411764705882354</v>
      </c>
      <c r="AC18" s="69">
        <f>SUM(U$2:U18)/COUNTA($P$2:$P18)</f>
        <v>0.76470588235294112</v>
      </c>
      <c r="AD18" s="69">
        <f>SUM(V$2:V18)/COUNTA($P$2:$P18)</f>
        <v>0.88235294117647056</v>
      </c>
      <c r="AE18" s="70">
        <f t="shared" si="16"/>
        <v>0.61764705882352933</v>
      </c>
      <c r="AF18" s="58" t="e">
        <f t="shared" ca="1" si="15"/>
        <v>#N/A</v>
      </c>
      <c r="AG18" s="58" t="e">
        <f t="shared" ca="1" si="15"/>
        <v>#N/A</v>
      </c>
      <c r="AH18" s="58" t="e">
        <f t="shared" ca="1" si="15"/>
        <v>#N/A</v>
      </c>
      <c r="AI18" s="58" t="e">
        <f t="shared" ca="1" si="15"/>
        <v>#N/A</v>
      </c>
      <c r="AJ18" s="58" t="e">
        <f t="shared" ca="1" si="15"/>
        <v>#N/A</v>
      </c>
      <c r="AK18" s="58" t="e">
        <f t="shared" ca="1" si="15"/>
        <v>#N/A</v>
      </c>
      <c r="AL18" s="58" t="e">
        <f t="shared" ca="1" si="15"/>
        <v>#N/A</v>
      </c>
      <c r="AP18" s="66"/>
    </row>
    <row r="19" spans="1:42" ht="16.5" customHeight="1">
      <c r="A19" s="74" t="e">
        <f t="shared" ca="1" si="11"/>
        <v>#N/A</v>
      </c>
      <c r="B19" s="56">
        <f t="shared" si="10"/>
        <v>43973</v>
      </c>
      <c r="C19" s="59">
        <f ca="1">IF($B19&lt;=TODAY(),SUMIF('Stats 2020'!$M$24:$M$1048576,"&lt;="&amp;Graphs!$B19,'Stats 2020'!O$24:O$1048576),NA())</f>
        <v>74.75</v>
      </c>
      <c r="D19" s="59">
        <f t="shared" ca="1" si="12"/>
        <v>113.25</v>
      </c>
      <c r="E19" s="59">
        <f ca="1">IF($B19&lt;=TODAY(),SUMIF('Stats 2020'!$M$24:$M$1048576,"&lt;="&amp;Graphs!$B19,'Stats 2020'!Q$24:Q$1048576),NA())</f>
        <v>72</v>
      </c>
      <c r="F19" s="59">
        <f t="shared" ca="1" si="13"/>
        <v>113.25</v>
      </c>
      <c r="G19" s="59">
        <f ca="1">IF($B19&lt;=TODAY(),SUMIF('Stats 2020'!$M$24:$M$1048576,"&lt;="&amp;Graphs!$B19,'Stats 2020'!S$24:S$1048576),NA())</f>
        <v>85.75</v>
      </c>
      <c r="H19" s="59">
        <f ca="1">IF($B19&lt;=TODAY(),SUMIF('Stats 2020'!$M$24:$M$1048576,"&lt;="&amp;Graphs!$B19,'Stats 2020'!T$24:T$1048576),NA())</f>
        <v>72</v>
      </c>
      <c r="I19" s="58" t="e">
        <f t="shared" ca="1" si="14"/>
        <v>#N/A</v>
      </c>
      <c r="J19" s="58" t="e">
        <f t="shared" ca="1" si="14"/>
        <v>#N/A</v>
      </c>
      <c r="K19" s="58" t="e">
        <f t="shared" ca="1" si="14"/>
        <v>#N/A</v>
      </c>
      <c r="L19" s="58" t="e">
        <f t="shared" ca="1" si="14"/>
        <v>#N/A</v>
      </c>
      <c r="M19" s="58" t="e">
        <f t="shared" ca="1" si="14"/>
        <v>#N/A</v>
      </c>
      <c r="N19" s="58" t="e">
        <f t="shared" ca="1" si="14"/>
        <v>#N/A</v>
      </c>
      <c r="O19" s="60"/>
      <c r="P19" s="65">
        <f t="shared" si="7"/>
        <v>43973</v>
      </c>
      <c r="Q19" s="66">
        <f>VLOOKUP($B19,'Stats 2020'!$D$25:$J$200,MATCH(Graphs!Q$1,'Stats 2020'!$D$18:$J$18,0),0)</f>
        <v>1</v>
      </c>
      <c r="R19" s="66" t="str">
        <f>VLOOKUP($B19,'Stats 2020'!$D$25:$J$200,MATCH(Graphs!R$1,'Stats 2020'!$D$18:$J$18,0),0)</f>
        <v/>
      </c>
      <c r="S19" s="66">
        <f>VLOOKUP($B19,'Stats 2020'!$D$25:$J$200,MATCH(Graphs!S$1,'Stats 2020'!$D$18:$J$18,0),0)</f>
        <v>1</v>
      </c>
      <c r="T19" s="66" t="str">
        <f>VLOOKUP($B19,'Stats 2020'!$D$25:$J$200,MATCH(Graphs!T$1,'Stats 2020'!$D$18:$J$18,0),0)</f>
        <v/>
      </c>
      <c r="U19" s="66">
        <f>VLOOKUP($B19,'Stats 2020'!$D$25:$J$200,MATCH(Graphs!U$1,'Stats 2020'!$D$18:$J$18,0),0)</f>
        <v>1</v>
      </c>
      <c r="V19" s="66">
        <f>VLOOKUP($B19,'Stats 2020'!$D$25:$J$200,MATCH(Graphs!V$1,'Stats 2020'!$D$18:$J$18,0),0)</f>
        <v>0</v>
      </c>
      <c r="W19" s="66"/>
      <c r="X19" s="65">
        <f t="shared" si="8"/>
        <v>43973</v>
      </c>
      <c r="Y19" s="69">
        <f>SUM(Q$2:Q19)/COUNTA($P$2:$P19)</f>
        <v>0.88888888888888884</v>
      </c>
      <c r="Z19" s="69">
        <f>SUM(R$2:R19)/COUNTA($P$2:$P19)</f>
        <v>5.5555555555555552E-2</v>
      </c>
      <c r="AA19" s="69">
        <f>SUM(S$2:S19)/COUNTA($P$2:$P19)</f>
        <v>0.83333333333333337</v>
      </c>
      <c r="AB19" s="69">
        <f>SUM(T$2:T19)/COUNTA($P$2:$P19)</f>
        <v>0.27777777777777779</v>
      </c>
      <c r="AC19" s="69">
        <f>SUM(U$2:U19)/COUNTA($P$2:$P19)</f>
        <v>0.77777777777777779</v>
      </c>
      <c r="AD19" s="69">
        <f>SUM(V$2:V19)/COUNTA($P$2:$P19)</f>
        <v>0.83333333333333337</v>
      </c>
      <c r="AE19" s="70">
        <f t="shared" si="16"/>
        <v>0.61111111111111105</v>
      </c>
      <c r="AF19" s="58" t="e">
        <f t="shared" ca="1" si="15"/>
        <v>#N/A</v>
      </c>
      <c r="AG19" s="58" t="e">
        <f t="shared" ca="1" si="15"/>
        <v>#N/A</v>
      </c>
      <c r="AH19" s="58" t="e">
        <f t="shared" ca="1" si="15"/>
        <v>#N/A</v>
      </c>
      <c r="AI19" s="58" t="e">
        <f t="shared" ca="1" si="15"/>
        <v>#N/A</v>
      </c>
      <c r="AJ19" s="58" t="e">
        <f t="shared" ca="1" si="15"/>
        <v>#N/A</v>
      </c>
      <c r="AK19" s="58" t="e">
        <f t="shared" ca="1" si="15"/>
        <v>#N/A</v>
      </c>
      <c r="AL19" s="58" t="e">
        <f t="shared" ca="1" si="15"/>
        <v>#N/A</v>
      </c>
      <c r="AP19" s="66"/>
    </row>
    <row r="20" spans="1:42" ht="16.5" customHeight="1">
      <c r="A20" s="74" t="e">
        <f t="shared" ca="1" si="11"/>
        <v>#N/A</v>
      </c>
      <c r="B20" s="56">
        <f t="shared" si="10"/>
        <v>43980</v>
      </c>
      <c r="C20" s="59">
        <f ca="1">IF($B20&lt;=TODAY(),SUMIF('Stats 2020'!$M$24:$M$1048576,"&lt;="&amp;Graphs!$B20,'Stats 2020'!O$24:O$1048576),NA())</f>
        <v>77.5</v>
      </c>
      <c r="D20" s="59">
        <f ca="1">IF($B20&lt;=TODAY(),MAX($C20,$E20,$G20,$H20)+11+16.5,NA())</f>
        <v>113.25</v>
      </c>
      <c r="E20" s="59">
        <f ca="1">IF($B20&lt;=TODAY(),SUMIF('Stats 2020'!$M$24:$M$1048576,"&lt;="&amp;Graphs!$B20,'Stats 2020'!Q$24:Q$1048576),NA())</f>
        <v>72</v>
      </c>
      <c r="F20" s="59">
        <f t="shared" ca="1" si="13"/>
        <v>113.25</v>
      </c>
      <c r="G20" s="59">
        <f ca="1">IF($B20&lt;=TODAY(),SUMIF('Stats 2020'!$M$24:$M$1048576,"&lt;="&amp;Graphs!$B20,'Stats 2020'!S$24:S$1048576),NA())</f>
        <v>85.75</v>
      </c>
      <c r="H20" s="59">
        <f ca="1">IF($B20&lt;=TODAY(),SUMIF('Stats 2020'!$M$24:$M$1048576,"&lt;="&amp;Graphs!$B20,'Stats 2020'!T$24:T$1048576),NA())</f>
        <v>72</v>
      </c>
      <c r="I20" s="58" t="e">
        <f t="shared" ca="1" si="14"/>
        <v>#N/A</v>
      </c>
      <c r="J20" s="58" t="e">
        <f t="shared" ca="1" si="14"/>
        <v>#N/A</v>
      </c>
      <c r="K20" s="58" t="e">
        <f t="shared" ca="1" si="14"/>
        <v>#N/A</v>
      </c>
      <c r="L20" s="58" t="e">
        <f t="shared" ca="1" si="14"/>
        <v>#N/A</v>
      </c>
      <c r="M20" s="58" t="e">
        <f t="shared" ca="1" si="14"/>
        <v>#N/A</v>
      </c>
      <c r="N20" s="58" t="e">
        <f t="shared" ca="1" si="14"/>
        <v>#N/A</v>
      </c>
      <c r="O20" s="60"/>
      <c r="P20" s="65">
        <f t="shared" si="7"/>
        <v>43980</v>
      </c>
      <c r="Q20" s="66">
        <f>VLOOKUP($B20,'Stats 2020'!$D$25:$J$200,MATCH(Graphs!Q$1,'Stats 2020'!$D$18:$J$18,0),0)</f>
        <v>1</v>
      </c>
      <c r="R20" s="66" t="str">
        <f>VLOOKUP($B20,'Stats 2020'!$D$25:$J$200,MATCH(Graphs!R$1,'Stats 2020'!$D$18:$J$18,0),0)</f>
        <v/>
      </c>
      <c r="S20" s="66">
        <f>VLOOKUP($B20,'Stats 2020'!$D$25:$J$200,MATCH(Graphs!S$1,'Stats 2020'!$D$18:$J$18,0),0)</f>
        <v>1</v>
      </c>
      <c r="T20" s="66" t="str">
        <f>VLOOKUP($B20,'Stats 2020'!$D$25:$J$200,MATCH(Graphs!T$1,'Stats 2020'!$D$18:$J$18,0),0)</f>
        <v/>
      </c>
      <c r="U20" s="66">
        <f>VLOOKUP($B20,'Stats 2020'!$D$25:$J$200,MATCH(Graphs!U$1,'Stats 2020'!$D$18:$J$18,0),0)</f>
        <v>1</v>
      </c>
      <c r="V20" s="66">
        <f>VLOOKUP($B20,'Stats 2020'!$D$25:$J$200,MATCH(Graphs!V$1,'Stats 2020'!$D$18:$J$18,0),0)</f>
        <v>1</v>
      </c>
      <c r="W20" s="66"/>
      <c r="X20" s="65">
        <f t="shared" si="8"/>
        <v>43980</v>
      </c>
      <c r="Y20" s="69">
        <f>SUM(Q$2:Q20)/COUNTA($P$2:$P20)</f>
        <v>0.89473684210526316</v>
      </c>
      <c r="Z20" s="69">
        <f>SUM(R$2:R20)/COUNTA($P$2:$P20)</f>
        <v>5.2631578947368418E-2</v>
      </c>
      <c r="AA20" s="69">
        <f>SUM(S$2:S20)/COUNTA($P$2:$P20)</f>
        <v>0.84210526315789469</v>
      </c>
      <c r="AB20" s="69">
        <f>SUM(T$2:T20)/COUNTA($P$2:$P20)</f>
        <v>0.26315789473684209</v>
      </c>
      <c r="AC20" s="69">
        <f>SUM(U$2:U20)/COUNTA($P$2:$P20)</f>
        <v>0.78947368421052633</v>
      </c>
      <c r="AD20" s="69">
        <f>SUM(V$2:V20)/COUNTA($P$2:$P20)</f>
        <v>0.84210526315789469</v>
      </c>
      <c r="AE20" s="70">
        <f t="shared" si="16"/>
        <v>0.61403508771929827</v>
      </c>
      <c r="AF20" s="58" t="e">
        <f t="shared" ca="1" si="15"/>
        <v>#N/A</v>
      </c>
      <c r="AG20" s="58" t="e">
        <f t="shared" ca="1" si="15"/>
        <v>#N/A</v>
      </c>
      <c r="AH20" s="58" t="e">
        <f t="shared" ca="1" si="15"/>
        <v>#N/A</v>
      </c>
      <c r="AI20" s="58" t="e">
        <f t="shared" ca="1" si="15"/>
        <v>#N/A</v>
      </c>
      <c r="AJ20" s="58" t="e">
        <f t="shared" ca="1" si="15"/>
        <v>#N/A</v>
      </c>
      <c r="AK20" s="58" t="e">
        <f t="shared" ca="1" si="15"/>
        <v>#N/A</v>
      </c>
      <c r="AL20" s="58" t="e">
        <f t="shared" ca="1" si="15"/>
        <v>#N/A</v>
      </c>
      <c r="AM20" s="73"/>
      <c r="AN20" s="73"/>
      <c r="AO20" s="73"/>
      <c r="AP20" s="73"/>
    </row>
    <row r="21" spans="1:42" ht="16.5" customHeight="1">
      <c r="A21" s="74" t="e">
        <f t="shared" ca="1" si="11"/>
        <v>#N/A</v>
      </c>
      <c r="B21" s="56">
        <f t="shared" si="10"/>
        <v>43987</v>
      </c>
      <c r="C21" s="59">
        <f ca="1">IF($B21&lt;=TODAY(),SUMIF('Stats 2020'!$M$24:$M$1048576,"&lt;="&amp;Graphs!$B21,'Stats 2020'!O$24:O$1048576),NA())</f>
        <v>77.5</v>
      </c>
      <c r="D21" s="59">
        <f t="shared" ca="1" si="12"/>
        <v>113.25</v>
      </c>
      <c r="E21" s="59">
        <f ca="1">IF($B21&lt;=TODAY(),SUMIF('Stats 2020'!$M$24:$M$1048576,"&lt;="&amp;Graphs!$B21,'Stats 2020'!Q$24:Q$1048576),NA())</f>
        <v>72</v>
      </c>
      <c r="F21" s="59">
        <f t="shared" ca="1" si="13"/>
        <v>113.25</v>
      </c>
      <c r="G21" s="59">
        <f ca="1">IF($B21&lt;=TODAY(),SUMIF('Stats 2020'!$M$24:$M$1048576,"&lt;="&amp;Graphs!$B21,'Stats 2020'!S$24:S$1048576),NA())</f>
        <v>85.75</v>
      </c>
      <c r="H21" s="59">
        <f ca="1">IF($B21&lt;=TODAY(),SUMIF('Stats 2020'!$M$24:$M$1048576,"&lt;="&amp;Graphs!$B21,'Stats 2020'!T$24:T$1048576),NA())</f>
        <v>72</v>
      </c>
      <c r="I21" s="58" t="e">
        <f t="shared" ca="1" si="14"/>
        <v>#N/A</v>
      </c>
      <c r="J21" s="58" t="e">
        <f t="shared" ca="1" si="14"/>
        <v>#N/A</v>
      </c>
      <c r="K21" s="58" t="e">
        <f t="shared" ca="1" si="14"/>
        <v>#N/A</v>
      </c>
      <c r="L21" s="58" t="e">
        <f t="shared" ca="1" si="14"/>
        <v>#N/A</v>
      </c>
      <c r="M21" s="58" t="e">
        <f t="shared" ca="1" si="14"/>
        <v>#N/A</v>
      </c>
      <c r="N21" s="58" t="e">
        <f t="shared" ca="1" si="14"/>
        <v>#N/A</v>
      </c>
      <c r="O21" s="60"/>
      <c r="P21" s="65">
        <f t="shared" si="7"/>
        <v>43987</v>
      </c>
      <c r="Q21" s="66">
        <f>VLOOKUP($B21,'Stats 2020'!$D$25:$J$200,MATCH(Graphs!Q$1,'Stats 2020'!$D$18:$J$18,0),0)</f>
        <v>1</v>
      </c>
      <c r="R21" s="66" t="str">
        <f>VLOOKUP($B21,'Stats 2020'!$D$25:$J$200,MATCH(Graphs!R$1,'Stats 2020'!$D$18:$J$18,0),0)</f>
        <v/>
      </c>
      <c r="S21" s="66">
        <f>VLOOKUP($B21,'Stats 2020'!$D$25:$J$200,MATCH(Graphs!S$1,'Stats 2020'!$D$18:$J$18,0),0)</f>
        <v>1</v>
      </c>
      <c r="T21" s="66" t="str">
        <f>VLOOKUP($B21,'Stats 2020'!$D$25:$J$200,MATCH(Graphs!T$1,'Stats 2020'!$D$18:$J$18,0),0)</f>
        <v/>
      </c>
      <c r="U21" s="66">
        <f>VLOOKUP($B21,'Stats 2020'!$D$25:$J$200,MATCH(Graphs!U$1,'Stats 2020'!$D$18:$J$18,0),0)</f>
        <v>1</v>
      </c>
      <c r="V21" s="66">
        <f>VLOOKUP($B21,'Stats 2020'!$D$25:$J$200,MATCH(Graphs!V$1,'Stats 2020'!$D$18:$J$18,0),0)</f>
        <v>1</v>
      </c>
      <c r="W21" s="66"/>
      <c r="X21" s="65">
        <f t="shared" si="8"/>
        <v>43987</v>
      </c>
      <c r="Y21" s="69">
        <f>SUM(Q$2:Q21)/COUNTA($P$2:$P21)</f>
        <v>0.9</v>
      </c>
      <c r="Z21" s="69">
        <f>SUM(R$2:R21)/COUNTA($P$2:$P21)</f>
        <v>0.05</v>
      </c>
      <c r="AA21" s="69">
        <f>SUM(S$2:S21)/COUNTA($P$2:$P21)</f>
        <v>0.85</v>
      </c>
      <c r="AB21" s="69">
        <f>SUM(T$2:T21)/COUNTA($P$2:$P21)</f>
        <v>0.25</v>
      </c>
      <c r="AC21" s="69">
        <f>SUM(U$2:U21)/COUNTA($P$2:$P21)</f>
        <v>0.8</v>
      </c>
      <c r="AD21" s="69">
        <f>SUM(V$2:V21)/COUNTA($P$2:$P21)</f>
        <v>0.85</v>
      </c>
      <c r="AE21" s="70">
        <f t="shared" si="16"/>
        <v>0.61666666666666659</v>
      </c>
      <c r="AF21" s="58" t="e">
        <f t="shared" ca="1" si="15"/>
        <v>#N/A</v>
      </c>
      <c r="AG21" s="58" t="e">
        <f t="shared" ca="1" si="15"/>
        <v>#N/A</v>
      </c>
      <c r="AH21" s="58" t="e">
        <f t="shared" ca="1" si="15"/>
        <v>#N/A</v>
      </c>
      <c r="AI21" s="58" t="e">
        <f t="shared" ca="1" si="15"/>
        <v>#N/A</v>
      </c>
      <c r="AJ21" s="58" t="e">
        <f t="shared" ca="1" si="15"/>
        <v>#N/A</v>
      </c>
      <c r="AK21" s="58" t="e">
        <f t="shared" ca="1" si="15"/>
        <v>#N/A</v>
      </c>
      <c r="AL21" s="58" t="e">
        <f t="shared" ca="1" si="15"/>
        <v>#N/A</v>
      </c>
      <c r="AP21" s="66"/>
    </row>
    <row r="22" spans="1:42" ht="16.5" customHeight="1">
      <c r="A22" s="74" t="e">
        <f t="shared" ca="1" si="11"/>
        <v>#N/A</v>
      </c>
      <c r="B22" s="56">
        <f t="shared" si="10"/>
        <v>43994</v>
      </c>
      <c r="C22" s="59">
        <f ca="1">IF($B22&lt;=TODAY(),SUMIF('Stats 2020'!$M$24:$M$1048576,"&lt;="&amp;Graphs!$B22,'Stats 2020'!O$24:O$1048576),NA())</f>
        <v>77.5</v>
      </c>
      <c r="D22" s="59">
        <f t="shared" ca="1" si="12"/>
        <v>113.25</v>
      </c>
      <c r="E22" s="59">
        <f ca="1">IF($B22&lt;=TODAY(),SUMIF('Stats 2020'!$M$24:$M$1048576,"&lt;="&amp;Graphs!$B22,'Stats 2020'!Q$24:Q$1048576),NA())</f>
        <v>72</v>
      </c>
      <c r="F22" s="59">
        <f t="shared" ca="1" si="13"/>
        <v>113.25</v>
      </c>
      <c r="G22" s="59">
        <f ca="1">IF($B22&lt;=TODAY(),SUMIF('Stats 2020'!$M$24:$M$1048576,"&lt;="&amp;Graphs!$B22,'Stats 2020'!S$24:S$1048576),NA())</f>
        <v>85.75</v>
      </c>
      <c r="H22" s="59">
        <f ca="1">IF($B22&lt;=TODAY(),SUMIF('Stats 2020'!$M$24:$M$1048576,"&lt;="&amp;Graphs!$B22,'Stats 2020'!T$24:T$1048576),NA())</f>
        <v>72</v>
      </c>
      <c r="I22" s="58" t="e">
        <f t="shared" ref="I22:N31" ca="1" si="17">VLOOKUP($A22,$B$1:$H$59,MATCH(I$1,$B$1:$H$1,0),0)</f>
        <v>#N/A</v>
      </c>
      <c r="J22" s="58" t="e">
        <f t="shared" ca="1" si="17"/>
        <v>#N/A</v>
      </c>
      <c r="K22" s="58" t="e">
        <f t="shared" ca="1" si="17"/>
        <v>#N/A</v>
      </c>
      <c r="L22" s="58" t="e">
        <f t="shared" ca="1" si="17"/>
        <v>#N/A</v>
      </c>
      <c r="M22" s="58" t="e">
        <f t="shared" ca="1" si="17"/>
        <v>#N/A</v>
      </c>
      <c r="N22" s="58" t="e">
        <f t="shared" ca="1" si="17"/>
        <v>#N/A</v>
      </c>
      <c r="O22" s="60"/>
      <c r="P22" s="65">
        <f t="shared" si="7"/>
        <v>43994</v>
      </c>
      <c r="Q22" s="66">
        <f>VLOOKUP($B22,'Stats 2020'!$D$25:$J$200,MATCH(Graphs!Q$1,'Stats 2020'!$D$18:$J$18,0),0)</f>
        <v>1</v>
      </c>
      <c r="R22" s="66" t="str">
        <f>VLOOKUP($B22,'Stats 2020'!$D$25:$J$200,MATCH(Graphs!R$1,'Stats 2020'!$D$18:$J$18,0),0)</f>
        <v/>
      </c>
      <c r="S22" s="66">
        <f>VLOOKUP($B22,'Stats 2020'!$D$25:$J$200,MATCH(Graphs!S$1,'Stats 2020'!$D$18:$J$18,0),0)</f>
        <v>1</v>
      </c>
      <c r="T22" s="66">
        <f>VLOOKUP($B22,'Stats 2020'!$D$25:$J$200,MATCH(Graphs!T$1,'Stats 2020'!$D$18:$J$18,0),0)</f>
        <v>1</v>
      </c>
      <c r="U22" s="66">
        <f>VLOOKUP($B22,'Stats 2020'!$D$25:$J$200,MATCH(Graphs!U$1,'Stats 2020'!$D$18:$J$18,0),0)</f>
        <v>1</v>
      </c>
      <c r="V22" s="66">
        <f>VLOOKUP($B22,'Stats 2020'!$D$25:$J$200,MATCH(Graphs!V$1,'Stats 2020'!$D$18:$J$18,0),0)</f>
        <v>1</v>
      </c>
      <c r="W22" s="66"/>
      <c r="X22" s="65">
        <f t="shared" si="8"/>
        <v>43994</v>
      </c>
      <c r="Y22" s="69">
        <f>SUM(Q$2:Q22)/COUNTA($P$2:$P22)</f>
        <v>0.90476190476190477</v>
      </c>
      <c r="Z22" s="69">
        <f>SUM(R$2:R22)/COUNTA($P$2:$P22)</f>
        <v>4.7619047619047616E-2</v>
      </c>
      <c r="AA22" s="69">
        <f>SUM(S$2:S22)/COUNTA($P$2:$P22)</f>
        <v>0.8571428571428571</v>
      </c>
      <c r="AB22" s="69">
        <f>SUM(T$2:T22)/COUNTA($P$2:$P22)</f>
        <v>0.2857142857142857</v>
      </c>
      <c r="AC22" s="69">
        <f>SUM(U$2:U22)/COUNTA($P$2:$P22)</f>
        <v>0.80952380952380953</v>
      </c>
      <c r="AD22" s="69">
        <f>SUM(V$2:V22)/COUNTA($P$2:$P22)</f>
        <v>0.8571428571428571</v>
      </c>
      <c r="AE22" s="70">
        <f t="shared" si="16"/>
        <v>0.62698412698412687</v>
      </c>
      <c r="AF22" s="58" t="e">
        <f t="shared" ref="AF22:AL31" ca="1" si="18">VLOOKUP($A22,$X$1:$AE$59,MATCH(AF$1,$X$1:$AE$1,0),0)</f>
        <v>#N/A</v>
      </c>
      <c r="AG22" s="58" t="e">
        <f t="shared" ca="1" si="18"/>
        <v>#N/A</v>
      </c>
      <c r="AH22" s="58" t="e">
        <f t="shared" ca="1" si="18"/>
        <v>#N/A</v>
      </c>
      <c r="AI22" s="58" t="e">
        <f t="shared" ca="1" si="18"/>
        <v>#N/A</v>
      </c>
      <c r="AJ22" s="58" t="e">
        <f t="shared" ca="1" si="18"/>
        <v>#N/A</v>
      </c>
      <c r="AK22" s="58" t="e">
        <f t="shared" ca="1" si="18"/>
        <v>#N/A</v>
      </c>
      <c r="AL22" s="58" t="e">
        <f t="shared" ca="1" si="18"/>
        <v>#N/A</v>
      </c>
      <c r="AP22" s="66"/>
    </row>
    <row r="23" spans="1:42" ht="16.5" customHeight="1">
      <c r="A23" s="74" t="e">
        <f t="shared" ca="1" si="11"/>
        <v>#N/A</v>
      </c>
      <c r="B23" s="56">
        <f t="shared" si="10"/>
        <v>44001</v>
      </c>
      <c r="C23" s="59">
        <f ca="1">IF($B23&lt;=TODAY(),SUMIF('Stats 2020'!$M$24:$M$1048576,"&lt;="&amp;Graphs!$B23,'Stats 2020'!O$24:O$1048576),NA())</f>
        <v>88.5</v>
      </c>
      <c r="D23" s="59">
        <f ca="1">IF($B23&lt;=TODAY(),MAX($C23,$E23,$G23,$H23)+11+16.5,NA())</f>
        <v>116</v>
      </c>
      <c r="E23" s="59">
        <f ca="1">IF($B23&lt;=TODAY(),SUMIF('Stats 2020'!$M$24:$M$1048576,"&lt;="&amp;Graphs!$B23,'Stats 2020'!Q$24:Q$1048576),NA())</f>
        <v>72</v>
      </c>
      <c r="F23" s="59">
        <f t="shared" ca="1" si="13"/>
        <v>116</v>
      </c>
      <c r="G23" s="59">
        <f ca="1">IF($B23&lt;=TODAY(),SUMIF('Stats 2020'!$M$24:$M$1048576,"&lt;="&amp;Graphs!$B23,'Stats 2020'!S$24:S$1048576),NA())</f>
        <v>88.5</v>
      </c>
      <c r="H23" s="59">
        <f ca="1">IF($B23&lt;=TODAY(),SUMIF('Stats 2020'!$M$24:$M$1048576,"&lt;="&amp;Graphs!$B23,'Stats 2020'!T$24:T$1048576),NA())</f>
        <v>74.75</v>
      </c>
      <c r="I23" s="58" t="e">
        <f t="shared" ca="1" si="17"/>
        <v>#N/A</v>
      </c>
      <c r="J23" s="58" t="e">
        <f t="shared" ca="1" si="17"/>
        <v>#N/A</v>
      </c>
      <c r="K23" s="58" t="e">
        <f t="shared" ca="1" si="17"/>
        <v>#N/A</v>
      </c>
      <c r="L23" s="58" t="e">
        <f t="shared" ca="1" si="17"/>
        <v>#N/A</v>
      </c>
      <c r="M23" s="58" t="e">
        <f t="shared" ca="1" si="17"/>
        <v>#N/A</v>
      </c>
      <c r="N23" s="58" t="e">
        <f t="shared" ca="1" si="17"/>
        <v>#N/A</v>
      </c>
      <c r="O23" s="60"/>
      <c r="P23" s="65">
        <f t="shared" si="7"/>
        <v>44001</v>
      </c>
      <c r="Q23" s="66">
        <f>VLOOKUP($B23,'Stats 2020'!$D$25:$J$200,MATCH(Graphs!Q$1,'Stats 2020'!$D$18:$J$18,0),0)</f>
        <v>0</v>
      </c>
      <c r="R23" s="66" t="str">
        <f>VLOOKUP($B23,'Stats 2020'!$D$25:$J$200,MATCH(Graphs!R$1,'Stats 2020'!$D$18:$J$18,0),0)</f>
        <v/>
      </c>
      <c r="S23" s="66">
        <f>VLOOKUP($B23,'Stats 2020'!$D$25:$J$200,MATCH(Graphs!S$1,'Stats 2020'!$D$18:$J$18,0),0)</f>
        <v>1</v>
      </c>
      <c r="T23" s="66">
        <f>VLOOKUP($B23,'Stats 2020'!$D$25:$J$200,MATCH(Graphs!T$1,'Stats 2020'!$D$18:$J$18,0),0)</f>
        <v>1</v>
      </c>
      <c r="U23" s="66">
        <f>VLOOKUP($B23,'Stats 2020'!$D$25:$J$200,MATCH(Graphs!U$1,'Stats 2020'!$D$18:$J$18,0),0)</f>
        <v>1</v>
      </c>
      <c r="V23" s="66">
        <f>VLOOKUP($B23,'Stats 2020'!$D$25:$J$200,MATCH(Graphs!V$1,'Stats 2020'!$D$18:$J$18,0),0)</f>
        <v>1</v>
      </c>
      <c r="W23" s="66"/>
      <c r="X23" s="65">
        <f t="shared" si="8"/>
        <v>44001</v>
      </c>
      <c r="Y23" s="69">
        <f>SUM(Q$2:Q23)/COUNTA($P$2:$P23)</f>
        <v>0.86363636363636365</v>
      </c>
      <c r="Z23" s="69">
        <f>SUM(R$2:R23)/COUNTA($P$2:$P23)</f>
        <v>4.5454545454545456E-2</v>
      </c>
      <c r="AA23" s="69">
        <f>SUM(S$2:S23)/COUNTA($P$2:$P23)</f>
        <v>0.86363636363636365</v>
      </c>
      <c r="AB23" s="69">
        <f>SUM(T$2:T23)/COUNTA($P$2:$P23)</f>
        <v>0.31818181818181818</v>
      </c>
      <c r="AC23" s="69">
        <f>SUM(U$2:U23)/COUNTA($P$2:$P23)</f>
        <v>0.81818181818181823</v>
      </c>
      <c r="AD23" s="69">
        <f>SUM(V$2:V23)/COUNTA($P$2:$P23)</f>
        <v>0.86363636363636365</v>
      </c>
      <c r="AE23" s="70">
        <f t="shared" si="16"/>
        <v>0.62878787878787878</v>
      </c>
      <c r="AF23" s="58" t="e">
        <f t="shared" ca="1" si="18"/>
        <v>#N/A</v>
      </c>
      <c r="AG23" s="58" t="e">
        <f t="shared" ca="1" si="18"/>
        <v>#N/A</v>
      </c>
      <c r="AH23" s="58" t="e">
        <f t="shared" ca="1" si="18"/>
        <v>#N/A</v>
      </c>
      <c r="AI23" s="58" t="e">
        <f t="shared" ca="1" si="18"/>
        <v>#N/A</v>
      </c>
      <c r="AJ23" s="58" t="e">
        <f t="shared" ca="1" si="18"/>
        <v>#N/A</v>
      </c>
      <c r="AK23" s="58" t="e">
        <f t="shared" ca="1" si="18"/>
        <v>#N/A</v>
      </c>
      <c r="AL23" s="58" t="e">
        <f t="shared" ca="1" si="18"/>
        <v>#N/A</v>
      </c>
      <c r="AP23" s="66"/>
    </row>
    <row r="24" spans="1:42" ht="16.5" customHeight="1">
      <c r="A24" s="74" t="e">
        <f t="shared" ca="1" si="11"/>
        <v>#N/A</v>
      </c>
      <c r="B24" s="56">
        <f t="shared" si="10"/>
        <v>44008</v>
      </c>
      <c r="C24" s="59">
        <f ca="1">IF($B24&lt;=TODAY(),SUMIF('Stats 2020'!$M$24:$M$1048576,"&lt;="&amp;Graphs!$B24,'Stats 2020'!O$24:O$1048576),NA())</f>
        <v>99.5</v>
      </c>
      <c r="D24" s="59">
        <f t="shared" ca="1" si="12"/>
        <v>127</v>
      </c>
      <c r="E24" s="59">
        <f ca="1">IF($B24&lt;=TODAY(),SUMIF('Stats 2020'!$M$24:$M$1048576,"&lt;="&amp;Graphs!$B24,'Stats 2020'!Q$24:Q$1048576),NA())</f>
        <v>72</v>
      </c>
      <c r="F24" s="59">
        <f t="shared" ca="1" si="13"/>
        <v>127</v>
      </c>
      <c r="G24" s="59">
        <f ca="1">IF($B24&lt;=TODAY(),SUMIF('Stats 2020'!$M$24:$M$1048576,"&lt;="&amp;Graphs!$B24,'Stats 2020'!S$24:S$1048576),NA())</f>
        <v>88.5</v>
      </c>
      <c r="H24" s="59">
        <f ca="1">IF($B24&lt;=TODAY(),SUMIF('Stats 2020'!$M$24:$M$1048576,"&lt;="&amp;Graphs!$B24,'Stats 2020'!T$24:T$1048576),NA())</f>
        <v>74.75</v>
      </c>
      <c r="I24" s="58" t="e">
        <f t="shared" ca="1" si="17"/>
        <v>#N/A</v>
      </c>
      <c r="J24" s="58" t="e">
        <f t="shared" ca="1" si="17"/>
        <v>#N/A</v>
      </c>
      <c r="K24" s="58" t="e">
        <f t="shared" ca="1" si="17"/>
        <v>#N/A</v>
      </c>
      <c r="L24" s="58" t="e">
        <f t="shared" ca="1" si="17"/>
        <v>#N/A</v>
      </c>
      <c r="M24" s="58" t="e">
        <f t="shared" ca="1" si="17"/>
        <v>#N/A</v>
      </c>
      <c r="N24" s="58" t="e">
        <f t="shared" ca="1" si="17"/>
        <v>#N/A</v>
      </c>
      <c r="O24" s="60"/>
      <c r="P24" s="65">
        <f t="shared" si="7"/>
        <v>44008</v>
      </c>
      <c r="Q24" s="66">
        <f>VLOOKUP($B24,'Stats 2020'!$D$25:$J$200,MATCH(Graphs!Q$1,'Stats 2020'!$D$18:$J$18,0),0)</f>
        <v>0</v>
      </c>
      <c r="R24" s="66" t="str">
        <f>VLOOKUP($B24,'Stats 2020'!$D$25:$J$200,MATCH(Graphs!R$1,'Stats 2020'!$D$18:$J$18,0),0)</f>
        <v/>
      </c>
      <c r="S24" s="66">
        <f>VLOOKUP($B24,'Stats 2020'!$D$25:$J$200,MATCH(Graphs!S$1,'Stats 2020'!$D$18:$J$18,0),0)</f>
        <v>1</v>
      </c>
      <c r="T24" s="66" t="str">
        <f>VLOOKUP($B24,'Stats 2020'!$D$25:$J$200,MATCH(Graphs!T$1,'Stats 2020'!$D$18:$J$18,0),0)</f>
        <v/>
      </c>
      <c r="U24" s="66">
        <f>VLOOKUP($B24,'Stats 2020'!$D$25:$J$200,MATCH(Graphs!U$1,'Stats 2020'!$D$18:$J$18,0),0)</f>
        <v>1</v>
      </c>
      <c r="V24" s="66">
        <f>VLOOKUP($B24,'Stats 2020'!$D$25:$J$200,MATCH(Graphs!V$1,'Stats 2020'!$D$18:$J$18,0),0)</f>
        <v>1</v>
      </c>
      <c r="W24" s="66"/>
      <c r="X24" s="65">
        <f t="shared" si="8"/>
        <v>44008</v>
      </c>
      <c r="Y24" s="69">
        <f>SUM(Q$2:Q24)/COUNTA($P$2:$P24)</f>
        <v>0.82608695652173914</v>
      </c>
      <c r="Z24" s="69">
        <f>SUM(R$2:R24)/COUNTA($P$2:$P24)</f>
        <v>4.3478260869565216E-2</v>
      </c>
      <c r="AA24" s="69">
        <f>SUM(S$2:S24)/COUNTA($P$2:$P24)</f>
        <v>0.86956521739130432</v>
      </c>
      <c r="AB24" s="69">
        <f>SUM(T$2:T24)/COUNTA($P$2:$P24)</f>
        <v>0.30434782608695654</v>
      </c>
      <c r="AC24" s="69">
        <f>SUM(U$2:U24)/COUNTA($P$2:$P24)</f>
        <v>0.82608695652173914</v>
      </c>
      <c r="AD24" s="69">
        <f>SUM(V$2:V24)/COUNTA($P$2:$P24)</f>
        <v>0.86956521739130432</v>
      </c>
      <c r="AE24" s="70">
        <f t="shared" si="16"/>
        <v>0.62318840579710144</v>
      </c>
      <c r="AF24" s="58" t="e">
        <f t="shared" ca="1" si="18"/>
        <v>#N/A</v>
      </c>
      <c r="AG24" s="58" t="e">
        <f t="shared" ca="1" si="18"/>
        <v>#N/A</v>
      </c>
      <c r="AH24" s="58" t="e">
        <f t="shared" ca="1" si="18"/>
        <v>#N/A</v>
      </c>
      <c r="AI24" s="58" t="e">
        <f t="shared" ca="1" si="18"/>
        <v>#N/A</v>
      </c>
      <c r="AJ24" s="58" t="e">
        <f t="shared" ca="1" si="18"/>
        <v>#N/A</v>
      </c>
      <c r="AK24" s="58" t="e">
        <f t="shared" ca="1" si="18"/>
        <v>#N/A</v>
      </c>
      <c r="AL24" s="58" t="e">
        <f t="shared" ca="1" si="18"/>
        <v>#N/A</v>
      </c>
      <c r="AP24" s="66"/>
    </row>
    <row r="25" spans="1:42" ht="16.5" customHeight="1">
      <c r="A25" s="74" t="e">
        <f t="shared" ca="1" si="11"/>
        <v>#N/A</v>
      </c>
      <c r="B25" s="56">
        <f t="shared" si="10"/>
        <v>44015</v>
      </c>
      <c r="C25" s="59">
        <f ca="1">IF($B25&lt;=TODAY(),SUMIF('Stats 2020'!$M$24:$M$1048576,"&lt;="&amp;Graphs!$B25,'Stats 2020'!O$24:O$1048576),NA())</f>
        <v>102.25</v>
      </c>
      <c r="D25" s="59">
        <f t="shared" ca="1" si="12"/>
        <v>129.75</v>
      </c>
      <c r="E25" s="59">
        <f ca="1">IF($B25&lt;=TODAY(),SUMIF('Stats 2020'!$M$24:$M$1048576,"&lt;="&amp;Graphs!$B25,'Stats 2020'!Q$24:Q$1048576),NA())</f>
        <v>72</v>
      </c>
      <c r="F25" s="59">
        <f t="shared" ca="1" si="13"/>
        <v>129.75</v>
      </c>
      <c r="G25" s="59">
        <f ca="1">IF($B25&lt;=TODAY(),SUMIF('Stats 2020'!$M$24:$M$1048576,"&lt;="&amp;Graphs!$B25,'Stats 2020'!S$24:S$1048576),NA())</f>
        <v>88.5</v>
      </c>
      <c r="H25" s="59">
        <f ca="1">IF($B25&lt;=TODAY(),SUMIF('Stats 2020'!$M$24:$M$1048576,"&lt;="&amp;Graphs!$B25,'Stats 2020'!T$24:T$1048576),NA())</f>
        <v>74.75</v>
      </c>
      <c r="I25" s="58" t="e">
        <f t="shared" ca="1" si="17"/>
        <v>#N/A</v>
      </c>
      <c r="J25" s="58" t="e">
        <f t="shared" ca="1" si="17"/>
        <v>#N/A</v>
      </c>
      <c r="K25" s="58" t="e">
        <f t="shared" ca="1" si="17"/>
        <v>#N/A</v>
      </c>
      <c r="L25" s="58" t="e">
        <f t="shared" ca="1" si="17"/>
        <v>#N/A</v>
      </c>
      <c r="M25" s="58" t="e">
        <f t="shared" ca="1" si="17"/>
        <v>#N/A</v>
      </c>
      <c r="N25" s="58" t="e">
        <f t="shared" ca="1" si="17"/>
        <v>#N/A</v>
      </c>
      <c r="O25" s="60"/>
      <c r="P25" s="65">
        <f t="shared" si="7"/>
        <v>44015</v>
      </c>
      <c r="Q25" s="66">
        <f>VLOOKUP($B25,'Stats 2020'!$D$25:$J$200,MATCH(Graphs!Q$1,'Stats 2020'!$D$18:$J$18,0),0)</f>
        <v>1</v>
      </c>
      <c r="R25" s="66" t="str">
        <f>VLOOKUP($B25,'Stats 2020'!$D$25:$J$200,MATCH(Graphs!R$1,'Stats 2020'!$D$18:$J$18,0),0)</f>
        <v/>
      </c>
      <c r="S25" s="66">
        <f>VLOOKUP($B25,'Stats 2020'!$D$25:$J$200,MATCH(Graphs!S$1,'Stats 2020'!$D$18:$J$18,0),0)</f>
        <v>1</v>
      </c>
      <c r="T25" s="66" t="str">
        <f>VLOOKUP($B25,'Stats 2020'!$D$25:$J$200,MATCH(Graphs!T$1,'Stats 2020'!$D$18:$J$18,0),0)</f>
        <v/>
      </c>
      <c r="U25" s="66">
        <f>VLOOKUP($B25,'Stats 2020'!$D$25:$J$200,MATCH(Graphs!U$1,'Stats 2020'!$D$18:$J$18,0),0)</f>
        <v>1</v>
      </c>
      <c r="V25" s="66">
        <f>VLOOKUP($B25,'Stats 2020'!$D$25:$J$200,MATCH(Graphs!V$1,'Stats 2020'!$D$18:$J$18,0),0)</f>
        <v>1</v>
      </c>
      <c r="W25" s="66"/>
      <c r="X25" s="65">
        <f t="shared" si="8"/>
        <v>44015</v>
      </c>
      <c r="Y25" s="69">
        <f>SUM(Q$2:Q24)/COUNTA($P$2:$P24)</f>
        <v>0.82608695652173914</v>
      </c>
      <c r="Z25" s="69">
        <f>SUM(R$2:R24)/COUNTA($P$2:$P24)</f>
        <v>4.3478260869565216E-2</v>
      </c>
      <c r="AA25" s="69">
        <f>SUM(S$2:S24)/COUNTA($P$2:$P24)</f>
        <v>0.86956521739130432</v>
      </c>
      <c r="AB25" s="69">
        <f>SUM(T$2:T24)/COUNTA($P$2:$P24)</f>
        <v>0.30434782608695654</v>
      </c>
      <c r="AC25" s="69">
        <f>SUM(U$2:U24)/COUNTA($P$2:$P24)</f>
        <v>0.82608695652173914</v>
      </c>
      <c r="AD25" s="69">
        <f>SUM(V$2:V24)/COUNTA($P$2:$P24)</f>
        <v>0.86956521739130432</v>
      </c>
      <c r="AE25" s="70">
        <f t="shared" si="16"/>
        <v>0.62318840579710144</v>
      </c>
      <c r="AF25" s="58" t="e">
        <f t="shared" ca="1" si="18"/>
        <v>#N/A</v>
      </c>
      <c r="AG25" s="58" t="e">
        <f t="shared" ca="1" si="18"/>
        <v>#N/A</v>
      </c>
      <c r="AH25" s="58" t="e">
        <f t="shared" ca="1" si="18"/>
        <v>#N/A</v>
      </c>
      <c r="AI25" s="58" t="e">
        <f t="shared" ca="1" si="18"/>
        <v>#N/A</v>
      </c>
      <c r="AJ25" s="58" t="e">
        <f t="shared" ca="1" si="18"/>
        <v>#N/A</v>
      </c>
      <c r="AK25" s="58" t="e">
        <f t="shared" ca="1" si="18"/>
        <v>#N/A</v>
      </c>
      <c r="AL25" s="58" t="e">
        <f t="shared" ca="1" si="18"/>
        <v>#N/A</v>
      </c>
      <c r="AP25" s="66"/>
    </row>
    <row r="26" spans="1:42" ht="16.5" customHeight="1">
      <c r="A26" s="74" t="e">
        <f t="shared" ca="1" si="11"/>
        <v>#N/A</v>
      </c>
      <c r="B26" s="56">
        <f t="shared" si="10"/>
        <v>44022</v>
      </c>
      <c r="C26" s="59">
        <f ca="1">IF($B26&lt;=TODAY(),SUMIF('Stats 2020'!$M$24:$M$1048576,"&lt;="&amp;Graphs!$B26,'Stats 2020'!O$24:O$1048576),NA())</f>
        <v>105</v>
      </c>
      <c r="D26" s="59">
        <f t="shared" ca="1" si="12"/>
        <v>132.5</v>
      </c>
      <c r="E26" s="59">
        <f ca="1">IF($B26&lt;=TODAY(),SUMIF('Stats 2020'!$M$24:$M$1048576,"&lt;="&amp;Graphs!$B26,'Stats 2020'!Q$24:Q$1048576),NA())</f>
        <v>72</v>
      </c>
      <c r="F26" s="59">
        <f t="shared" ca="1" si="13"/>
        <v>132.5</v>
      </c>
      <c r="G26" s="59">
        <f ca="1">IF($B26&lt;=TODAY(),SUMIF('Stats 2020'!$M$24:$M$1048576,"&lt;="&amp;Graphs!$B26,'Stats 2020'!S$24:S$1048576),NA())</f>
        <v>99.5</v>
      </c>
      <c r="H26" s="59">
        <f ca="1">IF($B26&lt;=TODAY(),SUMIF('Stats 2020'!$M$24:$M$1048576,"&lt;="&amp;Graphs!$B26,'Stats 2020'!T$24:T$1048576),NA())</f>
        <v>74.75</v>
      </c>
      <c r="I26" s="58" t="e">
        <f t="shared" ca="1" si="17"/>
        <v>#N/A</v>
      </c>
      <c r="J26" s="58" t="e">
        <f t="shared" ca="1" si="17"/>
        <v>#N/A</v>
      </c>
      <c r="K26" s="58" t="e">
        <f t="shared" ca="1" si="17"/>
        <v>#N/A</v>
      </c>
      <c r="L26" s="58" t="e">
        <f t="shared" ca="1" si="17"/>
        <v>#N/A</v>
      </c>
      <c r="M26" s="58" t="e">
        <f t="shared" ca="1" si="17"/>
        <v>#N/A</v>
      </c>
      <c r="N26" s="58" t="e">
        <f t="shared" ca="1" si="17"/>
        <v>#N/A</v>
      </c>
      <c r="O26" s="60"/>
      <c r="P26" s="65">
        <f t="shared" si="7"/>
        <v>44022</v>
      </c>
      <c r="Q26" s="66">
        <f>VLOOKUP($B26,'Stats 2020'!$D$25:$J$200,MATCH(Graphs!Q$1,'Stats 2020'!$D$18:$J$18,0),0)</f>
        <v>1</v>
      </c>
      <c r="R26" s="66" t="str">
        <f>VLOOKUP($B26,'Stats 2020'!$D$25:$J$200,MATCH(Graphs!R$1,'Stats 2020'!$D$18:$J$18,0),0)</f>
        <v/>
      </c>
      <c r="S26" s="66">
        <f>VLOOKUP($B26,'Stats 2020'!$D$25:$J$200,MATCH(Graphs!S$1,'Stats 2020'!$D$18:$J$18,0),0)</f>
        <v>1</v>
      </c>
      <c r="T26" s="66" t="str">
        <f>VLOOKUP($B26,'Stats 2020'!$D$25:$J$200,MATCH(Graphs!T$1,'Stats 2020'!$D$18:$J$18,0),0)</f>
        <v/>
      </c>
      <c r="U26" s="66">
        <f>VLOOKUP($B26,'Stats 2020'!$D$25:$J$200,MATCH(Graphs!U$1,'Stats 2020'!$D$18:$J$18,0),0)</f>
        <v>0</v>
      </c>
      <c r="V26" s="66">
        <f>VLOOKUP($B26,'Stats 2020'!$D$25:$J$200,MATCH(Graphs!V$1,'Stats 2020'!$D$18:$J$18,0),0)</f>
        <v>1</v>
      </c>
      <c r="W26" s="66"/>
      <c r="X26" s="65">
        <f t="shared" si="8"/>
        <v>44022</v>
      </c>
      <c r="Y26" s="69">
        <f>SUM(Q$2:Q26)/COUNTA($P$2:$P26)</f>
        <v>0.84</v>
      </c>
      <c r="Z26" s="69">
        <f>SUM(R$2:R26)/COUNTA($P$2:$P26)</f>
        <v>0.04</v>
      </c>
      <c r="AA26" s="69">
        <f>SUM(S$2:S26)/COUNTA($P$2:$P26)</f>
        <v>0.88</v>
      </c>
      <c r="AB26" s="69">
        <f>SUM(T$2:T26)/COUNTA($P$2:$P26)</f>
        <v>0.28000000000000003</v>
      </c>
      <c r="AC26" s="69">
        <f>SUM(U$2:U26)/COUNTA($P$2:$P26)</f>
        <v>0.8</v>
      </c>
      <c r="AD26" s="69">
        <f>SUM(V$2:V26)/COUNTA($P$2:$P26)</f>
        <v>0.88</v>
      </c>
      <c r="AE26" s="70">
        <f t="shared" si="16"/>
        <v>0.62</v>
      </c>
      <c r="AF26" s="58" t="e">
        <f t="shared" ca="1" si="18"/>
        <v>#N/A</v>
      </c>
      <c r="AG26" s="58" t="e">
        <f t="shared" ca="1" si="18"/>
        <v>#N/A</v>
      </c>
      <c r="AH26" s="58" t="e">
        <f t="shared" ca="1" si="18"/>
        <v>#N/A</v>
      </c>
      <c r="AI26" s="58" t="e">
        <f t="shared" ca="1" si="18"/>
        <v>#N/A</v>
      </c>
      <c r="AJ26" s="58" t="e">
        <f t="shared" ca="1" si="18"/>
        <v>#N/A</v>
      </c>
      <c r="AK26" s="58" t="e">
        <f t="shared" ca="1" si="18"/>
        <v>#N/A</v>
      </c>
      <c r="AL26" s="58" t="e">
        <f t="shared" ca="1" si="18"/>
        <v>#N/A</v>
      </c>
      <c r="AP26" s="66"/>
    </row>
    <row r="27" spans="1:42" ht="16.5" customHeight="1">
      <c r="A27" s="74" t="e">
        <f t="shared" ca="1" si="11"/>
        <v>#N/A</v>
      </c>
      <c r="B27" s="56">
        <f t="shared" si="10"/>
        <v>44029</v>
      </c>
      <c r="C27" s="59">
        <f ca="1">IF($B27&lt;=TODAY(),SUMIF('Stats 2020'!$M$24:$M$1048576,"&lt;="&amp;Graphs!$B27,'Stats 2020'!O$24:O$1048576),NA())</f>
        <v>116</v>
      </c>
      <c r="D27" s="59">
        <f t="shared" ca="1" si="12"/>
        <v>143.5</v>
      </c>
      <c r="E27" s="59">
        <f ca="1">IF($B27&lt;=TODAY(),SUMIF('Stats 2020'!$M$24:$M$1048576,"&lt;="&amp;Graphs!$B27,'Stats 2020'!Q$24:Q$1048576),NA())</f>
        <v>83</v>
      </c>
      <c r="F27" s="59">
        <f t="shared" ca="1" si="13"/>
        <v>143.5</v>
      </c>
      <c r="G27" s="59">
        <f ca="1">IF($B27&lt;=TODAY(),SUMIF('Stats 2020'!$M$24:$M$1048576,"&lt;="&amp;Graphs!$B27,'Stats 2020'!S$24:S$1048576),NA())</f>
        <v>99.5</v>
      </c>
      <c r="H27" s="59">
        <f ca="1">IF($B27&lt;=TODAY(),SUMIF('Stats 2020'!$M$24:$M$1048576,"&lt;="&amp;Graphs!$B27,'Stats 2020'!T$24:T$1048576),NA())</f>
        <v>74.75</v>
      </c>
      <c r="I27" s="58" t="e">
        <f t="shared" ca="1" si="17"/>
        <v>#N/A</v>
      </c>
      <c r="J27" s="58" t="e">
        <f t="shared" ca="1" si="17"/>
        <v>#N/A</v>
      </c>
      <c r="K27" s="58" t="e">
        <f t="shared" ca="1" si="17"/>
        <v>#N/A</v>
      </c>
      <c r="L27" s="58" t="e">
        <f t="shared" ca="1" si="17"/>
        <v>#N/A</v>
      </c>
      <c r="M27" s="58" t="e">
        <f t="shared" ca="1" si="17"/>
        <v>#N/A</v>
      </c>
      <c r="N27" s="58" t="e">
        <f t="shared" ca="1" si="17"/>
        <v>#N/A</v>
      </c>
      <c r="O27" s="60"/>
      <c r="P27" s="65">
        <f t="shared" si="7"/>
        <v>44029</v>
      </c>
      <c r="Q27" s="66">
        <f>VLOOKUP($B27,'Stats 2020'!$D$25:$J$200,MATCH(Graphs!Q$1,'Stats 2020'!$D$18:$J$18,0),0)</f>
        <v>0</v>
      </c>
      <c r="R27" s="66" t="str">
        <f>VLOOKUP($B27,'Stats 2020'!$D$25:$J$200,MATCH(Graphs!R$1,'Stats 2020'!$D$18:$J$18,0),0)</f>
        <v/>
      </c>
      <c r="S27" s="66">
        <f>VLOOKUP($B27,'Stats 2020'!$D$25:$J$200,MATCH(Graphs!S$1,'Stats 2020'!$D$18:$J$18,0),0)</f>
        <v>0</v>
      </c>
      <c r="T27" s="66" t="str">
        <f>VLOOKUP($B27,'Stats 2020'!$D$25:$J$200,MATCH(Graphs!T$1,'Stats 2020'!$D$18:$J$18,0),0)</f>
        <v/>
      </c>
      <c r="U27" s="66">
        <f>VLOOKUP($B27,'Stats 2020'!$D$25:$J$200,MATCH(Graphs!U$1,'Stats 2020'!$D$18:$J$18,0),0)</f>
        <v>1</v>
      </c>
      <c r="V27" s="66">
        <f>VLOOKUP($B27,'Stats 2020'!$D$25:$J$200,MATCH(Graphs!V$1,'Stats 2020'!$D$18:$J$18,0),0)</f>
        <v>1</v>
      </c>
      <c r="W27" s="66"/>
      <c r="X27" s="65">
        <f t="shared" si="8"/>
        <v>44029</v>
      </c>
      <c r="Y27" s="69">
        <f>SUM(Q$2:Q27)/COUNTA($P$2:$P27)</f>
        <v>0.80769230769230771</v>
      </c>
      <c r="Z27" s="69">
        <f>SUM(R$2:R27)/COUNTA($P$2:$P27)</f>
        <v>3.8461538461538464E-2</v>
      </c>
      <c r="AA27" s="69">
        <f>SUM(S$2:S27)/COUNTA($P$2:$P27)</f>
        <v>0.84615384615384615</v>
      </c>
      <c r="AB27" s="69">
        <f>SUM(T$2:T27)/COUNTA($P$2:$P27)</f>
        <v>0.26923076923076922</v>
      </c>
      <c r="AC27" s="69">
        <f>SUM(U$2:U27)/COUNTA($P$2:$P27)</f>
        <v>0.80769230769230771</v>
      </c>
      <c r="AD27" s="69">
        <f>SUM(V$2:V27)/COUNTA($P$2:$P27)</f>
        <v>0.88461538461538458</v>
      </c>
      <c r="AE27" s="70">
        <f t="shared" si="16"/>
        <v>0.60897435897435892</v>
      </c>
      <c r="AF27" s="58" t="e">
        <f t="shared" ca="1" si="18"/>
        <v>#N/A</v>
      </c>
      <c r="AG27" s="58" t="e">
        <f t="shared" ca="1" si="18"/>
        <v>#N/A</v>
      </c>
      <c r="AH27" s="58" t="e">
        <f t="shared" ca="1" si="18"/>
        <v>#N/A</v>
      </c>
      <c r="AI27" s="58" t="e">
        <f t="shared" ca="1" si="18"/>
        <v>#N/A</v>
      </c>
      <c r="AJ27" s="58" t="e">
        <f t="shared" ca="1" si="18"/>
        <v>#N/A</v>
      </c>
      <c r="AK27" s="58" t="e">
        <f t="shared" ca="1" si="18"/>
        <v>#N/A</v>
      </c>
      <c r="AL27" s="58" t="e">
        <f t="shared" ca="1" si="18"/>
        <v>#N/A</v>
      </c>
      <c r="AP27" s="66"/>
    </row>
    <row r="28" spans="1:42" ht="16.5" customHeight="1">
      <c r="A28" s="74" t="e">
        <f t="shared" ca="1" si="11"/>
        <v>#N/A</v>
      </c>
      <c r="B28" s="56">
        <f t="shared" si="10"/>
        <v>44036</v>
      </c>
      <c r="C28" s="59">
        <f ca="1">IF($B28&lt;=TODAY(),SUMIF('Stats 2020'!$M$24:$M$1048576,"&lt;="&amp;Graphs!$B28,'Stats 2020'!O$24:O$1048576),NA())</f>
        <v>116</v>
      </c>
      <c r="D28" s="59">
        <f t="shared" ca="1" si="12"/>
        <v>143.5</v>
      </c>
      <c r="E28" s="59">
        <f ca="1">IF($B28&lt;=TODAY(),SUMIF('Stats 2020'!$M$24:$M$1048576,"&lt;="&amp;Graphs!$B28,'Stats 2020'!Q$24:Q$1048576),NA())</f>
        <v>83</v>
      </c>
      <c r="F28" s="59">
        <f t="shared" ca="1" si="13"/>
        <v>143.5</v>
      </c>
      <c r="G28" s="59">
        <f ca="1">IF($B28&lt;=TODAY(),SUMIF('Stats 2020'!$M$24:$M$1048576,"&lt;="&amp;Graphs!$B28,'Stats 2020'!S$24:S$1048576),NA())</f>
        <v>99.5</v>
      </c>
      <c r="H28" s="59">
        <f ca="1">IF($B28&lt;=TODAY(),SUMIF('Stats 2020'!$M$24:$M$1048576,"&lt;="&amp;Graphs!$B28,'Stats 2020'!T$24:T$1048576),NA())</f>
        <v>85.75</v>
      </c>
      <c r="I28" s="58" t="e">
        <f t="shared" ca="1" si="17"/>
        <v>#N/A</v>
      </c>
      <c r="J28" s="58" t="e">
        <f t="shared" ca="1" si="17"/>
        <v>#N/A</v>
      </c>
      <c r="K28" s="58" t="e">
        <f t="shared" ca="1" si="17"/>
        <v>#N/A</v>
      </c>
      <c r="L28" s="58" t="e">
        <f t="shared" ca="1" si="17"/>
        <v>#N/A</v>
      </c>
      <c r="M28" s="58" t="e">
        <f t="shared" ca="1" si="17"/>
        <v>#N/A</v>
      </c>
      <c r="N28" s="58" t="e">
        <f t="shared" ca="1" si="17"/>
        <v>#N/A</v>
      </c>
      <c r="O28" s="60"/>
      <c r="P28" s="65">
        <f t="shared" si="7"/>
        <v>44036</v>
      </c>
      <c r="Q28" s="66">
        <f>VLOOKUP($B28,'Stats 2020'!$D$25:$J$200,MATCH(Graphs!Q$1,'Stats 2020'!$D$18:$J$18,0),0)</f>
        <v>1</v>
      </c>
      <c r="R28" s="66">
        <f>VLOOKUP($B28,'Stats 2020'!$D$25:$J$200,MATCH(Graphs!R$1,'Stats 2020'!$D$18:$J$18,0),0)</f>
        <v>1</v>
      </c>
      <c r="S28" s="66">
        <f>VLOOKUP($B28,'Stats 2020'!$D$25:$J$200,MATCH(Graphs!S$1,'Stats 2020'!$D$18:$J$18,0),0)</f>
        <v>1</v>
      </c>
      <c r="T28" s="66">
        <f>VLOOKUP($B28,'Stats 2020'!$D$25:$J$200,MATCH(Graphs!T$1,'Stats 2020'!$D$18:$J$18,0),0)</f>
        <v>1</v>
      </c>
      <c r="U28" s="66">
        <f>VLOOKUP($B28,'Stats 2020'!$D$25:$J$200,MATCH(Graphs!U$1,'Stats 2020'!$D$18:$J$18,0),0)</f>
        <v>1</v>
      </c>
      <c r="V28" s="66">
        <f>VLOOKUP($B28,'Stats 2020'!$D$25:$J$200,MATCH(Graphs!V$1,'Stats 2020'!$D$18:$J$18,0),0)</f>
        <v>0</v>
      </c>
      <c r="W28" s="66"/>
      <c r="X28" s="65">
        <f t="shared" si="8"/>
        <v>44036</v>
      </c>
      <c r="Y28" s="69">
        <f>SUM(Q$2:Q28)/COUNTA($P$2:$P28)</f>
        <v>0.81481481481481477</v>
      </c>
      <c r="Z28" s="69">
        <f>SUM(R$2:R28)/COUNTA($P$2:$P28)</f>
        <v>7.407407407407407E-2</v>
      </c>
      <c r="AA28" s="69">
        <f>SUM(S$2:S28)/COUNTA($P$2:$P28)</f>
        <v>0.85185185185185186</v>
      </c>
      <c r="AB28" s="69">
        <f>SUM(T$2:T28)/COUNTA($P$2:$P28)</f>
        <v>0.29629629629629628</v>
      </c>
      <c r="AC28" s="69">
        <f>SUM(U$2:U28)/COUNTA($P$2:$P28)</f>
        <v>0.81481481481481477</v>
      </c>
      <c r="AD28" s="69">
        <f>SUM(V$2:V28)/COUNTA($P$2:$P28)</f>
        <v>0.85185185185185186</v>
      </c>
      <c r="AE28" s="70">
        <f t="shared" si="16"/>
        <v>0.61728395061728403</v>
      </c>
      <c r="AF28" s="58" t="e">
        <f t="shared" ca="1" si="18"/>
        <v>#N/A</v>
      </c>
      <c r="AG28" s="58" t="e">
        <f t="shared" ca="1" si="18"/>
        <v>#N/A</v>
      </c>
      <c r="AH28" s="58" t="e">
        <f t="shared" ca="1" si="18"/>
        <v>#N/A</v>
      </c>
      <c r="AI28" s="58" t="e">
        <f t="shared" ca="1" si="18"/>
        <v>#N/A</v>
      </c>
      <c r="AJ28" s="58" t="e">
        <f t="shared" ca="1" si="18"/>
        <v>#N/A</v>
      </c>
      <c r="AK28" s="58" t="e">
        <f t="shared" ca="1" si="18"/>
        <v>#N/A</v>
      </c>
      <c r="AL28" s="58" t="e">
        <f t="shared" ca="1" si="18"/>
        <v>#N/A</v>
      </c>
      <c r="AP28" s="66"/>
    </row>
    <row r="29" spans="1:42" ht="16.5" customHeight="1">
      <c r="A29" s="74" t="e">
        <f t="shared" ca="1" si="11"/>
        <v>#N/A</v>
      </c>
      <c r="B29" s="56">
        <f t="shared" si="10"/>
        <v>44043</v>
      </c>
      <c r="C29" s="59">
        <f ca="1">IF($B29&lt;=TODAY(),SUMIF('Stats 2020'!$M$24:$M$1048576,"&lt;="&amp;Graphs!$B29,'Stats 2020'!O$24:O$1048576),NA())</f>
        <v>127</v>
      </c>
      <c r="D29" s="59">
        <f t="shared" ca="1" si="12"/>
        <v>154.5</v>
      </c>
      <c r="E29" s="59">
        <f ca="1">IF($B29&lt;=TODAY(),SUMIF('Stats 2020'!$M$24:$M$1048576,"&lt;="&amp;Graphs!$B29,'Stats 2020'!Q$24:Q$1048576),NA())</f>
        <v>83</v>
      </c>
      <c r="F29" s="59">
        <f t="shared" ca="1" si="13"/>
        <v>154.5</v>
      </c>
      <c r="G29" s="59">
        <f ca="1">IF($B29&lt;=TODAY(),SUMIF('Stats 2020'!$M$24:$M$1048576,"&lt;="&amp;Graphs!$B29,'Stats 2020'!S$24:S$1048576),NA())</f>
        <v>99.5</v>
      </c>
      <c r="H29" s="59">
        <f ca="1">IF($B29&lt;=TODAY(),SUMIF('Stats 2020'!$M$24:$M$1048576,"&lt;="&amp;Graphs!$B29,'Stats 2020'!T$24:T$1048576),NA())</f>
        <v>85.75</v>
      </c>
      <c r="I29" s="58" t="e">
        <f t="shared" ca="1" si="17"/>
        <v>#N/A</v>
      </c>
      <c r="J29" s="58" t="e">
        <f t="shared" ca="1" si="17"/>
        <v>#N/A</v>
      </c>
      <c r="K29" s="58" t="e">
        <f t="shared" ca="1" si="17"/>
        <v>#N/A</v>
      </c>
      <c r="L29" s="58" t="e">
        <f t="shared" ca="1" si="17"/>
        <v>#N/A</v>
      </c>
      <c r="M29" s="58" t="e">
        <f t="shared" ca="1" si="17"/>
        <v>#N/A</v>
      </c>
      <c r="N29" s="58" t="e">
        <f t="shared" ca="1" si="17"/>
        <v>#N/A</v>
      </c>
      <c r="O29" s="60"/>
      <c r="P29" s="65">
        <f t="shared" si="7"/>
        <v>44043</v>
      </c>
      <c r="Q29" s="66">
        <f>VLOOKUP($B29,'Stats 2020'!$D$25:$J$200,MATCH(Graphs!Q$1,'Stats 2020'!$D$18:$J$18,0),0)</f>
        <v>0</v>
      </c>
      <c r="R29" s="66" t="str">
        <f>VLOOKUP($B29,'Stats 2020'!$D$25:$J$200,MATCH(Graphs!R$1,'Stats 2020'!$D$18:$J$18,0),0)</f>
        <v/>
      </c>
      <c r="S29" s="66">
        <f>VLOOKUP($B29,'Stats 2020'!$D$25:$J$200,MATCH(Graphs!S$1,'Stats 2020'!$D$18:$J$18,0),0)</f>
        <v>1</v>
      </c>
      <c r="T29" s="66" t="str">
        <f>VLOOKUP($B29,'Stats 2020'!$D$25:$J$200,MATCH(Graphs!T$1,'Stats 2020'!$D$18:$J$18,0),0)</f>
        <v/>
      </c>
      <c r="U29" s="66">
        <f>VLOOKUP($B29,'Stats 2020'!$D$25:$J$200,MATCH(Graphs!U$1,'Stats 2020'!$D$18:$J$18,0),0)</f>
        <v>1</v>
      </c>
      <c r="V29" s="66">
        <f>VLOOKUP($B29,'Stats 2020'!$D$25:$J$200,MATCH(Graphs!V$1,'Stats 2020'!$D$18:$J$18,0),0)</f>
        <v>1</v>
      </c>
      <c r="W29" s="66"/>
      <c r="X29" s="65">
        <f t="shared" si="8"/>
        <v>44043</v>
      </c>
      <c r="Y29" s="69">
        <f>SUM(Q$2:Q29)/COUNTA($P$2:$P29)</f>
        <v>0.7857142857142857</v>
      </c>
      <c r="Z29" s="69">
        <f>SUM(R$2:R29)/COUNTA($P$2:$P29)</f>
        <v>7.1428571428571425E-2</v>
      </c>
      <c r="AA29" s="69">
        <f>SUM(S$2:S29)/COUNTA($P$2:$P29)</f>
        <v>0.8571428571428571</v>
      </c>
      <c r="AB29" s="69">
        <f>SUM(T$2:T29)/COUNTA($P$2:$P29)</f>
        <v>0.2857142857142857</v>
      </c>
      <c r="AC29" s="69">
        <f>SUM(U$2:U29)/COUNTA($P$2:$P29)</f>
        <v>0.8214285714285714</v>
      </c>
      <c r="AD29" s="69">
        <f>SUM(V$2:V29)/COUNTA($P$2:$P29)</f>
        <v>0.8571428571428571</v>
      </c>
      <c r="AE29" s="70">
        <f t="shared" si="16"/>
        <v>0.61309523809523803</v>
      </c>
      <c r="AF29" s="58" t="e">
        <f t="shared" ca="1" si="18"/>
        <v>#N/A</v>
      </c>
      <c r="AG29" s="58" t="e">
        <f t="shared" ca="1" si="18"/>
        <v>#N/A</v>
      </c>
      <c r="AH29" s="58" t="e">
        <f t="shared" ca="1" si="18"/>
        <v>#N/A</v>
      </c>
      <c r="AI29" s="58" t="e">
        <f t="shared" ca="1" si="18"/>
        <v>#N/A</v>
      </c>
      <c r="AJ29" s="58" t="e">
        <f t="shared" ca="1" si="18"/>
        <v>#N/A</v>
      </c>
      <c r="AK29" s="58" t="e">
        <f t="shared" ca="1" si="18"/>
        <v>#N/A</v>
      </c>
      <c r="AL29" s="58" t="e">
        <f t="shared" ca="1" si="18"/>
        <v>#N/A</v>
      </c>
      <c r="AP29" s="66"/>
    </row>
    <row r="30" spans="1:42" ht="16.5" customHeight="1">
      <c r="A30" s="74" t="e">
        <f t="shared" ca="1" si="11"/>
        <v>#N/A</v>
      </c>
      <c r="B30" s="56">
        <f t="shared" si="10"/>
        <v>44050</v>
      </c>
      <c r="C30" s="59">
        <f ca="1">IF($B30&lt;=TODAY(),SUMIF('Stats 2020'!$M$24:$M$1048576,"&lt;="&amp;Graphs!$B30,'Stats 2020'!O$24:O$1048576),NA())</f>
        <v>127</v>
      </c>
      <c r="D30" s="59">
        <f t="shared" ca="1" si="12"/>
        <v>154.5</v>
      </c>
      <c r="E30" s="59">
        <f ca="1">IF($B30&lt;=TODAY(),SUMIF('Stats 2020'!$M$24:$M$1048576,"&lt;="&amp;Graphs!$B30,'Stats 2020'!Q$24:Q$1048576),NA())</f>
        <v>83</v>
      </c>
      <c r="F30" s="59">
        <f t="shared" ca="1" si="13"/>
        <v>154.5</v>
      </c>
      <c r="G30" s="59">
        <f ca="1">IF($B30&lt;=TODAY(),SUMIF('Stats 2020'!$M$24:$M$1048576,"&lt;="&amp;Graphs!$B30,'Stats 2020'!S$24:S$1048576),NA())</f>
        <v>99.5</v>
      </c>
      <c r="H30" s="59">
        <f ca="1">IF($B30&lt;=TODAY(),SUMIF('Stats 2020'!$M$24:$M$1048576,"&lt;="&amp;Graphs!$B30,'Stats 2020'!T$24:T$1048576),NA())</f>
        <v>85.75</v>
      </c>
      <c r="I30" s="58" t="e">
        <f t="shared" ca="1" si="17"/>
        <v>#N/A</v>
      </c>
      <c r="J30" s="58" t="e">
        <f t="shared" ca="1" si="17"/>
        <v>#N/A</v>
      </c>
      <c r="K30" s="58" t="e">
        <f t="shared" ca="1" si="17"/>
        <v>#N/A</v>
      </c>
      <c r="L30" s="58" t="e">
        <f t="shared" ca="1" si="17"/>
        <v>#N/A</v>
      </c>
      <c r="M30" s="58" t="e">
        <f t="shared" ca="1" si="17"/>
        <v>#N/A</v>
      </c>
      <c r="N30" s="58" t="e">
        <f t="shared" ca="1" si="17"/>
        <v>#N/A</v>
      </c>
      <c r="O30" s="60"/>
      <c r="P30" s="65">
        <f t="shared" si="7"/>
        <v>44050</v>
      </c>
      <c r="Q30" s="66">
        <f>VLOOKUP($B30,'Stats 2020'!$D$25:$J$200,MATCH(Graphs!Q$1,'Stats 2020'!$D$18:$J$18,0),0)</f>
        <v>1</v>
      </c>
      <c r="R30" s="66" t="str">
        <f>VLOOKUP($B30,'Stats 2020'!$D$25:$J$200,MATCH(Graphs!R$1,'Stats 2020'!$D$18:$J$18,0),0)</f>
        <v/>
      </c>
      <c r="S30" s="66">
        <f>VLOOKUP($B30,'Stats 2020'!$D$25:$J$200,MATCH(Graphs!S$1,'Stats 2020'!$D$18:$J$18,0),0)</f>
        <v>1</v>
      </c>
      <c r="T30" s="66" t="str">
        <f>VLOOKUP($B30,'Stats 2020'!$D$25:$J$200,MATCH(Graphs!T$1,'Stats 2020'!$D$18:$J$18,0),0)</f>
        <v/>
      </c>
      <c r="U30" s="66">
        <f>VLOOKUP($B30,'Stats 2020'!$D$25:$J$200,MATCH(Graphs!U$1,'Stats 2020'!$D$18:$J$18,0),0)</f>
        <v>1</v>
      </c>
      <c r="V30" s="66">
        <f>VLOOKUP($B30,'Stats 2020'!$D$25:$J$200,MATCH(Graphs!V$1,'Stats 2020'!$D$18:$J$18,0),0)</f>
        <v>1</v>
      </c>
      <c r="W30" s="66"/>
      <c r="X30" s="65">
        <f t="shared" si="8"/>
        <v>44050</v>
      </c>
      <c r="Y30" s="69">
        <f>SUM(Q$2:Q30)/COUNTA($P$2:$P30)</f>
        <v>0.7931034482758621</v>
      </c>
      <c r="Z30" s="69">
        <f>SUM(R$2:R30)/COUNTA($P$2:$P30)</f>
        <v>6.8965517241379309E-2</v>
      </c>
      <c r="AA30" s="69">
        <f>SUM(S$2:S30)/COUNTA($P$2:$P30)</f>
        <v>0.86206896551724133</v>
      </c>
      <c r="AB30" s="69">
        <f>SUM(T$2:T30)/COUNTA($P$2:$P30)</f>
        <v>0.27586206896551724</v>
      </c>
      <c r="AC30" s="69">
        <f>SUM(U$2:U30)/COUNTA($P$2:$P30)</f>
        <v>0.82758620689655171</v>
      </c>
      <c r="AD30" s="69">
        <f>SUM(V$2:V30)/COUNTA($P$2:$P30)</f>
        <v>0.86206896551724133</v>
      </c>
      <c r="AE30" s="70">
        <f t="shared" si="16"/>
        <v>0.61494252873563215</v>
      </c>
      <c r="AF30" s="58" t="e">
        <f t="shared" ca="1" si="18"/>
        <v>#N/A</v>
      </c>
      <c r="AG30" s="58" t="e">
        <f t="shared" ca="1" si="18"/>
        <v>#N/A</v>
      </c>
      <c r="AH30" s="58" t="e">
        <f t="shared" ca="1" si="18"/>
        <v>#N/A</v>
      </c>
      <c r="AI30" s="58" t="e">
        <f t="shared" ca="1" si="18"/>
        <v>#N/A</v>
      </c>
      <c r="AJ30" s="58" t="e">
        <f t="shared" ca="1" si="18"/>
        <v>#N/A</v>
      </c>
      <c r="AK30" s="58" t="e">
        <f t="shared" ca="1" si="18"/>
        <v>#N/A</v>
      </c>
      <c r="AL30" s="58" t="e">
        <f t="shared" ca="1" si="18"/>
        <v>#N/A</v>
      </c>
      <c r="AP30" s="66"/>
    </row>
    <row r="31" spans="1:42" ht="16.5" customHeight="1">
      <c r="A31" s="74" t="e">
        <f t="shared" ca="1" si="11"/>
        <v>#N/A</v>
      </c>
      <c r="B31" s="56">
        <f t="shared" si="10"/>
        <v>44057</v>
      </c>
      <c r="C31" s="59">
        <f ca="1">IF($B31&lt;=TODAY(),SUMIF('Stats 2020'!$M$24:$M$1048576,"&lt;="&amp;Graphs!$B31,'Stats 2020'!O$24:O$1048576),NA())</f>
        <v>129.75</v>
      </c>
      <c r="D31" s="59">
        <f t="shared" ca="1" si="12"/>
        <v>157.25</v>
      </c>
      <c r="E31" s="59">
        <f ca="1">IF($B31&lt;=TODAY(),SUMIF('Stats 2020'!$M$24:$M$1048576,"&lt;="&amp;Graphs!$B31,'Stats 2020'!Q$24:Q$1048576),NA())</f>
        <v>83</v>
      </c>
      <c r="F31" s="59">
        <f t="shared" ca="1" si="13"/>
        <v>157.25</v>
      </c>
      <c r="G31" s="59">
        <f ca="1">IF($B31&lt;=TODAY(),SUMIF('Stats 2020'!$M$24:$M$1048576,"&lt;="&amp;Graphs!$B31,'Stats 2020'!S$24:S$1048576),NA())</f>
        <v>99.5</v>
      </c>
      <c r="H31" s="59">
        <f ca="1">IF($B31&lt;=TODAY(),SUMIF('Stats 2020'!$M$24:$M$1048576,"&lt;="&amp;Graphs!$B31,'Stats 2020'!T$24:T$1048576),NA())</f>
        <v>85.75</v>
      </c>
      <c r="I31" s="58" t="e">
        <f t="shared" ca="1" si="17"/>
        <v>#N/A</v>
      </c>
      <c r="J31" s="58" t="e">
        <f t="shared" ca="1" si="17"/>
        <v>#N/A</v>
      </c>
      <c r="K31" s="58" t="e">
        <f t="shared" ca="1" si="17"/>
        <v>#N/A</v>
      </c>
      <c r="L31" s="58" t="e">
        <f t="shared" ca="1" si="17"/>
        <v>#N/A</v>
      </c>
      <c r="M31" s="58" t="e">
        <f t="shared" ca="1" si="17"/>
        <v>#N/A</v>
      </c>
      <c r="N31" s="58" t="e">
        <f t="shared" ca="1" si="17"/>
        <v>#N/A</v>
      </c>
      <c r="O31" s="60"/>
      <c r="P31" s="65">
        <f t="shared" si="7"/>
        <v>44057</v>
      </c>
      <c r="Q31" s="66">
        <f>VLOOKUP($B31,'Stats 2020'!$D$25:$J$200,MATCH(Graphs!Q$1,'Stats 2020'!$D$18:$J$18,0),0)</f>
        <v>1</v>
      </c>
      <c r="R31" s="66">
        <f>VLOOKUP($B31,'Stats 2020'!$D$25:$J$200,MATCH(Graphs!R$1,'Stats 2020'!$D$18:$J$18,0),0)</f>
        <v>1</v>
      </c>
      <c r="S31" s="66">
        <f>VLOOKUP($B31,'Stats 2020'!$D$25:$J$200,MATCH(Graphs!S$1,'Stats 2020'!$D$18:$J$18,0),0)</f>
        <v>1</v>
      </c>
      <c r="T31" s="66" t="str">
        <f>VLOOKUP($B31,'Stats 2020'!$D$25:$J$200,MATCH(Graphs!T$1,'Stats 2020'!$D$18:$J$18,0),0)</f>
        <v/>
      </c>
      <c r="U31" s="66">
        <f>VLOOKUP($B31,'Stats 2020'!$D$25:$J$200,MATCH(Graphs!U$1,'Stats 2020'!$D$18:$J$18,0),0)</f>
        <v>1</v>
      </c>
      <c r="V31" s="66">
        <f>VLOOKUP($B31,'Stats 2020'!$D$25:$J$200,MATCH(Graphs!V$1,'Stats 2020'!$D$18:$J$18,0),0)</f>
        <v>1</v>
      </c>
      <c r="W31" s="66"/>
      <c r="X31" s="65">
        <f t="shared" si="8"/>
        <v>44057</v>
      </c>
      <c r="Y31" s="69">
        <f>SUM(Q$2:Q31)/COUNTA($P$2:$P31)</f>
        <v>0.8</v>
      </c>
      <c r="Z31" s="69">
        <f>SUM(R$2:R31)/COUNTA($P$2:$P31)</f>
        <v>0.1</v>
      </c>
      <c r="AA31" s="69">
        <f>SUM(S$2:S31)/COUNTA($P$2:$P31)</f>
        <v>0.8666666666666667</v>
      </c>
      <c r="AB31" s="69">
        <f>SUM(T$2:T31)/COUNTA($P$2:$P31)</f>
        <v>0.26666666666666666</v>
      </c>
      <c r="AC31" s="69">
        <f>SUM(U$2:U31)/COUNTA($P$2:$P31)</f>
        <v>0.83333333333333337</v>
      </c>
      <c r="AD31" s="69">
        <f>SUM(V$2:V31)/COUNTA($P$2:$P31)</f>
        <v>0.8666666666666667</v>
      </c>
      <c r="AE31" s="70">
        <f t="shared" si="16"/>
        <v>0.62222222222222223</v>
      </c>
      <c r="AF31" s="58" t="e">
        <f t="shared" ca="1" si="18"/>
        <v>#N/A</v>
      </c>
      <c r="AG31" s="58" t="e">
        <f t="shared" ca="1" si="18"/>
        <v>#N/A</v>
      </c>
      <c r="AH31" s="58" t="e">
        <f t="shared" ca="1" si="18"/>
        <v>#N/A</v>
      </c>
      <c r="AI31" s="58" t="e">
        <f t="shared" ca="1" si="18"/>
        <v>#N/A</v>
      </c>
      <c r="AJ31" s="58" t="e">
        <f t="shared" ca="1" si="18"/>
        <v>#N/A</v>
      </c>
      <c r="AK31" s="58" t="e">
        <f t="shared" ca="1" si="18"/>
        <v>#N/A</v>
      </c>
      <c r="AL31" s="58" t="e">
        <f t="shared" ca="1" si="18"/>
        <v>#N/A</v>
      </c>
      <c r="AP31" s="66"/>
    </row>
    <row r="32" spans="1:42" ht="16.5" customHeight="1">
      <c r="A32" s="74" t="e">
        <f t="shared" ca="1" si="11"/>
        <v>#N/A</v>
      </c>
      <c r="B32" s="56">
        <f t="shared" si="10"/>
        <v>44064</v>
      </c>
      <c r="C32" s="59">
        <f ca="1">IF($B32&lt;=TODAY(),SUMIF('Stats 2020'!$M$24:$M$1048576,"&lt;="&amp;Graphs!$B32,'Stats 2020'!O$24:O$1048576),NA())</f>
        <v>129.75</v>
      </c>
      <c r="D32" s="59">
        <f t="shared" ca="1" si="12"/>
        <v>157.25</v>
      </c>
      <c r="E32" s="59">
        <f ca="1">IF($B32&lt;=TODAY(),SUMIF('Stats 2020'!$M$24:$M$1048576,"&lt;="&amp;Graphs!$B32,'Stats 2020'!Q$24:Q$1048576),NA())</f>
        <v>94</v>
      </c>
      <c r="F32" s="59">
        <f t="shared" ca="1" si="13"/>
        <v>157.25</v>
      </c>
      <c r="G32" s="59">
        <f ca="1">IF($B32&lt;=TODAY(),SUMIF('Stats 2020'!$M$24:$M$1048576,"&lt;="&amp;Graphs!$B32,'Stats 2020'!S$24:S$1048576),NA())</f>
        <v>99.5</v>
      </c>
      <c r="H32" s="59">
        <f ca="1">IF($B32&lt;=TODAY(),SUMIF('Stats 2020'!$M$24:$M$1048576,"&lt;="&amp;Graphs!$B32,'Stats 2020'!T$24:T$1048576),NA())</f>
        <v>85.75</v>
      </c>
      <c r="I32" s="58" t="e">
        <f t="shared" ref="I32:N41" ca="1" si="19">VLOOKUP($A32,$B$1:$H$59,MATCH(I$1,$B$1:$H$1,0),0)</f>
        <v>#N/A</v>
      </c>
      <c r="J32" s="58" t="e">
        <f t="shared" ca="1" si="19"/>
        <v>#N/A</v>
      </c>
      <c r="K32" s="58" t="e">
        <f t="shared" ca="1" si="19"/>
        <v>#N/A</v>
      </c>
      <c r="L32" s="58" t="e">
        <f t="shared" ca="1" si="19"/>
        <v>#N/A</v>
      </c>
      <c r="M32" s="58" t="e">
        <f t="shared" ca="1" si="19"/>
        <v>#N/A</v>
      </c>
      <c r="N32" s="58" t="e">
        <f t="shared" ca="1" si="19"/>
        <v>#N/A</v>
      </c>
      <c r="O32" s="60"/>
      <c r="P32" s="65">
        <f t="shared" si="7"/>
        <v>44064</v>
      </c>
      <c r="Q32" s="66">
        <f>VLOOKUP($B32,'Stats 2020'!$D$25:$J$200,MATCH(Graphs!Q$1,'Stats 2020'!$D$18:$J$18,0),0)</f>
        <v>1</v>
      </c>
      <c r="R32" s="66" t="str">
        <f>VLOOKUP($B32,'Stats 2020'!$D$25:$J$200,MATCH(Graphs!R$1,'Stats 2020'!$D$18:$J$18,0),0)</f>
        <v/>
      </c>
      <c r="S32" s="66">
        <f>VLOOKUP($B32,'Stats 2020'!$D$25:$J$200,MATCH(Graphs!S$1,'Stats 2020'!$D$18:$J$18,0),0)</f>
        <v>0</v>
      </c>
      <c r="T32" s="66">
        <f>VLOOKUP($B32,'Stats 2020'!$D$25:$J$200,MATCH(Graphs!T$1,'Stats 2020'!$D$18:$J$18,0),0)</f>
        <v>1</v>
      </c>
      <c r="U32" s="66">
        <f>VLOOKUP($B32,'Stats 2020'!$D$25:$J$200,MATCH(Graphs!U$1,'Stats 2020'!$D$18:$J$18,0),0)</f>
        <v>1</v>
      </c>
      <c r="V32" s="66">
        <f>VLOOKUP($B32,'Stats 2020'!$D$25:$J$200,MATCH(Graphs!V$1,'Stats 2020'!$D$18:$J$18,0),0)</f>
        <v>1</v>
      </c>
      <c r="W32" s="66"/>
      <c r="X32" s="65">
        <f t="shared" si="8"/>
        <v>44064</v>
      </c>
      <c r="Y32" s="69">
        <f>SUM(Q$2:Q32)/COUNTA($P$2:$P32)</f>
        <v>0.80645161290322576</v>
      </c>
      <c r="Z32" s="69">
        <f>SUM(R$2:R32)/COUNTA($P$2:$P32)</f>
        <v>9.6774193548387094E-2</v>
      </c>
      <c r="AA32" s="69">
        <f>SUM(S$2:S32)/COUNTA($P$2:$P32)</f>
        <v>0.83870967741935487</v>
      </c>
      <c r="AB32" s="69">
        <f>SUM(T$2:T32)/COUNTA($P$2:$P32)</f>
        <v>0.29032258064516131</v>
      </c>
      <c r="AC32" s="69">
        <f>SUM(U$2:U32)/COUNTA($P$2:$P32)</f>
        <v>0.83870967741935487</v>
      </c>
      <c r="AD32" s="69">
        <f>SUM(V$2:V32)/COUNTA($P$2:$P32)</f>
        <v>0.87096774193548387</v>
      </c>
      <c r="AE32" s="70">
        <f t="shared" si="16"/>
        <v>0.62365591397849462</v>
      </c>
      <c r="AF32" s="58" t="e">
        <f t="shared" ref="AF32:AL41" ca="1" si="20">VLOOKUP($A32,$X$1:$AE$59,MATCH(AF$1,$X$1:$AE$1,0),0)</f>
        <v>#N/A</v>
      </c>
      <c r="AG32" s="58" t="e">
        <f t="shared" ca="1" si="20"/>
        <v>#N/A</v>
      </c>
      <c r="AH32" s="58" t="e">
        <f t="shared" ca="1" si="20"/>
        <v>#N/A</v>
      </c>
      <c r="AI32" s="58" t="e">
        <f t="shared" ca="1" si="20"/>
        <v>#N/A</v>
      </c>
      <c r="AJ32" s="58" t="e">
        <f t="shared" ca="1" si="20"/>
        <v>#N/A</v>
      </c>
      <c r="AK32" s="58" t="e">
        <f t="shared" ca="1" si="20"/>
        <v>#N/A</v>
      </c>
      <c r="AL32" s="58" t="e">
        <f t="shared" ca="1" si="20"/>
        <v>#N/A</v>
      </c>
      <c r="AP32" s="66"/>
    </row>
    <row r="33" spans="1:42" ht="16.5" customHeight="1">
      <c r="A33" s="74" t="e">
        <f t="shared" ca="1" si="11"/>
        <v>#N/A</v>
      </c>
      <c r="B33" s="56">
        <f t="shared" si="10"/>
        <v>44071</v>
      </c>
      <c r="C33" s="59">
        <f ca="1">IF($B33&lt;=TODAY(),SUMIF('Stats 2020'!$M$24:$M$1048576,"&lt;="&amp;Graphs!$B33,'Stats 2020'!O$24:O$1048576),NA())</f>
        <v>140.75</v>
      </c>
      <c r="D33" s="59">
        <f t="shared" ca="1" si="12"/>
        <v>168.25</v>
      </c>
      <c r="E33" s="59">
        <f ca="1">IF($B33&lt;=TODAY(),SUMIF('Stats 2020'!$M$24:$M$1048576,"&lt;="&amp;Graphs!$B33,'Stats 2020'!Q$24:Q$1048576),NA())</f>
        <v>94</v>
      </c>
      <c r="F33" s="59">
        <f t="shared" ca="1" si="13"/>
        <v>168.25</v>
      </c>
      <c r="G33" s="59">
        <f ca="1">IF($B33&lt;=TODAY(),SUMIF('Stats 2020'!$M$24:$M$1048576,"&lt;="&amp;Graphs!$B33,'Stats 2020'!S$24:S$1048576),NA())</f>
        <v>110.5</v>
      </c>
      <c r="H33" s="59">
        <f ca="1">IF($B33&lt;=TODAY(),SUMIF('Stats 2020'!$M$24:$M$1048576,"&lt;="&amp;Graphs!$B33,'Stats 2020'!T$24:T$1048576),NA())</f>
        <v>85.75</v>
      </c>
      <c r="I33" s="58" t="e">
        <f t="shared" ca="1" si="19"/>
        <v>#N/A</v>
      </c>
      <c r="J33" s="58" t="e">
        <f t="shared" ca="1" si="19"/>
        <v>#N/A</v>
      </c>
      <c r="K33" s="58" t="e">
        <f t="shared" ca="1" si="19"/>
        <v>#N/A</v>
      </c>
      <c r="L33" s="58" t="e">
        <f t="shared" ca="1" si="19"/>
        <v>#N/A</v>
      </c>
      <c r="M33" s="58" t="e">
        <f t="shared" ca="1" si="19"/>
        <v>#N/A</v>
      </c>
      <c r="N33" s="58" t="e">
        <f t="shared" ca="1" si="19"/>
        <v>#N/A</v>
      </c>
      <c r="O33" s="60"/>
      <c r="P33" s="65">
        <f t="shared" si="7"/>
        <v>44071</v>
      </c>
      <c r="Q33" s="66">
        <f>VLOOKUP($B33,'Stats 2020'!$D$25:$J$200,MATCH(Graphs!Q$1,'Stats 2020'!$D$18:$J$18,0),0)</f>
        <v>0</v>
      </c>
      <c r="R33" s="66" t="str">
        <f>VLOOKUP($B33,'Stats 2020'!$D$25:$J$200,MATCH(Graphs!R$1,'Stats 2020'!$D$18:$J$18,0),0)</f>
        <v/>
      </c>
      <c r="S33" s="66">
        <f>VLOOKUP($B33,'Stats 2020'!$D$25:$J$200,MATCH(Graphs!S$1,'Stats 2020'!$D$18:$J$18,0),0)</f>
        <v>1</v>
      </c>
      <c r="T33" s="66">
        <f>VLOOKUP($B33,'Stats 2020'!$D$25:$J$200,MATCH(Graphs!T$1,'Stats 2020'!$D$18:$J$18,0),0)</f>
        <v>1</v>
      </c>
      <c r="U33" s="66">
        <f>VLOOKUP($B33,'Stats 2020'!$D$25:$J$200,MATCH(Graphs!U$1,'Stats 2020'!$D$18:$J$18,0),0)</f>
        <v>0</v>
      </c>
      <c r="V33" s="66">
        <f>VLOOKUP($B33,'Stats 2020'!$D$25:$J$200,MATCH(Graphs!V$1,'Stats 2020'!$D$18:$J$18,0),0)</f>
        <v>1</v>
      </c>
      <c r="W33" s="66"/>
      <c r="X33" s="65">
        <f t="shared" si="8"/>
        <v>44071</v>
      </c>
      <c r="Y33" s="69">
        <f>SUM(Q$2:Q33)/COUNTA($P$2:$P33)</f>
        <v>0.78125</v>
      </c>
      <c r="Z33" s="69">
        <f>SUM(R$2:R33)/COUNTA($P$2:$P33)</f>
        <v>9.375E-2</v>
      </c>
      <c r="AA33" s="69">
        <f>SUM(S$2:S33)/COUNTA($P$2:$P33)</f>
        <v>0.84375</v>
      </c>
      <c r="AB33" s="69">
        <f>SUM(T$2:T33)/COUNTA($P$2:$P33)</f>
        <v>0.3125</v>
      </c>
      <c r="AC33" s="69">
        <f>SUM(U$2:U33)/COUNTA($P$2:$P33)</f>
        <v>0.8125</v>
      </c>
      <c r="AD33" s="69">
        <f>SUM(V$2:V33)/COUNTA($P$2:$P33)</f>
        <v>0.875</v>
      </c>
      <c r="AE33" s="70">
        <f t="shared" si="16"/>
        <v>0.61979166666666663</v>
      </c>
      <c r="AF33" s="58" t="e">
        <f t="shared" ca="1" si="20"/>
        <v>#N/A</v>
      </c>
      <c r="AG33" s="58" t="e">
        <f t="shared" ca="1" si="20"/>
        <v>#N/A</v>
      </c>
      <c r="AH33" s="58" t="e">
        <f t="shared" ca="1" si="20"/>
        <v>#N/A</v>
      </c>
      <c r="AI33" s="58" t="e">
        <f t="shared" ca="1" si="20"/>
        <v>#N/A</v>
      </c>
      <c r="AJ33" s="58" t="e">
        <f t="shared" ca="1" si="20"/>
        <v>#N/A</v>
      </c>
      <c r="AK33" s="58" t="e">
        <f t="shared" ca="1" si="20"/>
        <v>#N/A</v>
      </c>
      <c r="AL33" s="58" t="e">
        <f t="shared" ca="1" si="20"/>
        <v>#N/A</v>
      </c>
      <c r="AP33" s="66"/>
    </row>
    <row r="34" spans="1:42" ht="16.5" customHeight="1">
      <c r="A34" s="74" t="e">
        <f t="shared" ca="1" si="11"/>
        <v>#N/A</v>
      </c>
      <c r="B34" s="56">
        <f t="shared" si="10"/>
        <v>44078</v>
      </c>
      <c r="C34" s="59">
        <f ca="1">IF($B34&lt;=TODAY(),SUMIF('Stats 2020'!$M$24:$M$1048576,"&lt;="&amp;Graphs!$B34,'Stats 2020'!O$24:O$1048576),NA())</f>
        <v>143.5</v>
      </c>
      <c r="D34" s="59">
        <f t="shared" ca="1" si="12"/>
        <v>171</v>
      </c>
      <c r="E34" s="59">
        <f ca="1">IF($B34&lt;=TODAY(),SUMIF('Stats 2020'!$M$24:$M$1048576,"&lt;="&amp;Graphs!$B34,'Stats 2020'!Q$24:Q$1048576),NA())</f>
        <v>94</v>
      </c>
      <c r="F34" s="59">
        <f t="shared" ca="1" si="13"/>
        <v>171</v>
      </c>
      <c r="G34" s="59">
        <f ca="1">IF($B34&lt;=TODAY(),SUMIF('Stats 2020'!$M$24:$M$1048576,"&lt;="&amp;Graphs!$B34,'Stats 2020'!S$24:S$1048576),NA())</f>
        <v>110.5</v>
      </c>
      <c r="H34" s="59">
        <f ca="1">IF($B34&lt;=TODAY(),SUMIF('Stats 2020'!$M$24:$M$1048576,"&lt;="&amp;Graphs!$B34,'Stats 2020'!T$24:T$1048576),NA())</f>
        <v>85.75</v>
      </c>
      <c r="I34" s="58" t="e">
        <f t="shared" ca="1" si="19"/>
        <v>#N/A</v>
      </c>
      <c r="J34" s="58" t="e">
        <f t="shared" ca="1" si="19"/>
        <v>#N/A</v>
      </c>
      <c r="K34" s="58" t="e">
        <f t="shared" ca="1" si="19"/>
        <v>#N/A</v>
      </c>
      <c r="L34" s="58" t="e">
        <f t="shared" ca="1" si="19"/>
        <v>#N/A</v>
      </c>
      <c r="M34" s="58" t="e">
        <f t="shared" ca="1" si="19"/>
        <v>#N/A</v>
      </c>
      <c r="N34" s="58" t="e">
        <f t="shared" ca="1" si="19"/>
        <v>#N/A</v>
      </c>
      <c r="O34" s="60"/>
      <c r="P34" s="65">
        <f t="shared" si="7"/>
        <v>44078</v>
      </c>
      <c r="Q34" s="66">
        <f>VLOOKUP($B34,'Stats 2020'!$D$25:$J$200,MATCH(Graphs!Q$1,'Stats 2020'!$D$18:$J$18,0),0)</f>
        <v>1</v>
      </c>
      <c r="R34" s="66" t="str">
        <f>VLOOKUP($B34,'Stats 2020'!$D$25:$J$200,MATCH(Graphs!R$1,'Stats 2020'!$D$18:$J$18,0),0)</f>
        <v/>
      </c>
      <c r="S34" s="66">
        <f>VLOOKUP($B34,'Stats 2020'!$D$25:$J$200,MATCH(Graphs!S$1,'Stats 2020'!$D$18:$J$18,0),0)</f>
        <v>1</v>
      </c>
      <c r="T34" s="66">
        <f>VLOOKUP($B34,'Stats 2020'!$D$25:$J$200,MATCH(Graphs!T$1,'Stats 2020'!$D$18:$J$18,0),0)</f>
        <v>1</v>
      </c>
      <c r="U34" s="66">
        <f>VLOOKUP($B34,'Stats 2020'!$D$25:$J$200,MATCH(Graphs!U$1,'Stats 2020'!$D$18:$J$18,0),0)</f>
        <v>1</v>
      </c>
      <c r="V34" s="66">
        <f>VLOOKUP($B34,'Stats 2020'!$D$25:$J$200,MATCH(Graphs!V$1,'Stats 2020'!$D$18:$J$18,0),0)</f>
        <v>1</v>
      </c>
      <c r="W34" s="66"/>
      <c r="X34" s="65">
        <f t="shared" si="8"/>
        <v>44078</v>
      </c>
      <c r="Y34" s="69">
        <f>SUM(Q$2:Q34)/COUNTA($P$2:$P34)</f>
        <v>0.78787878787878785</v>
      </c>
      <c r="Z34" s="69">
        <f>SUM(R$2:R34)/COUNTA($P$2:$P34)</f>
        <v>9.0909090909090912E-2</v>
      </c>
      <c r="AA34" s="69">
        <f>SUM(S$2:S34)/COUNTA($P$2:$P34)</f>
        <v>0.84848484848484851</v>
      </c>
      <c r="AB34" s="69">
        <f>SUM(T$2:T34)/COUNTA($P$2:$P34)</f>
        <v>0.33333333333333331</v>
      </c>
      <c r="AC34" s="69">
        <f>SUM(U$2:U34)/COUNTA($P$2:$P34)</f>
        <v>0.81818181818181823</v>
      </c>
      <c r="AD34" s="69">
        <f>SUM(V$2:V34)/COUNTA($P$2:$P34)</f>
        <v>0.87878787878787878</v>
      </c>
      <c r="AE34" s="70">
        <f t="shared" si="16"/>
        <v>0.6262626262626263</v>
      </c>
      <c r="AF34" s="58" t="e">
        <f t="shared" ca="1" si="20"/>
        <v>#N/A</v>
      </c>
      <c r="AG34" s="58" t="e">
        <f t="shared" ca="1" si="20"/>
        <v>#N/A</v>
      </c>
      <c r="AH34" s="58" t="e">
        <f t="shared" ca="1" si="20"/>
        <v>#N/A</v>
      </c>
      <c r="AI34" s="58" t="e">
        <f t="shared" ca="1" si="20"/>
        <v>#N/A</v>
      </c>
      <c r="AJ34" s="58" t="e">
        <f t="shared" ca="1" si="20"/>
        <v>#N/A</v>
      </c>
      <c r="AK34" s="58" t="e">
        <f t="shared" ca="1" si="20"/>
        <v>#N/A</v>
      </c>
      <c r="AL34" s="58" t="e">
        <f t="shared" ca="1" si="20"/>
        <v>#N/A</v>
      </c>
      <c r="AP34" s="66"/>
    </row>
    <row r="35" spans="1:42" ht="16.5" customHeight="1">
      <c r="A35" s="74" t="e">
        <f t="shared" ca="1" si="11"/>
        <v>#N/A</v>
      </c>
      <c r="B35" s="56">
        <f t="shared" si="10"/>
        <v>44085</v>
      </c>
      <c r="C35" s="59">
        <f ca="1">IF($B35&lt;=TODAY(),SUMIF('Stats 2020'!$M$24:$M$1048576,"&lt;="&amp;Graphs!$B35,'Stats 2020'!O$24:O$1048576),NA())</f>
        <v>143.5</v>
      </c>
      <c r="D35" s="59">
        <f t="shared" ca="1" si="12"/>
        <v>171</v>
      </c>
      <c r="E35" s="59">
        <f ca="1">IF($B35&lt;=TODAY(),SUMIF('Stats 2020'!$M$24:$M$1048576,"&lt;="&amp;Graphs!$B35,'Stats 2020'!Q$24:Q$1048576),NA())</f>
        <v>94</v>
      </c>
      <c r="F35" s="59">
        <f t="shared" ca="1" si="13"/>
        <v>171</v>
      </c>
      <c r="G35" s="59">
        <f ca="1">IF($B35&lt;=TODAY(),SUMIF('Stats 2020'!$M$24:$M$1048576,"&lt;="&amp;Graphs!$B35,'Stats 2020'!S$24:S$1048576),NA())</f>
        <v>110.5</v>
      </c>
      <c r="H35" s="59">
        <f ca="1">IF($B35&lt;=TODAY(),SUMIF('Stats 2020'!$M$24:$M$1048576,"&lt;="&amp;Graphs!$B35,'Stats 2020'!T$24:T$1048576),NA())</f>
        <v>85.75</v>
      </c>
      <c r="I35" s="58" t="e">
        <f t="shared" ca="1" si="19"/>
        <v>#N/A</v>
      </c>
      <c r="J35" s="58" t="e">
        <f t="shared" ca="1" si="19"/>
        <v>#N/A</v>
      </c>
      <c r="K35" s="58" t="e">
        <f t="shared" ca="1" si="19"/>
        <v>#N/A</v>
      </c>
      <c r="L35" s="58" t="e">
        <f t="shared" ca="1" si="19"/>
        <v>#N/A</v>
      </c>
      <c r="M35" s="58" t="e">
        <f t="shared" ca="1" si="19"/>
        <v>#N/A</v>
      </c>
      <c r="N35" s="58" t="e">
        <f t="shared" ca="1" si="19"/>
        <v>#N/A</v>
      </c>
      <c r="O35" s="60"/>
      <c r="P35" s="65">
        <f t="shared" si="7"/>
        <v>44085</v>
      </c>
      <c r="Q35" s="66">
        <f>VLOOKUP($B35,'Stats 2020'!$D$25:$J$200,MATCH(Graphs!Q$1,'Stats 2020'!$D$18:$J$18,0),0)</f>
        <v>1</v>
      </c>
      <c r="R35" s="66" t="str">
        <f>VLOOKUP($B35,'Stats 2020'!$D$25:$J$200,MATCH(Graphs!R$1,'Stats 2020'!$D$18:$J$18,0),0)</f>
        <v/>
      </c>
      <c r="S35" s="66">
        <f>VLOOKUP($B35,'Stats 2020'!$D$25:$J$200,MATCH(Graphs!S$1,'Stats 2020'!$D$18:$J$18,0),0)</f>
        <v>1</v>
      </c>
      <c r="T35" s="66" t="str">
        <f>VLOOKUP($B35,'Stats 2020'!$D$25:$J$200,MATCH(Graphs!T$1,'Stats 2020'!$D$18:$J$18,0),0)</f>
        <v/>
      </c>
      <c r="U35" s="66">
        <f>VLOOKUP($B35,'Stats 2020'!$D$25:$J$200,MATCH(Graphs!U$1,'Stats 2020'!$D$18:$J$18,0),0)</f>
        <v>1</v>
      </c>
      <c r="V35" s="66">
        <f>VLOOKUP($B35,'Stats 2020'!$D$25:$J$200,MATCH(Graphs!V$1,'Stats 2020'!$D$18:$J$18,0),0)</f>
        <v>1</v>
      </c>
      <c r="W35" s="66"/>
      <c r="X35" s="65">
        <f t="shared" si="8"/>
        <v>44085</v>
      </c>
      <c r="Y35" s="69">
        <f>SUM(Q$2:Q35)/COUNTA($P$2:$P35)</f>
        <v>0.79411764705882348</v>
      </c>
      <c r="Z35" s="69">
        <f>SUM(R$2:R35)/COUNTA($P$2:$P35)</f>
        <v>8.8235294117647065E-2</v>
      </c>
      <c r="AA35" s="69">
        <f>SUM(S$2:S35)/COUNTA($P$2:$P35)</f>
        <v>0.8529411764705882</v>
      </c>
      <c r="AB35" s="69">
        <f>SUM(T$2:T35)/COUNTA($P$2:$P35)</f>
        <v>0.3235294117647059</v>
      </c>
      <c r="AC35" s="69">
        <f>SUM(U$2:U35)/COUNTA($P$2:$P35)</f>
        <v>0.82352941176470584</v>
      </c>
      <c r="AD35" s="69">
        <f>SUM(V$2:V35)/COUNTA($P$2:$P35)</f>
        <v>0.88235294117647056</v>
      </c>
      <c r="AE35" s="70">
        <f t="shared" si="16"/>
        <v>0.62745098039215697</v>
      </c>
      <c r="AF35" s="58" t="e">
        <f t="shared" ca="1" si="20"/>
        <v>#N/A</v>
      </c>
      <c r="AG35" s="58" t="e">
        <f t="shared" ca="1" si="20"/>
        <v>#N/A</v>
      </c>
      <c r="AH35" s="58" t="e">
        <f t="shared" ca="1" si="20"/>
        <v>#N/A</v>
      </c>
      <c r="AI35" s="58" t="e">
        <f t="shared" ca="1" si="20"/>
        <v>#N/A</v>
      </c>
      <c r="AJ35" s="58" t="e">
        <f t="shared" ca="1" si="20"/>
        <v>#N/A</v>
      </c>
      <c r="AK35" s="58" t="e">
        <f t="shared" ca="1" si="20"/>
        <v>#N/A</v>
      </c>
      <c r="AL35" s="58" t="e">
        <f t="shared" ca="1" si="20"/>
        <v>#N/A</v>
      </c>
      <c r="AP35" s="66"/>
    </row>
    <row r="36" spans="1:42" ht="16.5" customHeight="1">
      <c r="A36" s="74" t="e">
        <f t="shared" ca="1" si="11"/>
        <v>#N/A</v>
      </c>
      <c r="B36" s="56">
        <f t="shared" si="10"/>
        <v>44092</v>
      </c>
      <c r="C36" s="59">
        <f ca="1">IF($B36&lt;=TODAY(),SUMIF('Stats 2020'!$M$24:$M$1048576,"&lt;="&amp;Graphs!$B36,'Stats 2020'!O$24:O$1048576),NA())</f>
        <v>143.5</v>
      </c>
      <c r="D36" s="59">
        <f t="shared" ca="1" si="12"/>
        <v>171</v>
      </c>
      <c r="E36" s="59">
        <f ca="1">IF($B36&lt;=TODAY(),SUMIF('Stats 2020'!$M$24:$M$1048576,"&lt;="&amp;Graphs!$B36,'Stats 2020'!Q$24:Q$1048576),NA())</f>
        <v>94</v>
      </c>
      <c r="F36" s="59">
        <f t="shared" ca="1" si="13"/>
        <v>171</v>
      </c>
      <c r="G36" s="59">
        <f ca="1">IF($B36&lt;=TODAY(),SUMIF('Stats 2020'!$M$24:$M$1048576,"&lt;="&amp;Graphs!$B36,'Stats 2020'!S$24:S$1048576),NA())</f>
        <v>121.5</v>
      </c>
      <c r="H36" s="59">
        <f ca="1">IF($B36&lt;=TODAY(),SUMIF('Stats 2020'!$M$24:$M$1048576,"&lt;="&amp;Graphs!$B36,'Stats 2020'!T$24:T$1048576),NA())</f>
        <v>85.75</v>
      </c>
      <c r="I36" s="58" t="e">
        <f t="shared" ca="1" si="19"/>
        <v>#N/A</v>
      </c>
      <c r="J36" s="58" t="e">
        <f t="shared" ca="1" si="19"/>
        <v>#N/A</v>
      </c>
      <c r="K36" s="58" t="e">
        <f t="shared" ca="1" si="19"/>
        <v>#N/A</v>
      </c>
      <c r="L36" s="58" t="e">
        <f t="shared" ca="1" si="19"/>
        <v>#N/A</v>
      </c>
      <c r="M36" s="58" t="e">
        <f t="shared" ca="1" si="19"/>
        <v>#N/A</v>
      </c>
      <c r="N36" s="58" t="e">
        <f t="shared" ca="1" si="19"/>
        <v>#N/A</v>
      </c>
      <c r="O36" s="60"/>
      <c r="P36" s="65">
        <f t="shared" si="7"/>
        <v>44092</v>
      </c>
      <c r="Q36" s="66">
        <f>VLOOKUP($B36,'Stats 2020'!$D$25:$J$200,MATCH(Graphs!Q$1,'Stats 2020'!$D$18:$J$18,0),0)</f>
        <v>1</v>
      </c>
      <c r="R36" s="66" t="str">
        <f>VLOOKUP($B36,'Stats 2020'!$D$25:$J$200,MATCH(Graphs!R$1,'Stats 2020'!$D$18:$J$18,0),0)</f>
        <v/>
      </c>
      <c r="S36" s="66">
        <f>VLOOKUP($B36,'Stats 2020'!$D$25:$J$200,MATCH(Graphs!S$1,'Stats 2020'!$D$18:$J$18,0),0)</f>
        <v>1</v>
      </c>
      <c r="T36" s="66">
        <f>VLOOKUP($B36,'Stats 2020'!$D$25:$J$200,MATCH(Graphs!T$1,'Stats 2020'!$D$18:$J$18,0),0)</f>
        <v>1</v>
      </c>
      <c r="U36" s="66">
        <f>VLOOKUP($B36,'Stats 2020'!$D$25:$J$200,MATCH(Graphs!U$1,'Stats 2020'!$D$18:$J$18,0),0)</f>
        <v>0</v>
      </c>
      <c r="V36" s="66">
        <f>VLOOKUP($B36,'Stats 2020'!$D$25:$J$200,MATCH(Graphs!V$1,'Stats 2020'!$D$18:$J$18,0),0)</f>
        <v>1</v>
      </c>
      <c r="W36" s="66"/>
      <c r="X36" s="65">
        <f t="shared" si="8"/>
        <v>44092</v>
      </c>
      <c r="Y36" s="69">
        <f>SUM(Q$2:Q36)/COUNTA($P$2:$P36)</f>
        <v>0.8</v>
      </c>
      <c r="Z36" s="69">
        <f>SUM(R$2:R36)/COUNTA($P$2:$P36)</f>
        <v>8.5714285714285715E-2</v>
      </c>
      <c r="AA36" s="69">
        <f>SUM(S$2:S36)/COUNTA($P$2:$P36)</f>
        <v>0.8571428571428571</v>
      </c>
      <c r="AB36" s="69">
        <f>SUM(T$2:T36)/COUNTA($P$2:$P36)</f>
        <v>0.34285714285714286</v>
      </c>
      <c r="AC36" s="69">
        <f>SUM(U$2:U36)/COUNTA($P$2:$P36)</f>
        <v>0.8</v>
      </c>
      <c r="AD36" s="69">
        <f>SUM(V$2:V36)/COUNTA($P$2:$P36)</f>
        <v>0.88571428571428568</v>
      </c>
      <c r="AE36" s="70">
        <f t="shared" si="16"/>
        <v>0.62857142857142867</v>
      </c>
      <c r="AF36" s="58" t="e">
        <f t="shared" ca="1" si="20"/>
        <v>#N/A</v>
      </c>
      <c r="AG36" s="58" t="e">
        <f t="shared" ca="1" si="20"/>
        <v>#N/A</v>
      </c>
      <c r="AH36" s="58" t="e">
        <f t="shared" ca="1" si="20"/>
        <v>#N/A</v>
      </c>
      <c r="AI36" s="58" t="e">
        <f t="shared" ca="1" si="20"/>
        <v>#N/A</v>
      </c>
      <c r="AJ36" s="58" t="e">
        <f t="shared" ca="1" si="20"/>
        <v>#N/A</v>
      </c>
      <c r="AK36" s="58" t="e">
        <f t="shared" ca="1" si="20"/>
        <v>#N/A</v>
      </c>
      <c r="AL36" s="58" t="e">
        <f t="shared" ca="1" si="20"/>
        <v>#N/A</v>
      </c>
      <c r="AP36" s="66"/>
    </row>
    <row r="37" spans="1:42" ht="16.5" customHeight="1">
      <c r="A37" s="74" t="e">
        <f t="shared" ca="1" si="11"/>
        <v>#N/A</v>
      </c>
      <c r="B37" s="56">
        <f t="shared" si="10"/>
        <v>44099</v>
      </c>
      <c r="C37" s="59">
        <f ca="1">IF($B37&lt;=TODAY(),SUMIF('Stats 2020'!$M$24:$M$1048576,"&lt;="&amp;Graphs!$B37,'Stats 2020'!O$24:O$1048576),NA())</f>
        <v>146.25</v>
      </c>
      <c r="D37" s="59">
        <f t="shared" ca="1" si="12"/>
        <v>173.75</v>
      </c>
      <c r="E37" s="59">
        <f ca="1">IF($B37&lt;=TODAY(),SUMIF('Stats 2020'!$M$24:$M$1048576,"&lt;="&amp;Graphs!$B37,'Stats 2020'!Q$24:Q$1048576),NA())</f>
        <v>94</v>
      </c>
      <c r="F37" s="59">
        <f t="shared" ca="1" si="13"/>
        <v>173.75</v>
      </c>
      <c r="G37" s="59">
        <f ca="1">IF($B37&lt;=TODAY(),SUMIF('Stats 2020'!$M$24:$M$1048576,"&lt;="&amp;Graphs!$B37,'Stats 2020'!S$24:S$1048576),NA())</f>
        <v>121.5</v>
      </c>
      <c r="H37" s="59">
        <f ca="1">IF($B37&lt;=TODAY(),SUMIF('Stats 2020'!$M$24:$M$1048576,"&lt;="&amp;Graphs!$B37,'Stats 2020'!T$24:T$1048576),NA())</f>
        <v>85.75</v>
      </c>
      <c r="I37" s="58" t="e">
        <f t="shared" ca="1" si="19"/>
        <v>#N/A</v>
      </c>
      <c r="J37" s="58" t="e">
        <f t="shared" ca="1" si="19"/>
        <v>#N/A</v>
      </c>
      <c r="K37" s="58" t="e">
        <f t="shared" ca="1" si="19"/>
        <v>#N/A</v>
      </c>
      <c r="L37" s="58" t="e">
        <f t="shared" ca="1" si="19"/>
        <v>#N/A</v>
      </c>
      <c r="M37" s="58" t="e">
        <f t="shared" ca="1" si="19"/>
        <v>#N/A</v>
      </c>
      <c r="N37" s="58" t="e">
        <f t="shared" ca="1" si="19"/>
        <v>#N/A</v>
      </c>
      <c r="O37" s="60"/>
      <c r="P37" s="65">
        <f t="shared" si="7"/>
        <v>44099</v>
      </c>
      <c r="Q37" s="66">
        <f>VLOOKUP($B37,'Stats 2020'!$D$25:$J$200,MATCH(Graphs!Q$1,'Stats 2020'!$D$18:$J$18,0),0)</f>
        <v>1</v>
      </c>
      <c r="R37" s="66" t="str">
        <f>VLOOKUP($B37,'Stats 2020'!$D$25:$J$200,MATCH(Graphs!R$1,'Stats 2020'!$D$18:$J$18,0),0)</f>
        <v/>
      </c>
      <c r="S37" s="66">
        <f>VLOOKUP($B37,'Stats 2020'!$D$25:$J$200,MATCH(Graphs!S$1,'Stats 2020'!$D$18:$J$18,0),0)</f>
        <v>1</v>
      </c>
      <c r="T37" s="66" t="str">
        <f>VLOOKUP($B37,'Stats 2020'!$D$25:$J$200,MATCH(Graphs!T$1,'Stats 2020'!$D$18:$J$18,0),0)</f>
        <v/>
      </c>
      <c r="U37" s="66">
        <f>VLOOKUP($B37,'Stats 2020'!$D$25:$J$200,MATCH(Graphs!U$1,'Stats 2020'!$D$18:$J$18,0),0)</f>
        <v>1</v>
      </c>
      <c r="V37" s="66">
        <f>VLOOKUP($B37,'Stats 2020'!$D$25:$J$200,MATCH(Graphs!V$1,'Stats 2020'!$D$18:$J$18,0),0)</f>
        <v>1</v>
      </c>
      <c r="W37" s="66"/>
      <c r="X37" s="65">
        <f t="shared" si="8"/>
        <v>44099</v>
      </c>
      <c r="Y37" s="69">
        <f>SUM(Q$2:Q36)/COUNTA($P$2:$P36)</f>
        <v>0.8</v>
      </c>
      <c r="Z37" s="69">
        <f>SUM(R$2:R36)/COUNTA($P$2:$P36)</f>
        <v>8.5714285714285715E-2</v>
      </c>
      <c r="AA37" s="69">
        <f>SUM(S$2:S36)/COUNTA($P$2:$P36)</f>
        <v>0.8571428571428571</v>
      </c>
      <c r="AB37" s="69">
        <f>SUM(T$2:T36)/COUNTA($P$2:$P36)</f>
        <v>0.34285714285714286</v>
      </c>
      <c r="AC37" s="69">
        <f>SUM(U$2:U36)/COUNTA($P$2:$P36)</f>
        <v>0.8</v>
      </c>
      <c r="AD37" s="69">
        <f>SUM(V$2:V36)/COUNTA($P$2:$P36)</f>
        <v>0.88571428571428568</v>
      </c>
      <c r="AE37" s="70">
        <f t="shared" si="16"/>
        <v>0.62857142857142867</v>
      </c>
      <c r="AF37" s="58" t="e">
        <f t="shared" ca="1" si="20"/>
        <v>#N/A</v>
      </c>
      <c r="AG37" s="58" t="e">
        <f t="shared" ca="1" si="20"/>
        <v>#N/A</v>
      </c>
      <c r="AH37" s="58" t="e">
        <f t="shared" ca="1" si="20"/>
        <v>#N/A</v>
      </c>
      <c r="AI37" s="58" t="e">
        <f t="shared" ca="1" si="20"/>
        <v>#N/A</v>
      </c>
      <c r="AJ37" s="58" t="e">
        <f t="shared" ca="1" si="20"/>
        <v>#N/A</v>
      </c>
      <c r="AK37" s="58" t="e">
        <f t="shared" ca="1" si="20"/>
        <v>#N/A</v>
      </c>
      <c r="AL37" s="58" t="e">
        <f t="shared" ca="1" si="20"/>
        <v>#N/A</v>
      </c>
      <c r="AP37" s="66"/>
    </row>
    <row r="38" spans="1:42" ht="16.5" customHeight="1">
      <c r="A38" s="74" t="e">
        <f t="shared" ca="1" si="11"/>
        <v>#N/A</v>
      </c>
      <c r="B38" s="56">
        <f t="shared" si="10"/>
        <v>44106</v>
      </c>
      <c r="C38" s="59">
        <f ca="1">IF($B38&lt;=TODAY(),SUMIF('Stats 2020'!$M$24:$M$1048576,"&lt;="&amp;Graphs!$B38,'Stats 2020'!O$24:O$1048576),NA())</f>
        <v>146.25</v>
      </c>
      <c r="D38" s="59">
        <f t="shared" ca="1" si="12"/>
        <v>173.75</v>
      </c>
      <c r="E38" s="59">
        <f ca="1">IF($B38&lt;=TODAY(),SUMIF('Stats 2020'!$M$24:$M$1048576,"&lt;="&amp;Graphs!$B38,'Stats 2020'!Q$24:Q$1048576),NA())</f>
        <v>94</v>
      </c>
      <c r="F38" s="59">
        <f t="shared" ca="1" si="13"/>
        <v>173.75</v>
      </c>
      <c r="G38" s="59">
        <f ca="1">IF($B38&lt;=TODAY(),SUMIF('Stats 2020'!$M$24:$M$1048576,"&lt;="&amp;Graphs!$B38,'Stats 2020'!S$24:S$1048576),NA())</f>
        <v>121.5</v>
      </c>
      <c r="H38" s="59">
        <f ca="1">IF($B38&lt;=TODAY(),SUMIF('Stats 2020'!$M$24:$M$1048576,"&lt;="&amp;Graphs!$B38,'Stats 2020'!T$24:T$1048576),NA())</f>
        <v>85.75</v>
      </c>
      <c r="I38" s="58" t="e">
        <f t="shared" ca="1" si="19"/>
        <v>#N/A</v>
      </c>
      <c r="J38" s="58" t="e">
        <f t="shared" ca="1" si="19"/>
        <v>#N/A</v>
      </c>
      <c r="K38" s="58" t="e">
        <f t="shared" ca="1" si="19"/>
        <v>#N/A</v>
      </c>
      <c r="L38" s="58" t="e">
        <f t="shared" ca="1" si="19"/>
        <v>#N/A</v>
      </c>
      <c r="M38" s="58" t="e">
        <f t="shared" ca="1" si="19"/>
        <v>#N/A</v>
      </c>
      <c r="N38" s="58" t="e">
        <f t="shared" ca="1" si="19"/>
        <v>#N/A</v>
      </c>
      <c r="O38" s="60"/>
      <c r="P38" s="65">
        <f t="shared" si="7"/>
        <v>44106</v>
      </c>
      <c r="Q38" s="66">
        <f>VLOOKUP($B38,'Stats 2020'!$D$25:$J$200,MATCH(Graphs!Q$1,'Stats 2020'!$D$18:$J$18,0),0)</f>
        <v>1</v>
      </c>
      <c r="R38" s="66" t="str">
        <f>VLOOKUP($B38,'Stats 2020'!$D$25:$J$200,MATCH(Graphs!R$1,'Stats 2020'!$D$18:$J$18,0),0)</f>
        <v/>
      </c>
      <c r="S38" s="66">
        <f>VLOOKUP($B38,'Stats 2020'!$D$25:$J$200,MATCH(Graphs!S$1,'Stats 2020'!$D$18:$J$18,0),0)</f>
        <v>1</v>
      </c>
      <c r="T38" s="66" t="str">
        <f>VLOOKUP($B38,'Stats 2020'!$D$25:$J$200,MATCH(Graphs!T$1,'Stats 2020'!$D$18:$J$18,0),0)</f>
        <v/>
      </c>
      <c r="U38" s="66">
        <f>VLOOKUP($B38,'Stats 2020'!$D$25:$J$200,MATCH(Graphs!U$1,'Stats 2020'!$D$18:$J$18,0),0)</f>
        <v>1</v>
      </c>
      <c r="V38" s="66">
        <f>VLOOKUP($B38,'Stats 2020'!$D$25:$J$200,MATCH(Graphs!V$1,'Stats 2020'!$D$18:$J$18,0),0)</f>
        <v>1</v>
      </c>
      <c r="W38" s="66"/>
      <c r="X38" s="65">
        <f t="shared" si="8"/>
        <v>44106</v>
      </c>
      <c r="Y38" s="69">
        <f>SUM(Q$2:Q38)/COUNTA($P$2:$P38)</f>
        <v>0.81081081081081086</v>
      </c>
      <c r="Z38" s="69">
        <f>SUM(R$2:R38)/COUNTA($P$2:$P38)</f>
        <v>8.1081081081081086E-2</v>
      </c>
      <c r="AA38" s="69">
        <f>SUM(S$2:S38)/COUNTA($P$2:$P38)</f>
        <v>0.86486486486486491</v>
      </c>
      <c r="AB38" s="69">
        <f>SUM(T$2:T38)/COUNTA($P$2:$P38)</f>
        <v>0.32432432432432434</v>
      </c>
      <c r="AC38" s="69">
        <f>SUM(U$2:U38)/COUNTA($P$2:$P38)</f>
        <v>0.81081081081081086</v>
      </c>
      <c r="AD38" s="69">
        <f>SUM(V$2:V38)/COUNTA($P$2:$P38)</f>
        <v>0.89189189189189189</v>
      </c>
      <c r="AE38" s="70">
        <f t="shared" si="16"/>
        <v>0.63063063063063074</v>
      </c>
      <c r="AF38" s="58" t="e">
        <f t="shared" ca="1" si="20"/>
        <v>#N/A</v>
      </c>
      <c r="AG38" s="58" t="e">
        <f t="shared" ca="1" si="20"/>
        <v>#N/A</v>
      </c>
      <c r="AH38" s="58" t="e">
        <f t="shared" ca="1" si="20"/>
        <v>#N/A</v>
      </c>
      <c r="AI38" s="58" t="e">
        <f t="shared" ca="1" si="20"/>
        <v>#N/A</v>
      </c>
      <c r="AJ38" s="58" t="e">
        <f t="shared" ca="1" si="20"/>
        <v>#N/A</v>
      </c>
      <c r="AK38" s="58" t="e">
        <f t="shared" ca="1" si="20"/>
        <v>#N/A</v>
      </c>
      <c r="AL38" s="58" t="e">
        <f t="shared" ca="1" si="20"/>
        <v>#N/A</v>
      </c>
      <c r="AP38" s="66"/>
    </row>
    <row r="39" spans="1:42" ht="16.5" customHeight="1">
      <c r="A39" s="74" t="e">
        <f t="shared" ca="1" si="11"/>
        <v>#N/A</v>
      </c>
      <c r="B39" s="56">
        <f t="shared" si="10"/>
        <v>44113</v>
      </c>
      <c r="C39" s="59">
        <f ca="1">IF($B39&lt;=TODAY(),SUMIF('Stats 2020'!$M$24:$M$1048576,"&lt;="&amp;Graphs!$B39,'Stats 2020'!O$24:O$1048576),NA())</f>
        <v>149</v>
      </c>
      <c r="D39" s="59">
        <f t="shared" ca="1" si="12"/>
        <v>176.5</v>
      </c>
      <c r="E39" s="59">
        <f ca="1">IF($B39&lt;=TODAY(),SUMIF('Stats 2020'!$M$24:$M$1048576,"&lt;="&amp;Graphs!$B39,'Stats 2020'!Q$24:Q$1048576),NA())</f>
        <v>105</v>
      </c>
      <c r="F39" s="59">
        <f t="shared" ca="1" si="13"/>
        <v>176.5</v>
      </c>
      <c r="G39" s="59">
        <f ca="1">IF($B39&lt;=TODAY(),SUMIF('Stats 2020'!$M$24:$M$1048576,"&lt;="&amp;Graphs!$B39,'Stats 2020'!S$24:S$1048576),NA())</f>
        <v>121.5</v>
      </c>
      <c r="H39" s="59">
        <f ca="1">IF($B39&lt;=TODAY(),SUMIF('Stats 2020'!$M$24:$M$1048576,"&lt;="&amp;Graphs!$B39,'Stats 2020'!T$24:T$1048576),NA())</f>
        <v>85.75</v>
      </c>
      <c r="I39" s="58" t="e">
        <f t="shared" ca="1" si="19"/>
        <v>#N/A</v>
      </c>
      <c r="J39" s="58" t="e">
        <f t="shared" ca="1" si="19"/>
        <v>#N/A</v>
      </c>
      <c r="K39" s="58" t="e">
        <f t="shared" ca="1" si="19"/>
        <v>#N/A</v>
      </c>
      <c r="L39" s="58" t="e">
        <f t="shared" ca="1" si="19"/>
        <v>#N/A</v>
      </c>
      <c r="M39" s="58" t="e">
        <f t="shared" ca="1" si="19"/>
        <v>#N/A</v>
      </c>
      <c r="N39" s="58" t="e">
        <f t="shared" ca="1" si="19"/>
        <v>#N/A</v>
      </c>
      <c r="O39" s="60"/>
      <c r="P39" s="65">
        <f t="shared" si="7"/>
        <v>44113</v>
      </c>
      <c r="Q39" s="66">
        <f>VLOOKUP($B39,'Stats 2020'!$D$25:$J$200,MATCH(Graphs!Q$1,'Stats 2020'!$D$18:$J$18,0),0)</f>
        <v>1</v>
      </c>
      <c r="R39" s="66" t="str">
        <f>VLOOKUP($B39,'Stats 2020'!$D$25:$J$200,MATCH(Graphs!R$1,'Stats 2020'!$D$18:$J$18,0),0)</f>
        <v/>
      </c>
      <c r="S39" s="66">
        <f>VLOOKUP($B39,'Stats 2020'!$D$25:$J$200,MATCH(Graphs!S$1,'Stats 2020'!$D$18:$J$18,0),0)</f>
        <v>0</v>
      </c>
      <c r="T39" s="66" t="str">
        <f>VLOOKUP($B39,'Stats 2020'!$D$25:$J$200,MATCH(Graphs!T$1,'Stats 2020'!$D$18:$J$18,0),0)</f>
        <v/>
      </c>
      <c r="U39" s="66">
        <f>VLOOKUP($B39,'Stats 2020'!$D$25:$J$200,MATCH(Graphs!U$1,'Stats 2020'!$D$18:$J$18,0),0)</f>
        <v>1</v>
      </c>
      <c r="V39" s="66">
        <f>VLOOKUP($B39,'Stats 2020'!$D$25:$J$200,MATCH(Graphs!V$1,'Stats 2020'!$D$18:$J$18,0),0)</f>
        <v>1</v>
      </c>
      <c r="W39" s="66"/>
      <c r="X39" s="65">
        <f t="shared" si="8"/>
        <v>44113</v>
      </c>
      <c r="Y39" s="69">
        <f>SUM(Q$2:Q39)/COUNTA($P$2:$P39)</f>
        <v>0.81578947368421051</v>
      </c>
      <c r="Z39" s="69">
        <f>SUM(R$2:R39)/COUNTA($P$2:$P39)</f>
        <v>7.8947368421052627E-2</v>
      </c>
      <c r="AA39" s="69">
        <f>SUM(S$2:S39)/COUNTA($P$2:$P39)</f>
        <v>0.84210526315789469</v>
      </c>
      <c r="AB39" s="69">
        <f>SUM(T$2:T39)/COUNTA($P$2:$P39)</f>
        <v>0.31578947368421051</v>
      </c>
      <c r="AC39" s="69">
        <f>SUM(U$2:U39)/COUNTA($P$2:$P39)</f>
        <v>0.81578947368421051</v>
      </c>
      <c r="AD39" s="69">
        <f>SUM(V$2:V39)/COUNTA($P$2:$P39)</f>
        <v>0.89473684210526316</v>
      </c>
      <c r="AE39" s="70">
        <f t="shared" si="16"/>
        <v>0.62719298245614041</v>
      </c>
      <c r="AF39" s="58" t="e">
        <f t="shared" ca="1" si="20"/>
        <v>#N/A</v>
      </c>
      <c r="AG39" s="58" t="e">
        <f t="shared" ca="1" si="20"/>
        <v>#N/A</v>
      </c>
      <c r="AH39" s="58" t="e">
        <f t="shared" ca="1" si="20"/>
        <v>#N/A</v>
      </c>
      <c r="AI39" s="58" t="e">
        <f t="shared" ca="1" si="20"/>
        <v>#N/A</v>
      </c>
      <c r="AJ39" s="58" t="e">
        <f t="shared" ca="1" si="20"/>
        <v>#N/A</v>
      </c>
      <c r="AK39" s="58" t="e">
        <f t="shared" ca="1" si="20"/>
        <v>#N/A</v>
      </c>
      <c r="AL39" s="58" t="e">
        <f t="shared" ca="1" si="20"/>
        <v>#N/A</v>
      </c>
      <c r="AP39" s="66"/>
    </row>
    <row r="40" spans="1:42" ht="16.5" customHeight="1">
      <c r="A40" s="74" t="e">
        <f t="shared" ca="1" si="11"/>
        <v>#N/A</v>
      </c>
      <c r="B40" s="56">
        <f t="shared" si="10"/>
        <v>44120</v>
      </c>
      <c r="C40" s="59">
        <f ca="1">IF($B40&lt;=TODAY(),SUMIF('Stats 2020'!$M$24:$M$1048576,"&lt;="&amp;Graphs!$B40,'Stats 2020'!O$24:O$1048576),NA())</f>
        <v>149</v>
      </c>
      <c r="D40" s="59">
        <f t="shared" ca="1" si="12"/>
        <v>176.5</v>
      </c>
      <c r="E40" s="59">
        <f ca="1">IF($B40&lt;=TODAY(),SUMIF('Stats 2020'!$M$24:$M$1048576,"&lt;="&amp;Graphs!$B40,'Stats 2020'!Q$24:Q$1048576),NA())</f>
        <v>105</v>
      </c>
      <c r="F40" s="59">
        <f t="shared" ca="1" si="13"/>
        <v>176.5</v>
      </c>
      <c r="G40" s="59">
        <f ca="1">IF($B40&lt;=TODAY(),SUMIF('Stats 2020'!$M$24:$M$1048576,"&lt;="&amp;Graphs!$B40,'Stats 2020'!S$24:S$1048576),NA())</f>
        <v>121.5</v>
      </c>
      <c r="H40" s="59">
        <f ca="1">IF($B40&lt;=TODAY(),SUMIF('Stats 2020'!$M$24:$M$1048576,"&lt;="&amp;Graphs!$B40,'Stats 2020'!T$24:T$1048576),NA())</f>
        <v>85.75</v>
      </c>
      <c r="I40" s="58" t="e">
        <f t="shared" ca="1" si="19"/>
        <v>#N/A</v>
      </c>
      <c r="J40" s="58" t="e">
        <f t="shared" ca="1" si="19"/>
        <v>#N/A</v>
      </c>
      <c r="K40" s="58" t="e">
        <f t="shared" ca="1" si="19"/>
        <v>#N/A</v>
      </c>
      <c r="L40" s="58" t="e">
        <f t="shared" ca="1" si="19"/>
        <v>#N/A</v>
      </c>
      <c r="M40" s="58" t="e">
        <f t="shared" ca="1" si="19"/>
        <v>#N/A</v>
      </c>
      <c r="N40" s="58" t="e">
        <f t="shared" ca="1" si="19"/>
        <v>#N/A</v>
      </c>
      <c r="O40" s="60"/>
      <c r="P40" s="65">
        <f t="shared" si="7"/>
        <v>44120</v>
      </c>
      <c r="Q40" s="66">
        <f>VLOOKUP($B40,'Stats 2020'!$D$25:$J$200,MATCH(Graphs!Q$1,'Stats 2020'!$D$18:$J$18,0),0)</f>
        <v>1</v>
      </c>
      <c r="R40" s="66" t="str">
        <f>VLOOKUP($B40,'Stats 2020'!$D$25:$J$200,MATCH(Graphs!R$1,'Stats 2020'!$D$18:$J$18,0),0)</f>
        <v/>
      </c>
      <c r="S40" s="66">
        <f>VLOOKUP($B40,'Stats 2020'!$D$25:$J$200,MATCH(Graphs!S$1,'Stats 2020'!$D$18:$J$18,0),0)</f>
        <v>1</v>
      </c>
      <c r="T40" s="66" t="str">
        <f>VLOOKUP($B40,'Stats 2020'!$D$25:$J$200,MATCH(Graphs!T$1,'Stats 2020'!$D$18:$J$18,0),0)</f>
        <v/>
      </c>
      <c r="U40" s="66">
        <f>VLOOKUP($B40,'Stats 2020'!$D$25:$J$200,MATCH(Graphs!U$1,'Stats 2020'!$D$18:$J$18,0),0)</f>
        <v>1</v>
      </c>
      <c r="V40" s="66">
        <f>VLOOKUP($B40,'Stats 2020'!$D$25:$J$200,MATCH(Graphs!V$1,'Stats 2020'!$D$18:$J$18,0),0)</f>
        <v>1</v>
      </c>
      <c r="W40" s="66"/>
      <c r="X40" s="65">
        <f t="shared" si="8"/>
        <v>44120</v>
      </c>
      <c r="Y40" s="69">
        <f>SUM(Q$2:Q40)/COUNTA($P$2:$P40)</f>
        <v>0.82051282051282048</v>
      </c>
      <c r="Z40" s="69">
        <f>SUM(R$2:R40)/COUNTA($P$2:$P40)</f>
        <v>7.6923076923076927E-2</v>
      </c>
      <c r="AA40" s="69">
        <f>SUM(S$2:S40)/COUNTA($P$2:$P40)</f>
        <v>0.84615384615384615</v>
      </c>
      <c r="AB40" s="69">
        <f>SUM(T$2:T40)/COUNTA($P$2:$P40)</f>
        <v>0.30769230769230771</v>
      </c>
      <c r="AC40" s="69">
        <f>SUM(U$2:U40)/COUNTA($P$2:$P40)</f>
        <v>0.82051282051282048</v>
      </c>
      <c r="AD40" s="69">
        <f>SUM(V$2:V40)/COUNTA($P$2:$P40)</f>
        <v>0.89743589743589747</v>
      </c>
      <c r="AE40" s="70">
        <f t="shared" si="16"/>
        <v>0.62820512820512808</v>
      </c>
      <c r="AF40" s="58" t="e">
        <f t="shared" ca="1" si="20"/>
        <v>#N/A</v>
      </c>
      <c r="AG40" s="58" t="e">
        <f t="shared" ca="1" si="20"/>
        <v>#N/A</v>
      </c>
      <c r="AH40" s="58" t="e">
        <f t="shared" ca="1" si="20"/>
        <v>#N/A</v>
      </c>
      <c r="AI40" s="58" t="e">
        <f t="shared" ca="1" si="20"/>
        <v>#N/A</v>
      </c>
      <c r="AJ40" s="58" t="e">
        <f t="shared" ca="1" si="20"/>
        <v>#N/A</v>
      </c>
      <c r="AK40" s="58" t="e">
        <f t="shared" ca="1" si="20"/>
        <v>#N/A</v>
      </c>
      <c r="AL40" s="58" t="e">
        <f t="shared" ca="1" si="20"/>
        <v>#N/A</v>
      </c>
      <c r="AP40" s="66"/>
    </row>
    <row r="41" spans="1:42" ht="16.5" customHeight="1">
      <c r="A41" s="74" t="e">
        <f t="shared" ca="1" si="11"/>
        <v>#N/A</v>
      </c>
      <c r="B41" s="56">
        <f t="shared" si="10"/>
        <v>44127</v>
      </c>
      <c r="C41" s="59">
        <f ca="1">IF($B41&lt;=TODAY(),SUMIF('Stats 2020'!$M$24:$M$1048576,"&lt;="&amp;Graphs!$B41,'Stats 2020'!O$24:O$1048576),NA())</f>
        <v>154.5</v>
      </c>
      <c r="D41" s="59">
        <f t="shared" ca="1" si="12"/>
        <v>182</v>
      </c>
      <c r="E41" s="59">
        <f ca="1">IF($B41&lt;=TODAY(),SUMIF('Stats 2020'!$M$24:$M$1048576,"&lt;="&amp;Graphs!$B41,'Stats 2020'!Q$24:Q$1048576),NA())</f>
        <v>116</v>
      </c>
      <c r="F41" s="59">
        <f t="shared" ca="1" si="13"/>
        <v>182</v>
      </c>
      <c r="G41" s="59">
        <f ca="1">IF($B41&lt;=TODAY(),SUMIF('Stats 2020'!$M$24:$M$1048576,"&lt;="&amp;Graphs!$B41,'Stats 2020'!S$24:S$1048576),NA())</f>
        <v>132.5</v>
      </c>
      <c r="H41" s="59">
        <f ca="1">IF($B41&lt;=TODAY(),SUMIF('Stats 2020'!$M$24:$M$1048576,"&lt;="&amp;Graphs!$B41,'Stats 2020'!T$24:T$1048576),NA())</f>
        <v>85.75</v>
      </c>
      <c r="I41" s="58" t="e">
        <f t="shared" ca="1" si="19"/>
        <v>#N/A</v>
      </c>
      <c r="J41" s="58" t="e">
        <f t="shared" ca="1" si="19"/>
        <v>#N/A</v>
      </c>
      <c r="K41" s="58" t="e">
        <f t="shared" ca="1" si="19"/>
        <v>#N/A</v>
      </c>
      <c r="L41" s="58" t="e">
        <f t="shared" ca="1" si="19"/>
        <v>#N/A</v>
      </c>
      <c r="M41" s="58" t="e">
        <f t="shared" ca="1" si="19"/>
        <v>#N/A</v>
      </c>
      <c r="N41" s="58" t="e">
        <f t="shared" ca="1" si="19"/>
        <v>#N/A</v>
      </c>
      <c r="O41" s="60"/>
      <c r="P41" s="65">
        <f t="shared" si="7"/>
        <v>44127</v>
      </c>
      <c r="Q41" s="66">
        <f>VLOOKUP($B41,'Stats 2020'!$D$25:$J$200,MATCH(Graphs!Q$1,'Stats 2020'!$D$18:$J$18,0),0)</f>
        <v>1</v>
      </c>
      <c r="R41" s="66">
        <f>VLOOKUP($B41,'Stats 2020'!$D$25:$J$200,MATCH(Graphs!R$1,'Stats 2020'!$D$18:$J$18,0),0)</f>
        <v>1</v>
      </c>
      <c r="S41" s="66">
        <f>VLOOKUP($B41,'Stats 2020'!$D$25:$J$200,MATCH(Graphs!S$1,'Stats 2020'!$D$18:$J$18,0),0)</f>
        <v>0</v>
      </c>
      <c r="T41" s="66" t="str">
        <f>VLOOKUP($B41,'Stats 2020'!$D$25:$J$200,MATCH(Graphs!T$1,'Stats 2020'!$D$18:$J$18,0),0)</f>
        <v/>
      </c>
      <c r="U41" s="66">
        <f>VLOOKUP($B41,'Stats 2020'!$D$25:$J$200,MATCH(Graphs!U$1,'Stats 2020'!$D$18:$J$18,0),0)</f>
        <v>0</v>
      </c>
      <c r="V41" s="66">
        <f>VLOOKUP($B41,'Stats 2020'!$D$25:$J$200,MATCH(Graphs!V$1,'Stats 2020'!$D$18:$J$18,0),0)</f>
        <v>1</v>
      </c>
      <c r="W41" s="66"/>
      <c r="X41" s="65">
        <f t="shared" si="8"/>
        <v>44127</v>
      </c>
      <c r="Y41" s="69">
        <f>SUM(Q$2:Q41)/COUNTA($P$2:$P41)</f>
        <v>0.82499999999999996</v>
      </c>
      <c r="Z41" s="69">
        <f>SUM(R$2:R41)/COUNTA($P$2:$P41)</f>
        <v>0.1</v>
      </c>
      <c r="AA41" s="69">
        <f>SUM(S$2:S41)/COUNTA($P$2:$P41)</f>
        <v>0.82499999999999996</v>
      </c>
      <c r="AB41" s="69">
        <f>SUM(T$2:T41)/COUNTA($P$2:$P41)</f>
        <v>0.3</v>
      </c>
      <c r="AC41" s="69">
        <f>SUM(U$2:U41)/COUNTA($P$2:$P41)</f>
        <v>0.8</v>
      </c>
      <c r="AD41" s="69">
        <f>SUM(V$2:V41)/COUNTA($P$2:$P41)</f>
        <v>0.9</v>
      </c>
      <c r="AE41" s="70">
        <f t="shared" si="16"/>
        <v>0.62499999999999989</v>
      </c>
      <c r="AF41" s="58" t="e">
        <f t="shared" ca="1" si="20"/>
        <v>#N/A</v>
      </c>
      <c r="AG41" s="58" t="e">
        <f t="shared" ca="1" si="20"/>
        <v>#N/A</v>
      </c>
      <c r="AH41" s="58" t="e">
        <f t="shared" ca="1" si="20"/>
        <v>#N/A</v>
      </c>
      <c r="AI41" s="58" t="e">
        <f t="shared" ca="1" si="20"/>
        <v>#N/A</v>
      </c>
      <c r="AJ41" s="58" t="e">
        <f t="shared" ca="1" si="20"/>
        <v>#N/A</v>
      </c>
      <c r="AK41" s="58" t="e">
        <f t="shared" ca="1" si="20"/>
        <v>#N/A</v>
      </c>
      <c r="AL41" s="58" t="e">
        <f t="shared" ca="1" si="20"/>
        <v>#N/A</v>
      </c>
      <c r="AP41" s="66"/>
    </row>
    <row r="42" spans="1:42" ht="16.5" customHeight="1">
      <c r="A42" s="74" t="e">
        <f t="shared" ca="1" si="11"/>
        <v>#N/A</v>
      </c>
      <c r="B42" s="56">
        <f t="shared" si="10"/>
        <v>44134</v>
      </c>
      <c r="C42" s="59">
        <f ca="1">IF($B42&lt;=TODAY(),SUMIF('Stats 2020'!$M$24:$M$1048576,"&lt;="&amp;Graphs!$B42,'Stats 2020'!O$24:O$1048576),NA())</f>
        <v>154.5</v>
      </c>
      <c r="D42" s="59">
        <f t="shared" ca="1" si="12"/>
        <v>182</v>
      </c>
      <c r="E42" s="59">
        <f ca="1">IF($B42&lt;=TODAY(),SUMIF('Stats 2020'!$M$24:$M$1048576,"&lt;="&amp;Graphs!$B42,'Stats 2020'!Q$24:Q$1048576),NA())</f>
        <v>116</v>
      </c>
      <c r="F42" s="59">
        <f t="shared" ca="1" si="13"/>
        <v>182</v>
      </c>
      <c r="G42" s="59">
        <f ca="1">IF($B42&lt;=TODAY(),SUMIF('Stats 2020'!$M$24:$M$1048576,"&lt;="&amp;Graphs!$B42,'Stats 2020'!S$24:S$1048576),NA())</f>
        <v>132.5</v>
      </c>
      <c r="H42" s="59">
        <f ca="1">IF($B42&lt;=TODAY(),SUMIF('Stats 2020'!$M$24:$M$1048576,"&lt;="&amp;Graphs!$B42,'Stats 2020'!T$24:T$1048576),NA())</f>
        <v>85.75</v>
      </c>
      <c r="I42" s="58" t="e">
        <f t="shared" ref="I42:N51" ca="1" si="21">VLOOKUP($A42,$B$1:$H$59,MATCH(I$1,$B$1:$H$1,0),0)</f>
        <v>#N/A</v>
      </c>
      <c r="J42" s="58" t="e">
        <f t="shared" ca="1" si="21"/>
        <v>#N/A</v>
      </c>
      <c r="K42" s="58" t="e">
        <f t="shared" ca="1" si="21"/>
        <v>#N/A</v>
      </c>
      <c r="L42" s="58" t="e">
        <f t="shared" ca="1" si="21"/>
        <v>#N/A</v>
      </c>
      <c r="M42" s="58" t="e">
        <f t="shared" ca="1" si="21"/>
        <v>#N/A</v>
      </c>
      <c r="N42" s="58" t="e">
        <f t="shared" ca="1" si="21"/>
        <v>#N/A</v>
      </c>
      <c r="O42" s="60"/>
      <c r="P42" s="65">
        <f t="shared" si="7"/>
        <v>44134</v>
      </c>
      <c r="Q42" s="66">
        <f>VLOOKUP($B42,'Stats 2020'!$D$25:$J$200,MATCH(Graphs!Q$1,'Stats 2020'!$D$18:$J$18,0),0)</f>
        <v>1</v>
      </c>
      <c r="R42" s="66">
        <f>VLOOKUP($B42,'Stats 2020'!$D$25:$J$200,MATCH(Graphs!R$1,'Stats 2020'!$D$18:$J$18,0),0)</f>
        <v>1</v>
      </c>
      <c r="S42" s="66">
        <f>VLOOKUP($B42,'Stats 2020'!$D$25:$J$200,MATCH(Graphs!S$1,'Stats 2020'!$D$18:$J$18,0),0)</f>
        <v>1</v>
      </c>
      <c r="T42" s="66">
        <f>VLOOKUP($B42,'Stats 2020'!$D$25:$J$200,MATCH(Graphs!T$1,'Stats 2020'!$D$18:$J$18,0),0)</f>
        <v>1</v>
      </c>
      <c r="U42" s="66">
        <f>VLOOKUP($B42,'Stats 2020'!$D$25:$J$200,MATCH(Graphs!U$1,'Stats 2020'!$D$18:$J$18,0),0)</f>
        <v>1</v>
      </c>
      <c r="V42" s="66">
        <f>VLOOKUP($B42,'Stats 2020'!$D$25:$J$200,MATCH(Graphs!V$1,'Stats 2020'!$D$18:$J$18,0),0)</f>
        <v>1</v>
      </c>
      <c r="W42" s="66"/>
      <c r="X42" s="65">
        <f t="shared" si="8"/>
        <v>44134</v>
      </c>
      <c r="Y42" s="69">
        <f>SUM(Q$2:Q42)/COUNTA($P$2:$P42)</f>
        <v>0.82926829268292679</v>
      </c>
      <c r="Z42" s="69">
        <f>SUM(R$2:R42)/COUNTA($P$2:$P42)</f>
        <v>0.12195121951219512</v>
      </c>
      <c r="AA42" s="69">
        <f>SUM(S$2:S42)/COUNTA($P$2:$P42)</f>
        <v>0.82926829268292679</v>
      </c>
      <c r="AB42" s="69">
        <f>SUM(T$2:T42)/COUNTA($P$2:$P42)</f>
        <v>0.31707317073170732</v>
      </c>
      <c r="AC42" s="69">
        <f>SUM(U$2:U42)/COUNTA($P$2:$P42)</f>
        <v>0.80487804878048785</v>
      </c>
      <c r="AD42" s="69">
        <f>SUM(V$2:V42)/COUNTA($P$2:$P42)</f>
        <v>0.90243902439024393</v>
      </c>
      <c r="AE42" s="70">
        <f t="shared" si="16"/>
        <v>0.63414634146341464</v>
      </c>
      <c r="AF42" s="58" t="e">
        <f t="shared" ref="AF42:AL51" ca="1" si="22">VLOOKUP($A42,$X$1:$AE$59,MATCH(AF$1,$X$1:$AE$1,0),0)</f>
        <v>#N/A</v>
      </c>
      <c r="AG42" s="58" t="e">
        <f t="shared" ca="1" si="22"/>
        <v>#N/A</v>
      </c>
      <c r="AH42" s="58" t="e">
        <f t="shared" ca="1" si="22"/>
        <v>#N/A</v>
      </c>
      <c r="AI42" s="58" t="e">
        <f t="shared" ca="1" si="22"/>
        <v>#N/A</v>
      </c>
      <c r="AJ42" s="58" t="e">
        <f t="shared" ca="1" si="22"/>
        <v>#N/A</v>
      </c>
      <c r="AK42" s="58" t="e">
        <f t="shared" ca="1" si="22"/>
        <v>#N/A</v>
      </c>
      <c r="AL42" s="58" t="e">
        <f t="shared" ca="1" si="22"/>
        <v>#N/A</v>
      </c>
      <c r="AP42" s="66"/>
    </row>
    <row r="43" spans="1:42" ht="16.5" customHeight="1">
      <c r="A43" s="74" t="e">
        <f t="shared" ca="1" si="11"/>
        <v>#N/A</v>
      </c>
      <c r="B43" s="56">
        <f t="shared" si="10"/>
        <v>44141</v>
      </c>
      <c r="C43" s="59">
        <f ca="1">IF($B43&lt;=TODAY(),SUMIF('Stats 2020'!$M$24:$M$1048576,"&lt;="&amp;Graphs!$B43,'Stats 2020'!O$24:O$1048576),NA())</f>
        <v>154.5</v>
      </c>
      <c r="D43" s="59">
        <f t="shared" ca="1" si="12"/>
        <v>182</v>
      </c>
      <c r="E43" s="59">
        <f ca="1">IF($B43&lt;=TODAY(),SUMIF('Stats 2020'!$M$24:$M$1048576,"&lt;="&amp;Graphs!$B43,'Stats 2020'!Q$24:Q$1048576),NA())</f>
        <v>127</v>
      </c>
      <c r="F43" s="59">
        <f t="shared" ca="1" si="13"/>
        <v>182</v>
      </c>
      <c r="G43" s="59">
        <f ca="1">IF($B43&lt;=TODAY(),SUMIF('Stats 2020'!$M$24:$M$1048576,"&lt;="&amp;Graphs!$B43,'Stats 2020'!S$24:S$1048576),NA())</f>
        <v>132.5</v>
      </c>
      <c r="H43" s="59">
        <f ca="1">IF($B43&lt;=TODAY(),SUMIF('Stats 2020'!$M$24:$M$1048576,"&lt;="&amp;Graphs!$B43,'Stats 2020'!T$24:T$1048576),NA())</f>
        <v>85.75</v>
      </c>
      <c r="I43" s="58" t="e">
        <f t="shared" ca="1" si="21"/>
        <v>#N/A</v>
      </c>
      <c r="J43" s="58" t="e">
        <f t="shared" ca="1" si="21"/>
        <v>#N/A</v>
      </c>
      <c r="K43" s="58" t="e">
        <f t="shared" ca="1" si="21"/>
        <v>#N/A</v>
      </c>
      <c r="L43" s="58" t="e">
        <f t="shared" ca="1" si="21"/>
        <v>#N/A</v>
      </c>
      <c r="M43" s="58" t="e">
        <f t="shared" ca="1" si="21"/>
        <v>#N/A</v>
      </c>
      <c r="N43" s="58" t="e">
        <f t="shared" ca="1" si="21"/>
        <v>#N/A</v>
      </c>
      <c r="O43" s="60"/>
      <c r="P43" s="65">
        <f t="shared" si="7"/>
        <v>44141</v>
      </c>
      <c r="Q43" s="66">
        <f>VLOOKUP($B43,'Stats 2020'!$D$25:$J$200,MATCH(Graphs!Q$1,'Stats 2020'!$D$18:$J$18,0),0)</f>
        <v>1</v>
      </c>
      <c r="R43" s="66">
        <f>VLOOKUP($B43,'Stats 2020'!$D$25:$J$200,MATCH(Graphs!R$1,'Stats 2020'!$D$18:$J$18,0),0)</f>
        <v>1</v>
      </c>
      <c r="S43" s="66">
        <f>VLOOKUP($B43,'Stats 2020'!$D$25:$J$200,MATCH(Graphs!S$1,'Stats 2020'!$D$18:$J$18,0),0)</f>
        <v>0</v>
      </c>
      <c r="T43" s="66" t="str">
        <f>VLOOKUP($B43,'Stats 2020'!$D$25:$J$200,MATCH(Graphs!T$1,'Stats 2020'!$D$18:$J$18,0),0)</f>
        <v/>
      </c>
      <c r="U43" s="66">
        <f>VLOOKUP($B43,'Stats 2020'!$D$25:$J$200,MATCH(Graphs!U$1,'Stats 2020'!$D$18:$J$18,0),0)</f>
        <v>1</v>
      </c>
      <c r="V43" s="66">
        <f>VLOOKUP($B43,'Stats 2020'!$D$25:$J$200,MATCH(Graphs!V$1,'Stats 2020'!$D$18:$J$18,0),0)</f>
        <v>1</v>
      </c>
      <c r="W43" s="66"/>
      <c r="X43" s="65">
        <f t="shared" si="8"/>
        <v>44141</v>
      </c>
      <c r="Y43" s="69">
        <f>SUM(Q$2:Q43)/COUNTA($P$2:$P43)</f>
        <v>0.83333333333333337</v>
      </c>
      <c r="Z43" s="69">
        <f>SUM(R$2:R43)/COUNTA($P$2:$P43)</f>
        <v>0.14285714285714285</v>
      </c>
      <c r="AA43" s="69">
        <f>SUM(S$2:S43)/COUNTA($P$2:$P43)</f>
        <v>0.80952380952380953</v>
      </c>
      <c r="AB43" s="69">
        <f>SUM(T$2:T43)/COUNTA($P$2:$P43)</f>
        <v>0.30952380952380953</v>
      </c>
      <c r="AC43" s="69">
        <f>SUM(U$2:U43)/COUNTA($P$2:$P43)</f>
        <v>0.80952380952380953</v>
      </c>
      <c r="AD43" s="69">
        <f>SUM(V$2:V43)/COUNTA($P$2:$P43)</f>
        <v>0.90476190476190477</v>
      </c>
      <c r="AE43" s="70">
        <f t="shared" si="16"/>
        <v>0.634920634920635</v>
      </c>
      <c r="AF43" s="58" t="e">
        <f t="shared" ca="1" si="22"/>
        <v>#N/A</v>
      </c>
      <c r="AG43" s="58" t="e">
        <f t="shared" ca="1" si="22"/>
        <v>#N/A</v>
      </c>
      <c r="AH43" s="58" t="e">
        <f t="shared" ca="1" si="22"/>
        <v>#N/A</v>
      </c>
      <c r="AI43" s="58" t="e">
        <f t="shared" ca="1" si="22"/>
        <v>#N/A</v>
      </c>
      <c r="AJ43" s="58" t="e">
        <f t="shared" ca="1" si="22"/>
        <v>#N/A</v>
      </c>
      <c r="AK43" s="58" t="e">
        <f t="shared" ca="1" si="22"/>
        <v>#N/A</v>
      </c>
      <c r="AL43" s="58" t="e">
        <f t="shared" ca="1" si="22"/>
        <v>#N/A</v>
      </c>
      <c r="AP43" s="66"/>
    </row>
    <row r="44" spans="1:42" ht="16.5" customHeight="1">
      <c r="A44" s="74" t="e">
        <f t="shared" ca="1" si="11"/>
        <v>#N/A</v>
      </c>
      <c r="B44" s="56">
        <f t="shared" si="10"/>
        <v>44148</v>
      </c>
      <c r="C44" s="59">
        <f ca="1">IF($B44&lt;=TODAY(),SUMIF('Stats 2020'!$M$24:$M$1048576,"&lt;="&amp;Graphs!$B44,'Stats 2020'!O$24:O$1048576),NA())</f>
        <v>165.5</v>
      </c>
      <c r="D44" s="59">
        <f t="shared" ca="1" si="12"/>
        <v>193</v>
      </c>
      <c r="E44" s="59">
        <f ca="1">IF($B44&lt;=TODAY(),SUMIF('Stats 2020'!$M$24:$M$1048576,"&lt;="&amp;Graphs!$B44,'Stats 2020'!Q$24:Q$1048576),NA())</f>
        <v>127</v>
      </c>
      <c r="F44" s="59">
        <f t="shared" ca="1" si="13"/>
        <v>193</v>
      </c>
      <c r="G44" s="59">
        <f ca="1">IF($B44&lt;=TODAY(),SUMIF('Stats 2020'!$M$24:$M$1048576,"&lt;="&amp;Graphs!$B44,'Stats 2020'!S$24:S$1048576),NA())</f>
        <v>132.5</v>
      </c>
      <c r="H44" s="59">
        <f ca="1">IF($B44&lt;=TODAY(),SUMIF('Stats 2020'!$M$24:$M$1048576,"&lt;="&amp;Graphs!$B44,'Stats 2020'!T$24:T$1048576),NA())</f>
        <v>85.75</v>
      </c>
      <c r="I44" s="58" t="e">
        <f t="shared" ca="1" si="21"/>
        <v>#N/A</v>
      </c>
      <c r="J44" s="58" t="e">
        <f t="shared" ca="1" si="21"/>
        <v>#N/A</v>
      </c>
      <c r="K44" s="58" t="e">
        <f t="shared" ca="1" si="21"/>
        <v>#N/A</v>
      </c>
      <c r="L44" s="58" t="e">
        <f t="shared" ca="1" si="21"/>
        <v>#N/A</v>
      </c>
      <c r="M44" s="58" t="e">
        <f t="shared" ca="1" si="21"/>
        <v>#N/A</v>
      </c>
      <c r="N44" s="58" t="e">
        <f t="shared" ca="1" si="21"/>
        <v>#N/A</v>
      </c>
      <c r="O44" s="60"/>
      <c r="P44" s="65">
        <f t="shared" si="7"/>
        <v>44148</v>
      </c>
      <c r="Q44" s="66">
        <f>VLOOKUP($B44,'Stats 2020'!$D$25:$J$200,MATCH(Graphs!Q$1,'Stats 2020'!$D$18:$J$18,0),0)</f>
        <v>0</v>
      </c>
      <c r="R44" s="66">
        <f>VLOOKUP($B44,'Stats 2020'!$D$25:$J$200,MATCH(Graphs!R$1,'Stats 2020'!$D$18:$J$18,0),0)</f>
        <v>1</v>
      </c>
      <c r="S44" s="66">
        <f>VLOOKUP($B44,'Stats 2020'!$D$25:$J$200,MATCH(Graphs!S$1,'Stats 2020'!$D$18:$J$18,0),0)</f>
        <v>1</v>
      </c>
      <c r="T44" s="66" t="str">
        <f>VLOOKUP($B44,'Stats 2020'!$D$25:$J$200,MATCH(Graphs!T$1,'Stats 2020'!$D$18:$J$18,0),0)</f>
        <v/>
      </c>
      <c r="U44" s="66">
        <f>VLOOKUP($B44,'Stats 2020'!$D$25:$J$200,MATCH(Graphs!U$1,'Stats 2020'!$D$18:$J$18,0),0)</f>
        <v>1</v>
      </c>
      <c r="V44" s="66">
        <f>VLOOKUP($B44,'Stats 2020'!$D$25:$J$200,MATCH(Graphs!V$1,'Stats 2020'!$D$18:$J$18,0),0)</f>
        <v>1</v>
      </c>
      <c r="W44" s="66"/>
      <c r="X44" s="65">
        <f t="shared" si="8"/>
        <v>44148</v>
      </c>
      <c r="Y44" s="69">
        <f>SUM(Q$2:Q44)/COUNTA($P$2:$P44)</f>
        <v>0.81395348837209303</v>
      </c>
      <c r="Z44" s="69">
        <f>SUM(R$2:R44)/COUNTA($P$2:$P44)</f>
        <v>0.16279069767441862</v>
      </c>
      <c r="AA44" s="69">
        <f>SUM(S$2:S44)/COUNTA($P$2:$P44)</f>
        <v>0.81395348837209303</v>
      </c>
      <c r="AB44" s="69">
        <f>SUM(T$2:T44)/COUNTA($P$2:$P44)</f>
        <v>0.30232558139534882</v>
      </c>
      <c r="AC44" s="69">
        <f>SUM(U$2:U44)/COUNTA($P$2:$P44)</f>
        <v>0.81395348837209303</v>
      </c>
      <c r="AD44" s="69">
        <f>SUM(V$2:V44)/COUNTA($P$2:$P44)</f>
        <v>0.90697674418604646</v>
      </c>
      <c r="AE44" s="70">
        <f t="shared" si="16"/>
        <v>0.63565891472868219</v>
      </c>
      <c r="AF44" s="58" t="e">
        <f t="shared" ca="1" si="22"/>
        <v>#N/A</v>
      </c>
      <c r="AG44" s="58" t="e">
        <f t="shared" ca="1" si="22"/>
        <v>#N/A</v>
      </c>
      <c r="AH44" s="58" t="e">
        <f t="shared" ca="1" si="22"/>
        <v>#N/A</v>
      </c>
      <c r="AI44" s="58" t="e">
        <f t="shared" ca="1" si="22"/>
        <v>#N/A</v>
      </c>
      <c r="AJ44" s="58" t="e">
        <f t="shared" ca="1" si="22"/>
        <v>#N/A</v>
      </c>
      <c r="AK44" s="58" t="e">
        <f t="shared" ca="1" si="22"/>
        <v>#N/A</v>
      </c>
      <c r="AL44" s="58" t="e">
        <f t="shared" ca="1" si="22"/>
        <v>#N/A</v>
      </c>
      <c r="AP44" s="66"/>
    </row>
    <row r="45" spans="1:42" ht="16.5" customHeight="1">
      <c r="A45" s="74" t="e">
        <f t="shared" ca="1" si="11"/>
        <v>#N/A</v>
      </c>
      <c r="B45" s="56">
        <f t="shared" si="10"/>
        <v>44155</v>
      </c>
      <c r="C45" s="59">
        <f ca="1">IF($B45&lt;=TODAY(),SUMIF('Stats 2020'!$M$24:$M$1048576,"&lt;="&amp;Graphs!$B45,'Stats 2020'!O$24:O$1048576),NA())</f>
        <v>165.5</v>
      </c>
      <c r="D45" s="59">
        <f t="shared" ca="1" si="12"/>
        <v>193</v>
      </c>
      <c r="E45" s="59">
        <f ca="1">IF($B45&lt;=TODAY(),SUMIF('Stats 2020'!$M$24:$M$1048576,"&lt;="&amp;Graphs!$B45,'Stats 2020'!Q$24:Q$1048576),NA())</f>
        <v>127</v>
      </c>
      <c r="F45" s="59">
        <f t="shared" ca="1" si="13"/>
        <v>193</v>
      </c>
      <c r="G45" s="59">
        <f ca="1">IF($B45&lt;=TODAY(),SUMIF('Stats 2020'!$M$24:$M$1048576,"&lt;="&amp;Graphs!$B45,'Stats 2020'!S$24:S$1048576),NA())</f>
        <v>132.5</v>
      </c>
      <c r="H45" s="59">
        <f ca="1">IF($B45&lt;=TODAY(),SUMIF('Stats 2020'!$M$24:$M$1048576,"&lt;="&amp;Graphs!$B45,'Stats 2020'!T$24:T$1048576),NA())</f>
        <v>85.75</v>
      </c>
      <c r="I45" s="58" t="e">
        <f t="shared" ca="1" si="21"/>
        <v>#N/A</v>
      </c>
      <c r="J45" s="58" t="e">
        <f t="shared" ca="1" si="21"/>
        <v>#N/A</v>
      </c>
      <c r="K45" s="58" t="e">
        <f t="shared" ca="1" si="21"/>
        <v>#N/A</v>
      </c>
      <c r="L45" s="58" t="e">
        <f t="shared" ca="1" si="21"/>
        <v>#N/A</v>
      </c>
      <c r="M45" s="58" t="e">
        <f t="shared" ca="1" si="21"/>
        <v>#N/A</v>
      </c>
      <c r="N45" s="58" t="e">
        <f t="shared" ca="1" si="21"/>
        <v>#N/A</v>
      </c>
      <c r="O45" s="60"/>
      <c r="P45" s="65">
        <f t="shared" si="7"/>
        <v>44155</v>
      </c>
      <c r="Q45" s="66">
        <f>VLOOKUP($B45,'Stats 2020'!$D$25:$J$200,MATCH(Graphs!Q$1,'Stats 2020'!$D$18:$J$18,0),0)</f>
        <v>1</v>
      </c>
      <c r="R45" s="66">
        <f>VLOOKUP($B45,'Stats 2020'!$D$25:$J$200,MATCH(Graphs!R$1,'Stats 2020'!$D$18:$J$18,0),0)</f>
        <v>1</v>
      </c>
      <c r="S45" s="66">
        <f>VLOOKUP($B45,'Stats 2020'!$D$25:$J$200,MATCH(Graphs!S$1,'Stats 2020'!$D$18:$J$18,0),0)</f>
        <v>1</v>
      </c>
      <c r="T45" s="66">
        <f>VLOOKUP($B45,'Stats 2020'!$D$25:$J$200,MATCH(Graphs!T$1,'Stats 2020'!$D$18:$J$18,0),0)</f>
        <v>1</v>
      </c>
      <c r="U45" s="66">
        <f>VLOOKUP($B45,'Stats 2020'!$D$25:$J$200,MATCH(Graphs!U$1,'Stats 2020'!$D$18:$J$18,0),0)</f>
        <v>1</v>
      </c>
      <c r="V45" s="66">
        <f>VLOOKUP($B45,'Stats 2020'!$D$25:$J$200,MATCH(Graphs!V$1,'Stats 2020'!$D$18:$J$18,0),0)</f>
        <v>1</v>
      </c>
      <c r="W45" s="66"/>
      <c r="X45" s="65">
        <f t="shared" si="8"/>
        <v>44155</v>
      </c>
      <c r="Y45" s="69">
        <f>SUM(Q$2:Q45)/COUNTA($P$2:$P45)</f>
        <v>0.81818181818181823</v>
      </c>
      <c r="Z45" s="69">
        <f>SUM(R$2:R45)/COUNTA($P$2:$P45)</f>
        <v>0.18181818181818182</v>
      </c>
      <c r="AA45" s="69">
        <f>SUM(S$2:S45)/COUNTA($P$2:$P45)</f>
        <v>0.81818181818181823</v>
      </c>
      <c r="AB45" s="69">
        <f>SUM(T$2:T45)/COUNTA($P$2:$P45)</f>
        <v>0.31818181818181818</v>
      </c>
      <c r="AC45" s="69">
        <f>SUM(U$2:U45)/COUNTA($P$2:$P45)</f>
        <v>0.81818181818181823</v>
      </c>
      <c r="AD45" s="69">
        <f>SUM(V$2:V45)/COUNTA($P$2:$P45)</f>
        <v>0.90909090909090906</v>
      </c>
      <c r="AE45" s="70">
        <f t="shared" si="16"/>
        <v>0.64393939393939403</v>
      </c>
      <c r="AF45" s="58" t="e">
        <f t="shared" ca="1" si="22"/>
        <v>#N/A</v>
      </c>
      <c r="AG45" s="58" t="e">
        <f t="shared" ca="1" si="22"/>
        <v>#N/A</v>
      </c>
      <c r="AH45" s="58" t="e">
        <f t="shared" ca="1" si="22"/>
        <v>#N/A</v>
      </c>
      <c r="AI45" s="58" t="e">
        <f t="shared" ca="1" si="22"/>
        <v>#N/A</v>
      </c>
      <c r="AJ45" s="58" t="e">
        <f t="shared" ca="1" si="22"/>
        <v>#N/A</v>
      </c>
      <c r="AK45" s="58" t="e">
        <f t="shared" ca="1" si="22"/>
        <v>#N/A</v>
      </c>
      <c r="AL45" s="58" t="e">
        <f t="shared" ca="1" si="22"/>
        <v>#N/A</v>
      </c>
    </row>
    <row r="46" spans="1:42" ht="16.5" customHeight="1">
      <c r="A46" s="74" t="e">
        <f t="shared" ca="1" si="11"/>
        <v>#N/A</v>
      </c>
      <c r="B46" s="56">
        <f t="shared" si="10"/>
        <v>44162</v>
      </c>
      <c r="C46" s="59">
        <f ca="1">IF($B46&lt;=TODAY(),SUMIF('Stats 2020'!$M$24:$M$1048576,"&lt;="&amp;Graphs!$B46,'Stats 2020'!O$24:O$1048576),NA())</f>
        <v>165.5</v>
      </c>
      <c r="D46" s="59">
        <f t="shared" ca="1" si="12"/>
        <v>193</v>
      </c>
      <c r="E46" s="59">
        <f ca="1">IF($B46&lt;=TODAY(),SUMIF('Stats 2020'!$M$24:$M$1048576,"&lt;="&amp;Graphs!$B46,'Stats 2020'!Q$24:Q$1048576),NA())</f>
        <v>127</v>
      </c>
      <c r="F46" s="59">
        <f t="shared" ca="1" si="13"/>
        <v>193</v>
      </c>
      <c r="G46" s="59">
        <f ca="1">IF($B46&lt;=TODAY(),SUMIF('Stats 2020'!$M$24:$M$1048576,"&lt;="&amp;Graphs!$B46,'Stats 2020'!S$24:S$1048576),NA())</f>
        <v>132.5</v>
      </c>
      <c r="H46" s="59">
        <f ca="1">IF($B46&lt;=TODAY(),SUMIF('Stats 2020'!$M$24:$M$1048576,"&lt;="&amp;Graphs!$B46,'Stats 2020'!T$24:T$1048576),NA())</f>
        <v>85.75</v>
      </c>
      <c r="I46" s="58" t="e">
        <f t="shared" ca="1" si="21"/>
        <v>#N/A</v>
      </c>
      <c r="J46" s="58" t="e">
        <f t="shared" ca="1" si="21"/>
        <v>#N/A</v>
      </c>
      <c r="K46" s="58" t="e">
        <f t="shared" ca="1" si="21"/>
        <v>#N/A</v>
      </c>
      <c r="L46" s="58" t="e">
        <f t="shared" ca="1" si="21"/>
        <v>#N/A</v>
      </c>
      <c r="M46" s="58" t="e">
        <f t="shared" ca="1" si="21"/>
        <v>#N/A</v>
      </c>
      <c r="N46" s="58" t="e">
        <f t="shared" ca="1" si="21"/>
        <v>#N/A</v>
      </c>
      <c r="O46" s="60"/>
      <c r="P46" s="65">
        <f t="shared" si="7"/>
        <v>44162</v>
      </c>
      <c r="Q46" s="66">
        <f>VLOOKUP($B46,'Stats 2020'!$D$25:$J$200,MATCH(Graphs!Q$1,'Stats 2020'!$D$18:$J$18,0),0)</f>
        <v>1</v>
      </c>
      <c r="R46" s="66" t="str">
        <f>VLOOKUP($B46,'Stats 2020'!$D$25:$J$200,MATCH(Graphs!R$1,'Stats 2020'!$D$18:$J$18,0),0)</f>
        <v/>
      </c>
      <c r="S46" s="66">
        <f>VLOOKUP($B46,'Stats 2020'!$D$25:$J$200,MATCH(Graphs!S$1,'Stats 2020'!$D$18:$J$18,0),0)</f>
        <v>1</v>
      </c>
      <c r="T46" s="66">
        <f>VLOOKUP($B46,'Stats 2020'!$D$25:$J$200,MATCH(Graphs!T$1,'Stats 2020'!$D$18:$J$18,0),0)</f>
        <v>1</v>
      </c>
      <c r="U46" s="66">
        <f>VLOOKUP($B46,'Stats 2020'!$D$25:$J$200,MATCH(Graphs!U$1,'Stats 2020'!$D$18:$J$18,0),0)</f>
        <v>1</v>
      </c>
      <c r="V46" s="66">
        <f>VLOOKUP($B46,'Stats 2020'!$D$25:$J$200,MATCH(Graphs!V$1,'Stats 2020'!$D$18:$J$18,0),0)</f>
        <v>1</v>
      </c>
      <c r="W46" s="66"/>
      <c r="X46" s="65">
        <f t="shared" si="8"/>
        <v>44162</v>
      </c>
      <c r="Y46" s="69">
        <f>SUM(Q$2:Q46)/COUNTA($P$2:$P46)</f>
        <v>0.82222222222222219</v>
      </c>
      <c r="Z46" s="69">
        <f>SUM(R$2:R46)/COUNTA($P$2:$P46)</f>
        <v>0.17777777777777778</v>
      </c>
      <c r="AA46" s="69">
        <f>SUM(S$2:S46)/COUNTA($P$2:$P46)</f>
        <v>0.82222222222222219</v>
      </c>
      <c r="AB46" s="69">
        <f>SUM(T$2:T46)/COUNTA($P$2:$P46)</f>
        <v>0.33333333333333331</v>
      </c>
      <c r="AC46" s="69">
        <f>SUM(U$2:U46)/COUNTA($P$2:$P46)</f>
        <v>0.82222222222222219</v>
      </c>
      <c r="AD46" s="69">
        <f>SUM(V$2:V46)/COUNTA($P$2:$P46)</f>
        <v>0.91111111111111109</v>
      </c>
      <c r="AE46" s="70">
        <f t="shared" si="16"/>
        <v>0.64814814814814814</v>
      </c>
      <c r="AF46" s="58" t="e">
        <f t="shared" ca="1" si="22"/>
        <v>#N/A</v>
      </c>
      <c r="AG46" s="58" t="e">
        <f t="shared" ca="1" si="22"/>
        <v>#N/A</v>
      </c>
      <c r="AH46" s="58" t="e">
        <f t="shared" ca="1" si="22"/>
        <v>#N/A</v>
      </c>
      <c r="AI46" s="58" t="e">
        <f t="shared" ca="1" si="22"/>
        <v>#N/A</v>
      </c>
      <c r="AJ46" s="58" t="e">
        <f t="shared" ca="1" si="22"/>
        <v>#N/A</v>
      </c>
      <c r="AK46" s="58" t="e">
        <f t="shared" ca="1" si="22"/>
        <v>#N/A</v>
      </c>
      <c r="AL46" s="58" t="e">
        <f t="shared" ca="1" si="22"/>
        <v>#N/A</v>
      </c>
    </row>
    <row r="47" spans="1:42" ht="16.5" customHeight="1">
      <c r="A47" s="74" t="e">
        <f t="shared" ca="1" si="11"/>
        <v>#N/A</v>
      </c>
      <c r="B47" s="56">
        <f t="shared" si="10"/>
        <v>44169</v>
      </c>
      <c r="C47" s="59">
        <f ca="1">IF($B47&lt;=TODAY(),SUMIF('Stats 2020'!$M$24:$M$1048576,"&lt;="&amp;Graphs!$B47,'Stats 2020'!O$24:O$1048576),NA())</f>
        <v>176.5</v>
      </c>
      <c r="D47" s="59">
        <f t="shared" ca="1" si="12"/>
        <v>204</v>
      </c>
      <c r="E47" s="59">
        <f ca="1">IF($B47&lt;=TODAY(),SUMIF('Stats 2020'!$M$24:$M$1048576,"&lt;="&amp;Graphs!$B47,'Stats 2020'!Q$24:Q$1048576),NA())</f>
        <v>127</v>
      </c>
      <c r="F47" s="59">
        <f t="shared" ca="1" si="13"/>
        <v>204</v>
      </c>
      <c r="G47" s="59">
        <f ca="1">IF($B47&lt;=TODAY(),SUMIF('Stats 2020'!$M$24:$M$1048576,"&lt;="&amp;Graphs!$B47,'Stats 2020'!S$24:S$1048576),NA())</f>
        <v>132.5</v>
      </c>
      <c r="H47" s="59">
        <f ca="1">IF($B47&lt;=TODAY(),SUMIF('Stats 2020'!$M$24:$M$1048576,"&lt;="&amp;Graphs!$B47,'Stats 2020'!T$24:T$1048576),NA())</f>
        <v>85.75</v>
      </c>
      <c r="I47" s="58" t="e">
        <f t="shared" ca="1" si="21"/>
        <v>#N/A</v>
      </c>
      <c r="J47" s="58" t="e">
        <f t="shared" ca="1" si="21"/>
        <v>#N/A</v>
      </c>
      <c r="K47" s="58" t="e">
        <f t="shared" ca="1" si="21"/>
        <v>#N/A</v>
      </c>
      <c r="L47" s="58" t="e">
        <f t="shared" ca="1" si="21"/>
        <v>#N/A</v>
      </c>
      <c r="M47" s="58" t="e">
        <f t="shared" ca="1" si="21"/>
        <v>#N/A</v>
      </c>
      <c r="N47" s="58" t="e">
        <f t="shared" ca="1" si="21"/>
        <v>#N/A</v>
      </c>
      <c r="O47" s="60"/>
      <c r="P47" s="65">
        <f t="shared" si="7"/>
        <v>44169</v>
      </c>
      <c r="Q47" s="66">
        <f>VLOOKUP($B47,'Stats 2020'!$D$25:$J$200,MATCH(Graphs!Q$1,'Stats 2020'!$D$18:$J$18,0),0)</f>
        <v>0</v>
      </c>
      <c r="R47" s="66">
        <f>VLOOKUP($B47,'Stats 2020'!$D$25:$J$200,MATCH(Graphs!R$1,'Stats 2020'!$D$18:$J$18,0),0)</f>
        <v>1</v>
      </c>
      <c r="S47" s="66">
        <f>VLOOKUP($B47,'Stats 2020'!$D$25:$J$200,MATCH(Graphs!S$1,'Stats 2020'!$D$18:$J$18,0),0)</f>
        <v>1</v>
      </c>
      <c r="T47" s="66" t="str">
        <f>VLOOKUP($B47,'Stats 2020'!$D$25:$J$200,MATCH(Graphs!T$1,'Stats 2020'!$D$18:$J$18,0),0)</f>
        <v/>
      </c>
      <c r="U47" s="66">
        <f>VLOOKUP($B47,'Stats 2020'!$D$25:$J$200,MATCH(Graphs!U$1,'Stats 2020'!$D$18:$J$18,0),0)</f>
        <v>1</v>
      </c>
      <c r="V47" s="66">
        <f>VLOOKUP($B47,'Stats 2020'!$D$25:$J$200,MATCH(Graphs!V$1,'Stats 2020'!$D$18:$J$18,0),0)</f>
        <v>1</v>
      </c>
      <c r="W47" s="66"/>
      <c r="X47" s="65">
        <f t="shared" si="8"/>
        <v>44169</v>
      </c>
      <c r="Y47" s="69">
        <f>SUM(Q$2:Q47)/COUNTA($P$2:$P47)</f>
        <v>0.80434782608695654</v>
      </c>
      <c r="Z47" s="69">
        <f>SUM(R$2:R47)/COUNTA($P$2:$P47)</f>
        <v>0.19565217391304349</v>
      </c>
      <c r="AA47" s="69">
        <f>SUM(S$2:S47)/COUNTA($P$2:$P47)</f>
        <v>0.82608695652173914</v>
      </c>
      <c r="AB47" s="69">
        <f>SUM(T$2:T47)/COUNTA($P$2:$P47)</f>
        <v>0.32608695652173914</v>
      </c>
      <c r="AC47" s="69">
        <f>SUM(U$2:U47)/COUNTA($P$2:$P47)</f>
        <v>0.82608695652173914</v>
      </c>
      <c r="AD47" s="69">
        <f>SUM(V$2:V47)/COUNTA($P$2:$P47)</f>
        <v>0.91304347826086951</v>
      </c>
      <c r="AE47" s="70">
        <f t="shared" si="16"/>
        <v>0.64855072463768126</v>
      </c>
      <c r="AF47" s="58" t="e">
        <f t="shared" ca="1" si="22"/>
        <v>#N/A</v>
      </c>
      <c r="AG47" s="58" t="e">
        <f t="shared" ca="1" si="22"/>
        <v>#N/A</v>
      </c>
      <c r="AH47" s="58" t="e">
        <f t="shared" ca="1" si="22"/>
        <v>#N/A</v>
      </c>
      <c r="AI47" s="58" t="e">
        <f t="shared" ca="1" si="22"/>
        <v>#N/A</v>
      </c>
      <c r="AJ47" s="58" t="e">
        <f t="shared" ca="1" si="22"/>
        <v>#N/A</v>
      </c>
      <c r="AK47" s="58" t="e">
        <f t="shared" ca="1" si="22"/>
        <v>#N/A</v>
      </c>
      <c r="AL47" s="58" t="e">
        <f t="shared" ca="1" si="22"/>
        <v>#N/A</v>
      </c>
      <c r="AM47" s="61"/>
      <c r="AN47" s="71"/>
      <c r="AO47" s="71"/>
      <c r="AP47" s="72"/>
    </row>
    <row r="48" spans="1:42" ht="16.5" customHeight="1">
      <c r="A48" s="74" t="e">
        <f t="shared" ca="1" si="11"/>
        <v>#N/A</v>
      </c>
      <c r="B48" s="56">
        <f t="shared" si="10"/>
        <v>44176</v>
      </c>
      <c r="C48" s="59">
        <f ca="1">IF($B48&lt;=TODAY(),SUMIF('Stats 2020'!$M$24:$M$1048576,"&lt;="&amp;Graphs!$B48,'Stats 2020'!O$24:O$1048576),NA())</f>
        <v>179.25</v>
      </c>
      <c r="D48" s="59">
        <f t="shared" ca="1" si="12"/>
        <v>206.75</v>
      </c>
      <c r="E48" s="59">
        <f ca="1">IF($B48&lt;=TODAY(),SUMIF('Stats 2020'!$M$24:$M$1048576,"&lt;="&amp;Graphs!$B48,'Stats 2020'!Q$24:Q$1048576),NA())</f>
        <v>127</v>
      </c>
      <c r="F48" s="59">
        <f t="shared" ca="1" si="13"/>
        <v>206.75</v>
      </c>
      <c r="G48" s="59">
        <f ca="1">IF($B48&lt;=TODAY(),SUMIF('Stats 2020'!$M$24:$M$1048576,"&lt;="&amp;Graphs!$B48,'Stats 2020'!S$24:S$1048576),NA())</f>
        <v>132.5</v>
      </c>
      <c r="H48" s="59">
        <f ca="1">IF($B48&lt;=TODAY(),SUMIF('Stats 2020'!$M$24:$M$1048576,"&lt;="&amp;Graphs!$B48,'Stats 2020'!T$24:T$1048576),NA())</f>
        <v>85.75</v>
      </c>
      <c r="I48" s="58" t="e">
        <f t="shared" ca="1" si="21"/>
        <v>#N/A</v>
      </c>
      <c r="J48" s="58" t="e">
        <f t="shared" ca="1" si="21"/>
        <v>#N/A</v>
      </c>
      <c r="K48" s="58" t="e">
        <f t="shared" ca="1" si="21"/>
        <v>#N/A</v>
      </c>
      <c r="L48" s="58" t="e">
        <f t="shared" ca="1" si="21"/>
        <v>#N/A</v>
      </c>
      <c r="M48" s="58" t="e">
        <f t="shared" ca="1" si="21"/>
        <v>#N/A</v>
      </c>
      <c r="N48" s="58" t="e">
        <f t="shared" ca="1" si="21"/>
        <v>#N/A</v>
      </c>
      <c r="O48" s="60"/>
      <c r="P48" s="65">
        <f t="shared" si="7"/>
        <v>44176</v>
      </c>
      <c r="Q48" s="66">
        <f>VLOOKUP($B48,'Stats 2020'!$D$25:$J$200,MATCH(Graphs!Q$1,'Stats 2020'!$D$18:$J$18,0),0)</f>
        <v>1</v>
      </c>
      <c r="R48" s="66">
        <f>VLOOKUP($B48,'Stats 2020'!$D$25:$J$200,MATCH(Graphs!R$1,'Stats 2020'!$D$18:$J$18,0),0)</f>
        <v>1</v>
      </c>
      <c r="S48" s="66">
        <f>VLOOKUP($B48,'Stats 2020'!$D$25:$J$200,MATCH(Graphs!S$1,'Stats 2020'!$D$18:$J$18,0),0)</f>
        <v>1</v>
      </c>
      <c r="T48" s="66" t="str">
        <f>VLOOKUP($B48,'Stats 2020'!$D$25:$J$200,MATCH(Graphs!T$1,'Stats 2020'!$D$18:$J$18,0),0)</f>
        <v/>
      </c>
      <c r="U48" s="66">
        <f>VLOOKUP($B48,'Stats 2020'!$D$25:$J$200,MATCH(Graphs!U$1,'Stats 2020'!$D$18:$J$18,0),0)</f>
        <v>1</v>
      </c>
      <c r="V48" s="66">
        <f>VLOOKUP($B48,'Stats 2020'!$D$25:$J$200,MATCH(Graphs!V$1,'Stats 2020'!$D$18:$J$18,0),0)</f>
        <v>1</v>
      </c>
      <c r="W48" s="66"/>
      <c r="X48" s="65">
        <f t="shared" ref="X48:X55" si="23">B48</f>
        <v>44176</v>
      </c>
      <c r="Y48" s="69">
        <f>SUM(Q$2:Q48)/COUNTA($P$2:$P48)</f>
        <v>0.80851063829787229</v>
      </c>
      <c r="Z48" s="69">
        <f>SUM(R$2:R48)/COUNTA($P$2:$P48)</f>
        <v>0.21276595744680851</v>
      </c>
      <c r="AA48" s="69">
        <f>SUM(S$2:S48)/COUNTA($P$2:$P48)</f>
        <v>0.82978723404255317</v>
      </c>
      <c r="AB48" s="69">
        <f>SUM(T$2:T48)/COUNTA($P$2:$P48)</f>
        <v>0.31914893617021278</v>
      </c>
      <c r="AC48" s="69">
        <f>SUM(U$2:U48)/COUNTA($P$2:$P48)</f>
        <v>0.82978723404255317</v>
      </c>
      <c r="AD48" s="69">
        <f>SUM(V$2:V48)/COUNTA($P$2:$P48)</f>
        <v>0.91489361702127658</v>
      </c>
      <c r="AE48" s="70">
        <f t="shared" si="16"/>
        <v>0.65248226950354604</v>
      </c>
      <c r="AF48" s="58" t="e">
        <f t="shared" ca="1" si="22"/>
        <v>#N/A</v>
      </c>
      <c r="AG48" s="58" t="e">
        <f t="shared" ca="1" si="22"/>
        <v>#N/A</v>
      </c>
      <c r="AH48" s="58" t="e">
        <f t="shared" ca="1" si="22"/>
        <v>#N/A</v>
      </c>
      <c r="AI48" s="58" t="e">
        <f t="shared" ca="1" si="22"/>
        <v>#N/A</v>
      </c>
      <c r="AJ48" s="58" t="e">
        <f t="shared" ca="1" si="22"/>
        <v>#N/A</v>
      </c>
      <c r="AK48" s="58" t="e">
        <f t="shared" ca="1" si="22"/>
        <v>#N/A</v>
      </c>
      <c r="AL48" s="58" t="e">
        <f t="shared" ca="1" si="22"/>
        <v>#N/A</v>
      </c>
      <c r="AM48" s="61"/>
      <c r="AN48" s="72"/>
      <c r="AO48" s="71"/>
      <c r="AP48" s="72"/>
    </row>
    <row r="49" spans="1:42" ht="16.5" customHeight="1">
      <c r="A49" s="74" t="e">
        <f t="shared" ca="1" si="11"/>
        <v>#N/A</v>
      </c>
      <c r="B49" s="56">
        <f t="shared" si="10"/>
        <v>44183</v>
      </c>
      <c r="C49" s="59">
        <f ca="1">IF($B49&lt;=TODAY(),SUMIF('Stats 2020'!$M$24:$M$1048576,"&lt;="&amp;Graphs!$B49,'Stats 2020'!O$24:O$1048576),NA())</f>
        <v>179.25</v>
      </c>
      <c r="D49" s="59">
        <f t="shared" ca="1" si="12"/>
        <v>206.75</v>
      </c>
      <c r="E49" s="59">
        <f ca="1">IF($B49&lt;=TODAY(),SUMIF('Stats 2020'!$M$24:$M$1048576,"&lt;="&amp;Graphs!$B49,'Stats 2020'!Q$24:Q$1048576),NA())</f>
        <v>138</v>
      </c>
      <c r="F49" s="59">
        <f t="shared" ca="1" si="13"/>
        <v>206.75</v>
      </c>
      <c r="G49" s="59">
        <f ca="1">IF($B49&lt;=TODAY(),SUMIF('Stats 2020'!$M$24:$M$1048576,"&lt;="&amp;Graphs!$B49,'Stats 2020'!S$24:S$1048576),NA())</f>
        <v>143.5</v>
      </c>
      <c r="H49" s="59">
        <f ca="1">IF($B49&lt;=TODAY(),SUMIF('Stats 2020'!$M$24:$M$1048576,"&lt;="&amp;Graphs!$B49,'Stats 2020'!T$24:T$1048576),NA())</f>
        <v>85.75</v>
      </c>
      <c r="I49" s="58" t="e">
        <f t="shared" ca="1" si="21"/>
        <v>#N/A</v>
      </c>
      <c r="J49" s="58" t="e">
        <f t="shared" ca="1" si="21"/>
        <v>#N/A</v>
      </c>
      <c r="K49" s="58" t="e">
        <f t="shared" ca="1" si="21"/>
        <v>#N/A</v>
      </c>
      <c r="L49" s="58" t="e">
        <f t="shared" ca="1" si="21"/>
        <v>#N/A</v>
      </c>
      <c r="M49" s="58" t="e">
        <f t="shared" ca="1" si="21"/>
        <v>#N/A</v>
      </c>
      <c r="N49" s="58" t="e">
        <f t="shared" ca="1" si="21"/>
        <v>#N/A</v>
      </c>
      <c r="O49" s="60"/>
      <c r="P49" s="65">
        <f t="shared" si="7"/>
        <v>44183</v>
      </c>
      <c r="Q49" s="66">
        <f>VLOOKUP($B49,'Stats 2020'!$D$25:$J$200,MATCH(Graphs!Q$1,'Stats 2020'!$D$18:$J$18,0),0)</f>
        <v>1</v>
      </c>
      <c r="R49" s="66">
        <f>VLOOKUP($B49,'Stats 2020'!$D$25:$J$200,MATCH(Graphs!R$1,'Stats 2020'!$D$18:$J$18,0),0)</f>
        <v>1</v>
      </c>
      <c r="S49" s="66">
        <f>VLOOKUP($B49,'Stats 2020'!$D$25:$J$200,MATCH(Graphs!S$1,'Stats 2020'!$D$18:$J$18,0),0)</f>
        <v>0</v>
      </c>
      <c r="T49" s="66">
        <f>VLOOKUP($B49,'Stats 2020'!$D$25:$J$200,MATCH(Graphs!T$1,'Stats 2020'!$D$18:$J$18,0),0)</f>
        <v>1</v>
      </c>
      <c r="U49" s="66">
        <f>VLOOKUP($B49,'Stats 2020'!$D$25:$J$200,MATCH(Graphs!U$1,'Stats 2020'!$D$18:$J$18,0),0)</f>
        <v>0</v>
      </c>
      <c r="V49" s="66">
        <f>VLOOKUP($B49,'Stats 2020'!$D$25:$J$200,MATCH(Graphs!V$1,'Stats 2020'!$D$18:$J$18,0),0)</f>
        <v>1</v>
      </c>
      <c r="W49" s="66"/>
      <c r="X49" s="65">
        <f t="shared" si="23"/>
        <v>44183</v>
      </c>
      <c r="Y49" s="69">
        <f>SUM(Q$2:Q48)/COUNTA($P$2:$P48)</f>
        <v>0.80851063829787229</v>
      </c>
      <c r="Z49" s="69">
        <f>SUM(R$2:R48)/COUNTA($P$2:$P48)</f>
        <v>0.21276595744680851</v>
      </c>
      <c r="AA49" s="69">
        <f>SUM(S$2:S48)/COUNTA($P$2:$P48)</f>
        <v>0.82978723404255317</v>
      </c>
      <c r="AB49" s="69">
        <f>SUM(T$2:T48)/COUNTA($P$2:$P48)</f>
        <v>0.31914893617021278</v>
      </c>
      <c r="AC49" s="69">
        <f>SUM(U$2:U48)/COUNTA($P$2:$P48)</f>
        <v>0.82978723404255317</v>
      </c>
      <c r="AD49" s="69">
        <f>SUM(V$2:V48)/COUNTA($P$2:$P48)</f>
        <v>0.91489361702127658</v>
      </c>
      <c r="AE49" s="70">
        <f t="shared" si="16"/>
        <v>0.65248226950354604</v>
      </c>
      <c r="AF49" s="58" t="e">
        <f t="shared" ca="1" si="22"/>
        <v>#N/A</v>
      </c>
      <c r="AG49" s="58" t="e">
        <f t="shared" ca="1" si="22"/>
        <v>#N/A</v>
      </c>
      <c r="AH49" s="58" t="e">
        <f t="shared" ca="1" si="22"/>
        <v>#N/A</v>
      </c>
      <c r="AI49" s="58" t="e">
        <f t="shared" ca="1" si="22"/>
        <v>#N/A</v>
      </c>
      <c r="AJ49" s="58" t="e">
        <f t="shared" ca="1" si="22"/>
        <v>#N/A</v>
      </c>
      <c r="AK49" s="58" t="e">
        <f t="shared" ca="1" si="22"/>
        <v>#N/A</v>
      </c>
      <c r="AL49" s="58" t="e">
        <f t="shared" ca="1" si="22"/>
        <v>#N/A</v>
      </c>
      <c r="AM49" s="62"/>
      <c r="AN49" s="72"/>
      <c r="AO49" s="71"/>
      <c r="AP49" s="72"/>
    </row>
    <row r="50" spans="1:42" ht="16.5" customHeight="1">
      <c r="A50" s="74" t="e">
        <f t="shared" ca="1" si="11"/>
        <v>#N/A</v>
      </c>
      <c r="B50" s="56">
        <f t="shared" si="10"/>
        <v>44190</v>
      </c>
      <c r="C50" s="59">
        <f ca="1">IF($B50&lt;=TODAY(),SUMIF('Stats 2020'!$M$24:$M$1048576,"&lt;="&amp;Graphs!$B50,'Stats 2020'!O$24:O$1048576),NA())</f>
        <v>179.25</v>
      </c>
      <c r="D50" s="59">
        <f t="shared" ca="1" si="12"/>
        <v>206.75</v>
      </c>
      <c r="E50" s="59">
        <f ca="1">IF($B50&lt;=TODAY(),SUMIF('Stats 2020'!$M$24:$M$1048576,"&lt;="&amp;Graphs!$B50,'Stats 2020'!Q$24:Q$1048576),NA())</f>
        <v>138</v>
      </c>
      <c r="F50" s="59">
        <f t="shared" ca="1" si="13"/>
        <v>206.75</v>
      </c>
      <c r="G50" s="59">
        <f ca="1">IF($B50&lt;=TODAY(),SUMIF('Stats 2020'!$M$24:$M$1048576,"&lt;="&amp;Graphs!$B50,'Stats 2020'!S$24:S$1048576),NA())</f>
        <v>143.5</v>
      </c>
      <c r="H50" s="59">
        <f ca="1">IF($B50&lt;=TODAY(),SUMIF('Stats 2020'!$M$24:$M$1048576,"&lt;="&amp;Graphs!$B50,'Stats 2020'!T$24:T$1048576),NA())</f>
        <v>85.75</v>
      </c>
      <c r="I50" s="58" t="e">
        <f t="shared" ca="1" si="21"/>
        <v>#N/A</v>
      </c>
      <c r="J50" s="58" t="e">
        <f t="shared" ca="1" si="21"/>
        <v>#N/A</v>
      </c>
      <c r="K50" s="58" t="e">
        <f t="shared" ca="1" si="21"/>
        <v>#N/A</v>
      </c>
      <c r="L50" s="58" t="e">
        <f t="shared" ca="1" si="21"/>
        <v>#N/A</v>
      </c>
      <c r="M50" s="58" t="e">
        <f t="shared" ca="1" si="21"/>
        <v>#N/A</v>
      </c>
      <c r="N50" s="58" t="e">
        <f t="shared" ca="1" si="21"/>
        <v>#N/A</v>
      </c>
      <c r="O50" s="60"/>
      <c r="P50" s="65">
        <f t="shared" si="7"/>
        <v>44190</v>
      </c>
      <c r="Q50" s="66"/>
      <c r="R50" s="66"/>
      <c r="S50" s="66"/>
      <c r="T50" s="66"/>
      <c r="U50" s="66"/>
      <c r="V50" s="66"/>
      <c r="W50" s="66"/>
      <c r="X50" s="65">
        <f t="shared" si="23"/>
        <v>44190</v>
      </c>
      <c r="Y50" s="69">
        <f>SUM(Q$2:Q50)/COUNTA($P$2:$P50)</f>
        <v>0.79591836734693877</v>
      </c>
      <c r="Z50" s="69">
        <f>SUM(R$2:R50)/COUNTA($P$2:$P50)</f>
        <v>0.22448979591836735</v>
      </c>
      <c r="AA50" s="69">
        <f>SUM(S$2:S50)/COUNTA($P$2:$P50)</f>
        <v>0.79591836734693877</v>
      </c>
      <c r="AB50" s="69">
        <f>SUM(T$2:T50)/COUNTA($P$2:$P50)</f>
        <v>0.32653061224489793</v>
      </c>
      <c r="AC50" s="69">
        <f>SUM(U$2:U50)/COUNTA($P$2:$P50)</f>
        <v>0.79591836734693877</v>
      </c>
      <c r="AD50" s="69">
        <f>SUM(V$2:V50)/COUNTA($P$2:$P50)</f>
        <v>0.89795918367346939</v>
      </c>
      <c r="AE50" s="70">
        <f t="shared" ref="AE50:AE64" si="24">AVERAGE(Y50:AD50)</f>
        <v>0.6394557823129251</v>
      </c>
      <c r="AF50" s="58" t="e">
        <f t="shared" ca="1" si="22"/>
        <v>#N/A</v>
      </c>
      <c r="AG50" s="58" t="e">
        <f t="shared" ca="1" si="22"/>
        <v>#N/A</v>
      </c>
      <c r="AH50" s="58" t="e">
        <f t="shared" ca="1" si="22"/>
        <v>#N/A</v>
      </c>
      <c r="AI50" s="58" t="e">
        <f t="shared" ca="1" si="22"/>
        <v>#N/A</v>
      </c>
      <c r="AJ50" s="58" t="e">
        <f t="shared" ca="1" si="22"/>
        <v>#N/A</v>
      </c>
      <c r="AK50" s="58" t="e">
        <f t="shared" ca="1" si="22"/>
        <v>#N/A</v>
      </c>
      <c r="AL50" s="58" t="e">
        <f t="shared" ca="1" si="22"/>
        <v>#N/A</v>
      </c>
      <c r="AM50" s="62"/>
      <c r="AN50" s="72"/>
      <c r="AO50" s="72"/>
      <c r="AP50" s="72"/>
    </row>
    <row r="51" spans="1:42" ht="16.5" customHeight="1">
      <c r="A51" s="74" t="e">
        <f t="shared" ca="1" si="11"/>
        <v>#N/A</v>
      </c>
      <c r="B51" s="56">
        <f t="shared" si="10"/>
        <v>44197</v>
      </c>
      <c r="C51" s="59">
        <f ca="1">IF($B51&lt;=TODAY(),SUMIF('Stats 2020'!$M$24:$M$1048576,"&lt;="&amp;Graphs!$B51,'Stats 2020'!O$24:O$1048576),NA())</f>
        <v>179.25</v>
      </c>
      <c r="D51" s="59">
        <f t="shared" ca="1" si="12"/>
        <v>206.75</v>
      </c>
      <c r="E51" s="59">
        <f ca="1">IF($B51&lt;=TODAY(),SUMIF('Stats 2020'!$M$24:$M$1048576,"&lt;="&amp;Graphs!$B51,'Stats 2020'!Q$24:Q$1048576),NA())</f>
        <v>138</v>
      </c>
      <c r="F51" s="59">
        <f t="shared" ca="1" si="13"/>
        <v>206.75</v>
      </c>
      <c r="G51" s="59">
        <f ca="1">IF($B51&lt;=TODAY(),SUMIF('Stats 2020'!$M$24:$M$1048576,"&lt;="&amp;Graphs!$B51,'Stats 2020'!S$24:S$1048576),NA())</f>
        <v>143.5</v>
      </c>
      <c r="H51" s="59">
        <f ca="1">IF($B51&lt;=TODAY(),SUMIF('Stats 2020'!$M$24:$M$1048576,"&lt;="&amp;Graphs!$B51,'Stats 2020'!T$24:T$1048576),NA())</f>
        <v>85.75</v>
      </c>
      <c r="I51" s="58" t="e">
        <f t="shared" ca="1" si="21"/>
        <v>#N/A</v>
      </c>
      <c r="J51" s="58" t="e">
        <f t="shared" ca="1" si="21"/>
        <v>#N/A</v>
      </c>
      <c r="K51" s="58" t="e">
        <f t="shared" ca="1" si="21"/>
        <v>#N/A</v>
      </c>
      <c r="L51" s="58" t="e">
        <f t="shared" ca="1" si="21"/>
        <v>#N/A</v>
      </c>
      <c r="M51" s="58" t="e">
        <f t="shared" ca="1" si="21"/>
        <v>#N/A</v>
      </c>
      <c r="N51" s="58" t="e">
        <f t="shared" ca="1" si="21"/>
        <v>#N/A</v>
      </c>
      <c r="O51" s="60"/>
      <c r="P51" s="65">
        <f t="shared" si="7"/>
        <v>44197</v>
      </c>
      <c r="Q51" s="66"/>
      <c r="R51" s="66"/>
      <c r="S51" s="66"/>
      <c r="T51" s="66"/>
      <c r="U51" s="66"/>
      <c r="V51" s="66"/>
      <c r="W51" s="66"/>
      <c r="X51" s="65">
        <f t="shared" si="23"/>
        <v>44197</v>
      </c>
      <c r="Y51" s="69">
        <f>SUM(Q$2:Q50)/COUNTA($P$2:$P50)</f>
        <v>0.79591836734693877</v>
      </c>
      <c r="Z51" s="69">
        <f>SUM(R$2:R50)/COUNTA($P$2:$P50)</f>
        <v>0.22448979591836735</v>
      </c>
      <c r="AA51" s="69">
        <f>SUM(S$2:S50)/COUNTA($P$2:$P50)</f>
        <v>0.79591836734693877</v>
      </c>
      <c r="AB51" s="69">
        <f>SUM(T$2:T50)/COUNTA($P$2:$P50)</f>
        <v>0.32653061224489793</v>
      </c>
      <c r="AC51" s="69">
        <f>SUM(U$2:U50)/COUNTA($P$2:$P50)</f>
        <v>0.79591836734693877</v>
      </c>
      <c r="AD51" s="69">
        <f>SUM(V$2:V50)/COUNTA($P$2:$P50)</f>
        <v>0.89795918367346939</v>
      </c>
      <c r="AE51" s="70">
        <f t="shared" si="24"/>
        <v>0.6394557823129251</v>
      </c>
      <c r="AF51" s="58" t="e">
        <f t="shared" ca="1" si="22"/>
        <v>#N/A</v>
      </c>
      <c r="AG51" s="58" t="e">
        <f t="shared" ca="1" si="22"/>
        <v>#N/A</v>
      </c>
      <c r="AH51" s="58" t="e">
        <f t="shared" ca="1" si="22"/>
        <v>#N/A</v>
      </c>
      <c r="AI51" s="58" t="e">
        <f t="shared" ca="1" si="22"/>
        <v>#N/A</v>
      </c>
      <c r="AJ51" s="58" t="e">
        <f t="shared" ca="1" si="22"/>
        <v>#N/A</v>
      </c>
      <c r="AK51" s="58" t="e">
        <f t="shared" ca="1" si="22"/>
        <v>#N/A</v>
      </c>
      <c r="AL51" s="58" t="e">
        <f t="shared" ca="1" si="22"/>
        <v>#N/A</v>
      </c>
      <c r="AP51" s="66"/>
    </row>
    <row r="52" spans="1:42" ht="16.5" customHeight="1">
      <c r="A52" s="74" t="e">
        <f t="shared" ca="1" si="11"/>
        <v>#N/A</v>
      </c>
      <c r="B52" s="56">
        <f t="shared" si="10"/>
        <v>44204</v>
      </c>
      <c r="C52" s="59">
        <f ca="1">IF($B52&lt;=TODAY(),SUMIF('Stats 2020'!$M$24:$M$1048576,"&lt;="&amp;Graphs!$B52,'Stats 2020'!O$24:O$1048576),NA())</f>
        <v>179.25</v>
      </c>
      <c r="D52" s="59">
        <f t="shared" ca="1" si="12"/>
        <v>206.75</v>
      </c>
      <c r="E52" s="59">
        <f ca="1">IF($B52&lt;=TODAY(),SUMIF('Stats 2020'!$M$24:$M$1048576,"&lt;="&amp;Graphs!$B52,'Stats 2020'!Q$24:Q$1048576),NA())</f>
        <v>149</v>
      </c>
      <c r="F52" s="59">
        <f t="shared" ca="1" si="13"/>
        <v>206.75</v>
      </c>
      <c r="G52" s="59">
        <f ca="1">IF($B52&lt;=TODAY(),SUMIF('Stats 2020'!$M$24:$M$1048576,"&lt;="&amp;Graphs!$B52,'Stats 2020'!S$24:S$1048576),NA())</f>
        <v>154.5</v>
      </c>
      <c r="H52" s="59">
        <f ca="1">IF($B52&lt;=TODAY(),SUMIF('Stats 2020'!$M$24:$M$1048576,"&lt;="&amp;Graphs!$B52,'Stats 2020'!T$24:T$1048576),NA())</f>
        <v>85.75</v>
      </c>
      <c r="I52" s="58" t="e">
        <f t="shared" ref="I52:N67" ca="1" si="25">VLOOKUP($A52,$B$1:$H$59,MATCH(I$1,$B$1:$H$1,0),0)</f>
        <v>#N/A</v>
      </c>
      <c r="J52" s="58" t="e">
        <f t="shared" ca="1" si="25"/>
        <v>#N/A</v>
      </c>
      <c r="K52" s="58" t="e">
        <f t="shared" ca="1" si="25"/>
        <v>#N/A</v>
      </c>
      <c r="L52" s="58" t="e">
        <f t="shared" ca="1" si="25"/>
        <v>#N/A</v>
      </c>
      <c r="M52" s="58" t="e">
        <f t="shared" ca="1" si="25"/>
        <v>#N/A</v>
      </c>
      <c r="N52" s="58" t="e">
        <f t="shared" ca="1" si="25"/>
        <v>#N/A</v>
      </c>
      <c r="O52" s="60"/>
      <c r="P52" s="65">
        <f t="shared" si="7"/>
        <v>44204</v>
      </c>
      <c r="Q52" s="66">
        <f>VLOOKUP($B52,'Stats 2020'!$D$25:$J$200,MATCH(Graphs!Q$1,'Stats 2020'!$D$18:$J$18,0),0)</f>
        <v>1</v>
      </c>
      <c r="R52" s="66" t="str">
        <f>VLOOKUP($B52,'Stats 2020'!$D$25:$J$200,MATCH(Graphs!R$1,'Stats 2020'!$D$18:$J$18,0),0)</f>
        <v/>
      </c>
      <c r="S52" s="66">
        <f>VLOOKUP($B52,'Stats 2020'!$D$25:$J$200,MATCH(Graphs!S$1,'Stats 2020'!$D$18:$J$18,0),0)</f>
        <v>0</v>
      </c>
      <c r="T52" s="66" t="str">
        <f>VLOOKUP($B52,'Stats 2020'!$D$25:$J$200,MATCH(Graphs!T$1,'Stats 2020'!$D$18:$J$18,0),0)</f>
        <v/>
      </c>
      <c r="U52" s="66">
        <f>VLOOKUP($B52,'Stats 2020'!$D$25:$J$200,MATCH(Graphs!U$1,'Stats 2020'!$D$18:$J$18,0),0)</f>
        <v>0</v>
      </c>
      <c r="V52" s="66">
        <f>VLOOKUP($B52,'Stats 2020'!$D$25:$J$200,MATCH(Graphs!V$1,'Stats 2020'!$D$18:$J$18,0),0)</f>
        <v>1</v>
      </c>
      <c r="W52" s="66"/>
      <c r="X52" s="65">
        <f t="shared" si="23"/>
        <v>44204</v>
      </c>
      <c r="Y52" s="69">
        <f>SUM(Q$2:Q52)/COUNTA($P$2:$P52)</f>
        <v>0.78431372549019607</v>
      </c>
      <c r="Z52" s="69">
        <f>SUM(R$2:R52)/COUNTA($P$2:$P52)</f>
        <v>0.21568627450980393</v>
      </c>
      <c r="AA52" s="69">
        <f>SUM(S$2:S52)/COUNTA($P$2:$P52)</f>
        <v>0.76470588235294112</v>
      </c>
      <c r="AB52" s="69">
        <f>SUM(T$2:T52)/COUNTA($P$2:$P52)</f>
        <v>0.31372549019607843</v>
      </c>
      <c r="AC52" s="69">
        <f>SUM(U$2:U52)/COUNTA($P$2:$P52)</f>
        <v>0.76470588235294112</v>
      </c>
      <c r="AD52" s="69">
        <f>SUM(V$2:V52)/COUNTA($P$2:$P52)</f>
        <v>0.88235294117647056</v>
      </c>
      <c r="AE52" s="70">
        <f t="shared" si="24"/>
        <v>0.62091503267973847</v>
      </c>
      <c r="AF52" s="58" t="e">
        <f t="shared" ref="AF52:AL67" ca="1" si="26">VLOOKUP($A52,$X$1:$AE$59,MATCH(AF$1,$X$1:$AE$1,0),0)</f>
        <v>#N/A</v>
      </c>
      <c r="AG52" s="58" t="e">
        <f t="shared" ca="1" si="26"/>
        <v>#N/A</v>
      </c>
      <c r="AH52" s="58" t="e">
        <f t="shared" ca="1" si="26"/>
        <v>#N/A</v>
      </c>
      <c r="AI52" s="58" t="e">
        <f t="shared" ca="1" si="26"/>
        <v>#N/A</v>
      </c>
      <c r="AJ52" s="58" t="e">
        <f t="shared" ca="1" si="26"/>
        <v>#N/A</v>
      </c>
      <c r="AK52" s="58" t="e">
        <f t="shared" ca="1" si="26"/>
        <v>#N/A</v>
      </c>
      <c r="AL52" s="58" t="e">
        <f t="shared" ca="1" si="26"/>
        <v>#N/A</v>
      </c>
      <c r="AP52" s="66"/>
    </row>
    <row r="53" spans="1:42" ht="16.5" customHeight="1">
      <c r="A53" s="74" t="e">
        <f t="shared" ca="1" si="11"/>
        <v>#N/A</v>
      </c>
      <c r="B53" s="56">
        <f t="shared" si="10"/>
        <v>44211</v>
      </c>
      <c r="C53" s="59">
        <f ca="1">IF($B53&lt;=TODAY(),SUMIF('Stats 2020'!$M$24:$M$1048576,"&lt;="&amp;Graphs!$B53,'Stats 2020'!O$24:O$1048576),NA())</f>
        <v>190.25</v>
      </c>
      <c r="D53" s="59">
        <f t="shared" ca="1" si="12"/>
        <v>217.75</v>
      </c>
      <c r="E53" s="59">
        <f ca="1">IF($B53&lt;=TODAY(),SUMIF('Stats 2020'!$M$24:$M$1048576,"&lt;="&amp;Graphs!$B53,'Stats 2020'!Q$24:Q$1048576),NA())</f>
        <v>160</v>
      </c>
      <c r="F53" s="59">
        <f t="shared" ca="1" si="13"/>
        <v>217.75</v>
      </c>
      <c r="G53" s="59">
        <f ca="1">IF($B53&lt;=TODAY(),SUMIF('Stats 2020'!$M$24:$M$1048576,"&lt;="&amp;Graphs!$B53,'Stats 2020'!S$24:S$1048576),NA())</f>
        <v>165.5</v>
      </c>
      <c r="H53" s="59">
        <f ca="1">IF($B53&lt;=TODAY(),SUMIF('Stats 2020'!$M$24:$M$1048576,"&lt;="&amp;Graphs!$B53,'Stats 2020'!T$24:T$1048576),NA())</f>
        <v>90.75</v>
      </c>
      <c r="I53" s="58" t="e">
        <f t="shared" ca="1" si="25"/>
        <v>#N/A</v>
      </c>
      <c r="J53" s="58" t="e">
        <f t="shared" ca="1" si="25"/>
        <v>#N/A</v>
      </c>
      <c r="K53" s="58" t="e">
        <f t="shared" ca="1" si="25"/>
        <v>#N/A</v>
      </c>
      <c r="L53" s="58" t="e">
        <f t="shared" ca="1" si="25"/>
        <v>#N/A</v>
      </c>
      <c r="M53" s="58" t="e">
        <f t="shared" ca="1" si="25"/>
        <v>#N/A</v>
      </c>
      <c r="N53" s="58" t="e">
        <f t="shared" ca="1" si="25"/>
        <v>#N/A</v>
      </c>
      <c r="O53" s="60"/>
      <c r="P53" s="65">
        <f t="shared" si="7"/>
        <v>44211</v>
      </c>
      <c r="Q53" s="66">
        <f>VLOOKUP($B53,'Stats 2020'!$D$25:$J$200,MATCH(Graphs!Q$1,'Stats 2020'!$D$18:$J$18,0),0)</f>
        <v>0</v>
      </c>
      <c r="R53" s="66">
        <f>VLOOKUP($B53,'Stats 2020'!$D$25:$J$200,MATCH(Graphs!R$1,'Stats 2020'!$D$18:$J$18,0),0)</f>
        <v>1</v>
      </c>
      <c r="S53" s="66">
        <f>VLOOKUP($B53,'Stats 2020'!$D$25:$J$200,MATCH(Graphs!S$1,'Stats 2020'!$D$18:$J$18,0),0)</f>
        <v>0</v>
      </c>
      <c r="T53" s="66">
        <f>VLOOKUP($B53,'Stats 2020'!$D$25:$J$200,MATCH(Graphs!T$1,'Stats 2020'!$D$18:$J$18,0),0)</f>
        <v>1</v>
      </c>
      <c r="U53" s="66">
        <f>VLOOKUP($B53,'Stats 2020'!$D$25:$J$200,MATCH(Graphs!U$1,'Stats 2020'!$D$18:$J$18,0),0)</f>
        <v>0</v>
      </c>
      <c r="V53" s="66">
        <f>VLOOKUP($B53,'Stats 2020'!$D$25:$J$200,MATCH(Graphs!V$1,'Stats 2020'!$D$18:$J$18,0),0)</f>
        <v>1</v>
      </c>
      <c r="W53" s="66"/>
      <c r="X53" s="65">
        <f t="shared" si="23"/>
        <v>44211</v>
      </c>
      <c r="Y53" s="69">
        <f>SUM(Q$2:Q52)/COUNTA($P$2:$P52)</f>
        <v>0.78431372549019607</v>
      </c>
      <c r="Z53" s="69">
        <f>SUM(R$2:R52)/COUNTA($P$2:$P52)</f>
        <v>0.21568627450980393</v>
      </c>
      <c r="AA53" s="69">
        <f>SUM(S$2:S52)/COUNTA($P$2:$P52)</f>
        <v>0.76470588235294112</v>
      </c>
      <c r="AB53" s="69">
        <f>SUM(T$2:T52)/COUNTA($P$2:$P52)</f>
        <v>0.31372549019607843</v>
      </c>
      <c r="AC53" s="69">
        <f>SUM(U$2:U52)/COUNTA($P$2:$P52)</f>
        <v>0.76470588235294112</v>
      </c>
      <c r="AD53" s="69">
        <f>SUM(V$2:V52)/COUNTA($P$2:$P52)</f>
        <v>0.88235294117647056</v>
      </c>
      <c r="AE53" s="70">
        <f t="shared" si="24"/>
        <v>0.62091503267973847</v>
      </c>
      <c r="AF53" s="58" t="e">
        <f t="shared" ca="1" si="26"/>
        <v>#N/A</v>
      </c>
      <c r="AG53" s="58" t="e">
        <f t="shared" ca="1" si="26"/>
        <v>#N/A</v>
      </c>
      <c r="AH53" s="58" t="e">
        <f t="shared" ca="1" si="26"/>
        <v>#N/A</v>
      </c>
      <c r="AI53" s="58" t="e">
        <f t="shared" ca="1" si="26"/>
        <v>#N/A</v>
      </c>
      <c r="AJ53" s="58" t="e">
        <f t="shared" ca="1" si="26"/>
        <v>#N/A</v>
      </c>
      <c r="AK53" s="58" t="e">
        <f t="shared" ca="1" si="26"/>
        <v>#N/A</v>
      </c>
      <c r="AL53" s="58" t="e">
        <f t="shared" ca="1" si="26"/>
        <v>#N/A</v>
      </c>
    </row>
    <row r="54" spans="1:42" ht="16.5" customHeight="1">
      <c r="A54" s="74" t="e">
        <f t="shared" ca="1" si="11"/>
        <v>#N/A</v>
      </c>
      <c r="B54" s="56">
        <f t="shared" si="10"/>
        <v>44218</v>
      </c>
      <c r="C54" s="59">
        <f ca="1">IF($B54&lt;=TODAY(),SUMIF('Stats 2020'!$M$24:$M$1048576,"&lt;="&amp;Graphs!$B54,'Stats 2020'!O$24:O$1048576),NA())</f>
        <v>190.25</v>
      </c>
      <c r="D54" s="59">
        <f t="shared" ca="1" si="12"/>
        <v>217.75</v>
      </c>
      <c r="E54" s="59">
        <f ca="1">IF($B54&lt;=TODAY(),SUMIF('Stats 2020'!$M$24:$M$1048576,"&lt;="&amp;Graphs!$B54,'Stats 2020'!Q$24:Q$1048576),NA())</f>
        <v>160</v>
      </c>
      <c r="F54" s="59">
        <f t="shared" ca="1" si="13"/>
        <v>217.75</v>
      </c>
      <c r="G54" s="59">
        <f ca="1">IF($B54&lt;=TODAY(),SUMIF('Stats 2020'!$M$24:$M$1048576,"&lt;="&amp;Graphs!$B54,'Stats 2020'!S$24:S$1048576),NA())</f>
        <v>165.5</v>
      </c>
      <c r="H54" s="59">
        <f ca="1">IF($B54&lt;=TODAY(),SUMIF('Stats 2020'!$M$24:$M$1048576,"&lt;="&amp;Graphs!$B54,'Stats 2020'!T$24:T$1048576),NA())</f>
        <v>90.75</v>
      </c>
      <c r="I54" s="58" t="e">
        <f t="shared" ca="1" si="25"/>
        <v>#N/A</v>
      </c>
      <c r="J54" s="58" t="e">
        <f t="shared" ca="1" si="25"/>
        <v>#N/A</v>
      </c>
      <c r="K54" s="58" t="e">
        <f t="shared" ca="1" si="25"/>
        <v>#N/A</v>
      </c>
      <c r="L54" s="58" t="e">
        <f t="shared" ca="1" si="25"/>
        <v>#N/A</v>
      </c>
      <c r="M54" s="58" t="e">
        <f t="shared" ca="1" si="25"/>
        <v>#N/A</v>
      </c>
      <c r="N54" s="58" t="e">
        <f t="shared" ca="1" si="25"/>
        <v>#N/A</v>
      </c>
      <c r="O54" s="60"/>
      <c r="P54" s="65">
        <f t="shared" si="7"/>
        <v>44218</v>
      </c>
      <c r="Q54" s="66">
        <f>VLOOKUP($B54,'Stats 2020'!$D$25:$J$200,MATCH(Graphs!Q$1,'Stats 2020'!$D$18:$J$18,0),0)</f>
        <v>1</v>
      </c>
      <c r="R54" s="66">
        <f>VLOOKUP($B54,'Stats 2020'!$D$25:$J$200,MATCH(Graphs!R$1,'Stats 2020'!$D$18:$J$18,0),0)</f>
        <v>1</v>
      </c>
      <c r="S54" s="66">
        <f>VLOOKUP($B54,'Stats 2020'!$D$25:$J$200,MATCH(Graphs!S$1,'Stats 2020'!$D$18:$J$18,0),0)</f>
        <v>1</v>
      </c>
      <c r="T54" s="66">
        <f>VLOOKUP($B54,'Stats 2020'!$D$25:$J$200,MATCH(Graphs!T$1,'Stats 2020'!$D$18:$J$18,0),0)</f>
        <v>1</v>
      </c>
      <c r="U54" s="66">
        <f>VLOOKUP($B54,'Stats 2020'!$D$25:$J$200,MATCH(Graphs!U$1,'Stats 2020'!$D$18:$J$18,0),0)</f>
        <v>1</v>
      </c>
      <c r="V54" s="66">
        <f>VLOOKUP($B54,'Stats 2020'!$D$25:$J$200,MATCH(Graphs!V$1,'Stats 2020'!$D$18:$J$18,0),0)</f>
        <v>1</v>
      </c>
      <c r="W54" s="66"/>
      <c r="X54" s="65">
        <f t="shared" si="23"/>
        <v>44218</v>
      </c>
      <c r="Y54" s="69">
        <f>SUM(Q$2:Q54)/COUNTA($P$2:$P54)</f>
        <v>0.77358490566037741</v>
      </c>
      <c r="Z54" s="69">
        <f>SUM(R$2:R54)/COUNTA($P$2:$P54)</f>
        <v>0.24528301886792453</v>
      </c>
      <c r="AA54" s="69">
        <f>SUM(S$2:S54)/COUNTA($P$2:$P54)</f>
        <v>0.75471698113207553</v>
      </c>
      <c r="AB54" s="69">
        <f>SUM(T$2:T54)/COUNTA($P$2:$P54)</f>
        <v>0.33962264150943394</v>
      </c>
      <c r="AC54" s="69">
        <f>SUM(U$2:U54)/COUNTA($P$2:$P54)</f>
        <v>0.75471698113207553</v>
      </c>
      <c r="AD54" s="69">
        <f>SUM(V$2:V54)/COUNTA($P$2:$P54)</f>
        <v>0.8867924528301887</v>
      </c>
      <c r="AE54" s="70">
        <f t="shared" si="24"/>
        <v>0.62578616352201266</v>
      </c>
      <c r="AF54" s="58" t="e">
        <f t="shared" ca="1" si="26"/>
        <v>#N/A</v>
      </c>
      <c r="AG54" s="58" t="e">
        <f t="shared" ca="1" si="26"/>
        <v>#N/A</v>
      </c>
      <c r="AH54" s="58" t="e">
        <f t="shared" ca="1" si="26"/>
        <v>#N/A</v>
      </c>
      <c r="AI54" s="58" t="e">
        <f t="shared" ca="1" si="26"/>
        <v>#N/A</v>
      </c>
      <c r="AJ54" s="58" t="e">
        <f t="shared" ca="1" si="26"/>
        <v>#N/A</v>
      </c>
      <c r="AK54" s="58" t="e">
        <f t="shared" ca="1" si="26"/>
        <v>#N/A</v>
      </c>
      <c r="AL54" s="58" t="e">
        <f t="shared" ca="1" si="26"/>
        <v>#N/A</v>
      </c>
    </row>
    <row r="55" spans="1:42" ht="16.5" customHeight="1">
      <c r="A55" s="74" t="e">
        <f t="shared" ca="1" si="11"/>
        <v>#N/A</v>
      </c>
      <c r="B55" s="56">
        <f t="shared" si="10"/>
        <v>44225</v>
      </c>
      <c r="C55" s="59">
        <f ca="1">IF($B55&lt;=TODAY(),SUMIF('Stats 2020'!$M$24:$M$1048576,"&lt;="&amp;Graphs!$B55,'Stats 2020'!O$24:O$1048576),NA())</f>
        <v>201.25</v>
      </c>
      <c r="D55" s="59">
        <f t="shared" ca="1" si="12"/>
        <v>228.75</v>
      </c>
      <c r="E55" s="59">
        <f ca="1">IF($B55&lt;=TODAY(),SUMIF('Stats 2020'!$M$24:$M$1048576,"&lt;="&amp;Graphs!$B55,'Stats 2020'!Q$24:Q$1048576),NA())</f>
        <v>160</v>
      </c>
      <c r="F55" s="59">
        <f t="shared" ca="1" si="13"/>
        <v>228.75</v>
      </c>
      <c r="G55" s="59">
        <f ca="1">IF($B55&lt;=TODAY(),SUMIF('Stats 2020'!$M$24:$M$1048576,"&lt;="&amp;Graphs!$B55,'Stats 2020'!S$24:S$1048576),NA())</f>
        <v>165.5</v>
      </c>
      <c r="H55" s="59">
        <f ca="1">IF($B55&lt;=TODAY(),SUMIF('Stats 2020'!$M$24:$M$1048576,"&lt;="&amp;Graphs!$B55,'Stats 2020'!T$24:T$1048576),NA())</f>
        <v>101.75</v>
      </c>
      <c r="I55" s="58" t="e">
        <f t="shared" ca="1" si="25"/>
        <v>#N/A</v>
      </c>
      <c r="J55" s="58" t="e">
        <f t="shared" ca="1" si="25"/>
        <v>#N/A</v>
      </c>
      <c r="K55" s="58" t="e">
        <f t="shared" ca="1" si="25"/>
        <v>#N/A</v>
      </c>
      <c r="L55" s="58" t="e">
        <f t="shared" ca="1" si="25"/>
        <v>#N/A</v>
      </c>
      <c r="M55" s="58" t="e">
        <f t="shared" ca="1" si="25"/>
        <v>#N/A</v>
      </c>
      <c r="N55" s="58" t="e">
        <f t="shared" ca="1" si="25"/>
        <v>#N/A</v>
      </c>
      <c r="O55" s="60"/>
      <c r="P55" s="65">
        <f t="shared" si="7"/>
        <v>44225</v>
      </c>
      <c r="Q55" s="66">
        <f>VLOOKUP($B55,'Stats 2020'!$D$25:$J$200,MATCH(Graphs!Q$1,'Stats 2020'!$D$18:$J$18,0),0)</f>
        <v>0</v>
      </c>
      <c r="R55" s="66" t="str">
        <f>VLOOKUP($B55,'Stats 2020'!$D$25:$J$200,MATCH(Graphs!R$1,'Stats 2020'!$D$18:$J$18,0),0)</f>
        <v/>
      </c>
      <c r="S55" s="66">
        <f>VLOOKUP($B55,'Stats 2020'!$D$25:$J$200,MATCH(Graphs!S$1,'Stats 2020'!$D$18:$J$18,0),0)</f>
        <v>1</v>
      </c>
      <c r="T55" s="66" t="str">
        <f>VLOOKUP($B55,'Stats 2020'!$D$25:$J$200,MATCH(Graphs!T$1,'Stats 2020'!$D$18:$J$18,0),0)</f>
        <v/>
      </c>
      <c r="U55" s="66">
        <f>VLOOKUP($B55,'Stats 2020'!$D$25:$J$200,MATCH(Graphs!U$1,'Stats 2020'!$D$18:$J$18,0),0)</f>
        <v>1</v>
      </c>
      <c r="V55" s="66">
        <f>VLOOKUP($B55,'Stats 2020'!$D$25:$J$200,MATCH(Graphs!V$1,'Stats 2020'!$D$18:$J$18,0),0)</f>
        <v>0</v>
      </c>
      <c r="W55" s="66"/>
      <c r="X55" s="65">
        <f t="shared" si="23"/>
        <v>44225</v>
      </c>
      <c r="Y55" s="69">
        <f>SUM(Q$2:Q54)/COUNTA($P$2:$P54)</f>
        <v>0.77358490566037741</v>
      </c>
      <c r="Z55" s="69">
        <f>SUM(R$2:R54)/COUNTA($P$2:$P54)</f>
        <v>0.24528301886792453</v>
      </c>
      <c r="AA55" s="69">
        <f>SUM(S$2:S54)/COUNTA($P$2:$P54)</f>
        <v>0.75471698113207553</v>
      </c>
      <c r="AB55" s="69">
        <f>SUM(T$2:T54)/COUNTA($P$2:$P54)</f>
        <v>0.33962264150943394</v>
      </c>
      <c r="AC55" s="69">
        <f>SUM(U$2:U54)/COUNTA($P$2:$P54)</f>
        <v>0.75471698113207553</v>
      </c>
      <c r="AD55" s="69">
        <f>SUM(V$2:V54)/COUNTA($P$2:$P54)</f>
        <v>0.8867924528301887</v>
      </c>
      <c r="AE55" s="70">
        <f t="shared" si="24"/>
        <v>0.62578616352201266</v>
      </c>
      <c r="AF55" s="58" t="e">
        <f t="shared" ca="1" si="26"/>
        <v>#N/A</v>
      </c>
      <c r="AG55" s="58" t="e">
        <f t="shared" ca="1" si="26"/>
        <v>#N/A</v>
      </c>
      <c r="AH55" s="58" t="e">
        <f t="shared" ca="1" si="26"/>
        <v>#N/A</v>
      </c>
      <c r="AI55" s="58" t="e">
        <f t="shared" ca="1" si="26"/>
        <v>#N/A</v>
      </c>
      <c r="AJ55" s="58" t="e">
        <f t="shared" ca="1" si="26"/>
        <v>#N/A</v>
      </c>
      <c r="AK55" s="58" t="e">
        <f t="shared" ca="1" si="26"/>
        <v>#N/A</v>
      </c>
      <c r="AL55" s="58" t="e">
        <f t="shared" ca="1" si="26"/>
        <v>#N/A</v>
      </c>
      <c r="AM55" s="61"/>
      <c r="AN55" s="71"/>
      <c r="AO55" s="71"/>
      <c r="AP55" s="72"/>
    </row>
    <row r="56" spans="1:42" ht="16.5" customHeight="1">
      <c r="A56" s="74" t="e">
        <f t="shared" ca="1" si="11"/>
        <v>#N/A</v>
      </c>
      <c r="B56" s="56">
        <f t="shared" si="10"/>
        <v>44232</v>
      </c>
      <c r="C56" s="59">
        <f ca="1">IF($B56&lt;=TODAY(),SUMIF('Stats 2020'!$M$24:$M$1048576,"&lt;="&amp;Graphs!$B56,'Stats 2020'!O$24:O$1048576),NA())</f>
        <v>201.25</v>
      </c>
      <c r="D56" s="59">
        <f t="shared" ca="1" si="12"/>
        <v>228.75</v>
      </c>
      <c r="E56" s="59">
        <f ca="1">IF($B56&lt;=TODAY(),SUMIF('Stats 2020'!$M$24:$M$1048576,"&lt;="&amp;Graphs!$B56,'Stats 2020'!Q$24:Q$1048576),NA())</f>
        <v>160</v>
      </c>
      <c r="F56" s="59">
        <f t="shared" ca="1" si="13"/>
        <v>228.75</v>
      </c>
      <c r="G56" s="59">
        <f ca="1">IF($B56&lt;=TODAY(),SUMIF('Stats 2020'!$M$24:$M$1048576,"&lt;="&amp;Graphs!$B56,'Stats 2020'!S$24:S$1048576),NA())</f>
        <v>165.5</v>
      </c>
      <c r="H56" s="59">
        <f ca="1">IF($B56&lt;=TODAY(),SUMIF('Stats 2020'!$M$24:$M$1048576,"&lt;="&amp;Graphs!$B56,'Stats 2020'!T$24:T$1048576),NA())</f>
        <v>101.75</v>
      </c>
      <c r="I56" s="58" t="e">
        <f t="shared" ca="1" si="25"/>
        <v>#N/A</v>
      </c>
      <c r="J56" s="58" t="e">
        <f t="shared" ca="1" si="25"/>
        <v>#N/A</v>
      </c>
      <c r="K56" s="58" t="e">
        <f t="shared" ca="1" si="25"/>
        <v>#N/A</v>
      </c>
      <c r="L56" s="58" t="e">
        <f t="shared" ca="1" si="25"/>
        <v>#N/A</v>
      </c>
      <c r="M56" s="58" t="e">
        <f t="shared" ca="1" si="25"/>
        <v>#N/A</v>
      </c>
      <c r="N56" s="58" t="e">
        <f t="shared" ca="1" si="25"/>
        <v>#N/A</v>
      </c>
      <c r="O56" s="60"/>
      <c r="P56" s="65">
        <f t="shared" si="7"/>
        <v>44232</v>
      </c>
      <c r="Q56" s="66">
        <f>VLOOKUP($B56,'Stats 2020'!$D$25:$J$200,MATCH(Graphs!Q$1,'Stats 2020'!$D$18:$J$18,0),0)</f>
        <v>1</v>
      </c>
      <c r="R56" s="66">
        <f>VLOOKUP($B56,'Stats 2020'!$D$25:$J$200,MATCH(Graphs!R$1,'Stats 2020'!$D$18:$J$18,0),0)</f>
        <v>1</v>
      </c>
      <c r="S56" s="66">
        <f>VLOOKUP($B56,'Stats 2020'!$D$25:$J$200,MATCH(Graphs!S$1,'Stats 2020'!$D$18:$J$18,0),0)</f>
        <v>1</v>
      </c>
      <c r="T56" s="66">
        <f>VLOOKUP($B56,'Stats 2020'!$D$25:$J$200,MATCH(Graphs!T$1,'Stats 2020'!$D$18:$J$18,0),0)</f>
        <v>1</v>
      </c>
      <c r="U56" s="66">
        <f>VLOOKUP($B56,'Stats 2020'!$D$25:$J$200,MATCH(Graphs!U$1,'Stats 2020'!$D$18:$J$18,0),0)</f>
        <v>1</v>
      </c>
      <c r="V56" s="66">
        <f>VLOOKUP($B56,'Stats 2020'!$D$25:$J$200,MATCH(Graphs!V$1,'Stats 2020'!$D$18:$J$18,0),0)</f>
        <v>1</v>
      </c>
      <c r="W56" s="66"/>
      <c r="X56" s="65">
        <f>B56</f>
        <v>44232</v>
      </c>
      <c r="Y56" s="69">
        <f>SUM(Q$2:Q56)/COUNTA($P$2:$P56)</f>
        <v>0.76363636363636367</v>
      </c>
      <c r="Z56" s="69">
        <f>SUM(R$2:R56)/COUNTA($P$2:$P56)</f>
        <v>0.25454545454545452</v>
      </c>
      <c r="AA56" s="69">
        <f>SUM(S$2:S56)/COUNTA($P$2:$P56)</f>
        <v>0.76363636363636367</v>
      </c>
      <c r="AB56" s="69">
        <f>SUM(T$2:T56)/COUNTA($P$2:$P56)</f>
        <v>0.34545454545454546</v>
      </c>
      <c r="AC56" s="69">
        <f>SUM(U$2:U56)/COUNTA($P$2:$P56)</f>
        <v>0.76363636363636367</v>
      </c>
      <c r="AD56" s="69">
        <f>SUM(V$2:V56)/COUNTA($P$2:$P56)</f>
        <v>0.87272727272727268</v>
      </c>
      <c r="AE56" s="70">
        <f t="shared" si="24"/>
        <v>0.6272727272727272</v>
      </c>
      <c r="AF56" s="58" t="e">
        <f t="shared" ca="1" si="26"/>
        <v>#N/A</v>
      </c>
      <c r="AG56" s="58" t="e">
        <f t="shared" ca="1" si="26"/>
        <v>#N/A</v>
      </c>
      <c r="AH56" s="58" t="e">
        <f t="shared" ca="1" si="26"/>
        <v>#N/A</v>
      </c>
      <c r="AI56" s="58" t="e">
        <f t="shared" ca="1" si="26"/>
        <v>#N/A</v>
      </c>
      <c r="AJ56" s="58" t="e">
        <f t="shared" ca="1" si="26"/>
        <v>#N/A</v>
      </c>
      <c r="AK56" s="58" t="e">
        <f t="shared" ca="1" si="26"/>
        <v>#N/A</v>
      </c>
      <c r="AL56" s="58" t="e">
        <f t="shared" ca="1" si="26"/>
        <v>#N/A</v>
      </c>
      <c r="AM56" s="62"/>
      <c r="AN56" s="72"/>
      <c r="AO56" s="71"/>
      <c r="AP56" s="72"/>
    </row>
    <row r="57" spans="1:42" ht="16.5" customHeight="1">
      <c r="A57" s="74" t="e">
        <f t="shared" ca="1" si="11"/>
        <v>#N/A</v>
      </c>
      <c r="B57" s="56">
        <f t="shared" si="10"/>
        <v>44239</v>
      </c>
      <c r="C57" s="59">
        <f ca="1">IF($B57&lt;=TODAY(),SUMIF('Stats 2020'!$M$24:$M$1048576,"&lt;="&amp;Graphs!$B57,'Stats 2020'!O$24:O$1048576),NA())</f>
        <v>201.25</v>
      </c>
      <c r="D57" s="59">
        <f t="shared" ca="1" si="12"/>
        <v>228.75</v>
      </c>
      <c r="E57" s="59">
        <f ca="1">IF($B57&lt;=TODAY(),SUMIF('Stats 2020'!$M$24:$M$1048576,"&lt;="&amp;Graphs!$B57,'Stats 2020'!Q$24:Q$1048576),NA())</f>
        <v>160</v>
      </c>
      <c r="F57" s="59">
        <f t="shared" ca="1" si="13"/>
        <v>228.75</v>
      </c>
      <c r="G57" s="59">
        <f ca="1">IF($B57&lt;=TODAY(),SUMIF('Stats 2020'!$M$24:$M$1048576,"&lt;="&amp;Graphs!$B57,'Stats 2020'!S$24:S$1048576),NA())</f>
        <v>165.5</v>
      </c>
      <c r="H57" s="59">
        <f ca="1">IF($B57&lt;=TODAY(),SUMIF('Stats 2020'!$M$24:$M$1048576,"&lt;="&amp;Graphs!$B57,'Stats 2020'!T$24:T$1048576),NA())</f>
        <v>101.75</v>
      </c>
      <c r="I57" s="58" t="e">
        <f t="shared" ca="1" si="25"/>
        <v>#N/A</v>
      </c>
      <c r="J57" s="58" t="e">
        <f t="shared" ca="1" si="25"/>
        <v>#N/A</v>
      </c>
      <c r="K57" s="58" t="e">
        <f t="shared" ca="1" si="25"/>
        <v>#N/A</v>
      </c>
      <c r="L57" s="58" t="e">
        <f t="shared" ca="1" si="25"/>
        <v>#N/A</v>
      </c>
      <c r="M57" s="58" t="e">
        <f t="shared" ca="1" si="25"/>
        <v>#N/A</v>
      </c>
      <c r="N57" s="58" t="e">
        <f t="shared" ca="1" si="25"/>
        <v>#N/A</v>
      </c>
      <c r="O57" s="60"/>
      <c r="P57" s="65">
        <f t="shared" si="7"/>
        <v>44239</v>
      </c>
      <c r="Q57" s="66">
        <f>VLOOKUP($B57,'Stats 2020'!$D$25:$J$200,MATCH(Graphs!Q$1,'Stats 2020'!$D$18:$J$18,0),0)</f>
        <v>1</v>
      </c>
      <c r="R57" s="66">
        <f>VLOOKUP($B57,'Stats 2020'!$D$25:$J$200,MATCH(Graphs!R$1,'Stats 2020'!$D$18:$J$18,0),0)</f>
        <v>1</v>
      </c>
      <c r="S57" s="66">
        <f>VLOOKUP($B57,'Stats 2020'!$D$25:$J$200,MATCH(Graphs!S$1,'Stats 2020'!$D$18:$J$18,0),0)</f>
        <v>1</v>
      </c>
      <c r="T57" s="66" t="str">
        <f>VLOOKUP($B57,'Stats 2020'!$D$25:$J$200,MATCH(Graphs!T$1,'Stats 2020'!$D$18:$J$18,0),0)</f>
        <v/>
      </c>
      <c r="U57" s="66">
        <f>VLOOKUP($B57,'Stats 2020'!$D$25:$J$200,MATCH(Graphs!U$1,'Stats 2020'!$D$18:$J$18,0),0)</f>
        <v>1</v>
      </c>
      <c r="V57" s="66">
        <f>VLOOKUP($B57,'Stats 2020'!$D$25:$J$200,MATCH(Graphs!V$1,'Stats 2020'!$D$18:$J$18,0),0)</f>
        <v>1</v>
      </c>
      <c r="W57" s="66"/>
      <c r="X57" s="65">
        <f>B57</f>
        <v>44239</v>
      </c>
      <c r="Y57" s="69">
        <f>SUM(Q$2:Q56)/COUNTA($P$2:$P56)</f>
        <v>0.76363636363636367</v>
      </c>
      <c r="Z57" s="69">
        <f>SUM(R$2:R56)/COUNTA($P$2:$P56)</f>
        <v>0.25454545454545452</v>
      </c>
      <c r="AA57" s="69">
        <f>SUM(S$2:S56)/COUNTA($P$2:$P56)</f>
        <v>0.76363636363636367</v>
      </c>
      <c r="AB57" s="69">
        <f>SUM(T$2:T56)/COUNTA($P$2:$P56)</f>
        <v>0.34545454545454546</v>
      </c>
      <c r="AC57" s="69">
        <f>SUM(U$2:U56)/COUNTA($P$2:$P56)</f>
        <v>0.76363636363636367</v>
      </c>
      <c r="AD57" s="69">
        <f>SUM(V$2:V56)/COUNTA($P$2:$P56)</f>
        <v>0.87272727272727268</v>
      </c>
      <c r="AE57" s="70">
        <f t="shared" si="24"/>
        <v>0.6272727272727272</v>
      </c>
      <c r="AF57" s="58" t="e">
        <f t="shared" ca="1" si="26"/>
        <v>#N/A</v>
      </c>
      <c r="AG57" s="58" t="e">
        <f t="shared" ca="1" si="26"/>
        <v>#N/A</v>
      </c>
      <c r="AH57" s="58" t="e">
        <f t="shared" ca="1" si="26"/>
        <v>#N/A</v>
      </c>
      <c r="AI57" s="58" t="e">
        <f t="shared" ca="1" si="26"/>
        <v>#N/A</v>
      </c>
      <c r="AJ57" s="58" t="e">
        <f t="shared" ca="1" si="26"/>
        <v>#N/A</v>
      </c>
      <c r="AK57" s="58" t="e">
        <f t="shared" ca="1" si="26"/>
        <v>#N/A</v>
      </c>
      <c r="AL57" s="58" t="e">
        <f t="shared" ca="1" si="26"/>
        <v>#N/A</v>
      </c>
      <c r="AM57" s="62"/>
      <c r="AN57" s="72"/>
      <c r="AO57" s="72"/>
      <c r="AP57" s="72"/>
    </row>
    <row r="58" spans="1:42" ht="24.75" customHeight="1">
      <c r="A58" s="74" t="e">
        <f t="shared" ca="1" si="11"/>
        <v>#N/A</v>
      </c>
      <c r="B58" s="56">
        <f t="shared" si="10"/>
        <v>44246</v>
      </c>
      <c r="C58" s="59">
        <f ca="1">IF($B58&lt;=TODAY(),SUMIF('Stats 2020'!$M$24:$M$1048576,"&lt;="&amp;Graphs!$B58,'Stats 2020'!O$24:O$1048576),NA())</f>
        <v>201.25</v>
      </c>
      <c r="D58" s="59">
        <f t="shared" ca="1" si="12"/>
        <v>228.75</v>
      </c>
      <c r="E58" s="59">
        <f ca="1">IF($B58&lt;=TODAY(),SUMIF('Stats 2020'!$M$24:$M$1048576,"&lt;="&amp;Graphs!$B58,'Stats 2020'!Q$24:Q$1048576),NA())</f>
        <v>171</v>
      </c>
      <c r="F58" s="59">
        <f t="shared" ca="1" si="13"/>
        <v>228.75</v>
      </c>
      <c r="G58" s="59">
        <f ca="1">IF($B58&lt;=TODAY(),SUMIF('Stats 2020'!$M$24:$M$1048576,"&lt;="&amp;Graphs!$B58,'Stats 2020'!S$24:S$1048576),NA())</f>
        <v>176.5</v>
      </c>
      <c r="H58" s="59">
        <f ca="1">IF($B58&lt;=TODAY(),SUMIF('Stats 2020'!$M$24:$M$1048576,"&lt;="&amp;Graphs!$B58,'Stats 2020'!T$24:T$1048576),NA())</f>
        <v>101.75</v>
      </c>
      <c r="I58" s="58" t="e">
        <f t="shared" ca="1" si="25"/>
        <v>#N/A</v>
      </c>
      <c r="J58" s="58" t="e">
        <f t="shared" ca="1" si="25"/>
        <v>#N/A</v>
      </c>
      <c r="K58" s="58" t="e">
        <f t="shared" ca="1" si="25"/>
        <v>#N/A</v>
      </c>
      <c r="L58" s="58" t="e">
        <f t="shared" ca="1" si="25"/>
        <v>#N/A</v>
      </c>
      <c r="M58" s="58" t="e">
        <f t="shared" ca="1" si="25"/>
        <v>#N/A</v>
      </c>
      <c r="N58" s="58" t="e">
        <f t="shared" ca="1" si="25"/>
        <v>#N/A</v>
      </c>
      <c r="O58" s="60"/>
      <c r="P58" s="65">
        <f t="shared" si="7"/>
        <v>44246</v>
      </c>
      <c r="Q58" s="66">
        <f>VLOOKUP($B58,'Stats 2020'!$D$25:$J$200,MATCH(Graphs!Q$1,'Stats 2020'!$D$18:$J$18,0),0)</f>
        <v>1</v>
      </c>
      <c r="R58" s="66">
        <f>VLOOKUP($B58,'Stats 2020'!$D$25:$J$200,MATCH(Graphs!R$1,'Stats 2020'!$D$18:$J$18,0),0)</f>
        <v>1</v>
      </c>
      <c r="S58" s="66">
        <f>VLOOKUP($B58,'Stats 2020'!$D$25:$J$200,MATCH(Graphs!S$1,'Stats 2020'!$D$18:$J$18,0),0)</f>
        <v>0</v>
      </c>
      <c r="T58" s="66" t="str">
        <f>VLOOKUP($B58,'Stats 2020'!$D$25:$J$200,MATCH(Graphs!T$1,'Stats 2020'!$D$18:$J$18,0),0)</f>
        <v/>
      </c>
      <c r="U58" s="66">
        <f>VLOOKUP($B58,'Stats 2020'!$D$25:$J$200,MATCH(Graphs!U$1,'Stats 2020'!$D$18:$J$18,0),0)</f>
        <v>0</v>
      </c>
      <c r="V58" s="66">
        <f>VLOOKUP($B58,'Stats 2020'!$D$25:$J$200,MATCH(Graphs!V$1,'Stats 2020'!$D$18:$J$18,0),0)</f>
        <v>1</v>
      </c>
      <c r="W58" s="66"/>
      <c r="X58" s="65">
        <f>B58</f>
        <v>44246</v>
      </c>
      <c r="Y58" s="69">
        <f>SUM(Q$2:Q58)/COUNTA($P$2:$P58)</f>
        <v>0.77192982456140347</v>
      </c>
      <c r="Z58" s="69">
        <f>SUM(R$2:R58)/COUNTA($P$2:$P58)</f>
        <v>0.2807017543859649</v>
      </c>
      <c r="AA58" s="69">
        <f>SUM(S$2:S58)/COUNTA($P$2:$P58)</f>
        <v>0.75438596491228072</v>
      </c>
      <c r="AB58" s="69">
        <f>SUM(T$2:T58)/COUNTA($P$2:$P58)</f>
        <v>0.33333333333333331</v>
      </c>
      <c r="AC58" s="69">
        <f>SUM(U$2:U58)/COUNTA($P$2:$P58)</f>
        <v>0.75438596491228072</v>
      </c>
      <c r="AD58" s="69">
        <f>SUM(V$2:V58)/COUNTA($P$2:$P58)</f>
        <v>0.8771929824561403</v>
      </c>
      <c r="AE58" s="70">
        <f t="shared" si="24"/>
        <v>0.62865497076023391</v>
      </c>
      <c r="AF58" s="58" t="e">
        <f t="shared" ca="1" si="26"/>
        <v>#N/A</v>
      </c>
      <c r="AG58" s="58" t="e">
        <f t="shared" ca="1" si="26"/>
        <v>#N/A</v>
      </c>
      <c r="AH58" s="58" t="e">
        <f t="shared" ca="1" si="26"/>
        <v>#N/A</v>
      </c>
      <c r="AI58" s="58" t="e">
        <f t="shared" ca="1" si="26"/>
        <v>#N/A</v>
      </c>
      <c r="AJ58" s="58" t="e">
        <f t="shared" ca="1" si="26"/>
        <v>#N/A</v>
      </c>
      <c r="AK58" s="58" t="e">
        <f t="shared" ca="1" si="26"/>
        <v>#N/A</v>
      </c>
      <c r="AL58" s="58" t="e">
        <f t="shared" ca="1" si="26"/>
        <v>#N/A</v>
      </c>
      <c r="AP58" s="66"/>
    </row>
    <row r="59" spans="1:42" ht="24.75" customHeight="1">
      <c r="A59" s="74" t="e">
        <f t="shared" ca="1" si="11"/>
        <v>#N/A</v>
      </c>
      <c r="B59" s="56">
        <f t="shared" si="10"/>
        <v>44253</v>
      </c>
      <c r="C59" s="59">
        <f ca="1">IF($B59&lt;=TODAY(),SUMIF('Stats 2020'!$M$24:$M$1048576,"&lt;="&amp;Graphs!$B59,'Stats 2020'!O$24:O$1048576),NA())</f>
        <v>201.25</v>
      </c>
      <c r="D59" s="59">
        <f t="shared" ca="1" si="12"/>
        <v>228.75</v>
      </c>
      <c r="E59" s="59">
        <f ca="1">IF($B59&lt;=TODAY(),SUMIF('Stats 2020'!$M$24:$M$1048576,"&lt;="&amp;Graphs!$B59,'Stats 2020'!Q$24:Q$1048576),NA())</f>
        <v>171</v>
      </c>
      <c r="F59" s="59">
        <f t="shared" ca="1" si="13"/>
        <v>228.75</v>
      </c>
      <c r="G59" s="59">
        <f ca="1">IF($B59&lt;=TODAY(),SUMIF('Stats 2020'!$M$24:$M$1048576,"&lt;="&amp;Graphs!$B59,'Stats 2020'!S$24:S$1048576),NA())</f>
        <v>176.5</v>
      </c>
      <c r="H59" s="59">
        <f ca="1">IF($B59&lt;=TODAY(),SUMIF('Stats 2020'!$M$24:$M$1048576,"&lt;="&amp;Graphs!$B59,'Stats 2020'!T$24:T$1048576),NA())</f>
        <v>112.75</v>
      </c>
      <c r="I59" s="58" t="e">
        <f t="shared" ca="1" si="25"/>
        <v>#N/A</v>
      </c>
      <c r="J59" s="58" t="e">
        <f t="shared" ca="1" si="25"/>
        <v>#N/A</v>
      </c>
      <c r="K59" s="58" t="e">
        <f t="shared" ca="1" si="25"/>
        <v>#N/A</v>
      </c>
      <c r="L59" s="58" t="e">
        <f t="shared" ca="1" si="25"/>
        <v>#N/A</v>
      </c>
      <c r="M59" s="58" t="e">
        <f t="shared" ca="1" si="25"/>
        <v>#N/A</v>
      </c>
      <c r="N59" s="58" t="e">
        <f t="shared" ca="1" si="25"/>
        <v>#N/A</v>
      </c>
      <c r="O59" s="60"/>
      <c r="P59" s="65">
        <f t="shared" ref="P59" si="27">B59</f>
        <v>44253</v>
      </c>
      <c r="Q59" s="66">
        <f>VLOOKUP($B59,'Stats 2020'!$D$25:$J$200,MATCH(Graphs!Q$1,'Stats 2020'!$D$18:$J$18,0),0)</f>
        <v>1</v>
      </c>
      <c r="R59" s="66">
        <f>VLOOKUP($B59,'Stats 2020'!$D$25:$J$200,MATCH(Graphs!R$1,'Stats 2020'!$D$18:$J$18,0),0)</f>
        <v>1</v>
      </c>
      <c r="S59" s="66">
        <f>VLOOKUP($B59,'Stats 2020'!$D$25:$J$200,MATCH(Graphs!S$1,'Stats 2020'!$D$18:$J$18,0),0)</f>
        <v>1</v>
      </c>
      <c r="T59" s="66">
        <f>VLOOKUP($B59,'Stats 2020'!$D$25:$J$200,MATCH(Graphs!T$1,'Stats 2020'!$D$18:$J$18,0),0)</f>
        <v>1</v>
      </c>
      <c r="U59" s="66">
        <f>VLOOKUP($B59,'Stats 2020'!$D$25:$J$200,MATCH(Graphs!U$1,'Stats 2020'!$D$18:$J$18,0),0)</f>
        <v>1</v>
      </c>
      <c r="V59" s="66">
        <f>VLOOKUP($B59,'Stats 2020'!$D$25:$J$200,MATCH(Graphs!V$1,'Stats 2020'!$D$18:$J$18,0),0)</f>
        <v>0</v>
      </c>
      <c r="W59" s="66"/>
      <c r="X59" s="65">
        <f>B59</f>
        <v>44253</v>
      </c>
      <c r="Y59" s="69">
        <f>SUM(Q$2:Q58)/COUNTA($P$2:$P58)</f>
        <v>0.77192982456140347</v>
      </c>
      <c r="Z59" s="69">
        <f>SUM(R$2:R58)/COUNTA($P$2:$P58)</f>
        <v>0.2807017543859649</v>
      </c>
      <c r="AA59" s="69">
        <f>SUM(S$2:S58)/COUNTA($P$2:$P58)</f>
        <v>0.75438596491228072</v>
      </c>
      <c r="AB59" s="69">
        <f>SUM(T$2:T58)/COUNTA($P$2:$P58)</f>
        <v>0.33333333333333331</v>
      </c>
      <c r="AC59" s="69">
        <f>SUM(U$2:U58)/COUNTA($P$2:$P58)</f>
        <v>0.75438596491228072</v>
      </c>
      <c r="AD59" s="69">
        <f>SUM(V$2:V58)/COUNTA($P$2:$P58)</f>
        <v>0.8771929824561403</v>
      </c>
      <c r="AE59" s="70">
        <f t="shared" si="24"/>
        <v>0.62865497076023391</v>
      </c>
      <c r="AF59" s="58" t="e">
        <f t="shared" ca="1" si="26"/>
        <v>#N/A</v>
      </c>
      <c r="AG59" s="58" t="e">
        <f t="shared" ca="1" si="26"/>
        <v>#N/A</v>
      </c>
      <c r="AH59" s="58" t="e">
        <f t="shared" ca="1" si="26"/>
        <v>#N/A</v>
      </c>
      <c r="AI59" s="58" t="e">
        <f t="shared" ca="1" si="26"/>
        <v>#N/A</v>
      </c>
      <c r="AJ59" s="58" t="e">
        <f t="shared" ca="1" si="26"/>
        <v>#N/A</v>
      </c>
      <c r="AK59" s="58" t="e">
        <f t="shared" ca="1" si="26"/>
        <v>#N/A</v>
      </c>
      <c r="AL59" s="58" t="e">
        <f t="shared" ca="1" si="26"/>
        <v>#N/A</v>
      </c>
      <c r="AP59" s="66"/>
    </row>
    <row r="60" spans="1:42" ht="24.75" customHeight="1">
      <c r="A60" s="74" t="e">
        <f t="shared" ref="A60:A78" ca="1" si="28">IF(AND((TODAY()-B60)&lt;7,(TODAY()-B60&gt;=0)),B60,NA())</f>
        <v>#N/A</v>
      </c>
      <c r="B60" s="56">
        <f t="shared" si="10"/>
        <v>44260</v>
      </c>
      <c r="C60" s="59">
        <f ca="1">IF($B60&lt;=TODAY(),SUMIF('Stats 2020'!$M$24:$M$1048576,"&lt;="&amp;Graphs!$B60,'Stats 2020'!O$24:O$1048576),NA())</f>
        <v>212.25</v>
      </c>
      <c r="D60" s="59">
        <f t="shared" ca="1" si="12"/>
        <v>239.75</v>
      </c>
      <c r="E60" s="59">
        <f ca="1">IF($B60&lt;=TODAY(),SUMIF('Stats 2020'!$M$24:$M$1048576,"&lt;="&amp;Graphs!$B60,'Stats 2020'!Q$24:Q$1048576),NA())</f>
        <v>171</v>
      </c>
      <c r="F60" s="59">
        <f t="shared" ca="1" si="13"/>
        <v>239.75</v>
      </c>
      <c r="G60" s="59">
        <f ca="1">IF($B60&lt;=TODAY(),SUMIF('Stats 2020'!$M$24:$M$1048576,"&lt;="&amp;Graphs!$B60,'Stats 2020'!S$24:S$1048576),NA())</f>
        <v>176.5</v>
      </c>
      <c r="H60" s="59">
        <f ca="1">IF($B60&lt;=TODAY(),SUMIF('Stats 2020'!$M$24:$M$1048576,"&lt;="&amp;Graphs!$B60,'Stats 2020'!T$24:T$1048576),NA())</f>
        <v>112.75</v>
      </c>
      <c r="I60" s="58" t="e">
        <f t="shared" ca="1" si="25"/>
        <v>#N/A</v>
      </c>
      <c r="J60" s="58" t="e">
        <f t="shared" ca="1" si="25"/>
        <v>#N/A</v>
      </c>
      <c r="K60" s="58" t="e">
        <f t="shared" ca="1" si="25"/>
        <v>#N/A</v>
      </c>
      <c r="L60" s="58" t="e">
        <f t="shared" ca="1" si="25"/>
        <v>#N/A</v>
      </c>
      <c r="M60" s="58" t="e">
        <f t="shared" ca="1" si="25"/>
        <v>#N/A</v>
      </c>
      <c r="N60" s="58" t="e">
        <f t="shared" ca="1" si="25"/>
        <v>#N/A</v>
      </c>
      <c r="O60" s="60"/>
      <c r="P60" s="65">
        <f t="shared" ref="P60" si="29">B61</f>
        <v>44267</v>
      </c>
      <c r="Q60" s="66">
        <f>VLOOKUP($B60,'Stats 2020'!$D$25:$J$200,MATCH(Graphs!Q$1,'Stats 2020'!$D$18:$J$18,0),0)</f>
        <v>0</v>
      </c>
      <c r="R60" s="66">
        <f>VLOOKUP($B60,'Stats 2020'!$D$25:$J$200,MATCH(Graphs!R$1,'Stats 2020'!$D$18:$J$18,0),0)</f>
        <v>1</v>
      </c>
      <c r="S60" s="66">
        <f>VLOOKUP($B60,'Stats 2020'!$D$25:$J$200,MATCH(Graphs!S$1,'Stats 2020'!$D$18:$J$18,0),0)</f>
        <v>1</v>
      </c>
      <c r="T60" s="66" t="str">
        <f>VLOOKUP($B60,'Stats 2020'!$D$25:$J$200,MATCH(Graphs!T$1,'Stats 2020'!$D$18:$J$18,0),0)</f>
        <v/>
      </c>
      <c r="U60" s="66">
        <f>VLOOKUP($B60,'Stats 2020'!$D$25:$J$200,MATCH(Graphs!U$1,'Stats 2020'!$D$18:$J$18,0),0)</f>
        <v>1</v>
      </c>
      <c r="V60" s="66">
        <f>VLOOKUP($B60,'Stats 2020'!$D$25:$J$200,MATCH(Graphs!V$1,'Stats 2020'!$D$18:$J$18,0),0)</f>
        <v>1</v>
      </c>
      <c r="W60" s="66"/>
      <c r="X60" s="65">
        <f t="shared" ref="X60:X78" si="30">B60</f>
        <v>44260</v>
      </c>
      <c r="Y60" s="69">
        <f>SUM(Q$2:Q60)/COUNTA($P$2:$P60)</f>
        <v>0.76271186440677963</v>
      </c>
      <c r="Z60" s="69">
        <f>SUM(R$2:R60)/COUNTA($P$2:$P60)</f>
        <v>0.30508474576271188</v>
      </c>
      <c r="AA60" s="69">
        <f>SUM(S$2:S60)/COUNTA($P$2:$P60)</f>
        <v>0.76271186440677963</v>
      </c>
      <c r="AB60" s="69">
        <f>SUM(T$2:T60)/COUNTA($P$2:$P60)</f>
        <v>0.33898305084745761</v>
      </c>
      <c r="AC60" s="69">
        <f>SUM(U$2:U60)/COUNTA($P$2:$P60)</f>
        <v>0.76271186440677963</v>
      </c>
      <c r="AD60" s="69">
        <f>SUM(V$2:V60)/COUNTA($P$2:$P60)</f>
        <v>0.86440677966101698</v>
      </c>
      <c r="AE60" s="70">
        <f t="shared" si="24"/>
        <v>0.63276836158192096</v>
      </c>
      <c r="AF60" s="58" t="e">
        <f t="shared" ca="1" si="26"/>
        <v>#N/A</v>
      </c>
      <c r="AG60" s="58" t="e">
        <f t="shared" ca="1" si="26"/>
        <v>#N/A</v>
      </c>
      <c r="AH60" s="58" t="e">
        <f t="shared" ca="1" si="26"/>
        <v>#N/A</v>
      </c>
      <c r="AI60" s="58" t="e">
        <f t="shared" ca="1" si="26"/>
        <v>#N/A</v>
      </c>
      <c r="AJ60" s="58" t="e">
        <f t="shared" ca="1" si="26"/>
        <v>#N/A</v>
      </c>
      <c r="AK60" s="58" t="e">
        <f t="shared" ca="1" si="26"/>
        <v>#N/A</v>
      </c>
      <c r="AL60" s="58" t="e">
        <f t="shared" ca="1" si="26"/>
        <v>#N/A</v>
      </c>
      <c r="AP60" s="66"/>
    </row>
    <row r="61" spans="1:42" ht="24.75" customHeight="1">
      <c r="A61" s="74" t="e">
        <f t="shared" ca="1" si="28"/>
        <v>#N/A</v>
      </c>
      <c r="B61" s="56">
        <f t="shared" si="10"/>
        <v>44267</v>
      </c>
      <c r="C61" s="59">
        <f ca="1">IF($B61&lt;=TODAY(),SUMIF('Stats 2020'!$M$24:$M$1048576,"&lt;="&amp;Graphs!$B61,'Stats 2020'!O$24:O$1048576),NA())</f>
        <v>212.25</v>
      </c>
      <c r="D61" s="59">
        <f t="shared" ca="1" si="12"/>
        <v>239.75</v>
      </c>
      <c r="E61" s="59">
        <f ca="1">IF($B61&lt;=TODAY(),SUMIF('Stats 2020'!$M$24:$M$1048576,"&lt;="&amp;Graphs!$B61,'Stats 2020'!Q$24:Q$1048576),NA())</f>
        <v>171</v>
      </c>
      <c r="F61" s="59">
        <f t="shared" ca="1" si="13"/>
        <v>239.75</v>
      </c>
      <c r="G61" s="59">
        <f ca="1">IF($B61&lt;=TODAY(),SUMIF('Stats 2020'!$M$24:$M$1048576,"&lt;="&amp;Graphs!$B61,'Stats 2020'!S$24:S$1048576),NA())</f>
        <v>176.5</v>
      </c>
      <c r="H61" s="59">
        <f ca="1">IF($B61&lt;=TODAY(),SUMIF('Stats 2020'!$M$24:$M$1048576,"&lt;="&amp;Graphs!$B61,'Stats 2020'!T$24:T$1048576),NA())</f>
        <v>112.75</v>
      </c>
      <c r="I61" s="58" t="e">
        <f t="shared" ca="1" si="25"/>
        <v>#N/A</v>
      </c>
      <c r="J61" s="58" t="e">
        <f t="shared" ca="1" si="25"/>
        <v>#N/A</v>
      </c>
      <c r="K61" s="58" t="e">
        <f t="shared" ca="1" si="25"/>
        <v>#N/A</v>
      </c>
      <c r="L61" s="58" t="e">
        <f t="shared" ca="1" si="25"/>
        <v>#N/A</v>
      </c>
      <c r="M61" s="58" t="e">
        <f t="shared" ca="1" si="25"/>
        <v>#N/A</v>
      </c>
      <c r="N61" s="58" t="e">
        <f t="shared" ca="1" si="25"/>
        <v>#N/A</v>
      </c>
      <c r="O61" s="60"/>
      <c r="Q61" s="66">
        <f>VLOOKUP($B61,'Stats 2020'!$D$25:$J$200,MATCH(Graphs!Q$1,'Stats 2020'!$D$18:$J$18,0),0)</f>
        <v>1</v>
      </c>
      <c r="R61" s="66">
        <f>VLOOKUP($B61,'Stats 2020'!$D$25:$J$200,MATCH(Graphs!R$1,'Stats 2020'!$D$18:$J$18,0),0)</f>
        <v>1</v>
      </c>
      <c r="S61" s="66">
        <f>VLOOKUP($B61,'Stats 2020'!$D$25:$J$200,MATCH(Graphs!S$1,'Stats 2020'!$D$18:$J$18,0),0)</f>
        <v>1</v>
      </c>
      <c r="T61" s="66">
        <f>VLOOKUP($B61,'Stats 2020'!$D$25:$J$200,MATCH(Graphs!T$1,'Stats 2020'!$D$18:$J$18,0),0)</f>
        <v>1</v>
      </c>
      <c r="U61" s="66">
        <f>VLOOKUP($B61,'Stats 2020'!$D$25:$J$200,MATCH(Graphs!U$1,'Stats 2020'!$D$18:$J$18,0),0)</f>
        <v>1</v>
      </c>
      <c r="V61" s="66">
        <f>VLOOKUP($B61,'Stats 2020'!$D$25:$J$200,MATCH(Graphs!V$1,'Stats 2020'!$D$18:$J$18,0),0)</f>
        <v>1</v>
      </c>
      <c r="W61" s="66"/>
      <c r="X61" s="65">
        <f t="shared" si="30"/>
        <v>44267</v>
      </c>
      <c r="Y61" s="69">
        <f>SUM(Q$2:Q60)/COUNTA($P$2:$P60)</f>
        <v>0.76271186440677963</v>
      </c>
      <c r="Z61" s="69">
        <f>SUM(R$2:R60)/COUNTA($P$2:$P60)</f>
        <v>0.30508474576271188</v>
      </c>
      <c r="AA61" s="69">
        <f>SUM(S$2:S60)/COUNTA($P$2:$P60)</f>
        <v>0.76271186440677963</v>
      </c>
      <c r="AB61" s="69">
        <f>SUM(T$2:T60)/COUNTA($P$2:$P60)</f>
        <v>0.33898305084745761</v>
      </c>
      <c r="AC61" s="69">
        <f>SUM(U$2:U60)/COUNTA($P$2:$P60)</f>
        <v>0.76271186440677963</v>
      </c>
      <c r="AD61" s="69">
        <f>SUM(V$2:V60)/COUNTA($P$2:$P60)</f>
        <v>0.86440677966101698</v>
      </c>
      <c r="AE61" s="70">
        <f t="shared" si="24"/>
        <v>0.63276836158192096</v>
      </c>
      <c r="AF61" s="58" t="e">
        <f t="shared" ca="1" si="26"/>
        <v>#N/A</v>
      </c>
      <c r="AG61" s="58" t="e">
        <f t="shared" ca="1" si="26"/>
        <v>#N/A</v>
      </c>
      <c r="AH61" s="58" t="e">
        <f t="shared" ca="1" si="26"/>
        <v>#N/A</v>
      </c>
      <c r="AI61" s="58" t="e">
        <f t="shared" ca="1" si="26"/>
        <v>#N/A</v>
      </c>
      <c r="AJ61" s="58" t="e">
        <f t="shared" ca="1" si="26"/>
        <v>#N/A</v>
      </c>
      <c r="AK61" s="58" t="e">
        <f t="shared" ca="1" si="26"/>
        <v>#N/A</v>
      </c>
      <c r="AL61" s="58" t="e">
        <f t="shared" ca="1" si="26"/>
        <v>#N/A</v>
      </c>
      <c r="AP61" s="66"/>
    </row>
    <row r="62" spans="1:42" ht="24.75" customHeight="1">
      <c r="A62" s="74" t="e">
        <f t="shared" ca="1" si="28"/>
        <v>#N/A</v>
      </c>
      <c r="B62" s="56">
        <f t="shared" si="10"/>
        <v>44274</v>
      </c>
      <c r="C62" s="59">
        <f ca="1">IF($B62&lt;=TODAY(),SUMIF('Stats 2020'!$M$24:$M$1048576,"&lt;="&amp;Graphs!$B62,'Stats 2020'!O$24:O$1048576),NA())</f>
        <v>212.25</v>
      </c>
      <c r="D62" s="59">
        <f t="shared" ca="1" si="12"/>
        <v>239.75</v>
      </c>
      <c r="E62" s="59">
        <f ca="1">IF($B62&lt;=TODAY(),SUMIF('Stats 2020'!$M$24:$M$1048576,"&lt;="&amp;Graphs!$B62,'Stats 2020'!Q$24:Q$1048576),NA())</f>
        <v>171</v>
      </c>
      <c r="F62" s="59">
        <f t="shared" ca="1" si="13"/>
        <v>239.75</v>
      </c>
      <c r="G62" s="59">
        <f ca="1">IF($B62&lt;=TODAY(),SUMIF('Stats 2020'!$M$24:$M$1048576,"&lt;="&amp;Graphs!$B62,'Stats 2020'!S$24:S$1048576),NA())</f>
        <v>176.5</v>
      </c>
      <c r="H62" s="59">
        <f ca="1">IF($B62&lt;=TODAY(),SUMIF('Stats 2020'!$M$24:$M$1048576,"&lt;="&amp;Graphs!$B62,'Stats 2020'!T$24:T$1048576),NA())</f>
        <v>112.75</v>
      </c>
      <c r="I62" s="58" t="e">
        <f t="shared" ca="1" si="25"/>
        <v>#N/A</v>
      </c>
      <c r="J62" s="58" t="e">
        <f t="shared" ca="1" si="25"/>
        <v>#N/A</v>
      </c>
      <c r="K62" s="58" t="e">
        <f t="shared" ca="1" si="25"/>
        <v>#N/A</v>
      </c>
      <c r="L62" s="58" t="e">
        <f t="shared" ca="1" si="25"/>
        <v>#N/A</v>
      </c>
      <c r="M62" s="58" t="e">
        <f t="shared" ca="1" si="25"/>
        <v>#N/A</v>
      </c>
      <c r="N62" s="58" t="e">
        <f t="shared" ca="1" si="25"/>
        <v>#N/A</v>
      </c>
      <c r="O62" s="60"/>
      <c r="P62" s="65">
        <f t="shared" ref="P62:P63" si="31">B63</f>
        <v>44281</v>
      </c>
      <c r="Q62" s="66">
        <f>VLOOKUP($B62,'Stats 2020'!$D$25:$J$200,MATCH(Graphs!Q$1,'Stats 2020'!$D$18:$J$18,0),0)</f>
        <v>1</v>
      </c>
      <c r="R62" s="66" t="str">
        <f>VLOOKUP($B62,'Stats 2020'!$D$25:$J$200,MATCH(Graphs!R$1,'Stats 2020'!$D$18:$J$18,0),0)</f>
        <v/>
      </c>
      <c r="S62" s="66">
        <f>VLOOKUP($B62,'Stats 2020'!$D$25:$J$200,MATCH(Graphs!S$1,'Stats 2020'!$D$18:$J$18,0),0)</f>
        <v>1</v>
      </c>
      <c r="T62" s="66">
        <f>VLOOKUP($B62,'Stats 2020'!$D$25:$J$200,MATCH(Graphs!T$1,'Stats 2020'!$D$18:$J$18,0),0)</f>
        <v>1</v>
      </c>
      <c r="U62" s="66">
        <f>VLOOKUP($B62,'Stats 2020'!$D$25:$J$200,MATCH(Graphs!U$1,'Stats 2020'!$D$18:$J$18,0),0)</f>
        <v>1</v>
      </c>
      <c r="V62" s="66">
        <f>VLOOKUP($B62,'Stats 2020'!$D$25:$J$200,MATCH(Graphs!V$1,'Stats 2020'!$D$18:$J$18,0),0)</f>
        <v>1</v>
      </c>
      <c r="W62" s="66"/>
      <c r="X62" s="65">
        <f t="shared" si="30"/>
        <v>44274</v>
      </c>
      <c r="Y62" s="69">
        <f>SUM(Q$2:Q62)/COUNTA($P$2:$P62)</f>
        <v>0.78333333333333333</v>
      </c>
      <c r="Z62" s="69">
        <f>SUM(R$2:R62)/COUNTA($P$2:$P62)</f>
        <v>0.31666666666666665</v>
      </c>
      <c r="AA62" s="69">
        <f>SUM(S$2:S62)/COUNTA($P$2:$P62)</f>
        <v>0.78333333333333333</v>
      </c>
      <c r="AB62" s="69">
        <f>SUM(T$2:T62)/COUNTA($P$2:$P62)</f>
        <v>0.36666666666666664</v>
      </c>
      <c r="AC62" s="69">
        <f>SUM(U$2:U62)/COUNTA($P$2:$P62)</f>
        <v>0.78333333333333333</v>
      </c>
      <c r="AD62" s="69">
        <f>SUM(V$2:V62)/COUNTA($P$2:$P62)</f>
        <v>0.8833333333333333</v>
      </c>
      <c r="AE62" s="70">
        <f t="shared" si="24"/>
        <v>0.65277777777777779</v>
      </c>
      <c r="AF62" s="58" t="e">
        <f t="shared" ca="1" si="26"/>
        <v>#N/A</v>
      </c>
      <c r="AG62" s="58" t="e">
        <f t="shared" ca="1" si="26"/>
        <v>#N/A</v>
      </c>
      <c r="AH62" s="58" t="e">
        <f t="shared" ca="1" si="26"/>
        <v>#N/A</v>
      </c>
      <c r="AI62" s="58" t="e">
        <f t="shared" ca="1" si="26"/>
        <v>#N/A</v>
      </c>
      <c r="AJ62" s="58" t="e">
        <f t="shared" ca="1" si="26"/>
        <v>#N/A</v>
      </c>
      <c r="AK62" s="58" t="e">
        <f t="shared" ca="1" si="26"/>
        <v>#N/A</v>
      </c>
      <c r="AL62" s="58" t="e">
        <f t="shared" ca="1" si="26"/>
        <v>#N/A</v>
      </c>
      <c r="AP62" s="66"/>
    </row>
    <row r="63" spans="1:42" ht="24.75" customHeight="1">
      <c r="A63" s="74" t="e">
        <f t="shared" ca="1" si="28"/>
        <v>#N/A</v>
      </c>
      <c r="B63" s="56">
        <f t="shared" si="10"/>
        <v>44281</v>
      </c>
      <c r="C63" s="59">
        <f ca="1">IF($B63&lt;=TODAY(),SUMIF('Stats 2020'!$M$24:$M$1048576,"&lt;="&amp;Graphs!$B63,'Stats 2020'!O$24:O$1048576),NA())</f>
        <v>212.25</v>
      </c>
      <c r="D63" s="59">
        <f t="shared" ca="1" si="12"/>
        <v>239.75</v>
      </c>
      <c r="E63" s="59">
        <f ca="1">IF($B63&lt;=TODAY(),SUMIF('Stats 2020'!$M$24:$M$1048576,"&lt;="&amp;Graphs!$B63,'Stats 2020'!Q$24:Q$1048576),NA())</f>
        <v>171</v>
      </c>
      <c r="F63" s="59">
        <f t="shared" ca="1" si="13"/>
        <v>239.75</v>
      </c>
      <c r="G63" s="59">
        <f ca="1">IF($B63&lt;=TODAY(),SUMIF('Stats 2020'!$M$24:$M$1048576,"&lt;="&amp;Graphs!$B63,'Stats 2020'!S$24:S$1048576),NA())</f>
        <v>176.5</v>
      </c>
      <c r="H63" s="59">
        <f ca="1">IF($B63&lt;=TODAY(),SUMIF('Stats 2020'!$M$24:$M$1048576,"&lt;="&amp;Graphs!$B63,'Stats 2020'!T$24:T$1048576),NA())</f>
        <v>123.75</v>
      </c>
      <c r="I63" s="58" t="e">
        <f t="shared" ca="1" si="25"/>
        <v>#N/A</v>
      </c>
      <c r="J63" s="58" t="e">
        <f t="shared" ca="1" si="25"/>
        <v>#N/A</v>
      </c>
      <c r="K63" s="58" t="e">
        <f t="shared" ca="1" si="25"/>
        <v>#N/A</v>
      </c>
      <c r="L63" s="58" t="e">
        <f t="shared" ca="1" si="25"/>
        <v>#N/A</v>
      </c>
      <c r="M63" s="58" t="e">
        <f t="shared" ca="1" si="25"/>
        <v>#N/A</v>
      </c>
      <c r="N63" s="58" t="e">
        <f t="shared" ca="1" si="25"/>
        <v>#N/A</v>
      </c>
      <c r="O63" s="60"/>
      <c r="P63" s="65">
        <f t="shared" si="31"/>
        <v>44288</v>
      </c>
      <c r="Q63" s="66">
        <f>VLOOKUP($B63,'Stats 2020'!$D$25:$J$200,MATCH(Graphs!Q$1,'Stats 2020'!$D$18:$J$18,0),0)</f>
        <v>1</v>
      </c>
      <c r="R63" s="66">
        <f>VLOOKUP($B63,'Stats 2020'!$D$25:$J$200,MATCH(Graphs!R$1,'Stats 2020'!$D$18:$J$18,0),0)</f>
        <v>1</v>
      </c>
      <c r="S63" s="66">
        <f>VLOOKUP($B63,'Stats 2020'!$D$25:$J$200,MATCH(Graphs!S$1,'Stats 2020'!$D$18:$J$18,0),0)</f>
        <v>1</v>
      </c>
      <c r="T63" s="66" t="str">
        <f>VLOOKUP($B63,'Stats 2020'!$D$25:$J$200,MATCH(Graphs!T$1,'Stats 2020'!$D$18:$J$18,0),0)</f>
        <v/>
      </c>
      <c r="U63" s="66">
        <f>VLOOKUP($B63,'Stats 2020'!$D$25:$J$200,MATCH(Graphs!U$1,'Stats 2020'!$D$18:$J$18,0),0)</f>
        <v>1</v>
      </c>
      <c r="V63" s="66">
        <f>VLOOKUP($B63,'Stats 2020'!$D$25:$J$200,MATCH(Graphs!V$1,'Stats 2020'!$D$18:$J$18,0),0)</f>
        <v>0</v>
      </c>
      <c r="W63" s="66"/>
      <c r="X63" s="65">
        <f t="shared" si="30"/>
        <v>44281</v>
      </c>
      <c r="Y63" s="69">
        <f>SUM(Q$2:Q62)/COUNTA($P$2:$P62)</f>
        <v>0.78333333333333333</v>
      </c>
      <c r="Z63" s="69">
        <f>SUM(R$2:R62)/COUNTA($P$2:$P62)</f>
        <v>0.31666666666666665</v>
      </c>
      <c r="AA63" s="69">
        <f>SUM(S$2:S62)/COUNTA($P$2:$P62)</f>
        <v>0.78333333333333333</v>
      </c>
      <c r="AB63" s="69">
        <f>SUM(T$2:T62)/COUNTA($P$2:$P62)</f>
        <v>0.36666666666666664</v>
      </c>
      <c r="AC63" s="69">
        <f>SUM(U$2:U62)/COUNTA($P$2:$P62)</f>
        <v>0.78333333333333333</v>
      </c>
      <c r="AD63" s="69">
        <f>SUM(V$2:V62)/COUNTA($P$2:$P62)</f>
        <v>0.8833333333333333</v>
      </c>
      <c r="AE63" s="70">
        <f t="shared" si="24"/>
        <v>0.65277777777777779</v>
      </c>
      <c r="AF63" s="58" t="e">
        <f t="shared" ca="1" si="26"/>
        <v>#N/A</v>
      </c>
      <c r="AG63" s="58" t="e">
        <f t="shared" ca="1" si="26"/>
        <v>#N/A</v>
      </c>
      <c r="AH63" s="58" t="e">
        <f t="shared" ca="1" si="26"/>
        <v>#N/A</v>
      </c>
      <c r="AI63" s="58" t="e">
        <f t="shared" ca="1" si="26"/>
        <v>#N/A</v>
      </c>
      <c r="AJ63" s="58" t="e">
        <f t="shared" ca="1" si="26"/>
        <v>#N/A</v>
      </c>
      <c r="AK63" s="58" t="e">
        <f t="shared" ca="1" si="26"/>
        <v>#N/A</v>
      </c>
      <c r="AL63" s="58" t="e">
        <f t="shared" ca="1" si="26"/>
        <v>#N/A</v>
      </c>
      <c r="AP63" s="66"/>
    </row>
    <row r="64" spans="1:42" ht="24.75" customHeight="1">
      <c r="A64" s="74" t="e">
        <f t="shared" ca="1" si="28"/>
        <v>#N/A</v>
      </c>
      <c r="B64" s="56">
        <f t="shared" si="10"/>
        <v>44288</v>
      </c>
      <c r="C64" s="59">
        <f ca="1">IF($B64&lt;=TODAY(),SUMIF('Stats 2020'!$M$24:$M$1048576,"&lt;="&amp;Graphs!$B64,'Stats 2020'!O$24:O$1048576),NA())</f>
        <v>212.25</v>
      </c>
      <c r="D64" s="59">
        <f t="shared" ca="1" si="12"/>
        <v>239.75</v>
      </c>
      <c r="E64" s="59">
        <f ca="1">IF($B64&lt;=TODAY(),SUMIF('Stats 2020'!$M$24:$M$1048576,"&lt;="&amp;Graphs!$B64,'Stats 2020'!Q$24:Q$1048576),NA())</f>
        <v>171</v>
      </c>
      <c r="F64" s="59">
        <f t="shared" ca="1" si="13"/>
        <v>239.75</v>
      </c>
      <c r="G64" s="59">
        <f ca="1">IF($B64&lt;=TODAY(),SUMIF('Stats 2020'!$M$24:$M$1048576,"&lt;="&amp;Graphs!$B64,'Stats 2020'!S$24:S$1048576),NA())</f>
        <v>176.5</v>
      </c>
      <c r="H64" s="59">
        <f ca="1">IF($B64&lt;=TODAY(),SUMIF('Stats 2020'!$M$24:$M$1048576,"&lt;="&amp;Graphs!$B64,'Stats 2020'!T$24:T$1048576),NA())</f>
        <v>123.75</v>
      </c>
      <c r="I64" s="58" t="e">
        <f t="shared" ca="1" si="25"/>
        <v>#N/A</v>
      </c>
      <c r="J64" s="58" t="e">
        <f t="shared" ca="1" si="25"/>
        <v>#N/A</v>
      </c>
      <c r="K64" s="58" t="e">
        <f t="shared" ca="1" si="25"/>
        <v>#N/A</v>
      </c>
      <c r="L64" s="58" t="e">
        <f t="shared" ca="1" si="25"/>
        <v>#N/A</v>
      </c>
      <c r="M64" s="58" t="e">
        <f t="shared" ca="1" si="25"/>
        <v>#N/A</v>
      </c>
      <c r="N64" s="58" t="e">
        <f t="shared" ca="1" si="25"/>
        <v>#N/A</v>
      </c>
      <c r="O64" s="60"/>
      <c r="Q64" s="66"/>
      <c r="R64" s="66"/>
      <c r="S64" s="66"/>
      <c r="T64" s="66"/>
      <c r="U64" s="66"/>
      <c r="V64" s="66"/>
      <c r="W64" s="66"/>
      <c r="X64" s="65">
        <f t="shared" si="30"/>
        <v>44288</v>
      </c>
      <c r="Y64" s="69">
        <f>SUM(Q$2:Q64)/COUNTA($P$2:$P64)</f>
        <v>0.78688524590163933</v>
      </c>
      <c r="Z64" s="69">
        <f>SUM(R$2:R64)/COUNTA($P$2:$P64)</f>
        <v>0.32786885245901637</v>
      </c>
      <c r="AA64" s="69">
        <f>SUM(S$2:S64)/COUNTA($P$2:$P64)</f>
        <v>0.78688524590163933</v>
      </c>
      <c r="AB64" s="69">
        <f>SUM(T$2:T64)/COUNTA($P$2:$P64)</f>
        <v>0.36065573770491804</v>
      </c>
      <c r="AC64" s="69">
        <f>SUM(U$2:U64)/COUNTA($P$2:$P64)</f>
        <v>0.78688524590163933</v>
      </c>
      <c r="AD64" s="69">
        <f>SUM(V$2:V64)/COUNTA($P$2:$P64)</f>
        <v>0.86885245901639341</v>
      </c>
      <c r="AE64" s="70">
        <f t="shared" si="24"/>
        <v>0.65300546448087426</v>
      </c>
      <c r="AF64" s="58" t="e">
        <f t="shared" ca="1" si="26"/>
        <v>#N/A</v>
      </c>
      <c r="AG64" s="58" t="e">
        <f t="shared" ca="1" si="26"/>
        <v>#N/A</v>
      </c>
      <c r="AH64" s="58" t="e">
        <f t="shared" ca="1" si="26"/>
        <v>#N/A</v>
      </c>
      <c r="AI64" s="58" t="e">
        <f t="shared" ca="1" si="26"/>
        <v>#N/A</v>
      </c>
      <c r="AJ64" s="58" t="e">
        <f t="shared" ca="1" si="26"/>
        <v>#N/A</v>
      </c>
      <c r="AK64" s="58" t="e">
        <f t="shared" ca="1" si="26"/>
        <v>#N/A</v>
      </c>
      <c r="AL64" s="58" t="e">
        <f t="shared" ca="1" si="26"/>
        <v>#N/A</v>
      </c>
      <c r="AP64" s="66"/>
    </row>
    <row r="65" spans="1:42" ht="24.75" customHeight="1">
      <c r="A65" s="74" t="e">
        <f t="shared" ca="1" si="28"/>
        <v>#N/A</v>
      </c>
      <c r="B65" s="56">
        <f t="shared" si="10"/>
        <v>44295</v>
      </c>
      <c r="C65" s="59">
        <f ca="1">IF($B65&lt;=TODAY(),SUMIF('Stats 2020'!$M$24:$M$1048576,"&lt;="&amp;Graphs!$B65,'Stats 2020'!O$24:O$1048576),NA())</f>
        <v>212.25</v>
      </c>
      <c r="D65" s="59">
        <f t="shared" ca="1" si="12"/>
        <v>239.75</v>
      </c>
      <c r="E65" s="59">
        <f ca="1">IF($B65&lt;=TODAY(),SUMIF('Stats 2020'!$M$24:$M$1048576,"&lt;="&amp;Graphs!$B65,'Stats 2020'!Q$24:Q$1048576),NA())</f>
        <v>171</v>
      </c>
      <c r="F65" s="59">
        <f t="shared" ca="1" si="13"/>
        <v>239.75</v>
      </c>
      <c r="G65" s="59">
        <f ca="1">IF($B65&lt;=TODAY(),SUMIF('Stats 2020'!$M$24:$M$1048576,"&lt;="&amp;Graphs!$B65,'Stats 2020'!S$24:S$1048576),NA())</f>
        <v>176.5</v>
      </c>
      <c r="H65" s="59">
        <f ca="1">IF($B65&lt;=TODAY(),SUMIF('Stats 2020'!$M$24:$M$1048576,"&lt;="&amp;Graphs!$B65,'Stats 2020'!T$24:T$1048576),NA())</f>
        <v>123.75</v>
      </c>
      <c r="I65" s="58" t="e">
        <f t="shared" ca="1" si="25"/>
        <v>#N/A</v>
      </c>
      <c r="J65" s="58" t="e">
        <f t="shared" ca="1" si="25"/>
        <v>#N/A</v>
      </c>
      <c r="K65" s="58" t="e">
        <f t="shared" ca="1" si="25"/>
        <v>#N/A</v>
      </c>
      <c r="L65" s="58" t="e">
        <f t="shared" ca="1" si="25"/>
        <v>#N/A</v>
      </c>
      <c r="M65" s="58" t="e">
        <f t="shared" ca="1" si="25"/>
        <v>#N/A</v>
      </c>
      <c r="N65" s="58" t="e">
        <f t="shared" ca="1" si="25"/>
        <v>#N/A</v>
      </c>
      <c r="O65" s="60"/>
      <c r="Q65" s="66">
        <f>VLOOKUP($B65,'Stats 2020'!$D$25:$J$200,MATCH(Graphs!Q$1,'Stats 2020'!$D$18:$J$18,0),0)</f>
        <v>1</v>
      </c>
      <c r="R65" s="66">
        <f>VLOOKUP($B65,'Stats 2020'!$D$25:$J$200,MATCH(Graphs!R$1,'Stats 2020'!$D$18:$J$18,0),0)</f>
        <v>1</v>
      </c>
      <c r="S65" s="66">
        <f>VLOOKUP($B65,'Stats 2020'!$D$25:$J$200,MATCH(Graphs!S$1,'Stats 2020'!$D$18:$J$18,0),0)</f>
        <v>1</v>
      </c>
      <c r="T65" s="66">
        <f>VLOOKUP($B65,'Stats 2020'!$D$25:$J$200,MATCH(Graphs!T$1,'Stats 2020'!$D$18:$J$18,0),0)</f>
        <v>1</v>
      </c>
      <c r="U65" s="66">
        <f>VLOOKUP($B65,'Stats 2020'!$D$25:$J$200,MATCH(Graphs!U$1,'Stats 2020'!$D$18:$J$18,0),0)</f>
        <v>1</v>
      </c>
      <c r="V65" s="66">
        <f>VLOOKUP($B65,'Stats 2020'!$D$25:$J$200,MATCH(Graphs!V$1,'Stats 2020'!$D$18:$J$18,0),0)</f>
        <v>1</v>
      </c>
      <c r="W65" s="66"/>
      <c r="X65" s="65">
        <f t="shared" si="30"/>
        <v>44295</v>
      </c>
      <c r="Y65" s="69">
        <f>SUM(Q$2:Q65)/COUNTA($P$2:$P65)</f>
        <v>0.80327868852459017</v>
      </c>
      <c r="Z65" s="69">
        <f>SUM(R$2:R65)/COUNTA($P$2:$P65)</f>
        <v>0.34426229508196721</v>
      </c>
      <c r="AA65" s="69">
        <f>SUM(S$2:S65)/COUNTA($P$2:$P65)</f>
        <v>0.80327868852459017</v>
      </c>
      <c r="AB65" s="69">
        <f>SUM(T$2:T65)/COUNTA($P$2:$P65)</f>
        <v>0.37704918032786883</v>
      </c>
      <c r="AC65" s="69">
        <f>SUM(U$2:U65)/COUNTA($P$2:$P65)</f>
        <v>0.80327868852459017</v>
      </c>
      <c r="AD65" s="69">
        <f>SUM(V$2:V65)/COUNTA($P$2:$P65)</f>
        <v>0.88524590163934425</v>
      </c>
      <c r="AE65" s="70">
        <f t="shared" si="16"/>
        <v>0.6693989071038251</v>
      </c>
      <c r="AF65" s="58" t="e">
        <f t="shared" ca="1" si="26"/>
        <v>#N/A</v>
      </c>
      <c r="AG65" s="58" t="e">
        <f t="shared" ca="1" si="26"/>
        <v>#N/A</v>
      </c>
      <c r="AH65" s="58" t="e">
        <f t="shared" ca="1" si="26"/>
        <v>#N/A</v>
      </c>
      <c r="AI65" s="58" t="e">
        <f t="shared" ca="1" si="26"/>
        <v>#N/A</v>
      </c>
      <c r="AJ65" s="58" t="e">
        <f t="shared" ca="1" si="26"/>
        <v>#N/A</v>
      </c>
      <c r="AK65" s="58" t="e">
        <f t="shared" ca="1" si="26"/>
        <v>#N/A</v>
      </c>
      <c r="AL65" s="58" t="e">
        <f t="shared" ca="1" si="26"/>
        <v>#N/A</v>
      </c>
      <c r="AP65" s="66"/>
    </row>
    <row r="66" spans="1:42" ht="24.75" customHeight="1">
      <c r="A66" s="74" t="e">
        <f t="shared" ca="1" si="28"/>
        <v>#N/A</v>
      </c>
      <c r="B66" s="56">
        <f t="shared" si="10"/>
        <v>44302</v>
      </c>
      <c r="C66" s="59">
        <f ca="1">IF($B66&lt;=TODAY(),SUMIF('Stats 2020'!$M$24:$M$1048576,"&lt;="&amp;Graphs!$B66,'Stats 2020'!O$24:O$1048576),NA())</f>
        <v>212.25</v>
      </c>
      <c r="D66" s="59">
        <f t="shared" ca="1" si="12"/>
        <v>239.75</v>
      </c>
      <c r="E66" s="59">
        <f ca="1">IF($B66&lt;=TODAY(),SUMIF('Stats 2020'!$M$24:$M$1048576,"&lt;="&amp;Graphs!$B66,'Stats 2020'!Q$24:Q$1048576),NA())</f>
        <v>171</v>
      </c>
      <c r="F66" s="59">
        <f t="shared" ca="1" si="13"/>
        <v>239.75</v>
      </c>
      <c r="G66" s="59">
        <f ca="1">IF($B66&lt;=TODAY(),SUMIF('Stats 2020'!$M$24:$M$1048576,"&lt;="&amp;Graphs!$B66,'Stats 2020'!S$24:S$1048576),NA())</f>
        <v>176.5</v>
      </c>
      <c r="H66" s="59">
        <f ca="1">IF($B66&lt;=TODAY(),SUMIF('Stats 2020'!$M$24:$M$1048576,"&lt;="&amp;Graphs!$B66,'Stats 2020'!T$24:T$1048576),NA())</f>
        <v>123.75</v>
      </c>
      <c r="I66" s="58" t="e">
        <f t="shared" ca="1" si="25"/>
        <v>#N/A</v>
      </c>
      <c r="J66" s="58" t="e">
        <f t="shared" ca="1" si="25"/>
        <v>#N/A</v>
      </c>
      <c r="K66" s="58" t="e">
        <f t="shared" ca="1" si="25"/>
        <v>#N/A</v>
      </c>
      <c r="L66" s="58" t="e">
        <f t="shared" ca="1" si="25"/>
        <v>#N/A</v>
      </c>
      <c r="M66" s="58" t="e">
        <f t="shared" ca="1" si="25"/>
        <v>#N/A</v>
      </c>
      <c r="N66" s="58" t="e">
        <f t="shared" ca="1" si="25"/>
        <v>#N/A</v>
      </c>
      <c r="O66" s="60"/>
      <c r="P66" s="65">
        <f t="shared" ref="P66" si="32">B67</f>
        <v>44309</v>
      </c>
      <c r="Q66" s="66" t="e">
        <f>VLOOKUP($B67,'Stats 2020'!$D$25:$J$89,MATCH(Graphs!Q$1,'Stats 2020'!$D$18:$J$18,0),0)</f>
        <v>#N/A</v>
      </c>
      <c r="R66" s="66" t="e">
        <f>VLOOKUP($B67,'Stats 2020'!$D$25:$J$89,MATCH(Graphs!R$1,'Stats 2020'!$D$18:$J$18,0),0)</f>
        <v>#N/A</v>
      </c>
      <c r="S66" s="66" t="e">
        <f>VLOOKUP($B67,'Stats 2020'!$D$25:$J$89,MATCH(Graphs!S$1,'Stats 2020'!$D$18:$J$18,0),0)</f>
        <v>#N/A</v>
      </c>
      <c r="T66" s="66" t="e">
        <f>VLOOKUP($B67,'Stats 2020'!$D$25:$J$89,MATCH(Graphs!T$1,'Stats 2020'!$D$18:$J$18,0),0)</f>
        <v>#N/A</v>
      </c>
      <c r="U66" s="66" t="e">
        <f>VLOOKUP($B67,'Stats 2020'!$D$25:$J$89,MATCH(Graphs!U$1,'Stats 2020'!$D$18:$J$18,0),0)</f>
        <v>#N/A</v>
      </c>
      <c r="V66" s="66" t="e">
        <f>VLOOKUP($B67,'Stats 2020'!$D$25:$J$89,MATCH(Graphs!V$1,'Stats 2020'!$D$18:$J$18,0),0)</f>
        <v>#N/A</v>
      </c>
      <c r="W66" s="66"/>
      <c r="X66" s="65">
        <f t="shared" si="30"/>
        <v>44302</v>
      </c>
      <c r="Y66" s="69" t="e">
        <f>SUM(Q$2:Q66)/COUNTA($P$2:$P66)</f>
        <v>#N/A</v>
      </c>
      <c r="Z66" s="69" t="e">
        <f>SUM(R$2:R66)/COUNTA($P$2:$P66)</f>
        <v>#N/A</v>
      </c>
      <c r="AA66" s="69" t="e">
        <f>SUM(S$2:S66)/COUNTA($P$2:$P66)</f>
        <v>#N/A</v>
      </c>
      <c r="AB66" s="69" t="e">
        <f>SUM(T$2:T66)/COUNTA($P$2:$P66)</f>
        <v>#N/A</v>
      </c>
      <c r="AC66" s="69" t="e">
        <f>SUM(U$2:U66)/COUNTA($P$2:$P66)</f>
        <v>#N/A</v>
      </c>
      <c r="AD66" s="69" t="e">
        <f>SUM(V$2:V66)/COUNTA($P$2:$P66)</f>
        <v>#N/A</v>
      </c>
      <c r="AE66" s="70" t="e">
        <f t="shared" si="16"/>
        <v>#N/A</v>
      </c>
      <c r="AF66" s="58" t="e">
        <f t="shared" ca="1" si="26"/>
        <v>#N/A</v>
      </c>
      <c r="AG66" s="58" t="e">
        <f t="shared" ca="1" si="26"/>
        <v>#N/A</v>
      </c>
      <c r="AH66" s="58" t="e">
        <f t="shared" ca="1" si="26"/>
        <v>#N/A</v>
      </c>
      <c r="AI66" s="58" t="e">
        <f t="shared" ca="1" si="26"/>
        <v>#N/A</v>
      </c>
      <c r="AJ66" s="58" t="e">
        <f t="shared" ca="1" si="26"/>
        <v>#N/A</v>
      </c>
      <c r="AK66" s="58" t="e">
        <f t="shared" ca="1" si="26"/>
        <v>#N/A</v>
      </c>
      <c r="AL66" s="58" t="e">
        <f t="shared" ca="1" si="26"/>
        <v>#N/A</v>
      </c>
      <c r="AP66" s="66"/>
    </row>
    <row r="67" spans="1:42" ht="24.75" customHeight="1">
      <c r="A67" s="74" t="e">
        <f t="shared" ca="1" si="28"/>
        <v>#N/A</v>
      </c>
      <c r="B67" s="56">
        <f t="shared" si="10"/>
        <v>44309</v>
      </c>
      <c r="C67" s="59">
        <f ca="1">IF($B67&lt;=TODAY(),SUMIF('Stats 2020'!$M$24:$M$1048576,"&lt;="&amp;Graphs!$B67,'Stats 2020'!O$24:O$1048576),NA())</f>
        <v>212.25</v>
      </c>
      <c r="D67" s="59">
        <f t="shared" ca="1" si="12"/>
        <v>239.75</v>
      </c>
      <c r="E67" s="59">
        <f ca="1">IF($B67&lt;=TODAY(),SUMIF('Stats 2020'!$M$24:$M$1048576,"&lt;="&amp;Graphs!$B67,'Stats 2020'!Q$24:Q$1048576),NA())</f>
        <v>171</v>
      </c>
      <c r="F67" s="59">
        <f t="shared" ca="1" si="13"/>
        <v>239.75</v>
      </c>
      <c r="G67" s="59">
        <f ca="1">IF($B67&lt;=TODAY(),SUMIF('Stats 2020'!$M$24:$M$1048576,"&lt;="&amp;Graphs!$B67,'Stats 2020'!S$24:S$1048576),NA())</f>
        <v>176.5</v>
      </c>
      <c r="H67" s="59">
        <f ca="1">IF($B67&lt;=TODAY(),SUMIF('Stats 2020'!$M$24:$M$1048576,"&lt;="&amp;Graphs!$B67,'Stats 2020'!T$24:T$1048576),NA())</f>
        <v>123.75</v>
      </c>
      <c r="I67" s="58" t="e">
        <f t="shared" ca="1" si="25"/>
        <v>#N/A</v>
      </c>
      <c r="J67" s="58" t="e">
        <f t="shared" ca="1" si="25"/>
        <v>#N/A</v>
      </c>
      <c r="K67" s="58" t="e">
        <f t="shared" ca="1" si="25"/>
        <v>#N/A</v>
      </c>
      <c r="L67" s="58" t="e">
        <f t="shared" ca="1" si="25"/>
        <v>#N/A</v>
      </c>
      <c r="M67" s="58" t="e">
        <f t="shared" ca="1" si="25"/>
        <v>#N/A</v>
      </c>
      <c r="N67" s="58" t="e">
        <f t="shared" ca="1" si="25"/>
        <v>#N/A</v>
      </c>
      <c r="O67" s="60"/>
      <c r="W67" s="66"/>
      <c r="X67" s="65">
        <f t="shared" si="30"/>
        <v>44309</v>
      </c>
      <c r="Y67" s="69" t="e">
        <f>SUM(Q$2:Q67)/COUNTA($P$2:$P67)</f>
        <v>#N/A</v>
      </c>
      <c r="Z67" s="69" t="e">
        <f>SUM(R$2:R67)/COUNTA($P$2:$P67)</f>
        <v>#N/A</v>
      </c>
      <c r="AA67" s="69" t="e">
        <f>SUM(S$2:S67)/COUNTA($P$2:$P67)</f>
        <v>#N/A</v>
      </c>
      <c r="AB67" s="69" t="e">
        <f>SUM(T$2:T67)/COUNTA($P$2:$P67)</f>
        <v>#N/A</v>
      </c>
      <c r="AC67" s="69" t="e">
        <f>SUM(U$2:U67)/COUNTA($P$2:$P67)</f>
        <v>#N/A</v>
      </c>
      <c r="AD67" s="69" t="e">
        <f>SUM(V$2:V67)/COUNTA($P$2:$P67)</f>
        <v>#N/A</v>
      </c>
      <c r="AE67" s="70" t="e">
        <f t="shared" si="16"/>
        <v>#N/A</v>
      </c>
      <c r="AF67" s="58" t="e">
        <f t="shared" ca="1" si="26"/>
        <v>#N/A</v>
      </c>
      <c r="AG67" s="58" t="e">
        <f t="shared" ca="1" si="26"/>
        <v>#N/A</v>
      </c>
      <c r="AH67" s="58" t="e">
        <f t="shared" ca="1" si="26"/>
        <v>#N/A</v>
      </c>
      <c r="AI67" s="58" t="e">
        <f t="shared" ca="1" si="26"/>
        <v>#N/A</v>
      </c>
      <c r="AJ67" s="58" t="e">
        <f t="shared" ca="1" si="26"/>
        <v>#N/A</v>
      </c>
      <c r="AK67" s="58" t="e">
        <f t="shared" ca="1" si="26"/>
        <v>#N/A</v>
      </c>
      <c r="AL67" s="58" t="e">
        <f t="shared" ca="1" si="26"/>
        <v>#N/A</v>
      </c>
      <c r="AP67" s="66"/>
    </row>
    <row r="68" spans="1:42" ht="24.75" customHeight="1">
      <c r="A68" s="74" t="e">
        <f t="shared" ca="1" si="28"/>
        <v>#N/A</v>
      </c>
      <c r="B68" s="56">
        <f t="shared" ref="B68" si="33">B67+7</f>
        <v>44316</v>
      </c>
      <c r="C68" s="59">
        <f ca="1">IF($B68&lt;=TODAY(),SUMIF('Stats 2020'!$M$24:$M$1048576,"&lt;="&amp;Graphs!$B68,'Stats 2020'!O$24:O$1048576),NA())</f>
        <v>212.25</v>
      </c>
      <c r="D68" s="59">
        <f t="shared" ca="1" si="12"/>
        <v>239.75</v>
      </c>
      <c r="E68" s="59">
        <f ca="1">IF($B68&lt;=TODAY(),SUMIF('Stats 2020'!$M$24:$M$1048576,"&lt;="&amp;Graphs!$B68,'Stats 2020'!Q$24:Q$1048576),NA())</f>
        <v>182</v>
      </c>
      <c r="F68" s="59">
        <f t="shared" ca="1" si="13"/>
        <v>239.75</v>
      </c>
      <c r="G68" s="59">
        <f ca="1">IF($B68&lt;=TODAY(),SUMIF('Stats 2020'!$M$24:$M$1048576,"&lt;="&amp;Graphs!$B68,'Stats 2020'!S$24:S$1048576),NA())</f>
        <v>176.5</v>
      </c>
      <c r="H68" s="59">
        <f ca="1">IF($B68&lt;=TODAY(),SUMIF('Stats 2020'!$M$24:$M$1048576,"&lt;="&amp;Graphs!$B68,'Stats 2020'!T$24:T$1048576),NA())</f>
        <v>123.75</v>
      </c>
      <c r="I68" s="58" t="e">
        <f t="shared" ref="I68:N68" ca="1" si="34">VLOOKUP($A68,$B$1:$H$59,MATCH(I$1,$B$1:$H$1,0),0)</f>
        <v>#N/A</v>
      </c>
      <c r="J68" s="58" t="e">
        <f t="shared" ca="1" si="34"/>
        <v>#N/A</v>
      </c>
      <c r="K68" s="58" t="e">
        <f t="shared" ca="1" si="34"/>
        <v>#N/A</v>
      </c>
      <c r="L68" s="58" t="e">
        <f t="shared" ca="1" si="34"/>
        <v>#N/A</v>
      </c>
      <c r="M68" s="58" t="e">
        <f t="shared" ca="1" si="34"/>
        <v>#N/A</v>
      </c>
      <c r="N68" s="58" t="e">
        <f t="shared" ca="1" si="34"/>
        <v>#N/A</v>
      </c>
      <c r="O68" s="60"/>
      <c r="P68" s="65">
        <f t="shared" ref="P68" si="35">B69</f>
        <v>44323</v>
      </c>
      <c r="Q68" s="66" t="e">
        <f>VLOOKUP($B69,'Stats 2020'!$D$25:$J$89,MATCH(Graphs!Q$1,'Stats 2020'!$D$18:$J$18,0),0)</f>
        <v>#N/A</v>
      </c>
      <c r="R68" s="66" t="e">
        <f>VLOOKUP($B69,'Stats 2020'!$D$25:$J$89,MATCH(Graphs!R$1,'Stats 2020'!$D$18:$J$18,0),0)</f>
        <v>#N/A</v>
      </c>
      <c r="S68" s="66" t="e">
        <f>VLOOKUP($B69,'Stats 2020'!$D$25:$J$89,MATCH(Graphs!S$1,'Stats 2020'!$D$18:$J$18,0),0)</f>
        <v>#N/A</v>
      </c>
      <c r="T68" s="66" t="e">
        <f>VLOOKUP($B69,'Stats 2020'!$D$25:$J$89,MATCH(Graphs!T$1,'Stats 2020'!$D$18:$J$18,0),0)</f>
        <v>#N/A</v>
      </c>
      <c r="U68" s="66" t="e">
        <f>VLOOKUP($B69,'Stats 2020'!$D$25:$J$89,MATCH(Graphs!U$1,'Stats 2020'!$D$18:$J$18,0),0)</f>
        <v>#N/A</v>
      </c>
      <c r="V68" s="66" t="e">
        <f>VLOOKUP($B69,'Stats 2020'!$D$25:$J$89,MATCH(Graphs!V$1,'Stats 2020'!$D$18:$J$18,0),0)</f>
        <v>#N/A</v>
      </c>
      <c r="W68" s="66"/>
      <c r="X68" s="65">
        <f t="shared" si="30"/>
        <v>44316</v>
      </c>
      <c r="Y68" s="69" t="e">
        <f>SUM(Q$2:Q68)/COUNTA($P$2:$P68)</f>
        <v>#N/A</v>
      </c>
      <c r="Z68" s="69" t="e">
        <f>SUM(R$2:R68)/COUNTA($P$2:$P68)</f>
        <v>#N/A</v>
      </c>
      <c r="AA68" s="69" t="e">
        <f>SUM(S$2:S68)/COUNTA($P$2:$P68)</f>
        <v>#N/A</v>
      </c>
      <c r="AB68" s="69" t="e">
        <f>SUM(T$2:T68)/COUNTA($P$2:$P68)</f>
        <v>#N/A</v>
      </c>
      <c r="AC68" s="69" t="e">
        <f>SUM(U$2:U68)/COUNTA($P$2:$P68)</f>
        <v>#N/A</v>
      </c>
      <c r="AD68" s="69" t="e">
        <f>SUM(V$2:V68)/COUNTA($P$2:$P68)</f>
        <v>#N/A</v>
      </c>
      <c r="AE68" s="70" t="e">
        <f t="shared" si="16"/>
        <v>#N/A</v>
      </c>
      <c r="AF68" s="58" t="e">
        <f t="shared" ref="AF68:AL78" ca="1" si="36">VLOOKUP($A68,$X$1:$AE$59,MATCH(AF$1,$X$1:$AE$1,0),0)</f>
        <v>#N/A</v>
      </c>
      <c r="AG68" s="58" t="e">
        <f t="shared" ca="1" si="36"/>
        <v>#N/A</v>
      </c>
      <c r="AH68" s="58" t="e">
        <f t="shared" ca="1" si="36"/>
        <v>#N/A</v>
      </c>
      <c r="AI68" s="58" t="e">
        <f t="shared" ca="1" si="36"/>
        <v>#N/A</v>
      </c>
      <c r="AJ68" s="58" t="e">
        <f t="shared" ca="1" si="36"/>
        <v>#N/A</v>
      </c>
      <c r="AK68" s="58" t="e">
        <f t="shared" ca="1" si="36"/>
        <v>#N/A</v>
      </c>
      <c r="AL68" s="58" t="e">
        <f t="shared" ca="1" si="36"/>
        <v>#N/A</v>
      </c>
      <c r="AP68" s="66"/>
    </row>
    <row r="69" spans="1:42" ht="24.75" customHeight="1">
      <c r="A69" s="74" t="e">
        <f t="shared" ca="1" si="28"/>
        <v>#N/A</v>
      </c>
      <c r="B69" s="56">
        <f t="shared" ref="B69:B78" si="37">B68+7</f>
        <v>44323</v>
      </c>
      <c r="C69" s="59">
        <f ca="1">IF($B69&lt;=TODAY(),SUMIF('Stats 2020'!$M$24:$M$1048576,"&lt;="&amp;Graphs!$B69,'Stats 2020'!O$24:O$1048576),NA())</f>
        <v>212.25</v>
      </c>
      <c r="D69" s="59">
        <f t="shared" ca="1" si="12"/>
        <v>239.75</v>
      </c>
      <c r="E69" s="59">
        <f ca="1">IF($B69&lt;=TODAY(),SUMIF('Stats 2020'!$M$24:$M$1048576,"&lt;="&amp;Graphs!$B69,'Stats 2020'!Q$24:Q$1048576),NA())</f>
        <v>182</v>
      </c>
      <c r="F69" s="59">
        <f t="shared" ca="1" si="13"/>
        <v>239.75</v>
      </c>
      <c r="G69" s="59">
        <f ca="1">IF($B69&lt;=TODAY(),SUMIF('Stats 2020'!$M$24:$M$1048576,"&lt;="&amp;Graphs!$B69,'Stats 2020'!S$24:S$1048576),NA())</f>
        <v>187.5</v>
      </c>
      <c r="H69" s="59">
        <f ca="1">IF($B69&lt;=TODAY(),SUMIF('Stats 2020'!$M$24:$M$1048576,"&lt;="&amp;Graphs!$B69,'Stats 2020'!T$24:T$1048576),NA())</f>
        <v>123.75</v>
      </c>
      <c r="I69" s="58" t="e">
        <f t="shared" ref="I69:N78" ca="1" si="38">VLOOKUP($A69,$B$1:$H$59,MATCH(I$1,$B$1:$H$1,0),0)</f>
        <v>#N/A</v>
      </c>
      <c r="J69" s="58" t="e">
        <f t="shared" ca="1" si="38"/>
        <v>#N/A</v>
      </c>
      <c r="K69" s="58" t="e">
        <f t="shared" ca="1" si="38"/>
        <v>#N/A</v>
      </c>
      <c r="L69" s="58" t="e">
        <f t="shared" ca="1" si="38"/>
        <v>#N/A</v>
      </c>
      <c r="M69" s="58" t="e">
        <f t="shared" ca="1" si="38"/>
        <v>#N/A</v>
      </c>
      <c r="N69" s="58" t="e">
        <f t="shared" ca="1" si="38"/>
        <v>#N/A</v>
      </c>
      <c r="O69" s="60"/>
      <c r="W69" s="66"/>
      <c r="X69" s="65">
        <f t="shared" si="30"/>
        <v>44323</v>
      </c>
      <c r="Y69" s="69" t="e">
        <f>SUM(Q$2:Q69)/COUNTA($P$2:$P69)</f>
        <v>#N/A</v>
      </c>
      <c r="Z69" s="69" t="e">
        <f>SUM(R$2:R69)/COUNTA($P$2:$P69)</f>
        <v>#N/A</v>
      </c>
      <c r="AA69" s="69" t="e">
        <f>SUM(S$2:S69)/COUNTA($P$2:$P69)</f>
        <v>#N/A</v>
      </c>
      <c r="AB69" s="69" t="e">
        <f>SUM(T$2:T69)/COUNTA($P$2:$P69)</f>
        <v>#N/A</v>
      </c>
      <c r="AC69" s="69" t="e">
        <f>SUM(U$2:U69)/COUNTA($P$2:$P69)</f>
        <v>#N/A</v>
      </c>
      <c r="AD69" s="69" t="e">
        <f>SUM(V$2:V69)/COUNTA($P$2:$P69)</f>
        <v>#N/A</v>
      </c>
      <c r="AE69" s="70" t="e">
        <f t="shared" si="16"/>
        <v>#N/A</v>
      </c>
      <c r="AF69" s="58" t="e">
        <f t="shared" ca="1" si="36"/>
        <v>#N/A</v>
      </c>
      <c r="AG69" s="58" t="e">
        <f t="shared" ca="1" si="36"/>
        <v>#N/A</v>
      </c>
      <c r="AH69" s="58" t="e">
        <f t="shared" ca="1" si="36"/>
        <v>#N/A</v>
      </c>
      <c r="AI69" s="58" t="e">
        <f t="shared" ca="1" si="36"/>
        <v>#N/A</v>
      </c>
      <c r="AJ69" s="58" t="e">
        <f t="shared" ca="1" si="36"/>
        <v>#N/A</v>
      </c>
      <c r="AK69" s="58" t="e">
        <f t="shared" ca="1" si="36"/>
        <v>#N/A</v>
      </c>
      <c r="AL69" s="58" t="e">
        <f t="shared" ca="1" si="36"/>
        <v>#N/A</v>
      </c>
      <c r="AP69" s="66"/>
    </row>
    <row r="70" spans="1:42" ht="24.75" customHeight="1">
      <c r="A70" s="74" t="e">
        <f t="shared" ca="1" si="28"/>
        <v>#N/A</v>
      </c>
      <c r="B70" s="56">
        <f t="shared" si="37"/>
        <v>44330</v>
      </c>
      <c r="C70" s="59">
        <f ca="1">IF($B70&lt;=TODAY(),SUMIF('Stats 2020'!$M$24:$M$1048576,"&lt;="&amp;Graphs!$B70,'Stats 2020'!O$24:O$1048576),NA())</f>
        <v>215</v>
      </c>
      <c r="D70" s="59">
        <f t="shared" ca="1" si="12"/>
        <v>242.5</v>
      </c>
      <c r="E70" s="59">
        <f ca="1">IF($B70&lt;=TODAY(),SUMIF('Stats 2020'!$M$24:$M$1048576,"&lt;="&amp;Graphs!$B70,'Stats 2020'!Q$24:Q$1048576),NA())</f>
        <v>182</v>
      </c>
      <c r="F70" s="59">
        <f t="shared" ca="1" si="13"/>
        <v>242.5</v>
      </c>
      <c r="G70" s="59">
        <f ca="1">IF($B70&lt;=TODAY(),SUMIF('Stats 2020'!$M$24:$M$1048576,"&lt;="&amp;Graphs!$B70,'Stats 2020'!S$24:S$1048576),NA())</f>
        <v>187.5</v>
      </c>
      <c r="H70" s="59">
        <f ca="1">IF($B70&lt;=TODAY(),SUMIF('Stats 2020'!$M$24:$M$1048576,"&lt;="&amp;Graphs!$B70,'Stats 2020'!T$24:T$1048576),NA())</f>
        <v>123.75</v>
      </c>
      <c r="I70" s="58" t="e">
        <f t="shared" ca="1" si="38"/>
        <v>#N/A</v>
      </c>
      <c r="J70" s="58" t="e">
        <f t="shared" ca="1" si="38"/>
        <v>#N/A</v>
      </c>
      <c r="K70" s="58" t="e">
        <f t="shared" ca="1" si="38"/>
        <v>#N/A</v>
      </c>
      <c r="L70" s="58" t="e">
        <f t="shared" ca="1" si="38"/>
        <v>#N/A</v>
      </c>
      <c r="M70" s="58" t="e">
        <f t="shared" ca="1" si="38"/>
        <v>#N/A</v>
      </c>
      <c r="N70" s="58" t="e">
        <f t="shared" ca="1" si="38"/>
        <v>#N/A</v>
      </c>
      <c r="O70" s="60"/>
      <c r="P70" s="65">
        <f t="shared" ref="P70" si="39">B71</f>
        <v>44337</v>
      </c>
      <c r="Q70" s="66" t="e">
        <f>VLOOKUP($B71,'Stats 2020'!$D$25:$J$89,MATCH(Graphs!Q$1,'Stats 2020'!$D$18:$J$18,0),0)</f>
        <v>#N/A</v>
      </c>
      <c r="R70" s="66" t="e">
        <f>VLOOKUP($B71,'Stats 2020'!$D$25:$J$89,MATCH(Graphs!R$1,'Stats 2020'!$D$18:$J$18,0),0)</f>
        <v>#N/A</v>
      </c>
      <c r="S70" s="66" t="e">
        <f>VLOOKUP($B71,'Stats 2020'!$D$25:$J$89,MATCH(Graphs!S$1,'Stats 2020'!$D$18:$J$18,0),0)</f>
        <v>#N/A</v>
      </c>
      <c r="T70" s="66" t="e">
        <f>VLOOKUP($B71,'Stats 2020'!$D$25:$J$89,MATCH(Graphs!T$1,'Stats 2020'!$D$18:$J$18,0),0)</f>
        <v>#N/A</v>
      </c>
      <c r="U70" s="66" t="e">
        <f>VLOOKUP($B71,'Stats 2020'!$D$25:$J$89,MATCH(Graphs!U$1,'Stats 2020'!$D$18:$J$18,0),0)</f>
        <v>#N/A</v>
      </c>
      <c r="V70" s="66" t="e">
        <f>VLOOKUP($B71,'Stats 2020'!$D$25:$J$89,MATCH(Graphs!V$1,'Stats 2020'!$D$18:$J$18,0),0)</f>
        <v>#N/A</v>
      </c>
      <c r="W70" s="66"/>
      <c r="X70" s="65">
        <f t="shared" si="30"/>
        <v>44330</v>
      </c>
      <c r="Y70" s="69" t="e">
        <f>SUM(Q$2:Q70)/COUNTA($P$2:$P70)</f>
        <v>#N/A</v>
      </c>
      <c r="Z70" s="69" t="e">
        <f>SUM(R$2:R70)/COUNTA($P$2:$P70)</f>
        <v>#N/A</v>
      </c>
      <c r="AA70" s="69" t="e">
        <f>SUM(S$2:S70)/COUNTA($P$2:$P70)</f>
        <v>#N/A</v>
      </c>
      <c r="AB70" s="69" t="e">
        <f>SUM(T$2:T70)/COUNTA($P$2:$P70)</f>
        <v>#N/A</v>
      </c>
      <c r="AC70" s="69" t="e">
        <f>SUM(U$2:U70)/COUNTA($P$2:$P70)</f>
        <v>#N/A</v>
      </c>
      <c r="AD70" s="69" t="e">
        <f>SUM(V$2:V70)/COUNTA($P$2:$P70)</f>
        <v>#N/A</v>
      </c>
      <c r="AE70" s="70" t="e">
        <f t="shared" si="16"/>
        <v>#N/A</v>
      </c>
      <c r="AF70" s="58" t="e">
        <f t="shared" ca="1" si="36"/>
        <v>#N/A</v>
      </c>
      <c r="AG70" s="58" t="e">
        <f t="shared" ca="1" si="36"/>
        <v>#N/A</v>
      </c>
      <c r="AH70" s="58" t="e">
        <f t="shared" ca="1" si="36"/>
        <v>#N/A</v>
      </c>
      <c r="AI70" s="58" t="e">
        <f t="shared" ca="1" si="36"/>
        <v>#N/A</v>
      </c>
      <c r="AJ70" s="58" t="e">
        <f t="shared" ca="1" si="36"/>
        <v>#N/A</v>
      </c>
      <c r="AK70" s="58" t="e">
        <f t="shared" ca="1" si="36"/>
        <v>#N/A</v>
      </c>
      <c r="AL70" s="58" t="e">
        <f t="shared" ca="1" si="36"/>
        <v>#N/A</v>
      </c>
      <c r="AP70" s="66"/>
    </row>
    <row r="71" spans="1:42" ht="24.75" customHeight="1">
      <c r="A71" s="74" t="e">
        <f t="shared" ca="1" si="28"/>
        <v>#N/A</v>
      </c>
      <c r="B71" s="56">
        <f t="shared" si="37"/>
        <v>44337</v>
      </c>
      <c r="C71" s="59">
        <f ca="1">IF($B71&lt;=TODAY(),SUMIF('Stats 2020'!$M$24:$M$1048576,"&lt;="&amp;Graphs!$B71,'Stats 2020'!O$24:O$1048576),NA())</f>
        <v>215</v>
      </c>
      <c r="D71" s="59">
        <f t="shared" ca="1" si="12"/>
        <v>242.5</v>
      </c>
      <c r="E71" s="59">
        <f ca="1">IF($B71&lt;=TODAY(),SUMIF('Stats 2020'!$M$24:$M$1048576,"&lt;="&amp;Graphs!$B71,'Stats 2020'!Q$24:Q$1048576),NA())</f>
        <v>193</v>
      </c>
      <c r="F71" s="59">
        <f t="shared" ca="1" si="13"/>
        <v>242.5</v>
      </c>
      <c r="G71" s="59">
        <f ca="1">IF($B71&lt;=TODAY(),SUMIF('Stats 2020'!$M$24:$M$1048576,"&lt;="&amp;Graphs!$B71,'Stats 2020'!S$24:S$1048576),NA())</f>
        <v>187.5</v>
      </c>
      <c r="H71" s="59">
        <f ca="1">IF($B71&lt;=TODAY(),SUMIF('Stats 2020'!$M$24:$M$1048576,"&lt;="&amp;Graphs!$B71,'Stats 2020'!T$24:T$1048576),NA())</f>
        <v>123.75</v>
      </c>
      <c r="I71" s="58" t="e">
        <f t="shared" ca="1" si="38"/>
        <v>#N/A</v>
      </c>
      <c r="J71" s="58" t="e">
        <f t="shared" ca="1" si="38"/>
        <v>#N/A</v>
      </c>
      <c r="K71" s="58" t="e">
        <f t="shared" ca="1" si="38"/>
        <v>#N/A</v>
      </c>
      <c r="L71" s="58" t="e">
        <f t="shared" ca="1" si="38"/>
        <v>#N/A</v>
      </c>
      <c r="M71" s="58" t="e">
        <f t="shared" ca="1" si="38"/>
        <v>#N/A</v>
      </c>
      <c r="N71" s="58" t="e">
        <f t="shared" ca="1" si="38"/>
        <v>#N/A</v>
      </c>
      <c r="O71" s="60"/>
      <c r="W71" s="66"/>
      <c r="X71" s="65">
        <f t="shared" si="30"/>
        <v>44337</v>
      </c>
      <c r="Y71" s="69" t="e">
        <f>SUM(Q$2:Q71)/COUNTA($P$2:$P71)</f>
        <v>#N/A</v>
      </c>
      <c r="Z71" s="69" t="e">
        <f>SUM(R$2:R71)/COUNTA($P$2:$P71)</f>
        <v>#N/A</v>
      </c>
      <c r="AA71" s="69" t="e">
        <f>SUM(S$2:S71)/COUNTA($P$2:$P71)</f>
        <v>#N/A</v>
      </c>
      <c r="AB71" s="69" t="e">
        <f>SUM(T$2:T71)/COUNTA($P$2:$P71)</f>
        <v>#N/A</v>
      </c>
      <c r="AC71" s="69" t="e">
        <f>SUM(U$2:U71)/COUNTA($P$2:$P71)</f>
        <v>#N/A</v>
      </c>
      <c r="AD71" s="69" t="e">
        <f>SUM(V$2:V71)/COUNTA($P$2:$P71)</f>
        <v>#N/A</v>
      </c>
      <c r="AE71" s="70" t="e">
        <f t="shared" si="16"/>
        <v>#N/A</v>
      </c>
      <c r="AF71" s="58" t="e">
        <f t="shared" ca="1" si="36"/>
        <v>#N/A</v>
      </c>
      <c r="AG71" s="58" t="e">
        <f t="shared" ca="1" si="36"/>
        <v>#N/A</v>
      </c>
      <c r="AH71" s="58" t="e">
        <f t="shared" ca="1" si="36"/>
        <v>#N/A</v>
      </c>
      <c r="AI71" s="58" t="e">
        <f t="shared" ca="1" si="36"/>
        <v>#N/A</v>
      </c>
      <c r="AJ71" s="58" t="e">
        <f t="shared" ca="1" si="36"/>
        <v>#N/A</v>
      </c>
      <c r="AK71" s="58" t="e">
        <f t="shared" ca="1" si="36"/>
        <v>#N/A</v>
      </c>
      <c r="AL71" s="58" t="e">
        <f t="shared" ca="1" si="36"/>
        <v>#N/A</v>
      </c>
      <c r="AP71" s="66"/>
    </row>
    <row r="72" spans="1:42" ht="24.75" customHeight="1">
      <c r="A72" s="74" t="e">
        <f t="shared" ca="1" si="28"/>
        <v>#N/A</v>
      </c>
      <c r="B72" s="56">
        <f t="shared" si="37"/>
        <v>44344</v>
      </c>
      <c r="C72" s="59">
        <f ca="1">IF($B72&lt;=TODAY(),SUMIF('Stats 2020'!$M$24:$M$1048576,"&lt;="&amp;Graphs!$B72,'Stats 2020'!O$24:O$1048576),NA())</f>
        <v>215</v>
      </c>
      <c r="D72" s="59">
        <f t="shared" ca="1" si="12"/>
        <v>242.5</v>
      </c>
      <c r="E72" s="59">
        <f ca="1">IF($B72&lt;=TODAY(),SUMIF('Stats 2020'!$M$24:$M$1048576,"&lt;="&amp;Graphs!$B72,'Stats 2020'!Q$24:Q$1048576),NA())</f>
        <v>193</v>
      </c>
      <c r="F72" s="59">
        <f t="shared" ca="1" si="13"/>
        <v>242.5</v>
      </c>
      <c r="G72" s="59">
        <f ca="1">IF($B72&lt;=TODAY(),SUMIF('Stats 2020'!$M$24:$M$1048576,"&lt;="&amp;Graphs!$B72,'Stats 2020'!S$24:S$1048576),NA())</f>
        <v>187.5</v>
      </c>
      <c r="H72" s="59">
        <f ca="1">IF($B72&lt;=TODAY(),SUMIF('Stats 2020'!$M$24:$M$1048576,"&lt;="&amp;Graphs!$B72,'Stats 2020'!T$24:T$1048576),NA())</f>
        <v>123.75</v>
      </c>
      <c r="I72" s="58" t="e">
        <f t="shared" ca="1" si="38"/>
        <v>#N/A</v>
      </c>
      <c r="J72" s="58" t="e">
        <f t="shared" ca="1" si="38"/>
        <v>#N/A</v>
      </c>
      <c r="K72" s="58" t="e">
        <f t="shared" ca="1" si="38"/>
        <v>#N/A</v>
      </c>
      <c r="L72" s="58" t="e">
        <f t="shared" ca="1" si="38"/>
        <v>#N/A</v>
      </c>
      <c r="M72" s="58" t="e">
        <f t="shared" ca="1" si="38"/>
        <v>#N/A</v>
      </c>
      <c r="N72" s="58" t="e">
        <f t="shared" ca="1" si="38"/>
        <v>#N/A</v>
      </c>
      <c r="O72" s="60"/>
      <c r="P72" s="65">
        <f t="shared" ref="P72" si="40">B73</f>
        <v>44351</v>
      </c>
      <c r="Q72" s="66" t="e">
        <f>VLOOKUP($B73,'Stats 2020'!$D$25:$J$89,MATCH(Graphs!Q$1,'Stats 2020'!$D$18:$J$18,0),0)</f>
        <v>#N/A</v>
      </c>
      <c r="R72" s="66" t="e">
        <f>VLOOKUP($B73,'Stats 2020'!$D$25:$J$89,MATCH(Graphs!R$1,'Stats 2020'!$D$18:$J$18,0),0)</f>
        <v>#N/A</v>
      </c>
      <c r="S72" s="66" t="e">
        <f>VLOOKUP($B73,'Stats 2020'!$D$25:$J$89,MATCH(Graphs!S$1,'Stats 2020'!$D$18:$J$18,0),0)</f>
        <v>#N/A</v>
      </c>
      <c r="T72" s="66" t="e">
        <f>VLOOKUP($B73,'Stats 2020'!$D$25:$J$89,MATCH(Graphs!T$1,'Stats 2020'!$D$18:$J$18,0),0)</f>
        <v>#N/A</v>
      </c>
      <c r="U72" s="66" t="e">
        <f>VLOOKUP($B73,'Stats 2020'!$D$25:$J$89,MATCH(Graphs!U$1,'Stats 2020'!$D$18:$J$18,0),0)</f>
        <v>#N/A</v>
      </c>
      <c r="V72" s="66" t="e">
        <f>VLOOKUP($B73,'Stats 2020'!$D$25:$J$89,MATCH(Graphs!V$1,'Stats 2020'!$D$18:$J$18,0),0)</f>
        <v>#N/A</v>
      </c>
      <c r="W72" s="66"/>
      <c r="X72" s="65">
        <f t="shared" si="30"/>
        <v>44344</v>
      </c>
      <c r="Y72" s="69" t="e">
        <f>SUM(Q$2:Q72)/COUNTA($P$2:$P72)</f>
        <v>#N/A</v>
      </c>
      <c r="Z72" s="69" t="e">
        <f>SUM(R$2:R72)/COUNTA($P$2:$P72)</f>
        <v>#N/A</v>
      </c>
      <c r="AA72" s="69" t="e">
        <f>SUM(S$2:S72)/COUNTA($P$2:$P72)</f>
        <v>#N/A</v>
      </c>
      <c r="AB72" s="69" t="e">
        <f>SUM(T$2:T72)/COUNTA($P$2:$P72)</f>
        <v>#N/A</v>
      </c>
      <c r="AC72" s="69" t="e">
        <f>SUM(U$2:U72)/COUNTA($P$2:$P72)</f>
        <v>#N/A</v>
      </c>
      <c r="AD72" s="69" t="e">
        <f>SUM(V$2:V72)/COUNTA($P$2:$P72)</f>
        <v>#N/A</v>
      </c>
      <c r="AE72" s="70" t="e">
        <f t="shared" si="16"/>
        <v>#N/A</v>
      </c>
      <c r="AF72" s="58" t="e">
        <f t="shared" ca="1" si="36"/>
        <v>#N/A</v>
      </c>
      <c r="AG72" s="58" t="e">
        <f t="shared" ca="1" si="36"/>
        <v>#N/A</v>
      </c>
      <c r="AH72" s="58" t="e">
        <f t="shared" ca="1" si="36"/>
        <v>#N/A</v>
      </c>
      <c r="AI72" s="58" t="e">
        <f t="shared" ca="1" si="36"/>
        <v>#N/A</v>
      </c>
      <c r="AJ72" s="58" t="e">
        <f t="shared" ca="1" si="36"/>
        <v>#N/A</v>
      </c>
      <c r="AK72" s="58" t="e">
        <f t="shared" ca="1" si="36"/>
        <v>#N/A</v>
      </c>
      <c r="AL72" s="58" t="e">
        <f t="shared" ca="1" si="36"/>
        <v>#N/A</v>
      </c>
      <c r="AP72" s="66"/>
    </row>
    <row r="73" spans="1:42" ht="24.75" customHeight="1">
      <c r="A73" s="74" t="e">
        <f t="shared" ca="1" si="28"/>
        <v>#N/A</v>
      </c>
      <c r="B73" s="56">
        <f t="shared" si="37"/>
        <v>44351</v>
      </c>
      <c r="C73" s="59">
        <f ca="1">IF($B73&lt;=TODAY(),SUMIF('Stats 2020'!$M$24:$M$1048576,"&lt;="&amp;Graphs!$B73,'Stats 2020'!O$24:O$1048576),NA())</f>
        <v>215</v>
      </c>
      <c r="D73" s="59">
        <f t="shared" ca="1" si="12"/>
        <v>242.5</v>
      </c>
      <c r="E73" s="59">
        <f ca="1">IF($B73&lt;=TODAY(),SUMIF('Stats 2020'!$M$24:$M$1048576,"&lt;="&amp;Graphs!$B73,'Stats 2020'!Q$24:Q$1048576),NA())</f>
        <v>193</v>
      </c>
      <c r="F73" s="59">
        <f t="shared" ca="1" si="13"/>
        <v>242.5</v>
      </c>
      <c r="G73" s="59">
        <f ca="1">IF($B73&lt;=TODAY(),SUMIF('Stats 2020'!$M$24:$M$1048576,"&lt;="&amp;Graphs!$B73,'Stats 2020'!S$24:S$1048576),NA())</f>
        <v>187.5</v>
      </c>
      <c r="H73" s="59">
        <f ca="1">IF($B73&lt;=TODAY(),SUMIF('Stats 2020'!$M$24:$M$1048576,"&lt;="&amp;Graphs!$B73,'Stats 2020'!T$24:T$1048576),NA())</f>
        <v>123.75</v>
      </c>
      <c r="I73" s="58" t="e">
        <f t="shared" ca="1" si="38"/>
        <v>#N/A</v>
      </c>
      <c r="J73" s="58" t="e">
        <f t="shared" ca="1" si="38"/>
        <v>#N/A</v>
      </c>
      <c r="K73" s="58" t="e">
        <f t="shared" ca="1" si="38"/>
        <v>#N/A</v>
      </c>
      <c r="L73" s="58" t="e">
        <f t="shared" ca="1" si="38"/>
        <v>#N/A</v>
      </c>
      <c r="M73" s="58" t="e">
        <f t="shared" ca="1" si="38"/>
        <v>#N/A</v>
      </c>
      <c r="N73" s="58" t="e">
        <f t="shared" ca="1" si="38"/>
        <v>#N/A</v>
      </c>
      <c r="O73" s="60"/>
      <c r="W73" s="66"/>
      <c r="X73" s="65">
        <f t="shared" si="30"/>
        <v>44351</v>
      </c>
      <c r="Y73" s="69" t="e">
        <f>SUM(Q$2:Q72)/COUNTA($P$2:$P72)</f>
        <v>#N/A</v>
      </c>
      <c r="Z73" s="69" t="e">
        <f>SUM(R$2:R72)/COUNTA($P$2:$P72)</f>
        <v>#N/A</v>
      </c>
      <c r="AA73" s="69" t="e">
        <f>SUM(S$2:S72)/COUNTA($P$2:$P72)</f>
        <v>#N/A</v>
      </c>
      <c r="AB73" s="69" t="e">
        <f>SUM(T$2:T72)/COUNTA($P$2:$P72)</f>
        <v>#N/A</v>
      </c>
      <c r="AC73" s="69" t="e">
        <f>SUM(U$2:U72)/COUNTA($P$2:$P72)</f>
        <v>#N/A</v>
      </c>
      <c r="AD73" s="69" t="e">
        <f>SUM(V$2:V72)/COUNTA($P$2:$P72)</f>
        <v>#N/A</v>
      </c>
      <c r="AE73" s="70" t="e">
        <f t="shared" si="16"/>
        <v>#N/A</v>
      </c>
      <c r="AF73" s="58" t="e">
        <f t="shared" ca="1" si="36"/>
        <v>#N/A</v>
      </c>
      <c r="AG73" s="58" t="e">
        <f t="shared" ca="1" si="36"/>
        <v>#N/A</v>
      </c>
      <c r="AH73" s="58" t="e">
        <f t="shared" ca="1" si="36"/>
        <v>#N/A</v>
      </c>
      <c r="AI73" s="58" t="e">
        <f t="shared" ca="1" si="36"/>
        <v>#N/A</v>
      </c>
      <c r="AJ73" s="58" t="e">
        <f t="shared" ca="1" si="36"/>
        <v>#N/A</v>
      </c>
      <c r="AK73" s="58" t="e">
        <f t="shared" ca="1" si="36"/>
        <v>#N/A</v>
      </c>
      <c r="AL73" s="58" t="e">
        <f t="shared" ca="1" si="36"/>
        <v>#N/A</v>
      </c>
      <c r="AP73" s="66"/>
    </row>
    <row r="74" spans="1:42" ht="24.75" customHeight="1">
      <c r="A74" s="74" t="e">
        <f t="shared" ca="1" si="28"/>
        <v>#N/A</v>
      </c>
      <c r="B74" s="56">
        <f t="shared" si="37"/>
        <v>44358</v>
      </c>
      <c r="C74" s="59">
        <f ca="1">IF($B74&lt;=TODAY(),SUMIF('Stats 2020'!$M$24:$M$1048576,"&lt;="&amp;Graphs!$B74,'Stats 2020'!O$24:O$1048576),NA())</f>
        <v>215</v>
      </c>
      <c r="D74" s="59">
        <f t="shared" ref="D74:D78" ca="1" si="41">IF($B74&lt;=TODAY(),MAX($C74,$E74,$G74,$H74)+11+16.5,NA())</f>
        <v>242.5</v>
      </c>
      <c r="E74" s="59">
        <f ca="1">IF($B74&lt;=TODAY(),SUMIF('Stats 2020'!$M$24:$M$1048576,"&lt;="&amp;Graphs!$B74,'Stats 2020'!Q$24:Q$1048576),NA())</f>
        <v>193</v>
      </c>
      <c r="F74" s="59">
        <f t="shared" ref="F74:F78" ca="1" si="42">IF($B74&lt;=TODAY(),MAX($C74,$E74,$G74,$H74)+11+16.5,NA())</f>
        <v>242.5</v>
      </c>
      <c r="G74" s="59">
        <f ca="1">IF($B74&lt;=TODAY(),SUMIF('Stats 2020'!$M$24:$M$1048576,"&lt;="&amp;Graphs!$B74,'Stats 2020'!S$24:S$1048576),NA())</f>
        <v>187.5</v>
      </c>
      <c r="H74" s="59">
        <f ca="1">IF($B74&lt;=TODAY(),SUMIF('Stats 2020'!$M$24:$M$1048576,"&lt;="&amp;Graphs!$B74,'Stats 2020'!T$24:T$1048576),NA())</f>
        <v>123.75</v>
      </c>
      <c r="I74" s="58" t="e">
        <f t="shared" ca="1" si="38"/>
        <v>#N/A</v>
      </c>
      <c r="J74" s="58" t="e">
        <f t="shared" ca="1" si="38"/>
        <v>#N/A</v>
      </c>
      <c r="K74" s="58" t="e">
        <f t="shared" ca="1" si="38"/>
        <v>#N/A</v>
      </c>
      <c r="L74" s="58" t="e">
        <f t="shared" ca="1" si="38"/>
        <v>#N/A</v>
      </c>
      <c r="M74" s="58" t="e">
        <f t="shared" ca="1" si="38"/>
        <v>#N/A</v>
      </c>
      <c r="N74" s="58" t="e">
        <f t="shared" ca="1" si="38"/>
        <v>#N/A</v>
      </c>
      <c r="O74" s="60"/>
      <c r="P74" s="65">
        <f t="shared" ref="P74" si="43">B75</f>
        <v>44365</v>
      </c>
      <c r="Q74" s="66" t="e">
        <f>VLOOKUP($B75,'Stats 2020'!$D$25:$J$89,MATCH(Graphs!Q$1,'Stats 2020'!$D$18:$J$18,0),0)</f>
        <v>#N/A</v>
      </c>
      <c r="R74" s="66" t="e">
        <f>VLOOKUP($B75,'Stats 2020'!$D$25:$J$89,MATCH(Graphs!R$1,'Stats 2020'!$D$18:$J$18,0),0)</f>
        <v>#N/A</v>
      </c>
      <c r="S74" s="66" t="e">
        <f>VLOOKUP($B75,'Stats 2020'!$D$25:$J$89,MATCH(Graphs!S$1,'Stats 2020'!$D$18:$J$18,0),0)</f>
        <v>#N/A</v>
      </c>
      <c r="T74" s="66" t="e">
        <f>VLOOKUP($B75,'Stats 2020'!$D$25:$J$89,MATCH(Graphs!T$1,'Stats 2020'!$D$18:$J$18,0),0)</f>
        <v>#N/A</v>
      </c>
      <c r="U74" s="66" t="e">
        <f>VLOOKUP($B75,'Stats 2020'!$D$25:$J$89,MATCH(Graphs!U$1,'Stats 2020'!$D$18:$J$18,0),0)</f>
        <v>#N/A</v>
      </c>
      <c r="V74" s="66" t="e">
        <f>VLOOKUP($B75,'Stats 2020'!$D$25:$J$89,MATCH(Graphs!V$1,'Stats 2020'!$D$18:$J$18,0),0)</f>
        <v>#N/A</v>
      </c>
      <c r="W74" s="66"/>
      <c r="X74" s="65">
        <f t="shared" si="30"/>
        <v>44358</v>
      </c>
      <c r="Y74" s="69" t="e">
        <f>SUM(Q$2:Q74)/COUNTA($P$2:$P74)</f>
        <v>#N/A</v>
      </c>
      <c r="Z74" s="69" t="e">
        <f>SUM(R$2:R74)/COUNTA($P$2:$P74)</f>
        <v>#N/A</v>
      </c>
      <c r="AA74" s="69" t="e">
        <f>SUM(S$2:S74)/COUNTA($P$2:$P74)</f>
        <v>#N/A</v>
      </c>
      <c r="AB74" s="69" t="e">
        <f>SUM(T$2:T74)/COUNTA($P$2:$P74)</f>
        <v>#N/A</v>
      </c>
      <c r="AC74" s="69" t="e">
        <f>SUM(U$2:U74)/COUNTA($P$2:$P74)</f>
        <v>#N/A</v>
      </c>
      <c r="AD74" s="69" t="e">
        <f>SUM(V$2:V74)/COUNTA($P$2:$P74)</f>
        <v>#N/A</v>
      </c>
      <c r="AE74" s="70" t="e">
        <f t="shared" si="16"/>
        <v>#N/A</v>
      </c>
      <c r="AF74" s="58" t="e">
        <f t="shared" ca="1" si="36"/>
        <v>#N/A</v>
      </c>
      <c r="AG74" s="58" t="e">
        <f t="shared" ca="1" si="36"/>
        <v>#N/A</v>
      </c>
      <c r="AH74" s="58" t="e">
        <f t="shared" ca="1" si="36"/>
        <v>#N/A</v>
      </c>
      <c r="AI74" s="58" t="e">
        <f t="shared" ca="1" si="36"/>
        <v>#N/A</v>
      </c>
      <c r="AJ74" s="58" t="e">
        <f t="shared" ca="1" si="36"/>
        <v>#N/A</v>
      </c>
      <c r="AK74" s="58" t="e">
        <f t="shared" ca="1" si="36"/>
        <v>#N/A</v>
      </c>
      <c r="AL74" s="58" t="e">
        <f t="shared" ca="1" si="36"/>
        <v>#N/A</v>
      </c>
      <c r="AP74" s="66"/>
    </row>
    <row r="75" spans="1:42" ht="24.75" customHeight="1">
      <c r="A75" s="74" t="e">
        <f t="shared" ca="1" si="28"/>
        <v>#N/A</v>
      </c>
      <c r="B75" s="56">
        <f t="shared" si="37"/>
        <v>44365</v>
      </c>
      <c r="C75" s="59">
        <f ca="1">IF($B75&lt;=TODAY(),SUMIF('Stats 2020'!$M$24:$M$1048576,"&lt;="&amp;Graphs!$B75,'Stats 2020'!O$24:O$1048576),NA())</f>
        <v>215</v>
      </c>
      <c r="D75" s="59">
        <f t="shared" ca="1" si="41"/>
        <v>242.5</v>
      </c>
      <c r="E75" s="59">
        <f ca="1">IF($B75&lt;=TODAY(),SUMIF('Stats 2020'!$M$24:$M$1048576,"&lt;="&amp;Graphs!$B75,'Stats 2020'!Q$24:Q$1048576),NA())</f>
        <v>193</v>
      </c>
      <c r="F75" s="59">
        <f t="shared" ca="1" si="42"/>
        <v>242.5</v>
      </c>
      <c r="G75" s="59">
        <f ca="1">IF($B75&lt;=TODAY(),SUMIF('Stats 2020'!$M$24:$M$1048576,"&lt;="&amp;Graphs!$B75,'Stats 2020'!S$24:S$1048576),NA())</f>
        <v>187.5</v>
      </c>
      <c r="H75" s="59">
        <f ca="1">IF($B75&lt;=TODAY(),SUMIF('Stats 2020'!$M$24:$M$1048576,"&lt;="&amp;Graphs!$B75,'Stats 2020'!T$24:T$1048576),NA())</f>
        <v>123.75</v>
      </c>
      <c r="I75" s="58" t="e">
        <f t="shared" ca="1" si="38"/>
        <v>#N/A</v>
      </c>
      <c r="J75" s="58" t="e">
        <f t="shared" ca="1" si="38"/>
        <v>#N/A</v>
      </c>
      <c r="K75" s="58" t="e">
        <f t="shared" ca="1" si="38"/>
        <v>#N/A</v>
      </c>
      <c r="L75" s="58" t="e">
        <f t="shared" ca="1" si="38"/>
        <v>#N/A</v>
      </c>
      <c r="M75" s="58" t="e">
        <f t="shared" ca="1" si="38"/>
        <v>#N/A</v>
      </c>
      <c r="N75" s="58" t="e">
        <f t="shared" ca="1" si="38"/>
        <v>#N/A</v>
      </c>
      <c r="O75" s="60"/>
      <c r="W75" s="66"/>
      <c r="X75" s="65">
        <f t="shared" si="30"/>
        <v>44365</v>
      </c>
      <c r="Y75" s="69" t="e">
        <f>SUM(Q$2:Q75)/COUNTA($P$2:$P75)</f>
        <v>#N/A</v>
      </c>
      <c r="Z75" s="69" t="e">
        <f>SUM(R$2:R75)/COUNTA($P$2:$P75)</f>
        <v>#N/A</v>
      </c>
      <c r="AA75" s="69" t="e">
        <f>SUM(S$2:S75)/COUNTA($P$2:$P75)</f>
        <v>#N/A</v>
      </c>
      <c r="AB75" s="69" t="e">
        <f>SUM(T$2:T75)/COUNTA($P$2:$P75)</f>
        <v>#N/A</v>
      </c>
      <c r="AC75" s="69" t="e">
        <f>SUM(U$2:U75)/COUNTA($P$2:$P75)</f>
        <v>#N/A</v>
      </c>
      <c r="AD75" s="69" t="e">
        <f>SUM(V$2:V75)/COUNTA($P$2:$P75)</f>
        <v>#N/A</v>
      </c>
      <c r="AE75" s="70" t="e">
        <f t="shared" si="16"/>
        <v>#N/A</v>
      </c>
      <c r="AF75" s="58" t="e">
        <f t="shared" ca="1" si="36"/>
        <v>#N/A</v>
      </c>
      <c r="AG75" s="58" t="e">
        <f t="shared" ca="1" si="36"/>
        <v>#N/A</v>
      </c>
      <c r="AH75" s="58" t="e">
        <f t="shared" ca="1" si="36"/>
        <v>#N/A</v>
      </c>
      <c r="AI75" s="58" t="e">
        <f t="shared" ca="1" si="36"/>
        <v>#N/A</v>
      </c>
      <c r="AJ75" s="58" t="e">
        <f t="shared" ca="1" si="36"/>
        <v>#N/A</v>
      </c>
      <c r="AK75" s="58" t="e">
        <f t="shared" ca="1" si="36"/>
        <v>#N/A</v>
      </c>
      <c r="AL75" s="58" t="e">
        <f t="shared" ca="1" si="36"/>
        <v>#N/A</v>
      </c>
      <c r="AP75" s="66"/>
    </row>
    <row r="76" spans="1:42" ht="24.75" customHeight="1">
      <c r="A76" s="74" t="e">
        <f t="shared" ca="1" si="28"/>
        <v>#N/A</v>
      </c>
      <c r="B76" s="56">
        <f t="shared" si="37"/>
        <v>44372</v>
      </c>
      <c r="C76" s="59">
        <f ca="1">IF($B76&lt;=TODAY(),SUMIF('Stats 2020'!$M$24:$M$1048576,"&lt;="&amp;Graphs!$B76,'Stats 2020'!O$24:O$1048576),NA())</f>
        <v>215</v>
      </c>
      <c r="D76" s="59">
        <f t="shared" ca="1" si="41"/>
        <v>242.5</v>
      </c>
      <c r="E76" s="59">
        <f ca="1">IF($B76&lt;=TODAY(),SUMIF('Stats 2020'!$M$24:$M$1048576,"&lt;="&amp;Graphs!$B76,'Stats 2020'!Q$24:Q$1048576),NA())</f>
        <v>193</v>
      </c>
      <c r="F76" s="59">
        <f t="shared" ca="1" si="42"/>
        <v>242.5</v>
      </c>
      <c r="G76" s="59">
        <f ca="1">IF($B76&lt;=TODAY(),SUMIF('Stats 2020'!$M$24:$M$1048576,"&lt;="&amp;Graphs!$B76,'Stats 2020'!S$24:S$1048576),NA())</f>
        <v>187.5</v>
      </c>
      <c r="H76" s="59">
        <f ca="1">IF($B76&lt;=TODAY(),SUMIF('Stats 2020'!$M$24:$M$1048576,"&lt;="&amp;Graphs!$B76,'Stats 2020'!T$24:T$1048576),NA())</f>
        <v>123.75</v>
      </c>
      <c r="I76" s="58" t="e">
        <f t="shared" ca="1" si="38"/>
        <v>#N/A</v>
      </c>
      <c r="J76" s="58" t="e">
        <f t="shared" ca="1" si="38"/>
        <v>#N/A</v>
      </c>
      <c r="K76" s="58" t="e">
        <f t="shared" ca="1" si="38"/>
        <v>#N/A</v>
      </c>
      <c r="L76" s="58" t="e">
        <f t="shared" ca="1" si="38"/>
        <v>#N/A</v>
      </c>
      <c r="M76" s="58" t="e">
        <f t="shared" ca="1" si="38"/>
        <v>#N/A</v>
      </c>
      <c r="N76" s="58" t="e">
        <f t="shared" ca="1" si="38"/>
        <v>#N/A</v>
      </c>
      <c r="O76" s="60"/>
      <c r="P76" s="65">
        <f t="shared" ref="P76" si="44">B77</f>
        <v>44379</v>
      </c>
      <c r="Q76" s="66" t="e">
        <f>VLOOKUP($B77,'Stats 2020'!$D$25:$J$89,MATCH(Graphs!Q$1,'Stats 2020'!$D$18:$J$18,0),0)</f>
        <v>#N/A</v>
      </c>
      <c r="R76" s="66" t="e">
        <f>VLOOKUP($B77,'Stats 2020'!$D$25:$J$89,MATCH(Graphs!R$1,'Stats 2020'!$D$18:$J$18,0),0)</f>
        <v>#N/A</v>
      </c>
      <c r="S76" s="66" t="e">
        <f>VLOOKUP($B77,'Stats 2020'!$D$25:$J$89,MATCH(Graphs!S$1,'Stats 2020'!$D$18:$J$18,0),0)</f>
        <v>#N/A</v>
      </c>
      <c r="T76" s="66" t="e">
        <f>VLOOKUP($B77,'Stats 2020'!$D$25:$J$89,MATCH(Graphs!T$1,'Stats 2020'!$D$18:$J$18,0),0)</f>
        <v>#N/A</v>
      </c>
      <c r="U76" s="66" t="e">
        <f>VLOOKUP($B77,'Stats 2020'!$D$25:$J$89,MATCH(Graphs!U$1,'Stats 2020'!$D$18:$J$18,0),0)</f>
        <v>#N/A</v>
      </c>
      <c r="V76" s="66" t="e">
        <f>VLOOKUP($B77,'Stats 2020'!$D$25:$J$89,MATCH(Graphs!V$1,'Stats 2020'!$D$18:$J$18,0),0)</f>
        <v>#N/A</v>
      </c>
      <c r="W76" s="66"/>
      <c r="X76" s="65">
        <f t="shared" si="30"/>
        <v>44372</v>
      </c>
      <c r="Y76" s="69" t="e">
        <f>SUM(Q$2:Q76)/COUNTA($P$2:$P76)</f>
        <v>#N/A</v>
      </c>
      <c r="Z76" s="69" t="e">
        <f>SUM(R$2:R76)/COUNTA($P$2:$P76)</f>
        <v>#N/A</v>
      </c>
      <c r="AA76" s="69" t="e">
        <f>SUM(S$2:S76)/COUNTA($P$2:$P76)</f>
        <v>#N/A</v>
      </c>
      <c r="AB76" s="69" t="e">
        <f>SUM(T$2:T76)/COUNTA($P$2:$P76)</f>
        <v>#N/A</v>
      </c>
      <c r="AC76" s="69" t="e">
        <f>SUM(U$2:U76)/COUNTA($P$2:$P76)</f>
        <v>#N/A</v>
      </c>
      <c r="AD76" s="69" t="e">
        <f>SUM(V$2:V76)/COUNTA($P$2:$P76)</f>
        <v>#N/A</v>
      </c>
      <c r="AE76" s="70" t="e">
        <f t="shared" si="16"/>
        <v>#N/A</v>
      </c>
      <c r="AF76" s="58" t="e">
        <f t="shared" ca="1" si="36"/>
        <v>#N/A</v>
      </c>
      <c r="AG76" s="58" t="e">
        <f t="shared" ca="1" si="36"/>
        <v>#N/A</v>
      </c>
      <c r="AH76" s="58" t="e">
        <f t="shared" ca="1" si="36"/>
        <v>#N/A</v>
      </c>
      <c r="AI76" s="58" t="e">
        <f t="shared" ca="1" si="36"/>
        <v>#N/A</v>
      </c>
      <c r="AJ76" s="58" t="e">
        <f t="shared" ca="1" si="36"/>
        <v>#N/A</v>
      </c>
      <c r="AK76" s="58" t="e">
        <f t="shared" ca="1" si="36"/>
        <v>#N/A</v>
      </c>
      <c r="AL76" s="58" t="e">
        <f t="shared" ca="1" si="36"/>
        <v>#N/A</v>
      </c>
      <c r="AP76" s="66"/>
    </row>
    <row r="77" spans="1:42" ht="24.75" customHeight="1">
      <c r="A77" s="74" t="e">
        <f t="shared" ca="1" si="28"/>
        <v>#N/A</v>
      </c>
      <c r="B77" s="56">
        <f t="shared" si="37"/>
        <v>44379</v>
      </c>
      <c r="C77" s="59">
        <f ca="1">IF($B77&lt;=TODAY(),SUMIF('Stats 2020'!$M$24:$M$1048576,"&lt;="&amp;Graphs!$B77,'Stats 2020'!O$24:O$1048576),NA())</f>
        <v>215</v>
      </c>
      <c r="D77" s="59">
        <f t="shared" ca="1" si="41"/>
        <v>242.5</v>
      </c>
      <c r="E77" s="59">
        <f ca="1">IF($B77&lt;=TODAY(),SUMIF('Stats 2020'!$M$24:$M$1048576,"&lt;="&amp;Graphs!$B77,'Stats 2020'!Q$24:Q$1048576),NA())</f>
        <v>193</v>
      </c>
      <c r="F77" s="59">
        <f t="shared" ca="1" si="42"/>
        <v>242.5</v>
      </c>
      <c r="G77" s="59">
        <f ca="1">IF($B77&lt;=TODAY(),SUMIF('Stats 2020'!$M$24:$M$1048576,"&lt;="&amp;Graphs!$B77,'Stats 2020'!S$24:S$1048576),NA())</f>
        <v>187.5</v>
      </c>
      <c r="H77" s="59">
        <f ca="1">IF($B77&lt;=TODAY(),SUMIF('Stats 2020'!$M$24:$M$1048576,"&lt;="&amp;Graphs!$B77,'Stats 2020'!T$24:T$1048576),NA())</f>
        <v>123.75</v>
      </c>
      <c r="I77" s="58" t="e">
        <f t="shared" ca="1" si="38"/>
        <v>#N/A</v>
      </c>
      <c r="J77" s="58" t="e">
        <f t="shared" ca="1" si="38"/>
        <v>#N/A</v>
      </c>
      <c r="K77" s="58" t="e">
        <f t="shared" ca="1" si="38"/>
        <v>#N/A</v>
      </c>
      <c r="L77" s="58" t="e">
        <f t="shared" ca="1" si="38"/>
        <v>#N/A</v>
      </c>
      <c r="M77" s="58" t="e">
        <f t="shared" ca="1" si="38"/>
        <v>#N/A</v>
      </c>
      <c r="N77" s="58" t="e">
        <f t="shared" ca="1" si="38"/>
        <v>#N/A</v>
      </c>
      <c r="O77" s="60"/>
      <c r="W77" s="66"/>
      <c r="X77" s="65">
        <f t="shared" si="30"/>
        <v>44379</v>
      </c>
      <c r="Y77" s="69" t="e">
        <f>SUM(Q$2:Q77)/COUNTA($P$2:$P77)</f>
        <v>#N/A</v>
      </c>
      <c r="Z77" s="69" t="e">
        <f>SUM(R$2:R77)/COUNTA($P$2:$P77)</f>
        <v>#N/A</v>
      </c>
      <c r="AA77" s="69" t="e">
        <f>SUM(S$2:S77)/COUNTA($P$2:$P77)</f>
        <v>#N/A</v>
      </c>
      <c r="AB77" s="69" t="e">
        <f>SUM(T$2:T77)/COUNTA($P$2:$P77)</f>
        <v>#N/A</v>
      </c>
      <c r="AC77" s="69" t="e">
        <f>SUM(U$2:U77)/COUNTA($P$2:$P77)</f>
        <v>#N/A</v>
      </c>
      <c r="AD77" s="69" t="e">
        <f>SUM(V$2:V77)/COUNTA($P$2:$P77)</f>
        <v>#N/A</v>
      </c>
      <c r="AE77" s="70" t="e">
        <f t="shared" si="16"/>
        <v>#N/A</v>
      </c>
      <c r="AF77" s="58" t="e">
        <f t="shared" ca="1" si="36"/>
        <v>#N/A</v>
      </c>
      <c r="AG77" s="58" t="e">
        <f t="shared" ca="1" si="36"/>
        <v>#N/A</v>
      </c>
      <c r="AH77" s="58" t="e">
        <f t="shared" ca="1" si="36"/>
        <v>#N/A</v>
      </c>
      <c r="AI77" s="58" t="e">
        <f t="shared" ca="1" si="36"/>
        <v>#N/A</v>
      </c>
      <c r="AJ77" s="58" t="e">
        <f t="shared" ca="1" si="36"/>
        <v>#N/A</v>
      </c>
      <c r="AK77" s="58" t="e">
        <f t="shared" ca="1" si="36"/>
        <v>#N/A</v>
      </c>
      <c r="AL77" s="58" t="e">
        <f t="shared" ca="1" si="36"/>
        <v>#N/A</v>
      </c>
      <c r="AP77" s="66"/>
    </row>
    <row r="78" spans="1:42" ht="24.75" customHeight="1">
      <c r="A78" s="74" t="e">
        <f t="shared" ca="1" si="28"/>
        <v>#N/A</v>
      </c>
      <c r="B78" s="56">
        <f t="shared" si="37"/>
        <v>44386</v>
      </c>
      <c r="C78" s="59">
        <f ca="1">IF($B78&lt;=TODAY(),SUMIF('Stats 2020'!$M$24:$M$1048576,"&lt;="&amp;Graphs!$B78,'Stats 2020'!O$24:O$1048576),NA())</f>
        <v>215</v>
      </c>
      <c r="D78" s="59">
        <f t="shared" ca="1" si="41"/>
        <v>242.5</v>
      </c>
      <c r="E78" s="59">
        <f ca="1">IF($B78&lt;=TODAY(),SUMIF('Stats 2020'!$M$24:$M$1048576,"&lt;="&amp;Graphs!$B78,'Stats 2020'!Q$24:Q$1048576),NA())</f>
        <v>193</v>
      </c>
      <c r="F78" s="59">
        <f t="shared" ca="1" si="42"/>
        <v>242.5</v>
      </c>
      <c r="G78" s="59">
        <f ca="1">IF($B78&lt;=TODAY(),SUMIF('Stats 2020'!$M$24:$M$1048576,"&lt;="&amp;Graphs!$B78,'Stats 2020'!S$24:S$1048576),NA())</f>
        <v>187.5</v>
      </c>
      <c r="H78" s="59">
        <f ca="1">IF($B78&lt;=TODAY(),SUMIF('Stats 2020'!$M$24:$M$1048576,"&lt;="&amp;Graphs!$B78,'Stats 2020'!T$24:T$1048576),NA())</f>
        <v>123.75</v>
      </c>
      <c r="I78" s="58" t="e">
        <f t="shared" ca="1" si="38"/>
        <v>#N/A</v>
      </c>
      <c r="J78" s="58" t="e">
        <f t="shared" ca="1" si="38"/>
        <v>#N/A</v>
      </c>
      <c r="K78" s="58" t="e">
        <f t="shared" ca="1" si="38"/>
        <v>#N/A</v>
      </c>
      <c r="L78" s="58" t="e">
        <f t="shared" ca="1" si="38"/>
        <v>#N/A</v>
      </c>
      <c r="M78" s="58" t="e">
        <f t="shared" ca="1" si="38"/>
        <v>#N/A</v>
      </c>
      <c r="N78" s="58" t="e">
        <f t="shared" ca="1" si="38"/>
        <v>#N/A</v>
      </c>
      <c r="O78" s="60"/>
      <c r="P78" s="65">
        <f t="shared" ref="P78" si="45">B79</f>
        <v>0</v>
      </c>
      <c r="Q78" s="66" t="e">
        <f>VLOOKUP($B79,'Stats 2020'!$D$25:$J$89,MATCH(Graphs!Q$1,'Stats 2020'!$D$18:$J$18,0),0)</f>
        <v>#N/A</v>
      </c>
      <c r="R78" s="66" t="e">
        <f>VLOOKUP($B79,'Stats 2020'!$D$25:$J$89,MATCH(Graphs!R$1,'Stats 2020'!$D$18:$J$18,0),0)</f>
        <v>#N/A</v>
      </c>
      <c r="S78" s="66" t="e">
        <f>VLOOKUP($B79,'Stats 2020'!$D$25:$J$89,MATCH(Graphs!S$1,'Stats 2020'!$D$18:$J$18,0),0)</f>
        <v>#N/A</v>
      </c>
      <c r="T78" s="66" t="e">
        <f>VLOOKUP($B79,'Stats 2020'!$D$25:$J$89,MATCH(Graphs!T$1,'Stats 2020'!$D$18:$J$18,0),0)</f>
        <v>#N/A</v>
      </c>
      <c r="U78" s="66" t="e">
        <f>VLOOKUP($B79,'Stats 2020'!$D$25:$J$89,MATCH(Graphs!U$1,'Stats 2020'!$D$18:$J$18,0),0)</f>
        <v>#N/A</v>
      </c>
      <c r="V78" s="66" t="e">
        <f>VLOOKUP($B79,'Stats 2020'!$D$25:$J$89,MATCH(Graphs!V$1,'Stats 2020'!$D$18:$J$18,0),0)</f>
        <v>#N/A</v>
      </c>
      <c r="W78" s="66"/>
      <c r="X78" s="65">
        <f t="shared" si="30"/>
        <v>44386</v>
      </c>
      <c r="Y78" s="69" t="e">
        <f>SUM(Q$2:Q78)/COUNTA($P$2:$P78)</f>
        <v>#N/A</v>
      </c>
      <c r="Z78" s="69" t="e">
        <f>SUM(R$2:R78)/COUNTA($P$2:$P78)</f>
        <v>#N/A</v>
      </c>
      <c r="AA78" s="69" t="e">
        <f>SUM(S$2:S78)/COUNTA($P$2:$P78)</f>
        <v>#N/A</v>
      </c>
      <c r="AB78" s="69" t="e">
        <f>SUM(T$2:T78)/COUNTA($P$2:$P78)</f>
        <v>#N/A</v>
      </c>
      <c r="AC78" s="69" t="e">
        <f>SUM(U$2:U78)/COUNTA($P$2:$P78)</f>
        <v>#N/A</v>
      </c>
      <c r="AD78" s="69" t="e">
        <f>SUM(V$2:V78)/COUNTA($P$2:$P78)</f>
        <v>#N/A</v>
      </c>
      <c r="AE78" s="70" t="e">
        <f t="shared" si="16"/>
        <v>#N/A</v>
      </c>
      <c r="AF78" s="58" t="e">
        <f t="shared" ca="1" si="36"/>
        <v>#N/A</v>
      </c>
      <c r="AG78" s="58" t="e">
        <f t="shared" ca="1" si="36"/>
        <v>#N/A</v>
      </c>
      <c r="AH78" s="58" t="e">
        <f t="shared" ca="1" si="36"/>
        <v>#N/A</v>
      </c>
      <c r="AI78" s="58" t="e">
        <f t="shared" ca="1" si="36"/>
        <v>#N/A</v>
      </c>
      <c r="AJ78" s="58" t="e">
        <f t="shared" ca="1" si="36"/>
        <v>#N/A</v>
      </c>
      <c r="AK78" s="58" t="e">
        <f t="shared" ca="1" si="36"/>
        <v>#N/A</v>
      </c>
      <c r="AL78" s="58" t="e">
        <f t="shared" ca="1" si="36"/>
        <v>#N/A</v>
      </c>
      <c r="AP78" s="66"/>
    </row>
  </sheetData>
  <conditionalFormatting sqref="A2:AL2 P3:P59 Q3:V65 A3:O78 W3:AL78">
    <cfRule type="expression" dxfId="190" priority="1">
      <formula>$B2&gt;TODAY()</formula>
    </cfRule>
  </conditionalFormatting>
  <conditionalFormatting sqref="P60 P62:P63 P66:V66 P68:V68 P70:V70 P72:V72 P74:V74 P76:V76 P78:V78">
    <cfRule type="expression" dxfId="189" priority="948">
      <formula>$B61&gt;TODAY()</formula>
    </cfRule>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22E06-C269-4207-91BE-2208B29C81BB}">
  <sheetPr codeName="Sheet3"/>
  <dimension ref="B1:AH91"/>
  <sheetViews>
    <sheetView tabSelected="1" zoomScaleNormal="100" zoomScaleSheetLayoutView="70" workbookViewId="0">
      <pane xSplit="14" ySplit="23" topLeftCell="O60" activePane="bottomRight" state="frozen"/>
      <selection pane="topRight" activeCell="P1" sqref="P1"/>
      <selection pane="bottomLeft" activeCell="A24" sqref="A24"/>
      <selection pane="bottomRight" activeCell="R70" sqref="R70"/>
    </sheetView>
  </sheetViews>
  <sheetFormatPr defaultColWidth="11.3828125" defaultRowHeight="16.75"/>
  <cols>
    <col min="1" max="1" width="4" style="1" customWidth="1"/>
    <col min="2" max="2" width="5.15234375" style="210" customWidth="1"/>
    <col min="3" max="3" width="7.3046875" style="2" customWidth="1"/>
    <col min="4" max="4" width="12.53515625" style="1" customWidth="1"/>
    <col min="5" max="5" width="10.3046875" style="1" bestFit="1" customWidth="1"/>
    <col min="6" max="6" width="7.15234375" style="1" customWidth="1"/>
    <col min="7" max="7" width="7.3828125" style="1" customWidth="1"/>
    <col min="8" max="9" width="7.15234375" style="1" customWidth="1"/>
    <col min="10" max="10" width="7.84375" style="1" bestFit="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211"/>
      <c r="C5" s="7" t="s">
        <v>13</v>
      </c>
      <c r="D5" s="8"/>
      <c r="E5" s="8"/>
      <c r="F5" s="8"/>
      <c r="G5" s="8"/>
      <c r="H5" s="8"/>
      <c r="I5" s="9"/>
      <c r="J5" s="9"/>
      <c r="L5" s="6"/>
      <c r="M5" s="31" t="s">
        <v>14</v>
      </c>
      <c r="N5" s="8"/>
      <c r="O5" s="234" t="s">
        <v>31</v>
      </c>
      <c r="P5" s="234"/>
      <c r="Q5" s="234"/>
      <c r="R5" s="234"/>
      <c r="S5" s="235"/>
      <c r="T5" s="236">
        <f>W16</f>
        <v>6703.25</v>
      </c>
      <c r="U5" s="237"/>
      <c r="V5" s="238" t="s">
        <v>53</v>
      </c>
      <c r="W5" s="239"/>
      <c r="X5" s="238" t="s">
        <v>57</v>
      </c>
      <c r="Y5" s="239"/>
      <c r="Z5" s="238" t="s">
        <v>62</v>
      </c>
      <c r="AA5" s="239"/>
    </row>
    <row r="6" spans="2:27" ht="23.25" customHeight="1">
      <c r="B6" s="211"/>
      <c r="L6" s="6"/>
      <c r="V6" s="240"/>
      <c r="W6" s="241"/>
      <c r="X6" s="240"/>
      <c r="Y6" s="241"/>
      <c r="Z6" s="240"/>
      <c r="AA6" s="241"/>
    </row>
    <row r="7" spans="2:27">
      <c r="B7" s="33" t="s">
        <v>332</v>
      </c>
      <c r="C7" s="33" t="s">
        <v>6</v>
      </c>
      <c r="D7" s="33" t="s">
        <v>7</v>
      </c>
      <c r="E7" s="35" t="s">
        <v>8</v>
      </c>
      <c r="F7" s="35" t="s">
        <v>9</v>
      </c>
      <c r="I7" s="11"/>
      <c r="J7" s="11"/>
      <c r="L7" s="6"/>
      <c r="N7" s="33" t="s">
        <v>6</v>
      </c>
      <c r="O7" s="68" t="s">
        <v>16</v>
      </c>
      <c r="P7" s="68" t="s">
        <v>17</v>
      </c>
      <c r="Q7" s="244" t="s">
        <v>26</v>
      </c>
      <c r="R7" s="244"/>
      <c r="S7" s="245" t="s">
        <v>27</v>
      </c>
      <c r="T7" s="245"/>
      <c r="U7" s="34"/>
      <c r="V7" s="242"/>
      <c r="W7" s="243"/>
      <c r="X7" s="242"/>
      <c r="Y7" s="243"/>
      <c r="Z7" s="242"/>
      <c r="AA7" s="243"/>
    </row>
    <row r="8" spans="2:27" ht="16.5" customHeight="1">
      <c r="B8" s="10">
        <f>RANK(G8,$G$8:$G$13,1)
 + COUNTIFS($G$8:$G$13,G8,$H$8:$H$13,"&gt;"&amp;H8)</f>
        <v>4</v>
      </c>
      <c r="C8" s="12" t="s">
        <v>0</v>
      </c>
      <c r="D8" s="12">
        <f>ROUND(HLOOKUP(C8,$E$18:$J$20,3,FALSE),0)</f>
        <v>21</v>
      </c>
      <c r="E8" s="28">
        <f ca="1">D8/$C$20</f>
        <v>0.52500000000000002</v>
      </c>
      <c r="F8" s="28">
        <f ca="1">1-E8</f>
        <v>0.47499999999999998</v>
      </c>
      <c r="G8" s="27">
        <f>RANK(D8,$D$8:$D$13,0)</f>
        <v>3</v>
      </c>
      <c r="H8" s="27">
        <f>RANK(E21,$E$21:$J$21,0)</f>
        <v>4</v>
      </c>
      <c r="L8" s="6"/>
      <c r="N8" s="10" t="s">
        <v>2</v>
      </c>
      <c r="O8" s="13">
        <f>R20</f>
        <v>255</v>
      </c>
      <c r="P8" s="13">
        <v>0</v>
      </c>
      <c r="Q8" s="221"/>
      <c r="R8" s="221"/>
      <c r="S8" s="221" t="s">
        <v>18</v>
      </c>
      <c r="T8" s="221"/>
      <c r="V8" s="221" t="s">
        <v>49</v>
      </c>
      <c r="W8" s="221"/>
      <c r="X8" s="221" t="s">
        <v>59</v>
      </c>
      <c r="Y8" s="221"/>
      <c r="Z8" s="221" t="s">
        <v>66</v>
      </c>
      <c r="AA8" s="221"/>
    </row>
    <row r="9" spans="2:27">
      <c r="B9" s="10">
        <f>RANK(G9,$G$8:$G$13,1)
 + COUNTIFS($G$8:$G$13,G9,$H$8:$H$13,"&gt;"&amp;H9)</f>
        <v>6</v>
      </c>
      <c r="C9" s="12" t="s">
        <v>4</v>
      </c>
      <c r="D9" s="12">
        <f t="shared" ref="D9:D13" si="0">ROUND(HLOOKUP(C9,$E$18:$J$20,3,FALSE),0)</f>
        <v>15</v>
      </c>
      <c r="E9" s="28">
        <f t="shared" ref="E9:E10" ca="1" si="1">D9/$C$20</f>
        <v>0.375</v>
      </c>
      <c r="F9" s="28">
        <f ca="1">1-E9</f>
        <v>0.625</v>
      </c>
      <c r="G9" s="27">
        <f>RANK(D9,$D$8:$D$13,0)</f>
        <v>6</v>
      </c>
      <c r="H9" s="27">
        <f>RANK(F21,$E$21:$J$21,0)</f>
        <v>2</v>
      </c>
      <c r="J9"/>
      <c r="L9" s="6"/>
      <c r="N9" s="10" t="s">
        <v>4</v>
      </c>
      <c r="O9" s="13">
        <f>P20</f>
        <v>341.5</v>
      </c>
      <c r="P9" s="13">
        <v>0</v>
      </c>
      <c r="Q9" s="221"/>
      <c r="R9" s="221"/>
      <c r="S9" s="221" t="s">
        <v>18</v>
      </c>
      <c r="T9" s="221"/>
      <c r="V9" s="221" t="s">
        <v>50</v>
      </c>
      <c r="W9" s="221"/>
      <c r="X9" s="221" t="s">
        <v>58</v>
      </c>
      <c r="Y9" s="221"/>
      <c r="Z9" s="221" t="s">
        <v>65</v>
      </c>
      <c r="AA9" s="221"/>
    </row>
    <row r="10" spans="2:27">
      <c r="B10" s="10">
        <f t="shared" ref="B10" si="2">RANK(G10,$G$8:$G$13,1)
 + COUNTIFS($G$8:$G$13,G10,$H$8:$H$13,"&gt;"&amp;H10)</f>
        <v>5</v>
      </c>
      <c r="C10" s="12" t="s">
        <v>1</v>
      </c>
      <c r="D10" s="12">
        <f t="shared" si="0"/>
        <v>17</v>
      </c>
      <c r="E10" s="28">
        <f t="shared" ca="1" si="1"/>
        <v>0.42499999999999999</v>
      </c>
      <c r="F10" s="28">
        <f t="shared" ref="F10" ca="1" si="3">1-E10</f>
        <v>0.57499999999999996</v>
      </c>
      <c r="G10" s="27">
        <f t="shared" ref="G10" si="4">RANK(D10,$D$8:$D$13,0)</f>
        <v>5</v>
      </c>
      <c r="H10" s="27">
        <f>RANK(G21,$E$21:$J$21,0)</f>
        <v>5</v>
      </c>
      <c r="J10"/>
      <c r="L10" s="6"/>
      <c r="M10"/>
      <c r="N10" s="10" t="s">
        <v>3</v>
      </c>
      <c r="O10" s="13">
        <f>S20</f>
        <v>161.25</v>
      </c>
      <c r="P10" s="13">
        <v>0</v>
      </c>
      <c r="Q10" s="221"/>
      <c r="R10" s="221"/>
      <c r="S10" s="221" t="s">
        <v>18</v>
      </c>
      <c r="T10" s="221"/>
      <c r="V10" s="221" t="s">
        <v>49</v>
      </c>
      <c r="W10" s="221"/>
      <c r="X10" s="221" t="s">
        <v>61</v>
      </c>
      <c r="Y10" s="221"/>
      <c r="Z10" s="221" t="s">
        <v>67</v>
      </c>
      <c r="AA10" s="221"/>
    </row>
    <row r="11" spans="2:27">
      <c r="B11" s="10">
        <f>RANK(G11,$G$8:$G$13,1)
 + COUNTIFS($G$8:$G$13,G11,$H$8:$H$13,"&gt;"&amp;H11)</f>
        <v>3</v>
      </c>
      <c r="C11" s="12" t="s">
        <v>2</v>
      </c>
      <c r="D11" s="12">
        <f t="shared" si="0"/>
        <v>21</v>
      </c>
      <c r="E11" s="28">
        <f ca="1">D11/$C$20</f>
        <v>0.52500000000000002</v>
      </c>
      <c r="F11" s="28">
        <f ca="1">1-E11</f>
        <v>0.47499999999999998</v>
      </c>
      <c r="G11" s="27">
        <f>RANK(D11,$D$8:$D$13,0)</f>
        <v>3</v>
      </c>
      <c r="H11" s="27">
        <f>RANK(H21,$E$21:$J$21,0)</f>
        <v>5</v>
      </c>
      <c r="L11" s="6"/>
      <c r="N11" s="10" t="s">
        <v>1</v>
      </c>
      <c r="O11" s="13">
        <f>Q20</f>
        <v>307.5</v>
      </c>
      <c r="P11" s="13">
        <v>0</v>
      </c>
      <c r="Q11" s="221"/>
      <c r="R11" s="221"/>
      <c r="S11" s="221" t="s">
        <v>18</v>
      </c>
      <c r="T11" s="221"/>
      <c r="V11" s="221" t="s">
        <v>49</v>
      </c>
      <c r="W11" s="221"/>
      <c r="X11" s="221" t="s">
        <v>60</v>
      </c>
      <c r="Y11" s="221"/>
      <c r="Z11" s="221" t="s">
        <v>68</v>
      </c>
      <c r="AA11" s="221"/>
    </row>
    <row r="12" spans="2:27">
      <c r="B12" s="10">
        <f>RANK(G12,$G$8:$G$13,1)
 + COUNTIFS($G$8:$G$13,G12,$H$8:$H$13,"&gt;"&amp;H12)</f>
        <v>2</v>
      </c>
      <c r="C12" s="12" t="s">
        <v>3</v>
      </c>
      <c r="D12" s="12">
        <f t="shared" si="0"/>
        <v>29</v>
      </c>
      <c r="E12" s="28">
        <f ca="1">D12/$C$20</f>
        <v>0.72499999999999998</v>
      </c>
      <c r="F12" s="28">
        <f ca="1">1-E12</f>
        <v>0.27500000000000002</v>
      </c>
      <c r="G12" s="27">
        <f>RANK(D12,$D$8:$D$13,0)</f>
        <v>2</v>
      </c>
      <c r="H12" s="27">
        <f>RANK(I21,$E$21:$J$21,0)</f>
        <v>2</v>
      </c>
      <c r="I12"/>
      <c r="L12" s="6"/>
      <c r="N12" s="10" t="s">
        <v>0</v>
      </c>
      <c r="O12" s="47">
        <f>O20</f>
        <v>258.75</v>
      </c>
      <c r="P12" s="13">
        <v>0</v>
      </c>
      <c r="Q12" s="221"/>
      <c r="R12" s="221"/>
      <c r="S12" s="221" t="s">
        <v>18</v>
      </c>
      <c r="T12" s="221"/>
      <c r="V12" s="221" t="s">
        <v>51</v>
      </c>
      <c r="W12" s="221"/>
      <c r="X12" s="221" t="s">
        <v>360</v>
      </c>
      <c r="Y12" s="221"/>
      <c r="Z12" s="221" t="s">
        <v>64</v>
      </c>
      <c r="AA12" s="221"/>
    </row>
    <row r="13" spans="2:27">
      <c r="B13" s="10">
        <f>RANK(G13,$G$8:$G$13,1)
 + COUNTIFS($G$8:$G$13,G13,$H$8:$H$13,"&gt;"&amp;H13)</f>
        <v>1</v>
      </c>
      <c r="C13" s="12" t="s">
        <v>21</v>
      </c>
      <c r="D13" s="12">
        <f t="shared" si="0"/>
        <v>31</v>
      </c>
      <c r="E13" s="28">
        <f ca="1">D13/$C$20</f>
        <v>0.77500000000000002</v>
      </c>
      <c r="F13" s="28">
        <f ca="1">1-E13</f>
        <v>0.22499999999999998</v>
      </c>
      <c r="G13" s="27">
        <f>RANK(D13,$D$8:$D$13,0)</f>
        <v>1</v>
      </c>
      <c r="H13" s="27">
        <f>RANK(J21,$E$21:$J$21,0)</f>
        <v>1</v>
      </c>
      <c r="L13" s="6"/>
      <c r="N13" s="10" t="s">
        <v>22</v>
      </c>
      <c r="O13" s="13">
        <f>T20</f>
        <v>141.25</v>
      </c>
      <c r="P13" s="13">
        <v>0</v>
      </c>
      <c r="Q13" s="221"/>
      <c r="R13" s="221"/>
      <c r="S13" s="221" t="s">
        <v>18</v>
      </c>
      <c r="T13" s="221"/>
      <c r="V13" s="221" t="s">
        <v>52</v>
      </c>
      <c r="W13" s="221"/>
      <c r="X13" s="230" t="s">
        <v>367</v>
      </c>
      <c r="Y13" s="230"/>
      <c r="Z13" s="221" t="s">
        <v>63</v>
      </c>
      <c r="AA13" s="221"/>
    </row>
    <row r="14" spans="2:27" ht="17.149999999999999" thickBot="1">
      <c r="B14" s="211"/>
      <c r="F14" s="63"/>
      <c r="L14" s="6"/>
      <c r="N14" s="29"/>
      <c r="O14" s="29"/>
      <c r="P14" s="29"/>
      <c r="Q14" s="227"/>
      <c r="R14" s="227"/>
      <c r="S14" s="227"/>
      <c r="T14" s="227"/>
      <c r="X14" s="231"/>
      <c r="Y14" s="231"/>
    </row>
    <row r="15" spans="2:27" ht="13.5" customHeight="1" thickBot="1">
      <c r="B15" s="211"/>
      <c r="L15" s="6"/>
      <c r="M15"/>
      <c r="Q15" s="1" t="s">
        <v>366</v>
      </c>
      <c r="S15" s="15">
        <v>1000</v>
      </c>
      <c r="V15" s="139" t="s">
        <v>125</v>
      </c>
      <c r="W15" s="140">
        <f>O16+S16</f>
        <v>5703.25</v>
      </c>
    </row>
    <row r="16" spans="2:27" ht="17.149999999999999" thickBot="1">
      <c r="B16" s="211"/>
      <c r="L16" s="6"/>
      <c r="N16" s="14" t="s">
        <v>19</v>
      </c>
      <c r="O16" s="15">
        <f>SUM(O8:O13)</f>
        <v>1465.25</v>
      </c>
      <c r="P16" s="87"/>
      <c r="Q16" s="228" t="s">
        <v>380</v>
      </c>
      <c r="R16" s="229"/>
      <c r="S16" s="15">
        <f>'Stats 2025'!W16-'Stats 2025'!O16-120-S15</f>
        <v>4238</v>
      </c>
      <c r="T16" s="1" t="s">
        <v>379</v>
      </c>
      <c r="V16" s="139" t="s">
        <v>70</v>
      </c>
      <c r="W16" s="140">
        <f>S16+S15+O16</f>
        <v>6703.25</v>
      </c>
    </row>
    <row r="17" spans="2:34" ht="12" customHeight="1">
      <c r="B17" s="211"/>
      <c r="E17" s="27">
        <f t="shared" ref="E17:J17" si="5">RANK(E20,$E20:$J20)</f>
        <v>4</v>
      </c>
      <c r="F17" s="27">
        <f t="shared" si="5"/>
        <v>6</v>
      </c>
      <c r="G17" s="27">
        <f t="shared" si="5"/>
        <v>5</v>
      </c>
      <c r="H17" s="27">
        <f t="shared" si="5"/>
        <v>3</v>
      </c>
      <c r="I17" s="27">
        <f t="shared" si="5"/>
        <v>2</v>
      </c>
      <c r="J17" s="27">
        <f t="shared" si="5"/>
        <v>1</v>
      </c>
      <c r="L17" s="6"/>
      <c r="V17" s="225"/>
    </row>
    <row r="18" spans="2:34">
      <c r="B18" s="211"/>
      <c r="E18" s="16" t="s">
        <v>0</v>
      </c>
      <c r="F18" s="16" t="s">
        <v>4</v>
      </c>
      <c r="G18" s="16" t="s">
        <v>1</v>
      </c>
      <c r="H18" s="16" t="s">
        <v>2</v>
      </c>
      <c r="I18" s="16" t="s">
        <v>3</v>
      </c>
      <c r="J18" s="16" t="s">
        <v>21</v>
      </c>
      <c r="L18" s="6"/>
      <c r="O18" s="16" t="e" vm="1">
        <v>#VALUE!</v>
      </c>
      <c r="P18" s="16" t="s">
        <v>4</v>
      </c>
      <c r="Q18" s="16" t="s">
        <v>1</v>
      </c>
      <c r="R18" s="16" t="s">
        <v>2</v>
      </c>
      <c r="S18" s="16" t="s">
        <v>3</v>
      </c>
      <c r="T18" s="16" t="s">
        <v>22</v>
      </c>
      <c r="U18" s="16"/>
      <c r="V18" s="226"/>
    </row>
    <row r="19" spans="2:34" ht="6" customHeight="1">
      <c r="B19" s="211"/>
      <c r="E19" s="17"/>
      <c r="F19" s="17"/>
      <c r="G19" s="17"/>
      <c r="H19" s="17"/>
      <c r="I19" s="17"/>
      <c r="J19" s="17"/>
      <c r="L19" s="6"/>
      <c r="O19" s="17"/>
      <c r="P19" s="17"/>
      <c r="Q19" s="17"/>
      <c r="R19" s="17"/>
      <c r="S19" s="17"/>
      <c r="T19" s="17"/>
      <c r="U19" s="17"/>
    </row>
    <row r="20" spans="2:34" ht="16.75" customHeight="1">
      <c r="B20" s="211"/>
      <c r="C20" s="141">
        <f ca="1">COUNT(C23:C91)</f>
        <v>40</v>
      </c>
      <c r="E20" s="24">
        <f>SUM(E25:E91)+0.00002</f>
        <v>21.000019999999999</v>
      </c>
      <c r="F20" s="24">
        <f>SUM(F25:F91)+0.00005</f>
        <v>15.00005</v>
      </c>
      <c r="G20" s="24">
        <f>SUM(G25:G91)+0.00005</f>
        <v>17.000050000000002</v>
      </c>
      <c r="H20" s="24">
        <f>SUM(H25:H91)+0.00006</f>
        <v>21.000060000000001</v>
      </c>
      <c r="I20" s="24">
        <f>SUM(I25:I91)+0.00009</f>
        <v>29.00009</v>
      </c>
      <c r="J20" s="24">
        <f>SUM(J25:J91)+0.0001</f>
        <v>31.0001</v>
      </c>
      <c r="L20" s="6"/>
      <c r="O20" s="19">
        <f>SUM(O24:O91)</f>
        <v>258.75</v>
      </c>
      <c r="P20" s="19">
        <f t="shared" ref="P20:R20" si="6">SUM(P24:P91)</f>
        <v>341.5</v>
      </c>
      <c r="Q20" s="19">
        <f t="shared" si="6"/>
        <v>307.5</v>
      </c>
      <c r="R20" s="19">
        <f t="shared" si="6"/>
        <v>255</v>
      </c>
      <c r="S20" s="19">
        <f>SUM(S24:S91)</f>
        <v>161.25</v>
      </c>
      <c r="T20" s="19">
        <f>SUM(T24:T91)</f>
        <v>141.25</v>
      </c>
      <c r="U20" s="19"/>
      <c r="W20" s="196"/>
      <c r="X20" s="196"/>
      <c r="Y20" s="196"/>
      <c r="Z20" s="196"/>
    </row>
    <row r="21" spans="2:34" ht="13" customHeight="1">
      <c r="B21" s="211"/>
      <c r="E21" s="212">
        <v>3.25</v>
      </c>
      <c r="F21" s="212">
        <v>6.5</v>
      </c>
      <c r="G21" s="212">
        <v>0</v>
      </c>
      <c r="H21" s="212">
        <v>0</v>
      </c>
      <c r="I21" s="212">
        <v>6.5</v>
      </c>
      <c r="J21" s="212">
        <v>13</v>
      </c>
      <c r="L21" s="6"/>
      <c r="O21" s="20"/>
      <c r="P21" s="20"/>
      <c r="Q21" s="20"/>
      <c r="R21" s="20"/>
      <c r="S21" s="20"/>
      <c r="T21" s="20"/>
      <c r="U21" s="20"/>
      <c r="W21" s="196"/>
      <c r="X21" s="196"/>
      <c r="Y21" s="196"/>
      <c r="Z21" s="196"/>
    </row>
    <row r="22" spans="2:34">
      <c r="B22" s="211"/>
      <c r="E22" s="214">
        <f ca="1">O20-20-(($C$20-E20)*13)</f>
        <v>-8.2497400000000027</v>
      </c>
      <c r="F22" s="214">
        <f t="shared" ref="F22:H22" ca="1" si="7">P20-20-(($C$20-F20)*13)</f>
        <v>-3.4993499999999926</v>
      </c>
      <c r="G22" s="214">
        <f ca="1">Q20-20-(($C$20-G20)*13)</f>
        <v>-11.499349999999993</v>
      </c>
      <c r="H22" s="214">
        <f t="shared" ca="1" si="7"/>
        <v>-11.99921999999998</v>
      </c>
      <c r="I22" s="214">
        <f ca="1">S20-20-(($C$20-I20)*13)</f>
        <v>-1.7488299999999981</v>
      </c>
      <c r="J22" s="214">
        <f ca="1">T20-20-(($C$20-J20)*13)</f>
        <v>4.2513000000000005</v>
      </c>
      <c r="L22" s="6"/>
      <c r="W22" s="196"/>
      <c r="X22" s="196"/>
      <c r="Y22" s="196"/>
      <c r="Z22" s="196"/>
    </row>
    <row r="23" spans="2:34">
      <c r="B23" s="211"/>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34">
      <c r="B24" s="211"/>
      <c r="C24" s="12"/>
      <c r="D24" s="10"/>
      <c r="E24" s="12"/>
      <c r="F24" s="12"/>
      <c r="G24" s="12"/>
      <c r="H24" s="12"/>
      <c r="I24" s="12"/>
      <c r="J24" s="12"/>
      <c r="L24" s="6"/>
      <c r="M24" s="21">
        <v>46003</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211"/>
      <c r="C25" s="222"/>
      <c r="D25" s="223"/>
      <c r="E25" s="223"/>
      <c r="F25" s="223"/>
      <c r="G25" s="223"/>
      <c r="H25" s="223"/>
      <c r="I25" s="223"/>
      <c r="J25" s="224"/>
      <c r="L25" s="6"/>
      <c r="M25" s="21">
        <f>M24</f>
        <v>46003</v>
      </c>
      <c r="N25" s="10" t="s">
        <v>47</v>
      </c>
      <c r="O25" s="25"/>
      <c r="P25" s="25"/>
      <c r="Q25" s="25"/>
      <c r="R25" s="25"/>
      <c r="S25" s="25"/>
      <c r="T25" s="25">
        <f>13/4</f>
        <v>3.25</v>
      </c>
      <c r="U25" s="25"/>
      <c r="V25" s="182"/>
      <c r="Y25" s="203"/>
      <c r="Z25" s="204"/>
      <c r="AC25" s="201"/>
      <c r="AE25" s="63"/>
      <c r="AG25" s="182"/>
      <c r="AH25" s="182"/>
    </row>
    <row r="26" spans="2:34">
      <c r="B26" s="211"/>
      <c r="C26" s="12">
        <f t="shared" ref="C26:C40" ca="1" si="8">IF(D26&lt;=TODAY(),1,"")</f>
        <v>1</v>
      </c>
      <c r="D26" s="22">
        <f t="shared" ref="D26:D40" si="9">IF(M26="","",M26)</f>
        <v>46003</v>
      </c>
      <c r="E26" s="26">
        <f t="shared" ref="E26:J40" si="10">IF(O26="","",IF(O26=0,1,0))</f>
        <v>1</v>
      </c>
      <c r="F26" s="26">
        <f t="shared" si="10"/>
        <v>1</v>
      </c>
      <c r="G26" s="26">
        <f t="shared" si="10"/>
        <v>1</v>
      </c>
      <c r="H26" s="26">
        <f t="shared" si="10"/>
        <v>1</v>
      </c>
      <c r="I26" s="26">
        <f t="shared" si="10"/>
        <v>1</v>
      </c>
      <c r="J26" s="26">
        <f t="shared" si="10"/>
        <v>1</v>
      </c>
      <c r="M26" s="21">
        <f>M25</f>
        <v>46003</v>
      </c>
      <c r="N26" s="10" t="s">
        <v>24</v>
      </c>
      <c r="O26" s="25">
        <v>0</v>
      </c>
      <c r="P26" s="25">
        <v>0</v>
      </c>
      <c r="Q26" s="25">
        <v>0</v>
      </c>
      <c r="R26" s="25">
        <v>0</v>
      </c>
      <c r="S26" s="25">
        <v>0</v>
      </c>
      <c r="T26" s="25">
        <v>0</v>
      </c>
      <c r="U26" s="25"/>
      <c r="V26" s="182"/>
      <c r="Z26" s="204"/>
      <c r="AC26" s="201"/>
      <c r="AE26" s="63"/>
      <c r="AG26" s="182"/>
      <c r="AH26" s="182"/>
    </row>
    <row r="27" spans="2:34">
      <c r="B27" s="211"/>
      <c r="C27" s="222"/>
      <c r="D27" s="223"/>
      <c r="E27" s="223"/>
      <c r="F27" s="223"/>
      <c r="G27" s="223"/>
      <c r="H27" s="223"/>
      <c r="I27" s="223"/>
      <c r="J27" s="224"/>
      <c r="M27" s="21">
        <v>46010</v>
      </c>
      <c r="N27" s="10" t="s">
        <v>47</v>
      </c>
      <c r="O27" s="25"/>
      <c r="P27" s="25">
        <f>13/4</f>
        <v>3.25</v>
      </c>
      <c r="Q27" s="25"/>
      <c r="R27" s="25"/>
      <c r="S27" s="25"/>
      <c r="T27" s="25"/>
      <c r="U27" s="25"/>
      <c r="V27" s="182"/>
      <c r="Z27" s="204"/>
      <c r="AC27" s="201"/>
      <c r="AE27" s="63"/>
      <c r="AG27" s="182"/>
      <c r="AH27" s="182"/>
    </row>
    <row r="28" spans="2:34">
      <c r="B28" s="211"/>
      <c r="C28" s="12">
        <f t="shared" ca="1" si="8"/>
        <v>1</v>
      </c>
      <c r="D28" s="22">
        <f t="shared" si="9"/>
        <v>46010</v>
      </c>
      <c r="E28" s="26">
        <f t="shared" si="10"/>
        <v>0</v>
      </c>
      <c r="F28" s="26">
        <f t="shared" si="10"/>
        <v>1</v>
      </c>
      <c r="G28" s="26">
        <f t="shared" si="10"/>
        <v>1</v>
      </c>
      <c r="H28" s="26">
        <f t="shared" si="10"/>
        <v>1</v>
      </c>
      <c r="I28" s="26">
        <f t="shared" si="10"/>
        <v>1</v>
      </c>
      <c r="J28" s="26">
        <f t="shared" si="10"/>
        <v>1</v>
      </c>
      <c r="M28" s="21">
        <f>M27</f>
        <v>46010</v>
      </c>
      <c r="N28" s="10" t="s">
        <v>24</v>
      </c>
      <c r="O28" s="25">
        <v>13</v>
      </c>
      <c r="P28" s="25">
        <v>0</v>
      </c>
      <c r="Q28" s="25">
        <v>0</v>
      </c>
      <c r="R28" s="25">
        <v>0</v>
      </c>
      <c r="S28" s="25">
        <v>0</v>
      </c>
      <c r="T28" s="25">
        <v>0</v>
      </c>
      <c r="U28" s="25"/>
      <c r="V28" s="182"/>
      <c r="Z28" s="204"/>
      <c r="AC28" s="201"/>
      <c r="AE28" s="63"/>
      <c r="AG28" s="182"/>
      <c r="AH28" s="182"/>
    </row>
    <row r="29" spans="2:34">
      <c r="B29" s="211"/>
      <c r="C29" s="12">
        <f t="shared" ca="1" si="8"/>
        <v>1</v>
      </c>
      <c r="D29" s="22">
        <f t="shared" si="9"/>
        <v>46031</v>
      </c>
      <c r="E29" s="26">
        <f t="shared" si="10"/>
        <v>0</v>
      </c>
      <c r="F29" s="26">
        <f t="shared" si="10"/>
        <v>1</v>
      </c>
      <c r="G29" s="26">
        <f t="shared" si="10"/>
        <v>0</v>
      </c>
      <c r="H29" s="26">
        <f t="shared" si="10"/>
        <v>1</v>
      </c>
      <c r="I29" s="26">
        <f t="shared" si="10"/>
        <v>1</v>
      </c>
      <c r="J29" s="26">
        <f t="shared" si="10"/>
        <v>0</v>
      </c>
      <c r="M29" s="21">
        <v>46031</v>
      </c>
      <c r="N29" s="10" t="s">
        <v>24</v>
      </c>
      <c r="O29" s="25">
        <v>13</v>
      </c>
      <c r="P29" s="25">
        <v>0</v>
      </c>
      <c r="Q29" s="25">
        <v>13</v>
      </c>
      <c r="R29" s="25">
        <v>0</v>
      </c>
      <c r="S29" s="25">
        <v>0</v>
      </c>
      <c r="T29" s="25">
        <v>13</v>
      </c>
      <c r="U29" s="25"/>
      <c r="V29" s="182"/>
      <c r="Z29" s="204"/>
      <c r="AC29" s="201"/>
      <c r="AE29" s="63"/>
      <c r="AG29" s="182"/>
      <c r="AH29" s="182"/>
    </row>
    <row r="30" spans="2:34">
      <c r="B30" s="211"/>
      <c r="C30" s="222"/>
      <c r="D30" s="223"/>
      <c r="E30" s="223"/>
      <c r="F30" s="223"/>
      <c r="G30" s="223"/>
      <c r="H30" s="223"/>
      <c r="I30" s="223"/>
      <c r="J30" s="224"/>
      <c r="M30" s="21">
        <v>46038</v>
      </c>
      <c r="N30" s="10" t="s">
        <v>47</v>
      </c>
      <c r="O30" s="25">
        <v>3.25</v>
      </c>
      <c r="P30" s="25"/>
      <c r="Q30" s="25"/>
      <c r="R30" s="25"/>
      <c r="S30" s="25"/>
      <c r="T30" s="25"/>
      <c r="U30" s="25"/>
      <c r="V30" s="182"/>
      <c r="W30" s="182"/>
      <c r="Z30" s="182"/>
      <c r="AE30" s="63"/>
      <c r="AG30" s="182"/>
      <c r="AH30" s="182"/>
    </row>
    <row r="31" spans="2:34">
      <c r="B31" s="211"/>
      <c r="C31" s="12">
        <f t="shared" ca="1" si="8"/>
        <v>1</v>
      </c>
      <c r="D31" s="22">
        <f t="shared" si="9"/>
        <v>46038</v>
      </c>
      <c r="E31" s="26">
        <f t="shared" si="10"/>
        <v>1</v>
      </c>
      <c r="F31" s="26">
        <f t="shared" si="10"/>
        <v>0</v>
      </c>
      <c r="G31" s="26">
        <f t="shared" si="10"/>
        <v>1</v>
      </c>
      <c r="H31" s="26">
        <f t="shared" si="10"/>
        <v>0</v>
      </c>
      <c r="I31" s="26">
        <f t="shared" si="10"/>
        <v>0</v>
      </c>
      <c r="J31" s="26">
        <f t="shared" si="10"/>
        <v>0</v>
      </c>
      <c r="M31" s="21">
        <v>46038</v>
      </c>
      <c r="N31" s="10" t="s">
        <v>24</v>
      </c>
      <c r="O31" s="25">
        <v>0</v>
      </c>
      <c r="P31" s="25">
        <v>13</v>
      </c>
      <c r="Q31" s="25">
        <v>0</v>
      </c>
      <c r="R31" s="25">
        <v>13</v>
      </c>
      <c r="S31" s="25">
        <v>13</v>
      </c>
      <c r="T31" s="25">
        <v>13</v>
      </c>
      <c r="U31" s="25"/>
      <c r="V31" s="182"/>
      <c r="Z31" s="204"/>
      <c r="AC31" s="201"/>
      <c r="AD31" s="34"/>
      <c r="AE31" s="202"/>
      <c r="AG31" s="182"/>
      <c r="AH31" s="182"/>
    </row>
    <row r="32" spans="2:34">
      <c r="B32" s="211"/>
      <c r="C32" s="222"/>
      <c r="D32" s="223"/>
      <c r="E32" s="223"/>
      <c r="F32" s="223"/>
      <c r="G32" s="223"/>
      <c r="H32" s="223"/>
      <c r="I32" s="223"/>
      <c r="J32" s="224"/>
      <c r="M32" s="21">
        <v>46045</v>
      </c>
      <c r="N32" s="10" t="s">
        <v>47</v>
      </c>
      <c r="O32" s="25"/>
      <c r="P32" s="25"/>
      <c r="Q32" s="25"/>
      <c r="R32" s="25"/>
      <c r="S32" s="25">
        <f>13/4</f>
        <v>3.25</v>
      </c>
      <c r="T32" s="25"/>
      <c r="U32" s="25"/>
      <c r="V32" s="182"/>
      <c r="W32" s="182"/>
      <c r="Z32" s="182"/>
    </row>
    <row r="33" spans="2:34">
      <c r="B33" s="211"/>
      <c r="C33" s="12">
        <f t="shared" ca="1" si="8"/>
        <v>1</v>
      </c>
      <c r="D33" s="22">
        <f t="shared" si="9"/>
        <v>46045</v>
      </c>
      <c r="E33" s="26">
        <f t="shared" si="10"/>
        <v>0</v>
      </c>
      <c r="F33" s="26">
        <f t="shared" si="10"/>
        <v>0</v>
      </c>
      <c r="G33" s="26">
        <f t="shared" si="10"/>
        <v>1</v>
      </c>
      <c r="H33" s="26">
        <f t="shared" si="10"/>
        <v>1</v>
      </c>
      <c r="I33" s="26">
        <f t="shared" si="10"/>
        <v>1</v>
      </c>
      <c r="J33" s="26">
        <f t="shared" si="10"/>
        <v>1</v>
      </c>
      <c r="M33" s="21">
        <v>46045</v>
      </c>
      <c r="N33" s="10" t="s">
        <v>24</v>
      </c>
      <c r="O33" s="25">
        <v>13</v>
      </c>
      <c r="P33" s="25">
        <v>13</v>
      </c>
      <c r="Q33" s="25">
        <v>0</v>
      </c>
      <c r="R33" s="25">
        <v>0</v>
      </c>
      <c r="S33" s="25">
        <v>0</v>
      </c>
      <c r="T33" s="25">
        <v>0</v>
      </c>
      <c r="U33" s="25"/>
      <c r="V33" s="182"/>
      <c r="Y33" s="182"/>
      <c r="Z33" s="182"/>
    </row>
    <row r="34" spans="2:34">
      <c r="B34" s="211"/>
      <c r="C34" s="12">
        <f t="shared" ca="1" si="8"/>
        <v>1</v>
      </c>
      <c r="D34" s="22">
        <f t="shared" si="9"/>
        <v>46052</v>
      </c>
      <c r="E34" s="26">
        <f t="shared" si="10"/>
        <v>0</v>
      </c>
      <c r="F34" s="26">
        <f t="shared" si="10"/>
        <v>1</v>
      </c>
      <c r="G34" s="26">
        <f t="shared" si="10"/>
        <v>0</v>
      </c>
      <c r="H34" s="26">
        <f t="shared" si="10"/>
        <v>1</v>
      </c>
      <c r="I34" s="26">
        <f t="shared" si="10"/>
        <v>1</v>
      </c>
      <c r="J34" s="26">
        <f t="shared" si="10"/>
        <v>1</v>
      </c>
      <c r="M34" s="21">
        <v>46052</v>
      </c>
      <c r="N34" s="10" t="s">
        <v>24</v>
      </c>
      <c r="O34" s="25">
        <v>13</v>
      </c>
      <c r="P34" s="25">
        <v>0</v>
      </c>
      <c r="Q34" s="25">
        <v>13</v>
      </c>
      <c r="R34" s="25">
        <v>0</v>
      </c>
      <c r="S34" s="25">
        <v>0</v>
      </c>
      <c r="T34" s="25">
        <v>0</v>
      </c>
      <c r="U34" s="25"/>
      <c r="V34" s="182"/>
      <c r="AD34" s="2"/>
      <c r="AG34" s="182"/>
      <c r="AH34" s="182"/>
    </row>
    <row r="35" spans="2:34">
      <c r="B35" s="211"/>
      <c r="C35" s="222"/>
      <c r="D35" s="223"/>
      <c r="E35" s="223"/>
      <c r="F35" s="223"/>
      <c r="G35" s="223"/>
      <c r="H35" s="223"/>
      <c r="I35" s="223"/>
      <c r="J35" s="224"/>
      <c r="M35" s="21">
        <v>46059</v>
      </c>
      <c r="N35" s="10" t="s">
        <v>47</v>
      </c>
      <c r="O35" s="25"/>
      <c r="P35" s="25">
        <f>13/4</f>
        <v>3.25</v>
      </c>
      <c r="Q35" s="25"/>
      <c r="R35" s="25"/>
      <c r="S35" s="25"/>
      <c r="T35" s="25"/>
      <c r="U35" s="25"/>
      <c r="V35" s="182"/>
      <c r="AB35" s="58"/>
      <c r="AG35" s="182"/>
      <c r="AH35" s="182"/>
    </row>
    <row r="36" spans="2:34">
      <c r="B36" s="211"/>
      <c r="C36" s="12">
        <f t="shared" ca="1" si="8"/>
        <v>1</v>
      </c>
      <c r="D36" s="22">
        <f t="shared" si="9"/>
        <v>46059</v>
      </c>
      <c r="E36" s="26">
        <f t="shared" si="10"/>
        <v>1</v>
      </c>
      <c r="F36" s="26">
        <f t="shared" si="10"/>
        <v>1</v>
      </c>
      <c r="G36" s="26">
        <f t="shared" si="10"/>
        <v>0</v>
      </c>
      <c r="H36" s="26">
        <f t="shared" si="10"/>
        <v>0</v>
      </c>
      <c r="I36" s="26">
        <f t="shared" si="10"/>
        <v>1</v>
      </c>
      <c r="J36" s="26">
        <f t="shared" si="10"/>
        <v>1</v>
      </c>
      <c r="M36" s="21">
        <f>M35</f>
        <v>46059</v>
      </c>
      <c r="N36" s="10" t="s">
        <v>24</v>
      </c>
      <c r="O36" s="25">
        <v>0</v>
      </c>
      <c r="P36" s="25">
        <v>0</v>
      </c>
      <c r="Q36" s="25">
        <v>13</v>
      </c>
      <c r="R36" s="25">
        <v>13</v>
      </c>
      <c r="S36" s="25">
        <v>0</v>
      </c>
      <c r="T36" s="25">
        <v>0</v>
      </c>
      <c r="U36" s="25"/>
      <c r="V36" s="182"/>
      <c r="AC36" s="27" t="s">
        <v>345</v>
      </c>
      <c r="AD36" s="27">
        <v>100</v>
      </c>
    </row>
    <row r="37" spans="2:34">
      <c r="B37" s="211"/>
      <c r="C37" s="12">
        <f t="shared" ca="1" si="8"/>
        <v>1</v>
      </c>
      <c r="D37" s="22">
        <f t="shared" si="9"/>
        <v>46066</v>
      </c>
      <c r="E37" s="26">
        <f t="shared" si="10"/>
        <v>1</v>
      </c>
      <c r="F37" s="26">
        <f t="shared" si="10"/>
        <v>1</v>
      </c>
      <c r="G37" s="26">
        <f t="shared" si="10"/>
        <v>1</v>
      </c>
      <c r="H37" s="26">
        <f t="shared" si="10"/>
        <v>0</v>
      </c>
      <c r="I37" s="26">
        <f t="shared" si="10"/>
        <v>1</v>
      </c>
      <c r="J37" s="26">
        <f t="shared" si="10"/>
        <v>1</v>
      </c>
      <c r="M37" s="21">
        <v>46066</v>
      </c>
      <c r="N37" s="10" t="s">
        <v>24</v>
      </c>
      <c r="O37" s="25">
        <v>0</v>
      </c>
      <c r="P37" s="25">
        <v>0</v>
      </c>
      <c r="Q37" s="25">
        <v>0</v>
      </c>
      <c r="R37" s="25">
        <v>13</v>
      </c>
      <c r="S37" s="25">
        <v>0</v>
      </c>
      <c r="T37" s="25">
        <v>0</v>
      </c>
      <c r="U37" s="25"/>
      <c r="V37" s="182"/>
      <c r="AC37" s="27">
        <v>2.57</v>
      </c>
      <c r="AD37" s="27">
        <f>100-AC37</f>
        <v>97.43</v>
      </c>
    </row>
    <row r="38" spans="2:34" ht="16.5" customHeight="1">
      <c r="B38" s="211"/>
      <c r="C38" s="222"/>
      <c r="D38" s="223"/>
      <c r="E38" s="223"/>
      <c r="F38" s="223"/>
      <c r="G38" s="223"/>
      <c r="H38" s="223"/>
      <c r="I38" s="223"/>
      <c r="J38" s="224"/>
      <c r="M38" s="21">
        <v>46073</v>
      </c>
      <c r="N38" s="10" t="s">
        <v>47</v>
      </c>
      <c r="O38" s="25"/>
      <c r="P38" s="25"/>
      <c r="Q38" s="25"/>
      <c r="R38" s="25"/>
      <c r="S38" s="25"/>
      <c r="T38" s="25">
        <f>13/4</f>
        <v>3.25</v>
      </c>
      <c r="U38" s="25"/>
      <c r="V38" s="182"/>
      <c r="AC38" s="27">
        <v>2.6</v>
      </c>
      <c r="AD38" s="27">
        <f t="shared" ref="AD38:AD41" si="11">100-AC38</f>
        <v>97.4</v>
      </c>
    </row>
    <row r="39" spans="2:34">
      <c r="B39" s="211"/>
      <c r="C39" s="12">
        <f t="shared" ref="C39" ca="1" si="12">IF(D39&lt;=TODAY(),1,"")</f>
        <v>1</v>
      </c>
      <c r="D39" s="22">
        <f t="shared" ref="D39" si="13">IF(M39="","",M39)</f>
        <v>46073</v>
      </c>
      <c r="E39" s="26">
        <f t="shared" ref="E39" si="14">IF(O39="","",IF(O39=0,1,0))</f>
        <v>1</v>
      </c>
      <c r="F39" s="26">
        <f t="shared" ref="F39" si="15">IF(P39="","",IF(P39=0,1,0))</f>
        <v>1</v>
      </c>
      <c r="G39" s="26">
        <f t="shared" ref="G39" si="16">IF(Q39="","",IF(Q39=0,1,0))</f>
        <v>0</v>
      </c>
      <c r="H39" s="26">
        <f t="shared" ref="H39" si="17">IF(R39="","",IF(R39=0,1,0))</f>
        <v>1</v>
      </c>
      <c r="I39" s="26">
        <f t="shared" ref="I39" si="18">IF(S39="","",IF(S39=0,1,0))</f>
        <v>1</v>
      </c>
      <c r="J39" s="26">
        <f t="shared" ref="J39" si="19">IF(T39="","",IF(T39=0,1,0))</f>
        <v>1</v>
      </c>
      <c r="M39" s="21">
        <v>46073</v>
      </c>
      <c r="N39" s="10" t="s">
        <v>24</v>
      </c>
      <c r="O39" s="25">
        <v>0</v>
      </c>
      <c r="P39" s="25">
        <v>0</v>
      </c>
      <c r="Q39" s="25">
        <v>13</v>
      </c>
      <c r="R39" s="25">
        <v>0</v>
      </c>
      <c r="S39" s="25">
        <v>0</v>
      </c>
      <c r="T39" s="25">
        <v>0</v>
      </c>
      <c r="V39" s="182"/>
      <c r="AC39" s="27">
        <v>2.2400000000000002</v>
      </c>
      <c r="AD39" s="27">
        <f t="shared" si="11"/>
        <v>97.76</v>
      </c>
    </row>
    <row r="40" spans="2:34">
      <c r="B40" s="211"/>
      <c r="C40" s="12">
        <f t="shared" ca="1" si="8"/>
        <v>1</v>
      </c>
      <c r="D40" s="22">
        <f t="shared" si="9"/>
        <v>46080</v>
      </c>
      <c r="E40" s="26">
        <f t="shared" si="10"/>
        <v>1</v>
      </c>
      <c r="F40" s="26">
        <f t="shared" si="10"/>
        <v>1</v>
      </c>
      <c r="G40" s="26">
        <f t="shared" si="10"/>
        <v>1</v>
      </c>
      <c r="H40" s="26">
        <f t="shared" si="10"/>
        <v>0</v>
      </c>
      <c r="I40" s="26">
        <f t="shared" si="10"/>
        <v>1</v>
      </c>
      <c r="J40" s="26">
        <f t="shared" si="10"/>
        <v>0</v>
      </c>
      <c r="M40" s="21">
        <v>46080</v>
      </c>
      <c r="N40" s="10" t="s">
        <v>24</v>
      </c>
      <c r="O40" s="25">
        <v>0</v>
      </c>
      <c r="P40" s="25">
        <v>0</v>
      </c>
      <c r="Q40" s="25">
        <v>0</v>
      </c>
      <c r="R40" s="25">
        <v>13</v>
      </c>
      <c r="S40" s="25">
        <v>0</v>
      </c>
      <c r="T40" s="25">
        <v>13</v>
      </c>
      <c r="V40" s="182"/>
      <c r="AC40" s="27">
        <v>2.02</v>
      </c>
      <c r="AD40" s="27">
        <f t="shared" si="11"/>
        <v>97.98</v>
      </c>
    </row>
    <row r="41" spans="2:34">
      <c r="B41" s="211"/>
      <c r="C41" s="12">
        <f t="shared" ref="C41" ca="1" si="20">IF(D41&lt;=TODAY(),1,"")</f>
        <v>1</v>
      </c>
      <c r="D41" s="22">
        <f t="shared" ref="D41" si="21">IF(M41="","",M41)</f>
        <v>46087</v>
      </c>
      <c r="E41" s="26">
        <f t="shared" ref="E41" si="22">IF(O41="","",IF(O41=0,1,0))</f>
        <v>1</v>
      </c>
      <c r="F41" s="26">
        <f t="shared" ref="F41" si="23">IF(P41="","",IF(P41=0,1,0))</f>
        <v>1</v>
      </c>
      <c r="G41" s="26">
        <f t="shared" ref="G41" si="24">IF(Q41="","",IF(Q41=0,1,0))</f>
        <v>0</v>
      </c>
      <c r="H41" s="26">
        <f t="shared" ref="H41" si="25">IF(R41="","",IF(R41=0,1,0))</f>
        <v>0</v>
      </c>
      <c r="I41" s="26">
        <f t="shared" ref="I41" si="26">IF(S41="","",IF(S41=0,1,0))</f>
        <v>1</v>
      </c>
      <c r="J41" s="26">
        <f t="shared" ref="J41" si="27">IF(T41="","",IF(T41=0,1,0))</f>
        <v>1</v>
      </c>
      <c r="M41" s="21">
        <f>M40+7</f>
        <v>46087</v>
      </c>
      <c r="N41" s="10" t="s">
        <v>24</v>
      </c>
      <c r="O41" s="25">
        <v>0</v>
      </c>
      <c r="P41" s="25">
        <v>0</v>
      </c>
      <c r="Q41" s="25">
        <v>13</v>
      </c>
      <c r="R41" s="25">
        <v>13</v>
      </c>
      <c r="S41" s="25">
        <v>0</v>
      </c>
      <c r="T41" s="25">
        <v>0</v>
      </c>
      <c r="V41" s="182"/>
      <c r="AC41" s="27">
        <v>1.84</v>
      </c>
      <c r="AD41" s="27">
        <f t="shared" si="11"/>
        <v>98.16</v>
      </c>
    </row>
    <row r="42" spans="2:34">
      <c r="B42" s="211"/>
      <c r="C42" s="12">
        <f t="shared" ref="C42:C91" ca="1" si="28">IF(D42&lt;=TODAY(),1,"")</f>
        <v>1</v>
      </c>
      <c r="D42" s="22">
        <f t="shared" ref="D42:D91" si="29">IF(M42="","",M42)</f>
        <v>46094</v>
      </c>
      <c r="E42" s="26">
        <f t="shared" ref="E42:E91" si="30">IF(O42="","",IF(O42=0,1,0))</f>
        <v>1</v>
      </c>
      <c r="F42" s="26">
        <f t="shared" ref="F42:F91" si="31">IF(P42="","",IF(P42=0,1,0))</f>
        <v>1</v>
      </c>
      <c r="G42" s="26">
        <f t="shared" ref="G42:G91" si="32">IF(Q42="","",IF(Q42=0,1,0))</f>
        <v>1</v>
      </c>
      <c r="H42" s="26">
        <f t="shared" ref="H42:H91" si="33">IF(R42="","",IF(R42=0,1,0))</f>
        <v>0</v>
      </c>
      <c r="I42" s="26">
        <f t="shared" ref="I42:I91" si="34">IF(S42="","",IF(S42=0,1,0))</f>
        <v>1</v>
      </c>
      <c r="J42" s="26">
        <f t="shared" ref="J42:J91" si="35">IF(T42="","",IF(T42=0,1,0))</f>
        <v>1</v>
      </c>
      <c r="M42" s="21">
        <f>M41+7</f>
        <v>46094</v>
      </c>
      <c r="N42" s="10" t="s">
        <v>24</v>
      </c>
      <c r="O42" s="25">
        <v>0</v>
      </c>
      <c r="P42" s="25">
        <v>0</v>
      </c>
      <c r="Q42" s="25">
        <v>0</v>
      </c>
      <c r="R42" s="25">
        <v>13</v>
      </c>
      <c r="S42" s="25">
        <v>0</v>
      </c>
      <c r="T42" s="25">
        <v>0</v>
      </c>
      <c r="V42" s="182"/>
    </row>
    <row r="43" spans="2:34">
      <c r="B43" s="211"/>
      <c r="C43" s="12">
        <f t="shared" ca="1" si="28"/>
        <v>1</v>
      </c>
      <c r="D43" s="22">
        <f t="shared" si="29"/>
        <v>46101</v>
      </c>
      <c r="E43" s="26">
        <f t="shared" si="30"/>
        <v>0</v>
      </c>
      <c r="F43" s="26">
        <f t="shared" si="31"/>
        <v>1</v>
      </c>
      <c r="G43" s="26">
        <f t="shared" si="32"/>
        <v>0</v>
      </c>
      <c r="H43" s="26">
        <f t="shared" si="33"/>
        <v>0</v>
      </c>
      <c r="I43" s="26">
        <f t="shared" si="34"/>
        <v>0</v>
      </c>
      <c r="J43" s="26">
        <f t="shared" si="35"/>
        <v>1</v>
      </c>
      <c r="M43" s="21">
        <f>M42+7</f>
        <v>46101</v>
      </c>
      <c r="N43" s="10" t="s">
        <v>24</v>
      </c>
      <c r="O43" s="25">
        <v>13</v>
      </c>
      <c r="P43" s="25">
        <v>0</v>
      </c>
      <c r="Q43" s="25">
        <v>13</v>
      </c>
      <c r="R43" s="25">
        <v>13</v>
      </c>
      <c r="S43" s="25">
        <v>13</v>
      </c>
      <c r="T43" s="25">
        <v>0</v>
      </c>
      <c r="V43" s="182"/>
      <c r="Y43" s="182"/>
      <c r="Z43" s="182"/>
    </row>
    <row r="44" spans="2:34">
      <c r="B44" s="211"/>
      <c r="C44" s="12">
        <f t="shared" ca="1" si="28"/>
        <v>1</v>
      </c>
      <c r="D44" s="22">
        <f t="shared" si="29"/>
        <v>46108</v>
      </c>
      <c r="E44" s="26">
        <f t="shared" si="30"/>
        <v>1</v>
      </c>
      <c r="F44" s="26">
        <f t="shared" si="31"/>
        <v>0</v>
      </c>
      <c r="G44" s="26">
        <f t="shared" si="32"/>
        <v>1</v>
      </c>
      <c r="H44" s="26">
        <f t="shared" si="33"/>
        <v>1</v>
      </c>
      <c r="I44" s="26">
        <f t="shared" si="34"/>
        <v>1</v>
      </c>
      <c r="J44" s="26">
        <f t="shared" si="35"/>
        <v>1</v>
      </c>
      <c r="M44" s="21">
        <f>M43+7</f>
        <v>46108</v>
      </c>
      <c r="N44" s="10" t="s">
        <v>24</v>
      </c>
      <c r="O44" s="25">
        <v>0</v>
      </c>
      <c r="P44" s="25">
        <v>13</v>
      </c>
      <c r="Q44" s="25">
        <v>0</v>
      </c>
      <c r="R44" s="25">
        <v>0</v>
      </c>
      <c r="S44" s="25">
        <v>0</v>
      </c>
      <c r="T44" s="25">
        <v>0</v>
      </c>
      <c r="V44" s="182"/>
      <c r="Y44" s="182"/>
      <c r="Z44" s="182"/>
    </row>
    <row r="45" spans="2:34">
      <c r="B45" s="211"/>
      <c r="C45" s="12">
        <f t="shared" ca="1" si="28"/>
        <v>1</v>
      </c>
      <c r="D45" s="22">
        <f t="shared" si="29"/>
        <v>46122</v>
      </c>
      <c r="E45" s="26">
        <f t="shared" si="30"/>
        <v>1</v>
      </c>
      <c r="F45" s="26">
        <f t="shared" si="31"/>
        <v>0</v>
      </c>
      <c r="G45" s="26">
        <f t="shared" si="32"/>
        <v>0</v>
      </c>
      <c r="H45" s="26">
        <f t="shared" si="33"/>
        <v>0</v>
      </c>
      <c r="I45" s="26">
        <f t="shared" si="34"/>
        <v>1</v>
      </c>
      <c r="J45" s="26">
        <f t="shared" si="35"/>
        <v>1</v>
      </c>
      <c r="M45" s="21">
        <f>M44+14</f>
        <v>46122</v>
      </c>
      <c r="N45" s="10" t="s">
        <v>24</v>
      </c>
      <c r="O45" s="25">
        <v>0</v>
      </c>
      <c r="P45" s="25">
        <v>13</v>
      </c>
      <c r="Q45" s="25">
        <v>13</v>
      </c>
      <c r="R45" s="25">
        <v>13</v>
      </c>
      <c r="S45" s="25">
        <v>0</v>
      </c>
      <c r="T45" s="25">
        <v>0</v>
      </c>
      <c r="V45" s="182"/>
      <c r="Y45" s="182"/>
      <c r="Z45" s="182"/>
    </row>
    <row r="46" spans="2:34">
      <c r="B46" s="211"/>
      <c r="C46" s="12">
        <f t="shared" ca="1" si="28"/>
        <v>1</v>
      </c>
      <c r="D46" s="22">
        <f t="shared" si="29"/>
        <v>46129</v>
      </c>
      <c r="E46" s="26">
        <f t="shared" si="30"/>
        <v>0</v>
      </c>
      <c r="F46" s="26">
        <f t="shared" si="31"/>
        <v>1</v>
      </c>
      <c r="G46" s="26">
        <f t="shared" si="32"/>
        <v>0</v>
      </c>
      <c r="H46" s="26">
        <f t="shared" si="33"/>
        <v>0</v>
      </c>
      <c r="I46" s="26">
        <f t="shared" si="34"/>
        <v>1</v>
      </c>
      <c r="J46" s="26">
        <f t="shared" si="35"/>
        <v>1</v>
      </c>
      <c r="M46" s="21">
        <f>M45+7</f>
        <v>46129</v>
      </c>
      <c r="N46" s="10" t="s">
        <v>24</v>
      </c>
      <c r="O46" s="25">
        <v>13</v>
      </c>
      <c r="P46" s="25">
        <v>0</v>
      </c>
      <c r="Q46" s="25">
        <v>13</v>
      </c>
      <c r="R46" s="25">
        <v>13</v>
      </c>
      <c r="S46" s="25">
        <v>0</v>
      </c>
      <c r="T46" s="25">
        <v>0</v>
      </c>
      <c r="V46" s="182"/>
      <c r="Y46" s="182"/>
      <c r="Z46" s="182"/>
    </row>
    <row r="47" spans="2:34">
      <c r="B47" s="211"/>
      <c r="C47" s="12">
        <f t="shared" ca="1" si="28"/>
        <v>1</v>
      </c>
      <c r="D47" s="22">
        <f t="shared" si="29"/>
        <v>46136</v>
      </c>
      <c r="E47" s="26">
        <f t="shared" si="30"/>
        <v>0</v>
      </c>
      <c r="F47" s="26">
        <f t="shared" si="31"/>
        <v>1</v>
      </c>
      <c r="G47" s="26">
        <f t="shared" si="32"/>
        <v>1</v>
      </c>
      <c r="H47" s="26">
        <f t="shared" si="33"/>
        <v>1</v>
      </c>
      <c r="I47" s="26">
        <f t="shared" si="34"/>
        <v>1</v>
      </c>
      <c r="J47" s="26">
        <f t="shared" si="35"/>
        <v>1</v>
      </c>
      <c r="M47" s="21">
        <f>M46+7</f>
        <v>46136</v>
      </c>
      <c r="N47" s="10" t="s">
        <v>24</v>
      </c>
      <c r="O47" s="25">
        <v>13</v>
      </c>
      <c r="P47" s="25">
        <v>0</v>
      </c>
      <c r="Q47" s="25">
        <v>0</v>
      </c>
      <c r="R47" s="25">
        <v>0</v>
      </c>
      <c r="S47" s="25">
        <v>0</v>
      </c>
      <c r="T47" s="25">
        <v>0</v>
      </c>
      <c r="V47" s="182"/>
      <c r="AG47" s="182"/>
      <c r="AH47" s="182"/>
    </row>
    <row r="48" spans="2:34">
      <c r="B48" s="211"/>
      <c r="C48" s="12">
        <f t="shared" ca="1" si="28"/>
        <v>1</v>
      </c>
      <c r="D48" s="22">
        <f t="shared" si="29"/>
        <v>46150</v>
      </c>
      <c r="E48" s="26">
        <f t="shared" si="30"/>
        <v>1</v>
      </c>
      <c r="F48" s="26">
        <f t="shared" si="31"/>
        <v>1</v>
      </c>
      <c r="G48" s="26">
        <f t="shared" si="32"/>
        <v>1</v>
      </c>
      <c r="H48" s="26">
        <f t="shared" si="33"/>
        <v>0</v>
      </c>
      <c r="I48" s="26">
        <f t="shared" si="34"/>
        <v>0</v>
      </c>
      <c r="J48" s="26">
        <f t="shared" si="35"/>
        <v>1</v>
      </c>
      <c r="M48" s="21">
        <f>M47+14</f>
        <v>46150</v>
      </c>
      <c r="N48" s="10" t="s">
        <v>24</v>
      </c>
      <c r="O48" s="25">
        <v>0</v>
      </c>
      <c r="P48" s="25">
        <v>0</v>
      </c>
      <c r="Q48" s="25">
        <v>0</v>
      </c>
      <c r="R48" s="25">
        <v>13</v>
      </c>
      <c r="S48" s="25">
        <v>13</v>
      </c>
      <c r="T48" s="25">
        <v>0</v>
      </c>
      <c r="V48" s="182"/>
      <c r="AG48" s="182"/>
      <c r="AH48" s="182"/>
    </row>
    <row r="49" spans="2:34">
      <c r="B49" s="211"/>
      <c r="C49" s="222"/>
      <c r="D49" s="223"/>
      <c r="E49" s="223"/>
      <c r="F49" s="223"/>
      <c r="G49" s="223"/>
      <c r="H49" s="223"/>
      <c r="I49" s="223"/>
      <c r="J49" s="224"/>
      <c r="M49" s="21">
        <f>M48+7</f>
        <v>46157</v>
      </c>
      <c r="N49" s="10" t="s">
        <v>47</v>
      </c>
      <c r="O49" s="25"/>
      <c r="P49" s="25"/>
      <c r="Q49" s="25"/>
      <c r="R49" s="25"/>
      <c r="S49" s="25">
        <f>13/4</f>
        <v>3.25</v>
      </c>
      <c r="T49" s="25"/>
      <c r="V49" s="182"/>
      <c r="AG49" s="182"/>
      <c r="AH49" s="182"/>
    </row>
    <row r="50" spans="2:34">
      <c r="B50" s="211"/>
      <c r="C50" s="12">
        <f t="shared" ca="1" si="28"/>
        <v>1</v>
      </c>
      <c r="D50" s="22">
        <f t="shared" si="29"/>
        <v>46157</v>
      </c>
      <c r="E50" s="26">
        <f t="shared" si="30"/>
        <v>0</v>
      </c>
      <c r="F50" s="26">
        <f t="shared" si="31"/>
        <v>0</v>
      </c>
      <c r="G50" s="26">
        <f t="shared" si="32"/>
        <v>1</v>
      </c>
      <c r="H50" s="26">
        <f t="shared" si="33"/>
        <v>1</v>
      </c>
      <c r="I50" s="26">
        <f t="shared" si="34"/>
        <v>1</v>
      </c>
      <c r="J50" s="26">
        <f t="shared" si="35"/>
        <v>1</v>
      </c>
      <c r="M50" s="21">
        <f>M49</f>
        <v>46157</v>
      </c>
      <c r="N50" s="10" t="s">
        <v>24</v>
      </c>
      <c r="O50" s="25">
        <v>13</v>
      </c>
      <c r="P50" s="25">
        <v>13</v>
      </c>
      <c r="Q50" s="25">
        <v>0</v>
      </c>
      <c r="R50" s="25">
        <v>0</v>
      </c>
      <c r="S50" s="25">
        <v>0</v>
      </c>
      <c r="T50" s="25">
        <v>0</v>
      </c>
      <c r="V50" s="182"/>
      <c r="AG50" s="182"/>
      <c r="AH50" s="182"/>
    </row>
    <row r="51" spans="2:34">
      <c r="B51" s="211"/>
      <c r="C51" s="222"/>
      <c r="D51" s="223"/>
      <c r="E51" s="223"/>
      <c r="F51" s="223"/>
      <c r="G51" s="223"/>
      <c r="H51" s="223"/>
      <c r="I51" s="223"/>
      <c r="J51" s="224"/>
      <c r="M51" s="21">
        <f>M50+7</f>
        <v>46164</v>
      </c>
      <c r="N51" s="10" t="s">
        <v>43</v>
      </c>
      <c r="O51" s="25"/>
      <c r="P51" s="25"/>
      <c r="Q51" s="25"/>
      <c r="R51" s="25"/>
      <c r="S51" s="25"/>
      <c r="T51" s="25">
        <f>13/2</f>
        <v>6.5</v>
      </c>
      <c r="V51" s="182"/>
      <c r="AG51" s="182"/>
      <c r="AH51" s="182"/>
    </row>
    <row r="52" spans="2:34">
      <c r="B52" s="211"/>
      <c r="C52" s="12">
        <f t="shared" ca="1" si="28"/>
        <v>1</v>
      </c>
      <c r="D52" s="22">
        <f t="shared" si="29"/>
        <v>46164</v>
      </c>
      <c r="E52" s="26">
        <f t="shared" si="30"/>
        <v>0</v>
      </c>
      <c r="F52" s="26">
        <f t="shared" si="31"/>
        <v>0</v>
      </c>
      <c r="G52" s="26">
        <f t="shared" si="32"/>
        <v>0</v>
      </c>
      <c r="H52" s="26">
        <f t="shared" si="33"/>
        <v>0</v>
      </c>
      <c r="I52" s="26">
        <f t="shared" si="34"/>
        <v>0</v>
      </c>
      <c r="J52" s="26">
        <f t="shared" si="35"/>
        <v>1</v>
      </c>
      <c r="M52" s="21">
        <f>M51</f>
        <v>46164</v>
      </c>
      <c r="N52" s="10" t="s">
        <v>24</v>
      </c>
      <c r="O52" s="25">
        <v>13</v>
      </c>
      <c r="P52" s="25">
        <v>13</v>
      </c>
      <c r="Q52" s="25">
        <v>13</v>
      </c>
      <c r="R52" s="25">
        <v>13</v>
      </c>
      <c r="S52" s="25">
        <v>13</v>
      </c>
      <c r="T52" s="25">
        <v>0</v>
      </c>
      <c r="V52" s="182"/>
      <c r="AG52" s="182"/>
      <c r="AH52" s="182"/>
    </row>
    <row r="53" spans="2:34">
      <c r="B53" s="211"/>
      <c r="C53" s="12">
        <f t="shared" ca="1" si="28"/>
        <v>1</v>
      </c>
      <c r="D53" s="22">
        <f t="shared" si="29"/>
        <v>46171</v>
      </c>
      <c r="E53" s="26">
        <f t="shared" si="30"/>
        <v>1</v>
      </c>
      <c r="F53" s="26">
        <f t="shared" si="31"/>
        <v>0</v>
      </c>
      <c r="G53" s="26">
        <f t="shared" si="32"/>
        <v>0</v>
      </c>
      <c r="H53" s="26">
        <f t="shared" si="33"/>
        <v>0</v>
      </c>
      <c r="I53" s="26">
        <f t="shared" si="34"/>
        <v>0</v>
      </c>
      <c r="J53" s="26">
        <f t="shared" si="35"/>
        <v>1</v>
      </c>
      <c r="M53" s="21">
        <f>M52+7</f>
        <v>46171</v>
      </c>
      <c r="N53" s="10" t="s">
        <v>24</v>
      </c>
      <c r="O53" s="25">
        <v>0</v>
      </c>
      <c r="P53" s="25">
        <v>13</v>
      </c>
      <c r="Q53" s="25">
        <v>13</v>
      </c>
      <c r="R53" s="25">
        <v>13</v>
      </c>
      <c r="S53" s="25">
        <v>13</v>
      </c>
      <c r="T53" s="25">
        <v>0</v>
      </c>
      <c r="V53" s="182"/>
      <c r="AG53" s="182"/>
      <c r="AH53" s="182"/>
    </row>
    <row r="54" spans="2:34">
      <c r="B54" s="211"/>
      <c r="C54" s="12">
        <f t="shared" ca="1" si="28"/>
        <v>1</v>
      </c>
      <c r="D54" s="22">
        <f t="shared" si="29"/>
        <v>46178</v>
      </c>
      <c r="E54" s="26">
        <f t="shared" si="30"/>
        <v>0</v>
      </c>
      <c r="F54" s="26">
        <f t="shared" si="31"/>
        <v>0</v>
      </c>
      <c r="G54" s="26">
        <f t="shared" si="32"/>
        <v>0</v>
      </c>
      <c r="H54" s="26">
        <f t="shared" si="33"/>
        <v>1</v>
      </c>
      <c r="I54" s="26">
        <f t="shared" si="34"/>
        <v>1</v>
      </c>
      <c r="J54" s="26">
        <f t="shared" si="35"/>
        <v>0</v>
      </c>
      <c r="M54" s="21">
        <f t="shared" ref="M54:M63" si="36">M53+7</f>
        <v>46178</v>
      </c>
      <c r="N54" s="10" t="s">
        <v>24</v>
      </c>
      <c r="O54" s="25">
        <v>13</v>
      </c>
      <c r="P54" s="25">
        <v>13</v>
      </c>
      <c r="Q54" s="25">
        <v>13</v>
      </c>
      <c r="R54" s="25">
        <v>0</v>
      </c>
      <c r="S54" s="25">
        <v>0</v>
      </c>
      <c r="T54" s="25">
        <v>13</v>
      </c>
      <c r="V54" s="182"/>
      <c r="AG54" s="182"/>
      <c r="AH54" s="182"/>
    </row>
    <row r="55" spans="2:34">
      <c r="B55" s="211"/>
      <c r="C55" s="12">
        <f t="shared" ca="1" si="28"/>
        <v>1</v>
      </c>
      <c r="D55" s="22">
        <f t="shared" si="29"/>
        <v>46185</v>
      </c>
      <c r="E55" s="26">
        <f t="shared" si="30"/>
        <v>0</v>
      </c>
      <c r="F55" s="26">
        <f t="shared" si="31"/>
        <v>0</v>
      </c>
      <c r="G55" s="26">
        <f t="shared" si="32"/>
        <v>0</v>
      </c>
      <c r="H55" s="26">
        <f t="shared" si="33"/>
        <v>1</v>
      </c>
      <c r="I55" s="26">
        <f t="shared" si="34"/>
        <v>0</v>
      </c>
      <c r="J55" s="26">
        <f t="shared" si="35"/>
        <v>1</v>
      </c>
      <c r="M55" s="21">
        <f t="shared" si="36"/>
        <v>46185</v>
      </c>
      <c r="N55" s="10" t="s">
        <v>24</v>
      </c>
      <c r="O55" s="25">
        <v>13</v>
      </c>
      <c r="P55" s="25">
        <v>13</v>
      </c>
      <c r="Q55" s="25">
        <v>13</v>
      </c>
      <c r="R55" s="25">
        <v>0</v>
      </c>
      <c r="S55" s="25">
        <v>13</v>
      </c>
      <c r="T55" s="25">
        <v>0</v>
      </c>
      <c r="V55" s="182"/>
      <c r="AG55" s="182"/>
      <c r="AH55" s="182"/>
    </row>
    <row r="56" spans="2:34">
      <c r="B56" s="211"/>
      <c r="C56" s="12">
        <f t="shared" ca="1" si="28"/>
        <v>1</v>
      </c>
      <c r="D56" s="22">
        <f t="shared" si="29"/>
        <v>46192</v>
      </c>
      <c r="E56" s="26">
        <f t="shared" si="30"/>
        <v>0</v>
      </c>
      <c r="F56" s="26">
        <f t="shared" si="31"/>
        <v>0</v>
      </c>
      <c r="G56" s="26">
        <f t="shared" si="32"/>
        <v>0</v>
      </c>
      <c r="H56" s="26">
        <f t="shared" si="33"/>
        <v>1</v>
      </c>
      <c r="I56" s="26">
        <f t="shared" si="34"/>
        <v>0</v>
      </c>
      <c r="J56" s="26">
        <f t="shared" si="35"/>
        <v>1</v>
      </c>
      <c r="M56" s="21">
        <f t="shared" si="36"/>
        <v>46192</v>
      </c>
      <c r="N56" s="10" t="s">
        <v>24</v>
      </c>
      <c r="O56" s="25">
        <v>13</v>
      </c>
      <c r="P56" s="25">
        <v>13</v>
      </c>
      <c r="Q56" s="25">
        <v>13</v>
      </c>
      <c r="R56" s="25">
        <v>0</v>
      </c>
      <c r="S56" s="25">
        <v>13</v>
      </c>
      <c r="T56" s="25">
        <v>0</v>
      </c>
      <c r="V56" s="182"/>
      <c r="AG56" s="182"/>
      <c r="AH56" s="182"/>
    </row>
    <row r="57" spans="2:34">
      <c r="B57" s="211"/>
      <c r="C57" s="12"/>
      <c r="D57" s="22"/>
      <c r="E57" s="26"/>
      <c r="F57" s="26"/>
      <c r="G57" s="26"/>
      <c r="H57" s="26"/>
      <c r="I57" s="26"/>
      <c r="J57" s="26"/>
      <c r="M57" s="21">
        <v>46192</v>
      </c>
      <c r="N57" s="10" t="s">
        <v>47</v>
      </c>
      <c r="O57" s="25"/>
      <c r="P57" s="25"/>
      <c r="Q57" s="25"/>
      <c r="R57" s="25"/>
      <c r="S57" s="25"/>
      <c r="T57" s="25">
        <v>3.25</v>
      </c>
      <c r="V57" s="182"/>
      <c r="AG57" s="182"/>
      <c r="AH57" s="182"/>
    </row>
    <row r="58" spans="2:34">
      <c r="B58" s="211"/>
      <c r="C58" s="12">
        <f t="shared" ca="1" si="28"/>
        <v>1</v>
      </c>
      <c r="D58" s="22">
        <f t="shared" si="29"/>
        <v>46199</v>
      </c>
      <c r="E58" s="26">
        <f t="shared" si="30"/>
        <v>1</v>
      </c>
      <c r="F58" s="26">
        <f t="shared" si="31"/>
        <v>0</v>
      </c>
      <c r="G58" s="26">
        <f t="shared" si="32"/>
        <v>0</v>
      </c>
      <c r="H58" s="26">
        <f t="shared" si="33"/>
        <v>0</v>
      </c>
      <c r="I58" s="26">
        <f t="shared" si="34"/>
        <v>1</v>
      </c>
      <c r="J58" s="26">
        <f t="shared" si="35"/>
        <v>1</v>
      </c>
      <c r="M58" s="21">
        <v>46199</v>
      </c>
      <c r="N58" s="10" t="s">
        <v>24</v>
      </c>
      <c r="O58" s="25">
        <v>0</v>
      </c>
      <c r="P58" s="25">
        <v>13</v>
      </c>
      <c r="Q58" s="25">
        <v>13</v>
      </c>
      <c r="R58" s="25">
        <v>13</v>
      </c>
      <c r="S58" s="25">
        <v>0</v>
      </c>
      <c r="T58" s="25">
        <v>0</v>
      </c>
      <c r="V58" s="182"/>
      <c r="AG58" s="182"/>
      <c r="AH58" s="182"/>
    </row>
    <row r="59" spans="2:34">
      <c r="C59" s="12">
        <f t="shared" ca="1" si="28"/>
        <v>1</v>
      </c>
      <c r="D59" s="22">
        <f t="shared" si="29"/>
        <v>46206</v>
      </c>
      <c r="E59" s="26">
        <f t="shared" si="30"/>
        <v>1</v>
      </c>
      <c r="F59" s="26">
        <f t="shared" si="31"/>
        <v>0</v>
      </c>
      <c r="G59" s="26">
        <f t="shared" si="32"/>
        <v>1</v>
      </c>
      <c r="H59" s="26">
        <f t="shared" si="33"/>
        <v>0</v>
      </c>
      <c r="I59" s="26">
        <f t="shared" si="34"/>
        <v>1</v>
      </c>
      <c r="J59" s="26">
        <f t="shared" si="35"/>
        <v>1</v>
      </c>
      <c r="M59" s="21">
        <f t="shared" si="36"/>
        <v>46206</v>
      </c>
      <c r="N59" s="10" t="s">
        <v>24</v>
      </c>
      <c r="O59" s="25">
        <v>0</v>
      </c>
      <c r="P59" s="25">
        <v>13</v>
      </c>
      <c r="Q59" s="25">
        <v>0</v>
      </c>
      <c r="R59" s="25">
        <v>13</v>
      </c>
      <c r="S59" s="25">
        <v>0</v>
      </c>
      <c r="T59" s="25">
        <v>0</v>
      </c>
      <c r="V59" s="182"/>
      <c r="AG59" s="182"/>
      <c r="AH59" s="182"/>
    </row>
    <row r="60" spans="2:34">
      <c r="C60" s="12">
        <f t="shared" ca="1" si="28"/>
        <v>1</v>
      </c>
      <c r="D60" s="22">
        <f t="shared" si="29"/>
        <v>46213</v>
      </c>
      <c r="E60" s="26">
        <f t="shared" si="30"/>
        <v>1</v>
      </c>
      <c r="F60" s="26">
        <f t="shared" si="31"/>
        <v>0</v>
      </c>
      <c r="G60" s="26">
        <f t="shared" si="32"/>
        <v>1</v>
      </c>
      <c r="H60" s="26">
        <f t="shared" si="33"/>
        <v>1</v>
      </c>
      <c r="I60" s="26">
        <f t="shared" si="34"/>
        <v>1</v>
      </c>
      <c r="J60" s="26">
        <f t="shared" si="35"/>
        <v>1</v>
      </c>
      <c r="M60" s="21">
        <f t="shared" si="36"/>
        <v>46213</v>
      </c>
      <c r="N60" s="10" t="s">
        <v>24</v>
      </c>
      <c r="O60" s="25">
        <v>0</v>
      </c>
      <c r="P60" s="25">
        <v>13</v>
      </c>
      <c r="Q60" s="25">
        <v>0</v>
      </c>
      <c r="R60" s="25">
        <v>0</v>
      </c>
      <c r="S60" s="25">
        <v>0</v>
      </c>
      <c r="T60" s="25">
        <v>0</v>
      </c>
      <c r="V60" s="182"/>
      <c r="AG60" s="182"/>
      <c r="AH60" s="182"/>
    </row>
    <row r="61" spans="2:34">
      <c r="C61" s="12">
        <f t="shared" ca="1" si="28"/>
        <v>1</v>
      </c>
      <c r="D61" s="22">
        <f t="shared" si="29"/>
        <v>46220</v>
      </c>
      <c r="E61" s="26">
        <f t="shared" si="30"/>
        <v>1</v>
      </c>
      <c r="F61" s="26">
        <f t="shared" si="31"/>
        <v>0</v>
      </c>
      <c r="G61" s="26">
        <f t="shared" si="32"/>
        <v>0</v>
      </c>
      <c r="H61" s="26">
        <f t="shared" si="33"/>
        <v>1</v>
      </c>
      <c r="I61" s="26">
        <f t="shared" si="34"/>
        <v>1</v>
      </c>
      <c r="J61" s="26">
        <f t="shared" si="35"/>
        <v>0</v>
      </c>
      <c r="M61" s="21">
        <f t="shared" si="36"/>
        <v>46220</v>
      </c>
      <c r="N61" s="10" t="s">
        <v>24</v>
      </c>
      <c r="O61" s="25">
        <v>0</v>
      </c>
      <c r="P61" s="25">
        <v>13</v>
      </c>
      <c r="Q61" s="25">
        <v>13</v>
      </c>
      <c r="R61" s="25">
        <v>0</v>
      </c>
      <c r="S61" s="25">
        <v>0</v>
      </c>
      <c r="T61" s="25">
        <v>13</v>
      </c>
      <c r="V61" s="182"/>
      <c r="AG61" s="182"/>
      <c r="AH61" s="182"/>
    </row>
    <row r="62" spans="2:34">
      <c r="C62" s="12">
        <f t="shared" ca="1" si="28"/>
        <v>1</v>
      </c>
      <c r="D62" s="22">
        <f t="shared" si="29"/>
        <v>46227</v>
      </c>
      <c r="E62" s="26">
        <f t="shared" si="30"/>
        <v>1</v>
      </c>
      <c r="F62" s="26">
        <f t="shared" si="31"/>
        <v>0</v>
      </c>
      <c r="G62" s="26">
        <f t="shared" si="32"/>
        <v>0</v>
      </c>
      <c r="H62" s="26">
        <f t="shared" si="33"/>
        <v>0</v>
      </c>
      <c r="I62" s="26">
        <f t="shared" si="34"/>
        <v>1</v>
      </c>
      <c r="J62" s="26">
        <f t="shared" si="35"/>
        <v>1</v>
      </c>
      <c r="M62" s="21">
        <f t="shared" si="36"/>
        <v>46227</v>
      </c>
      <c r="N62" s="10" t="s">
        <v>24</v>
      </c>
      <c r="O62" s="25">
        <v>0</v>
      </c>
      <c r="P62" s="25">
        <v>13</v>
      </c>
      <c r="Q62" s="25">
        <v>13</v>
      </c>
      <c r="R62" s="25">
        <v>13</v>
      </c>
      <c r="S62" s="25">
        <v>0</v>
      </c>
      <c r="T62" s="25">
        <v>0</v>
      </c>
      <c r="V62" s="182"/>
      <c r="AG62" s="182"/>
      <c r="AH62" s="182"/>
    </row>
    <row r="63" spans="2:34">
      <c r="C63" s="12">
        <f t="shared" ca="1" si="28"/>
        <v>1</v>
      </c>
      <c r="D63" s="22">
        <f t="shared" si="29"/>
        <v>46234</v>
      </c>
      <c r="E63" s="26">
        <f>IF(O63="","",IF(O63=0,1,0))</f>
        <v>1</v>
      </c>
      <c r="F63" s="26">
        <f t="shared" si="31"/>
        <v>1</v>
      </c>
      <c r="G63" s="26">
        <f t="shared" si="32"/>
        <v>0</v>
      </c>
      <c r="H63" s="26">
        <f t="shared" si="33"/>
        <v>0</v>
      </c>
      <c r="I63" s="26">
        <f t="shared" si="34"/>
        <v>1</v>
      </c>
      <c r="J63" s="26">
        <f t="shared" si="35"/>
        <v>1</v>
      </c>
      <c r="M63" s="21">
        <f t="shared" si="36"/>
        <v>46234</v>
      </c>
      <c r="N63" s="10" t="s">
        <v>24</v>
      </c>
      <c r="O63" s="25">
        <v>0</v>
      </c>
      <c r="P63" s="25">
        <v>0</v>
      </c>
      <c r="Q63" s="25">
        <v>13</v>
      </c>
      <c r="R63" s="25">
        <v>13</v>
      </c>
      <c r="S63" s="25">
        <v>0</v>
      </c>
      <c r="T63" s="25">
        <v>0</v>
      </c>
      <c r="V63" s="182"/>
      <c r="AG63" s="182"/>
      <c r="AH63" s="182"/>
    </row>
    <row r="64" spans="2:34">
      <c r="C64" s="12">
        <f t="shared" ca="1" si="28"/>
        <v>1</v>
      </c>
      <c r="D64" s="22">
        <f t="shared" si="29"/>
        <v>46241</v>
      </c>
      <c r="E64" s="26" t="str">
        <f t="shared" si="30"/>
        <v/>
      </c>
      <c r="F64" s="26" t="str">
        <f t="shared" si="31"/>
        <v/>
      </c>
      <c r="G64" s="26" t="str">
        <f t="shared" si="32"/>
        <v/>
      </c>
      <c r="H64" s="26" t="str">
        <f t="shared" si="33"/>
        <v/>
      </c>
      <c r="I64" s="26">
        <f t="shared" si="34"/>
        <v>0</v>
      </c>
      <c r="J64" s="26" t="str">
        <f t="shared" si="35"/>
        <v/>
      </c>
      <c r="M64" s="21">
        <v>46241</v>
      </c>
      <c r="N64" s="10" t="s">
        <v>47</v>
      </c>
      <c r="O64" s="25"/>
      <c r="P64" s="25"/>
      <c r="Q64" s="25"/>
      <c r="R64" s="25"/>
      <c r="S64" s="25">
        <v>3.25</v>
      </c>
      <c r="T64" s="25"/>
      <c r="V64" s="182"/>
      <c r="AG64" s="182"/>
      <c r="AH64" s="182"/>
    </row>
    <row r="65" spans="3:34">
      <c r="C65" s="12">
        <f t="shared" ca="1" si="28"/>
        <v>1</v>
      </c>
      <c r="D65" s="22">
        <f t="shared" si="29"/>
        <v>46241</v>
      </c>
      <c r="E65" s="26">
        <f t="shared" si="30"/>
        <v>0</v>
      </c>
      <c r="F65" s="26">
        <f t="shared" si="31"/>
        <v>0</v>
      </c>
      <c r="G65" s="26">
        <f t="shared" si="32"/>
        <v>0</v>
      </c>
      <c r="H65" s="26">
        <f t="shared" si="33"/>
        <v>1</v>
      </c>
      <c r="I65" s="26">
        <f t="shared" si="34"/>
        <v>1</v>
      </c>
      <c r="J65" s="26">
        <f t="shared" si="35"/>
        <v>1</v>
      </c>
      <c r="M65" s="21">
        <v>46241</v>
      </c>
      <c r="N65" s="10" t="s">
        <v>24</v>
      </c>
      <c r="O65" s="25">
        <v>13</v>
      </c>
      <c r="P65" s="25">
        <v>13</v>
      </c>
      <c r="Q65" s="25">
        <v>13</v>
      </c>
      <c r="R65" s="25">
        <v>0</v>
      </c>
      <c r="S65" s="25">
        <v>0</v>
      </c>
      <c r="T65" s="25">
        <v>0</v>
      </c>
      <c r="V65" s="182"/>
      <c r="AG65" s="182"/>
      <c r="AH65" s="182"/>
    </row>
    <row r="66" spans="3:34">
      <c r="C66" s="12">
        <f t="shared" ca="1" si="28"/>
        <v>1</v>
      </c>
      <c r="D66" s="22">
        <f t="shared" si="29"/>
        <v>46248</v>
      </c>
      <c r="E66" s="26">
        <f t="shared" si="30"/>
        <v>0</v>
      </c>
      <c r="F66" s="26">
        <f t="shared" si="31"/>
        <v>0</v>
      </c>
      <c r="G66" s="26">
        <f t="shared" si="32"/>
        <v>1</v>
      </c>
      <c r="H66" s="26">
        <f t="shared" si="33"/>
        <v>1</v>
      </c>
      <c r="I66" s="26">
        <f t="shared" si="34"/>
        <v>1</v>
      </c>
      <c r="J66" s="26">
        <f t="shared" si="35"/>
        <v>1</v>
      </c>
      <c r="M66" s="21">
        <f t="shared" ref="M66:M74" si="37">M65+7</f>
        <v>46248</v>
      </c>
      <c r="N66" s="10" t="s">
        <v>24</v>
      </c>
      <c r="O66" s="25">
        <v>13</v>
      </c>
      <c r="P66" s="25">
        <v>13</v>
      </c>
      <c r="Q66" s="25">
        <v>0</v>
      </c>
      <c r="R66" s="25">
        <v>0</v>
      </c>
      <c r="S66" s="25">
        <v>0</v>
      </c>
      <c r="T66" s="25">
        <v>0</v>
      </c>
      <c r="V66" s="182"/>
      <c r="AG66" s="182"/>
      <c r="AH66" s="182"/>
    </row>
    <row r="67" spans="3:34">
      <c r="C67" s="12">
        <f t="shared" ca="1" si="28"/>
        <v>1</v>
      </c>
      <c r="D67" s="22">
        <f t="shared" si="29"/>
        <v>46255</v>
      </c>
      <c r="E67" s="26">
        <f t="shared" si="30"/>
        <v>0</v>
      </c>
      <c r="F67" s="26">
        <f t="shared" si="31"/>
        <v>0</v>
      </c>
      <c r="G67" s="26">
        <f t="shared" si="32"/>
        <v>0</v>
      </c>
      <c r="H67" s="26">
        <f t="shared" si="33"/>
        <v>1</v>
      </c>
      <c r="I67" s="26">
        <f t="shared" si="34"/>
        <v>1</v>
      </c>
      <c r="J67" s="26">
        <f t="shared" si="35"/>
        <v>0</v>
      </c>
      <c r="M67" s="21">
        <f t="shared" si="37"/>
        <v>46255</v>
      </c>
      <c r="N67" s="10" t="s">
        <v>24</v>
      </c>
      <c r="O67" s="25">
        <v>13</v>
      </c>
      <c r="P67" s="25">
        <v>13</v>
      </c>
      <c r="Q67" s="25">
        <v>13</v>
      </c>
      <c r="R67" s="25">
        <v>0</v>
      </c>
      <c r="S67" s="25">
        <v>0</v>
      </c>
      <c r="T67" s="25">
        <v>13</v>
      </c>
      <c r="V67" s="182"/>
      <c r="AG67" s="182"/>
      <c r="AH67" s="182"/>
    </row>
    <row r="68" spans="3:34">
      <c r="C68" s="12">
        <f t="shared" ca="1" si="28"/>
        <v>1</v>
      </c>
      <c r="D68" s="22">
        <f t="shared" si="29"/>
        <v>46262</v>
      </c>
      <c r="E68" s="26">
        <f t="shared" si="30"/>
        <v>0</v>
      </c>
      <c r="F68" s="26">
        <f t="shared" si="31"/>
        <v>0</v>
      </c>
      <c r="G68" s="26">
        <f t="shared" si="32"/>
        <v>1</v>
      </c>
      <c r="H68" s="26">
        <f t="shared" si="33"/>
        <v>1</v>
      </c>
      <c r="I68" s="26">
        <f t="shared" si="34"/>
        <v>1</v>
      </c>
      <c r="J68" s="26">
        <f t="shared" si="35"/>
        <v>1</v>
      </c>
      <c r="M68" s="21">
        <f t="shared" si="37"/>
        <v>46262</v>
      </c>
      <c r="N68" s="10" t="s">
        <v>24</v>
      </c>
      <c r="O68" s="25">
        <v>13.5</v>
      </c>
      <c r="P68" s="25">
        <v>13.5</v>
      </c>
      <c r="Q68" s="25">
        <v>0</v>
      </c>
      <c r="R68" s="25">
        <v>0</v>
      </c>
      <c r="S68" s="25">
        <v>0</v>
      </c>
      <c r="T68" s="25">
        <v>0</v>
      </c>
      <c r="V68" s="182"/>
      <c r="AG68" s="182"/>
      <c r="AH68" s="182"/>
    </row>
    <row r="69" spans="3:34">
      <c r="C69" s="12">
        <f t="shared" ca="1" si="28"/>
        <v>1</v>
      </c>
      <c r="D69" s="22">
        <f t="shared" si="29"/>
        <v>46269</v>
      </c>
      <c r="E69" s="26">
        <f t="shared" si="30"/>
        <v>1</v>
      </c>
      <c r="F69" s="26">
        <f t="shared" si="31"/>
        <v>0</v>
      </c>
      <c r="G69" s="26">
        <f t="shared" si="32"/>
        <v>0</v>
      </c>
      <c r="H69" s="26">
        <f t="shared" si="33"/>
        <v>1</v>
      </c>
      <c r="I69" s="26">
        <f t="shared" si="34"/>
        <v>0</v>
      </c>
      <c r="J69" s="26">
        <f t="shared" si="35"/>
        <v>1</v>
      </c>
      <c r="M69" s="21">
        <f t="shared" si="37"/>
        <v>46269</v>
      </c>
      <c r="N69" s="10" t="s">
        <v>24</v>
      </c>
      <c r="O69" s="25">
        <v>0</v>
      </c>
      <c r="P69" s="25">
        <v>13.5</v>
      </c>
      <c r="Q69" s="25">
        <v>13.5</v>
      </c>
      <c r="R69" s="25">
        <v>0</v>
      </c>
      <c r="S69" s="25">
        <v>13.5</v>
      </c>
      <c r="T69" s="25">
        <v>0</v>
      </c>
      <c r="V69" s="182"/>
      <c r="AG69" s="182"/>
      <c r="AH69" s="182"/>
    </row>
    <row r="70" spans="3:34">
      <c r="C70" s="12">
        <f t="shared" ca="1" si="28"/>
        <v>1</v>
      </c>
      <c r="D70" s="22">
        <f t="shared" si="29"/>
        <v>46276</v>
      </c>
      <c r="E70" s="26">
        <f t="shared" si="30"/>
        <v>0</v>
      </c>
      <c r="F70" s="26">
        <f t="shared" si="31"/>
        <v>0</v>
      </c>
      <c r="G70" s="26">
        <f t="shared" si="32"/>
        <v>0</v>
      </c>
      <c r="H70" s="26">
        <f t="shared" si="33"/>
        <v>1</v>
      </c>
      <c r="I70" s="26">
        <f t="shared" si="34"/>
        <v>1</v>
      </c>
      <c r="J70" s="26">
        <f t="shared" si="35"/>
        <v>1</v>
      </c>
      <c r="M70" s="21">
        <f t="shared" si="37"/>
        <v>46276</v>
      </c>
      <c r="N70" s="10" t="s">
        <v>24</v>
      </c>
      <c r="O70" s="25">
        <v>13.5</v>
      </c>
      <c r="P70" s="25">
        <v>13.5</v>
      </c>
      <c r="Q70" s="25">
        <v>13.5</v>
      </c>
      <c r="R70" s="25">
        <v>0</v>
      </c>
      <c r="S70" s="25">
        <v>0</v>
      </c>
      <c r="T70" s="25">
        <v>0</v>
      </c>
      <c r="V70" s="182"/>
      <c r="AG70" s="182"/>
      <c r="AH70" s="182"/>
    </row>
    <row r="71" spans="3:34">
      <c r="C71" s="12">
        <f t="shared" ca="1" si="28"/>
        <v>1</v>
      </c>
      <c r="D71" s="22">
        <f t="shared" si="29"/>
        <v>46283</v>
      </c>
      <c r="E71" s="26">
        <f t="shared" si="30"/>
        <v>0</v>
      </c>
      <c r="F71" s="26">
        <f t="shared" si="31"/>
        <v>0</v>
      </c>
      <c r="G71" s="26">
        <f t="shared" si="32"/>
        <v>0</v>
      </c>
      <c r="H71" s="26">
        <f t="shared" si="33"/>
        <v>1</v>
      </c>
      <c r="I71" s="26">
        <f t="shared" si="34"/>
        <v>0</v>
      </c>
      <c r="J71" s="26">
        <f t="shared" si="35"/>
        <v>0</v>
      </c>
      <c r="M71" s="21">
        <f t="shared" si="37"/>
        <v>46283</v>
      </c>
      <c r="N71" s="10" t="s">
        <v>24</v>
      </c>
      <c r="O71" s="25">
        <v>13.5</v>
      </c>
      <c r="P71" s="25">
        <v>13.5</v>
      </c>
      <c r="Q71" s="25">
        <v>13.5</v>
      </c>
      <c r="R71" s="25">
        <v>0</v>
      </c>
      <c r="S71" s="25">
        <v>13.5</v>
      </c>
      <c r="T71" s="25">
        <v>13.5</v>
      </c>
      <c r="AG71" s="182"/>
      <c r="AH71" s="182"/>
    </row>
    <row r="72" spans="3:34">
      <c r="C72" s="12">
        <f t="shared" ca="1" si="28"/>
        <v>1</v>
      </c>
      <c r="D72" s="22">
        <f t="shared" si="29"/>
        <v>46290</v>
      </c>
      <c r="E72" s="26">
        <f t="shared" si="30"/>
        <v>1</v>
      </c>
      <c r="F72" s="26">
        <f t="shared" si="31"/>
        <v>0</v>
      </c>
      <c r="G72" s="26">
        <f t="shared" si="32"/>
        <v>1</v>
      </c>
      <c r="H72" s="26">
        <f t="shared" si="33"/>
        <v>0</v>
      </c>
      <c r="I72" s="26">
        <f t="shared" si="34"/>
        <v>1</v>
      </c>
      <c r="J72" s="26">
        <f t="shared" si="35"/>
        <v>0</v>
      </c>
      <c r="M72" s="21">
        <f t="shared" si="37"/>
        <v>46290</v>
      </c>
      <c r="N72" s="10" t="s">
        <v>24</v>
      </c>
      <c r="O72" s="25">
        <v>0</v>
      </c>
      <c r="P72" s="25">
        <v>13.5</v>
      </c>
      <c r="Q72" s="25">
        <v>0</v>
      </c>
      <c r="R72" s="25">
        <v>13.5</v>
      </c>
      <c r="S72" s="25">
        <v>0</v>
      </c>
      <c r="T72" s="25">
        <v>13.5</v>
      </c>
      <c r="AG72" s="182"/>
      <c r="AH72" s="182"/>
    </row>
    <row r="73" spans="3:34">
      <c r="C73" s="12">
        <f t="shared" ca="1" si="28"/>
        <v>1</v>
      </c>
      <c r="D73" s="22">
        <f t="shared" si="29"/>
        <v>46297</v>
      </c>
      <c r="E73" s="26">
        <f t="shared" si="30"/>
        <v>1</v>
      </c>
      <c r="F73" s="26">
        <f t="shared" si="31"/>
        <v>0</v>
      </c>
      <c r="G73" s="26">
        <f t="shared" si="32"/>
        <v>1</v>
      </c>
      <c r="H73" s="26">
        <f t="shared" si="33"/>
        <v>0</v>
      </c>
      <c r="I73" s="26">
        <f t="shared" si="34"/>
        <v>0</v>
      </c>
      <c r="J73" s="26">
        <f t="shared" si="35"/>
        <v>1</v>
      </c>
      <c r="M73" s="21">
        <f t="shared" si="37"/>
        <v>46297</v>
      </c>
      <c r="N73" s="10" t="s">
        <v>24</v>
      </c>
      <c r="O73" s="25">
        <v>0</v>
      </c>
      <c r="P73" s="25">
        <v>13.5</v>
      </c>
      <c r="Q73" s="25">
        <v>0</v>
      </c>
      <c r="R73" s="25">
        <v>13.5</v>
      </c>
      <c r="S73" s="25">
        <v>13.5</v>
      </c>
      <c r="T73" s="25">
        <v>0</v>
      </c>
      <c r="AG73" s="182"/>
      <c r="AH73" s="182"/>
    </row>
    <row r="74" spans="3:34">
      <c r="C74" s="12" t="str">
        <f t="shared" ca="1" si="28"/>
        <v/>
      </c>
      <c r="D74" s="22" t="str">
        <f t="shared" si="29"/>
        <v/>
      </c>
      <c r="E74" s="26" t="str">
        <f t="shared" si="30"/>
        <v/>
      </c>
      <c r="F74" s="26" t="str">
        <f t="shared" si="31"/>
        <v/>
      </c>
      <c r="G74" s="26" t="str">
        <f t="shared" si="32"/>
        <v/>
      </c>
      <c r="H74" s="26" t="str">
        <f t="shared" si="33"/>
        <v/>
      </c>
      <c r="I74" s="26" t="str">
        <f t="shared" si="34"/>
        <v/>
      </c>
      <c r="J74" s="26" t="str">
        <f t="shared" si="35"/>
        <v/>
      </c>
      <c r="M74" s="21"/>
      <c r="N74" s="10"/>
      <c r="O74" s="25"/>
      <c r="P74" s="25"/>
      <c r="Q74" s="25"/>
      <c r="R74" s="25"/>
      <c r="S74" s="25"/>
      <c r="T74" s="25"/>
      <c r="AG74" s="182"/>
      <c r="AH74" s="182"/>
    </row>
    <row r="75" spans="3:34">
      <c r="C75" s="12" t="str">
        <f t="shared" ca="1" si="28"/>
        <v/>
      </c>
      <c r="D75" s="22" t="str">
        <f t="shared" si="29"/>
        <v/>
      </c>
      <c r="E75" s="26" t="str">
        <f t="shared" si="30"/>
        <v/>
      </c>
      <c r="F75" s="26" t="str">
        <f t="shared" si="31"/>
        <v/>
      </c>
      <c r="G75" s="26" t="str">
        <f t="shared" si="32"/>
        <v/>
      </c>
      <c r="H75" s="26" t="str">
        <f t="shared" si="33"/>
        <v/>
      </c>
      <c r="I75" s="26" t="str">
        <f t="shared" si="34"/>
        <v/>
      </c>
      <c r="J75" s="26" t="str">
        <f t="shared" si="35"/>
        <v/>
      </c>
      <c r="M75" s="21"/>
      <c r="N75" s="10"/>
      <c r="O75" s="25"/>
      <c r="P75" s="25"/>
      <c r="Q75" s="25"/>
      <c r="R75" s="25"/>
      <c r="S75" s="25"/>
      <c r="T75" s="25"/>
      <c r="AG75" s="182"/>
      <c r="AH75" s="182"/>
    </row>
    <row r="76" spans="3:34">
      <c r="C76" s="12" t="str">
        <f t="shared" ca="1" si="28"/>
        <v/>
      </c>
      <c r="D76" s="22" t="str">
        <f t="shared" si="29"/>
        <v/>
      </c>
      <c r="E76" s="26" t="str">
        <f t="shared" si="30"/>
        <v/>
      </c>
      <c r="F76" s="26" t="str">
        <f t="shared" si="31"/>
        <v/>
      </c>
      <c r="G76" s="26" t="str">
        <f t="shared" si="32"/>
        <v/>
      </c>
      <c r="H76" s="26" t="str">
        <f t="shared" si="33"/>
        <v/>
      </c>
      <c r="I76" s="26" t="str">
        <f t="shared" si="34"/>
        <v/>
      </c>
      <c r="J76" s="26" t="str">
        <f t="shared" si="35"/>
        <v/>
      </c>
      <c r="M76" s="21"/>
      <c r="N76" s="10"/>
      <c r="O76" s="25"/>
      <c r="P76" s="25"/>
      <c r="Q76" s="25"/>
      <c r="R76" s="25"/>
      <c r="S76" s="25"/>
      <c r="T76" s="25"/>
      <c r="AG76" s="182"/>
      <c r="AH76" s="182"/>
    </row>
    <row r="77" spans="3:34">
      <c r="C77" s="12" t="str">
        <f t="shared" ca="1" si="28"/>
        <v/>
      </c>
      <c r="D77" s="22" t="str">
        <f t="shared" si="29"/>
        <v/>
      </c>
      <c r="E77" s="26" t="str">
        <f t="shared" si="30"/>
        <v/>
      </c>
      <c r="F77" s="26" t="str">
        <f t="shared" si="31"/>
        <v/>
      </c>
      <c r="G77" s="26" t="str">
        <f t="shared" si="32"/>
        <v/>
      </c>
      <c r="H77" s="26" t="str">
        <f t="shared" si="33"/>
        <v/>
      </c>
      <c r="I77" s="26" t="str">
        <f t="shared" si="34"/>
        <v/>
      </c>
      <c r="J77" s="26" t="str">
        <f t="shared" si="35"/>
        <v/>
      </c>
      <c r="M77" s="21"/>
      <c r="N77" s="10"/>
      <c r="O77" s="25"/>
      <c r="P77" s="25"/>
      <c r="Q77" s="25"/>
      <c r="R77" s="25"/>
      <c r="S77" s="25"/>
      <c r="T77" s="25"/>
      <c r="AG77" s="182"/>
      <c r="AH77" s="182"/>
    </row>
    <row r="78" spans="3:34">
      <c r="C78" s="12" t="str">
        <f t="shared" ca="1" si="28"/>
        <v/>
      </c>
      <c r="D78" s="22" t="str">
        <f t="shared" si="29"/>
        <v/>
      </c>
      <c r="E78" s="26" t="str">
        <f t="shared" si="30"/>
        <v/>
      </c>
      <c r="F78" s="26" t="str">
        <f t="shared" si="31"/>
        <v/>
      </c>
      <c r="G78" s="26" t="str">
        <f t="shared" si="32"/>
        <v/>
      </c>
      <c r="H78" s="26" t="str">
        <f t="shared" si="33"/>
        <v/>
      </c>
      <c r="I78" s="26" t="str">
        <f t="shared" si="34"/>
        <v/>
      </c>
      <c r="J78" s="26" t="str">
        <f t="shared" si="35"/>
        <v/>
      </c>
      <c r="M78" s="21"/>
      <c r="N78" s="10"/>
      <c r="O78" s="25"/>
      <c r="P78" s="25"/>
      <c r="Q78" s="25"/>
      <c r="R78" s="25"/>
      <c r="S78" s="25"/>
      <c r="T78" s="25"/>
      <c r="AG78" s="182"/>
      <c r="AH78" s="182"/>
    </row>
    <row r="79" spans="3:34">
      <c r="C79" s="12" t="str">
        <f t="shared" ca="1" si="28"/>
        <v/>
      </c>
      <c r="D79" s="22" t="str">
        <f t="shared" si="29"/>
        <v/>
      </c>
      <c r="E79" s="26" t="str">
        <f t="shared" si="30"/>
        <v/>
      </c>
      <c r="F79" s="26" t="str">
        <f t="shared" si="31"/>
        <v/>
      </c>
      <c r="G79" s="26" t="str">
        <f t="shared" si="32"/>
        <v/>
      </c>
      <c r="H79" s="26" t="str">
        <f t="shared" si="33"/>
        <v/>
      </c>
      <c r="I79" s="26" t="str">
        <f t="shared" si="34"/>
        <v/>
      </c>
      <c r="J79" s="26" t="str">
        <f t="shared" si="35"/>
        <v/>
      </c>
      <c r="M79" s="21"/>
      <c r="N79" s="10"/>
      <c r="O79" s="25"/>
      <c r="P79" s="25"/>
      <c r="Q79" s="25"/>
      <c r="R79" s="25"/>
      <c r="S79" s="25"/>
      <c r="T79" s="25"/>
      <c r="W79" s="190"/>
      <c r="AG79" s="182"/>
      <c r="AH79" s="182"/>
    </row>
    <row r="80" spans="3:34">
      <c r="C80" s="12" t="str">
        <f t="shared" ca="1" si="28"/>
        <v/>
      </c>
      <c r="D80" s="22" t="str">
        <f t="shared" si="29"/>
        <v/>
      </c>
      <c r="E80" s="26" t="str">
        <f t="shared" si="30"/>
        <v/>
      </c>
      <c r="F80" s="26" t="str">
        <f t="shared" si="31"/>
        <v/>
      </c>
      <c r="G80" s="26" t="str">
        <f t="shared" si="32"/>
        <v/>
      </c>
      <c r="H80" s="26" t="str">
        <f t="shared" si="33"/>
        <v/>
      </c>
      <c r="I80" s="26" t="str">
        <f t="shared" si="34"/>
        <v/>
      </c>
      <c r="J80" s="26" t="str">
        <f t="shared" si="35"/>
        <v/>
      </c>
      <c r="M80" s="21"/>
      <c r="N80" s="10"/>
      <c r="O80" s="25"/>
      <c r="P80" s="25"/>
      <c r="Q80" s="25"/>
      <c r="R80" s="25"/>
      <c r="S80" s="25"/>
      <c r="T80" s="25"/>
      <c r="AG80" s="182"/>
      <c r="AH80" s="182"/>
    </row>
    <row r="81" spans="3:20">
      <c r="C81" s="12" t="str">
        <f t="shared" ca="1" si="28"/>
        <v/>
      </c>
      <c r="D81" s="22" t="str">
        <f t="shared" si="29"/>
        <v/>
      </c>
      <c r="E81" s="26" t="str">
        <f t="shared" si="30"/>
        <v/>
      </c>
      <c r="F81" s="26" t="str">
        <f t="shared" si="31"/>
        <v/>
      </c>
      <c r="G81" s="26" t="str">
        <f t="shared" si="32"/>
        <v/>
      </c>
      <c r="H81" s="26" t="str">
        <f t="shared" si="33"/>
        <v/>
      </c>
      <c r="I81" s="26" t="str">
        <f t="shared" si="34"/>
        <v/>
      </c>
      <c r="J81" s="26" t="str">
        <f t="shared" si="35"/>
        <v/>
      </c>
      <c r="M81" s="21"/>
      <c r="N81" s="10"/>
      <c r="O81" s="25"/>
      <c r="P81" s="25"/>
      <c r="Q81" s="25"/>
      <c r="R81" s="25"/>
      <c r="S81" s="25"/>
      <c r="T81" s="25"/>
    </row>
    <row r="82" spans="3:20">
      <c r="C82" s="12" t="str">
        <f t="shared" ca="1" si="28"/>
        <v/>
      </c>
      <c r="D82" s="22" t="str">
        <f t="shared" si="29"/>
        <v/>
      </c>
      <c r="E82" s="26" t="str">
        <f t="shared" si="30"/>
        <v/>
      </c>
      <c r="F82" s="26" t="str">
        <f t="shared" si="31"/>
        <v/>
      </c>
      <c r="G82" s="26" t="str">
        <f t="shared" si="32"/>
        <v/>
      </c>
      <c r="H82" s="26" t="str">
        <f t="shared" si="33"/>
        <v/>
      </c>
      <c r="I82" s="26" t="str">
        <f t="shared" si="34"/>
        <v/>
      </c>
      <c r="J82" s="26" t="str">
        <f t="shared" si="35"/>
        <v/>
      </c>
      <c r="M82" s="21"/>
      <c r="N82" s="10"/>
      <c r="O82" s="25"/>
      <c r="P82" s="25"/>
      <c r="Q82" s="25"/>
      <c r="R82" s="25"/>
      <c r="S82" s="25"/>
      <c r="T82" s="25"/>
    </row>
    <row r="83" spans="3:20">
      <c r="C83" s="12" t="str">
        <f t="shared" ca="1" si="28"/>
        <v/>
      </c>
      <c r="D83" s="22" t="str">
        <f t="shared" si="29"/>
        <v/>
      </c>
      <c r="E83" s="26" t="str">
        <f t="shared" si="30"/>
        <v/>
      </c>
      <c r="F83" s="26" t="str">
        <f t="shared" si="31"/>
        <v/>
      </c>
      <c r="G83" s="26" t="str">
        <f t="shared" si="32"/>
        <v/>
      </c>
      <c r="H83" s="26" t="str">
        <f t="shared" si="33"/>
        <v/>
      </c>
      <c r="I83" s="26" t="str">
        <f t="shared" si="34"/>
        <v/>
      </c>
      <c r="J83" s="26" t="str">
        <f t="shared" si="35"/>
        <v/>
      </c>
      <c r="M83" s="21"/>
      <c r="N83" s="10"/>
      <c r="O83" s="25"/>
      <c r="P83" s="25"/>
      <c r="Q83" s="25"/>
      <c r="R83" s="25"/>
      <c r="S83" s="25"/>
      <c r="T83" s="25"/>
    </row>
    <row r="84" spans="3:20">
      <c r="C84" s="12" t="str">
        <f t="shared" ca="1" si="28"/>
        <v/>
      </c>
      <c r="D84" s="22" t="str">
        <f t="shared" si="29"/>
        <v/>
      </c>
      <c r="E84" s="26" t="str">
        <f t="shared" si="30"/>
        <v/>
      </c>
      <c r="F84" s="26" t="str">
        <f t="shared" si="31"/>
        <v/>
      </c>
      <c r="G84" s="26" t="str">
        <f t="shared" si="32"/>
        <v/>
      </c>
      <c r="H84" s="26" t="str">
        <f t="shared" si="33"/>
        <v/>
      </c>
      <c r="I84" s="26" t="str">
        <f t="shared" si="34"/>
        <v/>
      </c>
      <c r="J84" s="26" t="str">
        <f t="shared" si="35"/>
        <v/>
      </c>
      <c r="M84" s="21"/>
      <c r="N84" s="10"/>
      <c r="O84" s="25"/>
      <c r="P84" s="25"/>
      <c r="Q84" s="25"/>
      <c r="R84" s="25"/>
      <c r="S84" s="25"/>
      <c r="T84" s="25"/>
    </row>
    <row r="85" spans="3:20">
      <c r="C85" s="12" t="str">
        <f t="shared" ca="1" si="28"/>
        <v/>
      </c>
      <c r="D85" s="22" t="str">
        <f t="shared" si="29"/>
        <v/>
      </c>
      <c r="E85" s="26" t="str">
        <f t="shared" si="30"/>
        <v/>
      </c>
      <c r="F85" s="26" t="str">
        <f t="shared" si="31"/>
        <v/>
      </c>
      <c r="G85" s="26" t="str">
        <f t="shared" si="32"/>
        <v/>
      </c>
      <c r="H85" s="26" t="str">
        <f t="shared" si="33"/>
        <v/>
      </c>
      <c r="I85" s="26" t="str">
        <f t="shared" si="34"/>
        <v/>
      </c>
      <c r="J85" s="26" t="str">
        <f t="shared" si="35"/>
        <v/>
      </c>
      <c r="M85" s="21"/>
      <c r="N85" s="10"/>
      <c r="O85" s="25"/>
      <c r="P85" s="25"/>
      <c r="Q85" s="25"/>
      <c r="R85" s="25"/>
      <c r="S85" s="25"/>
      <c r="T85" s="25"/>
    </row>
    <row r="86" spans="3:20">
      <c r="C86" s="12" t="str">
        <f t="shared" ca="1" si="28"/>
        <v/>
      </c>
      <c r="D86" s="22" t="str">
        <f t="shared" si="29"/>
        <v/>
      </c>
      <c r="E86" s="26" t="str">
        <f t="shared" si="30"/>
        <v/>
      </c>
      <c r="F86" s="26" t="str">
        <f t="shared" si="31"/>
        <v/>
      </c>
      <c r="G86" s="26" t="str">
        <f t="shared" si="32"/>
        <v/>
      </c>
      <c r="H86" s="26" t="str">
        <f t="shared" si="33"/>
        <v/>
      </c>
      <c r="I86" s="26" t="str">
        <f t="shared" si="34"/>
        <v/>
      </c>
      <c r="J86" s="26" t="str">
        <f t="shared" si="35"/>
        <v/>
      </c>
      <c r="M86" s="21"/>
      <c r="N86" s="10"/>
      <c r="O86" s="25"/>
      <c r="P86" s="25"/>
      <c r="Q86" s="25"/>
      <c r="R86" s="25"/>
      <c r="S86" s="25"/>
      <c r="T86" s="25"/>
    </row>
    <row r="87" spans="3:20">
      <c r="C87" s="12" t="str">
        <f t="shared" ca="1" si="28"/>
        <v/>
      </c>
      <c r="D87" s="22" t="str">
        <f t="shared" si="29"/>
        <v/>
      </c>
      <c r="E87" s="26" t="str">
        <f t="shared" si="30"/>
        <v/>
      </c>
      <c r="F87" s="26" t="str">
        <f t="shared" si="31"/>
        <v/>
      </c>
      <c r="G87" s="26" t="str">
        <f t="shared" si="32"/>
        <v/>
      </c>
      <c r="H87" s="26" t="str">
        <f t="shared" si="33"/>
        <v/>
      </c>
      <c r="I87" s="26" t="str">
        <f t="shared" si="34"/>
        <v/>
      </c>
      <c r="J87" s="26" t="str">
        <f t="shared" si="35"/>
        <v/>
      </c>
      <c r="M87" s="21"/>
      <c r="N87" s="10"/>
      <c r="O87" s="25"/>
      <c r="P87" s="25"/>
      <c r="Q87" s="25"/>
      <c r="R87" s="25"/>
      <c r="S87" s="25"/>
      <c r="T87" s="25"/>
    </row>
    <row r="88" spans="3:20">
      <c r="C88" s="12" t="str">
        <f t="shared" ca="1" si="28"/>
        <v/>
      </c>
      <c r="D88" s="22" t="str">
        <f t="shared" si="29"/>
        <v/>
      </c>
      <c r="E88" s="26" t="str">
        <f t="shared" si="30"/>
        <v/>
      </c>
      <c r="F88" s="26" t="str">
        <f t="shared" si="31"/>
        <v/>
      </c>
      <c r="G88" s="26" t="str">
        <f t="shared" si="32"/>
        <v/>
      </c>
      <c r="H88" s="26" t="str">
        <f t="shared" si="33"/>
        <v/>
      </c>
      <c r="I88" s="26" t="str">
        <f t="shared" si="34"/>
        <v/>
      </c>
      <c r="J88" s="26" t="str">
        <f t="shared" si="35"/>
        <v/>
      </c>
      <c r="M88" s="21"/>
      <c r="N88" s="10"/>
      <c r="O88" s="25"/>
      <c r="P88" s="25"/>
      <c r="Q88" s="25"/>
      <c r="R88" s="25"/>
      <c r="S88" s="25"/>
      <c r="T88" s="25"/>
    </row>
    <row r="89" spans="3:20">
      <c r="C89" s="12" t="str">
        <f t="shared" ca="1" si="28"/>
        <v/>
      </c>
      <c r="D89" s="22" t="str">
        <f t="shared" si="29"/>
        <v/>
      </c>
      <c r="E89" s="26" t="str">
        <f t="shared" si="30"/>
        <v/>
      </c>
      <c r="F89" s="26" t="str">
        <f t="shared" si="31"/>
        <v/>
      </c>
      <c r="G89" s="26" t="str">
        <f t="shared" si="32"/>
        <v/>
      </c>
      <c r="H89" s="26" t="str">
        <f t="shared" si="33"/>
        <v/>
      </c>
      <c r="I89" s="26" t="str">
        <f t="shared" si="34"/>
        <v/>
      </c>
      <c r="J89" s="26" t="str">
        <f t="shared" si="35"/>
        <v/>
      </c>
      <c r="M89" s="21"/>
      <c r="N89" s="10"/>
      <c r="O89" s="25"/>
      <c r="P89" s="25"/>
      <c r="Q89" s="25"/>
      <c r="R89" s="25"/>
      <c r="S89" s="25"/>
      <c r="T89" s="25"/>
    </row>
    <row r="90" spans="3:20">
      <c r="C90" s="12" t="str">
        <f t="shared" ca="1" si="28"/>
        <v/>
      </c>
      <c r="D90" s="22" t="str">
        <f t="shared" si="29"/>
        <v/>
      </c>
      <c r="E90" s="26" t="str">
        <f t="shared" si="30"/>
        <v/>
      </c>
      <c r="F90" s="26" t="str">
        <f t="shared" si="31"/>
        <v/>
      </c>
      <c r="G90" s="26" t="str">
        <f t="shared" si="32"/>
        <v/>
      </c>
      <c r="H90" s="26" t="str">
        <f t="shared" si="33"/>
        <v/>
      </c>
      <c r="I90" s="26" t="str">
        <f t="shared" si="34"/>
        <v/>
      </c>
      <c r="J90" s="26" t="str">
        <f t="shared" si="35"/>
        <v/>
      </c>
      <c r="M90" s="21"/>
      <c r="N90" s="10"/>
      <c r="O90" s="25"/>
      <c r="P90" s="25"/>
      <c r="Q90" s="25"/>
      <c r="R90" s="25"/>
      <c r="S90" s="25"/>
      <c r="T90" s="25"/>
    </row>
    <row r="91" spans="3:20">
      <c r="C91" s="12" t="str">
        <f t="shared" ca="1" si="28"/>
        <v/>
      </c>
      <c r="D91" s="22" t="str">
        <f t="shared" si="29"/>
        <v/>
      </c>
      <c r="E91" s="26" t="str">
        <f t="shared" si="30"/>
        <v/>
      </c>
      <c r="F91" s="26" t="str">
        <f t="shared" si="31"/>
        <v/>
      </c>
      <c r="G91" s="26" t="str">
        <f t="shared" si="32"/>
        <v/>
      </c>
      <c r="H91" s="26" t="str">
        <f t="shared" si="33"/>
        <v/>
      </c>
      <c r="I91" s="26" t="str">
        <f t="shared" si="34"/>
        <v/>
      </c>
      <c r="J91" s="26" t="str">
        <f t="shared" si="35"/>
        <v/>
      </c>
      <c r="M91" s="21"/>
      <c r="N91" s="10"/>
      <c r="O91" s="25"/>
      <c r="P91" s="25"/>
      <c r="Q91" s="25"/>
      <c r="R91" s="25"/>
      <c r="S91" s="25"/>
      <c r="T91" s="25"/>
    </row>
  </sheetData>
  <mergeCells count="50">
    <mergeCell ref="X8:Y8"/>
    <mergeCell ref="Z8:AA8"/>
    <mergeCell ref="C2:AA2"/>
    <mergeCell ref="O5:S5"/>
    <mergeCell ref="T5:U5"/>
    <mergeCell ref="V5:W7"/>
    <mergeCell ref="X5:Y7"/>
    <mergeCell ref="Z5:AA7"/>
    <mergeCell ref="Q7:R7"/>
    <mergeCell ref="S7:T7"/>
    <mergeCell ref="S9:T9"/>
    <mergeCell ref="V9:W9"/>
    <mergeCell ref="Q9:R9"/>
    <mergeCell ref="Q8:R8"/>
    <mergeCell ref="S8:T8"/>
    <mergeCell ref="V8:W8"/>
    <mergeCell ref="V11:W11"/>
    <mergeCell ref="X11:Y11"/>
    <mergeCell ref="Z11:AA11"/>
    <mergeCell ref="X9:Y9"/>
    <mergeCell ref="Z9:AA9"/>
    <mergeCell ref="X12:Y12"/>
    <mergeCell ref="Z12:AA12"/>
    <mergeCell ref="Q13:R13"/>
    <mergeCell ref="S13:T13"/>
    <mergeCell ref="V13:W13"/>
    <mergeCell ref="X13:Y14"/>
    <mergeCell ref="Z13:AA13"/>
    <mergeCell ref="S14:T14"/>
    <mergeCell ref="Q10:R10"/>
    <mergeCell ref="S10:T10"/>
    <mergeCell ref="V10:W10"/>
    <mergeCell ref="X10:Y10"/>
    <mergeCell ref="Z10:AA10"/>
    <mergeCell ref="Q11:R11"/>
    <mergeCell ref="C51:J51"/>
    <mergeCell ref="C38:J38"/>
    <mergeCell ref="V17:V18"/>
    <mergeCell ref="C35:J35"/>
    <mergeCell ref="Q12:R12"/>
    <mergeCell ref="S12:T12"/>
    <mergeCell ref="V12:W12"/>
    <mergeCell ref="C32:J32"/>
    <mergeCell ref="C25:J25"/>
    <mergeCell ref="Q14:R14"/>
    <mergeCell ref="C27:J27"/>
    <mergeCell ref="Q16:R16"/>
    <mergeCell ref="C30:J30"/>
    <mergeCell ref="C49:J49"/>
    <mergeCell ref="S11:T11"/>
  </mergeCells>
  <conditionalFormatting sqref="E26:J26 E28:J29 E31:J31 E33:J34 E36:J37 E39:J48 E50:J50 E52:J91">
    <cfRule type="cellIs" dxfId="188" priority="7" operator="equal">
      <formula>0</formula>
    </cfRule>
    <cfRule type="cellIs" dxfId="187" priority="8" operator="equal">
      <formula>1</formula>
    </cfRule>
  </conditionalFormatting>
  <conditionalFormatting sqref="U24:U38 O24:T91">
    <cfRule type="cellIs" dxfId="186" priority="3" operator="equal">
      <formula>0</formula>
    </cfRule>
    <cfRule type="cellIs" dxfId="185" priority="4" operator="greaterThan">
      <formula>0</formula>
    </cfRule>
  </conditionalFormatting>
  <conditionalFormatting sqref="AE25:AE30">
    <cfRule type="cellIs" dxfId="184" priority="5" operator="lessThan">
      <formula>0</formula>
    </cfRule>
    <cfRule type="cellIs" dxfId="183" priority="6" operator="greaterThan">
      <formula>0</formula>
    </cfRule>
  </conditionalFormatting>
  <pageMargins left="0.7" right="0.7" top="0.78740157499999996" bottom="0.78740157499999996" header="0.3" footer="0.3"/>
  <pageSetup paperSize="9" orientation="portrait" r:id="rId1"/>
  <ignoredErrors>
    <ignoredError sqref="M45"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BV102"/>
  <sheetViews>
    <sheetView zoomScaleNormal="100" workbookViewId="0">
      <selection activeCell="D12" sqref="D12"/>
    </sheetView>
  </sheetViews>
  <sheetFormatPr defaultColWidth="9.15234375" defaultRowHeight="10.75"/>
  <cols>
    <col min="1" max="1" width="8.15234375" style="102" customWidth="1"/>
    <col min="2" max="2" width="12.3828125" style="102" customWidth="1"/>
    <col min="3" max="3" width="6.3828125" style="102" customWidth="1"/>
    <col min="4" max="4" width="17.15234375" style="102" customWidth="1"/>
    <col min="5" max="5" width="8.53515625" style="102" customWidth="1"/>
    <col min="6" max="13" width="7.69140625" style="102" customWidth="1"/>
    <col min="14" max="15" width="6.15234375" style="102" customWidth="1"/>
    <col min="16" max="16" width="8.53515625" style="102" customWidth="1"/>
    <col min="17" max="17" width="9" style="102" bestFit="1" customWidth="1"/>
    <col min="18" max="21" width="5.69140625" style="102" customWidth="1"/>
    <col min="22" max="26" width="4.84375" style="102" customWidth="1"/>
    <col min="27" max="27" width="6.53515625" style="102" customWidth="1"/>
    <col min="28" max="36" width="6.15234375" style="102" customWidth="1"/>
    <col min="37" max="37" width="5.84375" style="102" customWidth="1"/>
    <col min="38" max="42" width="8.3046875" style="102" customWidth="1"/>
    <col min="43" max="43" width="7.3046875" style="102" customWidth="1"/>
    <col min="44" max="44" width="7.84375" style="102" customWidth="1"/>
    <col min="45" max="45" width="8.69140625" style="102" customWidth="1"/>
    <col min="46" max="47" width="7.3828125" style="102" customWidth="1"/>
    <col min="48" max="48" width="9.15234375" style="102" customWidth="1"/>
    <col min="49" max="50" width="7.53515625" style="102" bestFit="1" customWidth="1"/>
    <col min="51" max="51" width="6.53515625" style="102" bestFit="1" customWidth="1"/>
    <col min="52" max="52" width="9.3046875" style="102" customWidth="1"/>
    <col min="53" max="53" width="6.15234375" style="102" customWidth="1"/>
    <col min="54" max="16384" width="9.15234375" style="102"/>
  </cols>
  <sheetData>
    <row r="1" spans="1:74" s="93" customFormat="1" ht="12.9">
      <c r="A1" s="91" t="s">
        <v>42</v>
      </c>
      <c r="B1" s="91" t="s">
        <v>34</v>
      </c>
      <c r="C1" s="91" t="s">
        <v>35</v>
      </c>
      <c r="D1" s="91" t="s">
        <v>82</v>
      </c>
      <c r="E1" s="91" t="s">
        <v>45</v>
      </c>
      <c r="F1" s="92" t="s">
        <v>131</v>
      </c>
      <c r="G1" s="92" t="s">
        <v>130</v>
      </c>
      <c r="H1" s="92" t="s">
        <v>129</v>
      </c>
      <c r="I1" s="92" t="s">
        <v>128</v>
      </c>
      <c r="J1" s="92" t="s">
        <v>127</v>
      </c>
      <c r="K1" s="92" t="s">
        <v>290</v>
      </c>
      <c r="L1" s="92" t="s">
        <v>289</v>
      </c>
      <c r="M1" s="92" t="s">
        <v>311</v>
      </c>
      <c r="N1" s="92" t="s">
        <v>352</v>
      </c>
      <c r="O1" s="92" t="s">
        <v>362</v>
      </c>
      <c r="P1" s="92" t="s">
        <v>381</v>
      </c>
      <c r="Q1" s="91" t="s">
        <v>36</v>
      </c>
      <c r="R1" s="91" t="s">
        <v>40</v>
      </c>
      <c r="S1" s="91" t="s">
        <v>140</v>
      </c>
      <c r="T1" s="91" t="s">
        <v>141</v>
      </c>
      <c r="U1" s="91" t="s">
        <v>142</v>
      </c>
      <c r="V1" s="91" t="s">
        <v>143</v>
      </c>
      <c r="W1" s="91" t="s">
        <v>144</v>
      </c>
      <c r="X1" s="91" t="s">
        <v>291</v>
      </c>
      <c r="Y1" s="91" t="s">
        <v>312</v>
      </c>
      <c r="Z1" s="91" t="s">
        <v>353</v>
      </c>
      <c r="AA1" s="91" t="s">
        <v>363</v>
      </c>
      <c r="AB1" s="91" t="s">
        <v>382</v>
      </c>
      <c r="AC1" s="91" t="s">
        <v>97</v>
      </c>
      <c r="AD1" s="91" t="s">
        <v>98</v>
      </c>
      <c r="AE1" s="91" t="s">
        <v>99</v>
      </c>
      <c r="AF1" s="91" t="s">
        <v>100</v>
      </c>
      <c r="AG1" s="91" t="s">
        <v>101</v>
      </c>
      <c r="AH1" s="91" t="s">
        <v>132</v>
      </c>
      <c r="AI1" s="91" t="s">
        <v>292</v>
      </c>
      <c r="AJ1" s="91" t="s">
        <v>313</v>
      </c>
      <c r="AK1" s="91" t="s">
        <v>354</v>
      </c>
      <c r="AL1" s="91" t="s">
        <v>364</v>
      </c>
      <c r="AM1" s="91" t="s">
        <v>383</v>
      </c>
      <c r="AN1" s="91" t="s">
        <v>70</v>
      </c>
      <c r="AO1" s="91" t="s">
        <v>133</v>
      </c>
      <c r="AP1" s="91" t="s">
        <v>134</v>
      </c>
      <c r="AQ1" s="91" t="s">
        <v>135</v>
      </c>
      <c r="AR1" s="91" t="s">
        <v>136</v>
      </c>
      <c r="AS1" s="91" t="s">
        <v>137</v>
      </c>
      <c r="AT1" s="91" t="s">
        <v>139</v>
      </c>
      <c r="AU1" s="91" t="s">
        <v>293</v>
      </c>
      <c r="AV1" s="91" t="s">
        <v>325</v>
      </c>
      <c r="AW1" s="91" t="s">
        <v>355</v>
      </c>
      <c r="AX1" s="91" t="s">
        <v>365</v>
      </c>
      <c r="AY1" s="91" t="s">
        <v>384</v>
      </c>
      <c r="AZ1" s="91" t="s">
        <v>70</v>
      </c>
      <c r="BA1" s="91" t="s">
        <v>117</v>
      </c>
      <c r="BB1" s="91" t="s">
        <v>118</v>
      </c>
      <c r="BC1" s="91" t="s">
        <v>119</v>
      </c>
      <c r="BD1" s="91" t="s">
        <v>120</v>
      </c>
      <c r="BE1" s="91" t="s">
        <v>121</v>
      </c>
      <c r="BF1" s="91" t="s">
        <v>138</v>
      </c>
      <c r="BG1" s="91" t="s">
        <v>326</v>
      </c>
      <c r="BH1" s="91" t="s">
        <v>387</v>
      </c>
      <c r="BI1" s="91" t="s">
        <v>388</v>
      </c>
      <c r="BJ1" s="91" t="s">
        <v>389</v>
      </c>
      <c r="BK1" s="91" t="s">
        <v>390</v>
      </c>
      <c r="BN1" s="93" t="s">
        <v>391</v>
      </c>
      <c r="BO1" s="93" t="s">
        <v>392</v>
      </c>
      <c r="BP1" s="93">
        <v>19</v>
      </c>
      <c r="BQ1" s="93">
        <v>20</v>
      </c>
      <c r="BR1" s="93">
        <v>21</v>
      </c>
      <c r="BS1" s="93">
        <v>22</v>
      </c>
      <c r="BT1" s="93">
        <v>23</v>
      </c>
      <c r="BU1" s="93">
        <v>24</v>
      </c>
      <c r="BV1" s="93">
        <v>25</v>
      </c>
    </row>
    <row r="2" spans="1:74" ht="12.9">
      <c r="A2" s="94">
        <f t="shared" ref="A2:A8" si="0">_xlfn.RANK.EQ(C2,$C$2:$C$7)</f>
        <v>1</v>
      </c>
      <c r="B2" s="95" t="s">
        <v>32</v>
      </c>
      <c r="C2" s="96">
        <f>SUM(R2:AB2)</f>
        <v>415.00079999999991</v>
      </c>
      <c r="D2" s="96" t="s">
        <v>80</v>
      </c>
      <c r="E2" s="97">
        <f t="shared" ref="E2:E7" ca="1" si="1">C2/AN2</f>
        <v>0.79502068965517225</v>
      </c>
      <c r="F2" s="97">
        <f t="shared" ref="F2:F9" si="2">R2/AC2</f>
        <v>0.86206896551724133</v>
      </c>
      <c r="G2" s="97">
        <v>0.80392156862745101</v>
      </c>
      <c r="H2" s="97">
        <v>0.83050847457627119</v>
      </c>
      <c r="I2" s="98">
        <f t="shared" ref="I2:P2" ca="1" si="3">U2/AF2</f>
        <v>0.76595957446808516</v>
      </c>
      <c r="J2" s="199">
        <f t="shared" ca="1" si="3"/>
        <v>0.90909242424242431</v>
      </c>
      <c r="K2" s="97">
        <f t="shared" ca="1" si="3"/>
        <v>0.8333357142857144</v>
      </c>
      <c r="L2" s="98">
        <f t="shared" ca="1" si="3"/>
        <v>0.73913260869565223</v>
      </c>
      <c r="M2" s="98">
        <f t="shared" ca="1" si="3"/>
        <v>0.66037924528301895</v>
      </c>
      <c r="N2" s="98">
        <f t="shared" ca="1" si="3"/>
        <v>0.75510408163265308</v>
      </c>
      <c r="O2" s="98">
        <f t="shared" ca="1" si="3"/>
        <v>0.69767674418604653</v>
      </c>
      <c r="P2" s="97">
        <f t="shared" ca="1" si="3"/>
        <v>0.77500250000000004</v>
      </c>
      <c r="Q2" s="143">
        <f t="shared" ref="Q2:Q7" si="4">SUM(AO2:AX2)</f>
        <v>1440.25</v>
      </c>
      <c r="R2" s="99">
        <v>25</v>
      </c>
      <c r="S2" s="95">
        <v>41</v>
      </c>
      <c r="T2" s="95">
        <f>'Stats 2018'!E8</f>
        <v>51</v>
      </c>
      <c r="U2" s="100">
        <f>'Stats 2019'!J20</f>
        <v>36.000100000000003</v>
      </c>
      <c r="V2" s="101">
        <f>'Stats 2020'!J20</f>
        <v>60.000100000000003</v>
      </c>
      <c r="W2" s="101">
        <f>'Stats 2021'!J20</f>
        <v>35.000100000000003</v>
      </c>
      <c r="X2" s="100">
        <f>'Stats 2022'!J20</f>
        <v>34.000100000000003</v>
      </c>
      <c r="Y2" s="100">
        <f>'Stats 2023'!$J$20</f>
        <v>35.000100000000003</v>
      </c>
      <c r="Z2" s="100">
        <f>'Stats 2024'!J20</f>
        <v>37.000100000000003</v>
      </c>
      <c r="AA2" s="100">
        <f>'Stats 2025'!J20</f>
        <v>30.0001</v>
      </c>
      <c r="AB2" s="100">
        <f>'Stats 2026'!J20</f>
        <v>31.0001</v>
      </c>
      <c r="AC2" s="99">
        <f>36-7</f>
        <v>29</v>
      </c>
      <c r="AD2" s="99">
        <v>48</v>
      </c>
      <c r="AE2" s="99">
        <v>59</v>
      </c>
      <c r="AF2" s="99">
        <f ca="1">'Stats 2019'!C20</f>
        <v>47</v>
      </c>
      <c r="AG2" s="99">
        <f ca="1">'Stats 2020'!C20</f>
        <v>66</v>
      </c>
      <c r="AH2" s="99">
        <f ca="1">'Stats 2021'!C20</f>
        <v>42</v>
      </c>
      <c r="AI2" s="99">
        <f ca="1">'Stats 2022'!C20</f>
        <v>46</v>
      </c>
      <c r="AJ2" s="99">
        <f ca="1">'Stats 2023'!$C$20</f>
        <v>53</v>
      </c>
      <c r="AK2" s="100">
        <f ca="1">'Stats 2024'!C20</f>
        <v>49</v>
      </c>
      <c r="AL2" s="100">
        <f ca="1">'Stats 2025'!C20</f>
        <v>43</v>
      </c>
      <c r="AM2" s="100">
        <f ca="1">'Stats 2026'!C20</f>
        <v>40</v>
      </c>
      <c r="AN2" s="99">
        <f ca="1">SUM(AC2:AM2)</f>
        <v>522</v>
      </c>
      <c r="AO2" s="142">
        <v>60</v>
      </c>
      <c r="AP2" s="142">
        <v>90</v>
      </c>
      <c r="AQ2" s="142">
        <f>'Stats 2018'!O13</f>
        <v>149</v>
      </c>
      <c r="AR2" s="142">
        <f>'Stats 2019'!$T$20</f>
        <v>141</v>
      </c>
      <c r="AS2" s="142">
        <f>'Stats 2020'!$T$20</f>
        <v>123.75</v>
      </c>
      <c r="AT2" s="142">
        <f>'Stats 2021'!T20</f>
        <v>95</v>
      </c>
      <c r="AU2" s="142">
        <f>'Stats 2022'!T20</f>
        <v>162.5</v>
      </c>
      <c r="AV2" s="142">
        <f>'Stats 2023'!T20</f>
        <v>248</v>
      </c>
      <c r="AW2" s="142">
        <f>'Stats 2024'!T20</f>
        <v>169</v>
      </c>
      <c r="AX2" s="142">
        <f>'Stats 2025'!T20</f>
        <v>202</v>
      </c>
      <c r="AY2" s="142">
        <f>'Stats 2026'!T20</f>
        <v>141.25</v>
      </c>
      <c r="AZ2" s="142">
        <f>SUM(AO2:AY2)</f>
        <v>1581.5</v>
      </c>
      <c r="BA2" s="99">
        <f t="shared" ref="BA2:BC7" si="5">AC2-R2</f>
        <v>4</v>
      </c>
      <c r="BB2" s="99">
        <f t="shared" si="5"/>
        <v>7</v>
      </c>
      <c r="BC2" s="99">
        <f t="shared" si="5"/>
        <v>8</v>
      </c>
      <c r="BD2" s="99">
        <v>11</v>
      </c>
      <c r="BE2" s="103">
        <f t="shared" ref="BE2:BG7" ca="1" si="6">AG2-V2</f>
        <v>5.9998999999999967</v>
      </c>
      <c r="BF2" s="103">
        <f t="shared" ca="1" si="6"/>
        <v>6.9998999999999967</v>
      </c>
      <c r="BG2" s="103">
        <f ca="1">AI2-X2</f>
        <v>11.999899999999997</v>
      </c>
      <c r="BH2" s="103">
        <f t="shared" ref="BH2:BK7" ca="1" si="7">AJ2-Y2</f>
        <v>17.999899999999997</v>
      </c>
      <c r="BI2" s="103">
        <f t="shared" ca="1" si="7"/>
        <v>11.999899999999997</v>
      </c>
      <c r="BJ2" s="103">
        <f t="shared" ca="1" si="7"/>
        <v>12.9999</v>
      </c>
      <c r="BK2" s="103">
        <f t="shared" ca="1" si="7"/>
        <v>8.9999000000000002</v>
      </c>
      <c r="BN2" s="218">
        <f>SUM(S2:AB2)</f>
        <v>390.00079999999991</v>
      </c>
      <c r="BO2" s="218">
        <f>SUM(T2:AB2)</f>
        <v>349.00079999999997</v>
      </c>
      <c r="BP2" s="209">
        <f>SUM(U2:AB2)</f>
        <v>298.00079999999997</v>
      </c>
      <c r="BQ2" s="217">
        <f>SUM(V2:AB2)</f>
        <v>262.00069999999999</v>
      </c>
      <c r="BR2" s="217">
        <f>SUM(W2:AB2)</f>
        <v>202.00060000000002</v>
      </c>
      <c r="BS2" s="217">
        <f>SUM(X2:AB2)</f>
        <v>167.00050000000002</v>
      </c>
      <c r="BT2" s="217">
        <f>SUM(Y2:AB2)</f>
        <v>133.00040000000001</v>
      </c>
      <c r="BU2" s="217">
        <f>SUM(Z2:AB2)</f>
        <v>98.00030000000001</v>
      </c>
      <c r="BV2" s="217">
        <f>SUM(AA2:AB2)</f>
        <v>61.0002</v>
      </c>
    </row>
    <row r="3" spans="1:74" ht="12">
      <c r="A3" s="94">
        <f t="shared" si="0"/>
        <v>2</v>
      </c>
      <c r="B3" s="99" t="s">
        <v>3</v>
      </c>
      <c r="C3" s="103">
        <f>SUM(R3:AB3)</f>
        <v>405.00072</v>
      </c>
      <c r="D3" s="103" t="s">
        <v>80</v>
      </c>
      <c r="E3" s="98">
        <f t="shared" ca="1" si="1"/>
        <v>0.76559682419659736</v>
      </c>
      <c r="F3" s="104">
        <f t="shared" si="2"/>
        <v>0.75</v>
      </c>
      <c r="G3" s="98">
        <v>0.70588235294117652</v>
      </c>
      <c r="H3" s="98">
        <v>0.66101694915254239</v>
      </c>
      <c r="I3" s="98">
        <f t="shared" ref="I3:O7" ca="1" si="8">U3/AF3</f>
        <v>0.82978914893617017</v>
      </c>
      <c r="J3" s="98">
        <f t="shared" ca="1" si="8"/>
        <v>0.81818318181818184</v>
      </c>
      <c r="K3" s="98">
        <f t="shared" ca="1" si="8"/>
        <v>0.76190690476190481</v>
      </c>
      <c r="L3" s="97">
        <f t="shared" ca="1" si="8"/>
        <v>0.82608891304347831</v>
      </c>
      <c r="M3" s="97">
        <f t="shared" ca="1" si="8"/>
        <v>0.69811490566037737</v>
      </c>
      <c r="N3" s="98">
        <f t="shared" ca="1" si="8"/>
        <v>0.77551204081632652</v>
      </c>
      <c r="O3" s="97">
        <f t="shared" ca="1" si="8"/>
        <v>0.83721139534883726</v>
      </c>
      <c r="P3" s="98">
        <f t="shared" ref="P3:P7" ca="1" si="9">AB3/AM3</f>
        <v>0.72500224999999996</v>
      </c>
      <c r="Q3" s="207">
        <f t="shared" si="4"/>
        <v>1529.75</v>
      </c>
      <c r="R3" s="99">
        <v>27</v>
      </c>
      <c r="S3" s="99">
        <v>36</v>
      </c>
      <c r="T3" s="99">
        <f>'Stats 2019'!E9</f>
        <v>39</v>
      </c>
      <c r="U3" s="100">
        <f>'Stats 2019'!I20</f>
        <v>39.00009</v>
      </c>
      <c r="V3" s="100">
        <f>'Stats 2020'!I20</f>
        <v>54.00009</v>
      </c>
      <c r="W3" s="100">
        <f>'Stats 2021'!I20</f>
        <v>32.00009</v>
      </c>
      <c r="X3" s="101">
        <f>'Stats 2022'!I20</f>
        <v>38.00009</v>
      </c>
      <c r="Y3" s="101">
        <f>'Stats 2023'!$I$20</f>
        <v>37.00009</v>
      </c>
      <c r="Z3" s="100">
        <f>'Stats 2024'!I20</f>
        <v>38.00009</v>
      </c>
      <c r="AA3" s="101">
        <f>'Stats 2025'!I20</f>
        <v>36.00009</v>
      </c>
      <c r="AB3" s="100">
        <f>'Stats 2026'!I20</f>
        <v>29.00009</v>
      </c>
      <c r="AC3" s="99">
        <v>36</v>
      </c>
      <c r="AD3" s="99">
        <v>48</v>
      </c>
      <c r="AE3" s="99">
        <v>59</v>
      </c>
      <c r="AF3" s="99">
        <f ca="1">AF4</f>
        <v>47</v>
      </c>
      <c r="AG3" s="99">
        <f ca="1">AG2</f>
        <v>66</v>
      </c>
      <c r="AH3" s="99">
        <f ca="1">AH4</f>
        <v>42</v>
      </c>
      <c r="AI3" s="99">
        <f ca="1">AI4</f>
        <v>46</v>
      </c>
      <c r="AJ3" s="99">
        <f ca="1">AJ2</f>
        <v>53</v>
      </c>
      <c r="AK3" s="100">
        <f ca="1">AK2</f>
        <v>49</v>
      </c>
      <c r="AL3" s="100">
        <f ca="1">AL2</f>
        <v>43</v>
      </c>
      <c r="AM3" s="100">
        <f ca="1">AM2</f>
        <v>40</v>
      </c>
      <c r="AN3" s="99">
        <f t="shared" ref="AN3:AN7" ca="1" si="10">SUM(AC3:AM3)</f>
        <v>529</v>
      </c>
      <c r="AO3" s="142">
        <v>100</v>
      </c>
      <c r="AP3" s="142">
        <v>140</v>
      </c>
      <c r="AQ3" s="142">
        <f>'Stats 2018'!O10</f>
        <v>262</v>
      </c>
      <c r="AR3" s="142">
        <f>'Stats 2019'!$S$20</f>
        <v>116.25</v>
      </c>
      <c r="AS3" s="142">
        <f>'Stats 2020'!$S$20</f>
        <v>187.5</v>
      </c>
      <c r="AT3" s="142">
        <f>'Stats 2021'!S20</f>
        <v>120</v>
      </c>
      <c r="AU3" s="142">
        <f>'Stats 2022'!S20</f>
        <v>114</v>
      </c>
      <c r="AV3" s="142">
        <f>'Stats 2023'!S20</f>
        <v>215</v>
      </c>
      <c r="AW3" s="142">
        <f>'Stats 2024'!S20</f>
        <v>158</v>
      </c>
      <c r="AX3" s="142">
        <f>'Stats 2025'!S20</f>
        <v>117</v>
      </c>
      <c r="AY3" s="142">
        <f>'Stats 2026'!S20</f>
        <v>161.25</v>
      </c>
      <c r="AZ3" s="142">
        <f t="shared" ref="AZ3:AZ7" si="11">SUM(AO3:AY3)</f>
        <v>1691</v>
      </c>
      <c r="BA3" s="99">
        <f t="shared" si="5"/>
        <v>9</v>
      </c>
      <c r="BB3" s="99">
        <f t="shared" si="5"/>
        <v>12</v>
      </c>
      <c r="BC3" s="99">
        <f t="shared" si="5"/>
        <v>20</v>
      </c>
      <c r="BD3" s="99">
        <v>8</v>
      </c>
      <c r="BE3" s="103">
        <f t="shared" ca="1" si="6"/>
        <v>11.99991</v>
      </c>
      <c r="BF3" s="103">
        <f t="shared" ca="1" si="6"/>
        <v>9.9999099999999999</v>
      </c>
      <c r="BG3" s="103">
        <f t="shared" ca="1" si="6"/>
        <v>7.9999099999999999</v>
      </c>
      <c r="BH3" s="103">
        <f t="shared" ca="1" si="7"/>
        <v>15.99991</v>
      </c>
      <c r="BI3" s="103">
        <f t="shared" ca="1" si="7"/>
        <v>10.99991</v>
      </c>
      <c r="BJ3" s="103">
        <f t="shared" ca="1" si="7"/>
        <v>6.9999099999999999</v>
      </c>
      <c r="BK3" s="103">
        <f t="shared" ca="1" si="7"/>
        <v>10.99991</v>
      </c>
      <c r="BN3" s="209">
        <f t="shared" ref="BN3:BN7" si="12">SUM(S3:AB3)</f>
        <v>378.00072</v>
      </c>
      <c r="BO3" s="209">
        <f t="shared" ref="BO3:BO7" si="13">SUM(T3:AB3)</f>
        <v>342.00072</v>
      </c>
      <c r="BP3" s="218">
        <f t="shared" ref="BP3:BP8" si="14">SUM(U3:AB3)</f>
        <v>303.00072</v>
      </c>
      <c r="BQ3" s="219">
        <f t="shared" ref="BQ3:BQ7" si="15">SUM(V3:AB3)</f>
        <v>264.00063</v>
      </c>
      <c r="BR3" s="219">
        <f t="shared" ref="BR3:BR7" si="16">SUM(W3:AB3)</f>
        <v>210.00054</v>
      </c>
      <c r="BS3" s="219">
        <f t="shared" ref="BS3:BS7" si="17">SUM(X3:AB3)</f>
        <v>178.00045</v>
      </c>
      <c r="BT3" s="219">
        <f t="shared" ref="BT3:BT8" si="18">SUM(Y3:AB3)</f>
        <v>140.00036</v>
      </c>
      <c r="BU3" s="219">
        <f t="shared" ref="BU3:BU8" si="19">SUM(Z3:AB3)</f>
        <v>103.00027</v>
      </c>
      <c r="BV3" s="219">
        <f t="shared" ref="BV3:BV7" si="20">SUM(AA3:AB3)</f>
        <v>65.00018</v>
      </c>
    </row>
    <row r="4" spans="1:74" ht="12">
      <c r="A4" s="94">
        <f t="shared" si="0"/>
        <v>3</v>
      </c>
      <c r="B4" s="99" t="s">
        <v>0</v>
      </c>
      <c r="C4" s="103">
        <f t="shared" ref="C4:C7" si="21">SUM(R4:AB4)</f>
        <v>369.00045999999998</v>
      </c>
      <c r="D4" s="103" t="s">
        <v>103</v>
      </c>
      <c r="E4" s="98">
        <f t="shared" ca="1" si="1"/>
        <v>0.69754340264650283</v>
      </c>
      <c r="F4" s="98">
        <f t="shared" si="2"/>
        <v>0.77777777777777779</v>
      </c>
      <c r="G4" s="98">
        <v>0.74509803921568629</v>
      </c>
      <c r="H4" s="98">
        <v>0.74576271186440679</v>
      </c>
      <c r="I4" s="98">
        <f t="shared" ca="1" si="8"/>
        <v>0.70212914893617018</v>
      </c>
      <c r="J4" s="98">
        <f t="shared" ca="1" si="8"/>
        <v>0.8333343939393939</v>
      </c>
      <c r="K4" s="98">
        <f t="shared" ca="1" si="8"/>
        <v>0.73809690476190482</v>
      </c>
      <c r="L4" s="98">
        <f t="shared" ca="1" si="8"/>
        <v>0.45652326086956524</v>
      </c>
      <c r="M4" s="98">
        <f t="shared" ca="1" si="8"/>
        <v>0.39622773584905663</v>
      </c>
      <c r="N4" s="97">
        <f t="shared" ca="1" si="8"/>
        <v>0.81632795918367351</v>
      </c>
      <c r="O4" s="97">
        <f t="shared" ca="1" si="8"/>
        <v>0.83720976744186049</v>
      </c>
      <c r="P4" s="98">
        <f t="shared" ca="1" si="9"/>
        <v>0.52500049999999998</v>
      </c>
      <c r="Q4" s="207">
        <f t="shared" si="4"/>
        <v>1964</v>
      </c>
      <c r="R4" s="99">
        <v>28</v>
      </c>
      <c r="S4" s="99">
        <v>38</v>
      </c>
      <c r="T4" s="99">
        <f>'Stats 2018'!E9</f>
        <v>45</v>
      </c>
      <c r="U4" s="100">
        <f>'Stats 2019'!E20</f>
        <v>33.000070000000001</v>
      </c>
      <c r="V4" s="100">
        <f>'Stats 2020'!E20</f>
        <v>55.000070000000001</v>
      </c>
      <c r="W4" s="100">
        <f>'Stats 2021'!E20</f>
        <v>31.000070000000001</v>
      </c>
      <c r="X4" s="100">
        <f>'Stats 2022'!E20</f>
        <v>21.000070000000001</v>
      </c>
      <c r="Y4" s="100">
        <f>'Stats 2023'!$E$20</f>
        <v>21.000070000000001</v>
      </c>
      <c r="Z4" s="101">
        <f>'Stats 2024'!E20</f>
        <v>40.000070000000001</v>
      </c>
      <c r="AA4" s="101">
        <f>'Stats 2025'!E20</f>
        <v>36.000019999999999</v>
      </c>
      <c r="AB4" s="100">
        <f>'Stats 2026'!E20</f>
        <v>21.000019999999999</v>
      </c>
      <c r="AC4" s="99">
        <v>36</v>
      </c>
      <c r="AD4" s="99">
        <v>48</v>
      </c>
      <c r="AE4" s="99">
        <v>59</v>
      </c>
      <c r="AF4" s="99">
        <f ca="1">AF5</f>
        <v>47</v>
      </c>
      <c r="AG4" s="99">
        <f ca="1">AG2</f>
        <v>66</v>
      </c>
      <c r="AH4" s="99">
        <f ca="1">AH5</f>
        <v>42</v>
      </c>
      <c r="AI4" s="99">
        <f ca="1">AI5</f>
        <v>46</v>
      </c>
      <c r="AJ4" s="99">
        <f ca="1">AJ5</f>
        <v>53</v>
      </c>
      <c r="AK4" s="100">
        <f ca="1">AK5</f>
        <v>49</v>
      </c>
      <c r="AL4" s="100">
        <f t="shared" ref="AL4:AM7" ca="1" si="22">AL3</f>
        <v>43</v>
      </c>
      <c r="AM4" s="100">
        <f t="shared" ca="1" si="22"/>
        <v>40</v>
      </c>
      <c r="AN4" s="99">
        <f t="shared" ca="1" si="10"/>
        <v>529</v>
      </c>
      <c r="AO4" s="142">
        <v>110</v>
      </c>
      <c r="AP4" s="142">
        <v>125</v>
      </c>
      <c r="AQ4" s="142">
        <f>'Stats 2018'!O12</f>
        <v>216.5</v>
      </c>
      <c r="AR4" s="142">
        <f>'Stats 2019'!$O$20</f>
        <v>190.5</v>
      </c>
      <c r="AS4" s="142">
        <f>'Stats 2020'!$O$20</f>
        <v>215</v>
      </c>
      <c r="AT4" s="142">
        <f>'Stats 2021'!O20</f>
        <v>132.5</v>
      </c>
      <c r="AU4" s="142">
        <f>'Stats 2022'!O20</f>
        <v>318.5</v>
      </c>
      <c r="AV4" s="142">
        <f>'Stats 2023'!O20</f>
        <v>407</v>
      </c>
      <c r="AW4" s="142">
        <f>'Stats 2024'!O20</f>
        <v>138</v>
      </c>
      <c r="AX4" s="142">
        <f>'Stats 2025'!O20</f>
        <v>111</v>
      </c>
      <c r="AY4" s="142">
        <f>'Stats 2026'!O20</f>
        <v>258.75</v>
      </c>
      <c r="AZ4" s="142">
        <f t="shared" si="11"/>
        <v>2222.75</v>
      </c>
      <c r="BA4" s="99">
        <f t="shared" si="5"/>
        <v>8</v>
      </c>
      <c r="BB4" s="99">
        <f t="shared" si="5"/>
        <v>10</v>
      </c>
      <c r="BC4" s="99">
        <f t="shared" si="5"/>
        <v>14</v>
      </c>
      <c r="BD4" s="99">
        <v>14</v>
      </c>
      <c r="BE4" s="103">
        <f t="shared" ca="1" si="6"/>
        <v>10.999929999999999</v>
      </c>
      <c r="BF4" s="103">
        <f t="shared" ca="1" si="6"/>
        <v>10.999929999999999</v>
      </c>
      <c r="BG4" s="103">
        <f t="shared" ca="1" si="6"/>
        <v>24.999929999999999</v>
      </c>
      <c r="BH4" s="103">
        <f t="shared" ca="1" si="7"/>
        <v>31.999929999999999</v>
      </c>
      <c r="BI4" s="103">
        <f t="shared" ca="1" si="7"/>
        <v>8.9999299999999991</v>
      </c>
      <c r="BJ4" s="103">
        <f t="shared" ca="1" si="7"/>
        <v>6.9999800000000008</v>
      </c>
      <c r="BK4" s="103">
        <f t="shared" ca="1" si="7"/>
        <v>18.999980000000001</v>
      </c>
      <c r="BN4" s="209">
        <f t="shared" si="12"/>
        <v>341.00045999999998</v>
      </c>
      <c r="BO4" s="209">
        <f t="shared" si="13"/>
        <v>303.00045999999998</v>
      </c>
      <c r="BP4" s="209">
        <f t="shared" si="14"/>
        <v>258.00045999999998</v>
      </c>
      <c r="BQ4" s="217">
        <f t="shared" si="15"/>
        <v>225.00039000000001</v>
      </c>
      <c r="BR4" s="217">
        <f t="shared" si="16"/>
        <v>170.00032000000002</v>
      </c>
      <c r="BS4" s="217">
        <f t="shared" si="17"/>
        <v>139.00025000000002</v>
      </c>
      <c r="BT4" s="217">
        <f t="shared" si="18"/>
        <v>118.00018</v>
      </c>
      <c r="BU4" s="217">
        <f t="shared" si="19"/>
        <v>97.000110000000006</v>
      </c>
      <c r="BV4" s="217">
        <f t="shared" si="20"/>
        <v>57.000039999999998</v>
      </c>
    </row>
    <row r="5" spans="1:74" ht="12">
      <c r="A5" s="94">
        <f t="shared" si="0"/>
        <v>4</v>
      </c>
      <c r="B5" s="99" t="s">
        <v>1</v>
      </c>
      <c r="C5" s="103">
        <f t="shared" si="21"/>
        <v>342.00058000000001</v>
      </c>
      <c r="D5" s="103" t="s">
        <v>80</v>
      </c>
      <c r="E5" s="98">
        <f t="shared" ca="1" si="1"/>
        <v>0.64650393194707001</v>
      </c>
      <c r="F5" s="98">
        <f t="shared" si="2"/>
        <v>0.83333333333333337</v>
      </c>
      <c r="G5" s="98">
        <v>0.66666666666666663</v>
      </c>
      <c r="H5" s="98">
        <v>0.72881355932203384</v>
      </c>
      <c r="I5" s="97">
        <f t="shared" ca="1" si="8"/>
        <v>0.85106553191489354</v>
      </c>
      <c r="J5" s="98">
        <f t="shared" ca="1" si="8"/>
        <v>0.80303151515151505</v>
      </c>
      <c r="K5" s="98">
        <f t="shared" ca="1" si="8"/>
        <v>0.71428761904761906</v>
      </c>
      <c r="L5" s="98">
        <f t="shared" ca="1" si="8"/>
        <v>0.54347999999999996</v>
      </c>
      <c r="M5" s="98">
        <f t="shared" ca="1" si="8"/>
        <v>0.49056754716981132</v>
      </c>
      <c r="N5" s="98">
        <f t="shared" ca="1" si="8"/>
        <v>0.44898122448979594</v>
      </c>
      <c r="O5" s="104">
        <f t="shared" ca="1" si="8"/>
        <v>0.48837325581395352</v>
      </c>
      <c r="P5" s="98">
        <f t="shared" ca="1" si="9"/>
        <v>0.42500125000000005</v>
      </c>
      <c r="Q5" s="207">
        <f t="shared" si="4"/>
        <v>2173.0699999999997</v>
      </c>
      <c r="R5" s="95">
        <v>30</v>
      </c>
      <c r="S5" s="99">
        <v>34</v>
      </c>
      <c r="T5" s="99">
        <f>'Stats 2018'!E10</f>
        <v>44</v>
      </c>
      <c r="U5" s="101">
        <f>'Stats 2019'!G20</f>
        <v>40.000079999999997</v>
      </c>
      <c r="V5" s="100">
        <f>'Stats 2020'!G20</f>
        <v>53.000079999999997</v>
      </c>
      <c r="W5" s="100">
        <f>'Stats 2021'!G20</f>
        <v>30.000080000000001</v>
      </c>
      <c r="X5" s="100">
        <f>'Stats 2022'!G20</f>
        <v>25.000080000000001</v>
      </c>
      <c r="Y5" s="100">
        <f>'Stats 2023'!$G$20</f>
        <v>26.000080000000001</v>
      </c>
      <c r="Z5" s="100">
        <f>'Stats 2024'!G20</f>
        <v>22.000080000000001</v>
      </c>
      <c r="AA5" s="100">
        <f>'Stats 2025'!G20</f>
        <v>21.000050000000002</v>
      </c>
      <c r="AB5" s="100">
        <f>'Stats 2026'!G20</f>
        <v>17.000050000000002</v>
      </c>
      <c r="AC5" s="99">
        <v>36</v>
      </c>
      <c r="AD5" s="99">
        <v>48</v>
      </c>
      <c r="AE5" s="99">
        <v>59</v>
      </c>
      <c r="AF5" s="99">
        <f ca="1">AF2</f>
        <v>47</v>
      </c>
      <c r="AG5" s="99">
        <f ca="1">AG2</f>
        <v>66</v>
      </c>
      <c r="AH5" s="99">
        <f ca="1">AH2</f>
        <v>42</v>
      </c>
      <c r="AI5" s="99">
        <f ca="1">AI2</f>
        <v>46</v>
      </c>
      <c r="AJ5" s="99">
        <f ca="1">AJ3</f>
        <v>53</v>
      </c>
      <c r="AK5" s="100">
        <f ca="1">AK3</f>
        <v>49</v>
      </c>
      <c r="AL5" s="100">
        <f t="shared" ca="1" si="22"/>
        <v>43</v>
      </c>
      <c r="AM5" s="100">
        <f t="shared" ca="1" si="22"/>
        <v>40</v>
      </c>
      <c r="AN5" s="99">
        <f t="shared" ca="1" si="10"/>
        <v>529</v>
      </c>
      <c r="AO5" s="142">
        <v>80</v>
      </c>
      <c r="AP5" s="142">
        <v>160</v>
      </c>
      <c r="AQ5" s="142">
        <f>'Stats 2018'!O11</f>
        <v>215</v>
      </c>
      <c r="AR5" s="142">
        <f>'Stats 2019'!$Q$20</f>
        <v>97</v>
      </c>
      <c r="AS5" s="142">
        <f>'Stats 2020'!$Q$20</f>
        <v>193</v>
      </c>
      <c r="AT5" s="142">
        <f>'Stats 2021'!Q20</f>
        <v>140</v>
      </c>
      <c r="AU5" s="142">
        <f>'Stats 2022'!Q20</f>
        <v>257</v>
      </c>
      <c r="AV5" s="142">
        <f>'Stats 2023'!Q20+33.07</f>
        <v>365.07</v>
      </c>
      <c r="AW5" s="142">
        <f>'Stats 2024'!Q20</f>
        <v>360</v>
      </c>
      <c r="AX5" s="142">
        <f>'Stats 2025'!Q20</f>
        <v>306</v>
      </c>
      <c r="AY5" s="142">
        <f>'Stats 2026'!Q20</f>
        <v>307.5</v>
      </c>
      <c r="AZ5" s="142">
        <f t="shared" si="11"/>
        <v>2480.5699999999997</v>
      </c>
      <c r="BA5" s="99">
        <f t="shared" si="5"/>
        <v>6</v>
      </c>
      <c r="BB5" s="99">
        <f t="shared" si="5"/>
        <v>14</v>
      </c>
      <c r="BC5" s="99">
        <f t="shared" si="5"/>
        <v>15</v>
      </c>
      <c r="BD5" s="99">
        <v>7</v>
      </c>
      <c r="BE5" s="103">
        <f t="shared" ca="1" si="6"/>
        <v>12.999920000000003</v>
      </c>
      <c r="BF5" s="103">
        <f t="shared" ca="1" si="6"/>
        <v>11.999919999999999</v>
      </c>
      <c r="BG5" s="103">
        <f t="shared" ca="1" si="6"/>
        <v>20.999919999999999</v>
      </c>
      <c r="BH5" s="103">
        <f t="shared" ca="1" si="7"/>
        <v>26.999919999999999</v>
      </c>
      <c r="BI5" s="103">
        <f t="shared" ca="1" si="7"/>
        <v>26.999919999999999</v>
      </c>
      <c r="BJ5" s="103">
        <f t="shared" ca="1" si="7"/>
        <v>21.999949999999998</v>
      </c>
      <c r="BK5" s="103">
        <f t="shared" ca="1" si="7"/>
        <v>22.999949999999998</v>
      </c>
      <c r="BN5" s="209">
        <f t="shared" si="12"/>
        <v>312.00057999999996</v>
      </c>
      <c r="BO5" s="209">
        <f t="shared" si="13"/>
        <v>278.00057999999996</v>
      </c>
      <c r="BP5" s="209">
        <f t="shared" si="14"/>
        <v>234.00057999999996</v>
      </c>
      <c r="BQ5" s="217">
        <f t="shared" si="15"/>
        <v>194.00049999999999</v>
      </c>
      <c r="BR5" s="217">
        <f t="shared" si="16"/>
        <v>141.00042000000002</v>
      </c>
      <c r="BS5" s="217">
        <f t="shared" si="17"/>
        <v>111.00034000000001</v>
      </c>
      <c r="BT5" s="217">
        <f t="shared" si="18"/>
        <v>86.000260000000011</v>
      </c>
      <c r="BU5" s="217">
        <f t="shared" si="19"/>
        <v>60.00018</v>
      </c>
      <c r="BV5" s="217">
        <f t="shared" si="20"/>
        <v>38.000100000000003</v>
      </c>
    </row>
    <row r="6" spans="1:74" ht="12.9">
      <c r="A6" s="94">
        <f t="shared" si="0"/>
        <v>5</v>
      </c>
      <c r="B6" s="99" t="s">
        <v>4</v>
      </c>
      <c r="C6" s="103">
        <f t="shared" si="21"/>
        <v>238.00041999999996</v>
      </c>
      <c r="D6" s="103" t="s">
        <v>83</v>
      </c>
      <c r="E6" s="98">
        <f t="shared" ca="1" si="1"/>
        <v>0.44990627599243849</v>
      </c>
      <c r="F6" s="98">
        <f t="shared" si="2"/>
        <v>0.77777777777777779</v>
      </c>
      <c r="G6" s="104">
        <v>0.27450980392156865</v>
      </c>
      <c r="H6" s="205">
        <v>3.3898305084745763E-2</v>
      </c>
      <c r="I6" s="104">
        <f t="shared" ca="1" si="8"/>
        <v>4.2554468085106385E-2</v>
      </c>
      <c r="J6" s="98">
        <f t="shared" ca="1" si="8"/>
        <v>0.39394030303030303</v>
      </c>
      <c r="K6" s="98">
        <f t="shared" ca="1" si="8"/>
        <v>0.61904880952380958</v>
      </c>
      <c r="L6" s="98">
        <f t="shared" ca="1" si="8"/>
        <v>0.67391413043478265</v>
      </c>
      <c r="M6" s="98">
        <f t="shared" ca="1" si="8"/>
        <v>0.60377452830188683</v>
      </c>
      <c r="N6" s="98">
        <f t="shared" ca="1" si="8"/>
        <v>0.69387857142857146</v>
      </c>
      <c r="O6" s="98">
        <f t="shared" ca="1" si="8"/>
        <v>0.65116395348837208</v>
      </c>
      <c r="P6" s="98">
        <f t="shared" ca="1" si="9"/>
        <v>0.37500125000000001</v>
      </c>
      <c r="Q6" s="207">
        <f t="shared" si="4"/>
        <v>2095.5</v>
      </c>
      <c r="R6" s="99">
        <v>28</v>
      </c>
      <c r="S6" s="99">
        <v>14</v>
      </c>
      <c r="T6" s="99">
        <f>'Stats 2018'!E13</f>
        <v>2</v>
      </c>
      <c r="U6" s="100">
        <f>'Stats 2019'!F20</f>
        <v>2.0000599999999999</v>
      </c>
      <c r="V6" s="100">
        <f>'Stats 2020'!F20</f>
        <v>26.000060000000001</v>
      </c>
      <c r="W6" s="100">
        <f>'Stats 2021'!F20</f>
        <v>26.000050000000002</v>
      </c>
      <c r="X6" s="100">
        <f>'Stats 2022'!F20</f>
        <v>31.000050000000002</v>
      </c>
      <c r="Y6" s="100">
        <f>'Stats 2023'!$F$20</f>
        <v>32.000050000000002</v>
      </c>
      <c r="Z6" s="100">
        <f>'Stats 2024'!F20</f>
        <v>34.000050000000002</v>
      </c>
      <c r="AA6" s="100">
        <f>'Stats 2025'!F20</f>
        <v>28.000050000000002</v>
      </c>
      <c r="AB6" s="100">
        <f>'Stats 2026'!F20</f>
        <v>15.00005</v>
      </c>
      <c r="AC6" s="99">
        <v>36</v>
      </c>
      <c r="AD6" s="99">
        <v>48</v>
      </c>
      <c r="AE6" s="99">
        <v>59</v>
      </c>
      <c r="AF6" s="99">
        <f ca="1">AF7</f>
        <v>47</v>
      </c>
      <c r="AG6" s="99">
        <f ca="1">AG2</f>
        <v>66</v>
      </c>
      <c r="AH6" s="99">
        <f ca="1">AH7</f>
        <v>42</v>
      </c>
      <c r="AI6" s="99">
        <f ca="1">AI7</f>
        <v>46</v>
      </c>
      <c r="AJ6" s="99">
        <f ca="1">AJ7</f>
        <v>53</v>
      </c>
      <c r="AK6" s="100">
        <f ca="1">AK4</f>
        <v>49</v>
      </c>
      <c r="AL6" s="100">
        <f t="shared" ca="1" si="22"/>
        <v>43</v>
      </c>
      <c r="AM6" s="100">
        <f t="shared" ca="1" si="22"/>
        <v>40</v>
      </c>
      <c r="AN6" s="99">
        <f t="shared" ca="1" si="10"/>
        <v>529</v>
      </c>
      <c r="AO6" s="142">
        <v>100</v>
      </c>
      <c r="AP6" s="142">
        <v>190</v>
      </c>
      <c r="AQ6" s="142">
        <f>AQ7</f>
        <v>273</v>
      </c>
      <c r="AR6" s="142">
        <f>'Stats 2019'!$P$20</f>
        <v>201.5</v>
      </c>
      <c r="AS6" s="142">
        <f>'Stats 2020'!$P$20</f>
        <v>247.5</v>
      </c>
      <c r="AT6" s="142">
        <f>'Stats 2021'!P20</f>
        <v>187.5</v>
      </c>
      <c r="AU6" s="142">
        <f>'Stats 2022'!P20</f>
        <v>195</v>
      </c>
      <c r="AV6" s="142">
        <f>'Stats 2023'!P20</f>
        <v>269</v>
      </c>
      <c r="AW6" s="142">
        <f>'Stats 2024'!P20</f>
        <v>214</v>
      </c>
      <c r="AX6" s="142">
        <f>'Stats 2025'!P20</f>
        <v>218</v>
      </c>
      <c r="AY6" s="142">
        <f>'Stats 2026'!P20</f>
        <v>341.5</v>
      </c>
      <c r="AZ6" s="142">
        <f t="shared" si="11"/>
        <v>2437</v>
      </c>
      <c r="BA6" s="99">
        <f t="shared" si="5"/>
        <v>8</v>
      </c>
      <c r="BB6" s="99">
        <f t="shared" si="5"/>
        <v>34</v>
      </c>
      <c r="BC6" s="99">
        <f t="shared" si="5"/>
        <v>57</v>
      </c>
      <c r="BD6" s="99">
        <v>45</v>
      </c>
      <c r="BE6" s="103">
        <f t="shared" ca="1" si="6"/>
        <v>39.999939999999995</v>
      </c>
      <c r="BF6" s="103">
        <f t="shared" ca="1" si="6"/>
        <v>15.999949999999998</v>
      </c>
      <c r="BG6" s="103">
        <f t="shared" ca="1" si="6"/>
        <v>14.999949999999998</v>
      </c>
      <c r="BH6" s="103">
        <f t="shared" ca="1" si="7"/>
        <v>20.999949999999998</v>
      </c>
      <c r="BI6" s="103">
        <f t="shared" ca="1" si="7"/>
        <v>14.999949999999998</v>
      </c>
      <c r="BJ6" s="103">
        <f t="shared" ca="1" si="7"/>
        <v>14.999949999999998</v>
      </c>
      <c r="BK6" s="103">
        <f t="shared" ca="1" si="7"/>
        <v>24.999949999999998</v>
      </c>
      <c r="BN6" s="209">
        <f t="shared" si="12"/>
        <v>210.00041999999996</v>
      </c>
      <c r="BO6" s="209">
        <f t="shared" si="13"/>
        <v>196.00042000000002</v>
      </c>
      <c r="BP6" s="209">
        <f t="shared" si="14"/>
        <v>194.00042000000002</v>
      </c>
      <c r="BQ6" s="217">
        <f t="shared" si="15"/>
        <v>192.00036</v>
      </c>
      <c r="BR6" s="217">
        <f t="shared" si="16"/>
        <v>166.00029999999998</v>
      </c>
      <c r="BS6" s="217">
        <f t="shared" si="17"/>
        <v>140.00024999999999</v>
      </c>
      <c r="BT6" s="217">
        <f t="shared" si="18"/>
        <v>109.00020000000001</v>
      </c>
      <c r="BU6" s="217">
        <f t="shared" si="19"/>
        <v>77.000150000000005</v>
      </c>
      <c r="BV6" s="217">
        <f t="shared" si="20"/>
        <v>43.000100000000003</v>
      </c>
    </row>
    <row r="7" spans="1:74" ht="12">
      <c r="A7" s="94">
        <f t="shared" si="0"/>
        <v>6</v>
      </c>
      <c r="B7" s="99" t="s">
        <v>2</v>
      </c>
      <c r="C7" s="103">
        <f t="shared" si="21"/>
        <v>222.00045999999995</v>
      </c>
      <c r="D7" s="103" t="s">
        <v>81</v>
      </c>
      <c r="E7" s="104">
        <f t="shared" ca="1" si="1"/>
        <v>0.41966060491493373</v>
      </c>
      <c r="F7" s="104">
        <f t="shared" si="2"/>
        <v>0.75</v>
      </c>
      <c r="G7" s="98">
        <v>0.70588235294117652</v>
      </c>
      <c r="H7" s="98">
        <v>0.32203389830508472</v>
      </c>
      <c r="I7" s="98">
        <f t="shared" ca="1" si="8"/>
        <v>0.21276702127659575</v>
      </c>
      <c r="J7" s="104">
        <f t="shared" ca="1" si="8"/>
        <v>0.37878863636363641</v>
      </c>
      <c r="K7" s="104">
        <f t="shared" ca="1" si="8"/>
        <v>0.45238238095238098</v>
      </c>
      <c r="L7" s="104">
        <f t="shared" ca="1" si="8"/>
        <v>0.15217521739130435</v>
      </c>
      <c r="M7" s="104">
        <f t="shared" ca="1" si="8"/>
        <v>0.28301999999999999</v>
      </c>
      <c r="N7" s="104">
        <f t="shared" ca="1" si="8"/>
        <v>0.40816448979591841</v>
      </c>
      <c r="O7" s="98">
        <f t="shared" ca="1" si="8"/>
        <v>0.53488511627906976</v>
      </c>
      <c r="P7" s="104">
        <f t="shared" ca="1" si="9"/>
        <v>0.52500150000000001</v>
      </c>
      <c r="Q7" s="207">
        <f t="shared" si="4"/>
        <v>2791</v>
      </c>
      <c r="R7" s="99">
        <v>27</v>
      </c>
      <c r="S7" s="99">
        <v>36</v>
      </c>
      <c r="T7" s="99">
        <f>'Stats 2018'!E12</f>
        <v>19</v>
      </c>
      <c r="U7" s="100">
        <f>'Stats 2019'!H20</f>
        <v>10.00005</v>
      </c>
      <c r="V7" s="100">
        <f>'Stats 2020'!H20</f>
        <v>25.000050000000002</v>
      </c>
      <c r="W7" s="100">
        <f>'Stats 2021'!H20</f>
        <v>19.000060000000001</v>
      </c>
      <c r="X7" s="100">
        <f>'Stats 2022'!H20</f>
        <v>7.0000600000000004</v>
      </c>
      <c r="Y7" s="100">
        <f>'Stats 2023'!$H$20</f>
        <v>15.00006</v>
      </c>
      <c r="Z7" s="100">
        <f>'Stats 2024'!H20</f>
        <v>20.000060000000001</v>
      </c>
      <c r="AA7" s="100">
        <f>'Stats 2025'!H20</f>
        <v>23.000060000000001</v>
      </c>
      <c r="AB7" s="100">
        <f>'Stats 2026'!H20</f>
        <v>21.000060000000001</v>
      </c>
      <c r="AC7" s="99">
        <v>36</v>
      </c>
      <c r="AD7" s="99">
        <v>48</v>
      </c>
      <c r="AE7" s="99">
        <v>59</v>
      </c>
      <c r="AF7" s="99">
        <f ca="1">AF3</f>
        <v>47</v>
      </c>
      <c r="AG7" s="99">
        <f ca="1">AG2</f>
        <v>66</v>
      </c>
      <c r="AH7" s="99">
        <f ca="1">AH3</f>
        <v>42</v>
      </c>
      <c r="AI7" s="99">
        <f ca="1">AI3</f>
        <v>46</v>
      </c>
      <c r="AJ7" s="99">
        <f ca="1">AJ4</f>
        <v>53</v>
      </c>
      <c r="AK7" s="100">
        <f ca="1">AK6</f>
        <v>49</v>
      </c>
      <c r="AL7" s="100">
        <f t="shared" ca="1" si="22"/>
        <v>43</v>
      </c>
      <c r="AM7" s="100">
        <f t="shared" ca="1" si="22"/>
        <v>40</v>
      </c>
      <c r="AN7" s="99">
        <f t="shared" ca="1" si="10"/>
        <v>529</v>
      </c>
      <c r="AO7" s="142">
        <v>110</v>
      </c>
      <c r="AP7" s="142">
        <v>140</v>
      </c>
      <c r="AQ7" s="142">
        <f>'Stats 2018'!O8</f>
        <v>273</v>
      </c>
      <c r="AR7" s="142">
        <f>'Stats 2019'!$R$20</f>
        <v>201.5</v>
      </c>
      <c r="AS7" s="142">
        <f>'Stats 2020'!$R$20</f>
        <v>247.5</v>
      </c>
      <c r="AT7" s="142">
        <f>'Stats 2021'!R20</f>
        <v>250</v>
      </c>
      <c r="AU7" s="142">
        <f>'Stats 2022'!R20</f>
        <v>330.5</v>
      </c>
      <c r="AV7" s="142">
        <f>'Stats 2023'!R20</f>
        <v>476</v>
      </c>
      <c r="AW7" s="142">
        <f>'Stats 2023'!R20</f>
        <v>476</v>
      </c>
      <c r="AX7" s="142">
        <f>'Stats 2025'!R20</f>
        <v>286.5</v>
      </c>
      <c r="AY7" s="142">
        <f>'Stats 2026'!R20</f>
        <v>255</v>
      </c>
      <c r="AZ7" s="142">
        <f t="shared" si="11"/>
        <v>3046</v>
      </c>
      <c r="BA7" s="99">
        <f t="shared" si="5"/>
        <v>9</v>
      </c>
      <c r="BB7" s="99">
        <f t="shared" si="5"/>
        <v>12</v>
      </c>
      <c r="BC7" s="99">
        <f t="shared" si="5"/>
        <v>40</v>
      </c>
      <c r="BD7" s="99">
        <v>37</v>
      </c>
      <c r="BE7" s="103">
        <f t="shared" ca="1" si="6"/>
        <v>40.999949999999998</v>
      </c>
      <c r="BF7" s="103">
        <f t="shared" ca="1" si="6"/>
        <v>22.999939999999999</v>
      </c>
      <c r="BG7" s="103">
        <f t="shared" ca="1" si="6"/>
        <v>38.999940000000002</v>
      </c>
      <c r="BH7" s="103">
        <f t="shared" ca="1" si="7"/>
        <v>37.999940000000002</v>
      </c>
      <c r="BI7" s="103">
        <f t="shared" ca="1" si="7"/>
        <v>28.999939999999999</v>
      </c>
      <c r="BJ7" s="103">
        <f t="shared" ca="1" si="7"/>
        <v>19.999939999999999</v>
      </c>
      <c r="BK7" s="103">
        <f t="shared" ca="1" si="7"/>
        <v>18.999939999999999</v>
      </c>
      <c r="BN7" s="209">
        <f t="shared" si="12"/>
        <v>195.00045999999998</v>
      </c>
      <c r="BO7" s="209">
        <f t="shared" si="13"/>
        <v>159.00046</v>
      </c>
      <c r="BP7" s="209">
        <f t="shared" si="14"/>
        <v>140.00046</v>
      </c>
      <c r="BQ7" s="217">
        <f t="shared" si="15"/>
        <v>130.00041000000002</v>
      </c>
      <c r="BR7" s="217">
        <f t="shared" si="16"/>
        <v>105.00036000000001</v>
      </c>
      <c r="BS7" s="217">
        <f t="shared" si="17"/>
        <v>86.00030000000001</v>
      </c>
      <c r="BT7" s="217">
        <f t="shared" si="18"/>
        <v>79.000240000000005</v>
      </c>
      <c r="BU7" s="217">
        <f t="shared" si="19"/>
        <v>64.00018</v>
      </c>
      <c r="BV7" s="217">
        <f t="shared" si="20"/>
        <v>44.000120000000003</v>
      </c>
    </row>
    <row r="8" spans="1:74" ht="12" hidden="1">
      <c r="A8" s="176" t="e">
        <f t="shared" si="0"/>
        <v>#N/A</v>
      </c>
      <c r="B8" s="105" t="s">
        <v>33</v>
      </c>
      <c r="C8" s="105">
        <f>SUM(R8:U8)</f>
        <v>69</v>
      </c>
      <c r="D8" s="105"/>
      <c r="E8" s="106">
        <f ca="1">C8/SUM(AC8:AF8)</f>
        <v>0.43949044585987262</v>
      </c>
      <c r="F8" s="98">
        <f t="shared" si="2"/>
        <v>0.88888888888888884</v>
      </c>
      <c r="G8" s="106">
        <v>0.72549019607843135</v>
      </c>
      <c r="H8" s="106" t="s">
        <v>38</v>
      </c>
      <c r="I8" s="106" t="s">
        <v>38</v>
      </c>
      <c r="J8" s="106"/>
      <c r="K8" s="106"/>
      <c r="L8" s="98" t="e">
        <f>X8/AI8</f>
        <v>#DIV/0!</v>
      </c>
      <c r="M8" s="98"/>
      <c r="N8" s="98">
        <f ca="1">Z8/AK8</f>
        <v>0</v>
      </c>
      <c r="O8" s="98" t="e">
        <f>AA8/AL8</f>
        <v>#DIV/0!</v>
      </c>
      <c r="P8" s="98" t="e">
        <f>AC8/AN8</f>
        <v>#DIV/0!</v>
      </c>
      <c r="Q8" s="41">
        <f>SUM(AO8:AR8)</f>
        <v>248</v>
      </c>
      <c r="R8" s="105">
        <v>32</v>
      </c>
      <c r="S8" s="105">
        <v>37</v>
      </c>
      <c r="T8" s="105" t="s">
        <v>39</v>
      </c>
      <c r="U8" s="105" t="s">
        <v>38</v>
      </c>
      <c r="V8" s="105"/>
      <c r="W8" s="105"/>
      <c r="X8" s="105"/>
      <c r="Y8" s="105"/>
      <c r="Z8" s="105"/>
      <c r="AA8" s="105"/>
      <c r="AB8" s="105"/>
      <c r="AC8" s="105">
        <v>36</v>
      </c>
      <c r="AD8" s="105">
        <v>48</v>
      </c>
      <c r="AE8" s="105">
        <v>26</v>
      </c>
      <c r="AF8" s="105">
        <f ca="1">AF6</f>
        <v>47</v>
      </c>
      <c r="AG8" s="105"/>
      <c r="AH8" s="105"/>
      <c r="AI8" s="105"/>
      <c r="AJ8" s="105"/>
      <c r="AK8" s="100">
        <f ca="1">AK7</f>
        <v>49</v>
      </c>
      <c r="AL8" s="206"/>
      <c r="AM8" s="206"/>
      <c r="AN8" s="105"/>
      <c r="AO8" s="142">
        <v>65</v>
      </c>
      <c r="AP8" s="142">
        <v>130</v>
      </c>
      <c r="AQ8" s="142">
        <v>53</v>
      </c>
      <c r="AR8" s="142" t="s">
        <v>38</v>
      </c>
      <c r="AS8" s="142" t="s">
        <v>38</v>
      </c>
      <c r="AT8" s="144"/>
      <c r="AU8" s="144"/>
      <c r="AV8" s="144"/>
      <c r="AW8" s="144"/>
      <c r="AX8" s="144"/>
      <c r="AY8" s="142"/>
      <c r="AZ8" s="142">
        <f>SUM(AO8:AX8)</f>
        <v>248</v>
      </c>
      <c r="BP8" s="217">
        <f t="shared" si="14"/>
        <v>0</v>
      </c>
      <c r="BT8" s="217">
        <f t="shared" si="18"/>
        <v>0</v>
      </c>
      <c r="BU8" s="217">
        <f t="shared" si="19"/>
        <v>0</v>
      </c>
    </row>
    <row r="9" spans="1:74" ht="12">
      <c r="A9" s="99"/>
      <c r="B9" s="99" t="s">
        <v>70</v>
      </c>
      <c r="C9" s="103">
        <f>SUM(C2:C7)</f>
        <v>1991.0034399999997</v>
      </c>
      <c r="D9" s="99"/>
      <c r="E9" s="98">
        <f ca="1">C9/AN9</f>
        <v>0.62867175244711071</v>
      </c>
      <c r="F9" s="98">
        <f t="shared" si="2"/>
        <v>0.78947368421052633</v>
      </c>
      <c r="G9" s="98">
        <f>S9/AD9</f>
        <v>0.69097222222222221</v>
      </c>
      <c r="H9" s="98">
        <f>T9/AE9</f>
        <v>0.56497175141242939</v>
      </c>
      <c r="I9" s="98">
        <f ca="1">U9/AF9</f>
        <v>0.56737748226950346</v>
      </c>
      <c r="J9" s="98">
        <f ca="1">V9/AG9</f>
        <v>0.68939507575757575</v>
      </c>
      <c r="K9" s="98">
        <f ca="1">W9/AH9</f>
        <v>0.68650972222222206</v>
      </c>
      <c r="L9" s="98">
        <f ca="1">X9/AI9</f>
        <v>0.5652190217391303</v>
      </c>
      <c r="M9" s="98">
        <f ca="1">Y9/AJ9</f>
        <v>0.52201399371069168</v>
      </c>
      <c r="N9" s="98">
        <f ca="1">Z9/AK9</f>
        <v>0.64966139455782301</v>
      </c>
      <c r="O9" s="98">
        <f ca="1">AA9/AL9</f>
        <v>0.67442003875968992</v>
      </c>
      <c r="P9" s="98">
        <f ca="1">AB9/AM9</f>
        <v>0.55833487500000001</v>
      </c>
      <c r="Q9" s="142">
        <f>SUM(Q2:Q8)</f>
        <v>12241.57</v>
      </c>
      <c r="R9" s="103">
        <f t="shared" ref="R9:AA9" si="23">SUM(R2:R7)</f>
        <v>165</v>
      </c>
      <c r="S9" s="103">
        <f t="shared" si="23"/>
        <v>199</v>
      </c>
      <c r="T9" s="103">
        <f t="shared" si="23"/>
        <v>200</v>
      </c>
      <c r="U9" s="103">
        <f t="shared" si="23"/>
        <v>160.00044999999997</v>
      </c>
      <c r="V9" s="103">
        <f t="shared" si="23"/>
        <v>273.00045</v>
      </c>
      <c r="W9" s="103">
        <f t="shared" si="23"/>
        <v>173.00044999999997</v>
      </c>
      <c r="X9" s="103">
        <f t="shared" si="23"/>
        <v>156.00044999999997</v>
      </c>
      <c r="Y9" s="103">
        <f t="shared" si="23"/>
        <v>166.00044999999997</v>
      </c>
      <c r="Z9" s="103">
        <f t="shared" si="23"/>
        <v>191.00044999999997</v>
      </c>
      <c r="AA9" s="103">
        <f t="shared" si="23"/>
        <v>174.00037</v>
      </c>
      <c r="AB9" s="103">
        <f t="shared" ref="AB9" si="24">SUM(AB2:AB7)</f>
        <v>134.00037</v>
      </c>
      <c r="AC9" s="103">
        <f t="shared" ref="AC9:AN9" si="25">SUM(AC2:AC7)</f>
        <v>209</v>
      </c>
      <c r="AD9" s="103">
        <f t="shared" si="25"/>
        <v>288</v>
      </c>
      <c r="AE9" s="103">
        <f t="shared" si="25"/>
        <v>354</v>
      </c>
      <c r="AF9" s="103">
        <f t="shared" ca="1" si="25"/>
        <v>282</v>
      </c>
      <c r="AG9" s="103">
        <f t="shared" ca="1" si="25"/>
        <v>396</v>
      </c>
      <c r="AH9" s="103">
        <f t="shared" ca="1" si="25"/>
        <v>252</v>
      </c>
      <c r="AI9" s="103">
        <f t="shared" ca="1" si="25"/>
        <v>276</v>
      </c>
      <c r="AJ9" s="103">
        <f t="shared" ca="1" si="25"/>
        <v>318</v>
      </c>
      <c r="AK9" s="103">
        <f t="shared" ca="1" si="25"/>
        <v>294</v>
      </c>
      <c r="AL9" s="103">
        <f t="shared" ca="1" si="25"/>
        <v>258</v>
      </c>
      <c r="AM9" s="103">
        <f t="shared" ca="1" si="25"/>
        <v>240</v>
      </c>
      <c r="AN9" s="99">
        <f t="shared" ca="1" si="25"/>
        <v>3167</v>
      </c>
      <c r="AO9" s="142">
        <f>SUM(AO2:AO8)</f>
        <v>625</v>
      </c>
      <c r="AP9" s="142">
        <f>SUM(AP2:AP8)+25</f>
        <v>1000</v>
      </c>
      <c r="AQ9" s="142">
        <f>SUM(AQ2:AQ8)</f>
        <v>1441.5</v>
      </c>
      <c r="AR9" s="142">
        <f>SUM(AR2:AR8)+26</f>
        <v>973.75</v>
      </c>
      <c r="AS9" s="142">
        <f t="shared" ref="AS9:AY9" si="26">SUM(AS2:AS8)</f>
        <v>1214.25</v>
      </c>
      <c r="AT9" s="142">
        <f t="shared" si="26"/>
        <v>925</v>
      </c>
      <c r="AU9" s="142">
        <f t="shared" si="26"/>
        <v>1377.5</v>
      </c>
      <c r="AV9" s="142">
        <f t="shared" si="26"/>
        <v>1980.07</v>
      </c>
      <c r="AW9" s="142">
        <f t="shared" si="26"/>
        <v>1515</v>
      </c>
      <c r="AX9" s="142">
        <f t="shared" si="26"/>
        <v>1240.5</v>
      </c>
      <c r="AY9" s="142">
        <f t="shared" si="26"/>
        <v>1465.25</v>
      </c>
      <c r="AZ9" s="142">
        <f>SUM(AZ2:AZ7)</f>
        <v>13458.82</v>
      </c>
      <c r="BA9" s="163">
        <f>((SUM(BA2:BA8)/AC5))</f>
        <v>1.2222222222222223</v>
      </c>
      <c r="BB9" s="163">
        <f>((SUM(BB2:BB8)/AD5))</f>
        <v>1.8541666666666667</v>
      </c>
      <c r="BC9" s="163">
        <f t="shared" ref="BC9:BG9" si="27">((SUM(BC2:BC8)/AE5))</f>
        <v>2.6101694915254239</v>
      </c>
      <c r="BD9" s="163">
        <f t="shared" ca="1" si="27"/>
        <v>2.5957446808510638</v>
      </c>
      <c r="BE9" s="163">
        <f t="shared" ca="1" si="27"/>
        <v>1.8636295454545453</v>
      </c>
      <c r="BF9" s="163">
        <f t="shared" ca="1" si="27"/>
        <v>1.8809416666666663</v>
      </c>
      <c r="BG9" s="163">
        <f t="shared" ca="1" si="27"/>
        <v>2.6086858695652175</v>
      </c>
      <c r="BH9" s="163">
        <f t="shared" ref="BH9" ca="1" si="28">((SUM(BH2:BH8)/AJ5))</f>
        <v>2.8679160377358492</v>
      </c>
      <c r="BI9" s="163">
        <f t="shared" ref="BI9" ca="1" si="29">((SUM(BI2:BI8)/AK5))</f>
        <v>2.1020316326530608</v>
      </c>
      <c r="BJ9" s="163">
        <f t="shared" ref="BJ9" ca="1" si="30">((SUM(BJ2:BJ8)/AL5))</f>
        <v>1.9534797674418605</v>
      </c>
      <c r="BK9" s="163">
        <f ca="1">((SUM(BK2:BK8)/AM5))</f>
        <v>2.6499907499999997</v>
      </c>
    </row>
    <row r="10" spans="1:74" ht="12">
      <c r="E10" s="108"/>
      <c r="R10" s="198">
        <f>_xlfn.STDEV.S(R2:R7)</f>
        <v>1.6431676725154984</v>
      </c>
      <c r="S10" s="198">
        <f t="shared" ref="S10:AA10" si="31">_xlfn.STDEV.S(S2:S7)</f>
        <v>9.6833189902360761</v>
      </c>
      <c r="T10" s="198">
        <f t="shared" si="31"/>
        <v>18.875027593798812</v>
      </c>
      <c r="U10" s="198">
        <f t="shared" si="31"/>
        <v>16.391069601066825</v>
      </c>
      <c r="V10" s="198">
        <f t="shared" si="31"/>
        <v>15.681215322810605</v>
      </c>
      <c r="W10" s="198">
        <f t="shared" si="31"/>
        <v>5.6362072945392203</v>
      </c>
      <c r="X10" s="198">
        <f t="shared" si="31"/>
        <v>11.135538783568149</v>
      </c>
      <c r="Y10" s="198">
        <f t="shared" si="31"/>
        <v>8.571279873333804</v>
      </c>
      <c r="Z10" s="198">
        <f t="shared" si="31"/>
        <v>8.6352051896302449</v>
      </c>
      <c r="AA10" s="198">
        <f t="shared" si="31"/>
        <v>6.3245572177708116</v>
      </c>
      <c r="AB10" s="198">
        <f t="shared" ref="AB10" si="32">_xlfn.STDEV.S(AB2:AB7)</f>
        <v>6.4083505938884153</v>
      </c>
      <c r="AP10" s="42" t="s">
        <v>41</v>
      </c>
      <c r="AR10" s="42" t="s">
        <v>41</v>
      </c>
      <c r="AV10" s="102" t="s">
        <v>356</v>
      </c>
    </row>
    <row r="11" spans="1:74">
      <c r="E11" s="108"/>
      <c r="AN11" s="107"/>
      <c r="AO11" s="107"/>
      <c r="AP11" s="107"/>
      <c r="AQ11" s="107"/>
      <c r="AR11" s="107"/>
      <c r="AS11" s="107"/>
      <c r="AT11" s="107"/>
      <c r="AU11" s="107"/>
      <c r="AV11" s="107"/>
      <c r="AW11" s="107"/>
    </row>
    <row r="12" spans="1:74" ht="10.75" customHeight="1">
      <c r="E12" s="108"/>
      <c r="F12" s="108"/>
      <c r="G12" s="108"/>
      <c r="H12" s="108"/>
      <c r="I12" s="108"/>
      <c r="J12" s="108"/>
      <c r="K12" s="108"/>
      <c r="L12" s="108"/>
      <c r="M12" s="108"/>
      <c r="N12" s="108"/>
      <c r="O12" s="108"/>
      <c r="AN12" s="213"/>
      <c r="AR12" s="246"/>
      <c r="AS12" s="169"/>
      <c r="AT12" s="169"/>
      <c r="AU12" s="169"/>
    </row>
    <row r="13" spans="1:74">
      <c r="E13" s="108"/>
      <c r="F13" s="108"/>
      <c r="G13" s="108"/>
      <c r="H13" s="108"/>
      <c r="I13" s="108"/>
      <c r="J13" s="108"/>
      <c r="K13" s="108"/>
      <c r="L13" s="108"/>
      <c r="AN13" s="213"/>
      <c r="AR13" s="246"/>
      <c r="AS13" s="169"/>
      <c r="AT13" s="169"/>
      <c r="AU13" s="169"/>
    </row>
    <row r="14" spans="1:74" ht="12">
      <c r="E14" s="108"/>
      <c r="U14" s="42"/>
      <c r="V14" s="42"/>
      <c r="W14" s="42"/>
      <c r="X14" s="42"/>
      <c r="Y14" s="42"/>
      <c r="Z14" s="42"/>
      <c r="AA14" s="42"/>
      <c r="AB14" s="42"/>
      <c r="AC14" s="42"/>
      <c r="AL14" s="107"/>
      <c r="AM14" s="107"/>
      <c r="AN14" s="107"/>
      <c r="AO14" s="107"/>
      <c r="AP14" s="107"/>
      <c r="AQ14" s="107"/>
      <c r="AR14" s="107"/>
      <c r="AS14" s="107"/>
      <c r="AT14" s="107"/>
      <c r="AU14" s="107"/>
    </row>
    <row r="15" spans="1:74" ht="12">
      <c r="E15" s="108"/>
      <c r="P15" s="42"/>
      <c r="Q15" s="90"/>
      <c r="R15" s="90"/>
      <c r="S15" s="90"/>
      <c r="T15" s="90"/>
      <c r="U15" s="42"/>
      <c r="V15" s="42"/>
      <c r="W15" s="90"/>
      <c r="X15" s="90"/>
      <c r="Y15" s="90"/>
      <c r="Z15" s="90"/>
      <c r="AA15" s="90"/>
      <c r="AB15" s="42"/>
      <c r="AC15" s="42"/>
    </row>
    <row r="16" spans="1:74" ht="15" customHeight="1" thickBot="1">
      <c r="Q16" s="42"/>
      <c r="R16" s="42"/>
      <c r="S16" s="42"/>
      <c r="T16" s="42"/>
      <c r="U16" s="42"/>
      <c r="V16" s="42"/>
      <c r="W16" s="42"/>
      <c r="X16" s="42"/>
      <c r="Y16" s="42"/>
      <c r="Z16" s="42"/>
      <c r="AA16" s="42"/>
      <c r="AB16" s="42"/>
      <c r="AC16" s="90"/>
    </row>
    <row r="17" spans="1:41" ht="15.65" customHeight="1" thickBot="1">
      <c r="A17" s="162"/>
      <c r="B17" s="250">
        <v>2016</v>
      </c>
      <c r="C17" s="251"/>
      <c r="D17" s="250">
        <v>2017</v>
      </c>
      <c r="E17" s="251"/>
      <c r="F17" s="250">
        <v>2018</v>
      </c>
      <c r="G17" s="251"/>
      <c r="H17" s="250">
        <v>2019</v>
      </c>
      <c r="I17" s="251"/>
      <c r="J17" s="250">
        <v>2020</v>
      </c>
      <c r="K17" s="251"/>
      <c r="L17" s="247">
        <v>2021</v>
      </c>
      <c r="M17" s="248"/>
      <c r="N17" s="247">
        <v>2022</v>
      </c>
      <c r="O17" s="249"/>
      <c r="P17" s="247">
        <v>2023</v>
      </c>
      <c r="Q17" s="248"/>
      <c r="R17" s="247">
        <v>2024</v>
      </c>
      <c r="S17" s="248"/>
      <c r="T17" s="247">
        <v>2025</v>
      </c>
      <c r="U17" s="248"/>
      <c r="V17" s="247">
        <v>2026</v>
      </c>
      <c r="W17" s="248"/>
      <c r="AO17" s="109"/>
    </row>
    <row r="18" spans="1:41" ht="13.3" thickBot="1">
      <c r="A18" s="185" t="s">
        <v>34</v>
      </c>
      <c r="B18" s="113" t="s">
        <v>70</v>
      </c>
      <c r="C18" s="114" t="s">
        <v>112</v>
      </c>
      <c r="D18" s="113" t="s">
        <v>70</v>
      </c>
      <c r="E18" s="114" t="s">
        <v>112</v>
      </c>
      <c r="F18" s="113" t="s">
        <v>70</v>
      </c>
      <c r="G18" s="114" t="s">
        <v>112</v>
      </c>
      <c r="H18" s="113" t="s">
        <v>70</v>
      </c>
      <c r="I18" s="114" t="s">
        <v>112</v>
      </c>
      <c r="J18" s="113" t="s">
        <v>70</v>
      </c>
      <c r="K18" s="114" t="s">
        <v>112</v>
      </c>
      <c r="L18" s="113" t="s">
        <v>70</v>
      </c>
      <c r="M18" s="114" t="s">
        <v>112</v>
      </c>
      <c r="N18" s="113" t="s">
        <v>70</v>
      </c>
      <c r="O18" s="114" t="s">
        <v>112</v>
      </c>
      <c r="P18" s="113" t="s">
        <v>70</v>
      </c>
      <c r="Q18" s="114" t="s">
        <v>112</v>
      </c>
      <c r="R18" s="113" t="s">
        <v>70</v>
      </c>
      <c r="S18" s="114" t="s">
        <v>112</v>
      </c>
      <c r="T18" s="113" t="s">
        <v>70</v>
      </c>
      <c r="U18" s="114" t="s">
        <v>112</v>
      </c>
      <c r="V18" s="113" t="s">
        <v>70</v>
      </c>
      <c r="W18" s="114" t="s">
        <v>112</v>
      </c>
      <c r="AN18" s="109"/>
    </row>
    <row r="19" spans="1:41" ht="12">
      <c r="A19" s="186" t="s">
        <v>32</v>
      </c>
      <c r="B19" s="115">
        <f>'All-time DF Stats'!R2</f>
        <v>25</v>
      </c>
      <c r="C19" s="116">
        <v>6</v>
      </c>
      <c r="D19" s="115">
        <f>'All-time DF Stats'!S2+B19</f>
        <v>66</v>
      </c>
      <c r="E19" s="116" t="s">
        <v>104</v>
      </c>
      <c r="F19" s="115">
        <f>'All-time DF Stats'!T2+D19</f>
        <v>117</v>
      </c>
      <c r="G19" s="116">
        <v>1</v>
      </c>
      <c r="H19" s="115">
        <f>'All-time DF Stats'!U2+F19</f>
        <v>153.0001</v>
      </c>
      <c r="I19" s="116">
        <v>1</v>
      </c>
      <c r="J19" s="115">
        <f>'All-time DF Stats'!V2+H19</f>
        <v>213.00020000000001</v>
      </c>
      <c r="K19" s="117">
        <v>1</v>
      </c>
      <c r="L19" s="115">
        <f>'All-time DF Stats'!W2+J19</f>
        <v>248.00030000000001</v>
      </c>
      <c r="M19" s="117">
        <v>1</v>
      </c>
      <c r="N19" s="115">
        <f>'All-time DF Stats'!X2+L19</f>
        <v>282.00040000000001</v>
      </c>
      <c r="O19" s="117">
        <v>1</v>
      </c>
      <c r="P19" s="115">
        <f t="shared" ref="P19:P24" si="33">N19+Y2</f>
        <v>317.00049999999999</v>
      </c>
      <c r="Q19" s="117">
        <v>1</v>
      </c>
      <c r="R19" s="115">
        <f t="shared" ref="R19:R24" si="34">P19+Z2</f>
        <v>354.00059999999996</v>
      </c>
      <c r="S19" s="117">
        <v>1</v>
      </c>
      <c r="T19" s="115">
        <f>R19+AA2</f>
        <v>384.00069999999994</v>
      </c>
      <c r="U19" s="117">
        <v>1</v>
      </c>
      <c r="V19" s="115">
        <f t="shared" ref="V19:V23" si="35">T19+AB2</f>
        <v>415.00079999999991</v>
      </c>
      <c r="W19" s="117">
        <v>1</v>
      </c>
      <c r="AN19" s="109"/>
    </row>
    <row r="20" spans="1:41" ht="12">
      <c r="A20" s="187" t="s">
        <v>3</v>
      </c>
      <c r="B20" s="118">
        <f>'All-time DF Stats'!R3</f>
        <v>27</v>
      </c>
      <c r="C20" s="119">
        <v>4</v>
      </c>
      <c r="D20" s="118">
        <f>'All-time DF Stats'!S3+B20</f>
        <v>63</v>
      </c>
      <c r="E20" s="119">
        <v>4</v>
      </c>
      <c r="F20" s="118">
        <f>'All-time DF Stats'!T3+D20</f>
        <v>102</v>
      </c>
      <c r="G20" s="119">
        <v>4</v>
      </c>
      <c r="H20" s="118">
        <f>'All-time DF Stats'!U3+F20</f>
        <v>141.00009</v>
      </c>
      <c r="I20" s="119">
        <v>4</v>
      </c>
      <c r="J20" s="118">
        <f>'All-time DF Stats'!V3+H20</f>
        <v>195.00018</v>
      </c>
      <c r="K20" s="120">
        <v>4</v>
      </c>
      <c r="L20" s="118">
        <f>'All-time DF Stats'!W3+J20</f>
        <v>227.00027</v>
      </c>
      <c r="M20" s="120">
        <v>4</v>
      </c>
      <c r="N20" s="118">
        <f>'All-time DF Stats'!X3+L20</f>
        <v>265.00036</v>
      </c>
      <c r="O20" s="120" t="s">
        <v>309</v>
      </c>
      <c r="P20" s="118">
        <f t="shared" si="33"/>
        <v>302.00045</v>
      </c>
      <c r="Q20" s="120">
        <v>2</v>
      </c>
      <c r="R20" s="115">
        <f t="shared" si="34"/>
        <v>340.00054</v>
      </c>
      <c r="S20" s="120">
        <v>2</v>
      </c>
      <c r="T20" s="115">
        <f t="shared" ref="T20:T24" si="36">R20+AA3</f>
        <v>376.00063</v>
      </c>
      <c r="U20" s="120">
        <v>2</v>
      </c>
      <c r="V20" s="115">
        <f t="shared" si="35"/>
        <v>405.00072</v>
      </c>
      <c r="W20" s="120">
        <v>2</v>
      </c>
      <c r="AN20" s="109"/>
    </row>
    <row r="21" spans="1:41" ht="12">
      <c r="A21" s="187" t="s">
        <v>0</v>
      </c>
      <c r="B21" s="118">
        <f>'All-time DF Stats'!R4</f>
        <v>28</v>
      </c>
      <c r="C21" s="119">
        <v>2</v>
      </c>
      <c r="D21" s="118">
        <f>'All-time DF Stats'!S4+B21</f>
        <v>66</v>
      </c>
      <c r="E21" s="119" t="s">
        <v>109</v>
      </c>
      <c r="F21" s="118">
        <f>'All-time DF Stats'!T4+D21</f>
        <v>111</v>
      </c>
      <c r="G21" s="119" t="s">
        <v>107</v>
      </c>
      <c r="H21" s="118">
        <f>'All-time DF Stats'!U4+F21</f>
        <v>144.00006999999999</v>
      </c>
      <c r="I21" s="119" t="s">
        <v>111</v>
      </c>
      <c r="J21" s="118">
        <f>'All-time DF Stats'!V4+H21</f>
        <v>199.00013999999999</v>
      </c>
      <c r="K21" s="120">
        <v>3</v>
      </c>
      <c r="L21" s="118">
        <f>'All-time DF Stats'!W4+J21</f>
        <v>230.00020999999998</v>
      </c>
      <c r="M21" s="120">
        <v>3</v>
      </c>
      <c r="N21" s="118">
        <f>'All-time DF Stats'!X4+L21</f>
        <v>251.00027999999998</v>
      </c>
      <c r="O21" s="120" t="s">
        <v>310</v>
      </c>
      <c r="P21" s="118">
        <f t="shared" si="33"/>
        <v>272.00034999999997</v>
      </c>
      <c r="Q21" s="120">
        <v>4</v>
      </c>
      <c r="R21" s="115">
        <f t="shared" si="34"/>
        <v>312.00041999999996</v>
      </c>
      <c r="S21" s="120" t="s">
        <v>358</v>
      </c>
      <c r="T21" s="115">
        <f t="shared" si="36"/>
        <v>348.00043999999997</v>
      </c>
      <c r="U21" s="120">
        <v>3</v>
      </c>
      <c r="V21" s="115">
        <f t="shared" si="35"/>
        <v>369.00045999999998</v>
      </c>
      <c r="W21" s="120">
        <v>3</v>
      </c>
      <c r="AN21" s="109"/>
    </row>
    <row r="22" spans="1:41" ht="12">
      <c r="A22" s="187" t="s">
        <v>1</v>
      </c>
      <c r="B22" s="118">
        <f>'All-time DF Stats'!R5</f>
        <v>30</v>
      </c>
      <c r="C22" s="119">
        <v>1</v>
      </c>
      <c r="D22" s="118">
        <f>'All-time DF Stats'!S5+B22</f>
        <v>64</v>
      </c>
      <c r="E22" s="119" t="s">
        <v>105</v>
      </c>
      <c r="F22" s="118">
        <f>'All-time DF Stats'!T5+D22</f>
        <v>108</v>
      </c>
      <c r="G22" s="119">
        <v>3</v>
      </c>
      <c r="H22" s="118">
        <f>'All-time DF Stats'!U5+F22</f>
        <v>148.00008</v>
      </c>
      <c r="I22" s="119" t="s">
        <v>110</v>
      </c>
      <c r="J22" s="118">
        <f>'All-time DF Stats'!V5+H22</f>
        <v>201.00015999999999</v>
      </c>
      <c r="K22" s="120">
        <v>2</v>
      </c>
      <c r="L22" s="118">
        <f>'All-time DF Stats'!W5+J22</f>
        <v>231.00023999999999</v>
      </c>
      <c r="M22" s="120">
        <v>2</v>
      </c>
      <c r="N22" s="118">
        <f>'All-time DF Stats'!X5+L22</f>
        <v>256.00031999999999</v>
      </c>
      <c r="O22" s="120" t="s">
        <v>111</v>
      </c>
      <c r="P22" s="118">
        <f t="shared" si="33"/>
        <v>282.00040000000001</v>
      </c>
      <c r="Q22" s="120">
        <v>3</v>
      </c>
      <c r="R22" s="115">
        <f t="shared" si="34"/>
        <v>304.00048000000004</v>
      </c>
      <c r="S22" s="120" t="s">
        <v>359</v>
      </c>
      <c r="T22" s="115">
        <f t="shared" si="36"/>
        <v>325.00053000000003</v>
      </c>
      <c r="U22" s="120">
        <v>4</v>
      </c>
      <c r="V22" s="115">
        <f t="shared" si="35"/>
        <v>342.00058000000001</v>
      </c>
      <c r="W22" s="120">
        <v>4</v>
      </c>
      <c r="AN22" s="109"/>
    </row>
    <row r="23" spans="1:41" ht="12">
      <c r="A23" s="187" t="s">
        <v>4</v>
      </c>
      <c r="B23" s="118">
        <f>'All-time DF Stats'!R6</f>
        <v>28</v>
      </c>
      <c r="C23" s="119">
        <v>2</v>
      </c>
      <c r="D23" s="118">
        <f>'All-time DF Stats'!S6+B23</f>
        <v>42</v>
      </c>
      <c r="E23" s="119" t="s">
        <v>106</v>
      </c>
      <c r="F23" s="118">
        <f>'All-time DF Stats'!T6+D23</f>
        <v>44</v>
      </c>
      <c r="G23" s="119">
        <v>6</v>
      </c>
      <c r="H23" s="118">
        <f>'All-time DF Stats'!U6+F23</f>
        <v>46.000059999999998</v>
      </c>
      <c r="I23" s="119">
        <v>6</v>
      </c>
      <c r="J23" s="118">
        <f>'All-time DF Stats'!V6+H23</f>
        <v>72.000119999999995</v>
      </c>
      <c r="K23" s="120">
        <v>6</v>
      </c>
      <c r="L23" s="118">
        <f>'All-time DF Stats'!W6+J23</f>
        <v>98.000169999999997</v>
      </c>
      <c r="M23" s="120">
        <v>6</v>
      </c>
      <c r="N23" s="118">
        <f>'All-time DF Stats'!X6+L23</f>
        <v>129.00022000000001</v>
      </c>
      <c r="O23" s="120">
        <v>6</v>
      </c>
      <c r="P23" s="118">
        <f t="shared" si="33"/>
        <v>161.00027</v>
      </c>
      <c r="Q23" s="120" t="s">
        <v>337</v>
      </c>
      <c r="R23" s="115">
        <f t="shared" si="34"/>
        <v>195.00031999999999</v>
      </c>
      <c r="S23" s="120">
        <v>5</v>
      </c>
      <c r="T23" s="115">
        <f t="shared" si="36"/>
        <v>223.00036999999998</v>
      </c>
      <c r="U23" s="120">
        <v>5</v>
      </c>
      <c r="V23" s="115">
        <f t="shared" si="35"/>
        <v>238.00041999999996</v>
      </c>
      <c r="W23" s="120">
        <v>5</v>
      </c>
      <c r="AN23" s="109"/>
    </row>
    <row r="24" spans="1:41" ht="13.75" customHeight="1" thickBot="1">
      <c r="A24" s="188" t="s">
        <v>2</v>
      </c>
      <c r="B24" s="121">
        <f>'All-time DF Stats'!R7</f>
        <v>27</v>
      </c>
      <c r="C24" s="122">
        <v>4</v>
      </c>
      <c r="D24" s="121">
        <f>'All-time DF Stats'!S7+B24</f>
        <v>63</v>
      </c>
      <c r="E24" s="122">
        <v>4</v>
      </c>
      <c r="F24" s="121">
        <f>'All-time DF Stats'!T7+D24</f>
        <v>82</v>
      </c>
      <c r="G24" s="122" t="s">
        <v>108</v>
      </c>
      <c r="H24" s="121">
        <f>'All-time DF Stats'!U7+F24</f>
        <v>92.000050000000002</v>
      </c>
      <c r="I24" s="122">
        <v>5</v>
      </c>
      <c r="J24" s="121">
        <f>'All-time DF Stats'!V7+H24</f>
        <v>117.0001</v>
      </c>
      <c r="K24" s="123">
        <v>5</v>
      </c>
      <c r="L24" s="121">
        <f>'All-time DF Stats'!W7+J24</f>
        <v>136.00015999999999</v>
      </c>
      <c r="M24" s="123">
        <v>5</v>
      </c>
      <c r="N24" s="121">
        <f>'All-time DF Stats'!X7+L24</f>
        <v>143.00021999999998</v>
      </c>
      <c r="O24" s="123">
        <v>5</v>
      </c>
      <c r="P24" s="121">
        <f t="shared" si="33"/>
        <v>158.00027999999998</v>
      </c>
      <c r="Q24" s="123" t="s">
        <v>336</v>
      </c>
      <c r="R24" s="121">
        <f t="shared" si="34"/>
        <v>178.00033999999997</v>
      </c>
      <c r="S24" s="123">
        <v>6</v>
      </c>
      <c r="T24" s="208">
        <f t="shared" si="36"/>
        <v>201.00039999999996</v>
      </c>
      <c r="U24" s="123">
        <v>6</v>
      </c>
      <c r="V24" s="208">
        <f>T24+AB7</f>
        <v>222.00045999999995</v>
      </c>
      <c r="W24" s="123">
        <v>6</v>
      </c>
      <c r="AN24" s="109"/>
    </row>
    <row r="25" spans="1:41" ht="12">
      <c r="Q25" s="89"/>
      <c r="AO25" s="109"/>
    </row>
    <row r="26" spans="1:41">
      <c r="AO26" s="109"/>
    </row>
    <row r="27" spans="1:41">
      <c r="AO27" s="109"/>
    </row>
    <row r="28" spans="1:41">
      <c r="AO28" s="109"/>
    </row>
    <row r="29" spans="1:41">
      <c r="AO29" s="109"/>
    </row>
    <row r="30" spans="1:41">
      <c r="AO30" s="109"/>
    </row>
    <row r="31" spans="1:41">
      <c r="AO31" s="109"/>
    </row>
    <row r="32" spans="1:41">
      <c r="AO32" s="109"/>
    </row>
    <row r="33" spans="4:41">
      <c r="AO33" s="109"/>
    </row>
    <row r="34" spans="4:41">
      <c r="AO34" s="109"/>
    </row>
    <row r="35" spans="4:41">
      <c r="AO35" s="109"/>
    </row>
    <row r="36" spans="4:41">
      <c r="D36" s="108"/>
      <c r="E36" s="108"/>
      <c r="F36" s="108"/>
      <c r="G36" s="108"/>
      <c r="H36" s="108"/>
      <c r="AO36" s="109"/>
    </row>
    <row r="37" spans="4:41">
      <c r="D37" s="108"/>
      <c r="E37" s="108"/>
      <c r="F37" s="108"/>
      <c r="G37" s="108"/>
      <c r="H37" s="108"/>
      <c r="AO37" s="109"/>
    </row>
    <row r="38" spans="4:41">
      <c r="D38" s="108"/>
      <c r="E38" s="108"/>
      <c r="F38" s="108"/>
      <c r="G38" s="108"/>
      <c r="H38" s="108"/>
      <c r="AO38" s="109"/>
    </row>
    <row r="39" spans="4:41">
      <c r="D39" s="108"/>
      <c r="E39" s="108"/>
      <c r="F39" s="108"/>
      <c r="G39" s="108"/>
      <c r="H39" s="108"/>
      <c r="AO39" s="109"/>
    </row>
    <row r="40" spans="4:41">
      <c r="D40" s="108"/>
      <c r="E40" s="108"/>
      <c r="F40" s="108"/>
      <c r="G40" s="108"/>
      <c r="H40" s="108"/>
      <c r="AO40" s="109"/>
    </row>
    <row r="41" spans="4:41">
      <c r="AO41" s="109"/>
    </row>
    <row r="42" spans="4:41">
      <c r="AO42" s="109"/>
    </row>
    <row r="43" spans="4:41">
      <c r="AO43" s="109"/>
    </row>
    <row r="44" spans="4:41">
      <c r="AO44" s="109"/>
    </row>
    <row r="45" spans="4:41">
      <c r="AO45" s="109"/>
    </row>
    <row r="46" spans="4:41">
      <c r="AO46" s="109"/>
    </row>
    <row r="47" spans="4:41">
      <c r="AO47" s="109"/>
    </row>
    <row r="48" spans="4:41">
      <c r="AO48" s="109"/>
    </row>
    <row r="49" spans="1:41">
      <c r="AO49" s="109"/>
    </row>
    <row r="50" spans="1:41">
      <c r="AO50" s="109"/>
    </row>
    <row r="51" spans="1:41">
      <c r="AO51" s="109"/>
    </row>
    <row r="52" spans="1:41">
      <c r="AO52" s="109"/>
    </row>
    <row r="53" spans="1:41">
      <c r="AO53" s="109"/>
    </row>
    <row r="54" spans="1:41">
      <c r="AO54" s="109"/>
    </row>
    <row r="55" spans="1:41">
      <c r="B55" s="209"/>
      <c r="C55" s="209"/>
      <c r="D55" s="209"/>
      <c r="E55" s="209"/>
      <c r="F55" s="209"/>
      <c r="G55" s="209"/>
      <c r="H55" s="209"/>
      <c r="I55" s="209"/>
      <c r="J55" s="209"/>
      <c r="K55" s="209"/>
      <c r="AO55" s="109"/>
    </row>
    <row r="56" spans="1:41">
      <c r="B56" s="209"/>
      <c r="C56" s="209"/>
      <c r="D56" s="209"/>
      <c r="E56" s="209"/>
      <c r="F56" s="209"/>
      <c r="G56" s="209"/>
      <c r="H56" s="209"/>
      <c r="I56" s="209"/>
      <c r="J56" s="209"/>
      <c r="K56" s="209"/>
      <c r="AO56" s="109"/>
    </row>
    <row r="57" spans="1:41">
      <c r="B57" s="209"/>
      <c r="C57" s="209"/>
      <c r="D57" s="209"/>
      <c r="E57" s="209"/>
      <c r="F57" s="209"/>
      <c r="G57" s="209"/>
      <c r="H57" s="209"/>
      <c r="I57" s="209"/>
      <c r="J57" s="209"/>
      <c r="K57" s="209"/>
      <c r="AO57" s="109"/>
    </row>
    <row r="58" spans="1:41">
      <c r="B58" s="209"/>
      <c r="C58" s="209"/>
      <c r="D58" s="209"/>
      <c r="E58" s="209"/>
      <c r="F58" s="209"/>
      <c r="G58" s="209"/>
      <c r="H58" s="209"/>
      <c r="I58" s="209"/>
      <c r="J58" s="209"/>
      <c r="K58" s="209"/>
      <c r="AO58" s="109"/>
    </row>
    <row r="59" spans="1:41">
      <c r="B59" s="209"/>
      <c r="C59" s="209"/>
      <c r="D59" s="209"/>
      <c r="E59" s="209"/>
      <c r="F59" s="209"/>
      <c r="G59" s="209"/>
      <c r="H59" s="209"/>
      <c r="I59" s="209"/>
      <c r="J59" s="209"/>
      <c r="K59" s="209"/>
      <c r="AO59" s="109"/>
    </row>
    <row r="60" spans="1:41">
      <c r="B60" s="209"/>
      <c r="C60" s="209"/>
      <c r="D60" s="209"/>
      <c r="E60" s="209"/>
      <c r="F60" s="209"/>
      <c r="G60" s="209"/>
      <c r="H60" s="209"/>
      <c r="I60" s="209"/>
      <c r="J60" s="209"/>
      <c r="K60" s="209"/>
      <c r="AO60" s="109"/>
    </row>
    <row r="61" spans="1:41">
      <c r="B61" s="209"/>
      <c r="C61" s="209"/>
      <c r="D61" s="209"/>
      <c r="E61" s="209"/>
      <c r="F61" s="209"/>
      <c r="G61" s="209"/>
      <c r="H61" s="209"/>
      <c r="I61" s="209"/>
      <c r="J61" s="209"/>
      <c r="K61" s="209"/>
      <c r="AO61" s="109"/>
    </row>
    <row r="62" spans="1:41">
      <c r="AO62" s="109"/>
    </row>
    <row r="63" spans="1:41" ht="12.9">
      <c r="A63" s="91" t="s">
        <v>34</v>
      </c>
      <c r="B63" s="91" t="s">
        <v>70</v>
      </c>
      <c r="C63" s="92" t="s">
        <v>369</v>
      </c>
      <c r="D63" s="92" t="s">
        <v>370</v>
      </c>
      <c r="E63" s="92" t="s">
        <v>371</v>
      </c>
      <c r="F63" s="92" t="s">
        <v>372</v>
      </c>
      <c r="G63" s="92" t="s">
        <v>373</v>
      </c>
      <c r="H63" s="92" t="s">
        <v>374</v>
      </c>
      <c r="I63" s="92" t="s">
        <v>375</v>
      </c>
      <c r="J63" s="92" t="s">
        <v>376</v>
      </c>
      <c r="K63" s="92" t="s">
        <v>377</v>
      </c>
      <c r="L63" s="92" t="s">
        <v>378</v>
      </c>
      <c r="AO63" s="109"/>
    </row>
    <row r="64" spans="1:41" ht="12">
      <c r="A64" s="99" t="s">
        <v>32</v>
      </c>
      <c r="B64" s="163">
        <f>SUM(C64:L64)</f>
        <v>3</v>
      </c>
      <c r="C64" s="163">
        <v>0</v>
      </c>
      <c r="D64" s="163">
        <v>0</v>
      </c>
      <c r="E64" s="163">
        <v>0</v>
      </c>
      <c r="F64" s="163">
        <v>0</v>
      </c>
      <c r="G64" s="163">
        <v>0</v>
      </c>
      <c r="H64" s="163">
        <v>0</v>
      </c>
      <c r="I64" s="163">
        <v>0</v>
      </c>
      <c r="J64" s="163">
        <v>1</v>
      </c>
      <c r="K64" s="163">
        <v>0</v>
      </c>
      <c r="L64" s="163">
        <v>2</v>
      </c>
      <c r="AO64" s="109"/>
    </row>
    <row r="65" spans="1:41" ht="12.9">
      <c r="A65" s="99" t="s">
        <v>3</v>
      </c>
      <c r="B65" s="163">
        <f t="shared" ref="B65:B69" si="37">SUM(C65:L65)</f>
        <v>1</v>
      </c>
      <c r="C65" s="163">
        <v>0</v>
      </c>
      <c r="D65" s="163">
        <v>0</v>
      </c>
      <c r="E65" s="163">
        <v>0</v>
      </c>
      <c r="F65" s="163">
        <v>0</v>
      </c>
      <c r="G65" s="163">
        <v>0</v>
      </c>
      <c r="H65" s="163">
        <v>0</v>
      </c>
      <c r="I65" s="163">
        <v>0</v>
      </c>
      <c r="J65" s="163">
        <v>1</v>
      </c>
      <c r="K65" s="163">
        <v>0</v>
      </c>
      <c r="L65" s="163">
        <v>0</v>
      </c>
      <c r="M65" s="108"/>
      <c r="N65" s="108"/>
      <c r="O65" s="108"/>
      <c r="AC65" s="163"/>
      <c r="AD65" s="165">
        <f>B17</f>
        <v>2016</v>
      </c>
      <c r="AE65" s="165">
        <f>AD65+1</f>
        <v>2017</v>
      </c>
      <c r="AF65" s="165">
        <f t="shared" ref="AF65:AG65" si="38">AE65+1</f>
        <v>2018</v>
      </c>
      <c r="AG65" s="165">
        <f t="shared" si="38"/>
        <v>2019</v>
      </c>
      <c r="AH65" s="165">
        <f>AG65+1</f>
        <v>2020</v>
      </c>
      <c r="AI65" s="165">
        <f>AH65+1</f>
        <v>2021</v>
      </c>
      <c r="AJ65" s="165">
        <f>AI65+1</f>
        <v>2022</v>
      </c>
      <c r="AK65" s="165">
        <f>AJ65+1</f>
        <v>2023</v>
      </c>
      <c r="AL65" s="165">
        <v>2024</v>
      </c>
      <c r="AM65" s="165">
        <v>2025</v>
      </c>
      <c r="AN65" s="165">
        <v>2026</v>
      </c>
    </row>
    <row r="66" spans="1:41" ht="12.9">
      <c r="A66" s="99" t="s">
        <v>0</v>
      </c>
      <c r="B66" s="163">
        <f t="shared" si="37"/>
        <v>4</v>
      </c>
      <c r="C66" s="163">
        <v>0</v>
      </c>
      <c r="D66" s="163">
        <v>0</v>
      </c>
      <c r="E66" s="163">
        <v>0</v>
      </c>
      <c r="F66" s="163">
        <v>1</v>
      </c>
      <c r="G66" s="163">
        <v>0</v>
      </c>
      <c r="H66" s="163">
        <v>0</v>
      </c>
      <c r="I66" s="163">
        <v>2</v>
      </c>
      <c r="J66" s="163">
        <v>1</v>
      </c>
      <c r="K66" s="163">
        <v>0</v>
      </c>
      <c r="L66" s="163">
        <v>0</v>
      </c>
      <c r="M66" s="108"/>
      <c r="N66" s="108"/>
      <c r="O66" s="108"/>
      <c r="AC66" s="91" t="s">
        <v>32</v>
      </c>
      <c r="AD66" s="164">
        <v>25</v>
      </c>
      <c r="AE66" s="164">
        <v>66</v>
      </c>
      <c r="AF66" s="164">
        <v>117</v>
      </c>
      <c r="AG66" s="164">
        <v>153.0001</v>
      </c>
      <c r="AH66" s="164">
        <v>213.00020000000001</v>
      </c>
      <c r="AI66" s="164">
        <v>248.00030000000001</v>
      </c>
      <c r="AJ66" s="164">
        <v>281.00040000000001</v>
      </c>
      <c r="AK66" s="164">
        <f>P19</f>
        <v>317.00049999999999</v>
      </c>
      <c r="AL66" s="164">
        <f>AK66+Z2</f>
        <v>354.00059999999996</v>
      </c>
      <c r="AM66" s="164">
        <f>T19</f>
        <v>384.00069999999994</v>
      </c>
      <c r="AN66" s="164">
        <f>V19</f>
        <v>415.00079999999991</v>
      </c>
    </row>
    <row r="67" spans="1:41" ht="12.9">
      <c r="A67" s="99" t="s">
        <v>1</v>
      </c>
      <c r="B67" s="163">
        <f t="shared" si="37"/>
        <v>0</v>
      </c>
      <c r="C67" s="163">
        <v>0</v>
      </c>
      <c r="D67" s="163">
        <v>0</v>
      </c>
      <c r="E67" s="163">
        <v>0</v>
      </c>
      <c r="F67" s="163">
        <v>0</v>
      </c>
      <c r="G67" s="163">
        <v>0</v>
      </c>
      <c r="H67" s="163">
        <v>0</v>
      </c>
      <c r="I67" s="163">
        <v>0</v>
      </c>
      <c r="J67" s="163">
        <v>0</v>
      </c>
      <c r="K67" s="163">
        <v>0</v>
      </c>
      <c r="L67" s="163">
        <v>0</v>
      </c>
      <c r="M67" s="108"/>
      <c r="N67" s="108"/>
      <c r="O67" s="108"/>
      <c r="AC67" s="91" t="s">
        <v>1</v>
      </c>
      <c r="AD67" s="164">
        <v>30</v>
      </c>
      <c r="AE67" s="164">
        <v>64</v>
      </c>
      <c r="AF67" s="164">
        <v>108</v>
      </c>
      <c r="AG67" s="164">
        <v>148.00008</v>
      </c>
      <c r="AH67" s="164">
        <v>201.00015999999999</v>
      </c>
      <c r="AI67" s="164">
        <v>231.00023999999999</v>
      </c>
      <c r="AJ67" s="164">
        <v>255.00031999999999</v>
      </c>
      <c r="AK67" s="164">
        <f>P22</f>
        <v>282.00040000000001</v>
      </c>
      <c r="AL67" s="164">
        <f>AK67+Z5</f>
        <v>304.00048000000004</v>
      </c>
      <c r="AM67" s="164">
        <f>T22</f>
        <v>325.00053000000003</v>
      </c>
      <c r="AN67" s="164">
        <f>V22</f>
        <v>342.00058000000001</v>
      </c>
    </row>
    <row r="68" spans="1:41" ht="12.9">
      <c r="A68" s="99" t="s">
        <v>4</v>
      </c>
      <c r="B68" s="163">
        <f t="shared" si="37"/>
        <v>1</v>
      </c>
      <c r="C68" s="163">
        <v>0</v>
      </c>
      <c r="D68" s="163">
        <v>0</v>
      </c>
      <c r="E68" s="163">
        <v>0</v>
      </c>
      <c r="F68" s="163">
        <v>0</v>
      </c>
      <c r="G68" s="163">
        <v>0</v>
      </c>
      <c r="H68" s="163">
        <v>1</v>
      </c>
      <c r="I68" s="163">
        <v>0</v>
      </c>
      <c r="J68" s="163">
        <v>0</v>
      </c>
      <c r="K68" s="163">
        <v>0</v>
      </c>
      <c r="L68" s="163">
        <v>0</v>
      </c>
      <c r="M68" s="108"/>
      <c r="N68" s="108"/>
      <c r="O68" s="108"/>
      <c r="AC68" s="91" t="s">
        <v>0</v>
      </c>
      <c r="AD68" s="164">
        <v>28</v>
      </c>
      <c r="AE68" s="164">
        <v>66</v>
      </c>
      <c r="AF68" s="164">
        <v>111</v>
      </c>
      <c r="AG68" s="164">
        <v>144.00006999999999</v>
      </c>
      <c r="AH68" s="164">
        <v>199.00013999999999</v>
      </c>
      <c r="AI68" s="164">
        <v>230.00020999999998</v>
      </c>
      <c r="AJ68" s="164">
        <v>250.00027999999998</v>
      </c>
      <c r="AK68" s="164">
        <f>P21</f>
        <v>272.00034999999997</v>
      </c>
      <c r="AL68" s="164">
        <f>AK68+Z4</f>
        <v>312.00041999999996</v>
      </c>
      <c r="AM68" s="164">
        <f t="shared" ref="AM68" si="39">T21</f>
        <v>348.00043999999997</v>
      </c>
      <c r="AN68" s="164">
        <f>V21</f>
        <v>369.00045999999998</v>
      </c>
    </row>
    <row r="69" spans="1:41" ht="12.9">
      <c r="A69" s="99" t="s">
        <v>2</v>
      </c>
      <c r="B69" s="163">
        <f t="shared" si="37"/>
        <v>3</v>
      </c>
      <c r="C69" s="163">
        <v>0</v>
      </c>
      <c r="D69" s="163">
        <v>0</v>
      </c>
      <c r="E69" s="163">
        <v>0</v>
      </c>
      <c r="F69" s="163">
        <v>0</v>
      </c>
      <c r="G69" s="163">
        <v>1</v>
      </c>
      <c r="H69" s="163">
        <v>0</v>
      </c>
      <c r="I69" s="163">
        <v>0</v>
      </c>
      <c r="J69" s="163">
        <v>1</v>
      </c>
      <c r="K69" s="163">
        <v>0</v>
      </c>
      <c r="L69" s="163">
        <v>1</v>
      </c>
      <c r="M69" s="108"/>
      <c r="N69" s="108"/>
      <c r="O69" s="108"/>
      <c r="AC69" s="91" t="s">
        <v>3</v>
      </c>
      <c r="AD69" s="164">
        <v>27</v>
      </c>
      <c r="AE69" s="164">
        <v>63</v>
      </c>
      <c r="AF69" s="164">
        <v>102</v>
      </c>
      <c r="AG69" s="164">
        <v>141.00009</v>
      </c>
      <c r="AH69" s="164">
        <v>195.00018</v>
      </c>
      <c r="AI69" s="164">
        <v>227.00027</v>
      </c>
      <c r="AJ69" s="164">
        <v>263.00036</v>
      </c>
      <c r="AK69" s="164">
        <f>P20</f>
        <v>302.00045</v>
      </c>
      <c r="AL69" s="164">
        <f>AK69+Z3</f>
        <v>340.00054</v>
      </c>
      <c r="AM69" s="164">
        <f>T20</f>
        <v>376.00063</v>
      </c>
      <c r="AN69" s="164">
        <f>V20</f>
        <v>405.00072</v>
      </c>
    </row>
    <row r="70" spans="1:41" ht="12.9">
      <c r="A70" s="99" t="s">
        <v>70</v>
      </c>
      <c r="B70" s="163">
        <f>SUM(B64:B69)</f>
        <v>12</v>
      </c>
      <c r="C70" s="163">
        <f>SUM(C64:C69)</f>
        <v>0</v>
      </c>
      <c r="D70" s="163">
        <f t="shared" ref="D70:L70" si="40">SUM(D64:D69)</f>
        <v>0</v>
      </c>
      <c r="E70" s="163">
        <f t="shared" si="40"/>
        <v>0</v>
      </c>
      <c r="F70" s="163">
        <f t="shared" si="40"/>
        <v>1</v>
      </c>
      <c r="G70" s="163">
        <f t="shared" si="40"/>
        <v>1</v>
      </c>
      <c r="H70" s="163">
        <f t="shared" si="40"/>
        <v>1</v>
      </c>
      <c r="I70" s="163">
        <f t="shared" si="40"/>
        <v>2</v>
      </c>
      <c r="J70" s="163">
        <f t="shared" si="40"/>
        <v>4</v>
      </c>
      <c r="K70" s="163">
        <f t="shared" si="40"/>
        <v>0</v>
      </c>
      <c r="L70" s="163">
        <f t="shared" si="40"/>
        <v>3</v>
      </c>
      <c r="M70" s="108"/>
      <c r="N70" s="108"/>
      <c r="O70" s="108"/>
      <c r="AC70" s="91" t="s">
        <v>2</v>
      </c>
      <c r="AD70" s="164">
        <v>27</v>
      </c>
      <c r="AE70" s="164">
        <v>63</v>
      </c>
      <c r="AF70" s="164">
        <v>82</v>
      </c>
      <c r="AG70" s="164">
        <v>92.000050000000002</v>
      </c>
      <c r="AH70" s="164">
        <v>117.0001</v>
      </c>
      <c r="AI70" s="164">
        <v>136.00015999999999</v>
      </c>
      <c r="AJ70" s="164">
        <v>142.00021999999998</v>
      </c>
      <c r="AK70" s="164">
        <f>P24</f>
        <v>158.00027999999998</v>
      </c>
      <c r="AL70" s="164">
        <f>AK70+Z7</f>
        <v>178.00033999999997</v>
      </c>
      <c r="AM70" s="164">
        <f>T24</f>
        <v>201.00039999999996</v>
      </c>
      <c r="AN70" s="164">
        <f>V24</f>
        <v>222.00045999999995</v>
      </c>
    </row>
    <row r="71" spans="1:41" ht="12.9">
      <c r="H71" s="108"/>
      <c r="I71" s="108"/>
      <c r="J71" s="108"/>
      <c r="K71" s="108"/>
      <c r="L71" s="108"/>
      <c r="M71" s="108"/>
      <c r="N71" s="108"/>
      <c r="O71" s="108"/>
      <c r="AC71" s="91" t="s">
        <v>4</v>
      </c>
      <c r="AD71" s="164">
        <v>28</v>
      </c>
      <c r="AE71" s="164">
        <v>42</v>
      </c>
      <c r="AF71" s="164">
        <v>44</v>
      </c>
      <c r="AG71" s="164">
        <v>46.000059999999998</v>
      </c>
      <c r="AH71" s="164">
        <v>72.000119999999995</v>
      </c>
      <c r="AI71" s="164">
        <v>98.000169999999997</v>
      </c>
      <c r="AJ71" s="164">
        <v>128.00022000000001</v>
      </c>
      <c r="AK71" s="164">
        <f>P23</f>
        <v>161.00027</v>
      </c>
      <c r="AL71" s="164">
        <f>R24</f>
        <v>178.00033999999997</v>
      </c>
      <c r="AM71" s="164">
        <f>T23</f>
        <v>223.00036999999998</v>
      </c>
      <c r="AN71" s="164">
        <f>V23</f>
        <v>238.00041999999996</v>
      </c>
    </row>
    <row r="72" spans="1:41">
      <c r="AO72" s="109"/>
    </row>
    <row r="73" spans="1:41">
      <c r="AO73" s="109"/>
    </row>
    <row r="74" spans="1:41">
      <c r="AO74" s="109"/>
    </row>
    <row r="75" spans="1:41">
      <c r="AO75" s="109"/>
    </row>
    <row r="76" spans="1:41">
      <c r="AO76" s="109"/>
    </row>
    <row r="77" spans="1:41" ht="12.9">
      <c r="A77" s="91">
        <v>2016</v>
      </c>
      <c r="B77" s="91">
        <f>1+A77</f>
        <v>2017</v>
      </c>
      <c r="C77" s="91">
        <f t="shared" ref="C77:J77" si="41">1+B77</f>
        <v>2018</v>
      </c>
      <c r="D77" s="91">
        <f t="shared" si="41"/>
        <v>2019</v>
      </c>
      <c r="E77" s="91">
        <f t="shared" si="41"/>
        <v>2020</v>
      </c>
      <c r="F77" s="91">
        <f t="shared" si="41"/>
        <v>2021</v>
      </c>
      <c r="G77" s="91">
        <f t="shared" si="41"/>
        <v>2022</v>
      </c>
      <c r="H77" s="91">
        <f t="shared" si="41"/>
        <v>2023</v>
      </c>
      <c r="I77" s="91">
        <f t="shared" si="41"/>
        <v>2024</v>
      </c>
      <c r="J77" s="91">
        <f t="shared" si="41"/>
        <v>2025</v>
      </c>
      <c r="AO77" s="109"/>
    </row>
    <row r="78" spans="1:41">
      <c r="A78" s="102">
        <v>625</v>
      </c>
      <c r="B78" s="102">
        <v>975</v>
      </c>
      <c r="C78" s="102">
        <v>1441</v>
      </c>
      <c r="D78" s="102">
        <v>1395</v>
      </c>
      <c r="E78" s="102">
        <v>1326</v>
      </c>
      <c r="F78" s="102">
        <v>1810</v>
      </c>
      <c r="G78" s="102">
        <v>2190</v>
      </c>
      <c r="H78" s="102">
        <v>2995</v>
      </c>
      <c r="I78" s="102">
        <v>5382</v>
      </c>
      <c r="J78" s="102">
        <v>6598</v>
      </c>
      <c r="AO78" s="109"/>
    </row>
    <row r="79" spans="1:41">
      <c r="AO79" s="109"/>
    </row>
    <row r="80" spans="1:41">
      <c r="AO80" s="109"/>
    </row>
    <row r="81" spans="41:41">
      <c r="AO81" s="109"/>
    </row>
    <row r="82" spans="41:41">
      <c r="AO82" s="109"/>
    </row>
    <row r="83" spans="41:41">
      <c r="AO83" s="109"/>
    </row>
    <row r="84" spans="41:41">
      <c r="AO84" s="109"/>
    </row>
    <row r="85" spans="41:41">
      <c r="AO85" s="109"/>
    </row>
    <row r="86" spans="41:41">
      <c r="AO86" s="109"/>
    </row>
    <row r="87" spans="41:41">
      <c r="AO87" s="109"/>
    </row>
    <row r="88" spans="41:41">
      <c r="AO88" s="109"/>
    </row>
    <row r="89" spans="41:41">
      <c r="AO89" s="109"/>
    </row>
    <row r="90" spans="41:41">
      <c r="AO90" s="109"/>
    </row>
    <row r="91" spans="41:41">
      <c r="AO91" s="109"/>
    </row>
    <row r="92" spans="41:41">
      <c r="AO92" s="109"/>
    </row>
    <row r="93" spans="41:41">
      <c r="AO93" s="109"/>
    </row>
    <row r="94" spans="41:41">
      <c r="AO94" s="109"/>
    </row>
    <row r="95" spans="41:41">
      <c r="AO95" s="109"/>
    </row>
    <row r="96" spans="41:41">
      <c r="AO96" s="109"/>
    </row>
    <row r="97" spans="41:41">
      <c r="AO97" s="109"/>
    </row>
    <row r="98" spans="41:41">
      <c r="AO98" s="109"/>
    </row>
    <row r="99" spans="41:41">
      <c r="AO99" s="109"/>
    </row>
    <row r="100" spans="41:41">
      <c r="AO100" s="109"/>
    </row>
    <row r="101" spans="41:41">
      <c r="AO101" s="109"/>
    </row>
    <row r="102" spans="41:41">
      <c r="AO102" s="109"/>
    </row>
  </sheetData>
  <mergeCells count="12">
    <mergeCell ref="B17:C17"/>
    <mergeCell ref="D17:E17"/>
    <mergeCell ref="F17:G17"/>
    <mergeCell ref="H17:I17"/>
    <mergeCell ref="J17:K17"/>
    <mergeCell ref="AR12:AR13"/>
    <mergeCell ref="L17:M17"/>
    <mergeCell ref="P17:Q17"/>
    <mergeCell ref="R17:S17"/>
    <mergeCell ref="N17:O17"/>
    <mergeCell ref="T17:U17"/>
    <mergeCell ref="V17:W17"/>
  </mergeCells>
  <phoneticPr fontId="28"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S21"/>
  <sheetViews>
    <sheetView zoomScale="85" zoomScaleNormal="85" workbookViewId="0">
      <selection activeCell="E17" sqref="E17"/>
    </sheetView>
  </sheetViews>
  <sheetFormatPr defaultColWidth="9.15234375" defaultRowHeight="14.15"/>
  <cols>
    <col min="1" max="1" width="12.84375" style="53" customWidth="1"/>
    <col min="2" max="2" width="18.53515625" style="53" customWidth="1"/>
    <col min="3" max="3" width="19.15234375" style="53" bestFit="1" customWidth="1"/>
    <col min="4" max="4" width="15.3046875" style="53" customWidth="1"/>
    <col min="5" max="5" width="19.69140625" style="53" customWidth="1"/>
    <col min="6" max="6" width="49.15234375" style="53" customWidth="1"/>
    <col min="7" max="7" width="20.84375" style="53" customWidth="1"/>
    <col min="8" max="8" width="15.15234375" style="53" customWidth="1"/>
    <col min="9" max="9" width="18.84375" style="53" customWidth="1"/>
    <col min="10" max="10" width="18.53515625" style="53" customWidth="1"/>
    <col min="11" max="11" width="17.3828125" style="53" customWidth="1"/>
    <col min="12" max="12" width="9.15234375" style="53"/>
    <col min="13" max="13" width="13.3046875" style="53" bestFit="1" customWidth="1"/>
    <col min="14" max="15" width="9.15234375" style="53"/>
    <col min="16" max="17" width="10.53515625" style="53" bestFit="1" customWidth="1"/>
    <col min="18" max="16384" width="9.15234375" style="53"/>
  </cols>
  <sheetData>
    <row r="1" spans="1:19" s="215" customFormat="1" ht="30" customHeight="1">
      <c r="A1" s="216" t="str">
        <f>'All-time DF Stats'!A1</f>
        <v>Rang und</v>
      </c>
      <c r="B1" s="216" t="str">
        <f>'All-time DF Stats'!B1</f>
        <v>Name</v>
      </c>
      <c r="C1" s="216" t="s">
        <v>344</v>
      </c>
      <c r="D1" s="216" t="str">
        <f>'All-time DF Stats'!E1</f>
        <v>Total PR%</v>
      </c>
      <c r="E1" s="216" t="s">
        <v>37</v>
      </c>
      <c r="F1" s="216" t="s">
        <v>55</v>
      </c>
      <c r="G1" s="216" t="s">
        <v>314</v>
      </c>
      <c r="H1" s="216" t="s">
        <v>69</v>
      </c>
      <c r="I1" s="216" t="s">
        <v>102</v>
      </c>
      <c r="J1" s="216" t="s">
        <v>116</v>
      </c>
      <c r="K1" s="216" t="s">
        <v>123</v>
      </c>
      <c r="L1" s="216" t="s">
        <v>288</v>
      </c>
      <c r="M1" s="216" t="s">
        <v>343</v>
      </c>
      <c r="N1" s="216" t="s">
        <v>368</v>
      </c>
    </row>
    <row r="2" spans="1:19" ht="15">
      <c r="A2" s="45">
        <f>'All-time DF Stats'!A2</f>
        <v>1</v>
      </c>
      <c r="B2" s="38" t="str">
        <f>'All-time DF Stats'!B2</f>
        <v>MSO/MST</v>
      </c>
      <c r="C2" s="43">
        <f>'All-time DF Stats'!C2</f>
        <v>415.00079999999991</v>
      </c>
      <c r="D2" s="39">
        <f ca="1">'All-time DF Stats'!E2</f>
        <v>0.79502068965517225</v>
      </c>
      <c r="E2" s="54">
        <f>'All-time DF Stats'!Q2</f>
        <v>1440.25</v>
      </c>
      <c r="F2" s="166" t="s">
        <v>287</v>
      </c>
      <c r="G2" s="166"/>
      <c r="H2" s="79">
        <f ca="1">1/(1-(C2/'All-time DF Stats'!AN2))</f>
        <v>4.8785411479711955</v>
      </c>
      <c r="I2" s="110">
        <f t="shared" ref="I2:I7" si="0">C2-C3</f>
        <v>10.000079999999912</v>
      </c>
      <c r="J2" s="133" t="s">
        <v>88</v>
      </c>
      <c r="K2" s="135" t="s">
        <v>88</v>
      </c>
      <c r="L2" s="135">
        <f ca="1">E2/('All-time DF Stats'!AN2-'All-time DF Stats'!C2)</f>
        <v>13.460381012194473</v>
      </c>
      <c r="M2" s="40">
        <f>C2/$C$9</f>
        <v>0.20843801254306218</v>
      </c>
      <c r="N2" s="110">
        <v>3</v>
      </c>
      <c r="O2" s="53" t="s">
        <v>32</v>
      </c>
      <c r="P2" s="220">
        <v>42524</v>
      </c>
      <c r="Q2" s="220">
        <f ca="1">TODAY()</f>
        <v>46304</v>
      </c>
      <c r="R2" s="53">
        <f ca="1">Q2-P2</f>
        <v>3780</v>
      </c>
      <c r="S2" s="53">
        <v>3682</v>
      </c>
    </row>
    <row r="3" spans="1:19" ht="15">
      <c r="A3" s="45">
        <f>'All-time DF Stats'!A3</f>
        <v>2</v>
      </c>
      <c r="B3" s="37" t="str">
        <f>'All-time DF Stats'!B3</f>
        <v>SJU</v>
      </c>
      <c r="C3" s="44">
        <f>'All-time DF Stats'!C3</f>
        <v>405.00072</v>
      </c>
      <c r="D3" s="40">
        <f ca="1">'All-time DF Stats'!E3</f>
        <v>0.76559682419659736</v>
      </c>
      <c r="E3" s="55">
        <f>'All-time DF Stats'!Q3</f>
        <v>1529.75</v>
      </c>
      <c r="F3" s="78" t="s">
        <v>385</v>
      </c>
      <c r="G3" s="78"/>
      <c r="H3" s="80">
        <f ca="1">1/(1-(C3/'All-time DF Stats'!AN3))</f>
        <v>4.2661538034736974</v>
      </c>
      <c r="I3" s="110">
        <f>C3-C4</f>
        <v>36.000260000000026</v>
      </c>
      <c r="J3" s="110">
        <f>$C$2-C3</f>
        <v>10.000079999999912</v>
      </c>
      <c r="K3" s="134">
        <f>1/(C3/$C$2)</f>
        <v>1.0246915116595345</v>
      </c>
      <c r="L3" s="135">
        <f ca="1">E3/('All-time DF Stats'!AN3-'All-time DF Stats'!C3)</f>
        <v>12.336765181217181</v>
      </c>
      <c r="M3" s="40">
        <f>C3/$C$9</f>
        <v>0.20341537933254403</v>
      </c>
      <c r="N3" s="110">
        <v>1</v>
      </c>
      <c r="O3" s="53" t="s">
        <v>3</v>
      </c>
      <c r="P3" s="220">
        <v>42475</v>
      </c>
      <c r="Q3" s="220">
        <f>P3+S3</f>
        <v>46247.914145930408</v>
      </c>
      <c r="S3" s="53">
        <f>$S$2*K3</f>
        <v>3772.914145930406</v>
      </c>
    </row>
    <row r="4" spans="1:19" ht="15">
      <c r="A4" s="45">
        <f>'All-time DF Stats'!A4</f>
        <v>3</v>
      </c>
      <c r="B4" s="37" t="str">
        <f>'All-time DF Stats'!B4</f>
        <v>JWU</v>
      </c>
      <c r="C4" s="44">
        <f>'All-time DF Stats'!C4</f>
        <v>369.00045999999998</v>
      </c>
      <c r="D4" s="40">
        <f ca="1">'All-time DF Stats'!E4</f>
        <v>0.69754340264650283</v>
      </c>
      <c r="E4" s="55">
        <f>'All-time DF Stats'!Q4</f>
        <v>1964</v>
      </c>
      <c r="F4" s="78" t="s">
        <v>386</v>
      </c>
      <c r="G4" s="78"/>
      <c r="H4" s="80">
        <f ca="1">1/(1-(C4/'All-time DF Stats'!AN4))</f>
        <v>3.3062595054960782</v>
      </c>
      <c r="I4" s="110">
        <f>C4-C5</f>
        <v>26.999879999999962</v>
      </c>
      <c r="J4" s="110">
        <f>$C$2-C4</f>
        <v>46.000339999999937</v>
      </c>
      <c r="K4" s="134">
        <f>1/(C4/$C$2)</f>
        <v>1.124662012616461</v>
      </c>
      <c r="L4" s="135">
        <f ca="1">E4/('All-time DF Stats'!AN4-'All-time DF Stats'!C4)</f>
        <v>12.275035290726459</v>
      </c>
      <c r="M4" s="40">
        <f>C4/$C$9</f>
        <v>0.18533391383793893</v>
      </c>
      <c r="N4" s="110">
        <v>4</v>
      </c>
      <c r="O4" s="53" t="s">
        <v>0</v>
      </c>
      <c r="P4" s="220">
        <f t="shared" ref="P4:P7" si="1">P3</f>
        <v>42475</v>
      </c>
      <c r="Q4" s="220">
        <f>P4+S4</f>
        <v>46616.005530453811</v>
      </c>
      <c r="S4" s="53">
        <f>$S$2*K4</f>
        <v>4141.0055304538091</v>
      </c>
    </row>
    <row r="5" spans="1:19" ht="15">
      <c r="A5" s="45">
        <f>'All-time DF Stats'!A5</f>
        <v>4</v>
      </c>
      <c r="B5" s="37" t="str">
        <f>'All-time DF Stats'!B5</f>
        <v>PKN</v>
      </c>
      <c r="C5" s="44">
        <f>'All-time DF Stats'!C5</f>
        <v>342.00058000000001</v>
      </c>
      <c r="D5" s="40">
        <f ca="1">'All-time DF Stats'!E5</f>
        <v>0.64650393194707001</v>
      </c>
      <c r="E5" s="55">
        <f>'All-time DF Stats'!Q5</f>
        <v>2173.0699999999997</v>
      </c>
      <c r="F5" s="78" t="s">
        <v>297</v>
      </c>
      <c r="G5" s="78"/>
      <c r="H5" s="80">
        <f ca="1">1/(1-(C5/'All-time DF Stats'!AN5))</f>
        <v>2.8288857794318298</v>
      </c>
      <c r="I5" s="110">
        <f>C5-C6</f>
        <v>104.00016000000005</v>
      </c>
      <c r="J5" s="110">
        <f t="shared" ref="J5:J7" si="2">$C$2-C5</f>
        <v>73.000219999999899</v>
      </c>
      <c r="K5" s="134">
        <f>1/(C5/$C$2)</f>
        <v>1.2134505736803134</v>
      </c>
      <c r="L5" s="135">
        <f ca="1">E5/('All-time DF Stats'!AN5-'All-time DF Stats'!C5)</f>
        <v>11.620731230075473</v>
      </c>
      <c r="M5" s="40">
        <f t="shared" ref="M5" si="3">C5/$C$9</f>
        <v>0.17177297292866558</v>
      </c>
      <c r="N5" s="110">
        <v>0</v>
      </c>
      <c r="O5" s="53" t="s">
        <v>1</v>
      </c>
      <c r="P5" s="220">
        <f t="shared" si="1"/>
        <v>42475</v>
      </c>
      <c r="Q5" s="220">
        <f>P5+S5</f>
        <v>46942.925012290914</v>
      </c>
      <c r="S5" s="53">
        <f>$S$2*K5</f>
        <v>4467.9250122909143</v>
      </c>
    </row>
    <row r="6" spans="1:19" ht="15">
      <c r="A6" s="45">
        <f>'All-time DF Stats'!A6</f>
        <v>5</v>
      </c>
      <c r="B6" s="37" t="str">
        <f>'All-time DF Stats'!B6</f>
        <v>CBO</v>
      </c>
      <c r="C6" s="44">
        <f>'All-time DF Stats'!C6</f>
        <v>238.00041999999996</v>
      </c>
      <c r="D6" s="40">
        <f ca="1">'All-time DF Stats'!E6</f>
        <v>0.44990627599243849</v>
      </c>
      <c r="E6" s="55">
        <f>'All-time DF Stats'!Q6</f>
        <v>2095.5</v>
      </c>
      <c r="F6" s="78" t="s">
        <v>56</v>
      </c>
      <c r="G6" s="78"/>
      <c r="H6" s="80">
        <f ca="1">1/(1-(C6/'All-time DF Stats'!AN6))</f>
        <v>1.8178720395404004</v>
      </c>
      <c r="I6" s="110">
        <f t="shared" si="0"/>
        <v>15.999960000000016</v>
      </c>
      <c r="J6" s="110">
        <f t="shared" si="2"/>
        <v>177.00037999999995</v>
      </c>
      <c r="K6" s="134">
        <f>1/(C6/$C$2)</f>
        <v>1.7436977632224346</v>
      </c>
      <c r="L6" s="135">
        <f ca="1">E6/('All-time DF Stats'!AN6-'All-time DF Stats'!C6)</f>
        <v>7.2010413210905657</v>
      </c>
      <c r="M6" s="40">
        <f>C6/$C$9</f>
        <v>0.11953792505752778</v>
      </c>
      <c r="N6" s="110">
        <v>1</v>
      </c>
      <c r="O6" s="53" t="s">
        <v>4</v>
      </c>
      <c r="P6" s="220">
        <f t="shared" si="1"/>
        <v>42475</v>
      </c>
      <c r="Q6" s="220">
        <f>P6+S6</f>
        <v>48895.295164185001</v>
      </c>
      <c r="S6" s="53">
        <f t="shared" ref="S6:S7" si="4">$S$2*K6</f>
        <v>6420.2951641850041</v>
      </c>
    </row>
    <row r="7" spans="1:19" ht="15">
      <c r="A7" s="45">
        <f>'All-time DF Stats'!A7</f>
        <v>6</v>
      </c>
      <c r="B7" s="37" t="str">
        <f>'All-time DF Stats'!B7</f>
        <v>YMI</v>
      </c>
      <c r="C7" s="44">
        <f>'All-time DF Stats'!C7</f>
        <v>222.00045999999995</v>
      </c>
      <c r="D7" s="46">
        <f ca="1">'All-time DF Stats'!E7</f>
        <v>0.41966060491493373</v>
      </c>
      <c r="E7" s="55">
        <f>'All-time DF Stats'!Q7</f>
        <v>2791</v>
      </c>
      <c r="F7" s="78" t="s">
        <v>56</v>
      </c>
      <c r="G7" s="78"/>
      <c r="H7" s="80">
        <f ca="1">1/(1-(C7/'All-time DF Stats'!AN7))</f>
        <v>1.723129617718645</v>
      </c>
      <c r="I7" s="110">
        <f t="shared" si="0"/>
        <v>100000000000222</v>
      </c>
      <c r="J7" s="110">
        <f t="shared" si="2"/>
        <v>193.00033999999997</v>
      </c>
      <c r="K7" s="134">
        <f t="shared" ref="K7" si="5">1/(C7/$C$2)</f>
        <v>1.8693690995054695</v>
      </c>
      <c r="L7" s="135">
        <f ca="1">E7/('All-time DF Stats'!AN7-'All-time DF Stats'!C7)</f>
        <v>9.0912188337480888</v>
      </c>
      <c r="M7" s="40">
        <f>C7/$C$9</f>
        <v>0.11150179630026152</v>
      </c>
      <c r="N7" s="110">
        <v>3</v>
      </c>
      <c r="O7" s="53" t="s">
        <v>2</v>
      </c>
      <c r="P7" s="220">
        <f t="shared" si="1"/>
        <v>42475</v>
      </c>
      <c r="Q7" s="220">
        <f>P7+S7</f>
        <v>49358.017024379136</v>
      </c>
      <c r="S7" s="53">
        <f t="shared" si="4"/>
        <v>6883.017024379139</v>
      </c>
    </row>
    <row r="8" spans="1:19" ht="15">
      <c r="A8" s="111" t="s">
        <v>38</v>
      </c>
      <c r="B8" s="37" t="str">
        <f>'All-time DF Stats'!B8</f>
        <v>Jinderletscht</v>
      </c>
      <c r="C8" s="148">
        <v>-100000000000000</v>
      </c>
      <c r="D8" s="112" t="s">
        <v>39</v>
      </c>
      <c r="E8" s="55" t="s">
        <v>46</v>
      </c>
      <c r="F8" s="78" t="s">
        <v>79</v>
      </c>
      <c r="G8" s="78"/>
      <c r="H8" s="78" t="s">
        <v>78</v>
      </c>
      <c r="I8" s="110"/>
      <c r="J8" s="148">
        <f>$C$2-C8</f>
        <v>100000000000415</v>
      </c>
      <c r="K8" s="135" t="s">
        <v>88</v>
      </c>
      <c r="L8" s="135" t="s">
        <v>88</v>
      </c>
    </row>
    <row r="9" spans="1:19">
      <c r="C9" s="150">
        <f>SUM(C2:C7)</f>
        <v>1991.0034399999997</v>
      </c>
      <c r="E9" s="150"/>
    </row>
    <row r="16" spans="1:19">
      <c r="F16" s="220"/>
    </row>
    <row r="17" spans="6:6">
      <c r="F17" s="220"/>
    </row>
    <row r="18" spans="6:6">
      <c r="F18" s="220"/>
    </row>
    <row r="19" spans="6:6">
      <c r="F19" s="220"/>
    </row>
    <row r="20" spans="6:6">
      <c r="F20" s="220"/>
    </row>
    <row r="21" spans="6:6">
      <c r="F21" s="220"/>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AB402"/>
  <sheetViews>
    <sheetView zoomScale="55" zoomScaleNormal="55" workbookViewId="0">
      <pane xSplit="7" ySplit="1" topLeftCell="H2" activePane="bottomRight" state="frozen"/>
      <selection pane="topRight" activeCell="P1" sqref="P1"/>
      <selection pane="bottomLeft" activeCell="A24" sqref="A24"/>
      <selection pane="bottomRight" activeCell="G9" sqref="A9:G9"/>
    </sheetView>
  </sheetViews>
  <sheetFormatPr defaultColWidth="11.3828125" defaultRowHeight="16.75"/>
  <cols>
    <col min="1" max="1" width="12.69140625" style="1" customWidth="1"/>
    <col min="2" max="7" width="7.15234375" style="131" customWidth="1"/>
    <col min="8" max="9" width="1.53515625" style="132" customWidth="1"/>
    <col min="10" max="10" width="38.53515625" style="57" customWidth="1"/>
    <col min="11" max="11" width="15" style="1" customWidth="1"/>
    <col min="12" max="18" width="11.3828125" style="128" customWidth="1"/>
    <col min="19" max="21" width="11.3828125" style="1"/>
    <col min="22" max="22" width="11.3828125" style="1" customWidth="1"/>
    <col min="23" max="16384" width="11.3828125" style="1"/>
  </cols>
  <sheetData>
    <row r="1" spans="1:24">
      <c r="A1" s="10" t="s">
        <v>11</v>
      </c>
      <c r="B1" s="129" t="s">
        <v>0</v>
      </c>
      <c r="C1" s="129" t="s">
        <v>4</v>
      </c>
      <c r="D1" s="129" t="s">
        <v>1</v>
      </c>
      <c r="E1" s="129" t="s">
        <v>2</v>
      </c>
      <c r="F1" s="129" t="s">
        <v>3</v>
      </c>
      <c r="G1" s="129" t="s">
        <v>21</v>
      </c>
      <c r="J1" s="57" t="s">
        <v>145</v>
      </c>
      <c r="K1" s="10" t="s">
        <v>11</v>
      </c>
      <c r="L1" s="127" t="s">
        <v>0</v>
      </c>
      <c r="M1" s="127" t="s">
        <v>4</v>
      </c>
      <c r="N1" s="127" t="s">
        <v>1</v>
      </c>
      <c r="O1" s="127" t="s">
        <v>2</v>
      </c>
      <c r="P1" s="127" t="s">
        <v>3</v>
      </c>
      <c r="Q1" s="127" t="s">
        <v>21</v>
      </c>
      <c r="R1" s="145"/>
      <c r="W1" s="1" t="s">
        <v>32</v>
      </c>
      <c r="X1" s="1" t="s">
        <v>315</v>
      </c>
    </row>
    <row r="2" spans="1:24">
      <c r="A2" s="126">
        <f t="shared" ref="A2:A36" si="0">A3-7</f>
        <v>42475</v>
      </c>
      <c r="B2" s="129">
        <v>0.77777777999999997</v>
      </c>
      <c r="C2" s="129">
        <v>0.77777777999999997</v>
      </c>
      <c r="D2" s="129">
        <f>30/36</f>
        <v>0.83333333333333337</v>
      </c>
      <c r="E2" s="129">
        <v>0.75</v>
      </c>
      <c r="F2" s="129">
        <v>0.75</v>
      </c>
      <c r="G2" s="129">
        <v>0</v>
      </c>
      <c r="K2" s="86">
        <f t="shared" ref="K2:Q2" si="1">A2</f>
        <v>42475</v>
      </c>
      <c r="L2" s="128">
        <f t="shared" si="1"/>
        <v>0.77777777999999997</v>
      </c>
      <c r="M2" s="128">
        <f t="shared" si="1"/>
        <v>0.77777777999999997</v>
      </c>
      <c r="N2" s="128">
        <f t="shared" si="1"/>
        <v>0.83333333333333337</v>
      </c>
      <c r="O2" s="128">
        <f t="shared" si="1"/>
        <v>0.75</v>
      </c>
      <c r="P2" s="128">
        <f t="shared" si="1"/>
        <v>0.75</v>
      </c>
      <c r="Q2" s="128">
        <f t="shared" si="1"/>
        <v>0</v>
      </c>
      <c r="R2" s="128">
        <f>Q2-MAX(L2:P2)</f>
        <v>-0.83333333333333337</v>
      </c>
      <c r="U2" s="128">
        <f t="shared" ref="U2:U65" si="2">SUM(L2:Q2)</f>
        <v>3.8888888933333332</v>
      </c>
      <c r="W2" s="128">
        <f>Q2</f>
        <v>0</v>
      </c>
      <c r="X2" s="128">
        <f>M2+O2</f>
        <v>1.5277777800000001</v>
      </c>
    </row>
    <row r="3" spans="1:24">
      <c r="A3" s="126">
        <f t="shared" si="0"/>
        <v>42482</v>
      </c>
      <c r="B3" s="129">
        <f>B2</f>
        <v>0.77777777999999997</v>
      </c>
      <c r="C3" s="129">
        <f>C2</f>
        <v>0.77777777999999997</v>
      </c>
      <c r="D3" s="129">
        <f>D2</f>
        <v>0.83333333333333337</v>
      </c>
      <c r="E3" s="129">
        <f>E2</f>
        <v>0.75</v>
      </c>
      <c r="F3" s="129">
        <f>F2</f>
        <v>0.75</v>
      </c>
      <c r="G3" s="129">
        <v>0</v>
      </c>
      <c r="K3" s="86">
        <f t="shared" ref="K3:K66" si="3">A3</f>
        <v>42482</v>
      </c>
      <c r="L3" s="128">
        <f t="shared" ref="L3:L66" si="4">B3+L2</f>
        <v>1.5555555599999999</v>
      </c>
      <c r="M3" s="128">
        <f t="shared" ref="M3:M66" si="5">C3+M2</f>
        <v>1.5555555599999999</v>
      </c>
      <c r="N3" s="128">
        <f t="shared" ref="N3:N66" si="6">D3+N2</f>
        <v>1.6666666666666667</v>
      </c>
      <c r="O3" s="128">
        <f t="shared" ref="O3:O66" si="7">E3+O2</f>
        <v>1.5</v>
      </c>
      <c r="P3" s="128">
        <f t="shared" ref="P3:P66" si="8">F3+P2</f>
        <v>1.5</v>
      </c>
      <c r="Q3" s="128">
        <f t="shared" ref="Q3:Q66" si="9">G3+Q2</f>
        <v>0</v>
      </c>
      <c r="R3" s="128">
        <f t="shared" ref="R3:R66" si="10">Q3-MAX(L3:P3)</f>
        <v>-1.6666666666666667</v>
      </c>
      <c r="U3" s="128">
        <f t="shared" si="2"/>
        <v>7.7777777866666664</v>
      </c>
      <c r="W3" s="128">
        <f t="shared" ref="W3:W66" si="11">Q3</f>
        <v>0</v>
      </c>
      <c r="X3" s="128">
        <f t="shared" ref="X3:X66" si="12">M3+O3</f>
        <v>3.0555555600000002</v>
      </c>
    </row>
    <row r="4" spans="1:24">
      <c r="A4" s="126">
        <f t="shared" si="0"/>
        <v>42489</v>
      </c>
      <c r="B4" s="129">
        <f t="shared" ref="B4:B37" si="13">B3</f>
        <v>0.77777777999999997</v>
      </c>
      <c r="C4" s="129">
        <f t="shared" ref="C4:C37" si="14">C3</f>
        <v>0.77777777999999997</v>
      </c>
      <c r="D4" s="129">
        <f t="shared" ref="D4:D37" si="15">D3</f>
        <v>0.83333333333333337</v>
      </c>
      <c r="E4" s="129">
        <f t="shared" ref="E4:E37" si="16">E3</f>
        <v>0.75</v>
      </c>
      <c r="F4" s="129">
        <f t="shared" ref="F4:F37" si="17">F3</f>
        <v>0.75</v>
      </c>
      <c r="G4" s="129">
        <v>0</v>
      </c>
      <c r="K4" s="86">
        <f t="shared" si="3"/>
        <v>42489</v>
      </c>
      <c r="L4" s="128">
        <f t="shared" si="4"/>
        <v>2.3333333399999998</v>
      </c>
      <c r="M4" s="128">
        <f t="shared" si="5"/>
        <v>2.3333333399999998</v>
      </c>
      <c r="N4" s="128">
        <f t="shared" si="6"/>
        <v>2.5</v>
      </c>
      <c r="O4" s="128">
        <f t="shared" si="7"/>
        <v>2.25</v>
      </c>
      <c r="P4" s="128">
        <f t="shared" si="8"/>
        <v>2.25</v>
      </c>
      <c r="Q4" s="128">
        <f t="shared" si="9"/>
        <v>0</v>
      </c>
      <c r="R4" s="128">
        <f t="shared" si="10"/>
        <v>-2.5</v>
      </c>
      <c r="U4" s="128">
        <f t="shared" si="2"/>
        <v>11.666666679999999</v>
      </c>
      <c r="W4" s="128">
        <f t="shared" si="11"/>
        <v>0</v>
      </c>
      <c r="X4" s="128">
        <f t="shared" si="12"/>
        <v>4.5833333399999994</v>
      </c>
    </row>
    <row r="5" spans="1:24">
      <c r="A5" s="126">
        <f t="shared" si="0"/>
        <v>42496</v>
      </c>
      <c r="B5" s="129">
        <f t="shared" si="13"/>
        <v>0.77777777999999997</v>
      </c>
      <c r="C5" s="129">
        <f t="shared" si="14"/>
        <v>0.77777777999999997</v>
      </c>
      <c r="D5" s="129">
        <f t="shared" si="15"/>
        <v>0.83333333333333337</v>
      </c>
      <c r="E5" s="129">
        <f t="shared" si="16"/>
        <v>0.75</v>
      </c>
      <c r="F5" s="129">
        <f t="shared" si="17"/>
        <v>0.75</v>
      </c>
      <c r="G5" s="129">
        <v>0</v>
      </c>
      <c r="K5" s="86">
        <f t="shared" si="3"/>
        <v>42496</v>
      </c>
      <c r="L5" s="128">
        <f t="shared" si="4"/>
        <v>3.1111111199999999</v>
      </c>
      <c r="M5" s="128">
        <f t="shared" si="5"/>
        <v>3.1111111199999999</v>
      </c>
      <c r="N5" s="128">
        <f t="shared" si="6"/>
        <v>3.3333333333333335</v>
      </c>
      <c r="O5" s="128">
        <f t="shared" si="7"/>
        <v>3</v>
      </c>
      <c r="P5" s="128">
        <f t="shared" si="8"/>
        <v>3</v>
      </c>
      <c r="Q5" s="128">
        <f t="shared" si="9"/>
        <v>0</v>
      </c>
      <c r="R5" s="128">
        <f t="shared" si="10"/>
        <v>-3.3333333333333335</v>
      </c>
      <c r="U5" s="128">
        <f t="shared" si="2"/>
        <v>15.555555573333333</v>
      </c>
      <c r="W5" s="128">
        <f t="shared" si="11"/>
        <v>0</v>
      </c>
      <c r="X5" s="128">
        <f t="shared" si="12"/>
        <v>6.1111111200000003</v>
      </c>
    </row>
    <row r="6" spans="1:24">
      <c r="A6" s="126">
        <f t="shared" si="0"/>
        <v>42503</v>
      </c>
      <c r="B6" s="129">
        <f t="shared" si="13"/>
        <v>0.77777777999999997</v>
      </c>
      <c r="C6" s="129">
        <f t="shared" si="14"/>
        <v>0.77777777999999997</v>
      </c>
      <c r="D6" s="129">
        <f t="shared" si="15"/>
        <v>0.83333333333333337</v>
      </c>
      <c r="E6" s="129">
        <f t="shared" si="16"/>
        <v>0.75</v>
      </c>
      <c r="F6" s="129">
        <f t="shared" si="17"/>
        <v>0.75</v>
      </c>
      <c r="G6" s="129">
        <v>0</v>
      </c>
      <c r="K6" s="86">
        <f t="shared" si="3"/>
        <v>42503</v>
      </c>
      <c r="L6" s="128">
        <f t="shared" si="4"/>
        <v>3.8888889</v>
      </c>
      <c r="M6" s="128">
        <f t="shared" si="5"/>
        <v>3.8888889</v>
      </c>
      <c r="N6" s="128">
        <f t="shared" si="6"/>
        <v>4.166666666666667</v>
      </c>
      <c r="O6" s="128">
        <f t="shared" si="7"/>
        <v>3.75</v>
      </c>
      <c r="P6" s="128">
        <f t="shared" si="8"/>
        <v>3.75</v>
      </c>
      <c r="Q6" s="128">
        <f t="shared" si="9"/>
        <v>0</v>
      </c>
      <c r="R6" s="128">
        <f t="shared" si="10"/>
        <v>-4.166666666666667</v>
      </c>
      <c r="U6" s="128">
        <f t="shared" si="2"/>
        <v>19.444444466666667</v>
      </c>
      <c r="W6" s="128">
        <f t="shared" si="11"/>
        <v>0</v>
      </c>
      <c r="X6" s="128">
        <f t="shared" si="12"/>
        <v>7.6388888999999995</v>
      </c>
    </row>
    <row r="7" spans="1:24">
      <c r="A7" s="126">
        <f t="shared" si="0"/>
        <v>42510</v>
      </c>
      <c r="B7" s="129">
        <f t="shared" si="13"/>
        <v>0.77777777999999997</v>
      </c>
      <c r="C7" s="129">
        <f t="shared" si="14"/>
        <v>0.77777777999999997</v>
      </c>
      <c r="D7" s="129">
        <f t="shared" si="15"/>
        <v>0.83333333333333337</v>
      </c>
      <c r="E7" s="129">
        <f t="shared" si="16"/>
        <v>0.75</v>
      </c>
      <c r="F7" s="129">
        <f t="shared" si="17"/>
        <v>0.75</v>
      </c>
      <c r="G7" s="129">
        <v>0</v>
      </c>
      <c r="K7" s="86">
        <f t="shared" si="3"/>
        <v>42510</v>
      </c>
      <c r="L7" s="128">
        <f t="shared" si="4"/>
        <v>4.6666666799999996</v>
      </c>
      <c r="M7" s="128">
        <f t="shared" si="5"/>
        <v>4.6666666799999996</v>
      </c>
      <c r="N7" s="128">
        <f t="shared" si="6"/>
        <v>5</v>
      </c>
      <c r="O7" s="128">
        <f t="shared" si="7"/>
        <v>4.5</v>
      </c>
      <c r="P7" s="128">
        <f t="shared" si="8"/>
        <v>4.5</v>
      </c>
      <c r="Q7" s="128">
        <f t="shared" si="9"/>
        <v>0</v>
      </c>
      <c r="R7" s="128">
        <f t="shared" si="10"/>
        <v>-5</v>
      </c>
      <c r="U7" s="128">
        <f t="shared" si="2"/>
        <v>23.333333359999997</v>
      </c>
      <c r="W7" s="128">
        <f t="shared" si="11"/>
        <v>0</v>
      </c>
      <c r="X7" s="128">
        <f t="shared" si="12"/>
        <v>9.1666666799999987</v>
      </c>
    </row>
    <row r="8" spans="1:24">
      <c r="A8" s="126">
        <f t="shared" si="0"/>
        <v>42517</v>
      </c>
      <c r="B8" s="129">
        <f t="shared" si="13"/>
        <v>0.77777777999999997</v>
      </c>
      <c r="C8" s="129">
        <f t="shared" si="14"/>
        <v>0.77777777999999997</v>
      </c>
      <c r="D8" s="129">
        <f t="shared" si="15"/>
        <v>0.83333333333333337</v>
      </c>
      <c r="E8" s="129">
        <f t="shared" si="16"/>
        <v>0.75</v>
      </c>
      <c r="F8" s="129">
        <f t="shared" si="17"/>
        <v>0.75</v>
      </c>
      <c r="G8" s="129">
        <v>0</v>
      </c>
      <c r="K8" s="86">
        <f t="shared" si="3"/>
        <v>42517</v>
      </c>
      <c r="L8" s="128">
        <f t="shared" si="4"/>
        <v>5.4444444599999997</v>
      </c>
      <c r="M8" s="128">
        <f t="shared" si="5"/>
        <v>5.4444444599999997</v>
      </c>
      <c r="N8" s="128">
        <f t="shared" si="6"/>
        <v>5.833333333333333</v>
      </c>
      <c r="O8" s="128">
        <f t="shared" si="7"/>
        <v>5.25</v>
      </c>
      <c r="P8" s="128">
        <f t="shared" si="8"/>
        <v>5.25</v>
      </c>
      <c r="Q8" s="128">
        <f t="shared" si="9"/>
        <v>0</v>
      </c>
      <c r="R8" s="128">
        <f t="shared" si="10"/>
        <v>-5.833333333333333</v>
      </c>
      <c r="U8" s="128">
        <f t="shared" si="2"/>
        <v>27.222222253333332</v>
      </c>
      <c r="W8" s="128">
        <f t="shared" si="11"/>
        <v>0</v>
      </c>
      <c r="X8" s="128">
        <f t="shared" si="12"/>
        <v>10.69444446</v>
      </c>
    </row>
    <row r="9" spans="1:24">
      <c r="A9" s="126">
        <f t="shared" si="0"/>
        <v>42524</v>
      </c>
      <c r="B9" s="129">
        <f t="shared" si="13"/>
        <v>0.77777777999999997</v>
      </c>
      <c r="C9" s="129">
        <f t="shared" si="14"/>
        <v>0.77777777999999997</v>
      </c>
      <c r="D9" s="129">
        <f t="shared" si="15"/>
        <v>0.83333333333333337</v>
      </c>
      <c r="E9" s="129">
        <f t="shared" si="16"/>
        <v>0.75</v>
      </c>
      <c r="F9" s="129">
        <f t="shared" si="17"/>
        <v>0.75</v>
      </c>
      <c r="G9" s="129">
        <f>25/29</f>
        <v>0.86206896551724133</v>
      </c>
      <c r="K9" s="86">
        <f t="shared" si="3"/>
        <v>42524</v>
      </c>
      <c r="L9" s="128">
        <f t="shared" si="4"/>
        <v>6.2222222399999998</v>
      </c>
      <c r="M9" s="128">
        <f t="shared" si="5"/>
        <v>6.2222222399999998</v>
      </c>
      <c r="N9" s="128">
        <f t="shared" si="6"/>
        <v>6.6666666666666661</v>
      </c>
      <c r="O9" s="128">
        <f t="shared" si="7"/>
        <v>6</v>
      </c>
      <c r="P9" s="128">
        <f t="shared" si="8"/>
        <v>6</v>
      </c>
      <c r="Q9" s="128">
        <f t="shared" si="9"/>
        <v>0.86206896551724133</v>
      </c>
      <c r="R9" s="128">
        <f t="shared" si="10"/>
        <v>-5.804597701149425</v>
      </c>
      <c r="U9" s="128">
        <f t="shared" si="2"/>
        <v>31.973180112183908</v>
      </c>
      <c r="W9" s="128">
        <f t="shared" si="11"/>
        <v>0.86206896551724133</v>
      </c>
      <c r="X9" s="128">
        <f t="shared" si="12"/>
        <v>12.222222240000001</v>
      </c>
    </row>
    <row r="10" spans="1:24">
      <c r="A10" s="126">
        <f t="shared" si="0"/>
        <v>42531</v>
      </c>
      <c r="B10" s="129">
        <f t="shared" si="13"/>
        <v>0.77777777999999997</v>
      </c>
      <c r="C10" s="129">
        <f t="shared" si="14"/>
        <v>0.77777777999999997</v>
      </c>
      <c r="D10" s="129">
        <f t="shared" si="15"/>
        <v>0.83333333333333337</v>
      </c>
      <c r="E10" s="129">
        <f t="shared" si="16"/>
        <v>0.75</v>
      </c>
      <c r="F10" s="129">
        <f t="shared" si="17"/>
        <v>0.75</v>
      </c>
      <c r="G10" s="129">
        <f>G9</f>
        <v>0.86206896551724133</v>
      </c>
      <c r="K10" s="86">
        <f t="shared" si="3"/>
        <v>42531</v>
      </c>
      <c r="L10" s="128">
        <f t="shared" si="4"/>
        <v>7.0000000199999999</v>
      </c>
      <c r="M10" s="128">
        <f t="shared" si="5"/>
        <v>7.0000000199999999</v>
      </c>
      <c r="N10" s="128">
        <f t="shared" si="6"/>
        <v>7.4999999999999991</v>
      </c>
      <c r="O10" s="128">
        <f t="shared" si="7"/>
        <v>6.75</v>
      </c>
      <c r="P10" s="128">
        <f t="shared" si="8"/>
        <v>6.75</v>
      </c>
      <c r="Q10" s="128">
        <f t="shared" si="9"/>
        <v>1.7241379310344827</v>
      </c>
      <c r="R10" s="128">
        <f t="shared" si="10"/>
        <v>-5.775862068965516</v>
      </c>
      <c r="U10" s="128">
        <f t="shared" si="2"/>
        <v>36.724137971034487</v>
      </c>
      <c r="W10" s="128">
        <f t="shared" si="11"/>
        <v>1.7241379310344827</v>
      </c>
      <c r="X10" s="128">
        <f t="shared" si="12"/>
        <v>13.75000002</v>
      </c>
    </row>
    <row r="11" spans="1:24">
      <c r="A11" s="126">
        <f t="shared" si="0"/>
        <v>42538</v>
      </c>
      <c r="B11" s="129">
        <f t="shared" si="13"/>
        <v>0.77777777999999997</v>
      </c>
      <c r="C11" s="129">
        <f t="shared" si="14"/>
        <v>0.77777777999999997</v>
      </c>
      <c r="D11" s="129">
        <f t="shared" si="15"/>
        <v>0.83333333333333337</v>
      </c>
      <c r="E11" s="129">
        <f t="shared" si="16"/>
        <v>0.75</v>
      </c>
      <c r="F11" s="129">
        <f t="shared" si="17"/>
        <v>0.75</v>
      </c>
      <c r="G11" s="129">
        <f t="shared" ref="G11:G37" si="18">G10</f>
        <v>0.86206896551724133</v>
      </c>
      <c r="K11" s="86">
        <f t="shared" si="3"/>
        <v>42538</v>
      </c>
      <c r="L11" s="128">
        <f t="shared" si="4"/>
        <v>7.7777778</v>
      </c>
      <c r="M11" s="128">
        <f t="shared" si="5"/>
        <v>7.7777778</v>
      </c>
      <c r="N11" s="128">
        <f t="shared" si="6"/>
        <v>8.3333333333333321</v>
      </c>
      <c r="O11" s="128">
        <f t="shared" si="7"/>
        <v>7.5</v>
      </c>
      <c r="P11" s="128">
        <f t="shared" si="8"/>
        <v>7.5</v>
      </c>
      <c r="Q11" s="128">
        <f t="shared" si="9"/>
        <v>2.5862068965517242</v>
      </c>
      <c r="R11" s="128">
        <f t="shared" si="10"/>
        <v>-5.7471264367816079</v>
      </c>
      <c r="U11" s="128">
        <f t="shared" si="2"/>
        <v>41.475095829885056</v>
      </c>
      <c r="W11" s="128">
        <f t="shared" si="11"/>
        <v>2.5862068965517242</v>
      </c>
      <c r="X11" s="128">
        <f t="shared" si="12"/>
        <v>15.277777799999999</v>
      </c>
    </row>
    <row r="12" spans="1:24">
      <c r="A12" s="126">
        <f t="shared" si="0"/>
        <v>42545</v>
      </c>
      <c r="B12" s="129">
        <f t="shared" si="13"/>
        <v>0.77777777999999997</v>
      </c>
      <c r="C12" s="129">
        <f t="shared" si="14"/>
        <v>0.77777777999999997</v>
      </c>
      <c r="D12" s="129">
        <f t="shared" si="15"/>
        <v>0.83333333333333337</v>
      </c>
      <c r="E12" s="129">
        <f t="shared" si="16"/>
        <v>0.75</v>
      </c>
      <c r="F12" s="129">
        <f t="shared" si="17"/>
        <v>0.75</v>
      </c>
      <c r="G12" s="129">
        <f t="shared" si="18"/>
        <v>0.86206896551724133</v>
      </c>
      <c r="K12" s="86">
        <f t="shared" si="3"/>
        <v>42545</v>
      </c>
      <c r="L12" s="128">
        <f t="shared" si="4"/>
        <v>8.55555558</v>
      </c>
      <c r="M12" s="128">
        <f t="shared" si="5"/>
        <v>8.55555558</v>
      </c>
      <c r="N12" s="128">
        <f t="shared" si="6"/>
        <v>9.1666666666666661</v>
      </c>
      <c r="O12" s="128">
        <f t="shared" si="7"/>
        <v>8.25</v>
      </c>
      <c r="P12" s="128">
        <f t="shared" si="8"/>
        <v>8.25</v>
      </c>
      <c r="Q12" s="128">
        <f t="shared" si="9"/>
        <v>3.4482758620689653</v>
      </c>
      <c r="R12" s="128">
        <f t="shared" si="10"/>
        <v>-5.7183908045977008</v>
      </c>
      <c r="U12" s="128">
        <f t="shared" si="2"/>
        <v>46.226053688735632</v>
      </c>
      <c r="W12" s="128">
        <f t="shared" si="11"/>
        <v>3.4482758620689653</v>
      </c>
      <c r="X12" s="128">
        <f t="shared" si="12"/>
        <v>16.80555558</v>
      </c>
    </row>
    <row r="13" spans="1:24">
      <c r="A13" s="126">
        <f t="shared" si="0"/>
        <v>42552</v>
      </c>
      <c r="B13" s="129">
        <f t="shared" si="13"/>
        <v>0.77777777999999997</v>
      </c>
      <c r="C13" s="129">
        <f t="shared" si="14"/>
        <v>0.77777777999999997</v>
      </c>
      <c r="D13" s="129">
        <f t="shared" si="15"/>
        <v>0.83333333333333337</v>
      </c>
      <c r="E13" s="129">
        <f t="shared" si="16"/>
        <v>0.75</v>
      </c>
      <c r="F13" s="129">
        <f t="shared" si="17"/>
        <v>0.75</v>
      </c>
      <c r="G13" s="129">
        <f t="shared" si="18"/>
        <v>0.86206896551724133</v>
      </c>
      <c r="K13" s="86">
        <f t="shared" si="3"/>
        <v>42552</v>
      </c>
      <c r="L13" s="128">
        <f t="shared" si="4"/>
        <v>9.3333333599999992</v>
      </c>
      <c r="M13" s="128">
        <f t="shared" si="5"/>
        <v>9.3333333599999992</v>
      </c>
      <c r="N13" s="128">
        <f t="shared" si="6"/>
        <v>10</v>
      </c>
      <c r="O13" s="128">
        <f t="shared" si="7"/>
        <v>9</v>
      </c>
      <c r="P13" s="128">
        <f t="shared" si="8"/>
        <v>9</v>
      </c>
      <c r="Q13" s="128">
        <f t="shared" si="9"/>
        <v>4.3103448275862064</v>
      </c>
      <c r="R13" s="128">
        <f t="shared" si="10"/>
        <v>-5.6896551724137936</v>
      </c>
      <c r="U13" s="128">
        <f t="shared" si="2"/>
        <v>50.977011547586201</v>
      </c>
      <c r="W13" s="128">
        <f t="shared" si="11"/>
        <v>4.3103448275862064</v>
      </c>
      <c r="X13" s="128">
        <f t="shared" si="12"/>
        <v>18.333333359999997</v>
      </c>
    </row>
    <row r="14" spans="1:24">
      <c r="A14" s="126">
        <f t="shared" si="0"/>
        <v>42559</v>
      </c>
      <c r="B14" s="129">
        <f t="shared" si="13"/>
        <v>0.77777777999999997</v>
      </c>
      <c r="C14" s="129">
        <f t="shared" si="14"/>
        <v>0.77777777999999997</v>
      </c>
      <c r="D14" s="129">
        <f t="shared" si="15"/>
        <v>0.83333333333333337</v>
      </c>
      <c r="E14" s="129">
        <f t="shared" si="16"/>
        <v>0.75</v>
      </c>
      <c r="F14" s="129">
        <f t="shared" si="17"/>
        <v>0.75</v>
      </c>
      <c r="G14" s="129">
        <f t="shared" si="18"/>
        <v>0.86206896551724133</v>
      </c>
      <c r="K14" s="86">
        <f t="shared" si="3"/>
        <v>42559</v>
      </c>
      <c r="L14" s="128">
        <f t="shared" si="4"/>
        <v>10.111111139999998</v>
      </c>
      <c r="M14" s="128">
        <f t="shared" si="5"/>
        <v>10.111111139999998</v>
      </c>
      <c r="N14" s="128">
        <f t="shared" si="6"/>
        <v>10.833333333333334</v>
      </c>
      <c r="O14" s="128">
        <f t="shared" si="7"/>
        <v>9.75</v>
      </c>
      <c r="P14" s="128">
        <f t="shared" si="8"/>
        <v>9.75</v>
      </c>
      <c r="Q14" s="128">
        <f t="shared" si="9"/>
        <v>5.1724137931034475</v>
      </c>
      <c r="R14" s="128">
        <f t="shared" si="10"/>
        <v>-5.6609195402298864</v>
      </c>
      <c r="U14" s="128">
        <f t="shared" si="2"/>
        <v>55.727969406436777</v>
      </c>
      <c r="W14" s="128">
        <f t="shared" si="11"/>
        <v>5.1724137931034475</v>
      </c>
      <c r="X14" s="128">
        <f t="shared" si="12"/>
        <v>19.861111139999998</v>
      </c>
    </row>
    <row r="15" spans="1:24">
      <c r="A15" s="126">
        <f t="shared" si="0"/>
        <v>42566</v>
      </c>
      <c r="B15" s="129">
        <f t="shared" si="13"/>
        <v>0.77777777999999997</v>
      </c>
      <c r="C15" s="129">
        <f t="shared" si="14"/>
        <v>0.77777777999999997</v>
      </c>
      <c r="D15" s="129">
        <f t="shared" si="15"/>
        <v>0.83333333333333337</v>
      </c>
      <c r="E15" s="129">
        <f t="shared" si="16"/>
        <v>0.75</v>
      </c>
      <c r="F15" s="129">
        <f t="shared" si="17"/>
        <v>0.75</v>
      </c>
      <c r="G15" s="129">
        <f t="shared" si="18"/>
        <v>0.86206896551724133</v>
      </c>
      <c r="K15" s="86">
        <f t="shared" si="3"/>
        <v>42566</v>
      </c>
      <c r="L15" s="128">
        <f t="shared" si="4"/>
        <v>10.888888919999998</v>
      </c>
      <c r="M15" s="128">
        <f t="shared" si="5"/>
        <v>10.888888919999998</v>
      </c>
      <c r="N15" s="128">
        <f t="shared" si="6"/>
        <v>11.666666666666668</v>
      </c>
      <c r="O15" s="128">
        <f t="shared" si="7"/>
        <v>10.5</v>
      </c>
      <c r="P15" s="128">
        <f t="shared" si="8"/>
        <v>10.5</v>
      </c>
      <c r="Q15" s="128">
        <f t="shared" si="9"/>
        <v>6.0344827586206886</v>
      </c>
      <c r="R15" s="128">
        <f t="shared" si="10"/>
        <v>-5.6321839080459792</v>
      </c>
      <c r="U15" s="128">
        <f t="shared" si="2"/>
        <v>60.478927265287354</v>
      </c>
      <c r="W15" s="128">
        <f t="shared" si="11"/>
        <v>6.0344827586206886</v>
      </c>
      <c r="X15" s="128">
        <f t="shared" si="12"/>
        <v>21.388888919999999</v>
      </c>
    </row>
    <row r="16" spans="1:24">
      <c r="A16" s="126">
        <f t="shared" si="0"/>
        <v>42573</v>
      </c>
      <c r="B16" s="129">
        <f t="shared" si="13"/>
        <v>0.77777777999999997</v>
      </c>
      <c r="C16" s="129">
        <f t="shared" si="14"/>
        <v>0.77777777999999997</v>
      </c>
      <c r="D16" s="129">
        <f t="shared" si="15"/>
        <v>0.83333333333333337</v>
      </c>
      <c r="E16" s="129">
        <f t="shared" si="16"/>
        <v>0.75</v>
      </c>
      <c r="F16" s="129">
        <f t="shared" si="17"/>
        <v>0.75</v>
      </c>
      <c r="G16" s="129">
        <f t="shared" si="18"/>
        <v>0.86206896551724133</v>
      </c>
      <c r="K16" s="86">
        <f t="shared" si="3"/>
        <v>42573</v>
      </c>
      <c r="L16" s="128">
        <f t="shared" si="4"/>
        <v>11.666666699999997</v>
      </c>
      <c r="M16" s="128">
        <f t="shared" si="5"/>
        <v>11.666666699999997</v>
      </c>
      <c r="N16" s="128">
        <f t="shared" si="6"/>
        <v>12.500000000000002</v>
      </c>
      <c r="O16" s="128">
        <f t="shared" si="7"/>
        <v>11.25</v>
      </c>
      <c r="P16" s="128">
        <f t="shared" si="8"/>
        <v>11.25</v>
      </c>
      <c r="Q16" s="128">
        <f t="shared" si="9"/>
        <v>6.8965517241379297</v>
      </c>
      <c r="R16" s="128">
        <f t="shared" si="10"/>
        <v>-5.6034482758620721</v>
      </c>
      <c r="U16" s="128">
        <f t="shared" si="2"/>
        <v>65.229885124137923</v>
      </c>
      <c r="W16" s="128">
        <f t="shared" si="11"/>
        <v>6.8965517241379297</v>
      </c>
      <c r="X16" s="128">
        <f t="shared" si="12"/>
        <v>22.916666699999997</v>
      </c>
    </row>
    <row r="17" spans="1:24">
      <c r="A17" s="126">
        <f t="shared" si="0"/>
        <v>42580</v>
      </c>
      <c r="B17" s="129">
        <f t="shared" si="13"/>
        <v>0.77777777999999997</v>
      </c>
      <c r="C17" s="129">
        <f t="shared" si="14"/>
        <v>0.77777777999999997</v>
      </c>
      <c r="D17" s="129">
        <f t="shared" si="15"/>
        <v>0.83333333333333337</v>
      </c>
      <c r="E17" s="129">
        <f t="shared" si="16"/>
        <v>0.75</v>
      </c>
      <c r="F17" s="129">
        <f t="shared" si="17"/>
        <v>0.75</v>
      </c>
      <c r="G17" s="129">
        <f t="shared" si="18"/>
        <v>0.86206896551724133</v>
      </c>
      <c r="K17" s="86">
        <f t="shared" si="3"/>
        <v>42580</v>
      </c>
      <c r="L17" s="128">
        <f t="shared" si="4"/>
        <v>12.444444479999996</v>
      </c>
      <c r="M17" s="128">
        <f t="shared" si="5"/>
        <v>12.444444479999996</v>
      </c>
      <c r="N17" s="128">
        <f t="shared" si="6"/>
        <v>13.333333333333336</v>
      </c>
      <c r="O17" s="128">
        <f t="shared" si="7"/>
        <v>12</v>
      </c>
      <c r="P17" s="128">
        <f t="shared" si="8"/>
        <v>12</v>
      </c>
      <c r="Q17" s="128">
        <f t="shared" si="9"/>
        <v>7.7586206896551708</v>
      </c>
      <c r="R17" s="128">
        <f t="shared" si="10"/>
        <v>-5.5747126436781649</v>
      </c>
      <c r="U17" s="128">
        <f t="shared" si="2"/>
        <v>69.980842982988506</v>
      </c>
      <c r="W17" s="128">
        <f t="shared" si="11"/>
        <v>7.7586206896551708</v>
      </c>
      <c r="X17" s="128">
        <f t="shared" si="12"/>
        <v>24.444444479999994</v>
      </c>
    </row>
    <row r="18" spans="1:24">
      <c r="A18" s="126">
        <f t="shared" si="0"/>
        <v>42587</v>
      </c>
      <c r="B18" s="129">
        <f t="shared" si="13"/>
        <v>0.77777777999999997</v>
      </c>
      <c r="C18" s="129">
        <f t="shared" si="14"/>
        <v>0.77777777999999997</v>
      </c>
      <c r="D18" s="129">
        <f t="shared" si="15"/>
        <v>0.83333333333333337</v>
      </c>
      <c r="E18" s="129">
        <f t="shared" si="16"/>
        <v>0.75</v>
      </c>
      <c r="F18" s="129">
        <f t="shared" si="17"/>
        <v>0.75</v>
      </c>
      <c r="G18" s="129">
        <f t="shared" si="18"/>
        <v>0.86206896551724133</v>
      </c>
      <c r="K18" s="86">
        <f t="shared" si="3"/>
        <v>42587</v>
      </c>
      <c r="L18" s="128">
        <f t="shared" si="4"/>
        <v>13.222222259999995</v>
      </c>
      <c r="M18" s="128">
        <f t="shared" si="5"/>
        <v>13.222222259999995</v>
      </c>
      <c r="N18" s="128">
        <f t="shared" si="6"/>
        <v>14.16666666666667</v>
      </c>
      <c r="O18" s="128">
        <f t="shared" si="7"/>
        <v>12.75</v>
      </c>
      <c r="P18" s="128">
        <f t="shared" si="8"/>
        <v>12.75</v>
      </c>
      <c r="Q18" s="128">
        <f t="shared" si="9"/>
        <v>8.6206896551724128</v>
      </c>
      <c r="R18" s="128">
        <f t="shared" si="10"/>
        <v>-5.5459770114942568</v>
      </c>
      <c r="U18" s="128">
        <f t="shared" si="2"/>
        <v>74.731800841839075</v>
      </c>
      <c r="W18" s="128">
        <f t="shared" si="11"/>
        <v>8.6206896551724128</v>
      </c>
      <c r="X18" s="128">
        <f t="shared" si="12"/>
        <v>25.972222259999995</v>
      </c>
    </row>
    <row r="19" spans="1:24">
      <c r="A19" s="126">
        <f t="shared" si="0"/>
        <v>42594</v>
      </c>
      <c r="B19" s="129">
        <f t="shared" si="13"/>
        <v>0.77777777999999997</v>
      </c>
      <c r="C19" s="129">
        <f t="shared" si="14"/>
        <v>0.77777777999999997</v>
      </c>
      <c r="D19" s="129">
        <f t="shared" si="15"/>
        <v>0.83333333333333337</v>
      </c>
      <c r="E19" s="129">
        <f t="shared" si="16"/>
        <v>0.75</v>
      </c>
      <c r="F19" s="129">
        <f t="shared" si="17"/>
        <v>0.75</v>
      </c>
      <c r="G19" s="129">
        <f t="shared" si="18"/>
        <v>0.86206896551724133</v>
      </c>
      <c r="K19" s="86">
        <f t="shared" si="3"/>
        <v>42594</v>
      </c>
      <c r="L19" s="128">
        <f t="shared" si="4"/>
        <v>14.000000039999994</v>
      </c>
      <c r="M19" s="128">
        <f t="shared" si="5"/>
        <v>14.000000039999994</v>
      </c>
      <c r="N19" s="128">
        <f t="shared" si="6"/>
        <v>15.000000000000004</v>
      </c>
      <c r="O19" s="128">
        <f t="shared" si="7"/>
        <v>13.5</v>
      </c>
      <c r="P19" s="128">
        <f t="shared" si="8"/>
        <v>13.5</v>
      </c>
      <c r="Q19" s="128">
        <f t="shared" si="9"/>
        <v>9.4827586206896548</v>
      </c>
      <c r="R19" s="128">
        <f t="shared" si="10"/>
        <v>-5.5172413793103487</v>
      </c>
      <c r="U19" s="128">
        <f t="shared" si="2"/>
        <v>79.482758700689644</v>
      </c>
      <c r="W19" s="128">
        <f t="shared" si="11"/>
        <v>9.4827586206896548</v>
      </c>
      <c r="X19" s="128">
        <f t="shared" si="12"/>
        <v>27.500000039999996</v>
      </c>
    </row>
    <row r="20" spans="1:24">
      <c r="A20" s="126">
        <f t="shared" si="0"/>
        <v>42601</v>
      </c>
      <c r="B20" s="129">
        <f t="shared" si="13"/>
        <v>0.77777777999999997</v>
      </c>
      <c r="C20" s="129">
        <f t="shared" si="14"/>
        <v>0.77777777999999997</v>
      </c>
      <c r="D20" s="129">
        <f t="shared" si="15"/>
        <v>0.83333333333333337</v>
      </c>
      <c r="E20" s="129">
        <f t="shared" si="16"/>
        <v>0.75</v>
      </c>
      <c r="F20" s="129">
        <f t="shared" si="17"/>
        <v>0.75</v>
      </c>
      <c r="G20" s="129">
        <f t="shared" si="18"/>
        <v>0.86206896551724133</v>
      </c>
      <c r="K20" s="86">
        <f t="shared" si="3"/>
        <v>42601</v>
      </c>
      <c r="L20" s="128">
        <f t="shared" si="4"/>
        <v>14.777777819999994</v>
      </c>
      <c r="M20" s="128">
        <f t="shared" si="5"/>
        <v>14.777777819999994</v>
      </c>
      <c r="N20" s="128">
        <f t="shared" si="6"/>
        <v>15.833333333333337</v>
      </c>
      <c r="O20" s="128">
        <f t="shared" si="7"/>
        <v>14.25</v>
      </c>
      <c r="P20" s="128">
        <f t="shared" si="8"/>
        <v>14.25</v>
      </c>
      <c r="Q20" s="128">
        <f t="shared" si="9"/>
        <v>10.344827586206897</v>
      </c>
      <c r="R20" s="128">
        <f t="shared" si="10"/>
        <v>-5.4885057471264407</v>
      </c>
      <c r="U20" s="128">
        <f t="shared" si="2"/>
        <v>84.233716559540227</v>
      </c>
      <c r="W20" s="128">
        <f t="shared" si="11"/>
        <v>10.344827586206897</v>
      </c>
      <c r="X20" s="128">
        <f t="shared" si="12"/>
        <v>29.027777819999994</v>
      </c>
    </row>
    <row r="21" spans="1:24">
      <c r="A21" s="126">
        <f t="shared" si="0"/>
        <v>42608</v>
      </c>
      <c r="B21" s="129">
        <f t="shared" si="13"/>
        <v>0.77777777999999997</v>
      </c>
      <c r="C21" s="129">
        <f t="shared" si="14"/>
        <v>0.77777777999999997</v>
      </c>
      <c r="D21" s="129">
        <f t="shared" si="15"/>
        <v>0.83333333333333337</v>
      </c>
      <c r="E21" s="129">
        <f t="shared" si="16"/>
        <v>0.75</v>
      </c>
      <c r="F21" s="129">
        <f t="shared" si="17"/>
        <v>0.75</v>
      </c>
      <c r="G21" s="129">
        <f t="shared" si="18"/>
        <v>0.86206896551724133</v>
      </c>
      <c r="K21" s="86">
        <f t="shared" si="3"/>
        <v>42608</v>
      </c>
      <c r="L21" s="128">
        <f t="shared" si="4"/>
        <v>15.555555599999993</v>
      </c>
      <c r="M21" s="128">
        <f t="shared" si="5"/>
        <v>15.555555599999993</v>
      </c>
      <c r="N21" s="128">
        <f t="shared" si="6"/>
        <v>16.666666666666671</v>
      </c>
      <c r="O21" s="128">
        <f t="shared" si="7"/>
        <v>15</v>
      </c>
      <c r="P21" s="128">
        <f t="shared" si="8"/>
        <v>15</v>
      </c>
      <c r="Q21" s="128">
        <f t="shared" si="9"/>
        <v>11.206896551724139</v>
      </c>
      <c r="R21" s="128">
        <f t="shared" si="10"/>
        <v>-5.4597701149425326</v>
      </c>
      <c r="U21" s="128">
        <f t="shared" si="2"/>
        <v>88.984674418390796</v>
      </c>
      <c r="W21" s="128">
        <f t="shared" si="11"/>
        <v>11.206896551724139</v>
      </c>
      <c r="X21" s="128">
        <f t="shared" si="12"/>
        <v>30.555555599999991</v>
      </c>
    </row>
    <row r="22" spans="1:24">
      <c r="A22" s="126">
        <f t="shared" si="0"/>
        <v>42615</v>
      </c>
      <c r="B22" s="129">
        <f t="shared" si="13"/>
        <v>0.77777777999999997</v>
      </c>
      <c r="C22" s="129">
        <f t="shared" si="14"/>
        <v>0.77777777999999997</v>
      </c>
      <c r="D22" s="129">
        <f t="shared" si="15"/>
        <v>0.83333333333333337</v>
      </c>
      <c r="E22" s="129">
        <f t="shared" si="16"/>
        <v>0.75</v>
      </c>
      <c r="F22" s="129">
        <f t="shared" si="17"/>
        <v>0.75</v>
      </c>
      <c r="G22" s="129">
        <f t="shared" si="18"/>
        <v>0.86206896551724133</v>
      </c>
      <c r="K22" s="86">
        <f t="shared" si="3"/>
        <v>42615</v>
      </c>
      <c r="L22" s="128">
        <f t="shared" si="4"/>
        <v>16.333333379999992</v>
      </c>
      <c r="M22" s="128">
        <f t="shared" si="5"/>
        <v>16.333333379999992</v>
      </c>
      <c r="N22" s="128">
        <f t="shared" si="6"/>
        <v>17.500000000000004</v>
      </c>
      <c r="O22" s="128">
        <f t="shared" si="7"/>
        <v>15.75</v>
      </c>
      <c r="P22" s="128">
        <f t="shared" si="8"/>
        <v>15.75</v>
      </c>
      <c r="Q22" s="128">
        <f t="shared" si="9"/>
        <v>12.068965517241381</v>
      </c>
      <c r="R22" s="128">
        <f t="shared" si="10"/>
        <v>-5.4310344827586228</v>
      </c>
      <c r="U22" s="128">
        <f t="shared" si="2"/>
        <v>93.735632277241365</v>
      </c>
      <c r="W22" s="128">
        <f t="shared" si="11"/>
        <v>12.068965517241381</v>
      </c>
      <c r="X22" s="128">
        <f t="shared" si="12"/>
        <v>32.083333379999992</v>
      </c>
    </row>
    <row r="23" spans="1:24">
      <c r="A23" s="126">
        <f t="shared" si="0"/>
        <v>42622</v>
      </c>
      <c r="B23" s="129">
        <f t="shared" si="13"/>
        <v>0.77777777999999997</v>
      </c>
      <c r="C23" s="129">
        <f t="shared" si="14"/>
        <v>0.77777777999999997</v>
      </c>
      <c r="D23" s="129">
        <f t="shared" si="15"/>
        <v>0.83333333333333337</v>
      </c>
      <c r="E23" s="129">
        <f t="shared" si="16"/>
        <v>0.75</v>
      </c>
      <c r="F23" s="129">
        <f t="shared" si="17"/>
        <v>0.75</v>
      </c>
      <c r="G23" s="129">
        <f t="shared" si="18"/>
        <v>0.86206896551724133</v>
      </c>
      <c r="K23" s="86">
        <f t="shared" si="3"/>
        <v>42622</v>
      </c>
      <c r="L23" s="128">
        <f t="shared" si="4"/>
        <v>17.111111159999993</v>
      </c>
      <c r="M23" s="128">
        <f t="shared" si="5"/>
        <v>17.111111159999993</v>
      </c>
      <c r="N23" s="128">
        <f t="shared" si="6"/>
        <v>18.333333333333336</v>
      </c>
      <c r="O23" s="128">
        <f t="shared" si="7"/>
        <v>16.5</v>
      </c>
      <c r="P23" s="128">
        <f t="shared" si="8"/>
        <v>16.5</v>
      </c>
      <c r="Q23" s="128">
        <f t="shared" si="9"/>
        <v>12.931034482758623</v>
      </c>
      <c r="R23" s="128">
        <f t="shared" si="10"/>
        <v>-5.4022988505747129</v>
      </c>
      <c r="U23" s="128">
        <f t="shared" si="2"/>
        <v>98.486590136091948</v>
      </c>
      <c r="W23" s="128">
        <f t="shared" si="11"/>
        <v>12.931034482758623</v>
      </c>
      <c r="X23" s="128">
        <f t="shared" si="12"/>
        <v>33.611111159999993</v>
      </c>
    </row>
    <row r="24" spans="1:24">
      <c r="A24" s="126">
        <f t="shared" si="0"/>
        <v>42629</v>
      </c>
      <c r="B24" s="129">
        <f t="shared" si="13"/>
        <v>0.77777777999999997</v>
      </c>
      <c r="C24" s="129">
        <f t="shared" si="14"/>
        <v>0.77777777999999997</v>
      </c>
      <c r="D24" s="129">
        <f t="shared" si="15"/>
        <v>0.83333333333333337</v>
      </c>
      <c r="E24" s="129">
        <f t="shared" si="16"/>
        <v>0.75</v>
      </c>
      <c r="F24" s="129">
        <f t="shared" si="17"/>
        <v>0.75</v>
      </c>
      <c r="G24" s="129">
        <f t="shared" si="18"/>
        <v>0.86206896551724133</v>
      </c>
      <c r="K24" s="86">
        <f t="shared" si="3"/>
        <v>42629</v>
      </c>
      <c r="L24" s="128">
        <f t="shared" si="4"/>
        <v>17.888888939999994</v>
      </c>
      <c r="M24" s="128">
        <f t="shared" si="5"/>
        <v>17.888888939999994</v>
      </c>
      <c r="N24" s="128">
        <f t="shared" si="6"/>
        <v>19.166666666666668</v>
      </c>
      <c r="O24" s="128">
        <f t="shared" si="7"/>
        <v>17.25</v>
      </c>
      <c r="P24" s="128">
        <f t="shared" si="8"/>
        <v>17.25</v>
      </c>
      <c r="Q24" s="128">
        <f t="shared" si="9"/>
        <v>13.793103448275865</v>
      </c>
      <c r="R24" s="128">
        <f t="shared" si="10"/>
        <v>-5.3735632183908031</v>
      </c>
      <c r="U24" s="128">
        <f t="shared" si="2"/>
        <v>103.23754799494253</v>
      </c>
      <c r="W24" s="128">
        <f t="shared" si="11"/>
        <v>13.793103448275865</v>
      </c>
      <c r="X24" s="128">
        <f t="shared" si="12"/>
        <v>35.138888939999994</v>
      </c>
    </row>
    <row r="25" spans="1:24">
      <c r="A25" s="126">
        <f t="shared" si="0"/>
        <v>42636</v>
      </c>
      <c r="B25" s="129">
        <f t="shared" si="13"/>
        <v>0.77777777999999997</v>
      </c>
      <c r="C25" s="129">
        <f t="shared" si="14"/>
        <v>0.77777777999999997</v>
      </c>
      <c r="D25" s="129">
        <f t="shared" si="15"/>
        <v>0.83333333333333337</v>
      </c>
      <c r="E25" s="129">
        <f t="shared" si="16"/>
        <v>0.75</v>
      </c>
      <c r="F25" s="129">
        <f t="shared" si="17"/>
        <v>0.75</v>
      </c>
      <c r="G25" s="129">
        <f t="shared" si="18"/>
        <v>0.86206896551724133</v>
      </c>
      <c r="K25" s="86">
        <f t="shared" si="3"/>
        <v>42636</v>
      </c>
      <c r="L25" s="128">
        <f t="shared" si="4"/>
        <v>18.666666719999995</v>
      </c>
      <c r="M25" s="128">
        <f t="shared" si="5"/>
        <v>18.666666719999995</v>
      </c>
      <c r="N25" s="128">
        <f t="shared" si="6"/>
        <v>20</v>
      </c>
      <c r="O25" s="128">
        <f t="shared" si="7"/>
        <v>18</v>
      </c>
      <c r="P25" s="128">
        <f t="shared" si="8"/>
        <v>18</v>
      </c>
      <c r="Q25" s="128">
        <f t="shared" si="9"/>
        <v>14.655172413793107</v>
      </c>
      <c r="R25" s="128">
        <f t="shared" si="10"/>
        <v>-5.3448275862068932</v>
      </c>
      <c r="U25" s="128">
        <f t="shared" si="2"/>
        <v>107.9885058537931</v>
      </c>
      <c r="W25" s="128">
        <f t="shared" si="11"/>
        <v>14.655172413793107</v>
      </c>
      <c r="X25" s="128">
        <f t="shared" si="12"/>
        <v>36.666666719999995</v>
      </c>
    </row>
    <row r="26" spans="1:24">
      <c r="A26" s="126">
        <f t="shared" si="0"/>
        <v>42643</v>
      </c>
      <c r="B26" s="129">
        <f t="shared" si="13"/>
        <v>0.77777777999999997</v>
      </c>
      <c r="C26" s="129">
        <f t="shared" si="14"/>
        <v>0.77777777999999997</v>
      </c>
      <c r="D26" s="129">
        <f t="shared" si="15"/>
        <v>0.83333333333333337</v>
      </c>
      <c r="E26" s="129">
        <f t="shared" si="16"/>
        <v>0.75</v>
      </c>
      <c r="F26" s="129">
        <f t="shared" si="17"/>
        <v>0.75</v>
      </c>
      <c r="G26" s="129">
        <f t="shared" si="18"/>
        <v>0.86206896551724133</v>
      </c>
      <c r="K26" s="86">
        <f t="shared" si="3"/>
        <v>42643</v>
      </c>
      <c r="L26" s="128">
        <f t="shared" si="4"/>
        <v>19.444444499999996</v>
      </c>
      <c r="M26" s="128">
        <f t="shared" si="5"/>
        <v>19.444444499999996</v>
      </c>
      <c r="N26" s="128">
        <f t="shared" si="6"/>
        <v>20.833333333333332</v>
      </c>
      <c r="O26" s="128">
        <f t="shared" si="7"/>
        <v>18.75</v>
      </c>
      <c r="P26" s="128">
        <f t="shared" si="8"/>
        <v>18.75</v>
      </c>
      <c r="Q26" s="128">
        <f t="shared" si="9"/>
        <v>15.517241379310349</v>
      </c>
      <c r="R26" s="128">
        <f t="shared" si="10"/>
        <v>-5.3160919540229834</v>
      </c>
      <c r="U26" s="128">
        <f t="shared" si="2"/>
        <v>112.73946371264367</v>
      </c>
      <c r="W26" s="128">
        <f t="shared" si="11"/>
        <v>15.517241379310349</v>
      </c>
      <c r="X26" s="128">
        <f t="shared" si="12"/>
        <v>38.194444499999996</v>
      </c>
    </row>
    <row r="27" spans="1:24">
      <c r="A27" s="126">
        <f t="shared" si="0"/>
        <v>42650</v>
      </c>
      <c r="B27" s="129">
        <f t="shared" si="13"/>
        <v>0.77777777999999997</v>
      </c>
      <c r="C27" s="129">
        <f t="shared" si="14"/>
        <v>0.77777777999999997</v>
      </c>
      <c r="D27" s="129">
        <f t="shared" si="15"/>
        <v>0.83333333333333337</v>
      </c>
      <c r="E27" s="129">
        <f t="shared" si="16"/>
        <v>0.75</v>
      </c>
      <c r="F27" s="129">
        <f t="shared" si="17"/>
        <v>0.75</v>
      </c>
      <c r="G27" s="129">
        <f t="shared" si="18"/>
        <v>0.86206896551724133</v>
      </c>
      <c r="K27" s="86">
        <f t="shared" si="3"/>
        <v>42650</v>
      </c>
      <c r="L27" s="128">
        <f t="shared" si="4"/>
        <v>20.222222279999997</v>
      </c>
      <c r="M27" s="128">
        <f t="shared" si="5"/>
        <v>20.222222279999997</v>
      </c>
      <c r="N27" s="128">
        <f t="shared" si="6"/>
        <v>21.666666666666664</v>
      </c>
      <c r="O27" s="128">
        <f t="shared" si="7"/>
        <v>19.5</v>
      </c>
      <c r="P27" s="128">
        <f t="shared" si="8"/>
        <v>19.5</v>
      </c>
      <c r="Q27" s="128">
        <f t="shared" si="9"/>
        <v>16.379310344827591</v>
      </c>
      <c r="R27" s="128">
        <f t="shared" si="10"/>
        <v>-5.2873563218390736</v>
      </c>
      <c r="U27" s="128">
        <f t="shared" si="2"/>
        <v>117.49042157149424</v>
      </c>
      <c r="W27" s="128">
        <f t="shared" si="11"/>
        <v>16.379310344827591</v>
      </c>
      <c r="X27" s="128">
        <f t="shared" si="12"/>
        <v>39.722222279999997</v>
      </c>
    </row>
    <row r="28" spans="1:24">
      <c r="A28" s="126">
        <f t="shared" si="0"/>
        <v>42657</v>
      </c>
      <c r="B28" s="129">
        <f t="shared" si="13"/>
        <v>0.77777777999999997</v>
      </c>
      <c r="C28" s="129">
        <f t="shared" si="14"/>
        <v>0.77777777999999997</v>
      </c>
      <c r="D28" s="129">
        <f t="shared" si="15"/>
        <v>0.83333333333333337</v>
      </c>
      <c r="E28" s="129">
        <f t="shared" si="16"/>
        <v>0.75</v>
      </c>
      <c r="F28" s="129">
        <f t="shared" si="17"/>
        <v>0.75</v>
      </c>
      <c r="G28" s="129">
        <f t="shared" si="18"/>
        <v>0.86206896551724133</v>
      </c>
      <c r="K28" s="86">
        <f t="shared" si="3"/>
        <v>42657</v>
      </c>
      <c r="L28" s="128">
        <f t="shared" si="4"/>
        <v>21.000000059999998</v>
      </c>
      <c r="M28" s="128">
        <f t="shared" si="5"/>
        <v>21.000000059999998</v>
      </c>
      <c r="N28" s="128">
        <f t="shared" si="6"/>
        <v>22.499999999999996</v>
      </c>
      <c r="O28" s="128">
        <f t="shared" si="7"/>
        <v>20.25</v>
      </c>
      <c r="P28" s="128">
        <f t="shared" si="8"/>
        <v>20.25</v>
      </c>
      <c r="Q28" s="128">
        <f t="shared" si="9"/>
        <v>17.241379310344833</v>
      </c>
      <c r="R28" s="128">
        <f t="shared" si="10"/>
        <v>-5.2586206896551637</v>
      </c>
      <c r="U28" s="128">
        <f t="shared" si="2"/>
        <v>122.24137943034484</v>
      </c>
      <c r="W28" s="128">
        <f t="shared" si="11"/>
        <v>17.241379310344833</v>
      </c>
      <c r="X28" s="128">
        <f t="shared" si="12"/>
        <v>41.250000059999998</v>
      </c>
    </row>
    <row r="29" spans="1:24">
      <c r="A29" s="126">
        <f t="shared" si="0"/>
        <v>42664</v>
      </c>
      <c r="B29" s="129">
        <f t="shared" si="13"/>
        <v>0.77777777999999997</v>
      </c>
      <c r="C29" s="129">
        <f t="shared" si="14"/>
        <v>0.77777777999999997</v>
      </c>
      <c r="D29" s="129">
        <f t="shared" si="15"/>
        <v>0.83333333333333337</v>
      </c>
      <c r="E29" s="129">
        <f t="shared" si="16"/>
        <v>0.75</v>
      </c>
      <c r="F29" s="129">
        <f t="shared" si="17"/>
        <v>0.75</v>
      </c>
      <c r="G29" s="129">
        <f t="shared" si="18"/>
        <v>0.86206896551724133</v>
      </c>
      <c r="K29" s="86">
        <f t="shared" si="3"/>
        <v>42664</v>
      </c>
      <c r="L29" s="128">
        <f t="shared" si="4"/>
        <v>21.777777839999999</v>
      </c>
      <c r="M29" s="128">
        <f t="shared" si="5"/>
        <v>21.777777839999999</v>
      </c>
      <c r="N29" s="128">
        <f t="shared" si="6"/>
        <v>23.333333333333329</v>
      </c>
      <c r="O29" s="128">
        <f t="shared" si="7"/>
        <v>21</v>
      </c>
      <c r="P29" s="128">
        <f t="shared" si="8"/>
        <v>21</v>
      </c>
      <c r="Q29" s="128">
        <f t="shared" si="9"/>
        <v>18.103448275862075</v>
      </c>
      <c r="R29" s="128">
        <f t="shared" si="10"/>
        <v>-5.2298850574712539</v>
      </c>
      <c r="U29" s="128">
        <f t="shared" si="2"/>
        <v>126.9923372891954</v>
      </c>
      <c r="W29" s="128">
        <f t="shared" si="11"/>
        <v>18.103448275862075</v>
      </c>
      <c r="X29" s="128">
        <f t="shared" si="12"/>
        <v>42.777777839999999</v>
      </c>
    </row>
    <row r="30" spans="1:24">
      <c r="A30" s="126">
        <f t="shared" si="0"/>
        <v>42671</v>
      </c>
      <c r="B30" s="129">
        <f t="shared" si="13"/>
        <v>0.77777777999999997</v>
      </c>
      <c r="C30" s="129">
        <f t="shared" si="14"/>
        <v>0.77777777999999997</v>
      </c>
      <c r="D30" s="129">
        <f t="shared" si="15"/>
        <v>0.83333333333333337</v>
      </c>
      <c r="E30" s="129">
        <f t="shared" si="16"/>
        <v>0.75</v>
      </c>
      <c r="F30" s="129">
        <f t="shared" si="17"/>
        <v>0.75</v>
      </c>
      <c r="G30" s="129">
        <f t="shared" si="18"/>
        <v>0.86206896551724133</v>
      </c>
      <c r="K30" s="86">
        <f t="shared" si="3"/>
        <v>42671</v>
      </c>
      <c r="L30" s="128">
        <f t="shared" si="4"/>
        <v>22.55555562</v>
      </c>
      <c r="M30" s="128">
        <f t="shared" si="5"/>
        <v>22.55555562</v>
      </c>
      <c r="N30" s="128">
        <f t="shared" si="6"/>
        <v>24.166666666666661</v>
      </c>
      <c r="O30" s="128">
        <f t="shared" si="7"/>
        <v>21.75</v>
      </c>
      <c r="P30" s="128">
        <f t="shared" si="8"/>
        <v>21.75</v>
      </c>
      <c r="Q30" s="128">
        <f t="shared" si="9"/>
        <v>18.965517241379317</v>
      </c>
      <c r="R30" s="128">
        <f t="shared" si="10"/>
        <v>-5.201149425287344</v>
      </c>
      <c r="U30" s="128">
        <f t="shared" si="2"/>
        <v>131.74329514804597</v>
      </c>
      <c r="W30" s="128">
        <f t="shared" si="11"/>
        <v>18.965517241379317</v>
      </c>
      <c r="X30" s="128">
        <f t="shared" si="12"/>
        <v>44.30555562</v>
      </c>
    </row>
    <row r="31" spans="1:24">
      <c r="A31" s="126">
        <f t="shared" si="0"/>
        <v>42678</v>
      </c>
      <c r="B31" s="129">
        <f t="shared" si="13"/>
        <v>0.77777777999999997</v>
      </c>
      <c r="C31" s="129">
        <f t="shared" si="14"/>
        <v>0.77777777999999997</v>
      </c>
      <c r="D31" s="129">
        <f t="shared" si="15"/>
        <v>0.83333333333333337</v>
      </c>
      <c r="E31" s="129">
        <f t="shared" si="16"/>
        <v>0.75</v>
      </c>
      <c r="F31" s="129">
        <f t="shared" si="17"/>
        <v>0.75</v>
      </c>
      <c r="G31" s="129">
        <f t="shared" si="18"/>
        <v>0.86206896551724133</v>
      </c>
      <c r="K31" s="86">
        <f t="shared" si="3"/>
        <v>42678</v>
      </c>
      <c r="L31" s="128">
        <f t="shared" si="4"/>
        <v>23.333333400000001</v>
      </c>
      <c r="M31" s="128">
        <f t="shared" si="5"/>
        <v>23.333333400000001</v>
      </c>
      <c r="N31" s="128">
        <f t="shared" si="6"/>
        <v>24.999999999999993</v>
      </c>
      <c r="O31" s="128">
        <f t="shared" si="7"/>
        <v>22.5</v>
      </c>
      <c r="P31" s="128">
        <f t="shared" si="8"/>
        <v>22.5</v>
      </c>
      <c r="Q31" s="128">
        <f t="shared" si="9"/>
        <v>19.827586206896559</v>
      </c>
      <c r="R31" s="128">
        <f t="shared" si="10"/>
        <v>-5.1724137931034342</v>
      </c>
      <c r="U31" s="128">
        <f t="shared" si="2"/>
        <v>136.49425300689657</v>
      </c>
      <c r="W31" s="128">
        <f t="shared" si="11"/>
        <v>19.827586206896559</v>
      </c>
      <c r="X31" s="128">
        <f t="shared" si="12"/>
        <v>45.833333400000001</v>
      </c>
    </row>
    <row r="32" spans="1:24">
      <c r="A32" s="126">
        <f t="shared" si="0"/>
        <v>42685</v>
      </c>
      <c r="B32" s="129">
        <f t="shared" si="13"/>
        <v>0.77777777999999997</v>
      </c>
      <c r="C32" s="129">
        <f t="shared" si="14"/>
        <v>0.77777777999999997</v>
      </c>
      <c r="D32" s="129">
        <f t="shared" si="15"/>
        <v>0.83333333333333337</v>
      </c>
      <c r="E32" s="129">
        <f t="shared" si="16"/>
        <v>0.75</v>
      </c>
      <c r="F32" s="129">
        <f t="shared" si="17"/>
        <v>0.75</v>
      </c>
      <c r="G32" s="129">
        <f t="shared" si="18"/>
        <v>0.86206896551724133</v>
      </c>
      <c r="K32" s="86">
        <f t="shared" si="3"/>
        <v>42685</v>
      </c>
      <c r="L32" s="128">
        <f t="shared" si="4"/>
        <v>24.111111180000002</v>
      </c>
      <c r="M32" s="128">
        <f t="shared" si="5"/>
        <v>24.111111180000002</v>
      </c>
      <c r="N32" s="128">
        <f t="shared" si="6"/>
        <v>25.833333333333325</v>
      </c>
      <c r="O32" s="128">
        <f t="shared" si="7"/>
        <v>23.25</v>
      </c>
      <c r="P32" s="128">
        <f t="shared" si="8"/>
        <v>23.25</v>
      </c>
      <c r="Q32" s="128">
        <f t="shared" si="9"/>
        <v>20.689655172413801</v>
      </c>
      <c r="R32" s="128">
        <f t="shared" si="10"/>
        <v>-5.1436781609195243</v>
      </c>
      <c r="U32" s="128">
        <f t="shared" si="2"/>
        <v>141.24521086574714</v>
      </c>
      <c r="W32" s="128">
        <f t="shared" si="11"/>
        <v>20.689655172413801</v>
      </c>
      <c r="X32" s="128">
        <f t="shared" si="12"/>
        <v>47.361111180000002</v>
      </c>
    </row>
    <row r="33" spans="1:24">
      <c r="A33" s="126">
        <f t="shared" si="0"/>
        <v>42692</v>
      </c>
      <c r="B33" s="129">
        <f t="shared" si="13"/>
        <v>0.77777777999999997</v>
      </c>
      <c r="C33" s="129">
        <f t="shared" si="14"/>
        <v>0.77777777999999997</v>
      </c>
      <c r="D33" s="129">
        <f t="shared" si="15"/>
        <v>0.83333333333333337</v>
      </c>
      <c r="E33" s="129">
        <f t="shared" si="16"/>
        <v>0.75</v>
      </c>
      <c r="F33" s="129">
        <f t="shared" si="17"/>
        <v>0.75</v>
      </c>
      <c r="G33" s="129">
        <f t="shared" si="18"/>
        <v>0.86206896551724133</v>
      </c>
      <c r="K33" s="86">
        <f t="shared" si="3"/>
        <v>42692</v>
      </c>
      <c r="L33" s="128">
        <f t="shared" si="4"/>
        <v>24.888888960000003</v>
      </c>
      <c r="M33" s="128">
        <f t="shared" si="5"/>
        <v>24.888888960000003</v>
      </c>
      <c r="N33" s="128">
        <f t="shared" si="6"/>
        <v>26.666666666666657</v>
      </c>
      <c r="O33" s="128">
        <f t="shared" si="7"/>
        <v>24</v>
      </c>
      <c r="P33" s="128">
        <f t="shared" si="8"/>
        <v>24</v>
      </c>
      <c r="Q33" s="128">
        <f t="shared" si="9"/>
        <v>21.551724137931043</v>
      </c>
      <c r="R33" s="128">
        <f t="shared" si="10"/>
        <v>-5.1149425287356145</v>
      </c>
      <c r="U33" s="128">
        <f t="shared" si="2"/>
        <v>145.99616872459771</v>
      </c>
      <c r="W33" s="128">
        <f t="shared" si="11"/>
        <v>21.551724137931043</v>
      </c>
      <c r="X33" s="128">
        <f t="shared" si="12"/>
        <v>48.888888960000003</v>
      </c>
    </row>
    <row r="34" spans="1:24">
      <c r="A34" s="126">
        <f t="shared" si="0"/>
        <v>42699</v>
      </c>
      <c r="B34" s="129">
        <f t="shared" si="13"/>
        <v>0.77777777999999997</v>
      </c>
      <c r="C34" s="129">
        <f t="shared" si="14"/>
        <v>0.77777777999999997</v>
      </c>
      <c r="D34" s="129">
        <f t="shared" si="15"/>
        <v>0.83333333333333337</v>
      </c>
      <c r="E34" s="129">
        <f t="shared" si="16"/>
        <v>0.75</v>
      </c>
      <c r="F34" s="129">
        <f t="shared" si="17"/>
        <v>0.75</v>
      </c>
      <c r="G34" s="129">
        <f t="shared" si="18"/>
        <v>0.86206896551724133</v>
      </c>
      <c r="K34" s="86">
        <f t="shared" si="3"/>
        <v>42699</v>
      </c>
      <c r="L34" s="128">
        <f t="shared" si="4"/>
        <v>25.666666740000004</v>
      </c>
      <c r="M34" s="128">
        <f t="shared" si="5"/>
        <v>25.666666740000004</v>
      </c>
      <c r="N34" s="128">
        <f t="shared" si="6"/>
        <v>27.499999999999989</v>
      </c>
      <c r="O34" s="128">
        <f t="shared" si="7"/>
        <v>24.75</v>
      </c>
      <c r="P34" s="128">
        <f t="shared" si="8"/>
        <v>24.75</v>
      </c>
      <c r="Q34" s="128">
        <f t="shared" si="9"/>
        <v>22.413793103448285</v>
      </c>
      <c r="R34" s="128">
        <f t="shared" si="10"/>
        <v>-5.0862068965517047</v>
      </c>
      <c r="U34" s="128">
        <f t="shared" si="2"/>
        <v>150.74712658344828</v>
      </c>
      <c r="W34" s="128">
        <f t="shared" si="11"/>
        <v>22.413793103448285</v>
      </c>
      <c r="X34" s="128">
        <f t="shared" si="12"/>
        <v>50.416666740000004</v>
      </c>
    </row>
    <row r="35" spans="1:24">
      <c r="A35" s="126">
        <f t="shared" si="0"/>
        <v>42706</v>
      </c>
      <c r="B35" s="129">
        <f t="shared" si="13"/>
        <v>0.77777777999999997</v>
      </c>
      <c r="C35" s="129">
        <f t="shared" si="14"/>
        <v>0.77777777999999997</v>
      </c>
      <c r="D35" s="129">
        <f t="shared" si="15"/>
        <v>0.83333333333333337</v>
      </c>
      <c r="E35" s="129">
        <f t="shared" si="16"/>
        <v>0.75</v>
      </c>
      <c r="F35" s="129">
        <f t="shared" si="17"/>
        <v>0.75</v>
      </c>
      <c r="G35" s="129">
        <f t="shared" si="18"/>
        <v>0.86206896551724133</v>
      </c>
      <c r="K35" s="86">
        <f t="shared" si="3"/>
        <v>42706</v>
      </c>
      <c r="L35" s="128">
        <f t="shared" si="4"/>
        <v>26.444444520000005</v>
      </c>
      <c r="M35" s="128">
        <f t="shared" si="5"/>
        <v>26.444444520000005</v>
      </c>
      <c r="N35" s="128">
        <f t="shared" si="6"/>
        <v>28.333333333333321</v>
      </c>
      <c r="O35" s="128">
        <f t="shared" si="7"/>
        <v>25.5</v>
      </c>
      <c r="P35" s="128">
        <f t="shared" si="8"/>
        <v>25.5</v>
      </c>
      <c r="Q35" s="128">
        <f t="shared" si="9"/>
        <v>23.275862068965527</v>
      </c>
      <c r="R35" s="128">
        <f t="shared" si="10"/>
        <v>-5.0574712643677948</v>
      </c>
      <c r="U35" s="128">
        <f t="shared" si="2"/>
        <v>155.49808444229885</v>
      </c>
      <c r="W35" s="128">
        <f t="shared" si="11"/>
        <v>23.275862068965527</v>
      </c>
      <c r="X35" s="128">
        <f t="shared" si="12"/>
        <v>51.944444520000005</v>
      </c>
    </row>
    <row r="36" spans="1:24">
      <c r="A36" s="126">
        <f t="shared" si="0"/>
        <v>42713</v>
      </c>
      <c r="B36" s="129">
        <f t="shared" si="13"/>
        <v>0.77777777999999997</v>
      </c>
      <c r="C36" s="129">
        <f t="shared" si="14"/>
        <v>0.77777777999999997</v>
      </c>
      <c r="D36" s="129">
        <f t="shared" si="15"/>
        <v>0.83333333333333337</v>
      </c>
      <c r="E36" s="129">
        <f t="shared" si="16"/>
        <v>0.75</v>
      </c>
      <c r="F36" s="129">
        <f t="shared" si="17"/>
        <v>0.75</v>
      </c>
      <c r="G36" s="129">
        <f t="shared" si="18"/>
        <v>0.86206896551724133</v>
      </c>
      <c r="K36" s="86">
        <f t="shared" si="3"/>
        <v>42713</v>
      </c>
      <c r="L36" s="128">
        <f t="shared" si="4"/>
        <v>27.222222300000006</v>
      </c>
      <c r="M36" s="128">
        <f t="shared" si="5"/>
        <v>27.222222300000006</v>
      </c>
      <c r="N36" s="128">
        <f t="shared" si="6"/>
        <v>29.166666666666654</v>
      </c>
      <c r="O36" s="128">
        <f t="shared" si="7"/>
        <v>26.25</v>
      </c>
      <c r="P36" s="128">
        <f t="shared" si="8"/>
        <v>26.25</v>
      </c>
      <c r="Q36" s="128">
        <f t="shared" si="9"/>
        <v>24.137931034482769</v>
      </c>
      <c r="R36" s="128">
        <f t="shared" si="10"/>
        <v>-5.028735632183885</v>
      </c>
      <c r="U36" s="128">
        <f t="shared" si="2"/>
        <v>160.24904230114944</v>
      </c>
      <c r="W36" s="128">
        <f t="shared" si="11"/>
        <v>24.137931034482769</v>
      </c>
      <c r="X36" s="128">
        <f t="shared" si="12"/>
        <v>53.472222300000006</v>
      </c>
    </row>
    <row r="37" spans="1:24">
      <c r="A37" s="126">
        <f>A38-7</f>
        <v>42720</v>
      </c>
      <c r="B37" s="129">
        <f t="shared" si="13"/>
        <v>0.77777777999999997</v>
      </c>
      <c r="C37" s="129">
        <f t="shared" si="14"/>
        <v>0.77777777999999997</v>
      </c>
      <c r="D37" s="129">
        <f t="shared" si="15"/>
        <v>0.83333333333333337</v>
      </c>
      <c r="E37" s="129">
        <f t="shared" si="16"/>
        <v>0.75</v>
      </c>
      <c r="F37" s="129">
        <f t="shared" si="17"/>
        <v>0.75</v>
      </c>
      <c r="G37" s="129">
        <f t="shared" si="18"/>
        <v>0.86206896551724133</v>
      </c>
      <c r="K37" s="86">
        <f t="shared" si="3"/>
        <v>42720</v>
      </c>
      <c r="L37" s="128">
        <f t="shared" si="4"/>
        <v>28.000000080000007</v>
      </c>
      <c r="M37" s="128">
        <f t="shared" si="5"/>
        <v>28.000000080000007</v>
      </c>
      <c r="N37" s="128">
        <f t="shared" si="6"/>
        <v>29.999999999999986</v>
      </c>
      <c r="O37" s="128">
        <f t="shared" si="7"/>
        <v>27</v>
      </c>
      <c r="P37" s="128">
        <f t="shared" si="8"/>
        <v>27</v>
      </c>
      <c r="Q37" s="128">
        <f t="shared" si="9"/>
        <v>25.000000000000011</v>
      </c>
      <c r="R37" s="128">
        <f t="shared" si="10"/>
        <v>-4.9999999999999751</v>
      </c>
      <c r="U37" s="128">
        <f t="shared" si="2"/>
        <v>165.00000016000001</v>
      </c>
      <c r="W37" s="128">
        <f t="shared" si="11"/>
        <v>25.000000000000011</v>
      </c>
      <c r="X37" s="128">
        <f t="shared" si="12"/>
        <v>55.000000080000007</v>
      </c>
    </row>
    <row r="38" spans="1:24">
      <c r="A38" s="22">
        <v>42727</v>
      </c>
      <c r="B38" s="130">
        <v>1</v>
      </c>
      <c r="C38" s="130">
        <v>1</v>
      </c>
      <c r="D38" s="130">
        <v>1</v>
      </c>
      <c r="E38" s="130">
        <v>1</v>
      </c>
      <c r="F38" s="130">
        <v>1</v>
      </c>
      <c r="G38" s="130">
        <v>1</v>
      </c>
      <c r="K38" s="86">
        <f t="shared" si="3"/>
        <v>42727</v>
      </c>
      <c r="L38" s="128">
        <f t="shared" si="4"/>
        <v>29.000000080000007</v>
      </c>
      <c r="M38" s="128">
        <f t="shared" si="5"/>
        <v>29.000000080000007</v>
      </c>
      <c r="N38" s="128">
        <f t="shared" si="6"/>
        <v>30.999999999999986</v>
      </c>
      <c r="O38" s="128">
        <f t="shared" si="7"/>
        <v>28</v>
      </c>
      <c r="P38" s="128">
        <f t="shared" si="8"/>
        <v>28</v>
      </c>
      <c r="Q38" s="128">
        <f t="shared" si="9"/>
        <v>26.000000000000011</v>
      </c>
      <c r="R38" s="128">
        <f t="shared" si="10"/>
        <v>-4.9999999999999751</v>
      </c>
      <c r="T38" s="128">
        <f>L38-N38</f>
        <v>-1.9999999199999792</v>
      </c>
      <c r="U38" s="128">
        <f t="shared" si="2"/>
        <v>171.00000016000001</v>
      </c>
      <c r="W38" s="128">
        <f t="shared" si="11"/>
        <v>26.000000000000011</v>
      </c>
      <c r="X38" s="128">
        <f t="shared" si="12"/>
        <v>57.000000080000007</v>
      </c>
    </row>
    <row r="39" spans="1:24">
      <c r="A39" s="22">
        <v>42734</v>
      </c>
      <c r="B39" s="130">
        <v>1</v>
      </c>
      <c r="C39" s="130">
        <v>0</v>
      </c>
      <c r="D39" s="130">
        <v>1</v>
      </c>
      <c r="E39" s="130">
        <v>1</v>
      </c>
      <c r="F39" s="130">
        <v>1</v>
      </c>
      <c r="G39" s="130">
        <v>0</v>
      </c>
      <c r="K39" s="86">
        <f t="shared" si="3"/>
        <v>42734</v>
      </c>
      <c r="L39" s="128">
        <f t="shared" si="4"/>
        <v>30.000000080000007</v>
      </c>
      <c r="M39" s="128">
        <f t="shared" si="5"/>
        <v>29.000000080000007</v>
      </c>
      <c r="N39" s="128">
        <f t="shared" si="6"/>
        <v>31.999999999999986</v>
      </c>
      <c r="O39" s="128">
        <f t="shared" si="7"/>
        <v>29</v>
      </c>
      <c r="P39" s="128">
        <f t="shared" si="8"/>
        <v>29</v>
      </c>
      <c r="Q39" s="128">
        <f t="shared" si="9"/>
        <v>26.000000000000011</v>
      </c>
      <c r="R39" s="128">
        <f t="shared" si="10"/>
        <v>-5.9999999999999751</v>
      </c>
      <c r="T39" s="128">
        <f t="shared" ref="T39:T102" si="19">L39-N39</f>
        <v>-1.9999999199999792</v>
      </c>
      <c r="U39" s="128">
        <f t="shared" si="2"/>
        <v>175.00000016000001</v>
      </c>
      <c r="W39" s="128">
        <f t="shared" si="11"/>
        <v>26.000000000000011</v>
      </c>
      <c r="X39" s="128">
        <f t="shared" si="12"/>
        <v>58.000000080000007</v>
      </c>
    </row>
    <row r="40" spans="1:24">
      <c r="A40" s="22">
        <v>42741</v>
      </c>
      <c r="B40" s="130">
        <v>1</v>
      </c>
      <c r="C40" s="130">
        <v>1</v>
      </c>
      <c r="D40" s="130">
        <v>1</v>
      </c>
      <c r="E40" s="130">
        <v>1</v>
      </c>
      <c r="F40" s="130">
        <v>1</v>
      </c>
      <c r="G40" s="130">
        <v>1</v>
      </c>
      <c r="K40" s="86">
        <f t="shared" si="3"/>
        <v>42741</v>
      </c>
      <c r="L40" s="128">
        <f t="shared" si="4"/>
        <v>31.000000080000007</v>
      </c>
      <c r="M40" s="128">
        <f t="shared" si="5"/>
        <v>30.000000080000007</v>
      </c>
      <c r="N40" s="128">
        <f t="shared" si="6"/>
        <v>32.999999999999986</v>
      </c>
      <c r="O40" s="128">
        <f t="shared" si="7"/>
        <v>30</v>
      </c>
      <c r="P40" s="128">
        <f t="shared" si="8"/>
        <v>30</v>
      </c>
      <c r="Q40" s="128">
        <f t="shared" si="9"/>
        <v>27.000000000000011</v>
      </c>
      <c r="R40" s="128">
        <f t="shared" si="10"/>
        <v>-5.9999999999999751</v>
      </c>
      <c r="T40" s="128">
        <f t="shared" si="19"/>
        <v>-1.9999999199999792</v>
      </c>
      <c r="U40" s="128">
        <f t="shared" si="2"/>
        <v>181.00000016000001</v>
      </c>
      <c r="W40" s="128">
        <f t="shared" si="11"/>
        <v>27.000000000000011</v>
      </c>
      <c r="X40" s="128">
        <f t="shared" si="12"/>
        <v>60.000000080000007</v>
      </c>
    </row>
    <row r="41" spans="1:24">
      <c r="A41" s="22">
        <v>42748</v>
      </c>
      <c r="B41" s="130">
        <v>0</v>
      </c>
      <c r="C41" s="130">
        <v>1</v>
      </c>
      <c r="D41" s="130">
        <v>1</v>
      </c>
      <c r="E41" s="130">
        <v>1</v>
      </c>
      <c r="F41" s="130">
        <v>1</v>
      </c>
      <c r="G41" s="130">
        <v>1</v>
      </c>
      <c r="K41" s="86">
        <f t="shared" si="3"/>
        <v>42748</v>
      </c>
      <c r="L41" s="128">
        <f t="shared" si="4"/>
        <v>31.000000080000007</v>
      </c>
      <c r="M41" s="128">
        <f t="shared" si="5"/>
        <v>31.000000080000007</v>
      </c>
      <c r="N41" s="128">
        <f t="shared" si="6"/>
        <v>33.999999999999986</v>
      </c>
      <c r="O41" s="128">
        <f t="shared" si="7"/>
        <v>31</v>
      </c>
      <c r="P41" s="128">
        <f t="shared" si="8"/>
        <v>31</v>
      </c>
      <c r="Q41" s="128">
        <f t="shared" si="9"/>
        <v>28.000000000000011</v>
      </c>
      <c r="R41" s="128">
        <f t="shared" si="10"/>
        <v>-5.9999999999999751</v>
      </c>
      <c r="T41" s="128">
        <f t="shared" si="19"/>
        <v>-2.9999999199999792</v>
      </c>
      <c r="U41" s="128">
        <f t="shared" si="2"/>
        <v>186.00000016000001</v>
      </c>
      <c r="W41" s="128">
        <f t="shared" si="11"/>
        <v>28.000000000000011</v>
      </c>
      <c r="X41" s="128">
        <f t="shared" si="12"/>
        <v>62.000000080000007</v>
      </c>
    </row>
    <row r="42" spans="1:24">
      <c r="A42" s="22">
        <v>42755</v>
      </c>
      <c r="B42" s="130">
        <v>1</v>
      </c>
      <c r="C42" s="130">
        <v>1</v>
      </c>
      <c r="D42" s="130">
        <v>1</v>
      </c>
      <c r="E42" s="130">
        <v>0</v>
      </c>
      <c r="F42" s="130">
        <v>1</v>
      </c>
      <c r="G42" s="130">
        <v>0</v>
      </c>
      <c r="K42" s="86">
        <f t="shared" si="3"/>
        <v>42755</v>
      </c>
      <c r="L42" s="128">
        <f t="shared" si="4"/>
        <v>32.000000080000007</v>
      </c>
      <c r="M42" s="128">
        <f t="shared" si="5"/>
        <v>32.000000080000007</v>
      </c>
      <c r="N42" s="128">
        <f t="shared" si="6"/>
        <v>34.999999999999986</v>
      </c>
      <c r="O42" s="128">
        <f t="shared" si="7"/>
        <v>31</v>
      </c>
      <c r="P42" s="128">
        <f t="shared" si="8"/>
        <v>32</v>
      </c>
      <c r="Q42" s="128">
        <f t="shared" si="9"/>
        <v>28.000000000000011</v>
      </c>
      <c r="R42" s="128">
        <f t="shared" si="10"/>
        <v>-6.9999999999999751</v>
      </c>
      <c r="T42" s="128">
        <f t="shared" si="19"/>
        <v>-2.9999999199999792</v>
      </c>
      <c r="U42" s="128">
        <f t="shared" si="2"/>
        <v>190.00000016000001</v>
      </c>
      <c r="W42" s="128">
        <f t="shared" si="11"/>
        <v>28.000000000000011</v>
      </c>
      <c r="X42" s="128">
        <f t="shared" si="12"/>
        <v>63.000000080000007</v>
      </c>
    </row>
    <row r="43" spans="1:24">
      <c r="A43" s="22">
        <v>42762</v>
      </c>
      <c r="B43" s="130">
        <v>1</v>
      </c>
      <c r="C43" s="130">
        <v>1</v>
      </c>
      <c r="D43" s="130">
        <v>1</v>
      </c>
      <c r="E43" s="130">
        <v>1</v>
      </c>
      <c r="F43" s="130">
        <v>1</v>
      </c>
      <c r="G43" s="130">
        <v>1</v>
      </c>
      <c r="K43" s="86">
        <f t="shared" si="3"/>
        <v>42762</v>
      </c>
      <c r="L43" s="128">
        <f t="shared" si="4"/>
        <v>33.000000080000007</v>
      </c>
      <c r="M43" s="128">
        <f t="shared" si="5"/>
        <v>33.000000080000007</v>
      </c>
      <c r="N43" s="128">
        <f t="shared" si="6"/>
        <v>35.999999999999986</v>
      </c>
      <c r="O43" s="128">
        <f t="shared" si="7"/>
        <v>32</v>
      </c>
      <c r="P43" s="128">
        <f t="shared" si="8"/>
        <v>33</v>
      </c>
      <c r="Q43" s="128">
        <f t="shared" si="9"/>
        <v>29.000000000000011</v>
      </c>
      <c r="R43" s="128">
        <f t="shared" si="10"/>
        <v>-6.9999999999999751</v>
      </c>
      <c r="T43" s="128">
        <f t="shared" si="19"/>
        <v>-2.9999999199999792</v>
      </c>
      <c r="U43" s="128">
        <f t="shared" si="2"/>
        <v>196.00000016000001</v>
      </c>
      <c r="W43" s="128">
        <f t="shared" si="11"/>
        <v>29.000000000000011</v>
      </c>
      <c r="X43" s="128">
        <f t="shared" si="12"/>
        <v>65.000000080000007</v>
      </c>
    </row>
    <row r="44" spans="1:24">
      <c r="A44" s="22">
        <v>42769</v>
      </c>
      <c r="B44" s="130">
        <v>1</v>
      </c>
      <c r="C44" s="130">
        <v>0</v>
      </c>
      <c r="D44" s="130">
        <v>1</v>
      </c>
      <c r="E44" s="130">
        <v>0</v>
      </c>
      <c r="F44" s="130">
        <v>0</v>
      </c>
      <c r="G44" s="130">
        <v>1</v>
      </c>
      <c r="K44" s="86">
        <f t="shared" si="3"/>
        <v>42769</v>
      </c>
      <c r="L44" s="128">
        <f t="shared" si="4"/>
        <v>34.000000080000007</v>
      </c>
      <c r="M44" s="128">
        <f t="shared" si="5"/>
        <v>33.000000080000007</v>
      </c>
      <c r="N44" s="128">
        <f t="shared" si="6"/>
        <v>36.999999999999986</v>
      </c>
      <c r="O44" s="128">
        <f t="shared" si="7"/>
        <v>32</v>
      </c>
      <c r="P44" s="128">
        <f t="shared" si="8"/>
        <v>33</v>
      </c>
      <c r="Q44" s="128">
        <f t="shared" si="9"/>
        <v>30.000000000000011</v>
      </c>
      <c r="R44" s="128">
        <f t="shared" si="10"/>
        <v>-6.9999999999999751</v>
      </c>
      <c r="T44" s="128">
        <f t="shared" si="19"/>
        <v>-2.9999999199999792</v>
      </c>
      <c r="U44" s="128">
        <f t="shared" si="2"/>
        <v>199.00000016000001</v>
      </c>
      <c r="W44" s="128">
        <f t="shared" si="11"/>
        <v>30.000000000000011</v>
      </c>
      <c r="X44" s="128">
        <f t="shared" si="12"/>
        <v>65.000000080000007</v>
      </c>
    </row>
    <row r="45" spans="1:24">
      <c r="A45" s="22">
        <v>42776</v>
      </c>
      <c r="B45" s="130">
        <v>1</v>
      </c>
      <c r="C45" s="130">
        <v>1</v>
      </c>
      <c r="D45" s="130">
        <v>0</v>
      </c>
      <c r="E45" s="130">
        <v>1</v>
      </c>
      <c r="F45" s="130">
        <v>1</v>
      </c>
      <c r="G45" s="130">
        <v>1</v>
      </c>
      <c r="K45" s="86">
        <f t="shared" si="3"/>
        <v>42776</v>
      </c>
      <c r="L45" s="128">
        <f t="shared" si="4"/>
        <v>35.000000080000007</v>
      </c>
      <c r="M45" s="128">
        <f t="shared" si="5"/>
        <v>34.000000080000007</v>
      </c>
      <c r="N45" s="128">
        <f t="shared" si="6"/>
        <v>36.999999999999986</v>
      </c>
      <c r="O45" s="128">
        <f t="shared" si="7"/>
        <v>33</v>
      </c>
      <c r="P45" s="128">
        <f t="shared" si="8"/>
        <v>34</v>
      </c>
      <c r="Q45" s="128">
        <f t="shared" si="9"/>
        <v>31.000000000000011</v>
      </c>
      <c r="R45" s="128">
        <f t="shared" si="10"/>
        <v>-5.9999999999999751</v>
      </c>
      <c r="T45" s="128">
        <f t="shared" si="19"/>
        <v>-1.9999999199999792</v>
      </c>
      <c r="U45" s="128">
        <f t="shared" si="2"/>
        <v>204.00000016000001</v>
      </c>
      <c r="W45" s="128">
        <f t="shared" si="11"/>
        <v>31.000000000000011</v>
      </c>
      <c r="X45" s="128">
        <f t="shared" si="12"/>
        <v>67.000000080000007</v>
      </c>
    </row>
    <row r="46" spans="1:24">
      <c r="A46" s="22">
        <v>42783</v>
      </c>
      <c r="B46" s="130">
        <v>1</v>
      </c>
      <c r="C46" s="130">
        <v>1</v>
      </c>
      <c r="D46" s="130">
        <v>0</v>
      </c>
      <c r="E46" s="130">
        <v>1</v>
      </c>
      <c r="F46" s="130">
        <v>1</v>
      </c>
      <c r="G46" s="130">
        <v>1</v>
      </c>
      <c r="K46" s="86">
        <f t="shared" si="3"/>
        <v>42783</v>
      </c>
      <c r="L46" s="128">
        <f t="shared" si="4"/>
        <v>36.000000080000007</v>
      </c>
      <c r="M46" s="128">
        <f t="shared" si="5"/>
        <v>35.000000080000007</v>
      </c>
      <c r="N46" s="128">
        <f t="shared" si="6"/>
        <v>36.999999999999986</v>
      </c>
      <c r="O46" s="128">
        <f t="shared" si="7"/>
        <v>34</v>
      </c>
      <c r="P46" s="128">
        <f t="shared" si="8"/>
        <v>35</v>
      </c>
      <c r="Q46" s="128">
        <f t="shared" si="9"/>
        <v>32.000000000000014</v>
      </c>
      <c r="R46" s="128">
        <f t="shared" si="10"/>
        <v>-4.9999999999999716</v>
      </c>
      <c r="T46" s="128">
        <f t="shared" si="19"/>
        <v>-0.99999991999997917</v>
      </c>
      <c r="U46" s="128">
        <f t="shared" si="2"/>
        <v>209.00000016000001</v>
      </c>
      <c r="W46" s="128">
        <f t="shared" si="11"/>
        <v>32.000000000000014</v>
      </c>
      <c r="X46" s="128">
        <f t="shared" si="12"/>
        <v>69.000000080000007</v>
      </c>
    </row>
    <row r="47" spans="1:24">
      <c r="A47" s="22">
        <v>42790</v>
      </c>
      <c r="B47" s="130">
        <v>1</v>
      </c>
      <c r="C47" s="130">
        <v>1</v>
      </c>
      <c r="D47" s="130">
        <v>1</v>
      </c>
      <c r="E47" s="130">
        <v>1</v>
      </c>
      <c r="F47" s="130">
        <v>0</v>
      </c>
      <c r="G47" s="130">
        <v>1</v>
      </c>
      <c r="K47" s="86">
        <f t="shared" si="3"/>
        <v>42790</v>
      </c>
      <c r="L47" s="128">
        <f t="shared" si="4"/>
        <v>37.000000080000007</v>
      </c>
      <c r="M47" s="128">
        <f t="shared" si="5"/>
        <v>36.000000080000007</v>
      </c>
      <c r="N47" s="128">
        <f t="shared" si="6"/>
        <v>37.999999999999986</v>
      </c>
      <c r="O47" s="128">
        <f t="shared" si="7"/>
        <v>35</v>
      </c>
      <c r="P47" s="128">
        <f t="shared" si="8"/>
        <v>35</v>
      </c>
      <c r="Q47" s="128">
        <f t="shared" si="9"/>
        <v>33.000000000000014</v>
      </c>
      <c r="R47" s="128">
        <f t="shared" si="10"/>
        <v>-4.9999999999999716</v>
      </c>
      <c r="T47" s="128">
        <f t="shared" si="19"/>
        <v>-0.99999991999997917</v>
      </c>
      <c r="U47" s="128">
        <f t="shared" si="2"/>
        <v>214.00000016000001</v>
      </c>
      <c r="W47" s="128">
        <f t="shared" si="11"/>
        <v>33.000000000000014</v>
      </c>
      <c r="X47" s="128">
        <f t="shared" si="12"/>
        <v>71.000000080000007</v>
      </c>
    </row>
    <row r="48" spans="1:24">
      <c r="A48" s="22">
        <v>42797</v>
      </c>
      <c r="B48" s="130">
        <v>1</v>
      </c>
      <c r="C48" s="130">
        <v>1</v>
      </c>
      <c r="D48" s="130">
        <v>1</v>
      </c>
      <c r="E48" s="130">
        <v>1</v>
      </c>
      <c r="F48" s="130">
        <v>0</v>
      </c>
      <c r="G48" s="130">
        <v>1</v>
      </c>
      <c r="K48" s="86">
        <f t="shared" si="3"/>
        <v>42797</v>
      </c>
      <c r="L48" s="128">
        <f t="shared" si="4"/>
        <v>38.000000080000007</v>
      </c>
      <c r="M48" s="128">
        <f t="shared" si="5"/>
        <v>37.000000080000007</v>
      </c>
      <c r="N48" s="128">
        <f t="shared" si="6"/>
        <v>38.999999999999986</v>
      </c>
      <c r="O48" s="128">
        <f t="shared" si="7"/>
        <v>36</v>
      </c>
      <c r="P48" s="128">
        <f t="shared" si="8"/>
        <v>35</v>
      </c>
      <c r="Q48" s="128">
        <f t="shared" si="9"/>
        <v>34.000000000000014</v>
      </c>
      <c r="R48" s="128">
        <f t="shared" si="10"/>
        <v>-4.9999999999999716</v>
      </c>
      <c r="T48" s="128">
        <f t="shared" si="19"/>
        <v>-0.99999991999997917</v>
      </c>
      <c r="U48" s="128">
        <f t="shared" si="2"/>
        <v>219.00000016000001</v>
      </c>
      <c r="W48" s="128">
        <f t="shared" si="11"/>
        <v>34.000000000000014</v>
      </c>
      <c r="X48" s="128">
        <f t="shared" si="12"/>
        <v>73.000000080000007</v>
      </c>
    </row>
    <row r="49" spans="1:24">
      <c r="A49" s="22">
        <v>42804</v>
      </c>
      <c r="B49" s="130">
        <v>1</v>
      </c>
      <c r="C49" s="130">
        <v>1</v>
      </c>
      <c r="D49" s="130">
        <v>0</v>
      </c>
      <c r="E49" s="130">
        <v>1</v>
      </c>
      <c r="F49" s="130">
        <v>1</v>
      </c>
      <c r="G49" s="130">
        <v>1</v>
      </c>
      <c r="K49" s="86">
        <f t="shared" si="3"/>
        <v>42804</v>
      </c>
      <c r="L49" s="128">
        <f t="shared" si="4"/>
        <v>39.000000080000007</v>
      </c>
      <c r="M49" s="128">
        <f t="shared" si="5"/>
        <v>38.000000080000007</v>
      </c>
      <c r="N49" s="128">
        <f t="shared" si="6"/>
        <v>38.999999999999986</v>
      </c>
      <c r="O49" s="128">
        <f t="shared" si="7"/>
        <v>37</v>
      </c>
      <c r="P49" s="128">
        <f t="shared" si="8"/>
        <v>36</v>
      </c>
      <c r="Q49" s="128">
        <f t="shared" si="9"/>
        <v>35.000000000000014</v>
      </c>
      <c r="R49" s="128">
        <f t="shared" si="10"/>
        <v>-4.0000000799999924</v>
      </c>
      <c r="T49" s="128">
        <f t="shared" si="19"/>
        <v>8.0000020830084395E-8</v>
      </c>
      <c r="U49" s="128">
        <f t="shared" si="2"/>
        <v>224.00000016000001</v>
      </c>
      <c r="W49" s="128">
        <f t="shared" si="11"/>
        <v>35.000000000000014</v>
      </c>
      <c r="X49" s="128">
        <f t="shared" si="12"/>
        <v>75.000000080000007</v>
      </c>
    </row>
    <row r="50" spans="1:24">
      <c r="A50" s="22">
        <v>42811</v>
      </c>
      <c r="B50" s="130">
        <v>1</v>
      </c>
      <c r="C50" s="130">
        <v>1</v>
      </c>
      <c r="D50" s="130">
        <v>1</v>
      </c>
      <c r="E50" s="130">
        <v>1</v>
      </c>
      <c r="F50" s="130">
        <v>1</v>
      </c>
      <c r="G50" s="130">
        <v>1</v>
      </c>
      <c r="K50" s="86">
        <f t="shared" si="3"/>
        <v>42811</v>
      </c>
      <c r="L50" s="128">
        <f t="shared" si="4"/>
        <v>40.000000080000007</v>
      </c>
      <c r="M50" s="128">
        <f t="shared" si="5"/>
        <v>39.000000080000007</v>
      </c>
      <c r="N50" s="128">
        <f t="shared" si="6"/>
        <v>39.999999999999986</v>
      </c>
      <c r="O50" s="128">
        <f t="shared" si="7"/>
        <v>38</v>
      </c>
      <c r="P50" s="128">
        <f t="shared" si="8"/>
        <v>37</v>
      </c>
      <c r="Q50" s="128">
        <f t="shared" si="9"/>
        <v>36.000000000000014</v>
      </c>
      <c r="R50" s="128">
        <f t="shared" si="10"/>
        <v>-4.0000000799999924</v>
      </c>
      <c r="T50" s="128">
        <f t="shared" si="19"/>
        <v>8.0000020830084395E-8</v>
      </c>
      <c r="U50" s="128">
        <f t="shared" si="2"/>
        <v>230.00000016000001</v>
      </c>
      <c r="W50" s="128">
        <f t="shared" si="11"/>
        <v>36.000000000000014</v>
      </c>
      <c r="X50" s="128">
        <f t="shared" si="12"/>
        <v>77.000000080000007</v>
      </c>
    </row>
    <row r="51" spans="1:24">
      <c r="A51" s="22">
        <v>42818</v>
      </c>
      <c r="B51" s="130">
        <v>1</v>
      </c>
      <c r="C51" s="130">
        <v>1</v>
      </c>
      <c r="D51" s="130">
        <v>0</v>
      </c>
      <c r="E51" s="130">
        <v>1</v>
      </c>
      <c r="F51" s="130">
        <v>1</v>
      </c>
      <c r="G51" s="130">
        <v>1</v>
      </c>
      <c r="K51" s="86">
        <f t="shared" si="3"/>
        <v>42818</v>
      </c>
      <c r="L51" s="128">
        <f t="shared" si="4"/>
        <v>41.000000080000007</v>
      </c>
      <c r="M51" s="128">
        <f t="shared" si="5"/>
        <v>40.000000080000007</v>
      </c>
      <c r="N51" s="128">
        <f t="shared" si="6"/>
        <v>39.999999999999986</v>
      </c>
      <c r="O51" s="128">
        <f t="shared" si="7"/>
        <v>39</v>
      </c>
      <c r="P51" s="128">
        <f t="shared" si="8"/>
        <v>38</v>
      </c>
      <c r="Q51" s="128">
        <f t="shared" si="9"/>
        <v>37.000000000000014</v>
      </c>
      <c r="R51" s="128">
        <f t="shared" si="10"/>
        <v>-4.0000000799999924</v>
      </c>
      <c r="T51" s="128">
        <f t="shared" si="19"/>
        <v>1.0000000800000208</v>
      </c>
      <c r="U51" s="128">
        <f t="shared" si="2"/>
        <v>235.00000016000001</v>
      </c>
      <c r="W51" s="128">
        <f t="shared" si="11"/>
        <v>37.000000000000014</v>
      </c>
      <c r="X51" s="128">
        <f t="shared" si="12"/>
        <v>79.000000080000007</v>
      </c>
    </row>
    <row r="52" spans="1:24" ht="16.5" customHeight="1">
      <c r="A52" s="22">
        <v>42825</v>
      </c>
      <c r="B52" s="130">
        <v>1</v>
      </c>
      <c r="C52" s="130">
        <v>0</v>
      </c>
      <c r="D52" s="130">
        <v>0</v>
      </c>
      <c r="E52" s="130">
        <v>0</v>
      </c>
      <c r="F52" s="130">
        <v>1</v>
      </c>
      <c r="G52" s="130">
        <v>1</v>
      </c>
      <c r="K52" s="86">
        <f t="shared" si="3"/>
        <v>42825</v>
      </c>
      <c r="L52" s="128">
        <f t="shared" si="4"/>
        <v>42.000000080000007</v>
      </c>
      <c r="M52" s="128">
        <f t="shared" si="5"/>
        <v>40.000000080000007</v>
      </c>
      <c r="N52" s="128">
        <f t="shared" si="6"/>
        <v>39.999999999999986</v>
      </c>
      <c r="O52" s="128">
        <f t="shared" si="7"/>
        <v>39</v>
      </c>
      <c r="P52" s="128">
        <f t="shared" si="8"/>
        <v>39</v>
      </c>
      <c r="Q52" s="128">
        <f t="shared" si="9"/>
        <v>38.000000000000014</v>
      </c>
      <c r="R52" s="128">
        <f t="shared" si="10"/>
        <v>-4.0000000799999924</v>
      </c>
      <c r="T52" s="128">
        <f t="shared" si="19"/>
        <v>2.0000000800000208</v>
      </c>
      <c r="U52" s="128">
        <f t="shared" si="2"/>
        <v>238.00000016000001</v>
      </c>
      <c r="W52" s="128">
        <f t="shared" si="11"/>
        <v>38.000000000000014</v>
      </c>
      <c r="X52" s="128">
        <f t="shared" si="12"/>
        <v>79.000000080000007</v>
      </c>
    </row>
    <row r="53" spans="1:24" ht="16.5" customHeight="1">
      <c r="A53" s="22">
        <v>42832</v>
      </c>
      <c r="B53" s="130">
        <v>0</v>
      </c>
      <c r="C53" s="130">
        <v>0</v>
      </c>
      <c r="D53" s="130">
        <v>1</v>
      </c>
      <c r="E53" s="130">
        <v>1</v>
      </c>
      <c r="F53" s="130">
        <v>1</v>
      </c>
      <c r="G53" s="130">
        <v>1</v>
      </c>
      <c r="K53" s="86">
        <f t="shared" si="3"/>
        <v>42832</v>
      </c>
      <c r="L53" s="128">
        <f t="shared" si="4"/>
        <v>42.000000080000007</v>
      </c>
      <c r="M53" s="128">
        <f t="shared" si="5"/>
        <v>40.000000080000007</v>
      </c>
      <c r="N53" s="128">
        <f t="shared" si="6"/>
        <v>40.999999999999986</v>
      </c>
      <c r="O53" s="128">
        <f t="shared" si="7"/>
        <v>40</v>
      </c>
      <c r="P53" s="128">
        <f t="shared" si="8"/>
        <v>40</v>
      </c>
      <c r="Q53" s="128">
        <f t="shared" si="9"/>
        <v>39.000000000000014</v>
      </c>
      <c r="R53" s="128">
        <f t="shared" si="10"/>
        <v>-3.0000000799999924</v>
      </c>
      <c r="T53" s="128">
        <f t="shared" si="19"/>
        <v>1.0000000800000208</v>
      </c>
      <c r="U53" s="128">
        <f t="shared" si="2"/>
        <v>242.00000016000001</v>
      </c>
      <c r="W53" s="128">
        <f t="shared" si="11"/>
        <v>39.000000000000014</v>
      </c>
      <c r="X53" s="128">
        <f t="shared" si="12"/>
        <v>80.000000080000007</v>
      </c>
    </row>
    <row r="54" spans="1:24" ht="16.5" customHeight="1">
      <c r="A54" s="22">
        <v>42846</v>
      </c>
      <c r="B54" s="130">
        <v>1</v>
      </c>
      <c r="C54" s="130">
        <v>0</v>
      </c>
      <c r="D54" s="130">
        <v>1</v>
      </c>
      <c r="E54" s="130">
        <v>1</v>
      </c>
      <c r="F54" s="130">
        <v>1</v>
      </c>
      <c r="G54" s="130">
        <v>1</v>
      </c>
      <c r="K54" s="86">
        <f t="shared" si="3"/>
        <v>42846</v>
      </c>
      <c r="L54" s="128">
        <f t="shared" si="4"/>
        <v>43.000000080000007</v>
      </c>
      <c r="M54" s="128">
        <f t="shared" si="5"/>
        <v>40.000000080000007</v>
      </c>
      <c r="N54" s="128">
        <f t="shared" si="6"/>
        <v>41.999999999999986</v>
      </c>
      <c r="O54" s="128">
        <f t="shared" si="7"/>
        <v>41</v>
      </c>
      <c r="P54" s="128">
        <f t="shared" si="8"/>
        <v>41</v>
      </c>
      <c r="Q54" s="128">
        <f t="shared" si="9"/>
        <v>40.000000000000014</v>
      </c>
      <c r="R54" s="128">
        <f t="shared" si="10"/>
        <v>-3.0000000799999924</v>
      </c>
      <c r="T54" s="128">
        <f t="shared" si="19"/>
        <v>1.0000000800000208</v>
      </c>
      <c r="U54" s="128">
        <f t="shared" si="2"/>
        <v>247.00000016000001</v>
      </c>
      <c r="W54" s="128">
        <f t="shared" si="11"/>
        <v>40.000000000000014</v>
      </c>
      <c r="X54" s="128">
        <f t="shared" si="12"/>
        <v>81.000000080000007</v>
      </c>
    </row>
    <row r="55" spans="1:24" ht="16.5" customHeight="1">
      <c r="A55" s="22">
        <v>42853</v>
      </c>
      <c r="B55" s="130">
        <v>1</v>
      </c>
      <c r="C55" s="130">
        <v>0</v>
      </c>
      <c r="D55" s="130">
        <v>1</v>
      </c>
      <c r="E55" s="130">
        <v>1</v>
      </c>
      <c r="F55" s="130">
        <v>1</v>
      </c>
      <c r="G55" s="130">
        <v>1</v>
      </c>
      <c r="K55" s="86">
        <f t="shared" si="3"/>
        <v>42853</v>
      </c>
      <c r="L55" s="128">
        <f t="shared" si="4"/>
        <v>44.000000080000007</v>
      </c>
      <c r="M55" s="128">
        <f t="shared" si="5"/>
        <v>40.000000080000007</v>
      </c>
      <c r="N55" s="128">
        <f t="shared" si="6"/>
        <v>42.999999999999986</v>
      </c>
      <c r="O55" s="128">
        <f t="shared" si="7"/>
        <v>42</v>
      </c>
      <c r="P55" s="128">
        <f t="shared" si="8"/>
        <v>42</v>
      </c>
      <c r="Q55" s="128">
        <f t="shared" si="9"/>
        <v>41.000000000000014</v>
      </c>
      <c r="R55" s="128">
        <f t="shared" si="10"/>
        <v>-3.0000000799999924</v>
      </c>
      <c r="T55" s="128">
        <f t="shared" si="19"/>
        <v>1.0000000800000208</v>
      </c>
      <c r="U55" s="128">
        <f t="shared" si="2"/>
        <v>252.00000016000001</v>
      </c>
      <c r="W55" s="128">
        <f t="shared" si="11"/>
        <v>41.000000000000014</v>
      </c>
      <c r="X55" s="128">
        <f t="shared" si="12"/>
        <v>82.000000080000007</v>
      </c>
    </row>
    <row r="56" spans="1:24" ht="16.5" customHeight="1">
      <c r="A56" s="22">
        <v>42860</v>
      </c>
      <c r="B56" s="130">
        <v>1</v>
      </c>
      <c r="C56" s="130">
        <v>0</v>
      </c>
      <c r="D56" s="130">
        <v>1</v>
      </c>
      <c r="E56" s="130">
        <v>1</v>
      </c>
      <c r="F56" s="130">
        <v>1</v>
      </c>
      <c r="G56" s="130">
        <v>1</v>
      </c>
      <c r="K56" s="86">
        <f t="shared" si="3"/>
        <v>42860</v>
      </c>
      <c r="L56" s="128">
        <f t="shared" si="4"/>
        <v>45.000000080000007</v>
      </c>
      <c r="M56" s="128">
        <f t="shared" si="5"/>
        <v>40.000000080000007</v>
      </c>
      <c r="N56" s="128">
        <f t="shared" si="6"/>
        <v>43.999999999999986</v>
      </c>
      <c r="O56" s="128">
        <f t="shared" si="7"/>
        <v>43</v>
      </c>
      <c r="P56" s="128">
        <f t="shared" si="8"/>
        <v>43</v>
      </c>
      <c r="Q56" s="128">
        <f t="shared" si="9"/>
        <v>42.000000000000014</v>
      </c>
      <c r="R56" s="128">
        <f t="shared" si="10"/>
        <v>-3.0000000799999924</v>
      </c>
      <c r="T56" s="128">
        <f t="shared" si="19"/>
        <v>1.0000000800000208</v>
      </c>
      <c r="U56" s="128">
        <f t="shared" si="2"/>
        <v>257.00000016000001</v>
      </c>
      <c r="W56" s="128">
        <f t="shared" si="11"/>
        <v>42.000000000000014</v>
      </c>
      <c r="X56" s="128">
        <f t="shared" si="12"/>
        <v>83.000000080000007</v>
      </c>
    </row>
    <row r="57" spans="1:24" ht="16.5" customHeight="1">
      <c r="A57" s="22">
        <v>42867</v>
      </c>
      <c r="B57" s="130">
        <v>1</v>
      </c>
      <c r="C57" s="130">
        <v>0</v>
      </c>
      <c r="D57" s="130">
        <v>1</v>
      </c>
      <c r="E57" s="130">
        <v>1</v>
      </c>
      <c r="F57" s="130">
        <v>1</v>
      </c>
      <c r="G57" s="130">
        <v>1</v>
      </c>
      <c r="K57" s="86">
        <f t="shared" si="3"/>
        <v>42867</v>
      </c>
      <c r="L57" s="128">
        <f t="shared" si="4"/>
        <v>46.000000080000007</v>
      </c>
      <c r="M57" s="128">
        <f t="shared" si="5"/>
        <v>40.000000080000007</v>
      </c>
      <c r="N57" s="128">
        <f t="shared" si="6"/>
        <v>44.999999999999986</v>
      </c>
      <c r="O57" s="128">
        <f t="shared" si="7"/>
        <v>44</v>
      </c>
      <c r="P57" s="128">
        <f t="shared" si="8"/>
        <v>44</v>
      </c>
      <c r="Q57" s="128">
        <f t="shared" si="9"/>
        <v>43.000000000000014</v>
      </c>
      <c r="R57" s="128">
        <f t="shared" si="10"/>
        <v>-3.0000000799999924</v>
      </c>
      <c r="T57" s="128">
        <f t="shared" si="19"/>
        <v>1.0000000800000208</v>
      </c>
      <c r="U57" s="128">
        <f t="shared" si="2"/>
        <v>262.00000016000001</v>
      </c>
      <c r="W57" s="128">
        <f t="shared" si="11"/>
        <v>43.000000000000014</v>
      </c>
      <c r="X57" s="128">
        <f t="shared" si="12"/>
        <v>84.000000080000007</v>
      </c>
    </row>
    <row r="58" spans="1:24" ht="16.5" customHeight="1">
      <c r="A58" s="22">
        <v>42874</v>
      </c>
      <c r="B58" s="130">
        <v>1</v>
      </c>
      <c r="C58" s="130">
        <v>0</v>
      </c>
      <c r="D58" s="130">
        <v>0</v>
      </c>
      <c r="E58" s="130">
        <v>1</v>
      </c>
      <c r="F58" s="130">
        <v>1</v>
      </c>
      <c r="G58" s="130">
        <v>1</v>
      </c>
      <c r="K58" s="86">
        <f t="shared" si="3"/>
        <v>42874</v>
      </c>
      <c r="L58" s="128">
        <f t="shared" si="4"/>
        <v>47.000000080000007</v>
      </c>
      <c r="M58" s="128">
        <f t="shared" si="5"/>
        <v>40.000000080000007</v>
      </c>
      <c r="N58" s="128">
        <f t="shared" si="6"/>
        <v>44.999999999999986</v>
      </c>
      <c r="O58" s="128">
        <f t="shared" si="7"/>
        <v>45</v>
      </c>
      <c r="P58" s="128">
        <f t="shared" si="8"/>
        <v>45</v>
      </c>
      <c r="Q58" s="128">
        <f t="shared" si="9"/>
        <v>44.000000000000014</v>
      </c>
      <c r="R58" s="128">
        <f t="shared" si="10"/>
        <v>-3.0000000799999924</v>
      </c>
      <c r="T58" s="128">
        <f t="shared" si="19"/>
        <v>2.0000000800000208</v>
      </c>
      <c r="U58" s="128">
        <f t="shared" si="2"/>
        <v>266.00000016000001</v>
      </c>
      <c r="W58" s="128">
        <f t="shared" si="11"/>
        <v>44.000000000000014</v>
      </c>
      <c r="X58" s="128">
        <f t="shared" si="12"/>
        <v>85.000000080000007</v>
      </c>
    </row>
    <row r="59" spans="1:24" ht="16.5" customHeight="1">
      <c r="A59" s="22">
        <v>42881</v>
      </c>
      <c r="B59" s="130">
        <v>1</v>
      </c>
      <c r="C59" s="130">
        <v>0</v>
      </c>
      <c r="D59" s="130">
        <v>0</v>
      </c>
      <c r="E59" s="130">
        <v>1</v>
      </c>
      <c r="F59" s="130">
        <v>0</v>
      </c>
      <c r="G59" s="130">
        <v>1</v>
      </c>
      <c r="K59" s="86">
        <f t="shared" si="3"/>
        <v>42881</v>
      </c>
      <c r="L59" s="128">
        <f t="shared" si="4"/>
        <v>48.000000080000007</v>
      </c>
      <c r="M59" s="128">
        <f t="shared" si="5"/>
        <v>40.000000080000007</v>
      </c>
      <c r="N59" s="128">
        <f t="shared" si="6"/>
        <v>44.999999999999986</v>
      </c>
      <c r="O59" s="128">
        <f t="shared" si="7"/>
        <v>46</v>
      </c>
      <c r="P59" s="128">
        <f t="shared" si="8"/>
        <v>45</v>
      </c>
      <c r="Q59" s="128">
        <f t="shared" si="9"/>
        <v>45.000000000000014</v>
      </c>
      <c r="R59" s="128">
        <f t="shared" si="10"/>
        <v>-3.0000000799999924</v>
      </c>
      <c r="T59" s="128">
        <f t="shared" si="19"/>
        <v>3.0000000800000208</v>
      </c>
      <c r="U59" s="128">
        <f t="shared" si="2"/>
        <v>269.00000016000001</v>
      </c>
      <c r="W59" s="128">
        <f t="shared" si="11"/>
        <v>45.000000000000014</v>
      </c>
      <c r="X59" s="128">
        <f t="shared" si="12"/>
        <v>86.000000080000007</v>
      </c>
    </row>
    <row r="60" spans="1:24" ht="16.5" customHeight="1">
      <c r="A60" s="22">
        <v>42888</v>
      </c>
      <c r="B60" s="130">
        <v>1</v>
      </c>
      <c r="C60" s="130">
        <v>0</v>
      </c>
      <c r="D60" s="130">
        <v>0</v>
      </c>
      <c r="E60" s="130">
        <v>1</v>
      </c>
      <c r="F60" s="130">
        <v>0</v>
      </c>
      <c r="G60" s="130">
        <v>1</v>
      </c>
      <c r="K60" s="86">
        <f t="shared" si="3"/>
        <v>42888</v>
      </c>
      <c r="L60" s="128">
        <f t="shared" si="4"/>
        <v>49.000000080000007</v>
      </c>
      <c r="M60" s="128">
        <f t="shared" si="5"/>
        <v>40.000000080000007</v>
      </c>
      <c r="N60" s="128">
        <f t="shared" si="6"/>
        <v>44.999999999999986</v>
      </c>
      <c r="O60" s="128">
        <f t="shared" si="7"/>
        <v>47</v>
      </c>
      <c r="P60" s="128">
        <f t="shared" si="8"/>
        <v>45</v>
      </c>
      <c r="Q60" s="128">
        <f t="shared" si="9"/>
        <v>46.000000000000014</v>
      </c>
      <c r="R60" s="128">
        <f t="shared" si="10"/>
        <v>-3.0000000799999924</v>
      </c>
      <c r="T60" s="128">
        <f t="shared" si="19"/>
        <v>4.0000000800000208</v>
      </c>
      <c r="U60" s="128">
        <f t="shared" si="2"/>
        <v>272.00000016000001</v>
      </c>
      <c r="W60" s="128">
        <f t="shared" si="11"/>
        <v>46.000000000000014</v>
      </c>
      <c r="X60" s="128">
        <f t="shared" si="12"/>
        <v>87.000000080000007</v>
      </c>
    </row>
    <row r="61" spans="1:24" ht="16.5" customHeight="1">
      <c r="A61" s="22">
        <v>42895</v>
      </c>
      <c r="B61" s="130">
        <v>1</v>
      </c>
      <c r="C61" s="130">
        <v>0</v>
      </c>
      <c r="D61" s="130">
        <v>0</v>
      </c>
      <c r="E61" s="130">
        <v>1</v>
      </c>
      <c r="F61" s="130">
        <v>0</v>
      </c>
      <c r="G61" s="130">
        <v>1</v>
      </c>
      <c r="K61" s="86">
        <f t="shared" si="3"/>
        <v>42895</v>
      </c>
      <c r="L61" s="128">
        <f t="shared" si="4"/>
        <v>50.000000080000007</v>
      </c>
      <c r="M61" s="128">
        <f t="shared" si="5"/>
        <v>40.000000080000007</v>
      </c>
      <c r="N61" s="128">
        <f t="shared" si="6"/>
        <v>44.999999999999986</v>
      </c>
      <c r="O61" s="128">
        <f t="shared" si="7"/>
        <v>48</v>
      </c>
      <c r="P61" s="128">
        <f t="shared" si="8"/>
        <v>45</v>
      </c>
      <c r="Q61" s="128">
        <f t="shared" si="9"/>
        <v>47.000000000000014</v>
      </c>
      <c r="R61" s="128">
        <f t="shared" si="10"/>
        <v>-3.0000000799999924</v>
      </c>
      <c r="T61" s="128">
        <f t="shared" si="19"/>
        <v>5.0000000800000208</v>
      </c>
      <c r="U61" s="128">
        <f t="shared" si="2"/>
        <v>275.00000016000001</v>
      </c>
      <c r="W61" s="128">
        <f t="shared" si="11"/>
        <v>47.000000000000014</v>
      </c>
      <c r="X61" s="128">
        <f t="shared" si="12"/>
        <v>88.000000080000007</v>
      </c>
    </row>
    <row r="62" spans="1:24" ht="16.5" customHeight="1">
      <c r="A62" s="22">
        <v>42902</v>
      </c>
      <c r="B62" s="130">
        <v>1</v>
      </c>
      <c r="C62" s="130">
        <v>0</v>
      </c>
      <c r="D62" s="130">
        <v>1</v>
      </c>
      <c r="E62" s="130">
        <v>0</v>
      </c>
      <c r="F62" s="130">
        <v>0</v>
      </c>
      <c r="G62" s="130">
        <v>1</v>
      </c>
      <c r="K62" s="86">
        <f t="shared" si="3"/>
        <v>42902</v>
      </c>
      <c r="L62" s="128">
        <f t="shared" si="4"/>
        <v>51.000000080000007</v>
      </c>
      <c r="M62" s="128">
        <f t="shared" si="5"/>
        <v>40.000000080000007</v>
      </c>
      <c r="N62" s="128">
        <f t="shared" si="6"/>
        <v>45.999999999999986</v>
      </c>
      <c r="O62" s="128">
        <f t="shared" si="7"/>
        <v>48</v>
      </c>
      <c r="P62" s="128">
        <f t="shared" si="8"/>
        <v>45</v>
      </c>
      <c r="Q62" s="128">
        <f t="shared" si="9"/>
        <v>48.000000000000014</v>
      </c>
      <c r="R62" s="128">
        <f t="shared" si="10"/>
        <v>-3.0000000799999924</v>
      </c>
      <c r="T62" s="128">
        <f t="shared" si="19"/>
        <v>5.0000000800000208</v>
      </c>
      <c r="U62" s="128">
        <f t="shared" si="2"/>
        <v>278.00000016000001</v>
      </c>
      <c r="W62" s="128">
        <f t="shared" si="11"/>
        <v>48.000000000000014</v>
      </c>
      <c r="X62" s="128">
        <f t="shared" si="12"/>
        <v>88.000000080000007</v>
      </c>
    </row>
    <row r="63" spans="1:24" ht="16.5" customHeight="1">
      <c r="A63" s="22">
        <v>42909</v>
      </c>
      <c r="B63" s="130">
        <v>1</v>
      </c>
      <c r="C63" s="130">
        <v>0</v>
      </c>
      <c r="D63" s="130">
        <v>1</v>
      </c>
      <c r="E63" s="130">
        <v>1</v>
      </c>
      <c r="F63" s="130">
        <v>0</v>
      </c>
      <c r="G63" s="130">
        <v>0</v>
      </c>
      <c r="K63" s="86">
        <f t="shared" si="3"/>
        <v>42909</v>
      </c>
      <c r="L63" s="128">
        <f t="shared" si="4"/>
        <v>52.000000080000007</v>
      </c>
      <c r="M63" s="128">
        <f t="shared" si="5"/>
        <v>40.000000080000007</v>
      </c>
      <c r="N63" s="128">
        <f t="shared" si="6"/>
        <v>46.999999999999986</v>
      </c>
      <c r="O63" s="128">
        <f t="shared" si="7"/>
        <v>49</v>
      </c>
      <c r="P63" s="128">
        <f t="shared" si="8"/>
        <v>45</v>
      </c>
      <c r="Q63" s="128">
        <f t="shared" si="9"/>
        <v>48.000000000000014</v>
      </c>
      <c r="R63" s="128">
        <f t="shared" si="10"/>
        <v>-4.0000000799999924</v>
      </c>
      <c r="T63" s="128">
        <f t="shared" si="19"/>
        <v>5.0000000800000208</v>
      </c>
      <c r="U63" s="128">
        <f t="shared" si="2"/>
        <v>281.00000016000001</v>
      </c>
      <c r="W63" s="128">
        <f t="shared" si="11"/>
        <v>48.000000000000014</v>
      </c>
      <c r="X63" s="128">
        <f t="shared" si="12"/>
        <v>89.000000080000007</v>
      </c>
    </row>
    <row r="64" spans="1:24" ht="16.5" customHeight="1">
      <c r="A64" s="22">
        <v>42916</v>
      </c>
      <c r="B64" s="130">
        <v>1</v>
      </c>
      <c r="C64" s="130">
        <v>0</v>
      </c>
      <c r="D64" s="130">
        <v>1</v>
      </c>
      <c r="E64" s="130">
        <v>1</v>
      </c>
      <c r="F64" s="130">
        <v>1</v>
      </c>
      <c r="G64" s="130">
        <v>0</v>
      </c>
      <c r="K64" s="86">
        <f t="shared" si="3"/>
        <v>42916</v>
      </c>
      <c r="L64" s="128">
        <f t="shared" si="4"/>
        <v>53.000000080000007</v>
      </c>
      <c r="M64" s="128">
        <f t="shared" si="5"/>
        <v>40.000000080000007</v>
      </c>
      <c r="N64" s="128">
        <f t="shared" si="6"/>
        <v>47.999999999999986</v>
      </c>
      <c r="O64" s="128">
        <f t="shared" si="7"/>
        <v>50</v>
      </c>
      <c r="P64" s="128">
        <f t="shared" si="8"/>
        <v>46</v>
      </c>
      <c r="Q64" s="128">
        <f t="shared" si="9"/>
        <v>48.000000000000014</v>
      </c>
      <c r="R64" s="128">
        <f t="shared" si="10"/>
        <v>-5.0000000799999924</v>
      </c>
      <c r="T64" s="128">
        <f t="shared" si="19"/>
        <v>5.0000000800000208</v>
      </c>
      <c r="U64" s="128">
        <f t="shared" si="2"/>
        <v>285.00000016000001</v>
      </c>
      <c r="W64" s="128">
        <f t="shared" si="11"/>
        <v>48.000000000000014</v>
      </c>
      <c r="X64" s="128">
        <f t="shared" si="12"/>
        <v>90.000000080000007</v>
      </c>
    </row>
    <row r="65" spans="1:24" ht="16.5" customHeight="1">
      <c r="A65" s="22">
        <v>42923</v>
      </c>
      <c r="B65" s="130">
        <v>1</v>
      </c>
      <c r="C65" s="130">
        <v>0</v>
      </c>
      <c r="D65" s="130">
        <v>1</v>
      </c>
      <c r="E65" s="130">
        <v>1</v>
      </c>
      <c r="F65" s="130">
        <v>1</v>
      </c>
      <c r="G65" s="130">
        <v>0</v>
      </c>
      <c r="K65" s="86">
        <f t="shared" si="3"/>
        <v>42923</v>
      </c>
      <c r="L65" s="128">
        <f t="shared" si="4"/>
        <v>54.000000080000007</v>
      </c>
      <c r="M65" s="128">
        <f t="shared" si="5"/>
        <v>40.000000080000007</v>
      </c>
      <c r="N65" s="128">
        <f t="shared" si="6"/>
        <v>48.999999999999986</v>
      </c>
      <c r="O65" s="128">
        <f t="shared" si="7"/>
        <v>51</v>
      </c>
      <c r="P65" s="128">
        <f t="shared" si="8"/>
        <v>47</v>
      </c>
      <c r="Q65" s="128">
        <f t="shared" si="9"/>
        <v>48.000000000000014</v>
      </c>
      <c r="R65" s="128">
        <f t="shared" si="10"/>
        <v>-6.0000000799999924</v>
      </c>
      <c r="T65" s="128">
        <f t="shared" si="19"/>
        <v>5.0000000800000208</v>
      </c>
      <c r="U65" s="128">
        <f t="shared" si="2"/>
        <v>289.00000016000001</v>
      </c>
      <c r="W65" s="128">
        <f t="shared" si="11"/>
        <v>48.000000000000014</v>
      </c>
      <c r="X65" s="128">
        <f t="shared" si="12"/>
        <v>91.000000080000007</v>
      </c>
    </row>
    <row r="66" spans="1:24" ht="16.5" customHeight="1">
      <c r="A66" s="22">
        <v>42930</v>
      </c>
      <c r="B66" s="130">
        <v>1</v>
      </c>
      <c r="C66" s="130">
        <v>0</v>
      </c>
      <c r="D66" s="130">
        <v>1</v>
      </c>
      <c r="E66" s="130">
        <v>1</v>
      </c>
      <c r="F66" s="130">
        <v>1</v>
      </c>
      <c r="G66" s="130">
        <v>1</v>
      </c>
      <c r="K66" s="86">
        <f t="shared" si="3"/>
        <v>42930</v>
      </c>
      <c r="L66" s="128">
        <f t="shared" si="4"/>
        <v>55.000000080000007</v>
      </c>
      <c r="M66" s="128">
        <f t="shared" si="5"/>
        <v>40.000000080000007</v>
      </c>
      <c r="N66" s="128">
        <f t="shared" si="6"/>
        <v>49.999999999999986</v>
      </c>
      <c r="O66" s="128">
        <f t="shared" si="7"/>
        <v>52</v>
      </c>
      <c r="P66" s="128">
        <f t="shared" si="8"/>
        <v>48</v>
      </c>
      <c r="Q66" s="128">
        <f t="shared" si="9"/>
        <v>49.000000000000014</v>
      </c>
      <c r="R66" s="128">
        <f t="shared" si="10"/>
        <v>-6.0000000799999924</v>
      </c>
      <c r="T66" s="128">
        <f t="shared" si="19"/>
        <v>5.0000000800000208</v>
      </c>
      <c r="U66" s="128">
        <f t="shared" ref="U66:U129" si="20">SUM(L66:Q66)</f>
        <v>294.00000016000001</v>
      </c>
      <c r="W66" s="128">
        <f t="shared" si="11"/>
        <v>49.000000000000014</v>
      </c>
      <c r="X66" s="128">
        <f t="shared" si="12"/>
        <v>92.000000080000007</v>
      </c>
    </row>
    <row r="67" spans="1:24" ht="16.5" customHeight="1">
      <c r="A67" s="22">
        <v>42937</v>
      </c>
      <c r="B67" s="130">
        <v>0</v>
      </c>
      <c r="C67" s="130">
        <v>0</v>
      </c>
      <c r="D67" s="130">
        <v>1</v>
      </c>
      <c r="E67" s="130">
        <v>0</v>
      </c>
      <c r="F67" s="130">
        <v>1</v>
      </c>
      <c r="G67" s="130">
        <v>1</v>
      </c>
      <c r="K67" s="86">
        <f t="shared" ref="K67:K130" si="21">A67</f>
        <v>42937</v>
      </c>
      <c r="L67" s="128">
        <f t="shared" ref="L67:L130" si="22">B67+L66</f>
        <v>55.000000080000007</v>
      </c>
      <c r="M67" s="128">
        <f t="shared" ref="M67:M130" si="23">C67+M66</f>
        <v>40.000000080000007</v>
      </c>
      <c r="N67" s="128">
        <f t="shared" ref="N67:N130" si="24">D67+N66</f>
        <v>50.999999999999986</v>
      </c>
      <c r="O67" s="128">
        <f t="shared" ref="O67:O130" si="25">E67+O66</f>
        <v>52</v>
      </c>
      <c r="P67" s="128">
        <f t="shared" ref="P67:P130" si="26">F67+P66</f>
        <v>49</v>
      </c>
      <c r="Q67" s="128">
        <f t="shared" ref="Q67:Q130" si="27">G67+Q66</f>
        <v>50.000000000000014</v>
      </c>
      <c r="R67" s="128">
        <f t="shared" ref="R67:R130" si="28">Q67-MAX(L67:P67)</f>
        <v>-5.0000000799999924</v>
      </c>
      <c r="T67" s="128">
        <f t="shared" si="19"/>
        <v>4.0000000800000208</v>
      </c>
      <c r="U67" s="128">
        <f t="shared" si="20"/>
        <v>297.00000016000001</v>
      </c>
      <c r="W67" s="128">
        <f t="shared" ref="W67:W130" si="29">Q67</f>
        <v>50.000000000000014</v>
      </c>
      <c r="X67" s="128">
        <f t="shared" ref="X67:X130" si="30">M67+O67</f>
        <v>92.000000080000007</v>
      </c>
    </row>
    <row r="68" spans="1:24" ht="16.5" customHeight="1">
      <c r="A68" s="22">
        <v>42944</v>
      </c>
      <c r="B68" s="130">
        <v>0</v>
      </c>
      <c r="C68" s="130">
        <v>0</v>
      </c>
      <c r="D68" s="130">
        <v>1</v>
      </c>
      <c r="E68" s="130">
        <v>0</v>
      </c>
      <c r="F68" s="130">
        <v>1</v>
      </c>
      <c r="G68" s="130">
        <v>1</v>
      </c>
      <c r="K68" s="86">
        <f t="shared" si="21"/>
        <v>42944</v>
      </c>
      <c r="L68" s="128">
        <f t="shared" si="22"/>
        <v>55.000000080000007</v>
      </c>
      <c r="M68" s="128">
        <f t="shared" si="23"/>
        <v>40.000000080000007</v>
      </c>
      <c r="N68" s="128">
        <f t="shared" si="24"/>
        <v>51.999999999999986</v>
      </c>
      <c r="O68" s="128">
        <f t="shared" si="25"/>
        <v>52</v>
      </c>
      <c r="P68" s="128">
        <f t="shared" si="26"/>
        <v>50</v>
      </c>
      <c r="Q68" s="128">
        <f t="shared" si="27"/>
        <v>51.000000000000014</v>
      </c>
      <c r="R68" s="128">
        <f t="shared" si="28"/>
        <v>-4.0000000799999924</v>
      </c>
      <c r="T68" s="128">
        <f t="shared" si="19"/>
        <v>3.0000000800000208</v>
      </c>
      <c r="U68" s="128">
        <f t="shared" si="20"/>
        <v>300.00000016000001</v>
      </c>
      <c r="W68" s="128">
        <f t="shared" si="29"/>
        <v>51.000000000000014</v>
      </c>
      <c r="X68" s="128">
        <f t="shared" si="30"/>
        <v>92.000000080000007</v>
      </c>
    </row>
    <row r="69" spans="1:24" ht="16.5" customHeight="1">
      <c r="A69" s="22">
        <v>42951</v>
      </c>
      <c r="B69" s="130">
        <v>0</v>
      </c>
      <c r="C69" s="130">
        <v>0</v>
      </c>
      <c r="D69" s="130">
        <v>1</v>
      </c>
      <c r="E69" s="130">
        <v>0</v>
      </c>
      <c r="F69" s="130">
        <v>1</v>
      </c>
      <c r="G69" s="130">
        <v>1</v>
      </c>
      <c r="K69" s="86">
        <f t="shared" si="21"/>
        <v>42951</v>
      </c>
      <c r="L69" s="128">
        <f t="shared" si="22"/>
        <v>55.000000080000007</v>
      </c>
      <c r="M69" s="128">
        <f t="shared" si="23"/>
        <v>40.000000080000007</v>
      </c>
      <c r="N69" s="128">
        <f t="shared" si="24"/>
        <v>52.999999999999986</v>
      </c>
      <c r="O69" s="128">
        <f t="shared" si="25"/>
        <v>52</v>
      </c>
      <c r="P69" s="128">
        <f t="shared" si="26"/>
        <v>51</v>
      </c>
      <c r="Q69" s="128">
        <f t="shared" si="27"/>
        <v>52.000000000000014</v>
      </c>
      <c r="R69" s="128">
        <f t="shared" si="28"/>
        <v>-3.0000000799999924</v>
      </c>
      <c r="T69" s="128">
        <f t="shared" si="19"/>
        <v>2.0000000800000208</v>
      </c>
      <c r="U69" s="128">
        <f t="shared" si="20"/>
        <v>303.00000016000001</v>
      </c>
      <c r="W69" s="128">
        <f t="shared" si="29"/>
        <v>52.000000000000014</v>
      </c>
      <c r="X69" s="128">
        <f t="shared" si="30"/>
        <v>92.000000080000007</v>
      </c>
    </row>
    <row r="70" spans="1:24" ht="16.5" customHeight="1">
      <c r="A70" s="22">
        <v>42958</v>
      </c>
      <c r="B70" s="130">
        <v>0</v>
      </c>
      <c r="C70" s="130">
        <v>1</v>
      </c>
      <c r="D70" s="130">
        <v>1</v>
      </c>
      <c r="E70" s="130">
        <v>0</v>
      </c>
      <c r="F70" s="130">
        <v>1</v>
      </c>
      <c r="G70" s="130">
        <v>1</v>
      </c>
      <c r="K70" s="86">
        <f t="shared" si="21"/>
        <v>42958</v>
      </c>
      <c r="L70" s="128">
        <f t="shared" si="22"/>
        <v>55.000000080000007</v>
      </c>
      <c r="M70" s="128">
        <f t="shared" si="23"/>
        <v>41.000000080000007</v>
      </c>
      <c r="N70" s="128">
        <f t="shared" si="24"/>
        <v>53.999999999999986</v>
      </c>
      <c r="O70" s="128">
        <f t="shared" si="25"/>
        <v>52</v>
      </c>
      <c r="P70" s="128">
        <f t="shared" si="26"/>
        <v>52</v>
      </c>
      <c r="Q70" s="128">
        <f t="shared" si="27"/>
        <v>53.000000000000014</v>
      </c>
      <c r="R70" s="128">
        <f t="shared" si="28"/>
        <v>-2.0000000799999924</v>
      </c>
      <c r="T70" s="128">
        <f t="shared" si="19"/>
        <v>1.0000000800000208</v>
      </c>
      <c r="U70" s="128">
        <f t="shared" si="20"/>
        <v>307.00000016000001</v>
      </c>
      <c r="W70" s="128">
        <f t="shared" si="29"/>
        <v>53.000000000000014</v>
      </c>
      <c r="X70" s="128">
        <f t="shared" si="30"/>
        <v>93.000000080000007</v>
      </c>
    </row>
    <row r="71" spans="1:24" ht="16.5" customHeight="1">
      <c r="A71" s="22">
        <v>42965</v>
      </c>
      <c r="B71" s="130">
        <v>0</v>
      </c>
      <c r="C71" s="130">
        <v>0</v>
      </c>
      <c r="D71" s="130">
        <v>0</v>
      </c>
      <c r="E71" s="130">
        <v>0</v>
      </c>
      <c r="F71" s="130">
        <v>1</v>
      </c>
      <c r="G71" s="130">
        <v>1</v>
      </c>
      <c r="K71" s="86">
        <f t="shared" si="21"/>
        <v>42965</v>
      </c>
      <c r="L71" s="128">
        <f t="shared" si="22"/>
        <v>55.000000080000007</v>
      </c>
      <c r="M71" s="128">
        <f t="shared" si="23"/>
        <v>41.000000080000007</v>
      </c>
      <c r="N71" s="128">
        <f t="shared" si="24"/>
        <v>53.999999999999986</v>
      </c>
      <c r="O71" s="128">
        <f t="shared" si="25"/>
        <v>52</v>
      </c>
      <c r="P71" s="128">
        <f t="shared" si="26"/>
        <v>53</v>
      </c>
      <c r="Q71" s="128">
        <f t="shared" si="27"/>
        <v>54.000000000000014</v>
      </c>
      <c r="R71" s="128">
        <f t="shared" si="28"/>
        <v>-1.0000000799999924</v>
      </c>
      <c r="T71" s="128">
        <f t="shared" si="19"/>
        <v>1.0000000800000208</v>
      </c>
      <c r="U71" s="128">
        <f t="shared" si="20"/>
        <v>309.00000016000001</v>
      </c>
      <c r="W71" s="128">
        <f t="shared" si="29"/>
        <v>54.000000000000014</v>
      </c>
      <c r="X71" s="128">
        <f t="shared" si="30"/>
        <v>93.000000080000007</v>
      </c>
    </row>
    <row r="72" spans="1:24">
      <c r="A72" s="22">
        <v>42972</v>
      </c>
      <c r="B72" s="130">
        <v>1</v>
      </c>
      <c r="C72" s="130">
        <v>0</v>
      </c>
      <c r="D72" s="130">
        <v>1</v>
      </c>
      <c r="E72" s="130">
        <v>1</v>
      </c>
      <c r="F72" s="130">
        <v>1</v>
      </c>
      <c r="G72" s="130">
        <v>1</v>
      </c>
      <c r="K72" s="86">
        <f t="shared" si="21"/>
        <v>42972</v>
      </c>
      <c r="L72" s="128">
        <f t="shared" si="22"/>
        <v>56.000000080000007</v>
      </c>
      <c r="M72" s="128">
        <f t="shared" si="23"/>
        <v>41.000000080000007</v>
      </c>
      <c r="N72" s="128">
        <f t="shared" si="24"/>
        <v>54.999999999999986</v>
      </c>
      <c r="O72" s="128">
        <f t="shared" si="25"/>
        <v>53</v>
      </c>
      <c r="P72" s="128">
        <f t="shared" si="26"/>
        <v>54</v>
      </c>
      <c r="Q72" s="128">
        <f t="shared" si="27"/>
        <v>55.000000000000014</v>
      </c>
      <c r="R72" s="128">
        <f t="shared" si="28"/>
        <v>-1.0000000799999924</v>
      </c>
      <c r="T72" s="128">
        <f t="shared" si="19"/>
        <v>1.0000000800000208</v>
      </c>
      <c r="U72" s="128">
        <f t="shared" si="20"/>
        <v>314.00000016000001</v>
      </c>
      <c r="W72" s="128">
        <f t="shared" si="29"/>
        <v>55.000000000000014</v>
      </c>
      <c r="X72" s="128">
        <f t="shared" si="30"/>
        <v>94.000000080000007</v>
      </c>
    </row>
    <row r="73" spans="1:24">
      <c r="A73" s="22">
        <v>42979</v>
      </c>
      <c r="B73" s="130">
        <v>1</v>
      </c>
      <c r="C73" s="130">
        <v>0</v>
      </c>
      <c r="D73" s="130">
        <v>1</v>
      </c>
      <c r="E73" s="130">
        <v>1</v>
      </c>
      <c r="F73" s="130">
        <v>0</v>
      </c>
      <c r="G73" s="130">
        <v>1</v>
      </c>
      <c r="K73" s="86">
        <f t="shared" si="21"/>
        <v>42979</v>
      </c>
      <c r="L73" s="128">
        <f t="shared" si="22"/>
        <v>57.000000080000007</v>
      </c>
      <c r="M73" s="128">
        <f t="shared" si="23"/>
        <v>41.000000080000007</v>
      </c>
      <c r="N73" s="128">
        <f t="shared" si="24"/>
        <v>55.999999999999986</v>
      </c>
      <c r="O73" s="128">
        <f t="shared" si="25"/>
        <v>54</v>
      </c>
      <c r="P73" s="128">
        <f t="shared" si="26"/>
        <v>54</v>
      </c>
      <c r="Q73" s="128">
        <f t="shared" si="27"/>
        <v>56.000000000000014</v>
      </c>
      <c r="R73" s="128">
        <f t="shared" si="28"/>
        <v>-1.0000000799999924</v>
      </c>
      <c r="T73" s="128">
        <f t="shared" si="19"/>
        <v>1.0000000800000208</v>
      </c>
      <c r="U73" s="128">
        <f t="shared" si="20"/>
        <v>318.00000016000001</v>
      </c>
      <c r="W73" s="128">
        <f t="shared" si="29"/>
        <v>56.000000000000014</v>
      </c>
      <c r="X73" s="128">
        <f t="shared" si="30"/>
        <v>95.000000080000007</v>
      </c>
    </row>
    <row r="74" spans="1:24">
      <c r="A74" s="22">
        <v>42986</v>
      </c>
      <c r="B74" s="130">
        <v>1</v>
      </c>
      <c r="C74" s="130">
        <v>0</v>
      </c>
      <c r="D74" s="130">
        <v>0</v>
      </c>
      <c r="E74" s="130">
        <v>1</v>
      </c>
      <c r="F74" s="130">
        <v>1</v>
      </c>
      <c r="G74" s="130">
        <v>1</v>
      </c>
      <c r="K74" s="86">
        <f t="shared" si="21"/>
        <v>42986</v>
      </c>
      <c r="L74" s="128">
        <f t="shared" si="22"/>
        <v>58.000000080000007</v>
      </c>
      <c r="M74" s="128">
        <f t="shared" si="23"/>
        <v>41.000000080000007</v>
      </c>
      <c r="N74" s="128">
        <f t="shared" si="24"/>
        <v>55.999999999999986</v>
      </c>
      <c r="O74" s="128">
        <f t="shared" si="25"/>
        <v>55</v>
      </c>
      <c r="P74" s="128">
        <f t="shared" si="26"/>
        <v>55</v>
      </c>
      <c r="Q74" s="128">
        <f t="shared" si="27"/>
        <v>57.000000000000014</v>
      </c>
      <c r="R74" s="128">
        <f t="shared" si="28"/>
        <v>-1.0000000799999924</v>
      </c>
      <c r="T74" s="128">
        <f t="shared" si="19"/>
        <v>2.0000000800000208</v>
      </c>
      <c r="U74" s="128">
        <f t="shared" si="20"/>
        <v>322.00000016000001</v>
      </c>
      <c r="W74" s="128">
        <f t="shared" si="29"/>
        <v>57.000000000000014</v>
      </c>
      <c r="X74" s="128">
        <f t="shared" si="30"/>
        <v>96.000000080000007</v>
      </c>
    </row>
    <row r="75" spans="1:24">
      <c r="A75" s="22">
        <v>42993</v>
      </c>
      <c r="B75" s="130">
        <v>1</v>
      </c>
      <c r="C75" s="130">
        <v>0</v>
      </c>
      <c r="D75" s="130">
        <v>1</v>
      </c>
      <c r="E75" s="130">
        <v>1</v>
      </c>
      <c r="F75" s="130">
        <v>0</v>
      </c>
      <c r="G75" s="130">
        <v>1</v>
      </c>
      <c r="K75" s="86">
        <f t="shared" si="21"/>
        <v>42993</v>
      </c>
      <c r="L75" s="128">
        <f t="shared" si="22"/>
        <v>59.000000080000007</v>
      </c>
      <c r="M75" s="128">
        <f t="shared" si="23"/>
        <v>41.000000080000007</v>
      </c>
      <c r="N75" s="128">
        <f t="shared" si="24"/>
        <v>56.999999999999986</v>
      </c>
      <c r="O75" s="128">
        <f t="shared" si="25"/>
        <v>56</v>
      </c>
      <c r="P75" s="128">
        <f t="shared" si="26"/>
        <v>55</v>
      </c>
      <c r="Q75" s="128">
        <f t="shared" si="27"/>
        <v>58.000000000000014</v>
      </c>
      <c r="R75" s="128">
        <f t="shared" si="28"/>
        <v>-1.0000000799999924</v>
      </c>
      <c r="T75" s="128">
        <f t="shared" si="19"/>
        <v>2.0000000800000208</v>
      </c>
      <c r="U75" s="128">
        <f t="shared" si="20"/>
        <v>326.00000016000001</v>
      </c>
      <c r="W75" s="128">
        <f t="shared" si="29"/>
        <v>58.000000000000014</v>
      </c>
      <c r="X75" s="128">
        <f t="shared" si="30"/>
        <v>97.000000080000007</v>
      </c>
    </row>
    <row r="76" spans="1:24">
      <c r="A76" s="22">
        <v>43000</v>
      </c>
      <c r="B76" s="130">
        <v>1</v>
      </c>
      <c r="C76" s="130">
        <v>0</v>
      </c>
      <c r="D76" s="130">
        <v>1</v>
      </c>
      <c r="E76" s="130">
        <v>1</v>
      </c>
      <c r="F76" s="130">
        <v>1</v>
      </c>
      <c r="G76" s="130">
        <v>1</v>
      </c>
      <c r="K76" s="86">
        <f t="shared" si="21"/>
        <v>43000</v>
      </c>
      <c r="L76" s="128">
        <f t="shared" si="22"/>
        <v>60.000000080000007</v>
      </c>
      <c r="M76" s="128">
        <f t="shared" si="23"/>
        <v>41.000000080000007</v>
      </c>
      <c r="N76" s="128">
        <f t="shared" si="24"/>
        <v>57.999999999999986</v>
      </c>
      <c r="O76" s="128">
        <f t="shared" si="25"/>
        <v>57</v>
      </c>
      <c r="P76" s="128">
        <f t="shared" si="26"/>
        <v>56</v>
      </c>
      <c r="Q76" s="128">
        <f t="shared" si="27"/>
        <v>59.000000000000014</v>
      </c>
      <c r="R76" s="128">
        <f t="shared" si="28"/>
        <v>-1.0000000799999924</v>
      </c>
      <c r="T76" s="128">
        <f t="shared" si="19"/>
        <v>2.0000000800000208</v>
      </c>
      <c r="U76" s="128">
        <f t="shared" si="20"/>
        <v>331.00000016000001</v>
      </c>
      <c r="W76" s="128">
        <f t="shared" si="29"/>
        <v>59.000000000000014</v>
      </c>
      <c r="X76" s="128">
        <f t="shared" si="30"/>
        <v>98.000000080000007</v>
      </c>
    </row>
    <row r="77" spans="1:24">
      <c r="A77" s="22">
        <v>43007</v>
      </c>
      <c r="B77" s="130">
        <v>1</v>
      </c>
      <c r="C77" s="130">
        <v>0</v>
      </c>
      <c r="D77" s="130">
        <v>0</v>
      </c>
      <c r="E77" s="130">
        <v>1</v>
      </c>
      <c r="F77" s="130">
        <v>1</v>
      </c>
      <c r="G77" s="130">
        <v>1</v>
      </c>
      <c r="K77" s="86">
        <f t="shared" si="21"/>
        <v>43007</v>
      </c>
      <c r="L77" s="128">
        <f t="shared" si="22"/>
        <v>61.000000080000007</v>
      </c>
      <c r="M77" s="128">
        <f t="shared" si="23"/>
        <v>41.000000080000007</v>
      </c>
      <c r="N77" s="128">
        <f t="shared" si="24"/>
        <v>57.999999999999986</v>
      </c>
      <c r="O77" s="128">
        <f t="shared" si="25"/>
        <v>58</v>
      </c>
      <c r="P77" s="128">
        <f t="shared" si="26"/>
        <v>57</v>
      </c>
      <c r="Q77" s="128">
        <f t="shared" si="27"/>
        <v>60.000000000000014</v>
      </c>
      <c r="R77" s="128">
        <f t="shared" si="28"/>
        <v>-1.0000000799999924</v>
      </c>
      <c r="T77" s="128">
        <f t="shared" si="19"/>
        <v>3.0000000800000208</v>
      </c>
      <c r="U77" s="128">
        <f t="shared" si="20"/>
        <v>335.00000016000001</v>
      </c>
      <c r="W77" s="128">
        <f t="shared" si="29"/>
        <v>60.000000000000014</v>
      </c>
      <c r="X77" s="128">
        <f t="shared" si="30"/>
        <v>99.000000080000007</v>
      </c>
    </row>
    <row r="78" spans="1:24">
      <c r="A78" s="22">
        <v>43014</v>
      </c>
      <c r="B78" s="130">
        <v>1</v>
      </c>
      <c r="C78" s="130">
        <v>0</v>
      </c>
      <c r="D78" s="130">
        <v>1</v>
      </c>
      <c r="E78" s="130">
        <v>1</v>
      </c>
      <c r="F78" s="130">
        <v>0</v>
      </c>
      <c r="G78" s="130">
        <v>1</v>
      </c>
      <c r="K78" s="86">
        <f t="shared" si="21"/>
        <v>43014</v>
      </c>
      <c r="L78" s="128">
        <f t="shared" si="22"/>
        <v>62.000000080000007</v>
      </c>
      <c r="M78" s="128">
        <f t="shared" si="23"/>
        <v>41.000000080000007</v>
      </c>
      <c r="N78" s="128">
        <f t="shared" si="24"/>
        <v>58.999999999999986</v>
      </c>
      <c r="O78" s="128">
        <f t="shared" si="25"/>
        <v>59</v>
      </c>
      <c r="P78" s="128">
        <f t="shared" si="26"/>
        <v>57</v>
      </c>
      <c r="Q78" s="128">
        <f t="shared" si="27"/>
        <v>61.000000000000014</v>
      </c>
      <c r="R78" s="128">
        <f t="shared" si="28"/>
        <v>-1.0000000799999924</v>
      </c>
      <c r="T78" s="128">
        <f t="shared" si="19"/>
        <v>3.0000000800000208</v>
      </c>
      <c r="U78" s="128">
        <f t="shared" si="20"/>
        <v>339.00000016000001</v>
      </c>
      <c r="W78" s="128">
        <f t="shared" si="29"/>
        <v>61.000000000000014</v>
      </c>
      <c r="X78" s="128">
        <f t="shared" si="30"/>
        <v>100.00000008000001</v>
      </c>
    </row>
    <row r="79" spans="1:24">
      <c r="A79" s="22">
        <v>43021</v>
      </c>
      <c r="B79" s="130">
        <v>1</v>
      </c>
      <c r="C79" s="130">
        <v>0</v>
      </c>
      <c r="D79" s="130">
        <v>0</v>
      </c>
      <c r="E79" s="130">
        <v>0</v>
      </c>
      <c r="F79" s="130">
        <v>1</v>
      </c>
      <c r="G79" s="130">
        <v>1</v>
      </c>
      <c r="K79" s="86">
        <f t="shared" si="21"/>
        <v>43021</v>
      </c>
      <c r="L79" s="128">
        <f t="shared" si="22"/>
        <v>63.000000080000007</v>
      </c>
      <c r="M79" s="128">
        <f t="shared" si="23"/>
        <v>41.000000080000007</v>
      </c>
      <c r="N79" s="128">
        <f t="shared" si="24"/>
        <v>58.999999999999986</v>
      </c>
      <c r="O79" s="128">
        <f t="shared" si="25"/>
        <v>59</v>
      </c>
      <c r="P79" s="128">
        <f t="shared" si="26"/>
        <v>58</v>
      </c>
      <c r="Q79" s="128">
        <f t="shared" si="27"/>
        <v>62.000000000000014</v>
      </c>
      <c r="R79" s="128">
        <f t="shared" si="28"/>
        <v>-1.0000000799999924</v>
      </c>
      <c r="T79" s="128">
        <f t="shared" si="19"/>
        <v>4.0000000800000208</v>
      </c>
      <c r="U79" s="128">
        <f t="shared" si="20"/>
        <v>342.00000016000001</v>
      </c>
      <c r="W79" s="128">
        <f t="shared" si="29"/>
        <v>62.000000000000014</v>
      </c>
      <c r="X79" s="128">
        <f t="shared" si="30"/>
        <v>100.00000008000001</v>
      </c>
    </row>
    <row r="80" spans="1:24">
      <c r="A80" s="22">
        <v>43028</v>
      </c>
      <c r="B80" s="130">
        <v>1</v>
      </c>
      <c r="C80" s="130">
        <v>0</v>
      </c>
      <c r="D80" s="130">
        <v>1</v>
      </c>
      <c r="E80" s="130">
        <v>1</v>
      </c>
      <c r="F80" s="130">
        <v>1</v>
      </c>
      <c r="G80" s="130">
        <v>1</v>
      </c>
      <c r="K80" s="86">
        <f t="shared" si="21"/>
        <v>43028</v>
      </c>
      <c r="L80" s="128">
        <f t="shared" si="22"/>
        <v>64.000000080000007</v>
      </c>
      <c r="M80" s="128">
        <f t="shared" si="23"/>
        <v>41.000000080000007</v>
      </c>
      <c r="N80" s="128">
        <f t="shared" si="24"/>
        <v>59.999999999999986</v>
      </c>
      <c r="O80" s="128">
        <f t="shared" si="25"/>
        <v>60</v>
      </c>
      <c r="P80" s="128">
        <f t="shared" si="26"/>
        <v>59</v>
      </c>
      <c r="Q80" s="128">
        <f t="shared" si="27"/>
        <v>63.000000000000014</v>
      </c>
      <c r="R80" s="128">
        <f t="shared" si="28"/>
        <v>-1.0000000799999924</v>
      </c>
      <c r="T80" s="128">
        <f t="shared" si="19"/>
        <v>4.0000000800000208</v>
      </c>
      <c r="U80" s="128">
        <f t="shared" si="20"/>
        <v>347.00000016000001</v>
      </c>
      <c r="W80" s="128">
        <f t="shared" si="29"/>
        <v>63.000000000000014</v>
      </c>
      <c r="X80" s="128">
        <f t="shared" si="30"/>
        <v>101.00000008000001</v>
      </c>
    </row>
    <row r="81" spans="1:24">
      <c r="A81" s="22">
        <v>43035</v>
      </c>
      <c r="B81" s="130">
        <v>0</v>
      </c>
      <c r="C81" s="130">
        <v>0</v>
      </c>
      <c r="D81" s="130">
        <v>1</v>
      </c>
      <c r="E81" s="130">
        <v>1</v>
      </c>
      <c r="F81" s="130">
        <v>1</v>
      </c>
      <c r="G81" s="130">
        <v>0</v>
      </c>
      <c r="K81" s="86">
        <f t="shared" si="21"/>
        <v>43035</v>
      </c>
      <c r="L81" s="128">
        <f t="shared" si="22"/>
        <v>64.000000080000007</v>
      </c>
      <c r="M81" s="128">
        <f t="shared" si="23"/>
        <v>41.000000080000007</v>
      </c>
      <c r="N81" s="128">
        <f t="shared" si="24"/>
        <v>60.999999999999986</v>
      </c>
      <c r="O81" s="128">
        <f t="shared" si="25"/>
        <v>61</v>
      </c>
      <c r="P81" s="128">
        <f t="shared" si="26"/>
        <v>60</v>
      </c>
      <c r="Q81" s="128">
        <f t="shared" si="27"/>
        <v>63.000000000000014</v>
      </c>
      <c r="R81" s="128">
        <f t="shared" si="28"/>
        <v>-1.0000000799999924</v>
      </c>
      <c r="T81" s="128">
        <f t="shared" si="19"/>
        <v>3.0000000800000208</v>
      </c>
      <c r="U81" s="128">
        <f t="shared" si="20"/>
        <v>350.00000016000001</v>
      </c>
      <c r="W81" s="128">
        <f t="shared" si="29"/>
        <v>63.000000000000014</v>
      </c>
      <c r="X81" s="128">
        <f t="shared" si="30"/>
        <v>102.00000008000001</v>
      </c>
    </row>
    <row r="82" spans="1:24">
      <c r="A82" s="22">
        <v>43042</v>
      </c>
      <c r="B82" s="130">
        <v>1</v>
      </c>
      <c r="C82" s="130">
        <v>0</v>
      </c>
      <c r="D82" s="130">
        <v>1</v>
      </c>
      <c r="E82" s="130">
        <v>0</v>
      </c>
      <c r="F82" s="130">
        <v>1</v>
      </c>
      <c r="G82" s="130">
        <v>1</v>
      </c>
      <c r="K82" s="86">
        <f t="shared" si="21"/>
        <v>43042</v>
      </c>
      <c r="L82" s="128">
        <f t="shared" si="22"/>
        <v>65.000000080000007</v>
      </c>
      <c r="M82" s="128">
        <f t="shared" si="23"/>
        <v>41.000000080000007</v>
      </c>
      <c r="N82" s="128">
        <f t="shared" si="24"/>
        <v>61.999999999999986</v>
      </c>
      <c r="O82" s="128">
        <f t="shared" si="25"/>
        <v>61</v>
      </c>
      <c r="P82" s="128">
        <f t="shared" si="26"/>
        <v>61</v>
      </c>
      <c r="Q82" s="128">
        <f t="shared" si="27"/>
        <v>64.000000000000014</v>
      </c>
      <c r="R82" s="128">
        <f t="shared" si="28"/>
        <v>-1.0000000799999924</v>
      </c>
      <c r="T82" s="128">
        <f t="shared" si="19"/>
        <v>3.0000000800000208</v>
      </c>
      <c r="U82" s="128">
        <f t="shared" si="20"/>
        <v>354.00000016000001</v>
      </c>
      <c r="W82" s="128">
        <f t="shared" si="29"/>
        <v>64.000000000000014</v>
      </c>
      <c r="X82" s="128">
        <f t="shared" si="30"/>
        <v>102.00000008000001</v>
      </c>
    </row>
    <row r="83" spans="1:24">
      <c r="A83" s="22">
        <v>43049</v>
      </c>
      <c r="B83" s="130">
        <v>0</v>
      </c>
      <c r="C83" s="130">
        <v>0</v>
      </c>
      <c r="D83" s="130">
        <v>1</v>
      </c>
      <c r="E83" s="130">
        <v>1</v>
      </c>
      <c r="F83" s="130">
        <v>1</v>
      </c>
      <c r="G83" s="130">
        <v>1</v>
      </c>
      <c r="K83" s="86">
        <f t="shared" si="21"/>
        <v>43049</v>
      </c>
      <c r="L83" s="128">
        <f t="shared" si="22"/>
        <v>65.000000080000007</v>
      </c>
      <c r="M83" s="128">
        <f t="shared" si="23"/>
        <v>41.000000080000007</v>
      </c>
      <c r="N83" s="128">
        <f t="shared" si="24"/>
        <v>62.999999999999986</v>
      </c>
      <c r="O83" s="128">
        <f t="shared" si="25"/>
        <v>62</v>
      </c>
      <c r="P83" s="128">
        <f t="shared" si="26"/>
        <v>62</v>
      </c>
      <c r="Q83" s="128">
        <f t="shared" si="27"/>
        <v>65.000000000000014</v>
      </c>
      <c r="R83" s="128">
        <f t="shared" si="28"/>
        <v>-7.9999992408374965E-8</v>
      </c>
      <c r="T83" s="128">
        <f t="shared" si="19"/>
        <v>2.0000000800000208</v>
      </c>
      <c r="U83" s="128">
        <f t="shared" si="20"/>
        <v>358.00000016000001</v>
      </c>
      <c r="W83" s="128">
        <f t="shared" si="29"/>
        <v>65.000000000000014</v>
      </c>
      <c r="X83" s="128">
        <f t="shared" si="30"/>
        <v>103.00000008000001</v>
      </c>
    </row>
    <row r="84" spans="1:24">
      <c r="A84" s="22">
        <v>43056</v>
      </c>
      <c r="B84" s="130">
        <v>0</v>
      </c>
      <c r="C84" s="130">
        <v>0</v>
      </c>
      <c r="D84" s="130">
        <v>0</v>
      </c>
      <c r="E84" s="130">
        <v>0</v>
      </c>
      <c r="F84" s="130">
        <v>0</v>
      </c>
      <c r="G84" s="130">
        <v>0</v>
      </c>
      <c r="K84" s="86">
        <f t="shared" si="21"/>
        <v>43056</v>
      </c>
      <c r="L84" s="128">
        <f t="shared" si="22"/>
        <v>65.000000080000007</v>
      </c>
      <c r="M84" s="128">
        <f t="shared" si="23"/>
        <v>41.000000080000007</v>
      </c>
      <c r="N84" s="128">
        <f t="shared" si="24"/>
        <v>62.999999999999986</v>
      </c>
      <c r="O84" s="128">
        <f t="shared" si="25"/>
        <v>62</v>
      </c>
      <c r="P84" s="128">
        <f t="shared" si="26"/>
        <v>62</v>
      </c>
      <c r="Q84" s="128">
        <f t="shared" si="27"/>
        <v>65.000000000000014</v>
      </c>
      <c r="R84" s="128">
        <f t="shared" si="28"/>
        <v>-7.9999992408374965E-8</v>
      </c>
      <c r="T84" s="128">
        <f t="shared" si="19"/>
        <v>2.0000000800000208</v>
      </c>
      <c r="U84" s="128">
        <f t="shared" si="20"/>
        <v>358.00000016000001</v>
      </c>
      <c r="W84" s="128">
        <f t="shared" si="29"/>
        <v>65.000000000000014</v>
      </c>
      <c r="X84" s="128">
        <f t="shared" si="30"/>
        <v>103.00000008000001</v>
      </c>
    </row>
    <row r="85" spans="1:24">
      <c r="A85" s="22">
        <v>43063</v>
      </c>
      <c r="B85" s="130">
        <v>1</v>
      </c>
      <c r="C85" s="130">
        <v>1</v>
      </c>
      <c r="D85" s="130">
        <v>1</v>
      </c>
      <c r="E85" s="130">
        <v>1</v>
      </c>
      <c r="F85" s="130">
        <v>1</v>
      </c>
      <c r="G85" s="130">
        <v>1</v>
      </c>
      <c r="K85" s="86">
        <f t="shared" si="21"/>
        <v>43063</v>
      </c>
      <c r="L85" s="128">
        <f t="shared" si="22"/>
        <v>66.000000080000007</v>
      </c>
      <c r="M85" s="128">
        <f t="shared" si="23"/>
        <v>42.000000080000007</v>
      </c>
      <c r="N85" s="128">
        <f t="shared" si="24"/>
        <v>63.999999999999986</v>
      </c>
      <c r="O85" s="128">
        <f t="shared" si="25"/>
        <v>63</v>
      </c>
      <c r="P85" s="128">
        <f t="shared" si="26"/>
        <v>63</v>
      </c>
      <c r="Q85" s="128">
        <f t="shared" si="27"/>
        <v>66.000000000000014</v>
      </c>
      <c r="R85" s="128">
        <f t="shared" si="28"/>
        <v>-7.9999992408374965E-8</v>
      </c>
      <c r="T85" s="128">
        <f t="shared" si="19"/>
        <v>2.0000000800000208</v>
      </c>
      <c r="U85" s="128">
        <f t="shared" si="20"/>
        <v>364.00000016000001</v>
      </c>
      <c r="W85" s="128">
        <f t="shared" si="29"/>
        <v>66.000000000000014</v>
      </c>
      <c r="X85" s="128">
        <f t="shared" si="30"/>
        <v>105.00000008000001</v>
      </c>
    </row>
    <row r="86" spans="1:24">
      <c r="A86" s="22">
        <v>43070</v>
      </c>
      <c r="B86" s="130">
        <v>1</v>
      </c>
      <c r="C86" s="130">
        <v>0</v>
      </c>
      <c r="D86" s="130">
        <v>1</v>
      </c>
      <c r="E86" s="130">
        <v>1</v>
      </c>
      <c r="F86" s="130">
        <v>1</v>
      </c>
      <c r="G86" s="130">
        <v>1</v>
      </c>
      <c r="K86" s="86">
        <f t="shared" si="21"/>
        <v>43070</v>
      </c>
      <c r="L86" s="128">
        <f t="shared" si="22"/>
        <v>67.000000080000007</v>
      </c>
      <c r="M86" s="128">
        <f t="shared" si="23"/>
        <v>42.000000080000007</v>
      </c>
      <c r="N86" s="128">
        <f t="shared" si="24"/>
        <v>64.999999999999986</v>
      </c>
      <c r="O86" s="128">
        <f t="shared" si="25"/>
        <v>64</v>
      </c>
      <c r="P86" s="128">
        <f t="shared" si="26"/>
        <v>64</v>
      </c>
      <c r="Q86" s="128">
        <f t="shared" si="27"/>
        <v>67.000000000000014</v>
      </c>
      <c r="R86" s="128">
        <f t="shared" si="28"/>
        <v>-7.9999992408374965E-8</v>
      </c>
      <c r="T86" s="128">
        <f t="shared" si="19"/>
        <v>2.0000000800000208</v>
      </c>
      <c r="U86" s="128">
        <f t="shared" si="20"/>
        <v>369.00000016000001</v>
      </c>
      <c r="W86" s="128">
        <f t="shared" si="29"/>
        <v>67.000000000000014</v>
      </c>
      <c r="X86" s="128">
        <f t="shared" si="30"/>
        <v>106.00000008000001</v>
      </c>
    </row>
    <row r="87" spans="1:24">
      <c r="A87" s="22">
        <v>43077</v>
      </c>
      <c r="B87" s="130">
        <v>1</v>
      </c>
      <c r="C87" s="130">
        <v>0</v>
      </c>
      <c r="D87" s="130">
        <v>1</v>
      </c>
      <c r="E87" s="130">
        <v>1</v>
      </c>
      <c r="F87" s="130">
        <v>1</v>
      </c>
      <c r="G87" s="130">
        <v>1</v>
      </c>
      <c r="K87" s="86">
        <f t="shared" si="21"/>
        <v>43077</v>
      </c>
      <c r="L87" s="128">
        <f t="shared" si="22"/>
        <v>68.000000080000007</v>
      </c>
      <c r="M87" s="128">
        <f t="shared" si="23"/>
        <v>42.000000080000007</v>
      </c>
      <c r="N87" s="128">
        <f t="shared" si="24"/>
        <v>65.999999999999986</v>
      </c>
      <c r="O87" s="128">
        <f t="shared" si="25"/>
        <v>65</v>
      </c>
      <c r="P87" s="128">
        <f t="shared" si="26"/>
        <v>65</v>
      </c>
      <c r="Q87" s="128">
        <f t="shared" si="27"/>
        <v>68.000000000000014</v>
      </c>
      <c r="R87" s="128">
        <f t="shared" si="28"/>
        <v>-7.9999992408374965E-8</v>
      </c>
      <c r="T87" s="128">
        <f t="shared" si="19"/>
        <v>2.0000000800000208</v>
      </c>
      <c r="U87" s="128">
        <f t="shared" si="20"/>
        <v>374.00000016000001</v>
      </c>
      <c r="W87" s="128">
        <f t="shared" si="29"/>
        <v>68.000000000000014</v>
      </c>
      <c r="X87" s="128">
        <f t="shared" si="30"/>
        <v>107.00000008000001</v>
      </c>
    </row>
    <row r="88" spans="1:24">
      <c r="A88" s="22">
        <v>43084</v>
      </c>
      <c r="B88" s="130">
        <v>1</v>
      </c>
      <c r="C88" s="130">
        <v>0</v>
      </c>
      <c r="D88" s="130">
        <v>1</v>
      </c>
      <c r="E88" s="130">
        <v>1</v>
      </c>
      <c r="F88" s="130">
        <v>1</v>
      </c>
      <c r="G88" s="130">
        <v>1</v>
      </c>
      <c r="K88" s="86">
        <f t="shared" si="21"/>
        <v>43084</v>
      </c>
      <c r="L88" s="128">
        <f t="shared" si="22"/>
        <v>69.000000080000007</v>
      </c>
      <c r="M88" s="128">
        <f t="shared" si="23"/>
        <v>42.000000080000007</v>
      </c>
      <c r="N88" s="128">
        <f t="shared" si="24"/>
        <v>66.999999999999986</v>
      </c>
      <c r="O88" s="128">
        <f t="shared" si="25"/>
        <v>66</v>
      </c>
      <c r="P88" s="128">
        <f t="shared" si="26"/>
        <v>66</v>
      </c>
      <c r="Q88" s="128">
        <f t="shared" si="27"/>
        <v>69.000000000000014</v>
      </c>
      <c r="R88" s="128">
        <f t="shared" si="28"/>
        <v>-7.9999992408374965E-8</v>
      </c>
      <c r="T88" s="128">
        <f t="shared" si="19"/>
        <v>2.0000000800000208</v>
      </c>
      <c r="U88" s="128">
        <f t="shared" si="20"/>
        <v>379.00000016000001</v>
      </c>
      <c r="W88" s="128">
        <f t="shared" si="29"/>
        <v>69.000000000000014</v>
      </c>
      <c r="X88" s="128">
        <f t="shared" si="30"/>
        <v>108.00000008000001</v>
      </c>
    </row>
    <row r="89" spans="1:24">
      <c r="A89" s="22">
        <v>43091</v>
      </c>
      <c r="B89" s="130">
        <v>1</v>
      </c>
      <c r="C89" s="130">
        <v>0</v>
      </c>
      <c r="D89" s="130">
        <v>1</v>
      </c>
      <c r="E89" s="130">
        <v>1</v>
      </c>
      <c r="F89" s="130">
        <v>1</v>
      </c>
      <c r="G89" s="130">
        <v>1</v>
      </c>
      <c r="K89" s="86">
        <f t="shared" si="21"/>
        <v>43091</v>
      </c>
      <c r="L89" s="128">
        <f t="shared" si="22"/>
        <v>70.000000080000007</v>
      </c>
      <c r="M89" s="128">
        <f t="shared" si="23"/>
        <v>42.000000080000007</v>
      </c>
      <c r="N89" s="128">
        <f t="shared" si="24"/>
        <v>67.999999999999986</v>
      </c>
      <c r="O89" s="128">
        <f t="shared" si="25"/>
        <v>67</v>
      </c>
      <c r="P89" s="128">
        <f t="shared" si="26"/>
        <v>67</v>
      </c>
      <c r="Q89" s="128">
        <f t="shared" si="27"/>
        <v>70.000000000000014</v>
      </c>
      <c r="R89" s="128">
        <f t="shared" si="28"/>
        <v>-7.9999992408374965E-8</v>
      </c>
      <c r="T89" s="128">
        <f t="shared" si="19"/>
        <v>2.0000000800000208</v>
      </c>
      <c r="U89" s="128">
        <f t="shared" si="20"/>
        <v>384.00000016000001</v>
      </c>
      <c r="W89" s="128">
        <f t="shared" si="29"/>
        <v>70.000000000000014</v>
      </c>
      <c r="X89" s="128">
        <f t="shared" si="30"/>
        <v>109.00000008000001</v>
      </c>
    </row>
    <row r="90" spans="1:24">
      <c r="A90" s="22">
        <v>43098</v>
      </c>
      <c r="B90" s="130">
        <v>1</v>
      </c>
      <c r="C90" s="130">
        <v>0</v>
      </c>
      <c r="D90" s="130">
        <v>0</v>
      </c>
      <c r="E90" s="130">
        <v>0</v>
      </c>
      <c r="F90" s="130">
        <v>1</v>
      </c>
      <c r="G90" s="130">
        <v>0</v>
      </c>
      <c r="K90" s="86">
        <f t="shared" si="21"/>
        <v>43098</v>
      </c>
      <c r="L90" s="128">
        <f t="shared" si="22"/>
        <v>71.000000080000007</v>
      </c>
      <c r="M90" s="128">
        <f t="shared" si="23"/>
        <v>42.000000080000007</v>
      </c>
      <c r="N90" s="128">
        <f t="shared" si="24"/>
        <v>67.999999999999986</v>
      </c>
      <c r="O90" s="128">
        <f t="shared" si="25"/>
        <v>67</v>
      </c>
      <c r="P90" s="128">
        <f t="shared" si="26"/>
        <v>68</v>
      </c>
      <c r="Q90" s="128">
        <f t="shared" si="27"/>
        <v>70.000000000000014</v>
      </c>
      <c r="R90" s="128">
        <f t="shared" si="28"/>
        <v>-1.0000000799999924</v>
      </c>
      <c r="T90" s="128">
        <f t="shared" si="19"/>
        <v>3.0000000800000208</v>
      </c>
      <c r="U90" s="128">
        <f t="shared" si="20"/>
        <v>386.00000016000001</v>
      </c>
      <c r="W90" s="128">
        <f t="shared" si="29"/>
        <v>70.000000000000014</v>
      </c>
      <c r="X90" s="128">
        <f t="shared" si="30"/>
        <v>109.00000008000001</v>
      </c>
    </row>
    <row r="91" spans="1:24">
      <c r="A91" s="22">
        <v>43105</v>
      </c>
      <c r="B91" s="130">
        <v>1</v>
      </c>
      <c r="C91" s="130">
        <v>0</v>
      </c>
      <c r="D91" s="130">
        <v>0</v>
      </c>
      <c r="E91" s="130">
        <v>1</v>
      </c>
      <c r="F91" s="130">
        <v>1</v>
      </c>
      <c r="G91" s="130">
        <v>0</v>
      </c>
      <c r="K91" s="86">
        <f t="shared" si="21"/>
        <v>43105</v>
      </c>
      <c r="L91" s="128">
        <f t="shared" si="22"/>
        <v>72.000000080000007</v>
      </c>
      <c r="M91" s="128">
        <f t="shared" si="23"/>
        <v>42.000000080000007</v>
      </c>
      <c r="N91" s="128">
        <f t="shared" si="24"/>
        <v>67.999999999999986</v>
      </c>
      <c r="O91" s="128">
        <f t="shared" si="25"/>
        <v>68</v>
      </c>
      <c r="P91" s="128">
        <f t="shared" si="26"/>
        <v>69</v>
      </c>
      <c r="Q91" s="128">
        <f t="shared" si="27"/>
        <v>70.000000000000014</v>
      </c>
      <c r="R91" s="128">
        <f t="shared" si="28"/>
        <v>-2.0000000799999924</v>
      </c>
      <c r="T91" s="128">
        <f t="shared" si="19"/>
        <v>4.0000000800000208</v>
      </c>
      <c r="U91" s="128">
        <f t="shared" si="20"/>
        <v>389.00000016000001</v>
      </c>
      <c r="W91" s="128">
        <f t="shared" si="29"/>
        <v>70.000000000000014</v>
      </c>
      <c r="X91" s="128">
        <f t="shared" si="30"/>
        <v>110.00000008000001</v>
      </c>
    </row>
    <row r="92" spans="1:24">
      <c r="A92" s="22">
        <v>43112</v>
      </c>
      <c r="B92" s="130">
        <v>1</v>
      </c>
      <c r="C92" s="130">
        <v>0</v>
      </c>
      <c r="D92" s="130">
        <v>0</v>
      </c>
      <c r="E92" s="130">
        <v>0</v>
      </c>
      <c r="F92" s="130">
        <v>1</v>
      </c>
      <c r="G92" s="130">
        <v>1</v>
      </c>
      <c r="K92" s="86">
        <f t="shared" si="21"/>
        <v>43112</v>
      </c>
      <c r="L92" s="128">
        <f t="shared" si="22"/>
        <v>73.000000080000007</v>
      </c>
      <c r="M92" s="128">
        <f t="shared" si="23"/>
        <v>42.000000080000007</v>
      </c>
      <c r="N92" s="128">
        <f t="shared" si="24"/>
        <v>67.999999999999986</v>
      </c>
      <c r="O92" s="128">
        <f t="shared" si="25"/>
        <v>68</v>
      </c>
      <c r="P92" s="128">
        <f t="shared" si="26"/>
        <v>70</v>
      </c>
      <c r="Q92" s="128">
        <f t="shared" si="27"/>
        <v>71.000000000000014</v>
      </c>
      <c r="R92" s="128">
        <f t="shared" si="28"/>
        <v>-2.0000000799999924</v>
      </c>
      <c r="T92" s="128">
        <f t="shared" si="19"/>
        <v>5.0000000800000208</v>
      </c>
      <c r="U92" s="128">
        <f t="shared" si="20"/>
        <v>392.00000016000001</v>
      </c>
      <c r="W92" s="128">
        <f t="shared" si="29"/>
        <v>71.000000000000014</v>
      </c>
      <c r="X92" s="128">
        <f t="shared" si="30"/>
        <v>110.00000008000001</v>
      </c>
    </row>
    <row r="93" spans="1:24">
      <c r="A93" s="22">
        <v>43119</v>
      </c>
      <c r="B93" s="130">
        <v>0</v>
      </c>
      <c r="C93" s="130">
        <v>0</v>
      </c>
      <c r="D93" s="130">
        <v>1</v>
      </c>
      <c r="E93" s="130">
        <v>1</v>
      </c>
      <c r="F93" s="130">
        <v>1</v>
      </c>
      <c r="G93" s="130">
        <v>1</v>
      </c>
      <c r="K93" s="86">
        <f t="shared" si="21"/>
        <v>43119</v>
      </c>
      <c r="L93" s="128">
        <f t="shared" si="22"/>
        <v>73.000000080000007</v>
      </c>
      <c r="M93" s="128">
        <f t="shared" si="23"/>
        <v>42.000000080000007</v>
      </c>
      <c r="N93" s="128">
        <f t="shared" si="24"/>
        <v>68.999999999999986</v>
      </c>
      <c r="O93" s="128">
        <f t="shared" si="25"/>
        <v>69</v>
      </c>
      <c r="P93" s="128">
        <f t="shared" si="26"/>
        <v>71</v>
      </c>
      <c r="Q93" s="128">
        <f t="shared" si="27"/>
        <v>72.000000000000014</v>
      </c>
      <c r="R93" s="128">
        <f t="shared" si="28"/>
        <v>-1.0000000799999924</v>
      </c>
      <c r="T93" s="128">
        <f t="shared" si="19"/>
        <v>4.0000000800000208</v>
      </c>
      <c r="U93" s="128">
        <f t="shared" si="20"/>
        <v>396.00000016000001</v>
      </c>
      <c r="W93" s="128">
        <f t="shared" si="29"/>
        <v>72.000000000000014</v>
      </c>
      <c r="X93" s="128">
        <f t="shared" si="30"/>
        <v>111.00000008000001</v>
      </c>
    </row>
    <row r="94" spans="1:24">
      <c r="A94" s="22">
        <v>43126</v>
      </c>
      <c r="B94" s="130">
        <v>1</v>
      </c>
      <c r="C94" s="130">
        <v>0</v>
      </c>
      <c r="D94" s="130">
        <v>1</v>
      </c>
      <c r="E94" s="130">
        <v>0</v>
      </c>
      <c r="F94" s="130">
        <v>1</v>
      </c>
      <c r="G94" s="130">
        <v>0</v>
      </c>
      <c r="K94" s="86">
        <f t="shared" si="21"/>
        <v>43126</v>
      </c>
      <c r="L94" s="128">
        <f t="shared" si="22"/>
        <v>74.000000080000007</v>
      </c>
      <c r="M94" s="128">
        <f t="shared" si="23"/>
        <v>42.000000080000007</v>
      </c>
      <c r="N94" s="128">
        <f t="shared" si="24"/>
        <v>69.999999999999986</v>
      </c>
      <c r="O94" s="128">
        <f t="shared" si="25"/>
        <v>69</v>
      </c>
      <c r="P94" s="128">
        <f t="shared" si="26"/>
        <v>72</v>
      </c>
      <c r="Q94" s="128">
        <f t="shared" si="27"/>
        <v>72.000000000000014</v>
      </c>
      <c r="R94" s="128">
        <f t="shared" si="28"/>
        <v>-2.0000000799999924</v>
      </c>
      <c r="T94" s="128">
        <f t="shared" si="19"/>
        <v>4.0000000800000208</v>
      </c>
      <c r="U94" s="128">
        <f t="shared" si="20"/>
        <v>399.00000016000001</v>
      </c>
      <c r="W94" s="128">
        <f t="shared" si="29"/>
        <v>72.000000000000014</v>
      </c>
      <c r="X94" s="128">
        <f t="shared" si="30"/>
        <v>111.00000008000001</v>
      </c>
    </row>
    <row r="95" spans="1:24">
      <c r="A95" s="22">
        <v>43133</v>
      </c>
      <c r="B95" s="130">
        <v>0</v>
      </c>
      <c r="C95" s="130">
        <v>0</v>
      </c>
      <c r="D95" s="130">
        <v>0</v>
      </c>
      <c r="E95" s="130">
        <v>0</v>
      </c>
      <c r="F95" s="130">
        <v>0</v>
      </c>
      <c r="G95" s="130">
        <v>1</v>
      </c>
      <c r="K95" s="86">
        <f t="shared" si="21"/>
        <v>43133</v>
      </c>
      <c r="L95" s="128">
        <f t="shared" si="22"/>
        <v>74.000000080000007</v>
      </c>
      <c r="M95" s="128">
        <f t="shared" si="23"/>
        <v>42.000000080000007</v>
      </c>
      <c r="N95" s="128">
        <f t="shared" si="24"/>
        <v>69.999999999999986</v>
      </c>
      <c r="O95" s="128">
        <f t="shared" si="25"/>
        <v>69</v>
      </c>
      <c r="P95" s="128">
        <f t="shared" si="26"/>
        <v>72</v>
      </c>
      <c r="Q95" s="128">
        <f t="shared" si="27"/>
        <v>73.000000000000014</v>
      </c>
      <c r="R95" s="128">
        <f t="shared" si="28"/>
        <v>-1.0000000799999924</v>
      </c>
      <c r="T95" s="128">
        <f t="shared" si="19"/>
        <v>4.0000000800000208</v>
      </c>
      <c r="U95" s="128">
        <f t="shared" si="20"/>
        <v>400.00000016000001</v>
      </c>
      <c r="W95" s="128">
        <f t="shared" si="29"/>
        <v>73.000000000000014</v>
      </c>
      <c r="X95" s="128">
        <f t="shared" si="30"/>
        <v>111.00000008000001</v>
      </c>
    </row>
    <row r="96" spans="1:24">
      <c r="A96" s="22">
        <v>43140</v>
      </c>
      <c r="B96" s="130">
        <v>1</v>
      </c>
      <c r="C96" s="130">
        <v>0</v>
      </c>
      <c r="D96" s="130">
        <v>1</v>
      </c>
      <c r="E96" s="130">
        <v>1</v>
      </c>
      <c r="F96" s="130">
        <v>0</v>
      </c>
      <c r="G96" s="130">
        <v>1</v>
      </c>
      <c r="K96" s="86">
        <f t="shared" si="21"/>
        <v>43140</v>
      </c>
      <c r="L96" s="128">
        <f t="shared" si="22"/>
        <v>75.000000080000007</v>
      </c>
      <c r="M96" s="128">
        <f t="shared" si="23"/>
        <v>42.000000080000007</v>
      </c>
      <c r="N96" s="128">
        <f t="shared" si="24"/>
        <v>70.999999999999986</v>
      </c>
      <c r="O96" s="128">
        <f t="shared" si="25"/>
        <v>70</v>
      </c>
      <c r="P96" s="128">
        <f t="shared" si="26"/>
        <v>72</v>
      </c>
      <c r="Q96" s="128">
        <f t="shared" si="27"/>
        <v>74.000000000000014</v>
      </c>
      <c r="R96" s="128">
        <f t="shared" si="28"/>
        <v>-1.0000000799999924</v>
      </c>
      <c r="T96" s="128">
        <f t="shared" si="19"/>
        <v>4.0000000800000208</v>
      </c>
      <c r="U96" s="128">
        <f t="shared" si="20"/>
        <v>404.00000016000001</v>
      </c>
      <c r="W96" s="128">
        <f t="shared" si="29"/>
        <v>74.000000000000014</v>
      </c>
      <c r="X96" s="128">
        <f t="shared" si="30"/>
        <v>112.00000008000001</v>
      </c>
    </row>
    <row r="97" spans="1:24">
      <c r="A97" s="22">
        <v>43147</v>
      </c>
      <c r="B97" s="130">
        <v>1</v>
      </c>
      <c r="C97" s="130">
        <v>0</v>
      </c>
      <c r="D97" s="130">
        <v>1</v>
      </c>
      <c r="E97" s="130">
        <v>0</v>
      </c>
      <c r="F97" s="130">
        <v>1</v>
      </c>
      <c r="G97" s="130">
        <v>1</v>
      </c>
      <c r="K97" s="86">
        <f t="shared" si="21"/>
        <v>43147</v>
      </c>
      <c r="L97" s="128">
        <f t="shared" si="22"/>
        <v>76.000000080000007</v>
      </c>
      <c r="M97" s="128">
        <f t="shared" si="23"/>
        <v>42.000000080000007</v>
      </c>
      <c r="N97" s="128">
        <f t="shared" si="24"/>
        <v>71.999999999999986</v>
      </c>
      <c r="O97" s="128">
        <f t="shared" si="25"/>
        <v>70</v>
      </c>
      <c r="P97" s="128">
        <f t="shared" si="26"/>
        <v>73</v>
      </c>
      <c r="Q97" s="128">
        <f t="shared" si="27"/>
        <v>75.000000000000014</v>
      </c>
      <c r="R97" s="128">
        <f t="shared" si="28"/>
        <v>-1.0000000799999924</v>
      </c>
      <c r="T97" s="128">
        <f t="shared" si="19"/>
        <v>4.0000000800000208</v>
      </c>
      <c r="U97" s="128">
        <f t="shared" si="20"/>
        <v>408.00000016000001</v>
      </c>
      <c r="W97" s="128">
        <f t="shared" si="29"/>
        <v>75.000000000000014</v>
      </c>
      <c r="X97" s="128">
        <f t="shared" si="30"/>
        <v>112.00000008000001</v>
      </c>
    </row>
    <row r="98" spans="1:24">
      <c r="A98" s="22">
        <v>43154</v>
      </c>
      <c r="B98" s="130">
        <v>1</v>
      </c>
      <c r="C98" s="130">
        <v>0</v>
      </c>
      <c r="D98" s="130">
        <v>1</v>
      </c>
      <c r="E98" s="130">
        <v>1</v>
      </c>
      <c r="F98" s="130">
        <v>0</v>
      </c>
      <c r="G98" s="130">
        <v>1</v>
      </c>
      <c r="K98" s="86">
        <f t="shared" si="21"/>
        <v>43154</v>
      </c>
      <c r="L98" s="128">
        <f t="shared" si="22"/>
        <v>77.000000080000007</v>
      </c>
      <c r="M98" s="128">
        <f t="shared" si="23"/>
        <v>42.000000080000007</v>
      </c>
      <c r="N98" s="128">
        <f t="shared" si="24"/>
        <v>72.999999999999986</v>
      </c>
      <c r="O98" s="128">
        <f t="shared" si="25"/>
        <v>71</v>
      </c>
      <c r="P98" s="128">
        <f t="shared" si="26"/>
        <v>73</v>
      </c>
      <c r="Q98" s="128">
        <f t="shared" si="27"/>
        <v>76.000000000000014</v>
      </c>
      <c r="R98" s="128">
        <f t="shared" si="28"/>
        <v>-1.0000000799999924</v>
      </c>
      <c r="T98" s="128">
        <f t="shared" si="19"/>
        <v>4.0000000800000208</v>
      </c>
      <c r="U98" s="128">
        <f t="shared" si="20"/>
        <v>412.00000016000001</v>
      </c>
      <c r="W98" s="128">
        <f t="shared" si="29"/>
        <v>76.000000000000014</v>
      </c>
      <c r="X98" s="128">
        <f t="shared" si="30"/>
        <v>113.00000008000001</v>
      </c>
    </row>
    <row r="99" spans="1:24">
      <c r="A99" s="22">
        <v>43161</v>
      </c>
      <c r="B99" s="130">
        <v>1</v>
      </c>
      <c r="C99" s="130">
        <v>0</v>
      </c>
      <c r="D99" s="130">
        <v>1</v>
      </c>
      <c r="E99" s="130">
        <v>1</v>
      </c>
      <c r="F99" s="130">
        <v>1</v>
      </c>
      <c r="G99" s="130">
        <v>1</v>
      </c>
      <c r="K99" s="86">
        <f t="shared" si="21"/>
        <v>43161</v>
      </c>
      <c r="L99" s="128">
        <f t="shared" si="22"/>
        <v>78.000000080000007</v>
      </c>
      <c r="M99" s="128">
        <f t="shared" si="23"/>
        <v>42.000000080000007</v>
      </c>
      <c r="N99" s="128">
        <f t="shared" si="24"/>
        <v>73.999999999999986</v>
      </c>
      <c r="O99" s="128">
        <f t="shared" si="25"/>
        <v>72</v>
      </c>
      <c r="P99" s="128">
        <f t="shared" si="26"/>
        <v>74</v>
      </c>
      <c r="Q99" s="128">
        <f t="shared" si="27"/>
        <v>77.000000000000014</v>
      </c>
      <c r="R99" s="128">
        <f t="shared" si="28"/>
        <v>-1.0000000799999924</v>
      </c>
      <c r="T99" s="128">
        <f t="shared" si="19"/>
        <v>4.0000000800000208</v>
      </c>
      <c r="U99" s="128">
        <f t="shared" si="20"/>
        <v>417.00000016000001</v>
      </c>
      <c r="W99" s="128">
        <f t="shared" si="29"/>
        <v>77.000000000000014</v>
      </c>
      <c r="X99" s="128">
        <f t="shared" si="30"/>
        <v>114.00000008000001</v>
      </c>
    </row>
    <row r="100" spans="1:24">
      <c r="A100" s="22">
        <v>43168</v>
      </c>
      <c r="B100" s="130">
        <v>0</v>
      </c>
      <c r="C100" s="130">
        <v>0</v>
      </c>
      <c r="D100" s="130">
        <v>1</v>
      </c>
      <c r="E100" s="130">
        <v>1</v>
      </c>
      <c r="F100" s="130">
        <v>1</v>
      </c>
      <c r="G100" s="130">
        <v>0</v>
      </c>
      <c r="K100" s="86">
        <f t="shared" si="21"/>
        <v>43168</v>
      </c>
      <c r="L100" s="128">
        <f t="shared" si="22"/>
        <v>78.000000080000007</v>
      </c>
      <c r="M100" s="128">
        <f t="shared" si="23"/>
        <v>42.000000080000007</v>
      </c>
      <c r="N100" s="128">
        <f t="shared" si="24"/>
        <v>74.999999999999986</v>
      </c>
      <c r="O100" s="128">
        <f t="shared" si="25"/>
        <v>73</v>
      </c>
      <c r="P100" s="128">
        <f t="shared" si="26"/>
        <v>75</v>
      </c>
      <c r="Q100" s="128">
        <f t="shared" si="27"/>
        <v>77.000000000000014</v>
      </c>
      <c r="R100" s="128">
        <f t="shared" si="28"/>
        <v>-1.0000000799999924</v>
      </c>
      <c r="T100" s="128">
        <f t="shared" si="19"/>
        <v>3.0000000800000208</v>
      </c>
      <c r="U100" s="128">
        <f t="shared" si="20"/>
        <v>420.00000016000001</v>
      </c>
      <c r="W100" s="128">
        <f t="shared" si="29"/>
        <v>77.000000000000014</v>
      </c>
      <c r="X100" s="128">
        <f t="shared" si="30"/>
        <v>115.00000008000001</v>
      </c>
    </row>
    <row r="101" spans="1:24">
      <c r="A101" s="22">
        <v>43175</v>
      </c>
      <c r="B101" s="130">
        <v>1</v>
      </c>
      <c r="C101" s="130">
        <v>0</v>
      </c>
      <c r="D101" s="130">
        <v>1</v>
      </c>
      <c r="E101" s="130">
        <v>1</v>
      </c>
      <c r="F101" s="130">
        <v>1</v>
      </c>
      <c r="G101" s="130">
        <v>0</v>
      </c>
      <c r="K101" s="86">
        <f t="shared" si="21"/>
        <v>43175</v>
      </c>
      <c r="L101" s="128">
        <f t="shared" si="22"/>
        <v>79.000000080000007</v>
      </c>
      <c r="M101" s="128">
        <f t="shared" si="23"/>
        <v>42.000000080000007</v>
      </c>
      <c r="N101" s="128">
        <f t="shared" si="24"/>
        <v>75.999999999999986</v>
      </c>
      <c r="O101" s="128">
        <f t="shared" si="25"/>
        <v>74</v>
      </c>
      <c r="P101" s="128">
        <f t="shared" si="26"/>
        <v>76</v>
      </c>
      <c r="Q101" s="128">
        <f t="shared" si="27"/>
        <v>77.000000000000014</v>
      </c>
      <c r="R101" s="128">
        <f t="shared" si="28"/>
        <v>-2.0000000799999924</v>
      </c>
      <c r="T101" s="128">
        <f t="shared" si="19"/>
        <v>3.0000000800000208</v>
      </c>
      <c r="U101" s="128">
        <f t="shared" si="20"/>
        <v>424.00000016000001</v>
      </c>
      <c r="W101" s="128">
        <f t="shared" si="29"/>
        <v>77.000000000000014</v>
      </c>
      <c r="X101" s="128">
        <f t="shared" si="30"/>
        <v>116.00000008000001</v>
      </c>
    </row>
    <row r="102" spans="1:24">
      <c r="A102" s="22">
        <v>43182</v>
      </c>
      <c r="B102" s="130">
        <v>1</v>
      </c>
      <c r="C102" s="130">
        <v>0</v>
      </c>
      <c r="D102" s="130">
        <v>1</v>
      </c>
      <c r="E102" s="130">
        <v>0</v>
      </c>
      <c r="F102" s="130">
        <v>1</v>
      </c>
      <c r="G102" s="130">
        <v>1</v>
      </c>
      <c r="K102" s="86">
        <f t="shared" si="21"/>
        <v>43182</v>
      </c>
      <c r="L102" s="128">
        <f t="shared" si="22"/>
        <v>80.000000080000007</v>
      </c>
      <c r="M102" s="128">
        <f t="shared" si="23"/>
        <v>42.000000080000007</v>
      </c>
      <c r="N102" s="128">
        <f t="shared" si="24"/>
        <v>76.999999999999986</v>
      </c>
      <c r="O102" s="128">
        <f t="shared" si="25"/>
        <v>74</v>
      </c>
      <c r="P102" s="128">
        <f t="shared" si="26"/>
        <v>77</v>
      </c>
      <c r="Q102" s="128">
        <f t="shared" si="27"/>
        <v>78.000000000000014</v>
      </c>
      <c r="R102" s="128">
        <f t="shared" si="28"/>
        <v>-2.0000000799999924</v>
      </c>
      <c r="T102" s="128">
        <f t="shared" si="19"/>
        <v>3.0000000800000208</v>
      </c>
      <c r="U102" s="128">
        <f t="shared" si="20"/>
        <v>428.00000016000001</v>
      </c>
      <c r="W102" s="128">
        <f t="shared" si="29"/>
        <v>78.000000000000014</v>
      </c>
      <c r="X102" s="128">
        <f t="shared" si="30"/>
        <v>116.00000008000001</v>
      </c>
    </row>
    <row r="103" spans="1:24">
      <c r="A103" s="22">
        <v>43196</v>
      </c>
      <c r="B103" s="130">
        <v>0</v>
      </c>
      <c r="C103" s="130">
        <v>0</v>
      </c>
      <c r="D103" s="130">
        <v>1</v>
      </c>
      <c r="E103" s="130">
        <v>1</v>
      </c>
      <c r="F103" s="130">
        <v>1</v>
      </c>
      <c r="G103" s="130">
        <v>1</v>
      </c>
      <c r="K103" s="86">
        <f t="shared" si="21"/>
        <v>43196</v>
      </c>
      <c r="L103" s="128">
        <f t="shared" si="22"/>
        <v>80.000000080000007</v>
      </c>
      <c r="M103" s="128">
        <f t="shared" si="23"/>
        <v>42.000000080000007</v>
      </c>
      <c r="N103" s="128">
        <f t="shared" si="24"/>
        <v>77.999999999999986</v>
      </c>
      <c r="O103" s="128">
        <f t="shared" si="25"/>
        <v>75</v>
      </c>
      <c r="P103" s="128">
        <f t="shared" si="26"/>
        <v>78</v>
      </c>
      <c r="Q103" s="128">
        <f t="shared" si="27"/>
        <v>79.000000000000014</v>
      </c>
      <c r="R103" s="128">
        <f t="shared" si="28"/>
        <v>-1.0000000799999924</v>
      </c>
      <c r="T103" s="128">
        <f t="shared" ref="T103:T166" si="31">L103-N103</f>
        <v>2.0000000800000208</v>
      </c>
      <c r="U103" s="128">
        <f t="shared" si="20"/>
        <v>432.00000016000001</v>
      </c>
      <c r="W103" s="128">
        <f t="shared" si="29"/>
        <v>79.000000000000014</v>
      </c>
      <c r="X103" s="128">
        <f t="shared" si="30"/>
        <v>117.00000008000001</v>
      </c>
    </row>
    <row r="104" spans="1:24">
      <c r="A104" s="22">
        <v>43203</v>
      </c>
      <c r="B104" s="130">
        <v>1</v>
      </c>
      <c r="C104" s="130">
        <v>0</v>
      </c>
      <c r="D104" s="130">
        <v>1</v>
      </c>
      <c r="E104" s="130">
        <v>1</v>
      </c>
      <c r="F104" s="130">
        <v>1</v>
      </c>
      <c r="G104" s="130">
        <v>1</v>
      </c>
      <c r="K104" s="86">
        <f t="shared" si="21"/>
        <v>43203</v>
      </c>
      <c r="L104" s="128">
        <f t="shared" si="22"/>
        <v>81.000000080000007</v>
      </c>
      <c r="M104" s="128">
        <f t="shared" si="23"/>
        <v>42.000000080000007</v>
      </c>
      <c r="N104" s="128">
        <f t="shared" si="24"/>
        <v>78.999999999999986</v>
      </c>
      <c r="O104" s="128">
        <f t="shared" si="25"/>
        <v>76</v>
      </c>
      <c r="P104" s="128">
        <f t="shared" si="26"/>
        <v>79</v>
      </c>
      <c r="Q104" s="128">
        <f t="shared" si="27"/>
        <v>80.000000000000014</v>
      </c>
      <c r="R104" s="128">
        <f t="shared" si="28"/>
        <v>-1.0000000799999924</v>
      </c>
      <c r="T104" s="128">
        <f t="shared" si="31"/>
        <v>2.0000000800000208</v>
      </c>
      <c r="U104" s="128">
        <f t="shared" si="20"/>
        <v>437.00000016000001</v>
      </c>
      <c r="W104" s="128">
        <f t="shared" si="29"/>
        <v>80.000000000000014</v>
      </c>
      <c r="X104" s="128">
        <f t="shared" si="30"/>
        <v>118.00000008000001</v>
      </c>
    </row>
    <row r="105" spans="1:24">
      <c r="A105" s="22">
        <v>43210</v>
      </c>
      <c r="B105" s="130">
        <v>1</v>
      </c>
      <c r="C105" s="130">
        <v>0</v>
      </c>
      <c r="D105" s="130">
        <v>1</v>
      </c>
      <c r="E105" s="130">
        <v>1</v>
      </c>
      <c r="F105" s="130">
        <v>0</v>
      </c>
      <c r="G105" s="130">
        <v>1</v>
      </c>
      <c r="K105" s="86">
        <f t="shared" si="21"/>
        <v>43210</v>
      </c>
      <c r="L105" s="128">
        <f t="shared" si="22"/>
        <v>82.000000080000007</v>
      </c>
      <c r="M105" s="128">
        <f t="shared" si="23"/>
        <v>42.000000080000007</v>
      </c>
      <c r="N105" s="128">
        <f t="shared" si="24"/>
        <v>79.999999999999986</v>
      </c>
      <c r="O105" s="128">
        <f t="shared" si="25"/>
        <v>77</v>
      </c>
      <c r="P105" s="128">
        <f t="shared" si="26"/>
        <v>79</v>
      </c>
      <c r="Q105" s="128">
        <f t="shared" si="27"/>
        <v>81.000000000000014</v>
      </c>
      <c r="R105" s="128">
        <f t="shared" si="28"/>
        <v>-1.0000000799999924</v>
      </c>
      <c r="T105" s="128">
        <f t="shared" si="31"/>
        <v>2.0000000800000208</v>
      </c>
      <c r="U105" s="128">
        <f t="shared" si="20"/>
        <v>441.00000016000001</v>
      </c>
      <c r="W105" s="128">
        <f t="shared" si="29"/>
        <v>81.000000000000014</v>
      </c>
      <c r="X105" s="128">
        <f t="shared" si="30"/>
        <v>119.00000008000001</v>
      </c>
    </row>
    <row r="106" spans="1:24">
      <c r="A106" s="22">
        <v>43217</v>
      </c>
      <c r="B106" s="130">
        <v>1</v>
      </c>
      <c r="C106" s="130">
        <v>1</v>
      </c>
      <c r="D106" s="130">
        <v>0</v>
      </c>
      <c r="E106" s="130">
        <v>1</v>
      </c>
      <c r="F106" s="130">
        <v>1</v>
      </c>
      <c r="G106" s="130">
        <v>1</v>
      </c>
      <c r="K106" s="86">
        <f t="shared" si="21"/>
        <v>43217</v>
      </c>
      <c r="L106" s="128">
        <f t="shared" si="22"/>
        <v>83.000000080000007</v>
      </c>
      <c r="M106" s="128">
        <f t="shared" si="23"/>
        <v>43.000000080000007</v>
      </c>
      <c r="N106" s="128">
        <f t="shared" si="24"/>
        <v>79.999999999999986</v>
      </c>
      <c r="O106" s="128">
        <f t="shared" si="25"/>
        <v>78</v>
      </c>
      <c r="P106" s="128">
        <f t="shared" si="26"/>
        <v>80</v>
      </c>
      <c r="Q106" s="128">
        <f t="shared" si="27"/>
        <v>82.000000000000014</v>
      </c>
      <c r="R106" s="128">
        <f t="shared" si="28"/>
        <v>-1.0000000799999924</v>
      </c>
      <c r="T106" s="128">
        <f t="shared" si="31"/>
        <v>3.0000000800000208</v>
      </c>
      <c r="U106" s="128">
        <f t="shared" si="20"/>
        <v>446.00000016000001</v>
      </c>
      <c r="W106" s="128">
        <f t="shared" si="29"/>
        <v>82.000000000000014</v>
      </c>
      <c r="X106" s="128">
        <f t="shared" si="30"/>
        <v>121.00000008000001</v>
      </c>
    </row>
    <row r="107" spans="1:24">
      <c r="A107" s="22">
        <v>43224</v>
      </c>
      <c r="B107" s="130">
        <v>0</v>
      </c>
      <c r="C107" s="130">
        <v>0</v>
      </c>
      <c r="D107" s="130">
        <v>0</v>
      </c>
      <c r="E107" s="130">
        <v>0</v>
      </c>
      <c r="F107" s="130">
        <v>0</v>
      </c>
      <c r="G107" s="130">
        <v>0</v>
      </c>
      <c r="K107" s="86">
        <f t="shared" si="21"/>
        <v>43224</v>
      </c>
      <c r="L107" s="128">
        <f t="shared" si="22"/>
        <v>83.000000080000007</v>
      </c>
      <c r="M107" s="128">
        <f t="shared" si="23"/>
        <v>43.000000080000007</v>
      </c>
      <c r="N107" s="128">
        <f t="shared" si="24"/>
        <v>79.999999999999986</v>
      </c>
      <c r="O107" s="128">
        <f t="shared" si="25"/>
        <v>78</v>
      </c>
      <c r="P107" s="128">
        <f t="shared" si="26"/>
        <v>80</v>
      </c>
      <c r="Q107" s="128">
        <f t="shared" si="27"/>
        <v>82.000000000000014</v>
      </c>
      <c r="R107" s="128">
        <f t="shared" si="28"/>
        <v>-1.0000000799999924</v>
      </c>
      <c r="T107" s="128">
        <f t="shared" si="31"/>
        <v>3.0000000800000208</v>
      </c>
      <c r="U107" s="128">
        <f t="shared" si="20"/>
        <v>446.00000016000001</v>
      </c>
      <c r="W107" s="128">
        <f t="shared" si="29"/>
        <v>82.000000000000014</v>
      </c>
      <c r="X107" s="128">
        <f t="shared" si="30"/>
        <v>121.00000008000001</v>
      </c>
    </row>
    <row r="108" spans="1:24">
      <c r="A108" s="22">
        <v>43231</v>
      </c>
      <c r="B108" s="130">
        <v>0</v>
      </c>
      <c r="C108" s="130">
        <v>0</v>
      </c>
      <c r="D108" s="130">
        <v>1</v>
      </c>
      <c r="E108" s="130">
        <v>1</v>
      </c>
      <c r="F108" s="130">
        <v>0</v>
      </c>
      <c r="G108" s="130">
        <v>1</v>
      </c>
      <c r="K108" s="86">
        <f t="shared" si="21"/>
        <v>43231</v>
      </c>
      <c r="L108" s="128">
        <f t="shared" si="22"/>
        <v>83.000000080000007</v>
      </c>
      <c r="M108" s="128">
        <f t="shared" si="23"/>
        <v>43.000000080000007</v>
      </c>
      <c r="N108" s="128">
        <f t="shared" si="24"/>
        <v>80.999999999999986</v>
      </c>
      <c r="O108" s="128">
        <f t="shared" si="25"/>
        <v>79</v>
      </c>
      <c r="P108" s="128">
        <f t="shared" si="26"/>
        <v>80</v>
      </c>
      <c r="Q108" s="128">
        <f t="shared" si="27"/>
        <v>83.000000000000014</v>
      </c>
      <c r="R108" s="128">
        <f t="shared" si="28"/>
        <v>-7.9999992408374965E-8</v>
      </c>
      <c r="T108" s="128">
        <f t="shared" si="31"/>
        <v>2.0000000800000208</v>
      </c>
      <c r="U108" s="128">
        <f t="shared" si="20"/>
        <v>449.00000016000001</v>
      </c>
      <c r="W108" s="128">
        <f t="shared" si="29"/>
        <v>83.000000000000014</v>
      </c>
      <c r="X108" s="128">
        <f t="shared" si="30"/>
        <v>122.00000008000001</v>
      </c>
    </row>
    <row r="109" spans="1:24">
      <c r="A109" s="22">
        <v>43238</v>
      </c>
      <c r="B109" s="130">
        <v>1</v>
      </c>
      <c r="C109" s="130">
        <v>0</v>
      </c>
      <c r="D109" s="130">
        <v>0</v>
      </c>
      <c r="E109" s="130">
        <v>0</v>
      </c>
      <c r="F109" s="130">
        <v>0</v>
      </c>
      <c r="G109" s="130">
        <v>1</v>
      </c>
      <c r="K109" s="86">
        <f t="shared" si="21"/>
        <v>43238</v>
      </c>
      <c r="L109" s="128">
        <f t="shared" si="22"/>
        <v>84.000000080000007</v>
      </c>
      <c r="M109" s="128">
        <f t="shared" si="23"/>
        <v>43.000000080000007</v>
      </c>
      <c r="N109" s="128">
        <f t="shared" si="24"/>
        <v>80.999999999999986</v>
      </c>
      <c r="O109" s="128">
        <f t="shared" si="25"/>
        <v>79</v>
      </c>
      <c r="P109" s="128">
        <f t="shared" si="26"/>
        <v>80</v>
      </c>
      <c r="Q109" s="128">
        <f t="shared" si="27"/>
        <v>84.000000000000014</v>
      </c>
      <c r="R109" s="128">
        <f t="shared" si="28"/>
        <v>-7.9999992408374965E-8</v>
      </c>
      <c r="T109" s="128">
        <f t="shared" si="31"/>
        <v>3.0000000800000208</v>
      </c>
      <c r="U109" s="128">
        <f t="shared" si="20"/>
        <v>451.00000016000001</v>
      </c>
      <c r="W109" s="128">
        <f t="shared" si="29"/>
        <v>84.000000000000014</v>
      </c>
      <c r="X109" s="128">
        <f t="shared" si="30"/>
        <v>122.00000008000001</v>
      </c>
    </row>
    <row r="110" spans="1:24">
      <c r="A110" s="22">
        <v>43245</v>
      </c>
      <c r="B110" s="130">
        <v>0</v>
      </c>
      <c r="C110" s="130">
        <v>0</v>
      </c>
      <c r="D110" s="130">
        <v>0</v>
      </c>
      <c r="E110" s="130">
        <v>0</v>
      </c>
      <c r="F110" s="130">
        <v>1</v>
      </c>
      <c r="G110" s="130">
        <v>1</v>
      </c>
      <c r="K110" s="138">
        <f t="shared" si="21"/>
        <v>43245</v>
      </c>
      <c r="L110" s="128">
        <f t="shared" si="22"/>
        <v>84.000000080000007</v>
      </c>
      <c r="M110" s="128">
        <f t="shared" si="23"/>
        <v>43.000000080000007</v>
      </c>
      <c r="N110" s="128">
        <f t="shared" si="24"/>
        <v>80.999999999999986</v>
      </c>
      <c r="O110" s="128">
        <f t="shared" si="25"/>
        <v>79</v>
      </c>
      <c r="P110" s="128">
        <f t="shared" si="26"/>
        <v>81</v>
      </c>
      <c r="Q110" s="137">
        <f t="shared" si="27"/>
        <v>85.000000000000014</v>
      </c>
      <c r="R110" s="128">
        <f t="shared" si="28"/>
        <v>0.99999992000000759</v>
      </c>
      <c r="S110" s="1">
        <f>IF(Q110&gt;L110,1,0)</f>
        <v>1</v>
      </c>
      <c r="T110" s="128">
        <f t="shared" si="31"/>
        <v>3.0000000800000208</v>
      </c>
      <c r="U110" s="128">
        <f t="shared" si="20"/>
        <v>453.00000016000001</v>
      </c>
      <c r="W110" s="128">
        <f t="shared" si="29"/>
        <v>85.000000000000014</v>
      </c>
      <c r="X110" s="128">
        <f t="shared" si="30"/>
        <v>122.00000008000001</v>
      </c>
    </row>
    <row r="111" spans="1:24">
      <c r="A111" s="22">
        <v>43252</v>
      </c>
      <c r="B111" s="130">
        <v>1</v>
      </c>
      <c r="C111" s="130">
        <v>0</v>
      </c>
      <c r="D111" s="130">
        <v>0</v>
      </c>
      <c r="E111" s="130">
        <v>0</v>
      </c>
      <c r="F111" s="130">
        <v>1</v>
      </c>
      <c r="G111" s="130">
        <v>1</v>
      </c>
      <c r="K111" s="86">
        <f t="shared" si="21"/>
        <v>43252</v>
      </c>
      <c r="L111" s="128">
        <f t="shared" si="22"/>
        <v>85.000000080000007</v>
      </c>
      <c r="M111" s="128">
        <f t="shared" si="23"/>
        <v>43.000000080000007</v>
      </c>
      <c r="N111" s="128">
        <f t="shared" si="24"/>
        <v>80.999999999999986</v>
      </c>
      <c r="O111" s="128">
        <f t="shared" si="25"/>
        <v>79</v>
      </c>
      <c r="P111" s="128">
        <f t="shared" si="26"/>
        <v>82</v>
      </c>
      <c r="Q111" s="128">
        <f t="shared" si="27"/>
        <v>86.000000000000014</v>
      </c>
      <c r="R111" s="128">
        <f t="shared" si="28"/>
        <v>0.99999992000000759</v>
      </c>
      <c r="S111" s="1">
        <f>IF(Q111&gt;L111,1,0)</f>
        <v>1</v>
      </c>
      <c r="T111" s="128">
        <f t="shared" si="31"/>
        <v>4.0000000800000208</v>
      </c>
      <c r="U111" s="128">
        <f t="shared" si="20"/>
        <v>456.00000016000001</v>
      </c>
      <c r="W111" s="128">
        <f t="shared" si="29"/>
        <v>86.000000000000014</v>
      </c>
      <c r="X111" s="128">
        <f t="shared" si="30"/>
        <v>122.00000008000001</v>
      </c>
    </row>
    <row r="112" spans="1:24">
      <c r="A112" s="22">
        <v>43259</v>
      </c>
      <c r="B112" s="130">
        <v>1</v>
      </c>
      <c r="C112" s="130">
        <v>0</v>
      </c>
      <c r="D112" s="130">
        <v>1</v>
      </c>
      <c r="E112" s="130">
        <v>0</v>
      </c>
      <c r="F112" s="130">
        <v>0</v>
      </c>
      <c r="G112" s="130">
        <v>1</v>
      </c>
      <c r="K112" s="86">
        <f t="shared" si="21"/>
        <v>43259</v>
      </c>
      <c r="L112" s="128">
        <f t="shared" si="22"/>
        <v>86.000000080000007</v>
      </c>
      <c r="M112" s="128">
        <f t="shared" si="23"/>
        <v>43.000000080000007</v>
      </c>
      <c r="N112" s="128">
        <f t="shared" si="24"/>
        <v>81.999999999999986</v>
      </c>
      <c r="O112" s="128">
        <f t="shared" si="25"/>
        <v>79</v>
      </c>
      <c r="P112" s="128">
        <f t="shared" si="26"/>
        <v>82</v>
      </c>
      <c r="Q112" s="128">
        <f t="shared" si="27"/>
        <v>87.000000000000014</v>
      </c>
      <c r="R112" s="128">
        <f t="shared" si="28"/>
        <v>0.99999992000000759</v>
      </c>
      <c r="S112" s="1">
        <f t="shared" ref="S112:S174" si="32">IF(Q112&gt;L112,1,0)</f>
        <v>1</v>
      </c>
      <c r="T112" s="128">
        <f t="shared" si="31"/>
        <v>4.0000000800000208</v>
      </c>
      <c r="U112" s="128">
        <f t="shared" si="20"/>
        <v>459.00000016000001</v>
      </c>
      <c r="W112" s="128">
        <f t="shared" si="29"/>
        <v>87.000000000000014</v>
      </c>
      <c r="X112" s="128">
        <f t="shared" si="30"/>
        <v>122.00000008000001</v>
      </c>
    </row>
    <row r="113" spans="1:24">
      <c r="A113" s="22">
        <v>43266</v>
      </c>
      <c r="B113" s="130">
        <v>0</v>
      </c>
      <c r="C113" s="130">
        <v>0</v>
      </c>
      <c r="D113" s="130">
        <v>1</v>
      </c>
      <c r="E113" s="130">
        <v>0</v>
      </c>
      <c r="F113" s="130">
        <v>1</v>
      </c>
      <c r="G113" s="130">
        <v>1</v>
      </c>
      <c r="K113" s="86">
        <f t="shared" si="21"/>
        <v>43266</v>
      </c>
      <c r="L113" s="128">
        <f t="shared" si="22"/>
        <v>86.000000080000007</v>
      </c>
      <c r="M113" s="128">
        <f t="shared" si="23"/>
        <v>43.000000080000007</v>
      </c>
      <c r="N113" s="128">
        <f t="shared" si="24"/>
        <v>82.999999999999986</v>
      </c>
      <c r="O113" s="128">
        <f t="shared" si="25"/>
        <v>79</v>
      </c>
      <c r="P113" s="128">
        <f t="shared" si="26"/>
        <v>83</v>
      </c>
      <c r="Q113" s="128">
        <f t="shared" si="27"/>
        <v>88.000000000000014</v>
      </c>
      <c r="R113" s="128">
        <f t="shared" si="28"/>
        <v>1.9999999200000076</v>
      </c>
      <c r="S113" s="1">
        <f t="shared" si="32"/>
        <v>1</v>
      </c>
      <c r="T113" s="128">
        <f t="shared" si="31"/>
        <v>3.0000000800000208</v>
      </c>
      <c r="U113" s="128">
        <f t="shared" si="20"/>
        <v>462.00000016000001</v>
      </c>
      <c r="W113" s="128">
        <f t="shared" si="29"/>
        <v>88.000000000000014</v>
      </c>
      <c r="X113" s="128">
        <f t="shared" si="30"/>
        <v>122.00000008000001</v>
      </c>
    </row>
    <row r="114" spans="1:24">
      <c r="A114" s="22">
        <v>43273</v>
      </c>
      <c r="B114" s="130">
        <v>1</v>
      </c>
      <c r="C114" s="130">
        <v>0</v>
      </c>
      <c r="D114" s="130">
        <v>1</v>
      </c>
      <c r="E114" s="130">
        <v>0</v>
      </c>
      <c r="F114" s="130">
        <v>1</v>
      </c>
      <c r="G114" s="130">
        <v>1</v>
      </c>
      <c r="J114" s="57" t="s">
        <v>146</v>
      </c>
      <c r="K114" s="86">
        <f t="shared" si="21"/>
        <v>43273</v>
      </c>
      <c r="L114" s="128">
        <f t="shared" si="22"/>
        <v>87.000000080000007</v>
      </c>
      <c r="M114" s="128">
        <f t="shared" si="23"/>
        <v>43.000000080000007</v>
      </c>
      <c r="N114" s="128">
        <f t="shared" si="24"/>
        <v>83.999999999999986</v>
      </c>
      <c r="O114" s="128">
        <f t="shared" si="25"/>
        <v>79</v>
      </c>
      <c r="P114" s="128">
        <f t="shared" si="26"/>
        <v>84</v>
      </c>
      <c r="Q114" s="128">
        <f t="shared" si="27"/>
        <v>89.000000000000014</v>
      </c>
      <c r="R114" s="128">
        <f t="shared" si="28"/>
        <v>1.9999999200000076</v>
      </c>
      <c r="S114" s="1">
        <f t="shared" si="32"/>
        <v>1</v>
      </c>
      <c r="T114" s="128">
        <f t="shared" si="31"/>
        <v>3.0000000800000208</v>
      </c>
      <c r="U114" s="128">
        <f t="shared" si="20"/>
        <v>466.00000016000001</v>
      </c>
      <c r="W114" s="128">
        <f t="shared" si="29"/>
        <v>89.000000000000014</v>
      </c>
      <c r="X114" s="128">
        <f t="shared" si="30"/>
        <v>122.00000008000001</v>
      </c>
    </row>
    <row r="115" spans="1:24">
      <c r="A115" s="22">
        <v>43280</v>
      </c>
      <c r="B115" s="130">
        <v>1</v>
      </c>
      <c r="C115" s="130">
        <v>0</v>
      </c>
      <c r="D115" s="130">
        <v>1</v>
      </c>
      <c r="E115" s="130">
        <v>0</v>
      </c>
      <c r="F115" s="130">
        <v>0</v>
      </c>
      <c r="G115" s="130">
        <v>1</v>
      </c>
      <c r="J115" s="57" t="s">
        <v>147</v>
      </c>
      <c r="K115" s="86">
        <f t="shared" si="21"/>
        <v>43280</v>
      </c>
      <c r="L115" s="128">
        <f t="shared" si="22"/>
        <v>88.000000080000007</v>
      </c>
      <c r="M115" s="128">
        <f t="shared" si="23"/>
        <v>43.000000080000007</v>
      </c>
      <c r="N115" s="128">
        <f t="shared" si="24"/>
        <v>84.999999999999986</v>
      </c>
      <c r="O115" s="128">
        <f t="shared" si="25"/>
        <v>79</v>
      </c>
      <c r="P115" s="128">
        <f t="shared" si="26"/>
        <v>84</v>
      </c>
      <c r="Q115" s="128">
        <f t="shared" si="27"/>
        <v>90.000000000000014</v>
      </c>
      <c r="R115" s="128">
        <f t="shared" si="28"/>
        <v>1.9999999200000076</v>
      </c>
      <c r="S115" s="1">
        <f t="shared" si="32"/>
        <v>1</v>
      </c>
      <c r="T115" s="128">
        <f t="shared" si="31"/>
        <v>3.0000000800000208</v>
      </c>
      <c r="U115" s="128">
        <f t="shared" si="20"/>
        <v>469.00000016000001</v>
      </c>
      <c r="W115" s="128">
        <f t="shared" si="29"/>
        <v>90.000000000000014</v>
      </c>
      <c r="X115" s="128">
        <f t="shared" si="30"/>
        <v>122.00000008000001</v>
      </c>
    </row>
    <row r="116" spans="1:24">
      <c r="A116" s="22">
        <v>43287</v>
      </c>
      <c r="B116" s="130">
        <v>1</v>
      </c>
      <c r="C116" s="130">
        <v>0</v>
      </c>
      <c r="D116" s="130">
        <v>0</v>
      </c>
      <c r="E116" s="130">
        <v>0</v>
      </c>
      <c r="F116" s="130">
        <v>0</v>
      </c>
      <c r="G116" s="130">
        <v>1</v>
      </c>
      <c r="K116" s="86">
        <f t="shared" si="21"/>
        <v>43287</v>
      </c>
      <c r="L116" s="128">
        <f t="shared" si="22"/>
        <v>89.000000080000007</v>
      </c>
      <c r="M116" s="128">
        <f t="shared" si="23"/>
        <v>43.000000080000007</v>
      </c>
      <c r="N116" s="128">
        <f t="shared" si="24"/>
        <v>84.999999999999986</v>
      </c>
      <c r="O116" s="128">
        <f t="shared" si="25"/>
        <v>79</v>
      </c>
      <c r="P116" s="128">
        <f t="shared" si="26"/>
        <v>84</v>
      </c>
      <c r="Q116" s="128">
        <f t="shared" si="27"/>
        <v>91.000000000000014</v>
      </c>
      <c r="R116" s="128">
        <f t="shared" si="28"/>
        <v>1.9999999200000076</v>
      </c>
      <c r="S116" s="1">
        <f t="shared" si="32"/>
        <v>1</v>
      </c>
      <c r="T116" s="128">
        <f t="shared" si="31"/>
        <v>4.0000000800000208</v>
      </c>
      <c r="U116" s="128">
        <f t="shared" si="20"/>
        <v>471.00000016000001</v>
      </c>
      <c r="W116" s="128">
        <f t="shared" si="29"/>
        <v>91.000000000000014</v>
      </c>
      <c r="X116" s="128">
        <f t="shared" si="30"/>
        <v>122.00000008000001</v>
      </c>
    </row>
    <row r="117" spans="1:24">
      <c r="A117" s="22">
        <v>43294</v>
      </c>
      <c r="B117" s="130">
        <v>1</v>
      </c>
      <c r="C117" s="130">
        <v>0</v>
      </c>
      <c r="D117" s="130">
        <v>1</v>
      </c>
      <c r="E117" s="130">
        <v>0</v>
      </c>
      <c r="F117" s="130">
        <v>0</v>
      </c>
      <c r="G117" s="130">
        <v>1</v>
      </c>
      <c r="J117" s="57" t="s">
        <v>148</v>
      </c>
      <c r="K117" s="86">
        <f t="shared" si="21"/>
        <v>43294</v>
      </c>
      <c r="L117" s="128">
        <f t="shared" si="22"/>
        <v>90.000000080000007</v>
      </c>
      <c r="M117" s="128">
        <f t="shared" si="23"/>
        <v>43.000000080000007</v>
      </c>
      <c r="N117" s="128">
        <f t="shared" si="24"/>
        <v>85.999999999999986</v>
      </c>
      <c r="O117" s="128">
        <f t="shared" si="25"/>
        <v>79</v>
      </c>
      <c r="P117" s="128">
        <f t="shared" si="26"/>
        <v>84</v>
      </c>
      <c r="Q117" s="128">
        <f t="shared" si="27"/>
        <v>92.000000000000014</v>
      </c>
      <c r="R117" s="128">
        <f t="shared" si="28"/>
        <v>1.9999999200000076</v>
      </c>
      <c r="S117" s="1">
        <f t="shared" si="32"/>
        <v>1</v>
      </c>
      <c r="T117" s="128">
        <f t="shared" si="31"/>
        <v>4.0000000800000208</v>
      </c>
      <c r="U117" s="128">
        <f t="shared" si="20"/>
        <v>474.00000016000001</v>
      </c>
      <c r="W117" s="128">
        <f t="shared" si="29"/>
        <v>92.000000000000014</v>
      </c>
      <c r="X117" s="128">
        <f t="shared" si="30"/>
        <v>122.00000008000001</v>
      </c>
    </row>
    <row r="118" spans="1:24">
      <c r="A118" s="22">
        <v>43301</v>
      </c>
      <c r="B118" s="130">
        <v>1</v>
      </c>
      <c r="C118" s="130">
        <v>0</v>
      </c>
      <c r="D118" s="130">
        <v>1</v>
      </c>
      <c r="E118" s="130">
        <v>0</v>
      </c>
      <c r="F118" s="130">
        <v>0</v>
      </c>
      <c r="G118" s="130">
        <v>1</v>
      </c>
      <c r="K118" s="86">
        <f t="shared" si="21"/>
        <v>43301</v>
      </c>
      <c r="L118" s="128">
        <f t="shared" si="22"/>
        <v>91.000000080000007</v>
      </c>
      <c r="M118" s="128">
        <f t="shared" si="23"/>
        <v>43.000000080000007</v>
      </c>
      <c r="N118" s="128">
        <f t="shared" si="24"/>
        <v>86.999999999999986</v>
      </c>
      <c r="O118" s="128">
        <f t="shared" si="25"/>
        <v>79</v>
      </c>
      <c r="P118" s="128">
        <f t="shared" si="26"/>
        <v>84</v>
      </c>
      <c r="Q118" s="128">
        <f t="shared" si="27"/>
        <v>93.000000000000014</v>
      </c>
      <c r="R118" s="128">
        <f t="shared" si="28"/>
        <v>1.9999999200000076</v>
      </c>
      <c r="S118" s="1">
        <f t="shared" si="32"/>
        <v>1</v>
      </c>
      <c r="T118" s="128">
        <f t="shared" si="31"/>
        <v>4.0000000800000208</v>
      </c>
      <c r="U118" s="128">
        <f t="shared" si="20"/>
        <v>477.00000016000001</v>
      </c>
      <c r="W118" s="128">
        <f t="shared" si="29"/>
        <v>93.000000000000014</v>
      </c>
      <c r="X118" s="128">
        <f t="shared" si="30"/>
        <v>122.00000008000001</v>
      </c>
    </row>
    <row r="119" spans="1:24">
      <c r="A119" s="22">
        <v>43308</v>
      </c>
      <c r="B119" s="130">
        <v>1</v>
      </c>
      <c r="C119" s="130">
        <v>0</v>
      </c>
      <c r="D119" s="130">
        <v>1</v>
      </c>
      <c r="E119" s="130">
        <v>1</v>
      </c>
      <c r="F119" s="130">
        <v>0</v>
      </c>
      <c r="G119" s="130">
        <v>1</v>
      </c>
      <c r="J119" s="57" t="s">
        <v>149</v>
      </c>
      <c r="K119" s="86">
        <f t="shared" si="21"/>
        <v>43308</v>
      </c>
      <c r="L119" s="128">
        <f t="shared" si="22"/>
        <v>92.000000080000007</v>
      </c>
      <c r="M119" s="128">
        <f t="shared" si="23"/>
        <v>43.000000080000007</v>
      </c>
      <c r="N119" s="128">
        <f t="shared" si="24"/>
        <v>87.999999999999986</v>
      </c>
      <c r="O119" s="128">
        <f t="shared" si="25"/>
        <v>80</v>
      </c>
      <c r="P119" s="128">
        <f t="shared" si="26"/>
        <v>84</v>
      </c>
      <c r="Q119" s="128">
        <f t="shared" si="27"/>
        <v>94.000000000000014</v>
      </c>
      <c r="R119" s="128">
        <f t="shared" si="28"/>
        <v>1.9999999200000076</v>
      </c>
      <c r="S119" s="1">
        <f t="shared" si="32"/>
        <v>1</v>
      </c>
      <c r="T119" s="128">
        <f t="shared" si="31"/>
        <v>4.0000000800000208</v>
      </c>
      <c r="U119" s="128">
        <f t="shared" si="20"/>
        <v>481.00000016000001</v>
      </c>
      <c r="W119" s="128">
        <f t="shared" si="29"/>
        <v>94.000000000000014</v>
      </c>
      <c r="X119" s="128">
        <f t="shared" si="30"/>
        <v>123.00000008000001</v>
      </c>
    </row>
    <row r="120" spans="1:24">
      <c r="A120" s="22">
        <v>43315</v>
      </c>
      <c r="B120" s="130">
        <v>1</v>
      </c>
      <c r="C120" s="130">
        <v>0</v>
      </c>
      <c r="D120" s="130">
        <v>1</v>
      </c>
      <c r="E120" s="130">
        <v>0</v>
      </c>
      <c r="F120" s="130">
        <v>0</v>
      </c>
      <c r="G120" s="130">
        <v>1</v>
      </c>
      <c r="J120" s="57" t="s">
        <v>150</v>
      </c>
      <c r="K120" s="86">
        <f t="shared" si="21"/>
        <v>43315</v>
      </c>
      <c r="L120" s="128">
        <f t="shared" si="22"/>
        <v>93.000000080000007</v>
      </c>
      <c r="M120" s="128">
        <f t="shared" si="23"/>
        <v>43.000000080000007</v>
      </c>
      <c r="N120" s="128">
        <f t="shared" si="24"/>
        <v>88.999999999999986</v>
      </c>
      <c r="O120" s="128">
        <f t="shared" si="25"/>
        <v>80</v>
      </c>
      <c r="P120" s="128">
        <f t="shared" si="26"/>
        <v>84</v>
      </c>
      <c r="Q120" s="128">
        <f t="shared" si="27"/>
        <v>95.000000000000014</v>
      </c>
      <c r="R120" s="128">
        <f t="shared" si="28"/>
        <v>1.9999999200000076</v>
      </c>
      <c r="S120" s="1">
        <f t="shared" si="32"/>
        <v>1</v>
      </c>
      <c r="T120" s="128">
        <f t="shared" si="31"/>
        <v>4.0000000800000208</v>
      </c>
      <c r="U120" s="128">
        <f t="shared" si="20"/>
        <v>484.00000016000001</v>
      </c>
      <c r="W120" s="128">
        <f t="shared" si="29"/>
        <v>95.000000000000014</v>
      </c>
      <c r="X120" s="128">
        <f t="shared" si="30"/>
        <v>123.00000008000001</v>
      </c>
    </row>
    <row r="121" spans="1:24">
      <c r="A121" s="22">
        <v>43322</v>
      </c>
      <c r="B121" s="130">
        <v>1</v>
      </c>
      <c r="C121" s="130">
        <v>0</v>
      </c>
      <c r="D121" s="130">
        <v>1</v>
      </c>
      <c r="E121" s="130">
        <v>0</v>
      </c>
      <c r="F121" s="130">
        <v>0</v>
      </c>
      <c r="G121" s="130">
        <v>1</v>
      </c>
      <c r="J121" s="57" t="s">
        <v>151</v>
      </c>
      <c r="K121" s="86">
        <f t="shared" si="21"/>
        <v>43322</v>
      </c>
      <c r="L121" s="128">
        <f t="shared" si="22"/>
        <v>94.000000080000007</v>
      </c>
      <c r="M121" s="128">
        <f t="shared" si="23"/>
        <v>43.000000080000007</v>
      </c>
      <c r="N121" s="128">
        <f t="shared" si="24"/>
        <v>89.999999999999986</v>
      </c>
      <c r="O121" s="128">
        <f t="shared" si="25"/>
        <v>80</v>
      </c>
      <c r="P121" s="128">
        <f t="shared" si="26"/>
        <v>84</v>
      </c>
      <c r="Q121" s="128">
        <f t="shared" si="27"/>
        <v>96.000000000000014</v>
      </c>
      <c r="R121" s="128">
        <f t="shared" si="28"/>
        <v>1.9999999200000076</v>
      </c>
      <c r="S121" s="1">
        <f t="shared" si="32"/>
        <v>1</v>
      </c>
      <c r="T121" s="128">
        <f t="shared" si="31"/>
        <v>4.0000000800000208</v>
      </c>
      <c r="U121" s="128">
        <f t="shared" si="20"/>
        <v>487.00000016000001</v>
      </c>
      <c r="W121" s="128">
        <f t="shared" si="29"/>
        <v>96.000000000000014</v>
      </c>
      <c r="X121" s="128">
        <f t="shared" si="30"/>
        <v>123.00000008000001</v>
      </c>
    </row>
    <row r="122" spans="1:24">
      <c r="A122" s="22">
        <v>43329</v>
      </c>
      <c r="B122" s="130">
        <v>1</v>
      </c>
      <c r="C122" s="130">
        <v>0</v>
      </c>
      <c r="D122" s="130">
        <v>1</v>
      </c>
      <c r="E122" s="130">
        <v>0</v>
      </c>
      <c r="F122" s="130">
        <v>0</v>
      </c>
      <c r="G122" s="130">
        <v>1</v>
      </c>
      <c r="J122" s="57" t="s">
        <v>152</v>
      </c>
      <c r="K122" s="86">
        <f t="shared" si="21"/>
        <v>43329</v>
      </c>
      <c r="L122" s="128">
        <f t="shared" si="22"/>
        <v>95.000000080000007</v>
      </c>
      <c r="M122" s="128">
        <f t="shared" si="23"/>
        <v>43.000000080000007</v>
      </c>
      <c r="N122" s="128">
        <f t="shared" si="24"/>
        <v>90.999999999999986</v>
      </c>
      <c r="O122" s="128">
        <f t="shared" si="25"/>
        <v>80</v>
      </c>
      <c r="P122" s="128">
        <f t="shared" si="26"/>
        <v>84</v>
      </c>
      <c r="Q122" s="128">
        <f t="shared" si="27"/>
        <v>97.000000000000014</v>
      </c>
      <c r="R122" s="128">
        <f t="shared" si="28"/>
        <v>1.9999999200000076</v>
      </c>
      <c r="S122" s="1">
        <f t="shared" si="32"/>
        <v>1</v>
      </c>
      <c r="T122" s="128">
        <f t="shared" si="31"/>
        <v>4.0000000800000208</v>
      </c>
      <c r="U122" s="128">
        <f t="shared" si="20"/>
        <v>490.00000016000001</v>
      </c>
      <c r="W122" s="128">
        <f t="shared" si="29"/>
        <v>97.000000000000014</v>
      </c>
      <c r="X122" s="128">
        <f t="shared" si="30"/>
        <v>123.00000008000001</v>
      </c>
    </row>
    <row r="123" spans="1:24">
      <c r="A123" s="22">
        <v>43336</v>
      </c>
      <c r="B123" s="130">
        <v>0</v>
      </c>
      <c r="C123" s="130">
        <v>0</v>
      </c>
      <c r="D123" s="130">
        <v>0</v>
      </c>
      <c r="E123" s="130">
        <v>0</v>
      </c>
      <c r="F123" s="130">
        <v>0</v>
      </c>
      <c r="G123" s="130">
        <v>1</v>
      </c>
      <c r="J123" s="57" t="s">
        <v>153</v>
      </c>
      <c r="K123" s="86">
        <f t="shared" si="21"/>
        <v>43336</v>
      </c>
      <c r="L123" s="128">
        <f t="shared" si="22"/>
        <v>95.000000080000007</v>
      </c>
      <c r="M123" s="128">
        <f t="shared" si="23"/>
        <v>43.000000080000007</v>
      </c>
      <c r="N123" s="128">
        <f t="shared" si="24"/>
        <v>90.999999999999986</v>
      </c>
      <c r="O123" s="128">
        <f t="shared" si="25"/>
        <v>80</v>
      </c>
      <c r="P123" s="128">
        <f t="shared" si="26"/>
        <v>84</v>
      </c>
      <c r="Q123" s="128">
        <f t="shared" si="27"/>
        <v>98.000000000000014</v>
      </c>
      <c r="R123" s="128">
        <f t="shared" si="28"/>
        <v>2.9999999200000076</v>
      </c>
      <c r="S123" s="1">
        <f t="shared" si="32"/>
        <v>1</v>
      </c>
      <c r="T123" s="128">
        <f t="shared" si="31"/>
        <v>4.0000000800000208</v>
      </c>
      <c r="U123" s="128">
        <f t="shared" si="20"/>
        <v>491.00000016000001</v>
      </c>
      <c r="W123" s="128">
        <f t="shared" si="29"/>
        <v>98.000000000000014</v>
      </c>
      <c r="X123" s="128">
        <f t="shared" si="30"/>
        <v>123.00000008000001</v>
      </c>
    </row>
    <row r="124" spans="1:24">
      <c r="A124" s="22">
        <v>43343</v>
      </c>
      <c r="B124" s="130">
        <v>1</v>
      </c>
      <c r="C124" s="130">
        <v>0</v>
      </c>
      <c r="D124" s="130">
        <v>0</v>
      </c>
      <c r="E124" s="130">
        <v>1</v>
      </c>
      <c r="F124" s="130">
        <v>1</v>
      </c>
      <c r="G124" s="130">
        <v>1</v>
      </c>
      <c r="J124" s="57" t="s">
        <v>154</v>
      </c>
      <c r="K124" s="86">
        <f t="shared" si="21"/>
        <v>43343</v>
      </c>
      <c r="L124" s="128">
        <f t="shared" si="22"/>
        <v>96.000000080000007</v>
      </c>
      <c r="M124" s="128">
        <f t="shared" si="23"/>
        <v>43.000000080000007</v>
      </c>
      <c r="N124" s="128">
        <f t="shared" si="24"/>
        <v>90.999999999999986</v>
      </c>
      <c r="O124" s="128">
        <f t="shared" si="25"/>
        <v>81</v>
      </c>
      <c r="P124" s="128">
        <f t="shared" si="26"/>
        <v>85</v>
      </c>
      <c r="Q124" s="128">
        <f t="shared" si="27"/>
        <v>99.000000000000014</v>
      </c>
      <c r="R124" s="128">
        <f t="shared" si="28"/>
        <v>2.9999999200000076</v>
      </c>
      <c r="S124" s="1">
        <f t="shared" si="32"/>
        <v>1</v>
      </c>
      <c r="T124" s="128">
        <f t="shared" si="31"/>
        <v>5.0000000800000208</v>
      </c>
      <c r="U124" s="128">
        <f t="shared" si="20"/>
        <v>495.00000016000001</v>
      </c>
      <c r="W124" s="128">
        <f t="shared" si="29"/>
        <v>99.000000000000014</v>
      </c>
      <c r="X124" s="128">
        <f t="shared" si="30"/>
        <v>124.00000008000001</v>
      </c>
    </row>
    <row r="125" spans="1:24">
      <c r="A125" s="22">
        <v>43350</v>
      </c>
      <c r="B125" s="130">
        <v>0</v>
      </c>
      <c r="C125" s="130">
        <v>0</v>
      </c>
      <c r="D125" s="130">
        <v>1</v>
      </c>
      <c r="E125" s="130">
        <v>0</v>
      </c>
      <c r="F125" s="130">
        <v>1</v>
      </c>
      <c r="G125" s="130">
        <v>1</v>
      </c>
      <c r="K125" s="86">
        <f t="shared" si="21"/>
        <v>43350</v>
      </c>
      <c r="L125" s="128">
        <f t="shared" si="22"/>
        <v>96.000000080000007</v>
      </c>
      <c r="M125" s="128">
        <f t="shared" si="23"/>
        <v>43.000000080000007</v>
      </c>
      <c r="N125" s="128">
        <f t="shared" si="24"/>
        <v>91.999999999999986</v>
      </c>
      <c r="O125" s="128">
        <f t="shared" si="25"/>
        <v>81</v>
      </c>
      <c r="P125" s="128">
        <f t="shared" si="26"/>
        <v>86</v>
      </c>
      <c r="Q125" s="146">
        <f t="shared" si="27"/>
        <v>100.00000000000001</v>
      </c>
      <c r="R125" s="128">
        <f t="shared" si="28"/>
        <v>3.9999999200000076</v>
      </c>
      <c r="S125" s="1">
        <f t="shared" si="32"/>
        <v>1</v>
      </c>
      <c r="T125" s="128">
        <f t="shared" si="31"/>
        <v>4.0000000800000208</v>
      </c>
      <c r="U125" s="128">
        <f t="shared" si="20"/>
        <v>498.00000016000001</v>
      </c>
      <c r="W125" s="128">
        <f t="shared" si="29"/>
        <v>100.00000000000001</v>
      </c>
      <c r="X125" s="128">
        <f t="shared" si="30"/>
        <v>124.00000008000001</v>
      </c>
    </row>
    <row r="126" spans="1:24">
      <c r="A126" s="22">
        <v>43357</v>
      </c>
      <c r="B126" s="130">
        <v>0</v>
      </c>
      <c r="C126" s="130">
        <v>0</v>
      </c>
      <c r="D126" s="130">
        <v>1</v>
      </c>
      <c r="E126" s="130">
        <v>1</v>
      </c>
      <c r="F126" s="130">
        <v>1</v>
      </c>
      <c r="G126" s="130">
        <v>1</v>
      </c>
      <c r="K126" s="86">
        <f t="shared" si="21"/>
        <v>43357</v>
      </c>
      <c r="L126" s="128">
        <f t="shared" si="22"/>
        <v>96.000000080000007</v>
      </c>
      <c r="M126" s="128">
        <f t="shared" si="23"/>
        <v>43.000000080000007</v>
      </c>
      <c r="N126" s="128">
        <f t="shared" si="24"/>
        <v>92.999999999999986</v>
      </c>
      <c r="O126" s="128">
        <f t="shared" si="25"/>
        <v>82</v>
      </c>
      <c r="P126" s="128">
        <f t="shared" si="26"/>
        <v>87</v>
      </c>
      <c r="Q126" s="128">
        <f t="shared" si="27"/>
        <v>101.00000000000001</v>
      </c>
      <c r="R126" s="128">
        <f t="shared" si="28"/>
        <v>4.9999999200000076</v>
      </c>
      <c r="S126" s="1">
        <f t="shared" si="32"/>
        <v>1</v>
      </c>
      <c r="T126" s="128">
        <f t="shared" si="31"/>
        <v>3.0000000800000208</v>
      </c>
      <c r="U126" s="128">
        <f t="shared" si="20"/>
        <v>502.00000016000001</v>
      </c>
      <c r="W126" s="128">
        <f t="shared" si="29"/>
        <v>101.00000000000001</v>
      </c>
      <c r="X126" s="128">
        <f t="shared" si="30"/>
        <v>125.00000008000001</v>
      </c>
    </row>
    <row r="127" spans="1:24">
      <c r="A127" s="22">
        <v>43364</v>
      </c>
      <c r="B127" s="130">
        <v>1</v>
      </c>
      <c r="C127" s="130">
        <v>0</v>
      </c>
      <c r="D127" s="130">
        <v>1</v>
      </c>
      <c r="E127" s="130">
        <v>0</v>
      </c>
      <c r="F127" s="130">
        <v>1</v>
      </c>
      <c r="G127" s="130">
        <v>1</v>
      </c>
      <c r="K127" s="86">
        <f t="shared" si="21"/>
        <v>43364</v>
      </c>
      <c r="L127" s="128">
        <f t="shared" si="22"/>
        <v>97.000000080000007</v>
      </c>
      <c r="M127" s="128">
        <f t="shared" si="23"/>
        <v>43.000000080000007</v>
      </c>
      <c r="N127" s="128">
        <f t="shared" si="24"/>
        <v>93.999999999999986</v>
      </c>
      <c r="O127" s="128">
        <f t="shared" si="25"/>
        <v>82</v>
      </c>
      <c r="P127" s="128">
        <f t="shared" si="26"/>
        <v>88</v>
      </c>
      <c r="Q127" s="128">
        <f t="shared" si="27"/>
        <v>102.00000000000001</v>
      </c>
      <c r="R127" s="128">
        <f t="shared" si="28"/>
        <v>4.9999999200000076</v>
      </c>
      <c r="S127" s="1">
        <f t="shared" si="32"/>
        <v>1</v>
      </c>
      <c r="T127" s="128">
        <f t="shared" si="31"/>
        <v>3.0000000800000208</v>
      </c>
      <c r="U127" s="128">
        <f t="shared" si="20"/>
        <v>506.00000016000001</v>
      </c>
      <c r="W127" s="128">
        <f t="shared" si="29"/>
        <v>102.00000000000001</v>
      </c>
      <c r="X127" s="128">
        <f t="shared" si="30"/>
        <v>125.00000008000001</v>
      </c>
    </row>
    <row r="128" spans="1:24">
      <c r="A128" s="22">
        <v>43371</v>
      </c>
      <c r="B128" s="130">
        <v>1</v>
      </c>
      <c r="C128" s="130">
        <v>0</v>
      </c>
      <c r="D128" s="130">
        <v>0</v>
      </c>
      <c r="E128" s="130">
        <v>0</v>
      </c>
      <c r="F128" s="130">
        <v>1</v>
      </c>
      <c r="G128" s="130">
        <v>0</v>
      </c>
      <c r="K128" s="86">
        <f t="shared" si="21"/>
        <v>43371</v>
      </c>
      <c r="L128" s="128">
        <f t="shared" si="22"/>
        <v>98.000000080000007</v>
      </c>
      <c r="M128" s="128">
        <f t="shared" si="23"/>
        <v>43.000000080000007</v>
      </c>
      <c r="N128" s="128">
        <f t="shared" si="24"/>
        <v>93.999999999999986</v>
      </c>
      <c r="O128" s="128">
        <f t="shared" si="25"/>
        <v>82</v>
      </c>
      <c r="P128" s="128">
        <f t="shared" si="26"/>
        <v>89</v>
      </c>
      <c r="Q128" s="128">
        <f t="shared" si="27"/>
        <v>102.00000000000001</v>
      </c>
      <c r="R128" s="128">
        <f t="shared" si="28"/>
        <v>3.9999999200000076</v>
      </c>
      <c r="S128" s="1">
        <f t="shared" si="32"/>
        <v>1</v>
      </c>
      <c r="T128" s="128">
        <f t="shared" si="31"/>
        <v>4.0000000800000208</v>
      </c>
      <c r="U128" s="128">
        <f t="shared" si="20"/>
        <v>508.00000016000001</v>
      </c>
      <c r="W128" s="128">
        <f t="shared" si="29"/>
        <v>102.00000000000001</v>
      </c>
      <c r="X128" s="128">
        <f t="shared" si="30"/>
        <v>125.00000008000001</v>
      </c>
    </row>
    <row r="129" spans="1:24">
      <c r="A129" s="22">
        <v>43378</v>
      </c>
      <c r="B129" s="130">
        <v>1</v>
      </c>
      <c r="C129" s="130">
        <v>0</v>
      </c>
      <c r="D129" s="130">
        <v>1</v>
      </c>
      <c r="E129" s="130">
        <v>0</v>
      </c>
      <c r="F129" s="130">
        <v>1</v>
      </c>
      <c r="G129" s="130">
        <v>1</v>
      </c>
      <c r="J129" s="57" t="s">
        <v>155</v>
      </c>
      <c r="K129" s="86">
        <f t="shared" si="21"/>
        <v>43378</v>
      </c>
      <c r="L129" s="128">
        <f t="shared" si="22"/>
        <v>99.000000080000007</v>
      </c>
      <c r="M129" s="128">
        <f t="shared" si="23"/>
        <v>43.000000080000007</v>
      </c>
      <c r="N129" s="128">
        <f t="shared" si="24"/>
        <v>94.999999999999986</v>
      </c>
      <c r="O129" s="128">
        <f t="shared" si="25"/>
        <v>82</v>
      </c>
      <c r="P129" s="128">
        <f t="shared" si="26"/>
        <v>90</v>
      </c>
      <c r="Q129" s="128">
        <f t="shared" si="27"/>
        <v>103.00000000000001</v>
      </c>
      <c r="R129" s="128">
        <f t="shared" si="28"/>
        <v>3.9999999200000076</v>
      </c>
      <c r="S129" s="1">
        <f t="shared" si="32"/>
        <v>1</v>
      </c>
      <c r="T129" s="128">
        <f t="shared" si="31"/>
        <v>4.0000000800000208</v>
      </c>
      <c r="U129" s="128">
        <f t="shared" si="20"/>
        <v>512.00000016000001</v>
      </c>
      <c r="W129" s="128">
        <f t="shared" si="29"/>
        <v>103.00000000000001</v>
      </c>
      <c r="X129" s="128">
        <f t="shared" si="30"/>
        <v>125.00000008000001</v>
      </c>
    </row>
    <row r="130" spans="1:24">
      <c r="A130" s="22">
        <v>43385</v>
      </c>
      <c r="B130" s="130">
        <v>1</v>
      </c>
      <c r="C130" s="130">
        <v>0</v>
      </c>
      <c r="D130" s="130">
        <v>1</v>
      </c>
      <c r="E130" s="130">
        <v>0</v>
      </c>
      <c r="F130" s="130">
        <v>1</v>
      </c>
      <c r="G130" s="130">
        <v>1</v>
      </c>
      <c r="J130" s="57" t="s">
        <v>157</v>
      </c>
      <c r="K130" s="86">
        <f t="shared" si="21"/>
        <v>43385</v>
      </c>
      <c r="L130" s="146">
        <f t="shared" si="22"/>
        <v>100.00000008000001</v>
      </c>
      <c r="M130" s="128">
        <f t="shared" si="23"/>
        <v>43.000000080000007</v>
      </c>
      <c r="N130" s="128">
        <f t="shared" si="24"/>
        <v>95.999999999999986</v>
      </c>
      <c r="O130" s="128">
        <f t="shared" si="25"/>
        <v>82</v>
      </c>
      <c r="P130" s="128">
        <f t="shared" si="26"/>
        <v>91</v>
      </c>
      <c r="Q130" s="128">
        <f t="shared" si="27"/>
        <v>104.00000000000001</v>
      </c>
      <c r="R130" s="128">
        <f t="shared" si="28"/>
        <v>3.9999999200000076</v>
      </c>
      <c r="S130" s="1">
        <f t="shared" si="32"/>
        <v>1</v>
      </c>
      <c r="T130" s="128">
        <f t="shared" si="31"/>
        <v>4.0000000800000208</v>
      </c>
      <c r="U130" s="128">
        <f t="shared" ref="U130:U193" si="33">SUM(L130:Q130)</f>
        <v>516.00000016000001</v>
      </c>
      <c r="W130" s="128">
        <f t="shared" si="29"/>
        <v>104.00000000000001</v>
      </c>
      <c r="X130" s="128">
        <f t="shared" si="30"/>
        <v>125.00000008000001</v>
      </c>
    </row>
    <row r="131" spans="1:24">
      <c r="A131" s="22">
        <v>43392</v>
      </c>
      <c r="B131" s="130">
        <v>1</v>
      </c>
      <c r="C131" s="130">
        <v>0</v>
      </c>
      <c r="D131" s="130">
        <v>1</v>
      </c>
      <c r="E131" s="130">
        <v>0</v>
      </c>
      <c r="F131" s="130">
        <v>1</v>
      </c>
      <c r="G131" s="130">
        <v>1</v>
      </c>
      <c r="J131" s="57" t="s">
        <v>156</v>
      </c>
      <c r="K131" s="86">
        <f t="shared" ref="K131:K194" si="34">A131</f>
        <v>43392</v>
      </c>
      <c r="L131" s="128">
        <f t="shared" ref="L131:L194" si="35">B131+L130</f>
        <v>101.00000008000001</v>
      </c>
      <c r="M131" s="128">
        <f t="shared" ref="M131:M194" si="36">C131+M130</f>
        <v>43.000000080000007</v>
      </c>
      <c r="N131" s="128">
        <f t="shared" ref="N131:N194" si="37">D131+N130</f>
        <v>96.999999999999986</v>
      </c>
      <c r="O131" s="128">
        <f t="shared" ref="O131:O194" si="38">E131+O130</f>
        <v>82</v>
      </c>
      <c r="P131" s="128">
        <f t="shared" ref="P131:P194" si="39">F131+P130</f>
        <v>92</v>
      </c>
      <c r="Q131" s="128">
        <f t="shared" ref="Q131:Q194" si="40">G131+Q130</f>
        <v>105.00000000000001</v>
      </c>
      <c r="R131" s="128">
        <f t="shared" ref="R131:R194" si="41">Q131-MAX(L131:P131)</f>
        <v>3.9999999200000076</v>
      </c>
      <c r="S131" s="1">
        <f t="shared" si="32"/>
        <v>1</v>
      </c>
      <c r="T131" s="128">
        <f t="shared" si="31"/>
        <v>4.0000000800000208</v>
      </c>
      <c r="U131" s="128">
        <f t="shared" si="33"/>
        <v>520.00000016000001</v>
      </c>
      <c r="W131" s="128">
        <f t="shared" ref="W131:W194" si="42">Q131</f>
        <v>105.00000000000001</v>
      </c>
      <c r="X131" s="128">
        <f t="shared" ref="X131:X194" si="43">M131+O131</f>
        <v>125.00000008000001</v>
      </c>
    </row>
    <row r="132" spans="1:24">
      <c r="A132" s="22">
        <v>43399</v>
      </c>
      <c r="B132" s="130">
        <v>1</v>
      </c>
      <c r="C132" s="130">
        <v>0</v>
      </c>
      <c r="D132" s="130">
        <v>1</v>
      </c>
      <c r="E132" s="130">
        <v>0</v>
      </c>
      <c r="F132" s="130">
        <v>1</v>
      </c>
      <c r="G132" s="130">
        <v>1</v>
      </c>
      <c r="K132" s="86">
        <f t="shared" si="34"/>
        <v>43399</v>
      </c>
      <c r="L132" s="128">
        <f t="shared" si="35"/>
        <v>102.00000008000001</v>
      </c>
      <c r="M132" s="128">
        <f t="shared" si="36"/>
        <v>43.000000080000007</v>
      </c>
      <c r="N132" s="128">
        <f t="shared" si="37"/>
        <v>97.999999999999986</v>
      </c>
      <c r="O132" s="128">
        <f t="shared" si="38"/>
        <v>82</v>
      </c>
      <c r="P132" s="128">
        <f t="shared" si="39"/>
        <v>93</v>
      </c>
      <c r="Q132" s="128">
        <f t="shared" si="40"/>
        <v>106.00000000000001</v>
      </c>
      <c r="R132" s="128">
        <f t="shared" si="41"/>
        <v>3.9999999200000076</v>
      </c>
      <c r="S132" s="1">
        <f t="shared" si="32"/>
        <v>1</v>
      </c>
      <c r="T132" s="128">
        <f t="shared" si="31"/>
        <v>4.0000000800000208</v>
      </c>
      <c r="U132" s="128">
        <f t="shared" si="33"/>
        <v>524.00000016000001</v>
      </c>
      <c r="W132" s="128">
        <f t="shared" si="42"/>
        <v>106.00000000000001</v>
      </c>
      <c r="X132" s="128">
        <f t="shared" si="43"/>
        <v>125.00000008000001</v>
      </c>
    </row>
    <row r="133" spans="1:24">
      <c r="A133" s="22">
        <v>43406</v>
      </c>
      <c r="B133" s="130">
        <v>1</v>
      </c>
      <c r="C133" s="130">
        <v>0</v>
      </c>
      <c r="D133" s="130">
        <v>1</v>
      </c>
      <c r="E133" s="130">
        <v>0</v>
      </c>
      <c r="F133" s="130">
        <v>1</v>
      </c>
      <c r="G133" s="130">
        <v>1</v>
      </c>
      <c r="K133" s="86">
        <f t="shared" si="34"/>
        <v>43406</v>
      </c>
      <c r="L133" s="128">
        <f t="shared" si="35"/>
        <v>103.00000008000001</v>
      </c>
      <c r="M133" s="128">
        <f t="shared" si="36"/>
        <v>43.000000080000007</v>
      </c>
      <c r="N133" s="128">
        <f t="shared" si="37"/>
        <v>98.999999999999986</v>
      </c>
      <c r="O133" s="128">
        <f t="shared" si="38"/>
        <v>82</v>
      </c>
      <c r="P133" s="128">
        <f t="shared" si="39"/>
        <v>94</v>
      </c>
      <c r="Q133" s="128">
        <f t="shared" si="40"/>
        <v>107.00000000000001</v>
      </c>
      <c r="R133" s="128">
        <f t="shared" si="41"/>
        <v>3.9999999200000076</v>
      </c>
      <c r="S133" s="1">
        <f t="shared" si="32"/>
        <v>1</v>
      </c>
      <c r="T133" s="128">
        <f t="shared" si="31"/>
        <v>4.0000000800000208</v>
      </c>
      <c r="U133" s="128">
        <f t="shared" si="33"/>
        <v>528.00000016000001</v>
      </c>
      <c r="W133" s="128">
        <f t="shared" si="42"/>
        <v>107.00000000000001</v>
      </c>
      <c r="X133" s="128">
        <f t="shared" si="43"/>
        <v>125.00000008000001</v>
      </c>
    </row>
    <row r="134" spans="1:24">
      <c r="A134" s="22">
        <v>43413</v>
      </c>
      <c r="B134" s="130">
        <v>1</v>
      </c>
      <c r="C134" s="130">
        <v>0</v>
      </c>
      <c r="D134" s="130">
        <v>1</v>
      </c>
      <c r="E134" s="130">
        <v>0</v>
      </c>
      <c r="F134" s="130">
        <v>1</v>
      </c>
      <c r="G134" s="130">
        <v>0</v>
      </c>
      <c r="K134" s="86">
        <f t="shared" si="34"/>
        <v>43413</v>
      </c>
      <c r="L134" s="128">
        <f t="shared" si="35"/>
        <v>104.00000008000001</v>
      </c>
      <c r="M134" s="128">
        <f t="shared" si="36"/>
        <v>43.000000080000007</v>
      </c>
      <c r="N134" s="146">
        <f t="shared" si="37"/>
        <v>99.999999999999986</v>
      </c>
      <c r="O134" s="128">
        <f t="shared" si="38"/>
        <v>82</v>
      </c>
      <c r="P134" s="128">
        <f t="shared" si="39"/>
        <v>95</v>
      </c>
      <c r="Q134" s="128">
        <f t="shared" si="40"/>
        <v>107.00000000000001</v>
      </c>
      <c r="R134" s="128">
        <f t="shared" si="41"/>
        <v>2.9999999200000076</v>
      </c>
      <c r="S134" s="1">
        <f t="shared" si="32"/>
        <v>1</v>
      </c>
      <c r="T134" s="128">
        <f t="shared" si="31"/>
        <v>4.0000000800000208</v>
      </c>
      <c r="U134" s="128">
        <f t="shared" si="33"/>
        <v>531.00000016000001</v>
      </c>
      <c r="W134" s="128">
        <f t="shared" si="42"/>
        <v>107.00000000000001</v>
      </c>
      <c r="X134" s="128">
        <f t="shared" si="43"/>
        <v>125.00000008000001</v>
      </c>
    </row>
    <row r="135" spans="1:24">
      <c r="A135" s="22">
        <v>43420</v>
      </c>
      <c r="B135" s="130">
        <v>1</v>
      </c>
      <c r="C135" s="130">
        <v>0</v>
      </c>
      <c r="D135" s="130">
        <v>0</v>
      </c>
      <c r="E135" s="130">
        <v>0</v>
      </c>
      <c r="F135" s="130">
        <v>1</v>
      </c>
      <c r="G135" s="130">
        <v>1</v>
      </c>
      <c r="J135" s="57" t="s">
        <v>158</v>
      </c>
      <c r="K135" s="86">
        <f t="shared" si="34"/>
        <v>43420</v>
      </c>
      <c r="L135" s="128">
        <f t="shared" si="35"/>
        <v>105.00000008000001</v>
      </c>
      <c r="M135" s="128">
        <f t="shared" si="36"/>
        <v>43.000000080000007</v>
      </c>
      <c r="N135" s="128">
        <f t="shared" si="37"/>
        <v>99.999999999999986</v>
      </c>
      <c r="O135" s="128">
        <f t="shared" si="38"/>
        <v>82</v>
      </c>
      <c r="P135" s="128">
        <f t="shared" si="39"/>
        <v>96</v>
      </c>
      <c r="Q135" s="128">
        <f t="shared" si="40"/>
        <v>108.00000000000001</v>
      </c>
      <c r="R135" s="128">
        <f t="shared" si="41"/>
        <v>2.9999999200000076</v>
      </c>
      <c r="S135" s="1">
        <f t="shared" si="32"/>
        <v>1</v>
      </c>
      <c r="T135" s="128">
        <f t="shared" si="31"/>
        <v>5.0000000800000208</v>
      </c>
      <c r="U135" s="128">
        <f t="shared" si="33"/>
        <v>534.00000016000001</v>
      </c>
      <c r="W135" s="128">
        <f t="shared" si="42"/>
        <v>108.00000000000001</v>
      </c>
      <c r="X135" s="128">
        <f t="shared" si="43"/>
        <v>125.00000008000001</v>
      </c>
    </row>
    <row r="136" spans="1:24">
      <c r="A136" s="22">
        <v>43427</v>
      </c>
      <c r="B136" s="130">
        <v>1</v>
      </c>
      <c r="C136" s="130">
        <v>0</v>
      </c>
      <c r="D136" s="130">
        <v>1</v>
      </c>
      <c r="E136" s="130">
        <v>0</v>
      </c>
      <c r="F136" s="130">
        <v>1</v>
      </c>
      <c r="G136" s="130">
        <v>1</v>
      </c>
      <c r="K136" s="86">
        <f t="shared" si="34"/>
        <v>43427</v>
      </c>
      <c r="L136" s="128">
        <f t="shared" si="35"/>
        <v>106.00000008000001</v>
      </c>
      <c r="M136" s="128">
        <f t="shared" si="36"/>
        <v>43.000000080000007</v>
      </c>
      <c r="N136" s="128">
        <f t="shared" si="37"/>
        <v>100.99999999999999</v>
      </c>
      <c r="O136" s="128">
        <f t="shared" si="38"/>
        <v>82</v>
      </c>
      <c r="P136" s="128">
        <f t="shared" si="39"/>
        <v>97</v>
      </c>
      <c r="Q136" s="128">
        <f t="shared" si="40"/>
        <v>109.00000000000001</v>
      </c>
      <c r="R136" s="128">
        <f t="shared" si="41"/>
        <v>2.9999999200000076</v>
      </c>
      <c r="S136" s="1">
        <f t="shared" si="32"/>
        <v>1</v>
      </c>
      <c r="T136" s="128">
        <f t="shared" si="31"/>
        <v>5.0000000800000208</v>
      </c>
      <c r="U136" s="128">
        <f t="shared" si="33"/>
        <v>538.00000016000001</v>
      </c>
      <c r="W136" s="128">
        <f t="shared" si="42"/>
        <v>109.00000000000001</v>
      </c>
      <c r="X136" s="128">
        <f t="shared" si="43"/>
        <v>125.00000008000001</v>
      </c>
    </row>
    <row r="137" spans="1:24">
      <c r="A137" s="22">
        <v>43434</v>
      </c>
      <c r="B137" s="130">
        <v>1</v>
      </c>
      <c r="C137" s="130">
        <v>0</v>
      </c>
      <c r="D137" s="130">
        <v>1</v>
      </c>
      <c r="E137" s="130">
        <v>0</v>
      </c>
      <c r="F137" s="130">
        <v>0</v>
      </c>
      <c r="G137" s="130">
        <v>1</v>
      </c>
      <c r="J137" s="57" t="s">
        <v>159</v>
      </c>
      <c r="K137" s="86">
        <f t="shared" si="34"/>
        <v>43434</v>
      </c>
      <c r="L137" s="128">
        <f t="shared" si="35"/>
        <v>107.00000008000001</v>
      </c>
      <c r="M137" s="128">
        <f t="shared" si="36"/>
        <v>43.000000080000007</v>
      </c>
      <c r="N137" s="128">
        <f t="shared" si="37"/>
        <v>101.99999999999999</v>
      </c>
      <c r="O137" s="128">
        <f t="shared" si="38"/>
        <v>82</v>
      </c>
      <c r="P137" s="128">
        <f t="shared" si="39"/>
        <v>97</v>
      </c>
      <c r="Q137" s="128">
        <f t="shared" si="40"/>
        <v>110.00000000000001</v>
      </c>
      <c r="R137" s="128">
        <f t="shared" si="41"/>
        <v>2.9999999200000076</v>
      </c>
      <c r="S137" s="1">
        <f t="shared" si="32"/>
        <v>1</v>
      </c>
      <c r="T137" s="128">
        <f t="shared" si="31"/>
        <v>5.0000000800000208</v>
      </c>
      <c r="U137" s="128">
        <f t="shared" si="33"/>
        <v>541.00000016000001</v>
      </c>
      <c r="W137" s="128">
        <f t="shared" si="42"/>
        <v>110.00000000000001</v>
      </c>
      <c r="X137" s="128">
        <f t="shared" si="43"/>
        <v>125.00000008000001</v>
      </c>
    </row>
    <row r="138" spans="1:24">
      <c r="A138" s="22">
        <v>43441</v>
      </c>
      <c r="B138" s="130">
        <v>1</v>
      </c>
      <c r="C138" s="130">
        <v>0</v>
      </c>
      <c r="D138" s="130">
        <v>0</v>
      </c>
      <c r="E138" s="130">
        <v>0</v>
      </c>
      <c r="F138" s="130">
        <v>1</v>
      </c>
      <c r="G138" s="130">
        <v>1</v>
      </c>
      <c r="J138" s="57" t="s">
        <v>160</v>
      </c>
      <c r="K138" s="86">
        <f t="shared" si="34"/>
        <v>43441</v>
      </c>
      <c r="L138" s="128">
        <f t="shared" si="35"/>
        <v>108.00000008000001</v>
      </c>
      <c r="M138" s="128">
        <f t="shared" si="36"/>
        <v>43.000000080000007</v>
      </c>
      <c r="N138" s="128">
        <f t="shared" si="37"/>
        <v>101.99999999999999</v>
      </c>
      <c r="O138" s="128">
        <f t="shared" si="38"/>
        <v>82</v>
      </c>
      <c r="P138" s="128">
        <f t="shared" si="39"/>
        <v>98</v>
      </c>
      <c r="Q138" s="128">
        <f t="shared" si="40"/>
        <v>111.00000000000001</v>
      </c>
      <c r="R138" s="128">
        <f t="shared" si="41"/>
        <v>2.9999999200000076</v>
      </c>
      <c r="S138" s="1">
        <f t="shared" si="32"/>
        <v>1</v>
      </c>
      <c r="T138" s="128">
        <f t="shared" si="31"/>
        <v>6.0000000800000208</v>
      </c>
      <c r="U138" s="128">
        <f t="shared" si="33"/>
        <v>544.00000016000001</v>
      </c>
      <c r="W138" s="128">
        <f t="shared" si="42"/>
        <v>111.00000000000001</v>
      </c>
      <c r="X138" s="128">
        <f t="shared" si="43"/>
        <v>125.00000008000001</v>
      </c>
    </row>
    <row r="139" spans="1:24">
      <c r="A139" s="22">
        <v>43448</v>
      </c>
      <c r="B139" s="130">
        <v>0</v>
      </c>
      <c r="C139" s="130">
        <v>1</v>
      </c>
      <c r="D139" s="130">
        <v>1</v>
      </c>
      <c r="E139" s="130">
        <v>0</v>
      </c>
      <c r="F139" s="130">
        <v>1</v>
      </c>
      <c r="G139" s="130">
        <v>1</v>
      </c>
      <c r="K139" s="86">
        <f t="shared" si="34"/>
        <v>43448</v>
      </c>
      <c r="L139" s="128">
        <f t="shared" si="35"/>
        <v>108.00000008000001</v>
      </c>
      <c r="M139" s="128">
        <f t="shared" si="36"/>
        <v>44.000000080000007</v>
      </c>
      <c r="N139" s="128">
        <f t="shared" si="37"/>
        <v>102.99999999999999</v>
      </c>
      <c r="O139" s="128">
        <f t="shared" si="38"/>
        <v>82</v>
      </c>
      <c r="P139" s="128">
        <f t="shared" si="39"/>
        <v>99</v>
      </c>
      <c r="Q139" s="128">
        <f t="shared" si="40"/>
        <v>112.00000000000001</v>
      </c>
      <c r="R139" s="128">
        <f t="shared" si="41"/>
        <v>3.9999999200000076</v>
      </c>
      <c r="S139" s="1">
        <f t="shared" si="32"/>
        <v>1</v>
      </c>
      <c r="T139" s="128">
        <f t="shared" si="31"/>
        <v>5.0000000800000208</v>
      </c>
      <c r="U139" s="128">
        <f t="shared" si="33"/>
        <v>548.00000016000001</v>
      </c>
      <c r="W139" s="128">
        <f t="shared" si="42"/>
        <v>112.00000000000001</v>
      </c>
      <c r="X139" s="128">
        <f t="shared" si="43"/>
        <v>126.00000008000001</v>
      </c>
    </row>
    <row r="140" spans="1:24">
      <c r="A140" s="22">
        <v>43455</v>
      </c>
      <c r="B140" s="130">
        <v>1</v>
      </c>
      <c r="C140" s="130">
        <v>0</v>
      </c>
      <c r="D140" s="130">
        <v>1</v>
      </c>
      <c r="E140" s="130">
        <v>0</v>
      </c>
      <c r="F140" s="130">
        <v>1</v>
      </c>
      <c r="G140" s="130">
        <v>1</v>
      </c>
      <c r="K140" s="86">
        <f t="shared" si="34"/>
        <v>43455</v>
      </c>
      <c r="L140" s="128">
        <f t="shared" si="35"/>
        <v>109.00000008000001</v>
      </c>
      <c r="M140" s="128">
        <f t="shared" si="36"/>
        <v>44.000000080000007</v>
      </c>
      <c r="N140" s="128">
        <f t="shared" si="37"/>
        <v>103.99999999999999</v>
      </c>
      <c r="O140" s="128">
        <f t="shared" si="38"/>
        <v>82</v>
      </c>
      <c r="P140" s="146">
        <f t="shared" si="39"/>
        <v>100</v>
      </c>
      <c r="Q140" s="128">
        <f t="shared" si="40"/>
        <v>113.00000000000001</v>
      </c>
      <c r="R140" s="128">
        <f t="shared" si="41"/>
        <v>3.9999999200000076</v>
      </c>
      <c r="S140" s="1">
        <f t="shared" si="32"/>
        <v>1</v>
      </c>
      <c r="T140" s="128">
        <f t="shared" si="31"/>
        <v>5.0000000800000208</v>
      </c>
      <c r="U140" s="128">
        <f t="shared" si="33"/>
        <v>552.00000016000001</v>
      </c>
      <c r="W140" s="128">
        <f t="shared" si="42"/>
        <v>113.00000000000001</v>
      </c>
      <c r="X140" s="128">
        <f t="shared" si="43"/>
        <v>126.00000008000001</v>
      </c>
    </row>
    <row r="141" spans="1:24">
      <c r="A141" s="22">
        <v>43462</v>
      </c>
      <c r="B141" s="130">
        <v>1</v>
      </c>
      <c r="C141" s="130">
        <v>0</v>
      </c>
      <c r="D141" s="130">
        <v>0</v>
      </c>
      <c r="E141" s="130">
        <v>0</v>
      </c>
      <c r="F141" s="130">
        <v>1</v>
      </c>
      <c r="G141" s="130">
        <v>0</v>
      </c>
      <c r="K141" s="86">
        <f t="shared" si="34"/>
        <v>43462</v>
      </c>
      <c r="L141" s="128">
        <f t="shared" si="35"/>
        <v>110.00000008000001</v>
      </c>
      <c r="M141" s="128">
        <f t="shared" si="36"/>
        <v>44.000000080000007</v>
      </c>
      <c r="N141" s="128">
        <f t="shared" si="37"/>
        <v>103.99999999999999</v>
      </c>
      <c r="O141" s="128">
        <f t="shared" si="38"/>
        <v>82</v>
      </c>
      <c r="P141" s="128">
        <f t="shared" si="39"/>
        <v>101</v>
      </c>
      <c r="Q141" s="128">
        <f t="shared" si="40"/>
        <v>113.00000000000001</v>
      </c>
      <c r="R141" s="128">
        <f t="shared" si="41"/>
        <v>2.9999999200000076</v>
      </c>
      <c r="S141" s="1">
        <f t="shared" si="32"/>
        <v>1</v>
      </c>
      <c r="T141" s="128">
        <f t="shared" si="31"/>
        <v>6.0000000800000208</v>
      </c>
      <c r="U141" s="128">
        <f t="shared" si="33"/>
        <v>554.00000016000001</v>
      </c>
      <c r="W141" s="128">
        <f t="shared" si="42"/>
        <v>113.00000000000001</v>
      </c>
      <c r="X141" s="128">
        <f t="shared" si="43"/>
        <v>126.00000008000001</v>
      </c>
    </row>
    <row r="142" spans="1:24">
      <c r="A142" s="22">
        <v>43469</v>
      </c>
      <c r="B142" s="130">
        <v>0</v>
      </c>
      <c r="C142" s="130">
        <v>0</v>
      </c>
      <c r="D142" s="130">
        <v>1</v>
      </c>
      <c r="E142" s="130">
        <v>0</v>
      </c>
      <c r="F142" s="130">
        <v>0</v>
      </c>
      <c r="G142" s="130">
        <v>0</v>
      </c>
      <c r="J142" s="57" t="s">
        <v>161</v>
      </c>
      <c r="K142" s="86">
        <f t="shared" si="34"/>
        <v>43469</v>
      </c>
      <c r="L142" s="128">
        <f t="shared" si="35"/>
        <v>110.00000008000001</v>
      </c>
      <c r="M142" s="128">
        <f t="shared" si="36"/>
        <v>44.000000080000007</v>
      </c>
      <c r="N142" s="128">
        <f t="shared" si="37"/>
        <v>104.99999999999999</v>
      </c>
      <c r="O142" s="128">
        <f t="shared" si="38"/>
        <v>82</v>
      </c>
      <c r="P142" s="128">
        <f t="shared" si="39"/>
        <v>101</v>
      </c>
      <c r="Q142" s="128">
        <f t="shared" si="40"/>
        <v>113.00000000000001</v>
      </c>
      <c r="R142" s="128">
        <f t="shared" si="41"/>
        <v>2.9999999200000076</v>
      </c>
      <c r="S142" s="1">
        <f t="shared" si="32"/>
        <v>1</v>
      </c>
      <c r="T142" s="128">
        <f t="shared" si="31"/>
        <v>5.0000000800000208</v>
      </c>
      <c r="U142" s="128">
        <f t="shared" si="33"/>
        <v>555.00000016000001</v>
      </c>
      <c r="W142" s="128">
        <f t="shared" si="42"/>
        <v>113.00000000000001</v>
      </c>
      <c r="X142" s="128">
        <f t="shared" si="43"/>
        <v>126.00000008000001</v>
      </c>
    </row>
    <row r="143" spans="1:24">
      <c r="A143" s="22">
        <v>43476</v>
      </c>
      <c r="B143" s="130">
        <v>0</v>
      </c>
      <c r="C143" s="130">
        <v>0</v>
      </c>
      <c r="D143" s="130">
        <v>1</v>
      </c>
      <c r="E143" s="130">
        <v>0</v>
      </c>
      <c r="F143" s="130">
        <v>1</v>
      </c>
      <c r="G143" s="130">
        <v>1</v>
      </c>
      <c r="J143" s="57" t="s">
        <v>162</v>
      </c>
      <c r="K143" s="86">
        <f t="shared" si="34"/>
        <v>43476</v>
      </c>
      <c r="L143" s="128">
        <f t="shared" si="35"/>
        <v>110.00000008000001</v>
      </c>
      <c r="M143" s="128">
        <f t="shared" si="36"/>
        <v>44.000000080000007</v>
      </c>
      <c r="N143" s="128">
        <f t="shared" si="37"/>
        <v>105.99999999999999</v>
      </c>
      <c r="O143" s="128">
        <f t="shared" si="38"/>
        <v>82</v>
      </c>
      <c r="P143" s="128">
        <f t="shared" si="39"/>
        <v>102</v>
      </c>
      <c r="Q143" s="128">
        <f t="shared" si="40"/>
        <v>114.00000000000001</v>
      </c>
      <c r="R143" s="128">
        <f t="shared" si="41"/>
        <v>3.9999999200000076</v>
      </c>
      <c r="S143" s="1">
        <f t="shared" si="32"/>
        <v>1</v>
      </c>
      <c r="T143" s="128">
        <f t="shared" si="31"/>
        <v>4.0000000800000208</v>
      </c>
      <c r="U143" s="128">
        <f t="shared" si="33"/>
        <v>558.00000016000001</v>
      </c>
      <c r="W143" s="128">
        <f t="shared" si="42"/>
        <v>114.00000000000001</v>
      </c>
      <c r="X143" s="128">
        <f t="shared" si="43"/>
        <v>126.00000008000001</v>
      </c>
    </row>
    <row r="144" spans="1:24">
      <c r="A144" s="22">
        <v>43483</v>
      </c>
      <c r="B144" s="130">
        <v>0</v>
      </c>
      <c r="C144" s="130">
        <v>0</v>
      </c>
      <c r="D144" s="130">
        <v>1</v>
      </c>
      <c r="E144" s="130">
        <v>0</v>
      </c>
      <c r="F144" s="130">
        <v>0</v>
      </c>
      <c r="G144" s="130">
        <v>1</v>
      </c>
      <c r="J144" s="57" t="s">
        <v>163</v>
      </c>
      <c r="K144" s="86">
        <f t="shared" si="34"/>
        <v>43483</v>
      </c>
      <c r="L144" s="128">
        <f t="shared" si="35"/>
        <v>110.00000008000001</v>
      </c>
      <c r="M144" s="128">
        <f t="shared" si="36"/>
        <v>44.000000080000007</v>
      </c>
      <c r="N144" s="128">
        <f t="shared" si="37"/>
        <v>106.99999999999999</v>
      </c>
      <c r="O144" s="128">
        <f t="shared" si="38"/>
        <v>82</v>
      </c>
      <c r="P144" s="128">
        <f t="shared" si="39"/>
        <v>102</v>
      </c>
      <c r="Q144" s="128">
        <f t="shared" si="40"/>
        <v>115.00000000000001</v>
      </c>
      <c r="R144" s="128">
        <f t="shared" si="41"/>
        <v>4.9999999200000076</v>
      </c>
      <c r="S144" s="1">
        <f t="shared" si="32"/>
        <v>1</v>
      </c>
      <c r="T144" s="128">
        <f t="shared" si="31"/>
        <v>3.0000000800000208</v>
      </c>
      <c r="U144" s="128">
        <f t="shared" si="33"/>
        <v>560.00000016000001</v>
      </c>
      <c r="W144" s="128">
        <f t="shared" si="42"/>
        <v>115.00000000000001</v>
      </c>
      <c r="X144" s="128">
        <f t="shared" si="43"/>
        <v>126.00000008000001</v>
      </c>
    </row>
    <row r="145" spans="1:24">
      <c r="A145" s="22">
        <v>43490</v>
      </c>
      <c r="B145" s="130">
        <v>0</v>
      </c>
      <c r="C145" s="130">
        <v>0</v>
      </c>
      <c r="D145" s="130">
        <v>1</v>
      </c>
      <c r="E145" s="130">
        <v>0</v>
      </c>
      <c r="F145" s="130">
        <v>0</v>
      </c>
      <c r="G145" s="130">
        <v>1</v>
      </c>
      <c r="J145" s="57" t="s">
        <v>164</v>
      </c>
      <c r="K145" s="86">
        <f t="shared" si="34"/>
        <v>43490</v>
      </c>
      <c r="L145" s="128">
        <f t="shared" si="35"/>
        <v>110.00000008000001</v>
      </c>
      <c r="M145" s="128">
        <f t="shared" si="36"/>
        <v>44.000000080000007</v>
      </c>
      <c r="N145" s="128">
        <f t="shared" si="37"/>
        <v>107.99999999999999</v>
      </c>
      <c r="O145" s="128">
        <f t="shared" si="38"/>
        <v>82</v>
      </c>
      <c r="P145" s="128">
        <f t="shared" si="39"/>
        <v>102</v>
      </c>
      <c r="Q145" s="128">
        <f t="shared" si="40"/>
        <v>116.00000000000001</v>
      </c>
      <c r="R145" s="128">
        <f t="shared" si="41"/>
        <v>5.9999999200000076</v>
      </c>
      <c r="S145" s="1">
        <f t="shared" si="32"/>
        <v>1</v>
      </c>
      <c r="T145" s="128">
        <f t="shared" si="31"/>
        <v>2.0000000800000208</v>
      </c>
      <c r="U145" s="128">
        <f t="shared" si="33"/>
        <v>562.00000016000001</v>
      </c>
      <c r="W145" s="128">
        <f t="shared" si="42"/>
        <v>116.00000000000001</v>
      </c>
      <c r="X145" s="128">
        <f t="shared" si="43"/>
        <v>126.00000008000001</v>
      </c>
    </row>
    <row r="146" spans="1:24">
      <c r="A146" s="22">
        <v>43497</v>
      </c>
      <c r="B146" s="130">
        <v>0</v>
      </c>
      <c r="C146" s="130">
        <v>0</v>
      </c>
      <c r="D146" s="130">
        <v>0</v>
      </c>
      <c r="E146" s="130">
        <v>0</v>
      </c>
      <c r="F146" s="130">
        <v>0</v>
      </c>
      <c r="G146" s="130">
        <v>0</v>
      </c>
      <c r="J146" s="57" t="s">
        <v>165</v>
      </c>
      <c r="K146" s="86">
        <f t="shared" si="34"/>
        <v>43497</v>
      </c>
      <c r="L146" s="128">
        <f t="shared" si="35"/>
        <v>110.00000008000001</v>
      </c>
      <c r="M146" s="128">
        <f t="shared" si="36"/>
        <v>44.000000080000007</v>
      </c>
      <c r="N146" s="128">
        <f t="shared" si="37"/>
        <v>107.99999999999999</v>
      </c>
      <c r="O146" s="128">
        <f t="shared" si="38"/>
        <v>82</v>
      </c>
      <c r="P146" s="128">
        <f t="shared" si="39"/>
        <v>102</v>
      </c>
      <c r="Q146" s="128">
        <f t="shared" si="40"/>
        <v>116.00000000000001</v>
      </c>
      <c r="R146" s="128">
        <f t="shared" si="41"/>
        <v>5.9999999200000076</v>
      </c>
      <c r="S146" s="1">
        <f t="shared" si="32"/>
        <v>1</v>
      </c>
      <c r="T146" s="128">
        <f t="shared" si="31"/>
        <v>2.0000000800000208</v>
      </c>
      <c r="U146" s="128">
        <f t="shared" si="33"/>
        <v>562.00000016000001</v>
      </c>
      <c r="W146" s="128">
        <f t="shared" si="42"/>
        <v>116.00000000000001</v>
      </c>
      <c r="X146" s="128">
        <f t="shared" si="43"/>
        <v>126.00000008000001</v>
      </c>
    </row>
    <row r="147" spans="1:24">
      <c r="A147" s="22">
        <v>43504</v>
      </c>
      <c r="B147" s="130">
        <v>1</v>
      </c>
      <c r="C147" s="130">
        <v>0</v>
      </c>
      <c r="D147" s="130">
        <v>0</v>
      </c>
      <c r="E147" s="130">
        <v>0</v>
      </c>
      <c r="F147" s="130">
        <v>1</v>
      </c>
      <c r="G147" s="130">
        <v>1</v>
      </c>
      <c r="K147" s="86">
        <f t="shared" si="34"/>
        <v>43504</v>
      </c>
      <c r="L147" s="128">
        <f t="shared" si="35"/>
        <v>111.00000008000001</v>
      </c>
      <c r="M147" s="128">
        <f t="shared" si="36"/>
        <v>44.000000080000007</v>
      </c>
      <c r="N147" s="128">
        <f t="shared" si="37"/>
        <v>107.99999999999999</v>
      </c>
      <c r="O147" s="128">
        <f t="shared" si="38"/>
        <v>82</v>
      </c>
      <c r="P147" s="128">
        <f t="shared" si="39"/>
        <v>103</v>
      </c>
      <c r="Q147" s="128">
        <f t="shared" si="40"/>
        <v>117.00000000000001</v>
      </c>
      <c r="R147" s="128">
        <f t="shared" si="41"/>
        <v>5.9999999200000076</v>
      </c>
      <c r="S147" s="1">
        <f t="shared" si="32"/>
        <v>1</v>
      </c>
      <c r="T147" s="128">
        <f t="shared" si="31"/>
        <v>3.0000000800000208</v>
      </c>
      <c r="U147" s="128">
        <f t="shared" si="33"/>
        <v>565.00000016000001</v>
      </c>
      <c r="W147" s="128">
        <f t="shared" si="42"/>
        <v>117.00000000000001</v>
      </c>
      <c r="X147" s="128">
        <f t="shared" si="43"/>
        <v>126.00000008000001</v>
      </c>
    </row>
    <row r="148" spans="1:24">
      <c r="A148" s="22">
        <v>43511</v>
      </c>
      <c r="B148" s="130">
        <v>1</v>
      </c>
      <c r="C148" s="130">
        <v>0</v>
      </c>
      <c r="D148" s="130">
        <v>1</v>
      </c>
      <c r="E148" s="130">
        <v>0</v>
      </c>
      <c r="F148" s="130">
        <v>1</v>
      </c>
      <c r="G148" s="130">
        <v>1</v>
      </c>
      <c r="K148" s="86">
        <f t="shared" si="34"/>
        <v>43511</v>
      </c>
      <c r="L148" s="128">
        <f t="shared" si="35"/>
        <v>112.00000008000001</v>
      </c>
      <c r="M148" s="128">
        <f t="shared" si="36"/>
        <v>44.000000080000007</v>
      </c>
      <c r="N148" s="128">
        <f t="shared" si="37"/>
        <v>108.99999999999999</v>
      </c>
      <c r="O148" s="128">
        <f t="shared" si="38"/>
        <v>82</v>
      </c>
      <c r="P148" s="128">
        <f t="shared" si="39"/>
        <v>104</v>
      </c>
      <c r="Q148" s="128">
        <f t="shared" si="40"/>
        <v>118.00000000000001</v>
      </c>
      <c r="R148" s="128">
        <f t="shared" si="41"/>
        <v>5.9999999200000076</v>
      </c>
      <c r="S148" s="1">
        <f t="shared" si="32"/>
        <v>1</v>
      </c>
      <c r="T148" s="128">
        <f t="shared" si="31"/>
        <v>3.0000000800000208</v>
      </c>
      <c r="U148" s="128">
        <f t="shared" si="33"/>
        <v>569.00000016000001</v>
      </c>
      <c r="W148" s="128">
        <f t="shared" si="42"/>
        <v>118.00000000000001</v>
      </c>
      <c r="X148" s="128">
        <f t="shared" si="43"/>
        <v>126.00000008000001</v>
      </c>
    </row>
    <row r="149" spans="1:24">
      <c r="A149" s="22">
        <v>43518</v>
      </c>
      <c r="B149" s="130">
        <v>1</v>
      </c>
      <c r="C149" s="130">
        <v>0</v>
      </c>
      <c r="D149" s="130">
        <v>1</v>
      </c>
      <c r="E149" s="130">
        <v>0</v>
      </c>
      <c r="F149" s="130">
        <v>0</v>
      </c>
      <c r="G149" s="130">
        <v>1</v>
      </c>
      <c r="K149" s="86">
        <f t="shared" si="34"/>
        <v>43518</v>
      </c>
      <c r="L149" s="128">
        <f t="shared" si="35"/>
        <v>113.00000008000001</v>
      </c>
      <c r="M149" s="128">
        <f t="shared" si="36"/>
        <v>44.000000080000007</v>
      </c>
      <c r="N149" s="128">
        <f t="shared" si="37"/>
        <v>109.99999999999999</v>
      </c>
      <c r="O149" s="128">
        <f t="shared" si="38"/>
        <v>82</v>
      </c>
      <c r="P149" s="128">
        <f t="shared" si="39"/>
        <v>104</v>
      </c>
      <c r="Q149" s="128">
        <f t="shared" si="40"/>
        <v>119.00000000000001</v>
      </c>
      <c r="R149" s="128">
        <f t="shared" si="41"/>
        <v>5.9999999200000076</v>
      </c>
      <c r="S149" s="1">
        <f t="shared" si="32"/>
        <v>1</v>
      </c>
      <c r="T149" s="128">
        <f t="shared" si="31"/>
        <v>3.0000000800000208</v>
      </c>
      <c r="U149" s="128">
        <f t="shared" si="33"/>
        <v>572.00000016000001</v>
      </c>
      <c r="W149" s="128">
        <f t="shared" si="42"/>
        <v>119.00000000000001</v>
      </c>
      <c r="X149" s="128">
        <f t="shared" si="43"/>
        <v>126.00000008000001</v>
      </c>
    </row>
    <row r="150" spans="1:24">
      <c r="A150" s="22">
        <v>43525</v>
      </c>
      <c r="B150" s="130">
        <v>0</v>
      </c>
      <c r="C150" s="130">
        <v>0</v>
      </c>
      <c r="D150" s="130">
        <v>1</v>
      </c>
      <c r="E150" s="130">
        <v>0</v>
      </c>
      <c r="F150" s="130">
        <v>1</v>
      </c>
      <c r="G150" s="130">
        <v>1</v>
      </c>
      <c r="J150" s="57" t="s">
        <v>166</v>
      </c>
      <c r="K150" s="86">
        <f t="shared" si="34"/>
        <v>43525</v>
      </c>
      <c r="L150" s="128">
        <f t="shared" si="35"/>
        <v>113.00000008000001</v>
      </c>
      <c r="M150" s="128">
        <f t="shared" si="36"/>
        <v>44.000000080000007</v>
      </c>
      <c r="N150" s="128">
        <f t="shared" si="37"/>
        <v>110.99999999999999</v>
      </c>
      <c r="O150" s="128">
        <f t="shared" si="38"/>
        <v>82</v>
      </c>
      <c r="P150" s="128">
        <f t="shared" si="39"/>
        <v>105</v>
      </c>
      <c r="Q150" s="128">
        <f t="shared" si="40"/>
        <v>120.00000000000001</v>
      </c>
      <c r="R150" s="128">
        <f t="shared" si="41"/>
        <v>6.9999999200000076</v>
      </c>
      <c r="S150" s="1">
        <f t="shared" si="32"/>
        <v>1</v>
      </c>
      <c r="T150" s="128">
        <f t="shared" si="31"/>
        <v>2.0000000800000208</v>
      </c>
      <c r="U150" s="128">
        <f t="shared" si="33"/>
        <v>575.00000016000001</v>
      </c>
      <c r="W150" s="128">
        <f t="shared" si="42"/>
        <v>120.00000000000001</v>
      </c>
      <c r="X150" s="128">
        <f t="shared" si="43"/>
        <v>126.00000008000001</v>
      </c>
    </row>
    <row r="151" spans="1:24">
      <c r="A151" s="22">
        <v>43532</v>
      </c>
      <c r="B151" s="130">
        <v>1</v>
      </c>
      <c r="C151" s="130">
        <v>1</v>
      </c>
      <c r="D151" s="130">
        <v>1</v>
      </c>
      <c r="E151" s="130">
        <v>0</v>
      </c>
      <c r="F151" s="130">
        <v>1</v>
      </c>
      <c r="G151" s="130">
        <v>1</v>
      </c>
      <c r="K151" s="86">
        <f t="shared" si="34"/>
        <v>43532</v>
      </c>
      <c r="L151" s="128">
        <f t="shared" si="35"/>
        <v>114.00000008000001</v>
      </c>
      <c r="M151" s="128">
        <f t="shared" si="36"/>
        <v>45.000000080000007</v>
      </c>
      <c r="N151" s="128">
        <f t="shared" si="37"/>
        <v>111.99999999999999</v>
      </c>
      <c r="O151" s="128">
        <f t="shared" si="38"/>
        <v>82</v>
      </c>
      <c r="P151" s="128">
        <f t="shared" si="39"/>
        <v>106</v>
      </c>
      <c r="Q151" s="128">
        <f t="shared" si="40"/>
        <v>121.00000000000001</v>
      </c>
      <c r="R151" s="128">
        <f t="shared" si="41"/>
        <v>6.9999999200000076</v>
      </c>
      <c r="S151" s="1">
        <f t="shared" si="32"/>
        <v>1</v>
      </c>
      <c r="T151" s="128">
        <f t="shared" si="31"/>
        <v>2.0000000800000208</v>
      </c>
      <c r="U151" s="128">
        <f t="shared" si="33"/>
        <v>580.00000016000001</v>
      </c>
      <c r="W151" s="128">
        <f t="shared" si="42"/>
        <v>121.00000000000001</v>
      </c>
      <c r="X151" s="128">
        <f t="shared" si="43"/>
        <v>127.00000008000001</v>
      </c>
    </row>
    <row r="152" spans="1:24">
      <c r="A152" s="22">
        <v>43539</v>
      </c>
      <c r="B152" s="130">
        <v>0</v>
      </c>
      <c r="C152" s="130">
        <v>0</v>
      </c>
      <c r="D152" s="130">
        <v>1</v>
      </c>
      <c r="E152" s="130">
        <v>0</v>
      </c>
      <c r="F152" s="130">
        <v>1</v>
      </c>
      <c r="G152" s="130">
        <v>1</v>
      </c>
      <c r="K152" s="86">
        <f t="shared" si="34"/>
        <v>43539</v>
      </c>
      <c r="L152" s="128">
        <f t="shared" si="35"/>
        <v>114.00000008000001</v>
      </c>
      <c r="M152" s="128">
        <f t="shared" si="36"/>
        <v>45.000000080000007</v>
      </c>
      <c r="N152" s="128">
        <f t="shared" si="37"/>
        <v>112.99999999999999</v>
      </c>
      <c r="O152" s="128">
        <f t="shared" si="38"/>
        <v>82</v>
      </c>
      <c r="P152" s="128">
        <f t="shared" si="39"/>
        <v>107</v>
      </c>
      <c r="Q152" s="128">
        <f t="shared" si="40"/>
        <v>122.00000000000001</v>
      </c>
      <c r="R152" s="128">
        <f t="shared" si="41"/>
        <v>7.9999999200000076</v>
      </c>
      <c r="S152" s="1">
        <f t="shared" si="32"/>
        <v>1</v>
      </c>
      <c r="T152" s="128">
        <f t="shared" si="31"/>
        <v>1.0000000800000208</v>
      </c>
      <c r="U152" s="128">
        <f t="shared" si="33"/>
        <v>583.00000016000001</v>
      </c>
      <c r="W152" s="128">
        <f t="shared" si="42"/>
        <v>122.00000000000001</v>
      </c>
      <c r="X152" s="128">
        <f t="shared" si="43"/>
        <v>127.00000008000001</v>
      </c>
    </row>
    <row r="153" spans="1:24">
      <c r="A153" s="22">
        <v>43546</v>
      </c>
      <c r="B153" s="130">
        <v>1</v>
      </c>
      <c r="C153" s="130">
        <v>0</v>
      </c>
      <c r="D153" s="130">
        <v>1</v>
      </c>
      <c r="E153" s="130">
        <v>0</v>
      </c>
      <c r="F153" s="130">
        <v>1</v>
      </c>
      <c r="G153" s="130">
        <v>0</v>
      </c>
      <c r="K153" s="86">
        <f t="shared" si="34"/>
        <v>43546</v>
      </c>
      <c r="L153" s="128">
        <f t="shared" si="35"/>
        <v>115.00000008000001</v>
      </c>
      <c r="M153" s="128">
        <f t="shared" si="36"/>
        <v>45.000000080000007</v>
      </c>
      <c r="N153" s="128">
        <f t="shared" si="37"/>
        <v>113.99999999999999</v>
      </c>
      <c r="O153" s="128">
        <f t="shared" si="38"/>
        <v>82</v>
      </c>
      <c r="P153" s="128">
        <f t="shared" si="39"/>
        <v>108</v>
      </c>
      <c r="Q153" s="128">
        <f t="shared" si="40"/>
        <v>122.00000000000001</v>
      </c>
      <c r="R153" s="128">
        <f t="shared" si="41"/>
        <v>6.9999999200000076</v>
      </c>
      <c r="S153" s="1">
        <f t="shared" si="32"/>
        <v>1</v>
      </c>
      <c r="T153" s="128">
        <f t="shared" si="31"/>
        <v>1.0000000800000208</v>
      </c>
      <c r="U153" s="128">
        <f t="shared" si="33"/>
        <v>586.00000016000001</v>
      </c>
      <c r="W153" s="128">
        <f t="shared" si="42"/>
        <v>122.00000000000001</v>
      </c>
      <c r="X153" s="128">
        <f t="shared" si="43"/>
        <v>127.00000008000001</v>
      </c>
    </row>
    <row r="154" spans="1:24">
      <c r="A154" s="22">
        <v>43553</v>
      </c>
      <c r="B154" s="130">
        <v>0</v>
      </c>
      <c r="C154" s="130">
        <v>0</v>
      </c>
      <c r="D154" s="130">
        <v>1</v>
      </c>
      <c r="E154" s="130">
        <v>0</v>
      </c>
      <c r="F154" s="130">
        <v>1</v>
      </c>
      <c r="G154" s="130">
        <v>1</v>
      </c>
      <c r="K154" s="86">
        <f t="shared" si="34"/>
        <v>43553</v>
      </c>
      <c r="L154" s="128">
        <f t="shared" si="35"/>
        <v>115.00000008000001</v>
      </c>
      <c r="M154" s="128">
        <f t="shared" si="36"/>
        <v>45.000000080000007</v>
      </c>
      <c r="N154" s="128">
        <f t="shared" si="37"/>
        <v>114.99999999999999</v>
      </c>
      <c r="O154" s="128">
        <f t="shared" si="38"/>
        <v>82</v>
      </c>
      <c r="P154" s="128">
        <f t="shared" si="39"/>
        <v>109</v>
      </c>
      <c r="Q154" s="128">
        <f t="shared" si="40"/>
        <v>123.00000000000001</v>
      </c>
      <c r="R154" s="128">
        <f t="shared" si="41"/>
        <v>7.9999999200000076</v>
      </c>
      <c r="S154" s="1">
        <f t="shared" si="32"/>
        <v>1</v>
      </c>
      <c r="T154" s="128">
        <f t="shared" si="31"/>
        <v>8.0000020830084395E-8</v>
      </c>
      <c r="U154" s="128">
        <f t="shared" si="33"/>
        <v>589.00000016000001</v>
      </c>
      <c r="W154" s="128">
        <f t="shared" si="42"/>
        <v>123.00000000000001</v>
      </c>
      <c r="X154" s="128">
        <f t="shared" si="43"/>
        <v>127.00000008000001</v>
      </c>
    </row>
    <row r="155" spans="1:24">
      <c r="A155" s="22">
        <v>43560</v>
      </c>
      <c r="B155" s="130">
        <v>1</v>
      </c>
      <c r="C155" s="130">
        <v>0</v>
      </c>
      <c r="D155" s="130">
        <v>1</v>
      </c>
      <c r="E155" s="130">
        <v>1</v>
      </c>
      <c r="F155" s="130">
        <v>1</v>
      </c>
      <c r="G155" s="130">
        <v>1</v>
      </c>
      <c r="J155" s="57" t="s">
        <v>167</v>
      </c>
      <c r="K155" s="86">
        <f t="shared" si="34"/>
        <v>43560</v>
      </c>
      <c r="L155" s="128">
        <f t="shared" si="35"/>
        <v>116.00000008000001</v>
      </c>
      <c r="M155" s="128">
        <f t="shared" si="36"/>
        <v>45.000000080000007</v>
      </c>
      <c r="N155" s="128">
        <f t="shared" si="37"/>
        <v>115.99999999999999</v>
      </c>
      <c r="O155" s="128">
        <f t="shared" si="38"/>
        <v>83</v>
      </c>
      <c r="P155" s="128">
        <f t="shared" si="39"/>
        <v>110</v>
      </c>
      <c r="Q155" s="128">
        <f t="shared" si="40"/>
        <v>124.00000000000001</v>
      </c>
      <c r="R155" s="128">
        <f t="shared" si="41"/>
        <v>7.9999999200000076</v>
      </c>
      <c r="S155" s="1">
        <f t="shared" si="32"/>
        <v>1</v>
      </c>
      <c r="T155" s="128">
        <f t="shared" si="31"/>
        <v>8.0000020830084395E-8</v>
      </c>
      <c r="U155" s="128">
        <f t="shared" si="33"/>
        <v>594.00000016000001</v>
      </c>
      <c r="W155" s="128">
        <f t="shared" si="42"/>
        <v>124.00000000000001</v>
      </c>
      <c r="X155" s="128">
        <f t="shared" si="43"/>
        <v>128.00000008000001</v>
      </c>
    </row>
    <row r="156" spans="1:24">
      <c r="A156" s="22">
        <v>43567</v>
      </c>
      <c r="B156" s="130">
        <v>0</v>
      </c>
      <c r="C156" s="130">
        <v>0</v>
      </c>
      <c r="D156" s="130">
        <v>1</v>
      </c>
      <c r="E156" s="130">
        <v>0</v>
      </c>
      <c r="F156" s="130">
        <v>1</v>
      </c>
      <c r="G156" s="130">
        <v>1</v>
      </c>
      <c r="K156" s="86">
        <f t="shared" si="34"/>
        <v>43567</v>
      </c>
      <c r="L156" s="128">
        <f t="shared" si="35"/>
        <v>116.00000008000001</v>
      </c>
      <c r="M156" s="128">
        <f t="shared" si="36"/>
        <v>45.000000080000007</v>
      </c>
      <c r="N156" s="128">
        <f t="shared" si="37"/>
        <v>116.99999999999999</v>
      </c>
      <c r="O156" s="128">
        <f t="shared" si="38"/>
        <v>83</v>
      </c>
      <c r="P156" s="128">
        <f t="shared" si="39"/>
        <v>111</v>
      </c>
      <c r="Q156" s="128">
        <f t="shared" si="40"/>
        <v>125.00000000000001</v>
      </c>
      <c r="R156" s="128">
        <f t="shared" si="41"/>
        <v>8.0000000000000284</v>
      </c>
      <c r="S156" s="1">
        <f t="shared" si="32"/>
        <v>1</v>
      </c>
      <c r="T156" s="128">
        <f t="shared" si="31"/>
        <v>-0.99999991999997917</v>
      </c>
      <c r="U156" s="128">
        <f t="shared" si="33"/>
        <v>597.00000016000001</v>
      </c>
      <c r="W156" s="128">
        <f t="shared" si="42"/>
        <v>125.00000000000001</v>
      </c>
      <c r="X156" s="128">
        <f t="shared" si="43"/>
        <v>128.00000008000001</v>
      </c>
    </row>
    <row r="157" spans="1:24">
      <c r="A157" s="22">
        <v>43581</v>
      </c>
      <c r="B157" s="130">
        <v>1</v>
      </c>
      <c r="C157" s="130">
        <v>0</v>
      </c>
      <c r="D157" s="130">
        <v>1</v>
      </c>
      <c r="E157" s="130">
        <v>0</v>
      </c>
      <c r="F157" s="130">
        <v>1</v>
      </c>
      <c r="G157" s="130">
        <v>1</v>
      </c>
      <c r="K157" s="86">
        <f t="shared" si="34"/>
        <v>43581</v>
      </c>
      <c r="L157" s="128">
        <f t="shared" si="35"/>
        <v>117.00000008000001</v>
      </c>
      <c r="M157" s="128">
        <f t="shared" si="36"/>
        <v>45.000000080000007</v>
      </c>
      <c r="N157" s="128">
        <f t="shared" si="37"/>
        <v>117.99999999999999</v>
      </c>
      <c r="O157" s="128">
        <f t="shared" si="38"/>
        <v>83</v>
      </c>
      <c r="P157" s="128">
        <f t="shared" si="39"/>
        <v>112</v>
      </c>
      <c r="Q157" s="128">
        <f t="shared" si="40"/>
        <v>126.00000000000001</v>
      </c>
      <c r="R157" s="128">
        <f t="shared" si="41"/>
        <v>8.0000000000000284</v>
      </c>
      <c r="S157" s="1">
        <f t="shared" si="32"/>
        <v>1</v>
      </c>
      <c r="T157" s="128">
        <f t="shared" si="31"/>
        <v>-0.99999991999997917</v>
      </c>
      <c r="U157" s="128">
        <f t="shared" si="33"/>
        <v>601.00000016000001</v>
      </c>
      <c r="W157" s="128">
        <f t="shared" si="42"/>
        <v>126.00000000000001</v>
      </c>
      <c r="X157" s="128">
        <f t="shared" si="43"/>
        <v>128.00000008000001</v>
      </c>
    </row>
    <row r="158" spans="1:24">
      <c r="A158" s="22">
        <v>43588</v>
      </c>
      <c r="B158" s="130">
        <v>1</v>
      </c>
      <c r="C158" s="130">
        <v>0</v>
      </c>
      <c r="D158" s="130">
        <v>1</v>
      </c>
      <c r="E158" s="130">
        <v>0</v>
      </c>
      <c r="F158" s="130">
        <v>1</v>
      </c>
      <c r="G158" s="130">
        <v>1</v>
      </c>
      <c r="J158" s="57" t="s">
        <v>168</v>
      </c>
      <c r="K158" s="86">
        <f t="shared" si="34"/>
        <v>43588</v>
      </c>
      <c r="L158" s="128">
        <f t="shared" si="35"/>
        <v>118.00000008000001</v>
      </c>
      <c r="M158" s="128">
        <f t="shared" si="36"/>
        <v>45.000000080000007</v>
      </c>
      <c r="N158" s="128">
        <f t="shared" si="37"/>
        <v>118.99999999999999</v>
      </c>
      <c r="O158" s="128">
        <f t="shared" si="38"/>
        <v>83</v>
      </c>
      <c r="P158" s="128">
        <f t="shared" si="39"/>
        <v>113</v>
      </c>
      <c r="Q158" s="128">
        <f t="shared" si="40"/>
        <v>127.00000000000001</v>
      </c>
      <c r="R158" s="128">
        <f t="shared" si="41"/>
        <v>8.0000000000000284</v>
      </c>
      <c r="S158" s="1">
        <f t="shared" si="32"/>
        <v>1</v>
      </c>
      <c r="T158" s="128">
        <f t="shared" si="31"/>
        <v>-0.99999991999997917</v>
      </c>
      <c r="U158" s="128">
        <f t="shared" si="33"/>
        <v>605.00000016000001</v>
      </c>
      <c r="W158" s="128">
        <f t="shared" si="42"/>
        <v>127.00000000000001</v>
      </c>
      <c r="X158" s="128">
        <f t="shared" si="43"/>
        <v>128.00000008000001</v>
      </c>
    </row>
    <row r="159" spans="1:24">
      <c r="A159" s="22">
        <v>43595</v>
      </c>
      <c r="B159" s="130">
        <v>0</v>
      </c>
      <c r="C159" s="130">
        <v>0</v>
      </c>
      <c r="D159" s="130">
        <v>1</v>
      </c>
      <c r="E159" s="130">
        <v>0</v>
      </c>
      <c r="F159" s="130">
        <v>0</v>
      </c>
      <c r="G159" s="130">
        <v>1</v>
      </c>
      <c r="J159" s="57" t="s">
        <v>169</v>
      </c>
      <c r="K159" s="86">
        <f t="shared" si="34"/>
        <v>43595</v>
      </c>
      <c r="L159" s="128">
        <f t="shared" si="35"/>
        <v>118.00000008000001</v>
      </c>
      <c r="M159" s="128">
        <f t="shared" si="36"/>
        <v>45.000000080000007</v>
      </c>
      <c r="N159" s="128">
        <f t="shared" si="37"/>
        <v>119.99999999999999</v>
      </c>
      <c r="O159" s="128">
        <f t="shared" si="38"/>
        <v>83</v>
      </c>
      <c r="P159" s="128">
        <f t="shared" si="39"/>
        <v>113</v>
      </c>
      <c r="Q159" s="128">
        <f t="shared" si="40"/>
        <v>128</v>
      </c>
      <c r="R159" s="128">
        <f t="shared" si="41"/>
        <v>8.0000000000000142</v>
      </c>
      <c r="S159" s="1">
        <f t="shared" si="32"/>
        <v>1</v>
      </c>
      <c r="T159" s="128">
        <f t="shared" si="31"/>
        <v>-1.9999999199999792</v>
      </c>
      <c r="U159" s="128">
        <f t="shared" si="33"/>
        <v>607.00000016000001</v>
      </c>
      <c r="W159" s="128">
        <f t="shared" si="42"/>
        <v>128</v>
      </c>
      <c r="X159" s="128">
        <f t="shared" si="43"/>
        <v>128.00000008000001</v>
      </c>
    </row>
    <row r="160" spans="1:24">
      <c r="A160" s="22">
        <v>43602</v>
      </c>
      <c r="B160" s="130">
        <v>0</v>
      </c>
      <c r="C160" s="130">
        <v>0</v>
      </c>
      <c r="D160" s="130">
        <v>0</v>
      </c>
      <c r="E160" s="130">
        <v>0</v>
      </c>
      <c r="F160" s="130">
        <v>0</v>
      </c>
      <c r="G160" s="130">
        <v>0</v>
      </c>
      <c r="K160" s="86">
        <f t="shared" si="34"/>
        <v>43602</v>
      </c>
      <c r="L160" s="128">
        <f t="shared" si="35"/>
        <v>118.00000008000001</v>
      </c>
      <c r="M160" s="128">
        <f t="shared" si="36"/>
        <v>45.000000080000007</v>
      </c>
      <c r="N160" s="128">
        <f t="shared" si="37"/>
        <v>119.99999999999999</v>
      </c>
      <c r="O160" s="128">
        <f t="shared" si="38"/>
        <v>83</v>
      </c>
      <c r="P160" s="128">
        <f t="shared" si="39"/>
        <v>113</v>
      </c>
      <c r="Q160" s="128">
        <f t="shared" si="40"/>
        <v>128</v>
      </c>
      <c r="R160" s="128">
        <f t="shared" si="41"/>
        <v>8.0000000000000142</v>
      </c>
      <c r="S160" s="1">
        <f t="shared" si="32"/>
        <v>1</v>
      </c>
      <c r="T160" s="128">
        <f t="shared" si="31"/>
        <v>-1.9999999199999792</v>
      </c>
      <c r="U160" s="128">
        <f t="shared" si="33"/>
        <v>607.00000016000001</v>
      </c>
      <c r="W160" s="128">
        <f t="shared" si="42"/>
        <v>128</v>
      </c>
      <c r="X160" s="128">
        <f t="shared" si="43"/>
        <v>128.00000008000001</v>
      </c>
    </row>
    <row r="161" spans="1:24">
      <c r="A161" s="22">
        <v>43609</v>
      </c>
      <c r="B161" s="130">
        <v>1</v>
      </c>
      <c r="C161" s="130">
        <v>0</v>
      </c>
      <c r="D161" s="130">
        <v>1</v>
      </c>
      <c r="E161" s="130">
        <v>1</v>
      </c>
      <c r="F161" s="130">
        <v>1</v>
      </c>
      <c r="G161" s="130">
        <v>1</v>
      </c>
      <c r="J161" s="57" t="s">
        <v>170</v>
      </c>
      <c r="K161" s="86">
        <f t="shared" si="34"/>
        <v>43609</v>
      </c>
      <c r="L161" s="128">
        <f t="shared" si="35"/>
        <v>119.00000008000001</v>
      </c>
      <c r="M161" s="128">
        <f t="shared" si="36"/>
        <v>45.000000080000007</v>
      </c>
      <c r="N161" s="128">
        <f t="shared" si="37"/>
        <v>120.99999999999999</v>
      </c>
      <c r="O161" s="128">
        <f t="shared" si="38"/>
        <v>84</v>
      </c>
      <c r="P161" s="128">
        <f t="shared" si="39"/>
        <v>114</v>
      </c>
      <c r="Q161" s="128">
        <f t="shared" si="40"/>
        <v>129</v>
      </c>
      <c r="R161" s="128">
        <f t="shared" si="41"/>
        <v>8.0000000000000142</v>
      </c>
      <c r="S161" s="1">
        <f t="shared" si="32"/>
        <v>1</v>
      </c>
      <c r="T161" s="128">
        <f t="shared" si="31"/>
        <v>-1.9999999199999792</v>
      </c>
      <c r="U161" s="128">
        <f t="shared" si="33"/>
        <v>612.00000016000001</v>
      </c>
      <c r="W161" s="128">
        <f t="shared" si="42"/>
        <v>129</v>
      </c>
      <c r="X161" s="128">
        <f t="shared" si="43"/>
        <v>129.00000008000001</v>
      </c>
    </row>
    <row r="162" spans="1:24">
      <c r="A162" s="22">
        <v>43616</v>
      </c>
      <c r="B162" s="130">
        <v>0</v>
      </c>
      <c r="C162" s="130">
        <v>0</v>
      </c>
      <c r="D162" s="130">
        <v>1</v>
      </c>
      <c r="E162" s="130">
        <v>0</v>
      </c>
      <c r="F162" s="130">
        <v>1</v>
      </c>
      <c r="G162" s="130">
        <v>0</v>
      </c>
      <c r="K162" s="86">
        <f t="shared" si="34"/>
        <v>43616</v>
      </c>
      <c r="L162" s="128">
        <f t="shared" si="35"/>
        <v>119.00000008000001</v>
      </c>
      <c r="M162" s="128">
        <f t="shared" si="36"/>
        <v>45.000000080000007</v>
      </c>
      <c r="N162" s="128">
        <f t="shared" si="37"/>
        <v>121.99999999999999</v>
      </c>
      <c r="O162" s="128">
        <f t="shared" si="38"/>
        <v>84</v>
      </c>
      <c r="P162" s="128">
        <f t="shared" si="39"/>
        <v>115</v>
      </c>
      <c r="Q162" s="128">
        <f t="shared" si="40"/>
        <v>129</v>
      </c>
      <c r="R162" s="128">
        <f t="shared" si="41"/>
        <v>7.0000000000000142</v>
      </c>
      <c r="S162" s="1">
        <f t="shared" si="32"/>
        <v>1</v>
      </c>
      <c r="T162" s="128">
        <f t="shared" si="31"/>
        <v>-2.9999999199999792</v>
      </c>
      <c r="U162" s="128">
        <f t="shared" si="33"/>
        <v>614.00000016000001</v>
      </c>
      <c r="W162" s="128">
        <f t="shared" si="42"/>
        <v>129</v>
      </c>
      <c r="X162" s="128">
        <f t="shared" si="43"/>
        <v>129.00000008000001</v>
      </c>
    </row>
    <row r="163" spans="1:24">
      <c r="A163" s="22">
        <v>43623</v>
      </c>
      <c r="B163" s="130">
        <v>1</v>
      </c>
      <c r="C163" s="130">
        <v>1</v>
      </c>
      <c r="D163" s="130">
        <v>1</v>
      </c>
      <c r="E163" s="130">
        <v>0</v>
      </c>
      <c r="F163" s="130">
        <v>1</v>
      </c>
      <c r="G163" s="130">
        <v>1</v>
      </c>
      <c r="J163" s="57" t="s">
        <v>171</v>
      </c>
      <c r="K163" s="86">
        <f t="shared" si="34"/>
        <v>43623</v>
      </c>
      <c r="L163" s="128">
        <f t="shared" si="35"/>
        <v>120.00000008000001</v>
      </c>
      <c r="M163" s="128">
        <f t="shared" si="36"/>
        <v>46.000000080000007</v>
      </c>
      <c r="N163" s="128">
        <f t="shared" si="37"/>
        <v>122.99999999999999</v>
      </c>
      <c r="O163" s="128">
        <f t="shared" si="38"/>
        <v>84</v>
      </c>
      <c r="P163" s="128">
        <f t="shared" si="39"/>
        <v>116</v>
      </c>
      <c r="Q163" s="128">
        <f t="shared" si="40"/>
        <v>130</v>
      </c>
      <c r="R163" s="128">
        <f t="shared" si="41"/>
        <v>7.0000000000000142</v>
      </c>
      <c r="S163" s="1">
        <f t="shared" si="32"/>
        <v>1</v>
      </c>
      <c r="T163" s="128">
        <f t="shared" si="31"/>
        <v>-2.9999999199999792</v>
      </c>
      <c r="U163" s="128">
        <f t="shared" si="33"/>
        <v>619.00000016000001</v>
      </c>
      <c r="W163" s="128">
        <f t="shared" si="42"/>
        <v>130</v>
      </c>
      <c r="X163" s="128">
        <f t="shared" si="43"/>
        <v>130.00000008000001</v>
      </c>
    </row>
    <row r="164" spans="1:24">
      <c r="A164" s="22">
        <v>43630</v>
      </c>
      <c r="B164" s="130">
        <v>1</v>
      </c>
      <c r="C164" s="130">
        <v>0</v>
      </c>
      <c r="D164" s="130">
        <v>1</v>
      </c>
      <c r="E164" s="130">
        <v>0</v>
      </c>
      <c r="F164" s="130">
        <v>0</v>
      </c>
      <c r="G164" s="130">
        <v>1</v>
      </c>
      <c r="J164" s="57" t="s">
        <v>172</v>
      </c>
      <c r="K164" s="86">
        <f t="shared" si="34"/>
        <v>43630</v>
      </c>
      <c r="L164" s="128">
        <f t="shared" si="35"/>
        <v>121.00000008000001</v>
      </c>
      <c r="M164" s="128">
        <f t="shared" si="36"/>
        <v>46.000000080000007</v>
      </c>
      <c r="N164" s="128">
        <f t="shared" si="37"/>
        <v>123.99999999999999</v>
      </c>
      <c r="O164" s="128">
        <f t="shared" si="38"/>
        <v>84</v>
      </c>
      <c r="P164" s="128">
        <f t="shared" si="39"/>
        <v>116</v>
      </c>
      <c r="Q164" s="128">
        <f t="shared" si="40"/>
        <v>131</v>
      </c>
      <c r="R164" s="128">
        <f t="shared" si="41"/>
        <v>7.0000000000000142</v>
      </c>
      <c r="S164" s="1">
        <f t="shared" si="32"/>
        <v>1</v>
      </c>
      <c r="T164" s="128">
        <f t="shared" si="31"/>
        <v>-2.9999999199999792</v>
      </c>
      <c r="U164" s="128">
        <f t="shared" si="33"/>
        <v>622.00000016000001</v>
      </c>
      <c r="W164" s="128">
        <f t="shared" si="42"/>
        <v>131</v>
      </c>
      <c r="X164" s="128">
        <f t="shared" si="43"/>
        <v>130.00000008000001</v>
      </c>
    </row>
    <row r="165" spans="1:24">
      <c r="A165" s="22">
        <v>43637</v>
      </c>
      <c r="B165" s="130">
        <v>1</v>
      </c>
      <c r="C165" s="130">
        <v>0</v>
      </c>
      <c r="D165" s="130">
        <v>1</v>
      </c>
      <c r="E165" s="130">
        <v>0</v>
      </c>
      <c r="F165" s="130">
        <v>0</v>
      </c>
      <c r="G165" s="130">
        <v>1</v>
      </c>
      <c r="J165" s="57" t="s">
        <v>173</v>
      </c>
      <c r="K165" s="86">
        <f t="shared" si="34"/>
        <v>43637</v>
      </c>
      <c r="L165" s="128">
        <f t="shared" si="35"/>
        <v>122.00000008000001</v>
      </c>
      <c r="M165" s="128">
        <f t="shared" si="36"/>
        <v>46.000000080000007</v>
      </c>
      <c r="N165" s="128">
        <f t="shared" si="37"/>
        <v>124.99999999999999</v>
      </c>
      <c r="O165" s="128">
        <f t="shared" si="38"/>
        <v>84</v>
      </c>
      <c r="P165" s="128">
        <f t="shared" si="39"/>
        <v>116</v>
      </c>
      <c r="Q165" s="128">
        <f t="shared" si="40"/>
        <v>132</v>
      </c>
      <c r="R165" s="128">
        <f t="shared" si="41"/>
        <v>7.0000000000000142</v>
      </c>
      <c r="S165" s="1">
        <f t="shared" si="32"/>
        <v>1</v>
      </c>
      <c r="T165" s="128">
        <f t="shared" si="31"/>
        <v>-2.9999999199999792</v>
      </c>
      <c r="U165" s="128">
        <f t="shared" si="33"/>
        <v>625.00000016000001</v>
      </c>
      <c r="W165" s="128">
        <f t="shared" si="42"/>
        <v>132</v>
      </c>
      <c r="X165" s="128">
        <f t="shared" si="43"/>
        <v>130.00000008000001</v>
      </c>
    </row>
    <row r="166" spans="1:24">
      <c r="A166" s="22">
        <v>43644</v>
      </c>
      <c r="B166" s="130">
        <v>1</v>
      </c>
      <c r="C166" s="130">
        <v>0</v>
      </c>
      <c r="D166" s="130">
        <v>1</v>
      </c>
      <c r="E166" s="130">
        <v>1</v>
      </c>
      <c r="F166" s="130">
        <v>1</v>
      </c>
      <c r="G166" s="130">
        <v>1</v>
      </c>
      <c r="J166" s="57" t="s">
        <v>174</v>
      </c>
      <c r="K166" s="86">
        <f t="shared" si="34"/>
        <v>43644</v>
      </c>
      <c r="L166" s="128">
        <f t="shared" si="35"/>
        <v>123.00000008000001</v>
      </c>
      <c r="M166" s="128">
        <f t="shared" si="36"/>
        <v>46.000000080000007</v>
      </c>
      <c r="N166" s="128">
        <f t="shared" si="37"/>
        <v>125.99999999999999</v>
      </c>
      <c r="O166" s="128">
        <f t="shared" si="38"/>
        <v>85</v>
      </c>
      <c r="P166" s="128">
        <f t="shared" si="39"/>
        <v>117</v>
      </c>
      <c r="Q166" s="128">
        <f t="shared" si="40"/>
        <v>133</v>
      </c>
      <c r="R166" s="128">
        <f t="shared" si="41"/>
        <v>7.0000000000000142</v>
      </c>
      <c r="S166" s="1">
        <f t="shared" si="32"/>
        <v>1</v>
      </c>
      <c r="T166" s="128">
        <f t="shared" si="31"/>
        <v>-2.9999999199999792</v>
      </c>
      <c r="U166" s="128">
        <f t="shared" si="33"/>
        <v>630.00000016000001</v>
      </c>
      <c r="W166" s="128">
        <f t="shared" si="42"/>
        <v>133</v>
      </c>
      <c r="X166" s="128">
        <f t="shared" si="43"/>
        <v>131.00000008000001</v>
      </c>
    </row>
    <row r="167" spans="1:24">
      <c r="A167" s="22">
        <v>43651</v>
      </c>
      <c r="B167" s="130">
        <v>1</v>
      </c>
      <c r="C167" s="130">
        <v>0</v>
      </c>
      <c r="D167" s="130">
        <v>0</v>
      </c>
      <c r="E167" s="130">
        <v>0</v>
      </c>
      <c r="F167" s="130">
        <v>1</v>
      </c>
      <c r="G167" s="130">
        <v>0</v>
      </c>
      <c r="J167" s="57" t="s">
        <v>175</v>
      </c>
      <c r="K167" s="86">
        <f t="shared" si="34"/>
        <v>43651</v>
      </c>
      <c r="L167" s="128">
        <f t="shared" si="35"/>
        <v>124.00000008000001</v>
      </c>
      <c r="M167" s="128">
        <f t="shared" si="36"/>
        <v>46.000000080000007</v>
      </c>
      <c r="N167" s="128">
        <f t="shared" si="37"/>
        <v>125.99999999999999</v>
      </c>
      <c r="O167" s="128">
        <f t="shared" si="38"/>
        <v>85</v>
      </c>
      <c r="P167" s="128">
        <f t="shared" si="39"/>
        <v>118</v>
      </c>
      <c r="Q167" s="128">
        <f t="shared" si="40"/>
        <v>133</v>
      </c>
      <c r="R167" s="128">
        <f t="shared" si="41"/>
        <v>7.0000000000000142</v>
      </c>
      <c r="S167" s="1">
        <f t="shared" si="32"/>
        <v>1</v>
      </c>
      <c r="T167" s="128">
        <f t="shared" ref="T167:T230" si="44">L167-N167</f>
        <v>-1.9999999199999792</v>
      </c>
      <c r="U167" s="128">
        <f t="shared" si="33"/>
        <v>632.00000016000001</v>
      </c>
      <c r="W167" s="128">
        <f t="shared" si="42"/>
        <v>133</v>
      </c>
      <c r="X167" s="128">
        <f t="shared" si="43"/>
        <v>131.00000008000001</v>
      </c>
    </row>
    <row r="168" spans="1:24">
      <c r="A168" s="22">
        <v>43658</v>
      </c>
      <c r="B168" s="130">
        <v>0</v>
      </c>
      <c r="C168" s="130">
        <v>0</v>
      </c>
      <c r="D168" s="130">
        <v>0</v>
      </c>
      <c r="E168" s="130">
        <v>0</v>
      </c>
      <c r="F168" s="130">
        <v>1</v>
      </c>
      <c r="G168" s="130">
        <v>0</v>
      </c>
      <c r="J168" s="57" t="s">
        <v>176</v>
      </c>
      <c r="K168" s="86">
        <f t="shared" si="34"/>
        <v>43658</v>
      </c>
      <c r="L168" s="128">
        <f t="shared" si="35"/>
        <v>124.00000008000001</v>
      </c>
      <c r="M168" s="128">
        <f t="shared" si="36"/>
        <v>46.000000080000007</v>
      </c>
      <c r="N168" s="128">
        <f t="shared" si="37"/>
        <v>125.99999999999999</v>
      </c>
      <c r="O168" s="128">
        <f t="shared" si="38"/>
        <v>85</v>
      </c>
      <c r="P168" s="128">
        <f t="shared" si="39"/>
        <v>119</v>
      </c>
      <c r="Q168" s="128">
        <f t="shared" si="40"/>
        <v>133</v>
      </c>
      <c r="R168" s="128">
        <f t="shared" si="41"/>
        <v>7.0000000000000142</v>
      </c>
      <c r="S168" s="1">
        <f t="shared" si="32"/>
        <v>1</v>
      </c>
      <c r="T168" s="128">
        <f t="shared" si="44"/>
        <v>-1.9999999199999792</v>
      </c>
      <c r="U168" s="128">
        <f t="shared" si="33"/>
        <v>633.00000016000001</v>
      </c>
      <c r="W168" s="128">
        <f t="shared" si="42"/>
        <v>133</v>
      </c>
      <c r="X168" s="128">
        <f t="shared" si="43"/>
        <v>131.00000008000001</v>
      </c>
    </row>
    <row r="169" spans="1:24">
      <c r="A169" s="22">
        <v>43665</v>
      </c>
      <c r="B169" s="130">
        <v>1</v>
      </c>
      <c r="C169" s="130">
        <v>0</v>
      </c>
      <c r="D169" s="130">
        <v>0</v>
      </c>
      <c r="E169" s="130">
        <v>0</v>
      </c>
      <c r="F169" s="130">
        <v>1</v>
      </c>
      <c r="G169" s="130">
        <v>1</v>
      </c>
      <c r="J169" s="57" t="s">
        <v>177</v>
      </c>
      <c r="K169" s="86">
        <f t="shared" si="34"/>
        <v>43665</v>
      </c>
      <c r="L169" s="128">
        <f t="shared" si="35"/>
        <v>125.00000008000001</v>
      </c>
      <c r="M169" s="128">
        <f t="shared" si="36"/>
        <v>46.000000080000007</v>
      </c>
      <c r="N169" s="128">
        <f t="shared" si="37"/>
        <v>125.99999999999999</v>
      </c>
      <c r="O169" s="128">
        <f t="shared" si="38"/>
        <v>85</v>
      </c>
      <c r="P169" s="128">
        <f t="shared" si="39"/>
        <v>120</v>
      </c>
      <c r="Q169" s="128">
        <f t="shared" si="40"/>
        <v>134</v>
      </c>
      <c r="R169" s="128">
        <f t="shared" si="41"/>
        <v>8.0000000000000142</v>
      </c>
      <c r="S169" s="1">
        <f t="shared" si="32"/>
        <v>1</v>
      </c>
      <c r="T169" s="128">
        <f t="shared" si="44"/>
        <v>-0.99999991999997917</v>
      </c>
      <c r="U169" s="128">
        <f t="shared" si="33"/>
        <v>636.00000016000001</v>
      </c>
      <c r="W169" s="128">
        <f t="shared" si="42"/>
        <v>134</v>
      </c>
      <c r="X169" s="128">
        <f t="shared" si="43"/>
        <v>131.00000008000001</v>
      </c>
    </row>
    <row r="170" spans="1:24">
      <c r="A170" s="22">
        <v>43672</v>
      </c>
      <c r="B170" s="130">
        <v>1</v>
      </c>
      <c r="C170" s="130">
        <v>0</v>
      </c>
      <c r="D170" s="130">
        <v>1</v>
      </c>
      <c r="E170" s="130">
        <v>1</v>
      </c>
      <c r="F170" s="130">
        <v>1</v>
      </c>
      <c r="G170" s="130">
        <v>0</v>
      </c>
      <c r="K170" s="86">
        <f t="shared" si="34"/>
        <v>43672</v>
      </c>
      <c r="L170" s="128">
        <f t="shared" si="35"/>
        <v>126.00000008000001</v>
      </c>
      <c r="M170" s="128">
        <f t="shared" si="36"/>
        <v>46.000000080000007</v>
      </c>
      <c r="N170" s="128">
        <f t="shared" si="37"/>
        <v>126.99999999999999</v>
      </c>
      <c r="O170" s="128">
        <f t="shared" si="38"/>
        <v>86</v>
      </c>
      <c r="P170" s="128">
        <f t="shared" si="39"/>
        <v>121</v>
      </c>
      <c r="Q170" s="128">
        <f t="shared" si="40"/>
        <v>134</v>
      </c>
      <c r="R170" s="128">
        <f t="shared" si="41"/>
        <v>7.0000000000000142</v>
      </c>
      <c r="S170" s="1">
        <f t="shared" si="32"/>
        <v>1</v>
      </c>
      <c r="T170" s="128">
        <f t="shared" si="44"/>
        <v>-0.99999991999997917</v>
      </c>
      <c r="U170" s="128">
        <f t="shared" si="33"/>
        <v>640.00000016000001</v>
      </c>
      <c r="W170" s="128">
        <f t="shared" si="42"/>
        <v>134</v>
      </c>
      <c r="X170" s="128">
        <f t="shared" si="43"/>
        <v>132.00000008000001</v>
      </c>
    </row>
    <row r="171" spans="1:24">
      <c r="A171" s="22">
        <v>43679</v>
      </c>
      <c r="B171" s="130">
        <v>1</v>
      </c>
      <c r="C171" s="130">
        <v>0</v>
      </c>
      <c r="D171" s="130">
        <v>1</v>
      </c>
      <c r="E171" s="130">
        <v>0</v>
      </c>
      <c r="F171" s="130">
        <v>0</v>
      </c>
      <c r="G171" s="130">
        <v>1</v>
      </c>
      <c r="K171" s="86">
        <f t="shared" si="34"/>
        <v>43679</v>
      </c>
      <c r="L171" s="128">
        <f t="shared" si="35"/>
        <v>127.00000008000001</v>
      </c>
      <c r="M171" s="128">
        <f t="shared" si="36"/>
        <v>46.000000080000007</v>
      </c>
      <c r="N171" s="128">
        <f t="shared" si="37"/>
        <v>127.99999999999999</v>
      </c>
      <c r="O171" s="128">
        <f t="shared" si="38"/>
        <v>86</v>
      </c>
      <c r="P171" s="128">
        <f t="shared" si="39"/>
        <v>121</v>
      </c>
      <c r="Q171" s="128">
        <f t="shared" si="40"/>
        <v>135</v>
      </c>
      <c r="R171" s="128">
        <f t="shared" si="41"/>
        <v>7.0000000000000142</v>
      </c>
      <c r="S171" s="1">
        <f t="shared" si="32"/>
        <v>1</v>
      </c>
      <c r="T171" s="128">
        <f t="shared" si="44"/>
        <v>-0.99999991999997917</v>
      </c>
      <c r="U171" s="128">
        <f t="shared" si="33"/>
        <v>643.00000016000001</v>
      </c>
      <c r="W171" s="128">
        <f t="shared" si="42"/>
        <v>135</v>
      </c>
      <c r="X171" s="128">
        <f t="shared" si="43"/>
        <v>132.00000008000001</v>
      </c>
    </row>
    <row r="172" spans="1:24">
      <c r="A172" s="22">
        <v>43686</v>
      </c>
      <c r="B172" s="130">
        <v>1</v>
      </c>
      <c r="C172" s="130">
        <v>0</v>
      </c>
      <c r="D172" s="130">
        <v>1</v>
      </c>
      <c r="E172" s="130">
        <v>1</v>
      </c>
      <c r="F172" s="130">
        <v>1</v>
      </c>
      <c r="G172" s="130">
        <v>1</v>
      </c>
      <c r="J172" s="57" t="s">
        <v>178</v>
      </c>
      <c r="K172" s="86">
        <f t="shared" si="34"/>
        <v>43686</v>
      </c>
      <c r="L172" s="128">
        <f t="shared" si="35"/>
        <v>128.00000008000001</v>
      </c>
      <c r="M172" s="128">
        <f t="shared" si="36"/>
        <v>46.000000080000007</v>
      </c>
      <c r="N172" s="128">
        <f t="shared" si="37"/>
        <v>129</v>
      </c>
      <c r="O172" s="128">
        <f t="shared" si="38"/>
        <v>87</v>
      </c>
      <c r="P172" s="128">
        <f t="shared" si="39"/>
        <v>122</v>
      </c>
      <c r="Q172" s="128">
        <f t="shared" si="40"/>
        <v>136</v>
      </c>
      <c r="R172" s="128">
        <f t="shared" si="41"/>
        <v>7</v>
      </c>
      <c r="S172" s="1">
        <f t="shared" si="32"/>
        <v>1</v>
      </c>
      <c r="T172" s="128">
        <f t="shared" si="44"/>
        <v>-0.99999991999999338</v>
      </c>
      <c r="U172" s="128">
        <f t="shared" si="33"/>
        <v>648.00000016000001</v>
      </c>
      <c r="W172" s="128">
        <f t="shared" si="42"/>
        <v>136</v>
      </c>
      <c r="X172" s="128">
        <f t="shared" si="43"/>
        <v>133.00000008000001</v>
      </c>
    </row>
    <row r="173" spans="1:24">
      <c r="A173" s="22">
        <v>43693</v>
      </c>
      <c r="B173" s="130">
        <v>1</v>
      </c>
      <c r="C173" s="130">
        <v>0</v>
      </c>
      <c r="D173" s="130">
        <v>1</v>
      </c>
      <c r="E173" s="130">
        <v>0</v>
      </c>
      <c r="F173" s="130">
        <v>1</v>
      </c>
      <c r="G173" s="130">
        <v>1</v>
      </c>
      <c r="J173" s="57" t="s">
        <v>179</v>
      </c>
      <c r="K173" s="86">
        <f t="shared" si="34"/>
        <v>43693</v>
      </c>
      <c r="L173" s="128">
        <f t="shared" si="35"/>
        <v>129.00000008000001</v>
      </c>
      <c r="M173" s="128">
        <f t="shared" si="36"/>
        <v>46.000000080000007</v>
      </c>
      <c r="N173" s="128">
        <f t="shared" si="37"/>
        <v>130</v>
      </c>
      <c r="O173" s="128">
        <f t="shared" si="38"/>
        <v>87</v>
      </c>
      <c r="P173" s="128">
        <f t="shared" si="39"/>
        <v>123</v>
      </c>
      <c r="Q173" s="128">
        <f t="shared" si="40"/>
        <v>137</v>
      </c>
      <c r="R173" s="128">
        <f t="shared" si="41"/>
        <v>7</v>
      </c>
      <c r="S173" s="1">
        <f t="shared" si="32"/>
        <v>1</v>
      </c>
      <c r="T173" s="128">
        <f t="shared" si="44"/>
        <v>-0.99999991999999338</v>
      </c>
      <c r="U173" s="128">
        <f t="shared" si="33"/>
        <v>652.00000016000001</v>
      </c>
      <c r="W173" s="128">
        <f t="shared" si="42"/>
        <v>137</v>
      </c>
      <c r="X173" s="128">
        <f t="shared" si="43"/>
        <v>133.00000008000001</v>
      </c>
    </row>
    <row r="174" spans="1:24">
      <c r="A174" s="22">
        <v>43700</v>
      </c>
      <c r="B174" s="130">
        <v>1</v>
      </c>
      <c r="C174" s="130">
        <v>0</v>
      </c>
      <c r="D174" s="130">
        <v>1</v>
      </c>
      <c r="E174" s="130">
        <v>0</v>
      </c>
      <c r="F174" s="130">
        <v>1</v>
      </c>
      <c r="G174" s="130">
        <v>1</v>
      </c>
      <c r="J174" s="57" t="s">
        <v>180</v>
      </c>
      <c r="K174" s="86">
        <f t="shared" si="34"/>
        <v>43700</v>
      </c>
      <c r="L174" s="128">
        <f t="shared" si="35"/>
        <v>130.00000008000001</v>
      </c>
      <c r="M174" s="128">
        <f t="shared" si="36"/>
        <v>46.000000080000007</v>
      </c>
      <c r="N174" s="128">
        <f t="shared" si="37"/>
        <v>131</v>
      </c>
      <c r="O174" s="128">
        <f t="shared" si="38"/>
        <v>87</v>
      </c>
      <c r="P174" s="128">
        <f t="shared" si="39"/>
        <v>124</v>
      </c>
      <c r="Q174" s="128">
        <f t="shared" si="40"/>
        <v>138</v>
      </c>
      <c r="R174" s="128">
        <f t="shared" si="41"/>
        <v>7</v>
      </c>
      <c r="S174" s="1">
        <f t="shared" si="32"/>
        <v>1</v>
      </c>
      <c r="T174" s="128">
        <f t="shared" si="44"/>
        <v>-0.99999991999999338</v>
      </c>
      <c r="U174" s="128">
        <f t="shared" si="33"/>
        <v>656.00000016000001</v>
      </c>
      <c r="W174" s="128">
        <f t="shared" si="42"/>
        <v>138</v>
      </c>
      <c r="X174" s="128">
        <f t="shared" si="43"/>
        <v>133.00000008000001</v>
      </c>
    </row>
    <row r="175" spans="1:24">
      <c r="A175" s="22">
        <v>43707</v>
      </c>
      <c r="B175" s="130">
        <v>0</v>
      </c>
      <c r="C175" s="130">
        <v>0</v>
      </c>
      <c r="D175" s="130">
        <v>1</v>
      </c>
      <c r="E175" s="130">
        <v>1</v>
      </c>
      <c r="F175" s="130">
        <v>1</v>
      </c>
      <c r="G175" s="130">
        <v>1</v>
      </c>
      <c r="J175" s="57" t="s">
        <v>181</v>
      </c>
      <c r="K175" s="86">
        <f t="shared" si="34"/>
        <v>43707</v>
      </c>
      <c r="L175" s="128">
        <f t="shared" si="35"/>
        <v>130.00000008000001</v>
      </c>
      <c r="M175" s="128">
        <f t="shared" si="36"/>
        <v>46.000000080000007</v>
      </c>
      <c r="N175" s="128">
        <f t="shared" si="37"/>
        <v>132</v>
      </c>
      <c r="O175" s="128">
        <f t="shared" si="38"/>
        <v>88</v>
      </c>
      <c r="P175" s="128">
        <f t="shared" si="39"/>
        <v>125</v>
      </c>
      <c r="Q175" s="128">
        <f t="shared" si="40"/>
        <v>139</v>
      </c>
      <c r="R175" s="128">
        <f t="shared" si="41"/>
        <v>7</v>
      </c>
      <c r="S175" s="1">
        <f t="shared" ref="S175:S233" si="45">IF(Q175&gt;L175,1,0)</f>
        <v>1</v>
      </c>
      <c r="T175" s="128">
        <f t="shared" si="44"/>
        <v>-1.9999999199999934</v>
      </c>
      <c r="U175" s="128">
        <f t="shared" si="33"/>
        <v>660.00000016000001</v>
      </c>
      <c r="W175" s="128">
        <f t="shared" si="42"/>
        <v>139</v>
      </c>
      <c r="X175" s="128">
        <f t="shared" si="43"/>
        <v>134.00000008000001</v>
      </c>
    </row>
    <row r="176" spans="1:24">
      <c r="A176" s="22">
        <v>43714</v>
      </c>
      <c r="B176" s="130">
        <v>0</v>
      </c>
      <c r="C176" s="130">
        <v>0</v>
      </c>
      <c r="D176" s="130">
        <v>1</v>
      </c>
      <c r="E176" s="130">
        <v>0</v>
      </c>
      <c r="F176" s="130">
        <v>0</v>
      </c>
      <c r="G176" s="130">
        <v>1</v>
      </c>
      <c r="J176" s="57" t="s">
        <v>182</v>
      </c>
      <c r="K176" s="86">
        <f t="shared" si="34"/>
        <v>43714</v>
      </c>
      <c r="L176" s="128">
        <f t="shared" si="35"/>
        <v>130.00000008000001</v>
      </c>
      <c r="M176" s="128">
        <f t="shared" si="36"/>
        <v>46.000000080000007</v>
      </c>
      <c r="N176" s="128">
        <f t="shared" si="37"/>
        <v>133</v>
      </c>
      <c r="O176" s="128">
        <f t="shared" si="38"/>
        <v>88</v>
      </c>
      <c r="P176" s="128">
        <f t="shared" si="39"/>
        <v>125</v>
      </c>
      <c r="Q176" s="128">
        <f t="shared" si="40"/>
        <v>140</v>
      </c>
      <c r="R176" s="128">
        <f t="shared" si="41"/>
        <v>7</v>
      </c>
      <c r="S176" s="1">
        <f t="shared" si="45"/>
        <v>1</v>
      </c>
      <c r="T176" s="128">
        <f t="shared" si="44"/>
        <v>-2.9999999199999934</v>
      </c>
      <c r="U176" s="128">
        <f t="shared" si="33"/>
        <v>662.00000016000001</v>
      </c>
      <c r="W176" s="128">
        <f t="shared" si="42"/>
        <v>140</v>
      </c>
      <c r="X176" s="128">
        <f t="shared" si="43"/>
        <v>134.00000008000001</v>
      </c>
    </row>
    <row r="177" spans="1:24">
      <c r="A177" s="22">
        <v>43721</v>
      </c>
      <c r="B177" s="130">
        <v>1</v>
      </c>
      <c r="C177" s="130">
        <v>0</v>
      </c>
      <c r="D177" s="130">
        <v>1</v>
      </c>
      <c r="E177" s="130">
        <v>0</v>
      </c>
      <c r="F177" s="130">
        <v>1</v>
      </c>
      <c r="G177" s="130">
        <v>0</v>
      </c>
      <c r="K177" s="86">
        <f t="shared" si="34"/>
        <v>43721</v>
      </c>
      <c r="L177" s="128">
        <f t="shared" si="35"/>
        <v>131.00000008000001</v>
      </c>
      <c r="M177" s="128">
        <f t="shared" si="36"/>
        <v>46.000000080000007</v>
      </c>
      <c r="N177" s="128">
        <f t="shared" si="37"/>
        <v>134</v>
      </c>
      <c r="O177" s="128">
        <f t="shared" si="38"/>
        <v>88</v>
      </c>
      <c r="P177" s="128">
        <f t="shared" si="39"/>
        <v>126</v>
      </c>
      <c r="Q177" s="128">
        <f t="shared" si="40"/>
        <v>140</v>
      </c>
      <c r="R177" s="128">
        <f t="shared" si="41"/>
        <v>6</v>
      </c>
      <c r="S177" s="1">
        <f t="shared" si="45"/>
        <v>1</v>
      </c>
      <c r="T177" s="128">
        <f t="shared" si="44"/>
        <v>-2.9999999199999934</v>
      </c>
      <c r="U177" s="128">
        <f t="shared" si="33"/>
        <v>665.00000016000001</v>
      </c>
      <c r="W177" s="128">
        <f t="shared" si="42"/>
        <v>140</v>
      </c>
      <c r="X177" s="128">
        <f t="shared" si="43"/>
        <v>134.00000008000001</v>
      </c>
    </row>
    <row r="178" spans="1:24">
      <c r="A178" s="22">
        <v>43728</v>
      </c>
      <c r="B178" s="130">
        <v>1</v>
      </c>
      <c r="C178" s="130">
        <v>0</v>
      </c>
      <c r="D178" s="130">
        <v>0</v>
      </c>
      <c r="E178" s="130">
        <v>0</v>
      </c>
      <c r="F178" s="130">
        <v>1</v>
      </c>
      <c r="G178" s="130">
        <v>1</v>
      </c>
      <c r="J178" s="57" t="s">
        <v>183</v>
      </c>
      <c r="K178" s="86">
        <f t="shared" si="34"/>
        <v>43728</v>
      </c>
      <c r="L178" s="128">
        <f t="shared" si="35"/>
        <v>132.00000008000001</v>
      </c>
      <c r="M178" s="128">
        <f t="shared" si="36"/>
        <v>46.000000080000007</v>
      </c>
      <c r="N178" s="128">
        <f t="shared" si="37"/>
        <v>134</v>
      </c>
      <c r="O178" s="128">
        <f t="shared" si="38"/>
        <v>88</v>
      </c>
      <c r="P178" s="128">
        <f t="shared" si="39"/>
        <v>127</v>
      </c>
      <c r="Q178" s="128">
        <f t="shared" si="40"/>
        <v>141</v>
      </c>
      <c r="R178" s="128">
        <f t="shared" si="41"/>
        <v>7</v>
      </c>
      <c r="S178" s="1">
        <f t="shared" si="45"/>
        <v>1</v>
      </c>
      <c r="T178" s="128">
        <f t="shared" si="44"/>
        <v>-1.9999999199999934</v>
      </c>
      <c r="U178" s="128">
        <f t="shared" si="33"/>
        <v>668.00000016000001</v>
      </c>
      <c r="W178" s="128">
        <f t="shared" si="42"/>
        <v>141</v>
      </c>
      <c r="X178" s="128">
        <f t="shared" si="43"/>
        <v>134.00000008000001</v>
      </c>
    </row>
    <row r="179" spans="1:24">
      <c r="A179" s="22">
        <v>43735</v>
      </c>
      <c r="B179" s="130">
        <v>1</v>
      </c>
      <c r="C179" s="130">
        <v>0</v>
      </c>
      <c r="D179" s="130">
        <v>1</v>
      </c>
      <c r="E179" s="130">
        <v>1</v>
      </c>
      <c r="F179" s="130">
        <v>1</v>
      </c>
      <c r="G179" s="130">
        <v>1</v>
      </c>
      <c r="J179" s="57" t="s">
        <v>184</v>
      </c>
      <c r="K179" s="86">
        <f t="shared" si="34"/>
        <v>43735</v>
      </c>
      <c r="L179" s="128">
        <f t="shared" si="35"/>
        <v>133.00000008000001</v>
      </c>
      <c r="M179" s="128">
        <f t="shared" si="36"/>
        <v>46.000000080000007</v>
      </c>
      <c r="N179" s="128">
        <f t="shared" si="37"/>
        <v>135</v>
      </c>
      <c r="O179" s="128">
        <f t="shared" si="38"/>
        <v>89</v>
      </c>
      <c r="P179" s="128">
        <f t="shared" si="39"/>
        <v>128</v>
      </c>
      <c r="Q179" s="128">
        <f t="shared" si="40"/>
        <v>142</v>
      </c>
      <c r="R179" s="128">
        <f t="shared" si="41"/>
        <v>7</v>
      </c>
      <c r="S179" s="1">
        <f t="shared" si="45"/>
        <v>1</v>
      </c>
      <c r="T179" s="128">
        <f t="shared" si="44"/>
        <v>-1.9999999199999934</v>
      </c>
      <c r="U179" s="128">
        <f t="shared" si="33"/>
        <v>673.00000016000001</v>
      </c>
      <c r="W179" s="128">
        <f t="shared" si="42"/>
        <v>142</v>
      </c>
      <c r="X179" s="128">
        <f t="shared" si="43"/>
        <v>135.00000008000001</v>
      </c>
    </row>
    <row r="180" spans="1:24">
      <c r="A180" s="22">
        <v>43742</v>
      </c>
      <c r="B180" s="130">
        <v>1</v>
      </c>
      <c r="C180" s="130">
        <v>0</v>
      </c>
      <c r="D180" s="130">
        <v>1</v>
      </c>
      <c r="E180" s="130">
        <v>0</v>
      </c>
      <c r="F180" s="130">
        <v>1</v>
      </c>
      <c r="G180" s="130">
        <v>1</v>
      </c>
      <c r="J180" s="57" t="s">
        <v>185</v>
      </c>
      <c r="K180" s="86">
        <f t="shared" si="34"/>
        <v>43742</v>
      </c>
      <c r="L180" s="128">
        <f t="shared" si="35"/>
        <v>134.00000008000001</v>
      </c>
      <c r="M180" s="128">
        <f t="shared" si="36"/>
        <v>46.000000080000007</v>
      </c>
      <c r="N180" s="128">
        <f t="shared" si="37"/>
        <v>136</v>
      </c>
      <c r="O180" s="128">
        <f t="shared" si="38"/>
        <v>89</v>
      </c>
      <c r="P180" s="128">
        <f t="shared" si="39"/>
        <v>129</v>
      </c>
      <c r="Q180" s="128">
        <f t="shared" si="40"/>
        <v>143</v>
      </c>
      <c r="R180" s="128">
        <f t="shared" si="41"/>
        <v>7</v>
      </c>
      <c r="S180" s="1">
        <f t="shared" si="45"/>
        <v>1</v>
      </c>
      <c r="T180" s="128">
        <f t="shared" si="44"/>
        <v>-1.9999999199999934</v>
      </c>
      <c r="U180" s="128">
        <f t="shared" si="33"/>
        <v>677.00000016000001</v>
      </c>
      <c r="W180" s="128">
        <f t="shared" si="42"/>
        <v>143</v>
      </c>
      <c r="X180" s="128">
        <f t="shared" si="43"/>
        <v>135.00000008000001</v>
      </c>
    </row>
    <row r="181" spans="1:24">
      <c r="A181" s="22">
        <v>43749</v>
      </c>
      <c r="B181" s="130">
        <v>1</v>
      </c>
      <c r="C181" s="130">
        <v>0</v>
      </c>
      <c r="D181" s="130">
        <v>1</v>
      </c>
      <c r="E181" s="130">
        <v>1</v>
      </c>
      <c r="F181" s="130">
        <v>0</v>
      </c>
      <c r="G181" s="130">
        <v>1</v>
      </c>
      <c r="J181" s="57" t="s">
        <v>186</v>
      </c>
      <c r="K181" s="86">
        <f t="shared" si="34"/>
        <v>43749</v>
      </c>
      <c r="L181" s="128">
        <f t="shared" si="35"/>
        <v>135.00000008000001</v>
      </c>
      <c r="M181" s="128">
        <f t="shared" si="36"/>
        <v>46.000000080000007</v>
      </c>
      <c r="N181" s="128">
        <f t="shared" si="37"/>
        <v>137</v>
      </c>
      <c r="O181" s="128">
        <f t="shared" si="38"/>
        <v>90</v>
      </c>
      <c r="P181" s="128">
        <f t="shared" si="39"/>
        <v>129</v>
      </c>
      <c r="Q181" s="128">
        <f t="shared" si="40"/>
        <v>144</v>
      </c>
      <c r="R181" s="128">
        <f t="shared" si="41"/>
        <v>7</v>
      </c>
      <c r="S181" s="1">
        <f t="shared" si="45"/>
        <v>1</v>
      </c>
      <c r="T181" s="128">
        <f t="shared" si="44"/>
        <v>-1.9999999199999934</v>
      </c>
      <c r="U181" s="128">
        <f t="shared" si="33"/>
        <v>681.00000016000001</v>
      </c>
      <c r="W181" s="128">
        <f t="shared" si="42"/>
        <v>144</v>
      </c>
      <c r="X181" s="128">
        <f t="shared" si="43"/>
        <v>136.00000008000001</v>
      </c>
    </row>
    <row r="182" spans="1:24">
      <c r="A182" s="22">
        <v>43756</v>
      </c>
      <c r="B182" s="130">
        <v>0</v>
      </c>
      <c r="C182" s="130">
        <v>0</v>
      </c>
      <c r="D182" s="130">
        <v>1</v>
      </c>
      <c r="E182" s="130">
        <v>0</v>
      </c>
      <c r="F182" s="130">
        <v>1</v>
      </c>
      <c r="G182" s="130">
        <v>1</v>
      </c>
      <c r="J182" s="57" t="s">
        <v>187</v>
      </c>
      <c r="K182" s="86">
        <f t="shared" si="34"/>
        <v>43756</v>
      </c>
      <c r="L182" s="128">
        <f t="shared" si="35"/>
        <v>135.00000008000001</v>
      </c>
      <c r="M182" s="128">
        <f t="shared" si="36"/>
        <v>46.000000080000007</v>
      </c>
      <c r="N182" s="128">
        <f t="shared" si="37"/>
        <v>138</v>
      </c>
      <c r="O182" s="128">
        <f t="shared" si="38"/>
        <v>90</v>
      </c>
      <c r="P182" s="128">
        <f t="shared" si="39"/>
        <v>130</v>
      </c>
      <c r="Q182" s="128">
        <f t="shared" si="40"/>
        <v>145</v>
      </c>
      <c r="R182" s="128">
        <f t="shared" si="41"/>
        <v>7</v>
      </c>
      <c r="S182" s="1">
        <f t="shared" si="45"/>
        <v>1</v>
      </c>
      <c r="T182" s="128">
        <f t="shared" si="44"/>
        <v>-2.9999999199999934</v>
      </c>
      <c r="U182" s="128">
        <f t="shared" si="33"/>
        <v>684.00000016000001</v>
      </c>
      <c r="W182" s="128">
        <f t="shared" si="42"/>
        <v>145</v>
      </c>
      <c r="X182" s="128">
        <f t="shared" si="43"/>
        <v>136.00000008000001</v>
      </c>
    </row>
    <row r="183" spans="1:24">
      <c r="A183" s="22">
        <v>43763</v>
      </c>
      <c r="B183" s="130">
        <v>1</v>
      </c>
      <c r="C183" s="130">
        <v>0</v>
      </c>
      <c r="D183" s="130">
        <v>1</v>
      </c>
      <c r="E183" s="130">
        <v>0</v>
      </c>
      <c r="F183" s="130">
        <v>1</v>
      </c>
      <c r="G183" s="130">
        <v>0</v>
      </c>
      <c r="K183" s="86">
        <f t="shared" si="34"/>
        <v>43763</v>
      </c>
      <c r="L183" s="128">
        <f t="shared" si="35"/>
        <v>136.00000008000001</v>
      </c>
      <c r="M183" s="128">
        <f t="shared" si="36"/>
        <v>46.000000080000007</v>
      </c>
      <c r="N183" s="128">
        <f t="shared" si="37"/>
        <v>139</v>
      </c>
      <c r="O183" s="128">
        <f t="shared" si="38"/>
        <v>90</v>
      </c>
      <c r="P183" s="128">
        <f t="shared" si="39"/>
        <v>131</v>
      </c>
      <c r="Q183" s="128">
        <f t="shared" si="40"/>
        <v>145</v>
      </c>
      <c r="R183" s="128">
        <f t="shared" si="41"/>
        <v>6</v>
      </c>
      <c r="S183" s="1">
        <f t="shared" si="45"/>
        <v>1</v>
      </c>
      <c r="T183" s="128">
        <f t="shared" si="44"/>
        <v>-2.9999999199999934</v>
      </c>
      <c r="U183" s="128">
        <f t="shared" si="33"/>
        <v>687.00000016000001</v>
      </c>
      <c r="W183" s="128">
        <f t="shared" si="42"/>
        <v>145</v>
      </c>
      <c r="X183" s="128">
        <f t="shared" si="43"/>
        <v>136.00000008000001</v>
      </c>
    </row>
    <row r="184" spans="1:24">
      <c r="A184" s="22">
        <v>43770</v>
      </c>
      <c r="B184" s="130">
        <v>1</v>
      </c>
      <c r="C184" s="130">
        <v>0</v>
      </c>
      <c r="D184" s="130">
        <v>1</v>
      </c>
      <c r="E184" s="130">
        <v>0</v>
      </c>
      <c r="F184" s="130">
        <v>1</v>
      </c>
      <c r="G184" s="130">
        <v>1</v>
      </c>
      <c r="J184" s="57" t="s">
        <v>188</v>
      </c>
      <c r="K184" s="86">
        <f t="shared" si="34"/>
        <v>43770</v>
      </c>
      <c r="L184" s="128">
        <f t="shared" si="35"/>
        <v>137.00000008000001</v>
      </c>
      <c r="M184" s="128">
        <f t="shared" si="36"/>
        <v>46.000000080000007</v>
      </c>
      <c r="N184" s="128">
        <f t="shared" si="37"/>
        <v>140</v>
      </c>
      <c r="O184" s="128">
        <f t="shared" si="38"/>
        <v>90</v>
      </c>
      <c r="P184" s="128">
        <f t="shared" si="39"/>
        <v>132</v>
      </c>
      <c r="Q184" s="128">
        <f t="shared" si="40"/>
        <v>146</v>
      </c>
      <c r="R184" s="128">
        <f t="shared" si="41"/>
        <v>6</v>
      </c>
      <c r="S184" s="1">
        <f t="shared" si="45"/>
        <v>1</v>
      </c>
      <c r="T184" s="128">
        <f t="shared" si="44"/>
        <v>-2.9999999199999934</v>
      </c>
      <c r="U184" s="128">
        <f t="shared" si="33"/>
        <v>691.00000016000001</v>
      </c>
      <c r="W184" s="128">
        <f t="shared" si="42"/>
        <v>146</v>
      </c>
      <c r="X184" s="128">
        <f t="shared" si="43"/>
        <v>136.00000008000001</v>
      </c>
    </row>
    <row r="185" spans="1:24">
      <c r="A185" s="22">
        <v>43777</v>
      </c>
      <c r="B185" s="130">
        <v>0</v>
      </c>
      <c r="C185" s="130">
        <v>0</v>
      </c>
      <c r="D185" s="130">
        <v>1</v>
      </c>
      <c r="E185" s="130">
        <v>0</v>
      </c>
      <c r="F185" s="130">
        <v>1</v>
      </c>
      <c r="G185" s="130">
        <v>1</v>
      </c>
      <c r="J185" s="57" t="s">
        <v>189</v>
      </c>
      <c r="K185" s="86">
        <f t="shared" si="34"/>
        <v>43777</v>
      </c>
      <c r="L185" s="128">
        <f t="shared" si="35"/>
        <v>137.00000008000001</v>
      </c>
      <c r="M185" s="128">
        <f t="shared" si="36"/>
        <v>46.000000080000007</v>
      </c>
      <c r="N185" s="128">
        <f t="shared" si="37"/>
        <v>141</v>
      </c>
      <c r="O185" s="128">
        <f t="shared" si="38"/>
        <v>90</v>
      </c>
      <c r="P185" s="128">
        <f t="shared" si="39"/>
        <v>133</v>
      </c>
      <c r="Q185" s="128">
        <f t="shared" si="40"/>
        <v>147</v>
      </c>
      <c r="R185" s="128">
        <f t="shared" si="41"/>
        <v>6</v>
      </c>
      <c r="S185" s="1">
        <f t="shared" si="45"/>
        <v>1</v>
      </c>
      <c r="T185" s="128">
        <f t="shared" si="44"/>
        <v>-3.9999999199999934</v>
      </c>
      <c r="U185" s="128">
        <f t="shared" si="33"/>
        <v>694.00000016000001</v>
      </c>
      <c r="W185" s="128">
        <f t="shared" si="42"/>
        <v>147</v>
      </c>
      <c r="X185" s="128">
        <f t="shared" si="43"/>
        <v>136.00000008000001</v>
      </c>
    </row>
    <row r="186" spans="1:24">
      <c r="A186" s="22">
        <v>43784</v>
      </c>
      <c r="B186" s="130">
        <v>1</v>
      </c>
      <c r="C186" s="130">
        <v>0</v>
      </c>
      <c r="D186" s="130">
        <v>0</v>
      </c>
      <c r="E186" s="130">
        <v>1</v>
      </c>
      <c r="F186" s="130">
        <v>1</v>
      </c>
      <c r="G186" s="130">
        <v>1</v>
      </c>
      <c r="J186" s="57" t="s">
        <v>190</v>
      </c>
      <c r="K186" s="86">
        <f t="shared" si="34"/>
        <v>43784</v>
      </c>
      <c r="L186" s="128">
        <f t="shared" si="35"/>
        <v>138.00000008000001</v>
      </c>
      <c r="M186" s="128">
        <f t="shared" si="36"/>
        <v>46.000000080000007</v>
      </c>
      <c r="N186" s="128">
        <f t="shared" si="37"/>
        <v>141</v>
      </c>
      <c r="O186" s="128">
        <f t="shared" si="38"/>
        <v>91</v>
      </c>
      <c r="P186" s="128">
        <f t="shared" si="39"/>
        <v>134</v>
      </c>
      <c r="Q186" s="128">
        <f t="shared" si="40"/>
        <v>148</v>
      </c>
      <c r="R186" s="128">
        <f t="shared" si="41"/>
        <v>7</v>
      </c>
      <c r="S186" s="1">
        <f t="shared" si="45"/>
        <v>1</v>
      </c>
      <c r="T186" s="128">
        <f t="shared" si="44"/>
        <v>-2.9999999199999934</v>
      </c>
      <c r="U186" s="128">
        <f t="shared" si="33"/>
        <v>698.00000016000001</v>
      </c>
      <c r="W186" s="128">
        <f t="shared" si="42"/>
        <v>148</v>
      </c>
      <c r="X186" s="128">
        <f t="shared" si="43"/>
        <v>137.00000008000001</v>
      </c>
    </row>
    <row r="187" spans="1:24">
      <c r="A187" s="22">
        <v>43791</v>
      </c>
      <c r="B187" s="130">
        <v>1</v>
      </c>
      <c r="C187" s="130">
        <v>0</v>
      </c>
      <c r="D187" s="130">
        <v>1</v>
      </c>
      <c r="E187" s="130">
        <v>0</v>
      </c>
      <c r="F187" s="130">
        <v>1</v>
      </c>
      <c r="G187" s="130">
        <v>1</v>
      </c>
      <c r="J187" s="57" t="s">
        <v>191</v>
      </c>
      <c r="K187" s="86">
        <f t="shared" si="34"/>
        <v>43791</v>
      </c>
      <c r="L187" s="128">
        <f t="shared" si="35"/>
        <v>139.00000008000001</v>
      </c>
      <c r="M187" s="128">
        <f t="shared" si="36"/>
        <v>46.000000080000007</v>
      </c>
      <c r="N187" s="128">
        <f t="shared" si="37"/>
        <v>142</v>
      </c>
      <c r="O187" s="128">
        <f t="shared" si="38"/>
        <v>91</v>
      </c>
      <c r="P187" s="128">
        <f t="shared" si="39"/>
        <v>135</v>
      </c>
      <c r="Q187" s="128">
        <f t="shared" si="40"/>
        <v>149</v>
      </c>
      <c r="R187" s="128">
        <f t="shared" si="41"/>
        <v>7</v>
      </c>
      <c r="S187" s="1">
        <f t="shared" si="45"/>
        <v>1</v>
      </c>
      <c r="T187" s="128">
        <f t="shared" si="44"/>
        <v>-2.9999999199999934</v>
      </c>
      <c r="U187" s="128">
        <f t="shared" si="33"/>
        <v>702.00000016000001</v>
      </c>
      <c r="W187" s="128">
        <f t="shared" si="42"/>
        <v>149</v>
      </c>
      <c r="X187" s="128">
        <f t="shared" si="43"/>
        <v>137.00000008000001</v>
      </c>
    </row>
    <row r="188" spans="1:24">
      <c r="A188" s="22">
        <v>43798</v>
      </c>
      <c r="B188" s="130">
        <v>1</v>
      </c>
      <c r="C188" s="130">
        <v>0</v>
      </c>
      <c r="D188" s="130">
        <v>1</v>
      </c>
      <c r="E188" s="130">
        <v>0</v>
      </c>
      <c r="F188" s="130">
        <v>1</v>
      </c>
      <c r="G188" s="130">
        <v>1</v>
      </c>
      <c r="K188" s="86">
        <f t="shared" si="34"/>
        <v>43798</v>
      </c>
      <c r="L188" s="128">
        <f t="shared" si="35"/>
        <v>140.00000008000001</v>
      </c>
      <c r="M188" s="128">
        <f t="shared" si="36"/>
        <v>46.000000080000007</v>
      </c>
      <c r="N188" s="128">
        <f t="shared" si="37"/>
        <v>143</v>
      </c>
      <c r="O188" s="128">
        <f t="shared" si="38"/>
        <v>91</v>
      </c>
      <c r="P188" s="128">
        <f t="shared" si="39"/>
        <v>136</v>
      </c>
      <c r="Q188" s="128">
        <f t="shared" si="40"/>
        <v>150</v>
      </c>
      <c r="R188" s="128">
        <f t="shared" si="41"/>
        <v>7</v>
      </c>
      <c r="S188" s="1">
        <f t="shared" si="45"/>
        <v>1</v>
      </c>
      <c r="T188" s="128">
        <f t="shared" si="44"/>
        <v>-2.9999999199999934</v>
      </c>
      <c r="U188" s="128">
        <f t="shared" si="33"/>
        <v>706.00000016000001</v>
      </c>
      <c r="W188" s="128">
        <f t="shared" si="42"/>
        <v>150</v>
      </c>
      <c r="X188" s="128">
        <f t="shared" si="43"/>
        <v>137.00000008000001</v>
      </c>
    </row>
    <row r="189" spans="1:24">
      <c r="A189" s="22">
        <v>43805</v>
      </c>
      <c r="B189" s="130">
        <v>1</v>
      </c>
      <c r="C189" s="130">
        <v>0</v>
      </c>
      <c r="D189" s="130">
        <v>1</v>
      </c>
      <c r="E189" s="130">
        <v>0</v>
      </c>
      <c r="F189" s="130">
        <v>1</v>
      </c>
      <c r="G189" s="130">
        <v>1</v>
      </c>
      <c r="J189" s="57" t="s">
        <v>192</v>
      </c>
      <c r="K189" s="86">
        <f t="shared" si="34"/>
        <v>43805</v>
      </c>
      <c r="L189" s="128">
        <f t="shared" si="35"/>
        <v>141.00000008000001</v>
      </c>
      <c r="M189" s="128">
        <f t="shared" si="36"/>
        <v>46.000000080000007</v>
      </c>
      <c r="N189" s="128">
        <f t="shared" si="37"/>
        <v>144</v>
      </c>
      <c r="O189" s="128">
        <f t="shared" si="38"/>
        <v>91</v>
      </c>
      <c r="P189" s="128">
        <f t="shared" si="39"/>
        <v>137</v>
      </c>
      <c r="Q189" s="128">
        <f t="shared" si="40"/>
        <v>151</v>
      </c>
      <c r="R189" s="128">
        <f t="shared" si="41"/>
        <v>7</v>
      </c>
      <c r="S189" s="1">
        <f t="shared" si="45"/>
        <v>1</v>
      </c>
      <c r="T189" s="128">
        <f t="shared" si="44"/>
        <v>-2.9999999199999934</v>
      </c>
      <c r="U189" s="128">
        <f t="shared" si="33"/>
        <v>710.00000016000001</v>
      </c>
      <c r="W189" s="128">
        <f t="shared" si="42"/>
        <v>151</v>
      </c>
      <c r="X189" s="128">
        <f t="shared" si="43"/>
        <v>137.00000008000001</v>
      </c>
    </row>
    <row r="190" spans="1:24">
      <c r="A190" s="22">
        <v>43812</v>
      </c>
      <c r="B190" s="130">
        <v>1</v>
      </c>
      <c r="C190" s="130">
        <v>0</v>
      </c>
      <c r="D190" s="130">
        <v>1</v>
      </c>
      <c r="E190" s="130">
        <v>0</v>
      </c>
      <c r="F190" s="130">
        <v>1</v>
      </c>
      <c r="G190" s="130">
        <v>0</v>
      </c>
      <c r="K190" s="86">
        <f t="shared" si="34"/>
        <v>43812</v>
      </c>
      <c r="L190" s="128">
        <f t="shared" si="35"/>
        <v>142.00000008000001</v>
      </c>
      <c r="M190" s="128">
        <f t="shared" si="36"/>
        <v>46.000000080000007</v>
      </c>
      <c r="N190" s="128">
        <f t="shared" si="37"/>
        <v>145</v>
      </c>
      <c r="O190" s="128">
        <f t="shared" si="38"/>
        <v>91</v>
      </c>
      <c r="P190" s="128">
        <f t="shared" si="39"/>
        <v>138</v>
      </c>
      <c r="Q190" s="128">
        <f t="shared" si="40"/>
        <v>151</v>
      </c>
      <c r="R190" s="128">
        <f t="shared" si="41"/>
        <v>6</v>
      </c>
      <c r="S190" s="1">
        <f t="shared" si="45"/>
        <v>1</v>
      </c>
      <c r="T190" s="128">
        <f t="shared" si="44"/>
        <v>-2.9999999199999934</v>
      </c>
      <c r="U190" s="128">
        <f t="shared" si="33"/>
        <v>713.00000016000001</v>
      </c>
      <c r="W190" s="128">
        <f t="shared" si="42"/>
        <v>151</v>
      </c>
      <c r="X190" s="128">
        <f t="shared" si="43"/>
        <v>137.00000008000001</v>
      </c>
    </row>
    <row r="191" spans="1:24">
      <c r="A191" s="22">
        <v>43819</v>
      </c>
      <c r="B191" s="130">
        <v>1</v>
      </c>
      <c r="C191" s="130">
        <v>0</v>
      </c>
      <c r="D191" s="130">
        <v>0</v>
      </c>
      <c r="E191" s="130">
        <v>1</v>
      </c>
      <c r="F191" s="130">
        <v>1</v>
      </c>
      <c r="G191" s="130">
        <v>0</v>
      </c>
      <c r="J191" s="57" t="s">
        <v>193</v>
      </c>
      <c r="K191" s="86">
        <f t="shared" si="34"/>
        <v>43819</v>
      </c>
      <c r="L191" s="128">
        <f t="shared" si="35"/>
        <v>143.00000008000001</v>
      </c>
      <c r="M191" s="128">
        <f t="shared" si="36"/>
        <v>46.000000080000007</v>
      </c>
      <c r="N191" s="128">
        <f t="shared" si="37"/>
        <v>145</v>
      </c>
      <c r="O191" s="128">
        <f t="shared" si="38"/>
        <v>92</v>
      </c>
      <c r="P191" s="128">
        <f t="shared" si="39"/>
        <v>139</v>
      </c>
      <c r="Q191" s="128">
        <f t="shared" si="40"/>
        <v>151</v>
      </c>
      <c r="R191" s="128">
        <f t="shared" si="41"/>
        <v>6</v>
      </c>
      <c r="S191" s="1">
        <f t="shared" si="45"/>
        <v>1</v>
      </c>
      <c r="T191" s="128">
        <f t="shared" si="44"/>
        <v>-1.9999999199999934</v>
      </c>
      <c r="U191" s="128">
        <f t="shared" si="33"/>
        <v>716.00000016000001</v>
      </c>
      <c r="W191" s="128">
        <f t="shared" si="42"/>
        <v>151</v>
      </c>
      <c r="X191" s="128">
        <f t="shared" si="43"/>
        <v>138.00000008000001</v>
      </c>
    </row>
    <row r="192" spans="1:24">
      <c r="A192" s="22">
        <v>43826</v>
      </c>
      <c r="B192" s="130">
        <v>0</v>
      </c>
      <c r="C192" s="130">
        <v>0</v>
      </c>
      <c r="D192" s="130">
        <v>1</v>
      </c>
      <c r="E192" s="130">
        <v>0</v>
      </c>
      <c r="F192" s="130">
        <v>1</v>
      </c>
      <c r="G192" s="130">
        <v>0</v>
      </c>
      <c r="J192" s="57" t="s">
        <v>194</v>
      </c>
      <c r="K192" s="86">
        <f t="shared" si="34"/>
        <v>43826</v>
      </c>
      <c r="L192" s="128">
        <f t="shared" si="35"/>
        <v>143.00000008000001</v>
      </c>
      <c r="M192" s="128">
        <f t="shared" si="36"/>
        <v>46.000000080000007</v>
      </c>
      <c r="N192" s="128">
        <f t="shared" si="37"/>
        <v>146</v>
      </c>
      <c r="O192" s="128">
        <f t="shared" si="38"/>
        <v>92</v>
      </c>
      <c r="P192" s="128">
        <f t="shared" si="39"/>
        <v>140</v>
      </c>
      <c r="Q192" s="128">
        <f t="shared" si="40"/>
        <v>151</v>
      </c>
      <c r="R192" s="128">
        <f t="shared" si="41"/>
        <v>5</v>
      </c>
      <c r="S192" s="1">
        <f t="shared" si="45"/>
        <v>1</v>
      </c>
      <c r="T192" s="128">
        <f t="shared" si="44"/>
        <v>-2.9999999199999934</v>
      </c>
      <c r="U192" s="128">
        <f t="shared" si="33"/>
        <v>718.00000016000001</v>
      </c>
      <c r="W192" s="128">
        <f t="shared" si="42"/>
        <v>151</v>
      </c>
      <c r="X192" s="128">
        <f t="shared" si="43"/>
        <v>138.00000008000001</v>
      </c>
    </row>
    <row r="193" spans="1:24">
      <c r="A193" s="22">
        <v>43833</v>
      </c>
      <c r="B193" s="130">
        <v>1</v>
      </c>
      <c r="C193" s="130">
        <v>0</v>
      </c>
      <c r="D193" s="130">
        <v>1</v>
      </c>
      <c r="E193" s="130">
        <v>0</v>
      </c>
      <c r="F193" s="130">
        <v>1</v>
      </c>
      <c r="G193" s="130">
        <v>1</v>
      </c>
      <c r="J193" s="57" t="s">
        <v>195</v>
      </c>
      <c r="K193" s="86">
        <f t="shared" si="34"/>
        <v>43833</v>
      </c>
      <c r="L193" s="128">
        <f t="shared" si="35"/>
        <v>144.00000008000001</v>
      </c>
      <c r="M193" s="128">
        <f t="shared" si="36"/>
        <v>46.000000080000007</v>
      </c>
      <c r="N193" s="128">
        <f t="shared" si="37"/>
        <v>147</v>
      </c>
      <c r="O193" s="128">
        <f t="shared" si="38"/>
        <v>92</v>
      </c>
      <c r="P193" s="128">
        <f t="shared" si="39"/>
        <v>141</v>
      </c>
      <c r="Q193" s="128">
        <f t="shared" si="40"/>
        <v>152</v>
      </c>
      <c r="R193" s="128">
        <f t="shared" si="41"/>
        <v>5</v>
      </c>
      <c r="S193" s="1">
        <f t="shared" si="45"/>
        <v>1</v>
      </c>
      <c r="T193" s="128">
        <f t="shared" si="44"/>
        <v>-2.9999999199999934</v>
      </c>
      <c r="U193" s="128">
        <f t="shared" si="33"/>
        <v>722.00000016000001</v>
      </c>
      <c r="W193" s="128">
        <f t="shared" si="42"/>
        <v>152</v>
      </c>
      <c r="X193" s="128">
        <f t="shared" si="43"/>
        <v>138.00000008000001</v>
      </c>
    </row>
    <row r="194" spans="1:24">
      <c r="A194" s="22">
        <v>43840</v>
      </c>
      <c r="B194" s="130">
        <v>0</v>
      </c>
      <c r="C194" s="130">
        <v>0</v>
      </c>
      <c r="D194" s="130">
        <v>1</v>
      </c>
      <c r="E194" s="130">
        <v>0</v>
      </c>
      <c r="F194" s="130">
        <v>1</v>
      </c>
      <c r="G194" s="130">
        <v>1</v>
      </c>
      <c r="J194" s="57" t="s">
        <v>196</v>
      </c>
      <c r="K194" s="86">
        <f t="shared" si="34"/>
        <v>43840</v>
      </c>
      <c r="L194" s="128">
        <f t="shared" si="35"/>
        <v>144.00000008000001</v>
      </c>
      <c r="M194" s="128">
        <f t="shared" si="36"/>
        <v>46.000000080000007</v>
      </c>
      <c r="N194" s="128">
        <f t="shared" si="37"/>
        <v>148</v>
      </c>
      <c r="O194" s="128">
        <f t="shared" si="38"/>
        <v>92</v>
      </c>
      <c r="P194" s="128">
        <f t="shared" si="39"/>
        <v>142</v>
      </c>
      <c r="Q194" s="128">
        <f t="shared" si="40"/>
        <v>153</v>
      </c>
      <c r="R194" s="128">
        <f t="shared" si="41"/>
        <v>5</v>
      </c>
      <c r="S194" s="1">
        <f t="shared" si="45"/>
        <v>1</v>
      </c>
      <c r="T194" s="128">
        <f t="shared" si="44"/>
        <v>-3.9999999199999934</v>
      </c>
      <c r="U194" s="128">
        <f t="shared" ref="U194:U257" si="46">SUM(L194:Q194)</f>
        <v>725.00000016000001</v>
      </c>
      <c r="W194" s="128">
        <f t="shared" si="42"/>
        <v>153</v>
      </c>
      <c r="X194" s="128">
        <f t="shared" si="43"/>
        <v>138.00000008000001</v>
      </c>
    </row>
    <row r="195" spans="1:24">
      <c r="A195" s="22">
        <f>'Stats 2020'!D25</f>
        <v>43854</v>
      </c>
      <c r="B195" s="130">
        <f>'Stats 2020'!E25</f>
        <v>1</v>
      </c>
      <c r="C195" s="130">
        <v>0</v>
      </c>
      <c r="D195" s="130">
        <f>'Stats 2020'!G25</f>
        <v>1</v>
      </c>
      <c r="E195" s="130">
        <v>0</v>
      </c>
      <c r="F195" s="130">
        <f>'Stats 2020'!I25</f>
        <v>1</v>
      </c>
      <c r="G195" s="130">
        <f>'Stats 2020'!J25</f>
        <v>1</v>
      </c>
      <c r="J195" s="57" t="s">
        <v>197</v>
      </c>
      <c r="K195" s="86">
        <f t="shared" ref="K195:K258" si="47">A195</f>
        <v>43854</v>
      </c>
      <c r="L195" s="128">
        <f t="shared" ref="L195:L258" si="48">B195+L194</f>
        <v>145.00000008000001</v>
      </c>
      <c r="M195" s="128">
        <f t="shared" ref="M195:M258" si="49">C195+M194</f>
        <v>46.000000080000007</v>
      </c>
      <c r="N195" s="128">
        <f t="shared" ref="N195:N258" si="50">D195+N194</f>
        <v>149</v>
      </c>
      <c r="O195" s="128">
        <f t="shared" ref="O195:O258" si="51">E195+O194</f>
        <v>92</v>
      </c>
      <c r="P195" s="128">
        <f t="shared" ref="P195:P258" si="52">F195+P194</f>
        <v>143</v>
      </c>
      <c r="Q195" s="128">
        <f t="shared" ref="Q195:Q258" si="53">G195+Q194</f>
        <v>154</v>
      </c>
      <c r="R195" s="128">
        <f t="shared" ref="R195:R258" si="54">Q195-MAX(L195:P195)</f>
        <v>5</v>
      </c>
      <c r="S195" s="1">
        <f t="shared" si="45"/>
        <v>1</v>
      </c>
      <c r="T195" s="128">
        <f t="shared" si="44"/>
        <v>-3.9999999199999934</v>
      </c>
      <c r="U195" s="128">
        <f t="shared" si="46"/>
        <v>729.00000016000001</v>
      </c>
      <c r="W195" s="128">
        <f t="shared" ref="W195:W258" si="55">Q195</f>
        <v>154</v>
      </c>
      <c r="X195" s="128">
        <f t="shared" ref="X195:X258" si="56">M195+O195</f>
        <v>138.00000008000001</v>
      </c>
    </row>
    <row r="196" spans="1:24">
      <c r="A196" s="22">
        <f>'Stats 2020'!D26</f>
        <v>43861</v>
      </c>
      <c r="B196" s="130">
        <f>'Stats 2020'!E26</f>
        <v>1</v>
      </c>
      <c r="C196" s="130">
        <v>0</v>
      </c>
      <c r="D196" s="130">
        <f>'Stats 2020'!G26</f>
        <v>1</v>
      </c>
      <c r="E196" s="130">
        <v>0</v>
      </c>
      <c r="F196" s="130">
        <f>'Stats 2020'!I26</f>
        <v>0</v>
      </c>
      <c r="G196" s="130">
        <f>'Stats 2020'!J26</f>
        <v>1</v>
      </c>
      <c r="J196" s="57" t="s">
        <v>198</v>
      </c>
      <c r="K196" s="86">
        <f t="shared" si="47"/>
        <v>43861</v>
      </c>
      <c r="L196" s="128">
        <f t="shared" si="48"/>
        <v>146.00000008000001</v>
      </c>
      <c r="M196" s="128">
        <f t="shared" si="49"/>
        <v>46.000000080000007</v>
      </c>
      <c r="N196" s="128">
        <f t="shared" si="50"/>
        <v>150</v>
      </c>
      <c r="O196" s="128">
        <f t="shared" si="51"/>
        <v>92</v>
      </c>
      <c r="P196" s="128">
        <f t="shared" si="52"/>
        <v>143</v>
      </c>
      <c r="Q196" s="128">
        <f t="shared" si="53"/>
        <v>155</v>
      </c>
      <c r="R196" s="128">
        <f t="shared" si="54"/>
        <v>5</v>
      </c>
      <c r="S196" s="1">
        <f t="shared" si="45"/>
        <v>1</v>
      </c>
      <c r="T196" s="128">
        <f t="shared" si="44"/>
        <v>-3.9999999199999934</v>
      </c>
      <c r="U196" s="128">
        <f t="shared" si="46"/>
        <v>732.00000016000001</v>
      </c>
      <c r="W196" s="128">
        <f t="shared" si="55"/>
        <v>155</v>
      </c>
      <c r="X196" s="128">
        <f t="shared" si="56"/>
        <v>138.00000008000001</v>
      </c>
    </row>
    <row r="197" spans="1:24">
      <c r="A197" s="22">
        <f>'Stats 2020'!D27</f>
        <v>43868</v>
      </c>
      <c r="B197" s="130">
        <f>'Stats 2020'!E27</f>
        <v>0</v>
      </c>
      <c r="C197" s="130">
        <v>0</v>
      </c>
      <c r="D197" s="130">
        <f>'Stats 2020'!G27</f>
        <v>1</v>
      </c>
      <c r="E197" s="130">
        <v>0</v>
      </c>
      <c r="F197" s="130">
        <f>'Stats 2020'!I27</f>
        <v>0</v>
      </c>
      <c r="G197" s="130">
        <f>'Stats 2020'!J27</f>
        <v>1</v>
      </c>
      <c r="J197" s="57" t="s">
        <v>199</v>
      </c>
      <c r="K197" s="86">
        <f t="shared" si="47"/>
        <v>43868</v>
      </c>
      <c r="L197" s="128">
        <f t="shared" si="48"/>
        <v>146.00000008000001</v>
      </c>
      <c r="M197" s="128">
        <f t="shared" si="49"/>
        <v>46.000000080000007</v>
      </c>
      <c r="N197" s="128">
        <f t="shared" si="50"/>
        <v>151</v>
      </c>
      <c r="O197" s="128">
        <f t="shared" si="51"/>
        <v>92</v>
      </c>
      <c r="P197" s="128">
        <f t="shared" si="52"/>
        <v>143</v>
      </c>
      <c r="Q197" s="128">
        <f t="shared" si="53"/>
        <v>156</v>
      </c>
      <c r="R197" s="128">
        <f t="shared" si="54"/>
        <v>5</v>
      </c>
      <c r="S197" s="1">
        <f t="shared" si="45"/>
        <v>1</v>
      </c>
      <c r="T197" s="128">
        <f t="shared" si="44"/>
        <v>-4.9999999199999934</v>
      </c>
      <c r="U197" s="128">
        <f t="shared" si="46"/>
        <v>734.00000016000001</v>
      </c>
      <c r="W197" s="128">
        <f t="shared" si="55"/>
        <v>156</v>
      </c>
      <c r="X197" s="128">
        <f t="shared" si="56"/>
        <v>138.00000008000001</v>
      </c>
    </row>
    <row r="198" spans="1:24">
      <c r="A198" s="22">
        <f>'Stats 2020'!D28</f>
        <v>43875</v>
      </c>
      <c r="B198" s="130">
        <f>'Stats 2020'!E28</f>
        <v>1</v>
      </c>
      <c r="C198" s="130">
        <v>0</v>
      </c>
      <c r="D198" s="130">
        <f>'Stats 2020'!G28</f>
        <v>1</v>
      </c>
      <c r="E198" s="130">
        <v>0</v>
      </c>
      <c r="F198" s="130">
        <f>'Stats 2020'!I28</f>
        <v>0</v>
      </c>
      <c r="G198" s="130">
        <f>'Stats 2020'!J28</f>
        <v>1</v>
      </c>
      <c r="J198" s="57" t="s">
        <v>200</v>
      </c>
      <c r="K198" s="86">
        <f t="shared" si="47"/>
        <v>43875</v>
      </c>
      <c r="L198" s="128">
        <f t="shared" si="48"/>
        <v>147.00000008000001</v>
      </c>
      <c r="M198" s="128">
        <f t="shared" si="49"/>
        <v>46.000000080000007</v>
      </c>
      <c r="N198" s="128">
        <f t="shared" si="50"/>
        <v>152</v>
      </c>
      <c r="O198" s="128">
        <f t="shared" si="51"/>
        <v>92</v>
      </c>
      <c r="P198" s="128">
        <f t="shared" si="52"/>
        <v>143</v>
      </c>
      <c r="Q198" s="128">
        <f t="shared" si="53"/>
        <v>157</v>
      </c>
      <c r="R198" s="128">
        <f t="shared" si="54"/>
        <v>5</v>
      </c>
      <c r="S198" s="1">
        <f t="shared" si="45"/>
        <v>1</v>
      </c>
      <c r="T198" s="128">
        <f t="shared" si="44"/>
        <v>-4.9999999199999934</v>
      </c>
      <c r="U198" s="128">
        <f t="shared" si="46"/>
        <v>737.00000016000001</v>
      </c>
      <c r="W198" s="128">
        <f t="shared" si="55"/>
        <v>157</v>
      </c>
      <c r="X198" s="128">
        <f t="shared" si="56"/>
        <v>138.00000008000001</v>
      </c>
    </row>
    <row r="199" spans="1:24">
      <c r="A199" s="22">
        <f>'Stats 2020'!D29</f>
        <v>43882</v>
      </c>
      <c r="B199" s="130">
        <f>'Stats 2020'!E29</f>
        <v>1</v>
      </c>
      <c r="C199" s="130">
        <v>0</v>
      </c>
      <c r="D199" s="130">
        <f>'Stats 2020'!G29</f>
        <v>1</v>
      </c>
      <c r="E199" s="130">
        <v>0</v>
      </c>
      <c r="F199" s="130">
        <f>'Stats 2020'!I29</f>
        <v>1</v>
      </c>
      <c r="G199" s="130">
        <f>'Stats 2020'!J29</f>
        <v>1</v>
      </c>
      <c r="J199" s="57" t="s">
        <v>201</v>
      </c>
      <c r="K199" s="86">
        <f t="shared" si="47"/>
        <v>43882</v>
      </c>
      <c r="L199" s="128">
        <f t="shared" si="48"/>
        <v>148.00000008000001</v>
      </c>
      <c r="M199" s="128">
        <f t="shared" si="49"/>
        <v>46.000000080000007</v>
      </c>
      <c r="N199" s="128">
        <f t="shared" si="50"/>
        <v>153</v>
      </c>
      <c r="O199" s="128">
        <f t="shared" si="51"/>
        <v>92</v>
      </c>
      <c r="P199" s="128">
        <f t="shared" si="52"/>
        <v>144</v>
      </c>
      <c r="Q199" s="128">
        <f t="shared" si="53"/>
        <v>158</v>
      </c>
      <c r="R199" s="128">
        <f t="shared" si="54"/>
        <v>5</v>
      </c>
      <c r="S199" s="1">
        <f t="shared" si="45"/>
        <v>1</v>
      </c>
      <c r="T199" s="128">
        <f t="shared" si="44"/>
        <v>-4.9999999199999934</v>
      </c>
      <c r="U199" s="128">
        <f t="shared" si="46"/>
        <v>741.00000016000001</v>
      </c>
      <c r="W199" s="128">
        <f t="shared" si="55"/>
        <v>158</v>
      </c>
      <c r="X199" s="128">
        <f t="shared" si="56"/>
        <v>138.00000008000001</v>
      </c>
    </row>
    <row r="200" spans="1:24">
      <c r="A200" s="22">
        <f>'Stats 2020'!D30</f>
        <v>43889</v>
      </c>
      <c r="B200" s="130">
        <f>'Stats 2020'!E30</f>
        <v>1</v>
      </c>
      <c r="C200" s="130">
        <v>0</v>
      </c>
      <c r="D200" s="130">
        <f>'Stats 2020'!G30</f>
        <v>0</v>
      </c>
      <c r="E200" s="130">
        <v>0</v>
      </c>
      <c r="F200" s="130">
        <f>'Stats 2020'!I30</f>
        <v>1</v>
      </c>
      <c r="G200" s="130">
        <f>'Stats 2020'!J30</f>
        <v>0</v>
      </c>
      <c r="J200" s="57" t="s">
        <v>202</v>
      </c>
      <c r="K200" s="86">
        <f t="shared" si="47"/>
        <v>43889</v>
      </c>
      <c r="L200" s="128">
        <f t="shared" si="48"/>
        <v>149.00000008000001</v>
      </c>
      <c r="M200" s="128">
        <f t="shared" si="49"/>
        <v>46.000000080000007</v>
      </c>
      <c r="N200" s="128">
        <f t="shared" si="50"/>
        <v>153</v>
      </c>
      <c r="O200" s="128">
        <f t="shared" si="51"/>
        <v>92</v>
      </c>
      <c r="P200" s="128">
        <f t="shared" si="52"/>
        <v>145</v>
      </c>
      <c r="Q200" s="128">
        <f t="shared" si="53"/>
        <v>158</v>
      </c>
      <c r="R200" s="128">
        <f t="shared" si="54"/>
        <v>5</v>
      </c>
      <c r="S200" s="1">
        <f t="shared" si="45"/>
        <v>1</v>
      </c>
      <c r="T200" s="128">
        <f t="shared" si="44"/>
        <v>-3.9999999199999934</v>
      </c>
      <c r="U200" s="128">
        <f t="shared" si="46"/>
        <v>743.00000016000001</v>
      </c>
      <c r="W200" s="128">
        <f t="shared" si="55"/>
        <v>158</v>
      </c>
      <c r="X200" s="128">
        <f t="shared" si="56"/>
        <v>138.00000008000001</v>
      </c>
    </row>
    <row r="201" spans="1:24">
      <c r="A201" s="22">
        <f>'Stats 2020'!D32</f>
        <v>43896</v>
      </c>
      <c r="B201" s="130">
        <f>'Stats 2020'!E32</f>
        <v>1</v>
      </c>
      <c r="C201" s="130">
        <v>0</v>
      </c>
      <c r="D201" s="130">
        <f>'Stats 2020'!G32</f>
        <v>1</v>
      </c>
      <c r="E201" s="130">
        <v>0</v>
      </c>
      <c r="F201" s="130">
        <f>'Stats 2020'!I32</f>
        <v>1</v>
      </c>
      <c r="G201" s="130">
        <f>'Stats 2020'!J32</f>
        <v>1</v>
      </c>
      <c r="J201" s="57" t="s">
        <v>203</v>
      </c>
      <c r="K201" s="86">
        <f t="shared" si="47"/>
        <v>43896</v>
      </c>
      <c r="L201" s="128">
        <f t="shared" si="48"/>
        <v>150.00000008000001</v>
      </c>
      <c r="M201" s="128">
        <f t="shared" si="49"/>
        <v>46.000000080000007</v>
      </c>
      <c r="N201" s="128">
        <f t="shared" si="50"/>
        <v>154</v>
      </c>
      <c r="O201" s="128">
        <f t="shared" si="51"/>
        <v>92</v>
      </c>
      <c r="P201" s="128">
        <f t="shared" si="52"/>
        <v>146</v>
      </c>
      <c r="Q201" s="128">
        <f t="shared" si="53"/>
        <v>159</v>
      </c>
      <c r="R201" s="128">
        <f t="shared" si="54"/>
        <v>5</v>
      </c>
      <c r="S201" s="1">
        <f t="shared" si="45"/>
        <v>1</v>
      </c>
      <c r="T201" s="128">
        <f t="shared" si="44"/>
        <v>-3.9999999199999934</v>
      </c>
      <c r="U201" s="128">
        <f t="shared" si="46"/>
        <v>747.00000016000001</v>
      </c>
      <c r="W201" s="128">
        <f t="shared" si="55"/>
        <v>159</v>
      </c>
      <c r="X201" s="128">
        <f t="shared" si="56"/>
        <v>138.00000008000001</v>
      </c>
    </row>
    <row r="202" spans="1:24">
      <c r="A202" s="22">
        <f>'Stats 2020'!D34</f>
        <v>43903</v>
      </c>
      <c r="B202" s="130">
        <f>'Stats 2020'!E34</f>
        <v>1</v>
      </c>
      <c r="C202" s="130">
        <v>0</v>
      </c>
      <c r="D202" s="130">
        <f>'Stats 2020'!G34</f>
        <v>0</v>
      </c>
      <c r="E202" s="130">
        <v>0</v>
      </c>
      <c r="F202" s="130">
        <f>'Stats 2020'!I34</f>
        <v>1</v>
      </c>
      <c r="G202" s="130">
        <f>'Stats 2020'!J34</f>
        <v>1</v>
      </c>
      <c r="J202" s="57" t="s">
        <v>204</v>
      </c>
      <c r="K202" s="86">
        <f t="shared" si="47"/>
        <v>43903</v>
      </c>
      <c r="L202" s="128">
        <f t="shared" si="48"/>
        <v>151.00000008000001</v>
      </c>
      <c r="M202" s="128">
        <f t="shared" si="49"/>
        <v>46.000000080000007</v>
      </c>
      <c r="N202" s="128">
        <f t="shared" si="50"/>
        <v>154</v>
      </c>
      <c r="O202" s="128">
        <f t="shared" si="51"/>
        <v>92</v>
      </c>
      <c r="P202" s="128">
        <f t="shared" si="52"/>
        <v>147</v>
      </c>
      <c r="Q202" s="128">
        <f t="shared" si="53"/>
        <v>160</v>
      </c>
      <c r="R202" s="128">
        <f t="shared" si="54"/>
        <v>6</v>
      </c>
      <c r="S202" s="1">
        <f t="shared" si="45"/>
        <v>1</v>
      </c>
      <c r="T202" s="128">
        <f t="shared" si="44"/>
        <v>-2.9999999199999934</v>
      </c>
      <c r="U202" s="128">
        <f t="shared" si="46"/>
        <v>750.00000016000001</v>
      </c>
      <c r="W202" s="128">
        <f t="shared" si="55"/>
        <v>160</v>
      </c>
      <c r="X202" s="128">
        <f t="shared" si="56"/>
        <v>138.00000008000001</v>
      </c>
    </row>
    <row r="203" spans="1:24">
      <c r="A203" s="22">
        <f>'Stats 2020'!D35</f>
        <v>43910</v>
      </c>
      <c r="B203" s="130">
        <f>'Stats 2020'!E35</f>
        <v>1</v>
      </c>
      <c r="C203" s="130">
        <v>0</v>
      </c>
      <c r="D203" s="130">
        <f>'Stats 2020'!G35</f>
        <v>1</v>
      </c>
      <c r="E203" s="130">
        <f>'Stats 2020'!H35</f>
        <v>1</v>
      </c>
      <c r="F203" s="130">
        <f>'Stats 2020'!I35</f>
        <v>1</v>
      </c>
      <c r="G203" s="130">
        <f>'Stats 2020'!J35</f>
        <v>1</v>
      </c>
      <c r="J203" s="57" t="s">
        <v>205</v>
      </c>
      <c r="K203" s="86">
        <f t="shared" si="47"/>
        <v>43910</v>
      </c>
      <c r="L203" s="128">
        <f t="shared" si="48"/>
        <v>152.00000008000001</v>
      </c>
      <c r="M203" s="128">
        <f t="shared" si="49"/>
        <v>46.000000080000007</v>
      </c>
      <c r="N203" s="128">
        <f t="shared" si="50"/>
        <v>155</v>
      </c>
      <c r="O203" s="128">
        <f t="shared" si="51"/>
        <v>93</v>
      </c>
      <c r="P203" s="128">
        <f t="shared" si="52"/>
        <v>148</v>
      </c>
      <c r="Q203" s="128">
        <f t="shared" si="53"/>
        <v>161</v>
      </c>
      <c r="R203" s="128">
        <f t="shared" si="54"/>
        <v>6</v>
      </c>
      <c r="S203" s="1">
        <f t="shared" si="45"/>
        <v>1</v>
      </c>
      <c r="T203" s="128">
        <f t="shared" si="44"/>
        <v>-2.9999999199999934</v>
      </c>
      <c r="U203" s="128">
        <f t="shared" si="46"/>
        <v>755.00000016000001</v>
      </c>
      <c r="W203" s="128">
        <f t="shared" si="55"/>
        <v>161</v>
      </c>
      <c r="X203" s="128">
        <f t="shared" si="56"/>
        <v>139.00000008000001</v>
      </c>
    </row>
    <row r="204" spans="1:24">
      <c r="A204" s="22">
        <f>'Stats 2020'!D36</f>
        <v>43917</v>
      </c>
      <c r="B204" s="130">
        <f>'Stats 2020'!E36</f>
        <v>1</v>
      </c>
      <c r="C204" s="130">
        <f>'Stats 2020'!F36</f>
        <v>1</v>
      </c>
      <c r="D204" s="130">
        <f>'Stats 2020'!G36</f>
        <v>1</v>
      </c>
      <c r="E204" s="130">
        <f>'Stats 2020'!H36</f>
        <v>1</v>
      </c>
      <c r="F204" s="130">
        <f>'Stats 2020'!I36</f>
        <v>1</v>
      </c>
      <c r="G204" s="130">
        <f>'Stats 2020'!J36</f>
        <v>1</v>
      </c>
      <c r="J204" s="57" t="s">
        <v>206</v>
      </c>
      <c r="K204" s="86">
        <f t="shared" si="47"/>
        <v>43917</v>
      </c>
      <c r="L204" s="128">
        <f t="shared" si="48"/>
        <v>153.00000008000001</v>
      </c>
      <c r="M204" s="128">
        <f t="shared" si="49"/>
        <v>47.000000080000007</v>
      </c>
      <c r="N204" s="128">
        <f t="shared" si="50"/>
        <v>156</v>
      </c>
      <c r="O204" s="128">
        <f t="shared" si="51"/>
        <v>94</v>
      </c>
      <c r="P204" s="128">
        <f t="shared" si="52"/>
        <v>149</v>
      </c>
      <c r="Q204" s="128">
        <f t="shared" si="53"/>
        <v>162</v>
      </c>
      <c r="R204" s="128">
        <f t="shared" si="54"/>
        <v>6</v>
      </c>
      <c r="S204" s="1">
        <f t="shared" si="45"/>
        <v>1</v>
      </c>
      <c r="T204" s="128">
        <f t="shared" si="44"/>
        <v>-2.9999999199999934</v>
      </c>
      <c r="U204" s="128">
        <f t="shared" si="46"/>
        <v>761.00000016000001</v>
      </c>
      <c r="W204" s="128">
        <f t="shared" si="55"/>
        <v>162</v>
      </c>
      <c r="X204" s="128">
        <f t="shared" si="56"/>
        <v>141.00000008000001</v>
      </c>
    </row>
    <row r="205" spans="1:24">
      <c r="A205" s="22">
        <f>'Stats 2020'!D37</f>
        <v>43924</v>
      </c>
      <c r="B205" s="130">
        <f>'Stats 2020'!E37</f>
        <v>1</v>
      </c>
      <c r="C205" s="130">
        <v>0</v>
      </c>
      <c r="D205" s="130">
        <f>'Stats 2020'!G37</f>
        <v>1</v>
      </c>
      <c r="E205" s="130">
        <f>'Stats 2020'!H37</f>
        <v>1</v>
      </c>
      <c r="F205" s="130">
        <f>'Stats 2020'!I37</f>
        <v>1</v>
      </c>
      <c r="G205" s="130">
        <f>'Stats 2020'!J37</f>
        <v>1</v>
      </c>
      <c r="J205" s="57" t="s">
        <v>207</v>
      </c>
      <c r="K205" s="86">
        <f t="shared" si="47"/>
        <v>43924</v>
      </c>
      <c r="L205" s="128">
        <f t="shared" si="48"/>
        <v>154.00000008000001</v>
      </c>
      <c r="M205" s="128">
        <f t="shared" si="49"/>
        <v>47.000000080000007</v>
      </c>
      <c r="N205" s="128">
        <f t="shared" si="50"/>
        <v>157</v>
      </c>
      <c r="O205" s="128">
        <f t="shared" si="51"/>
        <v>95</v>
      </c>
      <c r="P205" s="128">
        <f t="shared" si="52"/>
        <v>150</v>
      </c>
      <c r="Q205" s="128">
        <f t="shared" si="53"/>
        <v>163</v>
      </c>
      <c r="R205" s="128">
        <f t="shared" si="54"/>
        <v>6</v>
      </c>
      <c r="S205" s="1">
        <f t="shared" si="45"/>
        <v>1</v>
      </c>
      <c r="T205" s="128">
        <f t="shared" si="44"/>
        <v>-2.9999999199999934</v>
      </c>
      <c r="U205" s="128">
        <f t="shared" si="46"/>
        <v>766.00000016000001</v>
      </c>
      <c r="W205" s="128">
        <f t="shared" si="55"/>
        <v>163</v>
      </c>
      <c r="X205" s="128">
        <f t="shared" si="56"/>
        <v>142.00000008000001</v>
      </c>
    </row>
    <row r="206" spans="1:24">
      <c r="A206" s="22">
        <f>'Stats 2020'!D38</f>
        <v>43938</v>
      </c>
      <c r="B206" s="130">
        <f>'Stats 2020'!E38</f>
        <v>1</v>
      </c>
      <c r="C206" s="130">
        <v>0</v>
      </c>
      <c r="D206" s="130">
        <f>'Stats 2020'!G38</f>
        <v>1</v>
      </c>
      <c r="E206" s="130">
        <v>0</v>
      </c>
      <c r="F206" s="130">
        <f>'Stats 2020'!I38</f>
        <v>1</v>
      </c>
      <c r="G206" s="130">
        <f>'Stats 2020'!J38</f>
        <v>1</v>
      </c>
      <c r="J206" s="57" t="s">
        <v>208</v>
      </c>
      <c r="K206" s="86">
        <f t="shared" si="47"/>
        <v>43938</v>
      </c>
      <c r="L206" s="128">
        <f t="shared" si="48"/>
        <v>155.00000008000001</v>
      </c>
      <c r="M206" s="128">
        <f t="shared" si="49"/>
        <v>47.000000080000007</v>
      </c>
      <c r="N206" s="128">
        <f t="shared" si="50"/>
        <v>158</v>
      </c>
      <c r="O206" s="128">
        <f t="shared" si="51"/>
        <v>95</v>
      </c>
      <c r="P206" s="128">
        <f t="shared" si="52"/>
        <v>151</v>
      </c>
      <c r="Q206" s="128">
        <f t="shared" si="53"/>
        <v>164</v>
      </c>
      <c r="R206" s="128">
        <f t="shared" si="54"/>
        <v>6</v>
      </c>
      <c r="S206" s="1">
        <f t="shared" si="45"/>
        <v>1</v>
      </c>
      <c r="T206" s="128">
        <f t="shared" si="44"/>
        <v>-2.9999999199999934</v>
      </c>
      <c r="U206" s="128">
        <f t="shared" si="46"/>
        <v>770.00000016000001</v>
      </c>
      <c r="W206" s="128">
        <f t="shared" si="55"/>
        <v>164</v>
      </c>
      <c r="X206" s="128">
        <f t="shared" si="56"/>
        <v>142.00000008000001</v>
      </c>
    </row>
    <row r="207" spans="1:24">
      <c r="A207" s="22">
        <f>'Stats 2020'!D39</f>
        <v>43945</v>
      </c>
      <c r="B207" s="130">
        <f>'Stats 2020'!E39</f>
        <v>1</v>
      </c>
      <c r="C207" s="130">
        <v>0</v>
      </c>
      <c r="D207" s="130">
        <f>'Stats 2020'!G39</f>
        <v>1</v>
      </c>
      <c r="E207" s="130">
        <f>'Stats 2020'!H39</f>
        <v>1</v>
      </c>
      <c r="F207" s="130">
        <f>'Stats 2020'!I39</f>
        <v>1</v>
      </c>
      <c r="G207" s="130">
        <f>'Stats 2020'!J39</f>
        <v>1</v>
      </c>
      <c r="J207" s="57" t="s">
        <v>209</v>
      </c>
      <c r="K207" s="86">
        <f t="shared" si="47"/>
        <v>43945</v>
      </c>
      <c r="L207" s="128">
        <f t="shared" si="48"/>
        <v>156.00000008000001</v>
      </c>
      <c r="M207" s="128">
        <f t="shared" si="49"/>
        <v>47.000000080000007</v>
      </c>
      <c r="N207" s="128">
        <f t="shared" si="50"/>
        <v>159</v>
      </c>
      <c r="O207" s="128">
        <f t="shared" si="51"/>
        <v>96</v>
      </c>
      <c r="P207" s="128">
        <f t="shared" si="52"/>
        <v>152</v>
      </c>
      <c r="Q207" s="128">
        <f t="shared" si="53"/>
        <v>165</v>
      </c>
      <c r="R207" s="128">
        <f t="shared" si="54"/>
        <v>6</v>
      </c>
      <c r="S207" s="1">
        <f t="shared" si="45"/>
        <v>1</v>
      </c>
      <c r="T207" s="128">
        <f t="shared" si="44"/>
        <v>-2.9999999199999934</v>
      </c>
      <c r="U207" s="128">
        <f t="shared" si="46"/>
        <v>775.00000016000001</v>
      </c>
      <c r="W207" s="128">
        <f t="shared" si="55"/>
        <v>165</v>
      </c>
      <c r="X207" s="128">
        <f t="shared" si="56"/>
        <v>143.00000008000001</v>
      </c>
    </row>
    <row r="208" spans="1:24">
      <c r="A208" s="22">
        <f>'Stats 2020'!D40</f>
        <v>43952</v>
      </c>
      <c r="B208" s="130">
        <f>'Stats 2020'!E40</f>
        <v>1</v>
      </c>
      <c r="C208" s="130">
        <v>0</v>
      </c>
      <c r="D208" s="130">
        <f>'Stats 2020'!G40</f>
        <v>1</v>
      </c>
      <c r="E208" s="130">
        <f>'Stats 2020'!H40</f>
        <v>1</v>
      </c>
      <c r="F208" s="130">
        <f>'Stats 2020'!I40</f>
        <v>1</v>
      </c>
      <c r="G208" s="130">
        <f>'Stats 2020'!J40</f>
        <v>1</v>
      </c>
      <c r="J208" s="57" t="s">
        <v>210</v>
      </c>
      <c r="K208" s="86">
        <f t="shared" si="47"/>
        <v>43952</v>
      </c>
      <c r="L208" s="128">
        <f t="shared" si="48"/>
        <v>157.00000008000001</v>
      </c>
      <c r="M208" s="128">
        <f t="shared" si="49"/>
        <v>47.000000080000007</v>
      </c>
      <c r="N208" s="128">
        <f t="shared" si="50"/>
        <v>160</v>
      </c>
      <c r="O208" s="128">
        <f t="shared" si="51"/>
        <v>97</v>
      </c>
      <c r="P208" s="128">
        <f t="shared" si="52"/>
        <v>153</v>
      </c>
      <c r="Q208" s="128">
        <f t="shared" si="53"/>
        <v>166</v>
      </c>
      <c r="R208" s="128">
        <f t="shared" si="54"/>
        <v>6</v>
      </c>
      <c r="S208" s="1">
        <f t="shared" si="45"/>
        <v>1</v>
      </c>
      <c r="T208" s="128">
        <f t="shared" si="44"/>
        <v>-2.9999999199999934</v>
      </c>
      <c r="U208" s="128">
        <f t="shared" si="46"/>
        <v>780.00000016000001</v>
      </c>
      <c r="W208" s="128">
        <f t="shared" si="55"/>
        <v>166</v>
      </c>
      <c r="X208" s="128">
        <f t="shared" si="56"/>
        <v>144.00000008000001</v>
      </c>
    </row>
    <row r="209" spans="1:24">
      <c r="A209" s="22">
        <f>'Stats 2020'!D41</f>
        <v>43959</v>
      </c>
      <c r="B209" s="130">
        <f>'Stats 2020'!E41</f>
        <v>1</v>
      </c>
      <c r="C209" s="130">
        <v>0</v>
      </c>
      <c r="D209" s="130">
        <f>'Stats 2020'!G41</f>
        <v>1</v>
      </c>
      <c r="E209" s="130">
        <v>0</v>
      </c>
      <c r="F209" s="130">
        <f>'Stats 2020'!I41</f>
        <v>1</v>
      </c>
      <c r="G209" s="130">
        <f>'Stats 2020'!J41</f>
        <v>1</v>
      </c>
      <c r="J209" s="57" t="s">
        <v>211</v>
      </c>
      <c r="K209" s="86">
        <f t="shared" si="47"/>
        <v>43959</v>
      </c>
      <c r="L209" s="128">
        <f t="shared" si="48"/>
        <v>158.00000008000001</v>
      </c>
      <c r="M209" s="128">
        <f t="shared" si="49"/>
        <v>47.000000080000007</v>
      </c>
      <c r="N209" s="128">
        <f t="shared" si="50"/>
        <v>161</v>
      </c>
      <c r="O209" s="128">
        <f t="shared" si="51"/>
        <v>97</v>
      </c>
      <c r="P209" s="128">
        <f t="shared" si="52"/>
        <v>154</v>
      </c>
      <c r="Q209" s="128">
        <f t="shared" si="53"/>
        <v>167</v>
      </c>
      <c r="R209" s="128">
        <f t="shared" si="54"/>
        <v>6</v>
      </c>
      <c r="S209" s="1">
        <f t="shared" si="45"/>
        <v>1</v>
      </c>
      <c r="T209" s="128">
        <f t="shared" si="44"/>
        <v>-2.9999999199999934</v>
      </c>
      <c r="U209" s="128">
        <f t="shared" si="46"/>
        <v>784.00000016000001</v>
      </c>
      <c r="W209" s="128">
        <f t="shared" si="55"/>
        <v>167</v>
      </c>
      <c r="X209" s="128">
        <f t="shared" si="56"/>
        <v>144.00000008000001</v>
      </c>
    </row>
    <row r="210" spans="1:24">
      <c r="A210" s="22">
        <f>'Stats 2020'!D42</f>
        <v>43966</v>
      </c>
      <c r="B210" s="130">
        <f>'Stats 2020'!E42</f>
        <v>1</v>
      </c>
      <c r="C210" s="130">
        <v>0</v>
      </c>
      <c r="D210" s="130">
        <f>'Stats 2020'!G42</f>
        <v>1</v>
      </c>
      <c r="E210" s="130">
        <v>0</v>
      </c>
      <c r="F210" s="130">
        <f>'Stats 2020'!I42</f>
        <v>1</v>
      </c>
      <c r="G210" s="130">
        <f>'Stats 2020'!J42</f>
        <v>1</v>
      </c>
      <c r="J210" s="57" t="s">
        <v>212</v>
      </c>
      <c r="K210" s="86">
        <f t="shared" si="47"/>
        <v>43966</v>
      </c>
      <c r="L210" s="128">
        <f t="shared" si="48"/>
        <v>159.00000008000001</v>
      </c>
      <c r="M210" s="128">
        <f t="shared" si="49"/>
        <v>47.000000080000007</v>
      </c>
      <c r="N210" s="128">
        <f t="shared" si="50"/>
        <v>162</v>
      </c>
      <c r="O210" s="128">
        <f t="shared" si="51"/>
        <v>97</v>
      </c>
      <c r="P210" s="128">
        <f t="shared" si="52"/>
        <v>155</v>
      </c>
      <c r="Q210" s="128">
        <f t="shared" si="53"/>
        <v>168</v>
      </c>
      <c r="R210" s="128">
        <f t="shared" si="54"/>
        <v>6</v>
      </c>
      <c r="S210" s="1">
        <f t="shared" si="45"/>
        <v>1</v>
      </c>
      <c r="T210" s="128">
        <f t="shared" si="44"/>
        <v>-2.9999999199999934</v>
      </c>
      <c r="U210" s="128">
        <f t="shared" si="46"/>
        <v>788.00000016000001</v>
      </c>
      <c r="W210" s="128">
        <f t="shared" si="55"/>
        <v>168</v>
      </c>
      <c r="X210" s="128">
        <f t="shared" si="56"/>
        <v>144.00000008000001</v>
      </c>
    </row>
    <row r="211" spans="1:24">
      <c r="A211" s="22">
        <f>'Stats 2020'!D43</f>
        <v>43973</v>
      </c>
      <c r="B211" s="130">
        <f>'Stats 2020'!E43</f>
        <v>1</v>
      </c>
      <c r="C211" s="130">
        <v>0</v>
      </c>
      <c r="D211" s="130">
        <f>'Stats 2020'!G43</f>
        <v>1</v>
      </c>
      <c r="E211" s="130">
        <v>0</v>
      </c>
      <c r="F211" s="130">
        <f>'Stats 2020'!I43</f>
        <v>1</v>
      </c>
      <c r="G211" s="130">
        <f>'Stats 2020'!J43</f>
        <v>0</v>
      </c>
      <c r="J211" s="57" t="s">
        <v>213</v>
      </c>
      <c r="K211" s="86">
        <f t="shared" si="47"/>
        <v>43973</v>
      </c>
      <c r="L211" s="128">
        <f t="shared" si="48"/>
        <v>160.00000008000001</v>
      </c>
      <c r="M211" s="128">
        <f t="shared" si="49"/>
        <v>47.000000080000007</v>
      </c>
      <c r="N211" s="128">
        <f t="shared" si="50"/>
        <v>163</v>
      </c>
      <c r="O211" s="128">
        <f t="shared" si="51"/>
        <v>97</v>
      </c>
      <c r="P211" s="128">
        <f t="shared" si="52"/>
        <v>156</v>
      </c>
      <c r="Q211" s="128">
        <f t="shared" si="53"/>
        <v>168</v>
      </c>
      <c r="R211" s="128">
        <f t="shared" si="54"/>
        <v>5</v>
      </c>
      <c r="S211" s="1">
        <f t="shared" si="45"/>
        <v>1</v>
      </c>
      <c r="T211" s="128">
        <f t="shared" si="44"/>
        <v>-2.9999999199999934</v>
      </c>
      <c r="U211" s="128">
        <f t="shared" si="46"/>
        <v>791.00000016000001</v>
      </c>
      <c r="W211" s="128">
        <f t="shared" si="55"/>
        <v>168</v>
      </c>
      <c r="X211" s="128">
        <f t="shared" si="56"/>
        <v>144.00000008000001</v>
      </c>
    </row>
    <row r="212" spans="1:24">
      <c r="A212" s="22">
        <f>'Stats 2020'!D45</f>
        <v>43980</v>
      </c>
      <c r="B212" s="130">
        <f>'Stats 2020'!E45</f>
        <v>1</v>
      </c>
      <c r="C212" s="130">
        <v>0</v>
      </c>
      <c r="D212" s="130">
        <f>'Stats 2020'!G45</f>
        <v>1</v>
      </c>
      <c r="E212" s="130">
        <v>0</v>
      </c>
      <c r="F212" s="130">
        <f>'Stats 2020'!I45</f>
        <v>1</v>
      </c>
      <c r="G212" s="130">
        <f>'Stats 2020'!J45</f>
        <v>1</v>
      </c>
      <c r="J212" s="57" t="s">
        <v>214</v>
      </c>
      <c r="K212" s="86">
        <f t="shared" si="47"/>
        <v>43980</v>
      </c>
      <c r="L212" s="128">
        <f t="shared" si="48"/>
        <v>161.00000008000001</v>
      </c>
      <c r="M212" s="128">
        <f t="shared" si="49"/>
        <v>47.000000080000007</v>
      </c>
      <c r="N212" s="128">
        <f t="shared" si="50"/>
        <v>164</v>
      </c>
      <c r="O212" s="128">
        <f t="shared" si="51"/>
        <v>97</v>
      </c>
      <c r="P212" s="128">
        <f t="shared" si="52"/>
        <v>157</v>
      </c>
      <c r="Q212" s="128">
        <f t="shared" si="53"/>
        <v>169</v>
      </c>
      <c r="R212" s="128">
        <f t="shared" si="54"/>
        <v>5</v>
      </c>
      <c r="S212" s="1">
        <f t="shared" si="45"/>
        <v>1</v>
      </c>
      <c r="T212" s="128">
        <f t="shared" si="44"/>
        <v>-2.9999999199999934</v>
      </c>
      <c r="U212" s="128">
        <f t="shared" si="46"/>
        <v>795.00000016000001</v>
      </c>
      <c r="W212" s="128">
        <f t="shared" si="55"/>
        <v>169</v>
      </c>
      <c r="X212" s="128">
        <f t="shared" si="56"/>
        <v>144.00000008000001</v>
      </c>
    </row>
    <row r="213" spans="1:24">
      <c r="A213" s="22">
        <f>'Stats 2020'!D46</f>
        <v>43987</v>
      </c>
      <c r="B213" s="130">
        <f>'Stats 2020'!E46</f>
        <v>1</v>
      </c>
      <c r="C213" s="130">
        <v>0</v>
      </c>
      <c r="D213" s="130">
        <f>'Stats 2020'!G46</f>
        <v>1</v>
      </c>
      <c r="E213" s="130">
        <v>0</v>
      </c>
      <c r="F213" s="130">
        <f>'Stats 2020'!I46</f>
        <v>1</v>
      </c>
      <c r="G213" s="130">
        <f>'Stats 2020'!J46</f>
        <v>1</v>
      </c>
      <c r="J213" s="57" t="s">
        <v>215</v>
      </c>
      <c r="K213" s="86">
        <f t="shared" si="47"/>
        <v>43987</v>
      </c>
      <c r="L213" s="128">
        <f t="shared" si="48"/>
        <v>162.00000008000001</v>
      </c>
      <c r="M213" s="128">
        <f t="shared" si="49"/>
        <v>47.000000080000007</v>
      </c>
      <c r="N213" s="128">
        <f t="shared" si="50"/>
        <v>165</v>
      </c>
      <c r="O213" s="128">
        <f t="shared" si="51"/>
        <v>97</v>
      </c>
      <c r="P213" s="128">
        <f t="shared" si="52"/>
        <v>158</v>
      </c>
      <c r="Q213" s="128">
        <f t="shared" si="53"/>
        <v>170</v>
      </c>
      <c r="R213" s="128">
        <f t="shared" si="54"/>
        <v>5</v>
      </c>
      <c r="S213" s="1">
        <f t="shared" si="45"/>
        <v>1</v>
      </c>
      <c r="T213" s="128">
        <f t="shared" si="44"/>
        <v>-2.9999999199999934</v>
      </c>
      <c r="U213" s="128">
        <f t="shared" si="46"/>
        <v>799.00000016000001</v>
      </c>
      <c r="W213" s="128">
        <f t="shared" si="55"/>
        <v>170</v>
      </c>
      <c r="X213" s="128">
        <f t="shared" si="56"/>
        <v>144.00000008000001</v>
      </c>
    </row>
    <row r="214" spans="1:24">
      <c r="A214" s="22">
        <f>'Stats 2020'!D47</f>
        <v>43994</v>
      </c>
      <c r="B214" s="130">
        <f>'Stats 2020'!E47</f>
        <v>1</v>
      </c>
      <c r="C214" s="130">
        <v>0</v>
      </c>
      <c r="D214" s="130">
        <f>'Stats 2020'!G47</f>
        <v>1</v>
      </c>
      <c r="E214" s="130">
        <f>'Stats 2020'!H47</f>
        <v>1</v>
      </c>
      <c r="F214" s="130">
        <f>'Stats 2020'!I47</f>
        <v>1</v>
      </c>
      <c r="G214" s="130">
        <f>'Stats 2020'!J47</f>
        <v>1</v>
      </c>
      <c r="J214" s="57" t="s">
        <v>216</v>
      </c>
      <c r="K214" s="86">
        <f t="shared" si="47"/>
        <v>43994</v>
      </c>
      <c r="L214" s="128">
        <f t="shared" si="48"/>
        <v>163.00000008000001</v>
      </c>
      <c r="M214" s="128">
        <f t="shared" si="49"/>
        <v>47.000000080000007</v>
      </c>
      <c r="N214" s="128">
        <f t="shared" si="50"/>
        <v>166</v>
      </c>
      <c r="O214" s="128">
        <f t="shared" si="51"/>
        <v>98</v>
      </c>
      <c r="P214" s="128">
        <f t="shared" si="52"/>
        <v>159</v>
      </c>
      <c r="Q214" s="128">
        <f t="shared" si="53"/>
        <v>171</v>
      </c>
      <c r="R214" s="128">
        <f t="shared" si="54"/>
        <v>5</v>
      </c>
      <c r="S214" s="1">
        <f t="shared" si="45"/>
        <v>1</v>
      </c>
      <c r="T214" s="128">
        <f t="shared" si="44"/>
        <v>-2.9999999199999934</v>
      </c>
      <c r="U214" s="128">
        <f t="shared" si="46"/>
        <v>804.00000016000001</v>
      </c>
      <c r="W214" s="128">
        <f t="shared" si="55"/>
        <v>171</v>
      </c>
      <c r="X214" s="128">
        <f t="shared" si="56"/>
        <v>145.00000008000001</v>
      </c>
    </row>
    <row r="215" spans="1:24">
      <c r="A215" s="22">
        <f>'Stats 2020'!D49</f>
        <v>44001</v>
      </c>
      <c r="B215" s="130">
        <f>'Stats 2020'!E49</f>
        <v>0</v>
      </c>
      <c r="C215" s="130">
        <v>0</v>
      </c>
      <c r="D215" s="130">
        <f>'Stats 2020'!G49</f>
        <v>1</v>
      </c>
      <c r="E215" s="130">
        <f>'Stats 2020'!H49</f>
        <v>1</v>
      </c>
      <c r="F215" s="130">
        <f>'Stats 2020'!I49</f>
        <v>1</v>
      </c>
      <c r="G215" s="130">
        <f>'Stats 2020'!J49</f>
        <v>1</v>
      </c>
      <c r="J215" s="57" t="s">
        <v>217</v>
      </c>
      <c r="K215" s="86">
        <f t="shared" si="47"/>
        <v>44001</v>
      </c>
      <c r="L215" s="128">
        <f t="shared" si="48"/>
        <v>163.00000008000001</v>
      </c>
      <c r="M215" s="128">
        <f t="shared" si="49"/>
        <v>47.000000080000007</v>
      </c>
      <c r="N215" s="128">
        <f t="shared" si="50"/>
        <v>167</v>
      </c>
      <c r="O215" s="128">
        <f t="shared" si="51"/>
        <v>99</v>
      </c>
      <c r="P215" s="128">
        <f t="shared" si="52"/>
        <v>160</v>
      </c>
      <c r="Q215" s="128">
        <f t="shared" si="53"/>
        <v>172</v>
      </c>
      <c r="R215" s="128">
        <f t="shared" si="54"/>
        <v>5</v>
      </c>
      <c r="S215" s="1">
        <f t="shared" si="45"/>
        <v>1</v>
      </c>
      <c r="T215" s="128">
        <f t="shared" si="44"/>
        <v>-3.9999999199999934</v>
      </c>
      <c r="U215" s="128">
        <f t="shared" si="46"/>
        <v>808.00000016000001</v>
      </c>
      <c r="W215" s="128">
        <f t="shared" si="55"/>
        <v>172</v>
      </c>
      <c r="X215" s="128">
        <f t="shared" si="56"/>
        <v>146.00000008000001</v>
      </c>
    </row>
    <row r="216" spans="1:24">
      <c r="A216" s="22">
        <f>'Stats 2020'!D50</f>
        <v>44008</v>
      </c>
      <c r="B216" s="130">
        <f>'Stats 2020'!E50</f>
        <v>0</v>
      </c>
      <c r="C216" s="130">
        <v>0</v>
      </c>
      <c r="D216" s="130">
        <f>'Stats 2020'!G50</f>
        <v>1</v>
      </c>
      <c r="E216" s="130">
        <v>0</v>
      </c>
      <c r="F216" s="130">
        <f>'Stats 2020'!I50</f>
        <v>1</v>
      </c>
      <c r="G216" s="130">
        <f>'Stats 2020'!J50</f>
        <v>1</v>
      </c>
      <c r="J216" s="57" t="s">
        <v>218</v>
      </c>
      <c r="K216" s="86">
        <f t="shared" si="47"/>
        <v>44008</v>
      </c>
      <c r="L216" s="128">
        <f t="shared" si="48"/>
        <v>163.00000008000001</v>
      </c>
      <c r="M216" s="128">
        <f t="shared" si="49"/>
        <v>47.000000080000007</v>
      </c>
      <c r="N216" s="128">
        <f t="shared" si="50"/>
        <v>168</v>
      </c>
      <c r="O216" s="128">
        <f t="shared" si="51"/>
        <v>99</v>
      </c>
      <c r="P216" s="128">
        <f t="shared" si="52"/>
        <v>161</v>
      </c>
      <c r="Q216" s="128">
        <f t="shared" si="53"/>
        <v>173</v>
      </c>
      <c r="R216" s="128">
        <f t="shared" si="54"/>
        <v>5</v>
      </c>
      <c r="S216" s="1">
        <f t="shared" si="45"/>
        <v>1</v>
      </c>
      <c r="T216" s="128">
        <f t="shared" si="44"/>
        <v>-4.9999999199999934</v>
      </c>
      <c r="U216" s="128">
        <f t="shared" si="46"/>
        <v>811.00000016000001</v>
      </c>
      <c r="W216" s="128">
        <f t="shared" si="55"/>
        <v>173</v>
      </c>
      <c r="X216" s="128">
        <f t="shared" si="56"/>
        <v>146.00000008000001</v>
      </c>
    </row>
    <row r="217" spans="1:24">
      <c r="A217" s="22">
        <f>'Stats 2020'!D52</f>
        <v>44015</v>
      </c>
      <c r="B217" s="130">
        <f>'Stats 2020'!E52</f>
        <v>1</v>
      </c>
      <c r="C217" s="130">
        <v>0</v>
      </c>
      <c r="D217" s="130">
        <f>'Stats 2020'!G52</f>
        <v>1</v>
      </c>
      <c r="E217" s="130">
        <v>0</v>
      </c>
      <c r="F217" s="130">
        <f>'Stats 2020'!I52</f>
        <v>1</v>
      </c>
      <c r="G217" s="130">
        <f>'Stats 2020'!J52</f>
        <v>1</v>
      </c>
      <c r="J217" s="57" t="s">
        <v>219</v>
      </c>
      <c r="K217" s="86">
        <f t="shared" si="47"/>
        <v>44015</v>
      </c>
      <c r="L217" s="128">
        <f t="shared" si="48"/>
        <v>164.00000008000001</v>
      </c>
      <c r="M217" s="128">
        <f t="shared" si="49"/>
        <v>47.000000080000007</v>
      </c>
      <c r="N217" s="128">
        <f t="shared" si="50"/>
        <v>169</v>
      </c>
      <c r="O217" s="128">
        <f t="shared" si="51"/>
        <v>99</v>
      </c>
      <c r="P217" s="128">
        <f t="shared" si="52"/>
        <v>162</v>
      </c>
      <c r="Q217" s="128">
        <f t="shared" si="53"/>
        <v>174</v>
      </c>
      <c r="R217" s="128">
        <f t="shared" si="54"/>
        <v>5</v>
      </c>
      <c r="S217" s="1">
        <f t="shared" si="45"/>
        <v>1</v>
      </c>
      <c r="T217" s="128">
        <f t="shared" si="44"/>
        <v>-4.9999999199999934</v>
      </c>
      <c r="U217" s="128">
        <f t="shared" si="46"/>
        <v>815.00000016000001</v>
      </c>
      <c r="W217" s="128">
        <f t="shared" si="55"/>
        <v>174</v>
      </c>
      <c r="X217" s="128">
        <f t="shared" si="56"/>
        <v>146.00000008000001</v>
      </c>
    </row>
    <row r="218" spans="1:24">
      <c r="A218" s="22">
        <f>'Stats 2020'!D54</f>
        <v>44022</v>
      </c>
      <c r="B218" s="130">
        <f>'Stats 2020'!E54</f>
        <v>1</v>
      </c>
      <c r="C218" s="130">
        <v>0</v>
      </c>
      <c r="D218" s="130">
        <f>'Stats 2020'!G54</f>
        <v>1</v>
      </c>
      <c r="E218" s="130">
        <v>0</v>
      </c>
      <c r="F218" s="130">
        <f>'Stats 2020'!I54</f>
        <v>0</v>
      </c>
      <c r="G218" s="130">
        <f>'Stats 2020'!J54</f>
        <v>1</v>
      </c>
      <c r="J218" s="57" t="s">
        <v>220</v>
      </c>
      <c r="K218" s="86">
        <f t="shared" si="47"/>
        <v>44022</v>
      </c>
      <c r="L218" s="128">
        <f t="shared" si="48"/>
        <v>165.00000008000001</v>
      </c>
      <c r="M218" s="128">
        <f t="shared" si="49"/>
        <v>47.000000080000007</v>
      </c>
      <c r="N218" s="128">
        <f t="shared" si="50"/>
        <v>170</v>
      </c>
      <c r="O218" s="128">
        <f t="shared" si="51"/>
        <v>99</v>
      </c>
      <c r="P218" s="128">
        <f t="shared" si="52"/>
        <v>162</v>
      </c>
      <c r="Q218" s="128">
        <f t="shared" si="53"/>
        <v>175</v>
      </c>
      <c r="R218" s="128">
        <f t="shared" si="54"/>
        <v>5</v>
      </c>
      <c r="S218" s="1">
        <f t="shared" si="45"/>
        <v>1</v>
      </c>
      <c r="T218" s="128">
        <f t="shared" si="44"/>
        <v>-4.9999999199999934</v>
      </c>
      <c r="U218" s="128">
        <f t="shared" si="46"/>
        <v>818.00000016000001</v>
      </c>
      <c r="W218" s="128">
        <f t="shared" si="55"/>
        <v>175</v>
      </c>
      <c r="X218" s="128">
        <f t="shared" si="56"/>
        <v>146.00000008000001</v>
      </c>
    </row>
    <row r="219" spans="1:24">
      <c r="A219" s="22">
        <f>'Stats 2020'!D55</f>
        <v>44029</v>
      </c>
      <c r="B219" s="130">
        <f>'Stats 2020'!E55</f>
        <v>0</v>
      </c>
      <c r="C219" s="130">
        <v>0</v>
      </c>
      <c r="D219" s="130">
        <f>'Stats 2020'!G55</f>
        <v>0</v>
      </c>
      <c r="E219" s="130">
        <v>0</v>
      </c>
      <c r="F219" s="130">
        <f>'Stats 2020'!I55</f>
        <v>1</v>
      </c>
      <c r="G219" s="130">
        <f>'Stats 2020'!J55</f>
        <v>1</v>
      </c>
      <c r="J219" s="57" t="s">
        <v>221</v>
      </c>
      <c r="K219" s="86">
        <f t="shared" si="47"/>
        <v>44029</v>
      </c>
      <c r="L219" s="128">
        <f t="shared" si="48"/>
        <v>165.00000008000001</v>
      </c>
      <c r="M219" s="128">
        <f t="shared" si="49"/>
        <v>47.000000080000007</v>
      </c>
      <c r="N219" s="128">
        <f t="shared" si="50"/>
        <v>170</v>
      </c>
      <c r="O219" s="128">
        <f t="shared" si="51"/>
        <v>99</v>
      </c>
      <c r="P219" s="128">
        <f t="shared" si="52"/>
        <v>163</v>
      </c>
      <c r="Q219" s="128">
        <f t="shared" si="53"/>
        <v>176</v>
      </c>
      <c r="R219" s="128">
        <f t="shared" si="54"/>
        <v>6</v>
      </c>
      <c r="S219" s="1">
        <f t="shared" si="45"/>
        <v>1</v>
      </c>
      <c r="T219" s="128">
        <f t="shared" si="44"/>
        <v>-4.9999999199999934</v>
      </c>
      <c r="U219" s="128">
        <f t="shared" si="46"/>
        <v>820.00000016000001</v>
      </c>
      <c r="W219" s="128">
        <f t="shared" si="55"/>
        <v>176</v>
      </c>
      <c r="X219" s="128">
        <f t="shared" si="56"/>
        <v>146.00000008000001</v>
      </c>
    </row>
    <row r="220" spans="1:24">
      <c r="A220" s="22">
        <f>'Stats 2020'!D56</f>
        <v>44036</v>
      </c>
      <c r="B220" s="130">
        <f>'Stats 2020'!E56</f>
        <v>1</v>
      </c>
      <c r="C220" s="130">
        <f>'Stats 2020'!F56</f>
        <v>1</v>
      </c>
      <c r="D220" s="130">
        <f>'Stats 2020'!G56</f>
        <v>1</v>
      </c>
      <c r="E220" s="130">
        <f>'Stats 2020'!H56</f>
        <v>1</v>
      </c>
      <c r="F220" s="130">
        <f>'Stats 2020'!I56</f>
        <v>1</v>
      </c>
      <c r="G220" s="130">
        <f>'Stats 2020'!J56</f>
        <v>0</v>
      </c>
      <c r="J220" s="57" t="s">
        <v>222</v>
      </c>
      <c r="K220" s="86">
        <f t="shared" si="47"/>
        <v>44036</v>
      </c>
      <c r="L220" s="128">
        <f t="shared" si="48"/>
        <v>166.00000008000001</v>
      </c>
      <c r="M220" s="128">
        <f t="shared" si="49"/>
        <v>48.000000080000007</v>
      </c>
      <c r="N220" s="128">
        <f t="shared" si="50"/>
        <v>171</v>
      </c>
      <c r="O220" s="128">
        <f t="shared" si="51"/>
        <v>100</v>
      </c>
      <c r="P220" s="128">
        <f t="shared" si="52"/>
        <v>164</v>
      </c>
      <c r="Q220" s="128">
        <f t="shared" si="53"/>
        <v>176</v>
      </c>
      <c r="R220" s="128">
        <f t="shared" si="54"/>
        <v>5</v>
      </c>
      <c r="S220" s="1">
        <f t="shared" si="45"/>
        <v>1</v>
      </c>
      <c r="T220" s="128">
        <f t="shared" si="44"/>
        <v>-4.9999999199999934</v>
      </c>
      <c r="U220" s="128">
        <f t="shared" si="46"/>
        <v>825.00000016000001</v>
      </c>
      <c r="W220" s="128">
        <f t="shared" si="55"/>
        <v>176</v>
      </c>
      <c r="X220" s="128">
        <f t="shared" si="56"/>
        <v>148.00000008000001</v>
      </c>
    </row>
    <row r="221" spans="1:24">
      <c r="A221" s="22">
        <f>'Stats 2020'!D57</f>
        <v>44043</v>
      </c>
      <c r="B221" s="130">
        <f>'Stats 2020'!E57</f>
        <v>0</v>
      </c>
      <c r="C221" s="130">
        <v>0</v>
      </c>
      <c r="D221" s="130">
        <f>'Stats 2020'!G57</f>
        <v>1</v>
      </c>
      <c r="E221" s="130">
        <v>0</v>
      </c>
      <c r="F221" s="130">
        <f>'Stats 2020'!I57</f>
        <v>1</v>
      </c>
      <c r="G221" s="130">
        <f>'Stats 2020'!J57</f>
        <v>1</v>
      </c>
      <c r="J221" s="57" t="s">
        <v>223</v>
      </c>
      <c r="K221" s="86">
        <f t="shared" si="47"/>
        <v>44043</v>
      </c>
      <c r="L221" s="128">
        <f t="shared" si="48"/>
        <v>166.00000008000001</v>
      </c>
      <c r="M221" s="128">
        <f t="shared" si="49"/>
        <v>48.000000080000007</v>
      </c>
      <c r="N221" s="128">
        <f t="shared" si="50"/>
        <v>172</v>
      </c>
      <c r="O221" s="146">
        <f t="shared" si="51"/>
        <v>100</v>
      </c>
      <c r="P221" s="128">
        <f t="shared" si="52"/>
        <v>165</v>
      </c>
      <c r="Q221" s="128">
        <f t="shared" si="53"/>
        <v>177</v>
      </c>
      <c r="R221" s="128">
        <f t="shared" si="54"/>
        <v>5</v>
      </c>
      <c r="S221" s="1">
        <f t="shared" si="45"/>
        <v>1</v>
      </c>
      <c r="T221" s="128">
        <f t="shared" si="44"/>
        <v>-5.9999999199999934</v>
      </c>
      <c r="U221" s="128">
        <f t="shared" si="46"/>
        <v>828.00000016000001</v>
      </c>
      <c r="W221" s="128">
        <f t="shared" si="55"/>
        <v>177</v>
      </c>
      <c r="X221" s="128">
        <f t="shared" si="56"/>
        <v>148.00000008000001</v>
      </c>
    </row>
    <row r="222" spans="1:24">
      <c r="A222" s="22">
        <f>'Stats 2020'!D58</f>
        <v>44050</v>
      </c>
      <c r="B222" s="130">
        <f>'Stats 2020'!E58</f>
        <v>1</v>
      </c>
      <c r="C222" s="130">
        <v>0</v>
      </c>
      <c r="D222" s="130">
        <f>'Stats 2020'!G58</f>
        <v>1</v>
      </c>
      <c r="E222" s="130">
        <v>0</v>
      </c>
      <c r="F222" s="130">
        <f>'Stats 2020'!I58</f>
        <v>1</v>
      </c>
      <c r="G222" s="130">
        <f>'Stats 2020'!J58</f>
        <v>1</v>
      </c>
      <c r="J222" s="57" t="s">
        <v>224</v>
      </c>
      <c r="K222" s="86">
        <f t="shared" si="47"/>
        <v>44050</v>
      </c>
      <c r="L222" s="128">
        <f t="shared" si="48"/>
        <v>167.00000008000001</v>
      </c>
      <c r="M222" s="128">
        <f t="shared" si="49"/>
        <v>48.000000080000007</v>
      </c>
      <c r="N222" s="128">
        <f t="shared" si="50"/>
        <v>173</v>
      </c>
      <c r="O222" s="128">
        <f t="shared" si="51"/>
        <v>100</v>
      </c>
      <c r="P222" s="128">
        <f t="shared" si="52"/>
        <v>166</v>
      </c>
      <c r="Q222" s="128">
        <f t="shared" si="53"/>
        <v>178</v>
      </c>
      <c r="R222" s="128">
        <f t="shared" si="54"/>
        <v>5</v>
      </c>
      <c r="S222" s="1">
        <f t="shared" si="45"/>
        <v>1</v>
      </c>
      <c r="T222" s="128">
        <f t="shared" si="44"/>
        <v>-5.9999999199999934</v>
      </c>
      <c r="U222" s="128">
        <f t="shared" si="46"/>
        <v>832.00000016000001</v>
      </c>
      <c r="W222" s="128">
        <f t="shared" si="55"/>
        <v>178</v>
      </c>
      <c r="X222" s="128">
        <f t="shared" si="56"/>
        <v>148.00000008000001</v>
      </c>
    </row>
    <row r="223" spans="1:24">
      <c r="A223" s="22">
        <f>'Stats 2020'!D60</f>
        <v>44057</v>
      </c>
      <c r="B223" s="130">
        <f>'Stats 2020'!E60</f>
        <v>1</v>
      </c>
      <c r="C223" s="130">
        <f>'Stats 2020'!F60</f>
        <v>1</v>
      </c>
      <c r="D223" s="130">
        <f>'Stats 2020'!G60</f>
        <v>1</v>
      </c>
      <c r="E223" s="130">
        <v>0</v>
      </c>
      <c r="F223" s="130">
        <f>'Stats 2020'!I60</f>
        <v>1</v>
      </c>
      <c r="G223" s="130">
        <f>'Stats 2020'!J60</f>
        <v>1</v>
      </c>
      <c r="J223" s="57" t="s">
        <v>225</v>
      </c>
      <c r="K223" s="86">
        <f t="shared" si="47"/>
        <v>44057</v>
      </c>
      <c r="L223" s="128">
        <f t="shared" si="48"/>
        <v>168.00000008000001</v>
      </c>
      <c r="M223" s="128">
        <f t="shared" si="49"/>
        <v>49.000000080000007</v>
      </c>
      <c r="N223" s="128">
        <f t="shared" si="50"/>
        <v>174</v>
      </c>
      <c r="O223" s="128">
        <f t="shared" si="51"/>
        <v>100</v>
      </c>
      <c r="P223" s="128">
        <f t="shared" si="52"/>
        <v>167</v>
      </c>
      <c r="Q223" s="128">
        <f t="shared" si="53"/>
        <v>179</v>
      </c>
      <c r="R223" s="128">
        <f t="shared" si="54"/>
        <v>5</v>
      </c>
      <c r="S223" s="1">
        <f t="shared" si="45"/>
        <v>1</v>
      </c>
      <c r="T223" s="128">
        <f t="shared" si="44"/>
        <v>-5.9999999199999934</v>
      </c>
      <c r="U223" s="128">
        <f t="shared" si="46"/>
        <v>837.00000016000001</v>
      </c>
      <c r="W223" s="128">
        <f t="shared" si="55"/>
        <v>179</v>
      </c>
      <c r="X223" s="128">
        <f t="shared" si="56"/>
        <v>149.00000008000001</v>
      </c>
    </row>
    <row r="224" spans="1:24">
      <c r="A224" s="22">
        <f>'Stats 2020'!D61</f>
        <v>44064</v>
      </c>
      <c r="B224" s="130">
        <f>'Stats 2020'!E61</f>
        <v>1</v>
      </c>
      <c r="C224" s="130">
        <v>0</v>
      </c>
      <c r="D224" s="130">
        <f>'Stats 2020'!G61</f>
        <v>0</v>
      </c>
      <c r="E224" s="130">
        <f>'Stats 2020'!H61</f>
        <v>1</v>
      </c>
      <c r="F224" s="130">
        <f>'Stats 2020'!I61</f>
        <v>1</v>
      </c>
      <c r="G224" s="130">
        <f>'Stats 2020'!J61</f>
        <v>1</v>
      </c>
      <c r="J224" s="57" t="s">
        <v>226</v>
      </c>
      <c r="K224" s="86">
        <f t="shared" si="47"/>
        <v>44064</v>
      </c>
      <c r="L224" s="128">
        <f t="shared" si="48"/>
        <v>169.00000008000001</v>
      </c>
      <c r="M224" s="128">
        <f t="shared" si="49"/>
        <v>49.000000080000007</v>
      </c>
      <c r="N224" s="128">
        <f t="shared" si="50"/>
        <v>174</v>
      </c>
      <c r="O224" s="128">
        <f t="shared" si="51"/>
        <v>101</v>
      </c>
      <c r="P224" s="128">
        <f t="shared" si="52"/>
        <v>168</v>
      </c>
      <c r="Q224" s="128">
        <f t="shared" si="53"/>
        <v>180</v>
      </c>
      <c r="R224" s="128">
        <f t="shared" si="54"/>
        <v>6</v>
      </c>
      <c r="S224" s="1">
        <f t="shared" si="45"/>
        <v>1</v>
      </c>
      <c r="T224" s="128">
        <f t="shared" si="44"/>
        <v>-4.9999999199999934</v>
      </c>
      <c r="U224" s="128">
        <f t="shared" si="46"/>
        <v>841.00000016000001</v>
      </c>
      <c r="W224" s="128">
        <f t="shared" si="55"/>
        <v>180</v>
      </c>
      <c r="X224" s="128">
        <f t="shared" si="56"/>
        <v>150.00000008000001</v>
      </c>
    </row>
    <row r="225" spans="1:24">
      <c r="A225" s="22">
        <f>'Stats 2020'!D62</f>
        <v>44071</v>
      </c>
      <c r="B225" s="130">
        <f>'Stats 2020'!E62</f>
        <v>0</v>
      </c>
      <c r="C225" s="130">
        <v>0</v>
      </c>
      <c r="D225" s="130">
        <f>'Stats 2020'!G62</f>
        <v>1</v>
      </c>
      <c r="E225" s="130">
        <f>'Stats 2020'!H62</f>
        <v>1</v>
      </c>
      <c r="F225" s="130">
        <f>'Stats 2020'!I62</f>
        <v>0</v>
      </c>
      <c r="G225" s="130">
        <f>'Stats 2020'!J62</f>
        <v>1</v>
      </c>
      <c r="J225" s="57" t="s">
        <v>227</v>
      </c>
      <c r="K225" s="86">
        <f t="shared" si="47"/>
        <v>44071</v>
      </c>
      <c r="L225" s="128">
        <f t="shared" si="48"/>
        <v>169.00000008000001</v>
      </c>
      <c r="M225" s="128">
        <f t="shared" si="49"/>
        <v>49.000000080000007</v>
      </c>
      <c r="N225" s="128">
        <f t="shared" si="50"/>
        <v>175</v>
      </c>
      <c r="O225" s="128">
        <f t="shared" si="51"/>
        <v>102</v>
      </c>
      <c r="P225" s="128">
        <f t="shared" si="52"/>
        <v>168</v>
      </c>
      <c r="Q225" s="128">
        <f t="shared" si="53"/>
        <v>181</v>
      </c>
      <c r="R225" s="128">
        <f t="shared" si="54"/>
        <v>6</v>
      </c>
      <c r="S225" s="1">
        <f t="shared" si="45"/>
        <v>1</v>
      </c>
      <c r="T225" s="128">
        <f t="shared" si="44"/>
        <v>-5.9999999199999934</v>
      </c>
      <c r="U225" s="128">
        <f t="shared" si="46"/>
        <v>844.00000016000001</v>
      </c>
      <c r="W225" s="128">
        <f t="shared" si="55"/>
        <v>181</v>
      </c>
      <c r="X225" s="128">
        <f t="shared" si="56"/>
        <v>151.00000008000001</v>
      </c>
    </row>
    <row r="226" spans="1:24">
      <c r="A226" s="22">
        <f>'Stats 2020'!D64</f>
        <v>44078</v>
      </c>
      <c r="B226" s="130">
        <f>'Stats 2020'!E64</f>
        <v>1</v>
      </c>
      <c r="C226" s="130">
        <v>0</v>
      </c>
      <c r="D226" s="130">
        <f>'Stats 2020'!G64</f>
        <v>1</v>
      </c>
      <c r="E226" s="130">
        <v>1</v>
      </c>
      <c r="F226" s="130">
        <f>'Stats 2020'!I64</f>
        <v>1</v>
      </c>
      <c r="G226" s="130">
        <f>'Stats 2020'!J64</f>
        <v>1</v>
      </c>
      <c r="J226" s="57" t="s">
        <v>228</v>
      </c>
      <c r="K226" s="86">
        <f t="shared" si="47"/>
        <v>44078</v>
      </c>
      <c r="L226" s="128">
        <f t="shared" si="48"/>
        <v>170.00000008000001</v>
      </c>
      <c r="M226" s="128">
        <f t="shared" si="49"/>
        <v>49.000000080000007</v>
      </c>
      <c r="N226" s="128">
        <f t="shared" si="50"/>
        <v>176</v>
      </c>
      <c r="O226" s="128">
        <f t="shared" si="51"/>
        <v>103</v>
      </c>
      <c r="P226" s="128">
        <f t="shared" si="52"/>
        <v>169</v>
      </c>
      <c r="Q226" s="128">
        <f t="shared" si="53"/>
        <v>182</v>
      </c>
      <c r="R226" s="128">
        <f t="shared" si="54"/>
        <v>6</v>
      </c>
      <c r="S226" s="1">
        <f t="shared" si="45"/>
        <v>1</v>
      </c>
      <c r="T226" s="128">
        <f t="shared" si="44"/>
        <v>-5.9999999199999934</v>
      </c>
      <c r="U226" s="128">
        <f t="shared" si="46"/>
        <v>849.00000016000001</v>
      </c>
      <c r="W226" s="128">
        <f t="shared" si="55"/>
        <v>182</v>
      </c>
      <c r="X226" s="128">
        <f t="shared" si="56"/>
        <v>152.00000008000001</v>
      </c>
    </row>
    <row r="227" spans="1:24">
      <c r="A227" s="22">
        <f>'Stats 2020'!D65</f>
        <v>44085</v>
      </c>
      <c r="B227" s="130">
        <f>'Stats 2020'!E65</f>
        <v>1</v>
      </c>
      <c r="C227" s="130">
        <v>0</v>
      </c>
      <c r="D227" s="130">
        <f>'Stats 2020'!G65</f>
        <v>1</v>
      </c>
      <c r="E227" s="130">
        <v>0</v>
      </c>
      <c r="F227" s="130">
        <f>'Stats 2020'!I65</f>
        <v>1</v>
      </c>
      <c r="G227" s="130">
        <f>'Stats 2020'!J65</f>
        <v>1</v>
      </c>
      <c r="J227" s="57" t="s">
        <v>229</v>
      </c>
      <c r="K227" s="86">
        <f t="shared" si="47"/>
        <v>44085</v>
      </c>
      <c r="L227" s="128">
        <f t="shared" si="48"/>
        <v>171.00000008000001</v>
      </c>
      <c r="M227" s="128">
        <f t="shared" si="49"/>
        <v>49.000000080000007</v>
      </c>
      <c r="N227" s="128">
        <f t="shared" si="50"/>
        <v>177</v>
      </c>
      <c r="O227" s="128">
        <f t="shared" si="51"/>
        <v>103</v>
      </c>
      <c r="P227" s="128">
        <f t="shared" si="52"/>
        <v>170</v>
      </c>
      <c r="Q227" s="128">
        <f t="shared" si="53"/>
        <v>183</v>
      </c>
      <c r="R227" s="128">
        <f t="shared" si="54"/>
        <v>6</v>
      </c>
      <c r="S227" s="1">
        <f t="shared" si="45"/>
        <v>1</v>
      </c>
      <c r="T227" s="128">
        <f t="shared" si="44"/>
        <v>-5.9999999199999934</v>
      </c>
      <c r="U227" s="128">
        <f t="shared" si="46"/>
        <v>853.00000016000001</v>
      </c>
      <c r="W227" s="128">
        <f t="shared" si="55"/>
        <v>183</v>
      </c>
      <c r="X227" s="128">
        <f t="shared" si="56"/>
        <v>152.00000008000001</v>
      </c>
    </row>
    <row r="228" spans="1:24">
      <c r="A228" s="22">
        <f>'Stats 2020'!D66</f>
        <v>44092</v>
      </c>
      <c r="B228" s="130">
        <f>'Stats 2020'!E66</f>
        <v>1</v>
      </c>
      <c r="C228" s="130">
        <v>0</v>
      </c>
      <c r="D228" s="130">
        <f>'Stats 2020'!G66</f>
        <v>1</v>
      </c>
      <c r="E228" s="130">
        <f>'Stats 2020'!H66</f>
        <v>1</v>
      </c>
      <c r="F228" s="130">
        <f>'Stats 2020'!I66</f>
        <v>0</v>
      </c>
      <c r="G228" s="130">
        <f>'Stats 2020'!J66</f>
        <v>1</v>
      </c>
      <c r="J228" s="57" t="s">
        <v>230</v>
      </c>
      <c r="K228" s="86">
        <f t="shared" si="47"/>
        <v>44092</v>
      </c>
      <c r="L228" s="128">
        <f t="shared" si="48"/>
        <v>172.00000008000001</v>
      </c>
      <c r="M228" s="128">
        <f t="shared" si="49"/>
        <v>49.000000080000007</v>
      </c>
      <c r="N228" s="128">
        <f t="shared" si="50"/>
        <v>178</v>
      </c>
      <c r="O228" s="128">
        <f t="shared" si="51"/>
        <v>104</v>
      </c>
      <c r="P228" s="128">
        <f t="shared" si="52"/>
        <v>170</v>
      </c>
      <c r="Q228" s="128">
        <f t="shared" si="53"/>
        <v>184</v>
      </c>
      <c r="R228" s="128">
        <f t="shared" si="54"/>
        <v>6</v>
      </c>
      <c r="S228" s="1">
        <f t="shared" si="45"/>
        <v>1</v>
      </c>
      <c r="T228" s="128">
        <f t="shared" si="44"/>
        <v>-5.9999999199999934</v>
      </c>
      <c r="U228" s="128">
        <f t="shared" si="46"/>
        <v>857.00000016000001</v>
      </c>
      <c r="W228" s="128">
        <f t="shared" si="55"/>
        <v>184</v>
      </c>
      <c r="X228" s="128">
        <f t="shared" si="56"/>
        <v>153.00000008000001</v>
      </c>
    </row>
    <row r="229" spans="1:24">
      <c r="A229" s="22">
        <f>'Stats 2020'!D68</f>
        <v>44099</v>
      </c>
      <c r="B229" s="130">
        <f>'Stats 2020'!E68</f>
        <v>1</v>
      </c>
      <c r="C229" s="130">
        <v>0</v>
      </c>
      <c r="D229" s="130">
        <f>'Stats 2020'!G68</f>
        <v>1</v>
      </c>
      <c r="E229" s="130">
        <v>0</v>
      </c>
      <c r="F229" s="130">
        <f>'Stats 2020'!I68</f>
        <v>1</v>
      </c>
      <c r="G229" s="130">
        <f>'Stats 2020'!J68</f>
        <v>1</v>
      </c>
      <c r="J229" s="57" t="s">
        <v>231</v>
      </c>
      <c r="K229" s="86">
        <f t="shared" si="47"/>
        <v>44099</v>
      </c>
      <c r="L229" s="128">
        <f t="shared" si="48"/>
        <v>173.00000008000001</v>
      </c>
      <c r="M229" s="128">
        <f t="shared" si="49"/>
        <v>49.000000080000007</v>
      </c>
      <c r="N229" s="128">
        <f t="shared" si="50"/>
        <v>179</v>
      </c>
      <c r="O229" s="128">
        <f t="shared" si="51"/>
        <v>104</v>
      </c>
      <c r="P229" s="128">
        <f t="shared" si="52"/>
        <v>171</v>
      </c>
      <c r="Q229" s="128">
        <f t="shared" si="53"/>
        <v>185</v>
      </c>
      <c r="R229" s="128">
        <f t="shared" si="54"/>
        <v>6</v>
      </c>
      <c r="S229" s="1">
        <f t="shared" si="45"/>
        <v>1</v>
      </c>
      <c r="T229" s="128">
        <f t="shared" si="44"/>
        <v>-5.9999999199999934</v>
      </c>
      <c r="U229" s="128">
        <f t="shared" si="46"/>
        <v>861.00000016000001</v>
      </c>
      <c r="W229" s="128">
        <f t="shared" si="55"/>
        <v>185</v>
      </c>
      <c r="X229" s="128">
        <f t="shared" si="56"/>
        <v>153.00000008000001</v>
      </c>
    </row>
    <row r="230" spans="1:24">
      <c r="A230" s="22">
        <f>'Stats 2020'!D69</f>
        <v>44106</v>
      </c>
      <c r="B230" s="130">
        <f>'Stats 2020'!E69</f>
        <v>1</v>
      </c>
      <c r="C230" s="130">
        <v>0</v>
      </c>
      <c r="D230" s="130">
        <f>'Stats 2020'!G69</f>
        <v>1</v>
      </c>
      <c r="E230" s="130">
        <v>0</v>
      </c>
      <c r="F230" s="130">
        <f>'Stats 2020'!I69</f>
        <v>1</v>
      </c>
      <c r="G230" s="130">
        <f>'Stats 2020'!J69</f>
        <v>1</v>
      </c>
      <c r="J230" s="57" t="s">
        <v>232</v>
      </c>
      <c r="K230" s="86">
        <f t="shared" si="47"/>
        <v>44106</v>
      </c>
      <c r="L230" s="128">
        <f t="shared" si="48"/>
        <v>174.00000008000001</v>
      </c>
      <c r="M230" s="128">
        <f t="shared" si="49"/>
        <v>49.000000080000007</v>
      </c>
      <c r="N230" s="128">
        <f t="shared" si="50"/>
        <v>180</v>
      </c>
      <c r="O230" s="128">
        <f t="shared" si="51"/>
        <v>104</v>
      </c>
      <c r="P230" s="128">
        <f t="shared" si="52"/>
        <v>172</v>
      </c>
      <c r="Q230" s="128">
        <f t="shared" si="53"/>
        <v>186</v>
      </c>
      <c r="R230" s="128">
        <f t="shared" si="54"/>
        <v>6</v>
      </c>
      <c r="S230" s="1">
        <f t="shared" si="45"/>
        <v>1</v>
      </c>
      <c r="T230" s="128">
        <f t="shared" si="44"/>
        <v>-5.9999999199999934</v>
      </c>
      <c r="U230" s="128">
        <f t="shared" si="46"/>
        <v>865.00000016000001</v>
      </c>
      <c r="W230" s="128">
        <f t="shared" si="55"/>
        <v>186</v>
      </c>
      <c r="X230" s="128">
        <f t="shared" si="56"/>
        <v>153.00000008000001</v>
      </c>
    </row>
    <row r="231" spans="1:24">
      <c r="A231" s="22">
        <f>'Stats 2020'!D71</f>
        <v>44113</v>
      </c>
      <c r="B231" s="130">
        <f>'Stats 2020'!E71</f>
        <v>1</v>
      </c>
      <c r="C231" s="130">
        <v>0</v>
      </c>
      <c r="D231" s="130">
        <f>'Stats 2020'!G71</f>
        <v>0</v>
      </c>
      <c r="E231" s="130">
        <v>0</v>
      </c>
      <c r="F231" s="130">
        <f>'Stats 2020'!I71</f>
        <v>1</v>
      </c>
      <c r="G231" s="130">
        <f>'Stats 2020'!J71</f>
        <v>1</v>
      </c>
      <c r="J231" s="57" t="s">
        <v>233</v>
      </c>
      <c r="K231" s="86">
        <f t="shared" si="47"/>
        <v>44113</v>
      </c>
      <c r="L231" s="128">
        <f t="shared" si="48"/>
        <v>175.00000008000001</v>
      </c>
      <c r="M231" s="128">
        <f t="shared" si="49"/>
        <v>49.000000080000007</v>
      </c>
      <c r="N231" s="128">
        <f t="shared" si="50"/>
        <v>180</v>
      </c>
      <c r="O231" s="128">
        <f t="shared" si="51"/>
        <v>104</v>
      </c>
      <c r="P231" s="128">
        <f t="shared" si="52"/>
        <v>173</v>
      </c>
      <c r="Q231" s="128">
        <f t="shared" si="53"/>
        <v>187</v>
      </c>
      <c r="R231" s="128">
        <f t="shared" si="54"/>
        <v>7</v>
      </c>
      <c r="S231" s="1">
        <f t="shared" si="45"/>
        <v>1</v>
      </c>
      <c r="T231" s="128">
        <f t="shared" ref="T231:T294" si="57">L231-N231</f>
        <v>-4.9999999199999934</v>
      </c>
      <c r="U231" s="128">
        <f t="shared" si="46"/>
        <v>868.00000016000001</v>
      </c>
      <c r="W231" s="128">
        <f t="shared" si="55"/>
        <v>187</v>
      </c>
      <c r="X231" s="128">
        <f t="shared" si="56"/>
        <v>153.00000008000001</v>
      </c>
    </row>
    <row r="232" spans="1:24">
      <c r="A232" s="22">
        <f>'Stats 2020'!D72</f>
        <v>44120</v>
      </c>
      <c r="B232" s="130">
        <f>'Stats 2020'!E72</f>
        <v>1</v>
      </c>
      <c r="C232" s="130">
        <v>0</v>
      </c>
      <c r="D232" s="130">
        <f>'Stats 2020'!G72</f>
        <v>1</v>
      </c>
      <c r="E232" s="130">
        <v>0</v>
      </c>
      <c r="F232" s="130">
        <f>'Stats 2020'!I72</f>
        <v>1</v>
      </c>
      <c r="G232" s="130">
        <f>'Stats 2020'!J72</f>
        <v>1</v>
      </c>
      <c r="J232" s="57" t="s">
        <v>234</v>
      </c>
      <c r="K232" s="86">
        <f t="shared" si="47"/>
        <v>44120</v>
      </c>
      <c r="L232" s="128">
        <f t="shared" si="48"/>
        <v>176.00000008000001</v>
      </c>
      <c r="M232" s="128">
        <f t="shared" si="49"/>
        <v>49.000000080000007</v>
      </c>
      <c r="N232" s="128">
        <f t="shared" si="50"/>
        <v>181</v>
      </c>
      <c r="O232" s="128">
        <f t="shared" si="51"/>
        <v>104</v>
      </c>
      <c r="P232" s="128">
        <f t="shared" si="52"/>
        <v>174</v>
      </c>
      <c r="Q232" s="128">
        <f t="shared" si="53"/>
        <v>188</v>
      </c>
      <c r="R232" s="128">
        <f t="shared" si="54"/>
        <v>7</v>
      </c>
      <c r="S232" s="1">
        <f t="shared" si="45"/>
        <v>1</v>
      </c>
      <c r="T232" s="128">
        <f t="shared" si="57"/>
        <v>-4.9999999199999934</v>
      </c>
      <c r="U232" s="128">
        <f t="shared" si="46"/>
        <v>872.00000016000001</v>
      </c>
      <c r="W232" s="128">
        <f t="shared" si="55"/>
        <v>188</v>
      </c>
      <c r="X232" s="128">
        <f t="shared" si="56"/>
        <v>153.00000008000001</v>
      </c>
    </row>
    <row r="233" spans="1:24">
      <c r="A233" s="22">
        <f>'Stats 2020'!D74</f>
        <v>44127</v>
      </c>
      <c r="B233" s="130">
        <f>'Stats 2020'!E74</f>
        <v>1</v>
      </c>
      <c r="C233" s="130">
        <f>'Stats 2020'!F74</f>
        <v>1</v>
      </c>
      <c r="D233" s="130">
        <f>'Stats 2020'!G74</f>
        <v>0</v>
      </c>
      <c r="E233" s="130">
        <v>0</v>
      </c>
      <c r="F233" s="130">
        <f>'Stats 2020'!I74</f>
        <v>0</v>
      </c>
      <c r="G233" s="130">
        <f>'Stats 2020'!J74</f>
        <v>1</v>
      </c>
      <c r="J233" s="57" t="s">
        <v>235</v>
      </c>
      <c r="K233" s="86">
        <f t="shared" si="47"/>
        <v>44127</v>
      </c>
      <c r="L233" s="128">
        <f t="shared" si="48"/>
        <v>177.00000008000001</v>
      </c>
      <c r="M233" s="128">
        <f t="shared" si="49"/>
        <v>50.000000080000007</v>
      </c>
      <c r="N233" s="128">
        <f t="shared" si="50"/>
        <v>181</v>
      </c>
      <c r="O233" s="128">
        <f t="shared" si="51"/>
        <v>104</v>
      </c>
      <c r="P233" s="128">
        <f t="shared" si="52"/>
        <v>174</v>
      </c>
      <c r="Q233" s="128">
        <f t="shared" si="53"/>
        <v>189</v>
      </c>
      <c r="R233" s="128">
        <f t="shared" si="54"/>
        <v>8</v>
      </c>
      <c r="S233" s="1">
        <f t="shared" si="45"/>
        <v>1</v>
      </c>
      <c r="T233" s="128">
        <f t="shared" si="57"/>
        <v>-3.9999999199999934</v>
      </c>
      <c r="U233" s="128">
        <f t="shared" si="46"/>
        <v>875.00000016000001</v>
      </c>
      <c r="W233" s="128">
        <f t="shared" si="55"/>
        <v>189</v>
      </c>
      <c r="X233" s="128">
        <f t="shared" si="56"/>
        <v>154.00000008000001</v>
      </c>
    </row>
    <row r="234" spans="1:24">
      <c r="A234" s="22">
        <f>'Stats 2020'!D75</f>
        <v>44134</v>
      </c>
      <c r="B234" s="130">
        <f>'Stats 2020'!E75</f>
        <v>1</v>
      </c>
      <c r="C234" s="130">
        <f>'Stats 2020'!F75</f>
        <v>1</v>
      </c>
      <c r="D234" s="130">
        <f>'Stats 2020'!G75</f>
        <v>1</v>
      </c>
      <c r="E234" s="130">
        <f>'Stats 2020'!H75</f>
        <v>1</v>
      </c>
      <c r="F234" s="130">
        <f>'Stats 2020'!I75</f>
        <v>1</v>
      </c>
      <c r="G234" s="130">
        <f>'Stats 2020'!J75</f>
        <v>1</v>
      </c>
      <c r="J234" s="57" t="s">
        <v>236</v>
      </c>
      <c r="K234" s="86">
        <f t="shared" si="47"/>
        <v>44134</v>
      </c>
      <c r="L234" s="128">
        <f t="shared" si="48"/>
        <v>178.00000008000001</v>
      </c>
      <c r="M234" s="128">
        <f t="shared" si="49"/>
        <v>51.000000080000007</v>
      </c>
      <c r="N234" s="128">
        <f t="shared" si="50"/>
        <v>182</v>
      </c>
      <c r="O234" s="128">
        <f t="shared" si="51"/>
        <v>105</v>
      </c>
      <c r="P234" s="128">
        <f t="shared" si="52"/>
        <v>175</v>
      </c>
      <c r="Q234" s="128">
        <f t="shared" si="53"/>
        <v>190</v>
      </c>
      <c r="R234" s="128">
        <f t="shared" si="54"/>
        <v>8</v>
      </c>
      <c r="S234" s="1">
        <f t="shared" ref="S234:S239" si="58">IF(Q234&gt;L234,1,0)</f>
        <v>1</v>
      </c>
      <c r="T234" s="128">
        <f t="shared" si="57"/>
        <v>-3.9999999199999934</v>
      </c>
      <c r="U234" s="128">
        <f t="shared" si="46"/>
        <v>881.00000016000001</v>
      </c>
      <c r="W234" s="128">
        <f t="shared" si="55"/>
        <v>190</v>
      </c>
      <c r="X234" s="128">
        <f t="shared" si="56"/>
        <v>156.00000008000001</v>
      </c>
    </row>
    <row r="235" spans="1:24">
      <c r="A235" s="22">
        <f>'Stats 2020'!D76</f>
        <v>44141</v>
      </c>
      <c r="B235" s="130">
        <f>'Stats 2020'!E76</f>
        <v>1</v>
      </c>
      <c r="C235" s="130">
        <f>'Stats 2020'!F76</f>
        <v>1</v>
      </c>
      <c r="D235" s="130">
        <f>'Stats 2020'!G76</f>
        <v>0</v>
      </c>
      <c r="E235" s="130">
        <v>0</v>
      </c>
      <c r="F235" s="130">
        <f>'Stats 2020'!I76</f>
        <v>1</v>
      </c>
      <c r="G235" s="130">
        <f>'Stats 2020'!J76</f>
        <v>1</v>
      </c>
      <c r="J235" s="57" t="s">
        <v>237</v>
      </c>
      <c r="K235" s="86">
        <f t="shared" si="47"/>
        <v>44141</v>
      </c>
      <c r="L235" s="128">
        <f t="shared" si="48"/>
        <v>179.00000008000001</v>
      </c>
      <c r="M235" s="128">
        <f t="shared" si="49"/>
        <v>52.000000080000007</v>
      </c>
      <c r="N235" s="128">
        <f t="shared" si="50"/>
        <v>182</v>
      </c>
      <c r="O235" s="128">
        <f t="shared" si="51"/>
        <v>105</v>
      </c>
      <c r="P235" s="128">
        <f t="shared" si="52"/>
        <v>176</v>
      </c>
      <c r="Q235" s="128">
        <f t="shared" si="53"/>
        <v>191</v>
      </c>
      <c r="R235" s="128">
        <f t="shared" si="54"/>
        <v>9</v>
      </c>
      <c r="S235" s="1">
        <f t="shared" si="58"/>
        <v>1</v>
      </c>
      <c r="T235" s="128">
        <f t="shared" si="57"/>
        <v>-2.9999999199999934</v>
      </c>
      <c r="U235" s="128">
        <f t="shared" si="46"/>
        <v>885.00000016000001</v>
      </c>
      <c r="W235" s="128">
        <f t="shared" si="55"/>
        <v>191</v>
      </c>
      <c r="X235" s="128">
        <f t="shared" si="56"/>
        <v>157.00000008000001</v>
      </c>
    </row>
    <row r="236" spans="1:24">
      <c r="A236" s="22">
        <f>'Stats 2020'!D77</f>
        <v>44148</v>
      </c>
      <c r="B236" s="130">
        <f>'Stats 2020'!E77</f>
        <v>0</v>
      </c>
      <c r="C236" s="130">
        <f>'Stats 2020'!F77</f>
        <v>1</v>
      </c>
      <c r="D236" s="130">
        <f>'Stats 2020'!G77</f>
        <v>1</v>
      </c>
      <c r="E236" s="130">
        <v>0</v>
      </c>
      <c r="F236" s="130">
        <f>'Stats 2020'!I77</f>
        <v>1</v>
      </c>
      <c r="G236" s="130">
        <f>'Stats 2020'!J77</f>
        <v>1</v>
      </c>
      <c r="J236" s="57" t="s">
        <v>238</v>
      </c>
      <c r="K236" s="86">
        <f t="shared" si="47"/>
        <v>44148</v>
      </c>
      <c r="L236" s="128">
        <f t="shared" si="48"/>
        <v>179.00000008000001</v>
      </c>
      <c r="M236" s="128">
        <f t="shared" si="49"/>
        <v>53.000000080000007</v>
      </c>
      <c r="N236" s="128">
        <f t="shared" si="50"/>
        <v>183</v>
      </c>
      <c r="O236" s="128">
        <f t="shared" si="51"/>
        <v>105</v>
      </c>
      <c r="P236" s="128">
        <f t="shared" si="52"/>
        <v>177</v>
      </c>
      <c r="Q236" s="128">
        <f t="shared" si="53"/>
        <v>192</v>
      </c>
      <c r="R236" s="128">
        <f t="shared" si="54"/>
        <v>9</v>
      </c>
      <c r="S236" s="1">
        <f t="shared" si="58"/>
        <v>1</v>
      </c>
      <c r="T236" s="128">
        <f t="shared" si="57"/>
        <v>-3.9999999199999934</v>
      </c>
      <c r="U236" s="128">
        <f t="shared" si="46"/>
        <v>889.00000016000001</v>
      </c>
      <c r="W236" s="128">
        <f t="shared" si="55"/>
        <v>192</v>
      </c>
      <c r="X236" s="128">
        <f t="shared" si="56"/>
        <v>158.00000008000001</v>
      </c>
    </row>
    <row r="237" spans="1:24">
      <c r="A237" s="22">
        <f>'Stats 2020'!D78</f>
        <v>44155</v>
      </c>
      <c r="B237" s="130">
        <f>'Stats 2020'!E78</f>
        <v>1</v>
      </c>
      <c r="C237" s="130">
        <f>'Stats 2020'!F78</f>
        <v>1</v>
      </c>
      <c r="D237" s="130">
        <f>'Stats 2020'!G78</f>
        <v>1</v>
      </c>
      <c r="E237" s="130">
        <f>'Stats 2020'!H78</f>
        <v>1</v>
      </c>
      <c r="F237" s="130">
        <f>'Stats 2020'!I78</f>
        <v>1</v>
      </c>
      <c r="G237" s="130">
        <f>'Stats 2020'!J78</f>
        <v>1</v>
      </c>
      <c r="J237" s="57" t="s">
        <v>239</v>
      </c>
      <c r="K237" s="86">
        <f t="shared" si="47"/>
        <v>44155</v>
      </c>
      <c r="L237" s="128">
        <f t="shared" si="48"/>
        <v>180.00000008000001</v>
      </c>
      <c r="M237" s="128">
        <f t="shared" si="49"/>
        <v>54.000000080000007</v>
      </c>
      <c r="N237" s="128">
        <f t="shared" si="50"/>
        <v>184</v>
      </c>
      <c r="O237" s="128">
        <f t="shared" si="51"/>
        <v>106</v>
      </c>
      <c r="P237" s="128">
        <f t="shared" si="52"/>
        <v>178</v>
      </c>
      <c r="Q237" s="128">
        <f t="shared" si="53"/>
        <v>193</v>
      </c>
      <c r="R237" s="128">
        <f t="shared" si="54"/>
        <v>9</v>
      </c>
      <c r="S237" s="1">
        <f t="shared" si="58"/>
        <v>1</v>
      </c>
      <c r="T237" s="128">
        <f t="shared" si="57"/>
        <v>-3.9999999199999934</v>
      </c>
      <c r="U237" s="128">
        <f t="shared" si="46"/>
        <v>895.00000016000001</v>
      </c>
      <c r="W237" s="128">
        <f t="shared" si="55"/>
        <v>193</v>
      </c>
      <c r="X237" s="128">
        <f t="shared" si="56"/>
        <v>160.00000008000001</v>
      </c>
    </row>
    <row r="238" spans="1:24">
      <c r="A238" s="22">
        <f>'Stats 2020'!D79</f>
        <v>44162</v>
      </c>
      <c r="B238" s="130">
        <f>'Stats 2020'!E79</f>
        <v>1</v>
      </c>
      <c r="C238" s="130">
        <v>0</v>
      </c>
      <c r="D238" s="130">
        <f>'Stats 2020'!G79</f>
        <v>1</v>
      </c>
      <c r="E238" s="130">
        <f>'Stats 2020'!H79</f>
        <v>1</v>
      </c>
      <c r="F238" s="130">
        <f>'Stats 2020'!I79</f>
        <v>1</v>
      </c>
      <c r="G238" s="130">
        <f>'Stats 2020'!J79</f>
        <v>1</v>
      </c>
      <c r="J238" s="57" t="s">
        <v>240</v>
      </c>
      <c r="K238" s="86">
        <f t="shared" si="47"/>
        <v>44162</v>
      </c>
      <c r="L238" s="128">
        <f t="shared" si="48"/>
        <v>181.00000008000001</v>
      </c>
      <c r="M238" s="128">
        <f t="shared" si="49"/>
        <v>54.000000080000007</v>
      </c>
      <c r="N238" s="128">
        <f t="shared" si="50"/>
        <v>185</v>
      </c>
      <c r="O238" s="128">
        <f t="shared" si="51"/>
        <v>107</v>
      </c>
      <c r="P238" s="128">
        <f t="shared" si="52"/>
        <v>179</v>
      </c>
      <c r="Q238" s="128">
        <f t="shared" si="53"/>
        <v>194</v>
      </c>
      <c r="R238" s="128">
        <f t="shared" si="54"/>
        <v>9</v>
      </c>
      <c r="S238" s="1">
        <f t="shared" si="58"/>
        <v>1</v>
      </c>
      <c r="T238" s="128">
        <f t="shared" si="57"/>
        <v>-3.9999999199999934</v>
      </c>
      <c r="U238" s="128">
        <f t="shared" si="46"/>
        <v>900.00000016000001</v>
      </c>
      <c r="W238" s="128">
        <f t="shared" si="55"/>
        <v>194</v>
      </c>
      <c r="X238" s="128">
        <f t="shared" si="56"/>
        <v>161.00000008000001</v>
      </c>
    </row>
    <row r="239" spans="1:24">
      <c r="A239" s="22">
        <f>'Stats 2020'!D80</f>
        <v>44169</v>
      </c>
      <c r="B239" s="130">
        <f>'Stats 2020'!E80</f>
        <v>0</v>
      </c>
      <c r="C239" s="130">
        <f>'Stats 2020'!F80</f>
        <v>1</v>
      </c>
      <c r="D239" s="130">
        <f>'Stats 2020'!G80</f>
        <v>1</v>
      </c>
      <c r="E239" s="130">
        <v>0</v>
      </c>
      <c r="F239" s="130">
        <f>'Stats 2020'!I80</f>
        <v>1</v>
      </c>
      <c r="G239" s="130">
        <f>'Stats 2020'!J80</f>
        <v>1</v>
      </c>
      <c r="J239" s="57" t="s">
        <v>241</v>
      </c>
      <c r="K239" s="86">
        <f t="shared" si="47"/>
        <v>44169</v>
      </c>
      <c r="L239" s="128">
        <f t="shared" si="48"/>
        <v>181.00000008000001</v>
      </c>
      <c r="M239" s="128">
        <f t="shared" si="49"/>
        <v>55.000000080000007</v>
      </c>
      <c r="N239" s="128">
        <f t="shared" si="50"/>
        <v>186</v>
      </c>
      <c r="O239" s="128">
        <f t="shared" si="51"/>
        <v>107</v>
      </c>
      <c r="P239" s="128">
        <f t="shared" si="52"/>
        <v>180</v>
      </c>
      <c r="Q239" s="128">
        <f t="shared" si="53"/>
        <v>195</v>
      </c>
      <c r="R239" s="128">
        <f t="shared" si="54"/>
        <v>9</v>
      </c>
      <c r="S239" s="1">
        <f t="shared" si="58"/>
        <v>1</v>
      </c>
      <c r="T239" s="128">
        <f t="shared" si="57"/>
        <v>-4.9999999199999934</v>
      </c>
      <c r="U239" s="128">
        <f t="shared" si="46"/>
        <v>904.00000016000001</v>
      </c>
      <c r="W239" s="128">
        <f t="shared" si="55"/>
        <v>195</v>
      </c>
      <c r="X239" s="128">
        <f t="shared" si="56"/>
        <v>162.00000008000001</v>
      </c>
    </row>
    <row r="240" spans="1:24">
      <c r="A240" s="22">
        <f>'Stats 2020'!D82</f>
        <v>44176</v>
      </c>
      <c r="B240" s="130">
        <f>'Stats 2020'!E82</f>
        <v>1</v>
      </c>
      <c r="C240" s="130">
        <f>'Stats 2020'!F82</f>
        <v>1</v>
      </c>
      <c r="D240" s="130">
        <f>'Stats 2020'!G82</f>
        <v>1</v>
      </c>
      <c r="E240" s="130">
        <v>0</v>
      </c>
      <c r="F240" s="130">
        <f>'Stats 2020'!I82</f>
        <v>1</v>
      </c>
      <c r="G240" s="130">
        <f>'Stats 2020'!J82</f>
        <v>1</v>
      </c>
      <c r="J240" s="57" t="s">
        <v>242</v>
      </c>
      <c r="K240" s="86">
        <f t="shared" si="47"/>
        <v>44176</v>
      </c>
      <c r="L240" s="128">
        <f t="shared" si="48"/>
        <v>182.00000008000001</v>
      </c>
      <c r="M240" s="128">
        <f t="shared" si="49"/>
        <v>56.000000080000007</v>
      </c>
      <c r="N240" s="128">
        <f t="shared" si="50"/>
        <v>187</v>
      </c>
      <c r="O240" s="128">
        <f t="shared" si="51"/>
        <v>107</v>
      </c>
      <c r="P240" s="128">
        <f t="shared" si="52"/>
        <v>181</v>
      </c>
      <c r="Q240" s="128">
        <f t="shared" si="53"/>
        <v>196</v>
      </c>
      <c r="R240" s="128">
        <f t="shared" si="54"/>
        <v>9</v>
      </c>
      <c r="S240" s="1">
        <f t="shared" ref="S240:S265" si="59">IF(Q240&gt;L240,1,0)</f>
        <v>1</v>
      </c>
      <c r="T240" s="128">
        <f t="shared" si="57"/>
        <v>-4.9999999199999934</v>
      </c>
      <c r="U240" s="128">
        <f t="shared" si="46"/>
        <v>909.00000016000001</v>
      </c>
      <c r="W240" s="128">
        <f t="shared" si="55"/>
        <v>196</v>
      </c>
      <c r="X240" s="128">
        <f t="shared" si="56"/>
        <v>163.00000008000001</v>
      </c>
    </row>
    <row r="241" spans="1:28">
      <c r="A241" s="22">
        <f>'Stats 2020'!D84</f>
        <v>44183</v>
      </c>
      <c r="B241" s="130">
        <f>'Stats 2020'!E84</f>
        <v>1</v>
      </c>
      <c r="C241" s="130">
        <f>'Stats 2020'!F84</f>
        <v>1</v>
      </c>
      <c r="D241" s="130">
        <f>'Stats 2020'!G84</f>
        <v>0</v>
      </c>
      <c r="E241" s="130">
        <f>'Stats 2020'!H84</f>
        <v>1</v>
      </c>
      <c r="F241" s="130">
        <f>'Stats 2020'!I84</f>
        <v>0</v>
      </c>
      <c r="G241" s="130">
        <f>'Stats 2020'!J84</f>
        <v>1</v>
      </c>
      <c r="J241" s="57" t="s">
        <v>243</v>
      </c>
      <c r="K241" s="86">
        <f t="shared" si="47"/>
        <v>44183</v>
      </c>
      <c r="L241" s="128">
        <f t="shared" si="48"/>
        <v>183.00000008000001</v>
      </c>
      <c r="M241" s="128">
        <f t="shared" si="49"/>
        <v>57.000000080000007</v>
      </c>
      <c r="N241" s="128">
        <f t="shared" si="50"/>
        <v>187</v>
      </c>
      <c r="O241" s="128">
        <f t="shared" si="51"/>
        <v>108</v>
      </c>
      <c r="P241" s="128">
        <f t="shared" si="52"/>
        <v>181</v>
      </c>
      <c r="Q241" s="128">
        <f t="shared" si="53"/>
        <v>197</v>
      </c>
      <c r="R241" s="128">
        <f t="shared" si="54"/>
        <v>10</v>
      </c>
      <c r="S241" s="1">
        <f t="shared" si="59"/>
        <v>1</v>
      </c>
      <c r="T241" s="128">
        <f t="shared" si="57"/>
        <v>-3.9999999199999934</v>
      </c>
      <c r="U241" s="128">
        <f t="shared" si="46"/>
        <v>913.00000016000001</v>
      </c>
      <c r="W241" s="128">
        <f t="shared" si="55"/>
        <v>197</v>
      </c>
      <c r="X241" s="128">
        <f t="shared" si="56"/>
        <v>165.00000008000001</v>
      </c>
    </row>
    <row r="242" spans="1:28">
      <c r="A242" s="22">
        <f>'Stats 2020'!D85</f>
        <v>44204</v>
      </c>
      <c r="B242" s="130">
        <f>'Stats 2020'!E85</f>
        <v>1</v>
      </c>
      <c r="C242" s="130">
        <v>0</v>
      </c>
      <c r="D242" s="130">
        <f>'Stats 2020'!G85</f>
        <v>0</v>
      </c>
      <c r="E242" s="130">
        <v>0</v>
      </c>
      <c r="F242" s="130">
        <f>'Stats 2020'!I85</f>
        <v>0</v>
      </c>
      <c r="G242" s="130">
        <f>'Stats 2020'!J85</f>
        <v>1</v>
      </c>
      <c r="J242" s="57" t="s">
        <v>244</v>
      </c>
      <c r="K242" s="86">
        <f t="shared" si="47"/>
        <v>44204</v>
      </c>
      <c r="L242" s="128">
        <f t="shared" si="48"/>
        <v>184.00000008000001</v>
      </c>
      <c r="M242" s="128">
        <f t="shared" si="49"/>
        <v>57.000000080000007</v>
      </c>
      <c r="N242" s="128">
        <f t="shared" si="50"/>
        <v>187</v>
      </c>
      <c r="O242" s="128">
        <f t="shared" si="51"/>
        <v>108</v>
      </c>
      <c r="P242" s="128">
        <f t="shared" si="52"/>
        <v>181</v>
      </c>
      <c r="Q242" s="128">
        <f t="shared" si="53"/>
        <v>198</v>
      </c>
      <c r="R242" s="128">
        <f t="shared" si="54"/>
        <v>11</v>
      </c>
      <c r="S242" s="1">
        <f t="shared" si="59"/>
        <v>1</v>
      </c>
      <c r="T242" s="128">
        <f t="shared" si="57"/>
        <v>-2.9999999199999934</v>
      </c>
      <c r="U242" s="128">
        <f t="shared" si="46"/>
        <v>915.00000016000001</v>
      </c>
      <c r="W242" s="128">
        <f t="shared" si="55"/>
        <v>198</v>
      </c>
      <c r="X242" s="128">
        <f t="shared" si="56"/>
        <v>165.00000008000001</v>
      </c>
    </row>
    <row r="243" spans="1:28">
      <c r="A243" s="22">
        <f>'Stats 2020'!D86</f>
        <v>44211</v>
      </c>
      <c r="B243" s="130">
        <f>'Stats 2020'!E86</f>
        <v>0</v>
      </c>
      <c r="C243" s="130">
        <f>'Stats 2020'!F86</f>
        <v>1</v>
      </c>
      <c r="D243" s="130">
        <f>'Stats 2020'!G86</f>
        <v>0</v>
      </c>
      <c r="E243" s="130">
        <f>'Stats 2020'!H86</f>
        <v>1</v>
      </c>
      <c r="F243" s="130">
        <f>'Stats 2020'!I86</f>
        <v>0</v>
      </c>
      <c r="G243" s="130">
        <f>'Stats 2020'!J86</f>
        <v>1</v>
      </c>
      <c r="J243" s="57" t="s">
        <v>245</v>
      </c>
      <c r="K243" s="86">
        <f t="shared" si="47"/>
        <v>44211</v>
      </c>
      <c r="L243" s="128">
        <f t="shared" si="48"/>
        <v>184.00000008000001</v>
      </c>
      <c r="M243" s="128">
        <f t="shared" si="49"/>
        <v>58.000000080000007</v>
      </c>
      <c r="N243" s="128">
        <f t="shared" si="50"/>
        <v>187</v>
      </c>
      <c r="O243" s="128">
        <f t="shared" si="51"/>
        <v>109</v>
      </c>
      <c r="P243" s="128">
        <f t="shared" si="52"/>
        <v>181</v>
      </c>
      <c r="Q243" s="128">
        <f t="shared" si="53"/>
        <v>199</v>
      </c>
      <c r="R243" s="128">
        <f t="shared" si="54"/>
        <v>12</v>
      </c>
      <c r="S243" s="1">
        <f t="shared" si="59"/>
        <v>1</v>
      </c>
      <c r="T243" s="128">
        <f t="shared" si="57"/>
        <v>-2.9999999199999934</v>
      </c>
      <c r="U243" s="128">
        <f t="shared" si="46"/>
        <v>918.00000016000001</v>
      </c>
      <c r="W243" s="128">
        <f t="shared" si="55"/>
        <v>199</v>
      </c>
      <c r="X243" s="128">
        <f t="shared" si="56"/>
        <v>167.00000008000001</v>
      </c>
      <c r="AA243" s="1">
        <f>2/259*100</f>
        <v>0.77220077220077221</v>
      </c>
      <c r="AB243" s="1">
        <f>100/AA243</f>
        <v>129.5</v>
      </c>
    </row>
    <row r="244" spans="1:28">
      <c r="A244" s="22">
        <f>'Stats 2020'!D88</f>
        <v>44218</v>
      </c>
      <c r="B244" s="130">
        <f>'Stats 2020'!E88</f>
        <v>1</v>
      </c>
      <c r="C244" s="130">
        <f>'Stats 2020'!F88</f>
        <v>1</v>
      </c>
      <c r="D244" s="130">
        <f>'Stats 2020'!G88</f>
        <v>1</v>
      </c>
      <c r="E244" s="130">
        <f>'Stats 2020'!H88</f>
        <v>1</v>
      </c>
      <c r="F244" s="130">
        <f>'Stats 2020'!I88</f>
        <v>1</v>
      </c>
      <c r="G244" s="130">
        <f>'Stats 2020'!J88</f>
        <v>1</v>
      </c>
      <c r="J244" s="57" t="s">
        <v>246</v>
      </c>
      <c r="K244" s="86">
        <f t="shared" si="47"/>
        <v>44218</v>
      </c>
      <c r="L244" s="128">
        <f t="shared" si="48"/>
        <v>185.00000008000001</v>
      </c>
      <c r="M244" s="128">
        <f t="shared" si="49"/>
        <v>59.000000080000007</v>
      </c>
      <c r="N244" s="128">
        <f t="shared" si="50"/>
        <v>188</v>
      </c>
      <c r="O244" s="128">
        <f t="shared" si="51"/>
        <v>110</v>
      </c>
      <c r="P244" s="128">
        <f t="shared" si="52"/>
        <v>182</v>
      </c>
      <c r="Q244" s="147">
        <f t="shared" si="53"/>
        <v>200</v>
      </c>
      <c r="R244" s="128">
        <f t="shared" si="54"/>
        <v>12</v>
      </c>
      <c r="S244" s="1">
        <f t="shared" si="59"/>
        <v>1</v>
      </c>
      <c r="T244" s="128">
        <f t="shared" si="57"/>
        <v>-2.9999999199999934</v>
      </c>
      <c r="U244" s="128">
        <f t="shared" si="46"/>
        <v>924.00000016000001</v>
      </c>
      <c r="W244" s="128">
        <f t="shared" si="55"/>
        <v>200</v>
      </c>
      <c r="X244" s="128">
        <f t="shared" si="56"/>
        <v>169.00000008000001</v>
      </c>
    </row>
    <row r="245" spans="1:28">
      <c r="A245" s="22">
        <f>'Stats 2020'!D89</f>
        <v>44225</v>
      </c>
      <c r="B245" s="130">
        <f>'Stats 2020'!E89</f>
        <v>0</v>
      </c>
      <c r="C245" s="130">
        <v>0</v>
      </c>
      <c r="D245" s="130">
        <f>'Stats 2020'!G89</f>
        <v>1</v>
      </c>
      <c r="E245" s="130">
        <v>0</v>
      </c>
      <c r="F245" s="130">
        <f>'Stats 2020'!I89</f>
        <v>1</v>
      </c>
      <c r="G245" s="130">
        <f>'Stats 2020'!J89</f>
        <v>0</v>
      </c>
      <c r="J245" s="57" t="s">
        <v>247</v>
      </c>
      <c r="K245" s="86">
        <f t="shared" si="47"/>
        <v>44225</v>
      </c>
      <c r="L245" s="128">
        <f t="shared" si="48"/>
        <v>185.00000008000001</v>
      </c>
      <c r="M245" s="128">
        <f t="shared" si="49"/>
        <v>59.000000080000007</v>
      </c>
      <c r="N245" s="128">
        <f t="shared" si="50"/>
        <v>189</v>
      </c>
      <c r="O245" s="128">
        <f t="shared" si="51"/>
        <v>110</v>
      </c>
      <c r="P245" s="128">
        <f t="shared" si="52"/>
        <v>183</v>
      </c>
      <c r="Q245" s="128">
        <f t="shared" si="53"/>
        <v>200</v>
      </c>
      <c r="R245" s="128">
        <f t="shared" si="54"/>
        <v>11</v>
      </c>
      <c r="S245" s="1">
        <f t="shared" si="59"/>
        <v>1</v>
      </c>
      <c r="T245" s="128">
        <f t="shared" si="57"/>
        <v>-3.9999999199999934</v>
      </c>
      <c r="U245" s="128">
        <f t="shared" si="46"/>
        <v>926.00000016000001</v>
      </c>
      <c r="W245" s="128">
        <f t="shared" si="55"/>
        <v>200</v>
      </c>
      <c r="X245" s="128">
        <f t="shared" si="56"/>
        <v>169.00000008000001</v>
      </c>
    </row>
    <row r="246" spans="1:28">
      <c r="A246" s="22">
        <f>'Stats 2020'!D90</f>
        <v>44232</v>
      </c>
      <c r="B246" s="130">
        <f>'Stats 2020'!E90</f>
        <v>1</v>
      </c>
      <c r="C246" s="130">
        <f>'Stats 2020'!F90</f>
        <v>1</v>
      </c>
      <c r="D246" s="130">
        <f>'Stats 2020'!G90</f>
        <v>1</v>
      </c>
      <c r="E246" s="130">
        <f>'Stats 2020'!H90</f>
        <v>1</v>
      </c>
      <c r="F246" s="130">
        <f>'Stats 2020'!I90</f>
        <v>1</v>
      </c>
      <c r="G246" s="130">
        <f>'Stats 2020'!J90</f>
        <v>1</v>
      </c>
      <c r="J246" s="57" t="s">
        <v>248</v>
      </c>
      <c r="K246" s="86">
        <f t="shared" si="47"/>
        <v>44232</v>
      </c>
      <c r="L246" s="128">
        <f t="shared" si="48"/>
        <v>186.00000008000001</v>
      </c>
      <c r="M246" s="128">
        <f t="shared" si="49"/>
        <v>60.000000080000007</v>
      </c>
      <c r="N246" s="128">
        <f t="shared" si="50"/>
        <v>190</v>
      </c>
      <c r="O246" s="128">
        <f t="shared" si="51"/>
        <v>111</v>
      </c>
      <c r="P246" s="128">
        <f t="shared" si="52"/>
        <v>184</v>
      </c>
      <c r="Q246" s="128">
        <f t="shared" si="53"/>
        <v>201</v>
      </c>
      <c r="R246" s="128">
        <f t="shared" si="54"/>
        <v>11</v>
      </c>
      <c r="S246" s="1">
        <f t="shared" si="59"/>
        <v>1</v>
      </c>
      <c r="T246" s="128">
        <f t="shared" si="57"/>
        <v>-3.9999999199999934</v>
      </c>
      <c r="U246" s="128">
        <f t="shared" si="46"/>
        <v>932.00000016000001</v>
      </c>
      <c r="W246" s="128">
        <f t="shared" si="55"/>
        <v>201</v>
      </c>
      <c r="X246" s="128">
        <f t="shared" si="56"/>
        <v>171.00000008000001</v>
      </c>
    </row>
    <row r="247" spans="1:28">
      <c r="A247" s="22">
        <f>'Stats 2020'!D91</f>
        <v>44239</v>
      </c>
      <c r="B247" s="130">
        <f>'Stats 2020'!E91</f>
        <v>1</v>
      </c>
      <c r="C247" s="130">
        <f>'Stats 2020'!F91</f>
        <v>1</v>
      </c>
      <c r="D247" s="130">
        <f>'Stats 2020'!G91</f>
        <v>1</v>
      </c>
      <c r="E247" s="130">
        <v>0</v>
      </c>
      <c r="F247" s="130">
        <f>'Stats 2020'!I91</f>
        <v>1</v>
      </c>
      <c r="G247" s="130">
        <f>'Stats 2020'!J91</f>
        <v>1</v>
      </c>
      <c r="J247" s="57" t="s">
        <v>249</v>
      </c>
      <c r="K247" s="86">
        <f t="shared" si="47"/>
        <v>44239</v>
      </c>
      <c r="L247" s="128">
        <f t="shared" si="48"/>
        <v>187.00000008000001</v>
      </c>
      <c r="M247" s="128">
        <f t="shared" si="49"/>
        <v>61.000000080000007</v>
      </c>
      <c r="N247" s="128">
        <f t="shared" si="50"/>
        <v>191</v>
      </c>
      <c r="O247" s="128">
        <f t="shared" si="51"/>
        <v>111</v>
      </c>
      <c r="P247" s="128">
        <f t="shared" si="52"/>
        <v>185</v>
      </c>
      <c r="Q247" s="128">
        <f t="shared" si="53"/>
        <v>202</v>
      </c>
      <c r="R247" s="128">
        <f t="shared" si="54"/>
        <v>11</v>
      </c>
      <c r="S247" s="1">
        <f t="shared" si="59"/>
        <v>1</v>
      </c>
      <c r="T247" s="128">
        <f t="shared" si="57"/>
        <v>-3.9999999199999934</v>
      </c>
      <c r="U247" s="128">
        <f t="shared" si="46"/>
        <v>937.00000016000001</v>
      </c>
      <c r="W247" s="128">
        <f t="shared" si="55"/>
        <v>202</v>
      </c>
      <c r="X247" s="128">
        <f t="shared" si="56"/>
        <v>172.00000008000001</v>
      </c>
    </row>
    <row r="248" spans="1:28">
      <c r="A248" s="22">
        <f>'Stats 2020'!D92</f>
        <v>44246</v>
      </c>
      <c r="B248" s="130">
        <f>'Stats 2020'!E92</f>
        <v>1</v>
      </c>
      <c r="C248" s="130">
        <f>'Stats 2020'!F92</f>
        <v>1</v>
      </c>
      <c r="D248" s="130">
        <f>'Stats 2020'!G92</f>
        <v>0</v>
      </c>
      <c r="E248" s="130">
        <v>0</v>
      </c>
      <c r="F248" s="130">
        <f>'Stats 2020'!I92</f>
        <v>0</v>
      </c>
      <c r="G248" s="130">
        <f>'Stats 2020'!J92</f>
        <v>1</v>
      </c>
      <c r="J248" s="57" t="s">
        <v>250</v>
      </c>
      <c r="K248" s="86">
        <f t="shared" si="47"/>
        <v>44246</v>
      </c>
      <c r="L248" s="128">
        <f t="shared" si="48"/>
        <v>188.00000008000001</v>
      </c>
      <c r="M248" s="128">
        <f t="shared" si="49"/>
        <v>62.000000080000007</v>
      </c>
      <c r="N248" s="128">
        <f t="shared" si="50"/>
        <v>191</v>
      </c>
      <c r="O248" s="128">
        <f t="shared" si="51"/>
        <v>111</v>
      </c>
      <c r="P248" s="128">
        <f t="shared" si="52"/>
        <v>185</v>
      </c>
      <c r="Q248" s="128">
        <f t="shared" si="53"/>
        <v>203</v>
      </c>
      <c r="R248" s="128">
        <f t="shared" si="54"/>
        <v>12</v>
      </c>
      <c r="S248" s="1">
        <f t="shared" si="59"/>
        <v>1</v>
      </c>
      <c r="T248" s="128">
        <f t="shared" si="57"/>
        <v>-2.9999999199999934</v>
      </c>
      <c r="U248" s="128">
        <f t="shared" si="46"/>
        <v>940.00000016000001</v>
      </c>
      <c r="W248" s="128">
        <f t="shared" si="55"/>
        <v>203</v>
      </c>
      <c r="X248" s="128">
        <f t="shared" si="56"/>
        <v>173.00000008000001</v>
      </c>
    </row>
    <row r="249" spans="1:28">
      <c r="A249" s="22">
        <f>'Stats 2020'!D93</f>
        <v>44253</v>
      </c>
      <c r="B249" s="130">
        <f>'Stats 2020'!E93</f>
        <v>1</v>
      </c>
      <c r="C249" s="130">
        <f>'Stats 2020'!F93</f>
        <v>1</v>
      </c>
      <c r="D249" s="130">
        <f>'Stats 2020'!G93</f>
        <v>1</v>
      </c>
      <c r="E249" s="130">
        <f>'Stats 2020'!H93</f>
        <v>1</v>
      </c>
      <c r="F249" s="130">
        <f>'Stats 2020'!I93</f>
        <v>1</v>
      </c>
      <c r="G249" s="130">
        <f>'Stats 2020'!J93</f>
        <v>0</v>
      </c>
      <c r="K249" s="86">
        <f t="shared" si="47"/>
        <v>44253</v>
      </c>
      <c r="L249" s="128">
        <f t="shared" si="48"/>
        <v>189.00000008000001</v>
      </c>
      <c r="M249" s="128">
        <f t="shared" si="49"/>
        <v>63.000000080000007</v>
      </c>
      <c r="N249" s="128">
        <f t="shared" si="50"/>
        <v>192</v>
      </c>
      <c r="O249" s="128">
        <f t="shared" si="51"/>
        <v>112</v>
      </c>
      <c r="P249" s="128">
        <f t="shared" si="52"/>
        <v>186</v>
      </c>
      <c r="Q249" s="128">
        <f t="shared" si="53"/>
        <v>203</v>
      </c>
      <c r="R249" s="128">
        <f t="shared" si="54"/>
        <v>11</v>
      </c>
      <c r="S249" s="1">
        <f t="shared" si="59"/>
        <v>1</v>
      </c>
      <c r="T249" s="128">
        <f t="shared" si="57"/>
        <v>-2.9999999199999934</v>
      </c>
      <c r="U249" s="128">
        <f t="shared" si="46"/>
        <v>945.00000016000001</v>
      </c>
      <c r="W249" s="128">
        <f t="shared" si="55"/>
        <v>203</v>
      </c>
      <c r="X249" s="128">
        <f t="shared" si="56"/>
        <v>175.00000008000001</v>
      </c>
    </row>
    <row r="250" spans="1:28">
      <c r="A250" s="22">
        <f>'Stats 2020'!D94</f>
        <v>44260</v>
      </c>
      <c r="B250" s="130">
        <f>'Stats 2020'!E94</f>
        <v>0</v>
      </c>
      <c r="C250" s="130">
        <f>'Stats 2020'!F94</f>
        <v>1</v>
      </c>
      <c r="D250" s="130">
        <f>'Stats 2020'!G94</f>
        <v>1</v>
      </c>
      <c r="E250" s="130">
        <v>0</v>
      </c>
      <c r="F250" s="130">
        <f>'Stats 2020'!I94</f>
        <v>1</v>
      </c>
      <c r="G250" s="130">
        <f>'Stats 2020'!J94</f>
        <v>1</v>
      </c>
      <c r="J250" s="57" t="s">
        <v>251</v>
      </c>
      <c r="K250" s="86">
        <f t="shared" si="47"/>
        <v>44260</v>
      </c>
      <c r="L250" s="128">
        <f t="shared" si="48"/>
        <v>189.00000008000001</v>
      </c>
      <c r="M250" s="128">
        <f t="shared" si="49"/>
        <v>64.000000080000007</v>
      </c>
      <c r="N250" s="128">
        <f t="shared" si="50"/>
        <v>193</v>
      </c>
      <c r="O250" s="128">
        <f t="shared" si="51"/>
        <v>112</v>
      </c>
      <c r="P250" s="128">
        <f t="shared" si="52"/>
        <v>187</v>
      </c>
      <c r="Q250" s="128">
        <f t="shared" si="53"/>
        <v>204</v>
      </c>
      <c r="R250" s="128">
        <f t="shared" si="54"/>
        <v>11</v>
      </c>
      <c r="S250" s="1">
        <f t="shared" si="59"/>
        <v>1</v>
      </c>
      <c r="T250" s="128">
        <f t="shared" si="57"/>
        <v>-3.9999999199999934</v>
      </c>
      <c r="U250" s="128">
        <f t="shared" si="46"/>
        <v>949.00000016000001</v>
      </c>
      <c r="W250" s="128">
        <f t="shared" si="55"/>
        <v>204</v>
      </c>
      <c r="X250" s="128">
        <f t="shared" si="56"/>
        <v>176.00000008000001</v>
      </c>
    </row>
    <row r="251" spans="1:28">
      <c r="A251" s="22">
        <f>'Stats 2020'!D95</f>
        <v>44267</v>
      </c>
      <c r="B251" s="130">
        <f>'Stats 2020'!E95</f>
        <v>1</v>
      </c>
      <c r="C251" s="130">
        <f>'Stats 2020'!F95</f>
        <v>1</v>
      </c>
      <c r="D251" s="130">
        <f>'Stats 2020'!G95</f>
        <v>1</v>
      </c>
      <c r="E251" s="130">
        <f>'Stats 2020'!H95</f>
        <v>1</v>
      </c>
      <c r="F251" s="130">
        <f>'Stats 2020'!I95</f>
        <v>1</v>
      </c>
      <c r="G251" s="130">
        <f>'Stats 2020'!J95</f>
        <v>1</v>
      </c>
      <c r="J251" s="57" t="s">
        <v>252</v>
      </c>
      <c r="K251" s="86">
        <f t="shared" si="47"/>
        <v>44267</v>
      </c>
      <c r="L251" s="128">
        <f t="shared" si="48"/>
        <v>190.00000008000001</v>
      </c>
      <c r="M251" s="128">
        <f t="shared" si="49"/>
        <v>65.000000080000007</v>
      </c>
      <c r="N251" s="128">
        <f t="shared" si="50"/>
        <v>194</v>
      </c>
      <c r="O251" s="128">
        <f t="shared" si="51"/>
        <v>113</v>
      </c>
      <c r="P251" s="128">
        <f t="shared" si="52"/>
        <v>188</v>
      </c>
      <c r="Q251" s="128">
        <f t="shared" si="53"/>
        <v>205</v>
      </c>
      <c r="R251" s="128">
        <f t="shared" si="54"/>
        <v>11</v>
      </c>
      <c r="S251" s="1">
        <f t="shared" si="59"/>
        <v>1</v>
      </c>
      <c r="T251" s="128">
        <f t="shared" si="57"/>
        <v>-3.9999999199999934</v>
      </c>
      <c r="U251" s="128">
        <f t="shared" si="46"/>
        <v>955.00000016000001</v>
      </c>
      <c r="W251" s="128">
        <f t="shared" si="55"/>
        <v>205</v>
      </c>
      <c r="X251" s="128">
        <f t="shared" si="56"/>
        <v>178.00000008000001</v>
      </c>
    </row>
    <row r="252" spans="1:28">
      <c r="A252" s="22">
        <f>'Stats 2020'!D96</f>
        <v>44274</v>
      </c>
      <c r="B252" s="130">
        <f>'Stats 2020'!E96</f>
        <v>1</v>
      </c>
      <c r="C252" s="130">
        <v>0</v>
      </c>
      <c r="D252" s="130">
        <f>'Stats 2020'!G96</f>
        <v>1</v>
      </c>
      <c r="E252" s="130">
        <f>'Stats 2020'!H96</f>
        <v>1</v>
      </c>
      <c r="F252" s="130">
        <f>'Stats 2020'!I96</f>
        <v>1</v>
      </c>
      <c r="G252" s="130">
        <f>'Stats 2020'!J96</f>
        <v>1</v>
      </c>
      <c r="J252" s="57" t="s">
        <v>253</v>
      </c>
      <c r="K252" s="86">
        <f t="shared" si="47"/>
        <v>44274</v>
      </c>
      <c r="L252" s="128">
        <f t="shared" si="48"/>
        <v>191.00000008000001</v>
      </c>
      <c r="M252" s="128">
        <f t="shared" si="49"/>
        <v>65.000000080000007</v>
      </c>
      <c r="N252" s="128">
        <f t="shared" si="50"/>
        <v>195</v>
      </c>
      <c r="O252" s="128">
        <f t="shared" si="51"/>
        <v>114</v>
      </c>
      <c r="P252" s="128">
        <f t="shared" si="52"/>
        <v>189</v>
      </c>
      <c r="Q252" s="128">
        <f t="shared" si="53"/>
        <v>206</v>
      </c>
      <c r="R252" s="128">
        <f t="shared" si="54"/>
        <v>11</v>
      </c>
      <c r="S252" s="1">
        <f t="shared" si="59"/>
        <v>1</v>
      </c>
      <c r="T252" s="128">
        <f t="shared" si="57"/>
        <v>-3.9999999199999934</v>
      </c>
      <c r="U252" s="128">
        <f t="shared" si="46"/>
        <v>960.00000016000001</v>
      </c>
      <c r="W252" s="128">
        <f t="shared" si="55"/>
        <v>206</v>
      </c>
      <c r="X252" s="128">
        <f t="shared" si="56"/>
        <v>179.00000008000001</v>
      </c>
    </row>
    <row r="253" spans="1:28">
      <c r="A253" s="22">
        <f>'Stats 2020'!D97</f>
        <v>44281</v>
      </c>
      <c r="B253" s="130">
        <f>'Stats 2020'!E97</f>
        <v>1</v>
      </c>
      <c r="C253" s="130">
        <f>'Stats 2020'!F97</f>
        <v>1</v>
      </c>
      <c r="D253" s="130">
        <f>'Stats 2020'!G97</f>
        <v>1</v>
      </c>
      <c r="E253" s="130">
        <v>0</v>
      </c>
      <c r="F253" s="130">
        <f>'Stats 2020'!I97</f>
        <v>1</v>
      </c>
      <c r="G253" s="130">
        <f>'Stats 2020'!J97</f>
        <v>0</v>
      </c>
      <c r="K253" s="86">
        <f t="shared" si="47"/>
        <v>44281</v>
      </c>
      <c r="L253" s="128">
        <f t="shared" si="48"/>
        <v>192.00000008000001</v>
      </c>
      <c r="M253" s="128">
        <f t="shared" si="49"/>
        <v>66.000000080000007</v>
      </c>
      <c r="N253" s="128">
        <f t="shared" si="50"/>
        <v>196</v>
      </c>
      <c r="O253" s="128">
        <f t="shared" si="51"/>
        <v>114</v>
      </c>
      <c r="P253" s="128">
        <f t="shared" si="52"/>
        <v>190</v>
      </c>
      <c r="Q253" s="128">
        <f t="shared" si="53"/>
        <v>206</v>
      </c>
      <c r="R253" s="128">
        <f t="shared" si="54"/>
        <v>10</v>
      </c>
      <c r="S253" s="1">
        <f t="shared" si="59"/>
        <v>1</v>
      </c>
      <c r="T253" s="128">
        <f t="shared" si="57"/>
        <v>-3.9999999199999934</v>
      </c>
      <c r="U253" s="128">
        <f t="shared" si="46"/>
        <v>964.00000016000001</v>
      </c>
      <c r="W253" s="128">
        <f t="shared" si="55"/>
        <v>206</v>
      </c>
      <c r="X253" s="128">
        <f t="shared" si="56"/>
        <v>180.00000008000001</v>
      </c>
    </row>
    <row r="254" spans="1:28">
      <c r="A254" s="22">
        <f>'Stats 2020'!D98</f>
        <v>44295</v>
      </c>
      <c r="B254" s="130">
        <f>'Stats 2020'!E98</f>
        <v>1</v>
      </c>
      <c r="C254" s="130">
        <f>'Stats 2020'!F98</f>
        <v>1</v>
      </c>
      <c r="D254" s="130">
        <f>'Stats 2020'!G98</f>
        <v>1</v>
      </c>
      <c r="E254" s="130">
        <f>'Stats 2020'!H98</f>
        <v>1</v>
      </c>
      <c r="F254" s="130">
        <f>'Stats 2020'!I98</f>
        <v>1</v>
      </c>
      <c r="G254" s="130">
        <f>'Stats 2020'!J98</f>
        <v>1</v>
      </c>
      <c r="J254" s="57" t="s">
        <v>254</v>
      </c>
      <c r="K254" s="86">
        <f t="shared" si="47"/>
        <v>44295</v>
      </c>
      <c r="L254" s="128">
        <f t="shared" si="48"/>
        <v>193.00000008000001</v>
      </c>
      <c r="M254" s="128">
        <f t="shared" si="49"/>
        <v>67.000000080000007</v>
      </c>
      <c r="N254" s="128">
        <f t="shared" si="50"/>
        <v>197</v>
      </c>
      <c r="O254" s="128">
        <f t="shared" si="51"/>
        <v>115</v>
      </c>
      <c r="P254" s="128">
        <f t="shared" si="52"/>
        <v>191</v>
      </c>
      <c r="Q254" s="128">
        <f t="shared" si="53"/>
        <v>207</v>
      </c>
      <c r="R254" s="128">
        <f t="shared" si="54"/>
        <v>10</v>
      </c>
      <c r="S254" s="1">
        <f t="shared" si="59"/>
        <v>1</v>
      </c>
      <c r="T254" s="128">
        <f t="shared" si="57"/>
        <v>-3.9999999199999934</v>
      </c>
      <c r="U254" s="128">
        <f t="shared" si="46"/>
        <v>970.00000016000001</v>
      </c>
      <c r="W254" s="128">
        <f t="shared" si="55"/>
        <v>207</v>
      </c>
      <c r="X254" s="128">
        <f t="shared" si="56"/>
        <v>182.00000008000001</v>
      </c>
    </row>
    <row r="255" spans="1:28">
      <c r="A255" s="22">
        <f>'Stats 2020'!D99</f>
        <v>44302</v>
      </c>
      <c r="B255" s="130">
        <f>'Stats 2020'!E99</f>
        <v>1</v>
      </c>
      <c r="C255" s="130">
        <f>'Stats 2020'!F99</f>
        <v>1</v>
      </c>
      <c r="D255" s="130">
        <f>'Stats 2020'!G99</f>
        <v>1</v>
      </c>
      <c r="E255" s="130">
        <f>'Stats 2020'!H99</f>
        <v>1</v>
      </c>
      <c r="F255" s="130">
        <f>'Stats 2020'!I99</f>
        <v>1</v>
      </c>
      <c r="G255" s="130">
        <f>'Stats 2020'!J99</f>
        <v>1</v>
      </c>
      <c r="J255" s="57" t="s">
        <v>255</v>
      </c>
      <c r="K255" s="86">
        <f t="shared" si="47"/>
        <v>44302</v>
      </c>
      <c r="L255" s="128">
        <f t="shared" si="48"/>
        <v>194.00000008000001</v>
      </c>
      <c r="M255" s="128">
        <f t="shared" si="49"/>
        <v>68.000000080000007</v>
      </c>
      <c r="N255" s="128">
        <f t="shared" si="50"/>
        <v>198</v>
      </c>
      <c r="O255" s="128">
        <f t="shared" si="51"/>
        <v>116</v>
      </c>
      <c r="P255" s="128">
        <f t="shared" si="52"/>
        <v>192</v>
      </c>
      <c r="Q255" s="128">
        <f t="shared" si="53"/>
        <v>208</v>
      </c>
      <c r="R255" s="128">
        <f t="shared" si="54"/>
        <v>10</v>
      </c>
      <c r="S255" s="1">
        <f t="shared" si="59"/>
        <v>1</v>
      </c>
      <c r="T255" s="128">
        <f t="shared" si="57"/>
        <v>-3.9999999199999934</v>
      </c>
      <c r="U255" s="128">
        <f t="shared" si="46"/>
        <v>976.00000016000001</v>
      </c>
      <c r="W255" s="128">
        <f t="shared" si="55"/>
        <v>208</v>
      </c>
      <c r="X255" s="128">
        <f t="shared" si="56"/>
        <v>184.00000008000001</v>
      </c>
    </row>
    <row r="256" spans="1:28">
      <c r="A256" s="22">
        <f>'Stats 2020'!D100</f>
        <v>44309</v>
      </c>
      <c r="B256" s="130">
        <f>'Stats 2020'!E100</f>
        <v>1</v>
      </c>
      <c r="C256" s="130">
        <f>'Stats 2020'!F100</f>
        <v>1</v>
      </c>
      <c r="D256" s="130">
        <f>'Stats 2020'!G100</f>
        <v>1</v>
      </c>
      <c r="E256" s="130">
        <v>0</v>
      </c>
      <c r="F256" s="130">
        <f>'Stats 2020'!I100</f>
        <v>1</v>
      </c>
      <c r="G256" s="130">
        <f>'Stats 2020'!J100</f>
        <v>1</v>
      </c>
      <c r="J256" s="57" t="s">
        <v>256</v>
      </c>
      <c r="K256" s="86">
        <f t="shared" si="47"/>
        <v>44309</v>
      </c>
      <c r="L256" s="128">
        <f t="shared" si="48"/>
        <v>195.00000008000001</v>
      </c>
      <c r="M256" s="128">
        <f t="shared" si="49"/>
        <v>69.000000080000007</v>
      </c>
      <c r="N256" s="128">
        <f t="shared" si="50"/>
        <v>199</v>
      </c>
      <c r="O256" s="128">
        <f t="shared" si="51"/>
        <v>116</v>
      </c>
      <c r="P256" s="128">
        <f t="shared" si="52"/>
        <v>193</v>
      </c>
      <c r="Q256" s="128">
        <f t="shared" si="53"/>
        <v>209</v>
      </c>
      <c r="R256" s="128">
        <f t="shared" si="54"/>
        <v>10</v>
      </c>
      <c r="S256" s="1">
        <f t="shared" si="59"/>
        <v>1</v>
      </c>
      <c r="T256" s="128">
        <f t="shared" si="57"/>
        <v>-3.9999999199999934</v>
      </c>
      <c r="U256" s="128">
        <f t="shared" si="46"/>
        <v>981.00000016000001</v>
      </c>
      <c r="W256" s="128">
        <f t="shared" si="55"/>
        <v>209</v>
      </c>
      <c r="X256" s="128">
        <f t="shared" si="56"/>
        <v>185.00000008000001</v>
      </c>
    </row>
    <row r="257" spans="1:24">
      <c r="A257" s="22">
        <f>'Stats 2020'!D101</f>
        <v>44316</v>
      </c>
      <c r="B257" s="130">
        <f>'Stats 2020'!E101</f>
        <v>1</v>
      </c>
      <c r="C257" s="130">
        <f>'Stats 2020'!F101</f>
        <v>1</v>
      </c>
      <c r="D257" s="130">
        <f>'Stats 2020'!G101</f>
        <v>0</v>
      </c>
      <c r="E257" s="130">
        <v>0</v>
      </c>
      <c r="F257" s="130">
        <f>'Stats 2020'!I101</f>
        <v>1</v>
      </c>
      <c r="G257" s="130">
        <f>'Stats 2020'!J101</f>
        <v>1</v>
      </c>
      <c r="J257" s="57" t="s">
        <v>257</v>
      </c>
      <c r="K257" s="86">
        <f t="shared" si="47"/>
        <v>44316</v>
      </c>
      <c r="L257" s="128">
        <f t="shared" si="48"/>
        <v>196.00000008000001</v>
      </c>
      <c r="M257" s="128">
        <f t="shared" si="49"/>
        <v>70.000000080000007</v>
      </c>
      <c r="N257" s="128">
        <f t="shared" si="50"/>
        <v>199</v>
      </c>
      <c r="O257" s="128">
        <f t="shared" si="51"/>
        <v>116</v>
      </c>
      <c r="P257" s="128">
        <f t="shared" si="52"/>
        <v>194</v>
      </c>
      <c r="Q257" s="128">
        <f t="shared" si="53"/>
        <v>210</v>
      </c>
      <c r="R257" s="128">
        <f t="shared" si="54"/>
        <v>11</v>
      </c>
      <c r="S257" s="1">
        <f t="shared" si="59"/>
        <v>1</v>
      </c>
      <c r="T257" s="128">
        <f t="shared" si="57"/>
        <v>-2.9999999199999934</v>
      </c>
      <c r="U257" s="128">
        <f t="shared" si="46"/>
        <v>985.00000016000001</v>
      </c>
      <c r="W257" s="128">
        <f t="shared" si="55"/>
        <v>210</v>
      </c>
      <c r="X257" s="128">
        <f t="shared" si="56"/>
        <v>186.00000008000001</v>
      </c>
    </row>
    <row r="258" spans="1:24">
      <c r="A258" s="22">
        <f>'Stats 2020'!D102</f>
        <v>44323</v>
      </c>
      <c r="B258" s="130">
        <f>'Stats 2020'!E102</f>
        <v>1</v>
      </c>
      <c r="C258" s="130">
        <f>'Stats 2020'!F102</f>
        <v>1</v>
      </c>
      <c r="D258" s="130">
        <f>'Stats 2020'!G102</f>
        <v>1</v>
      </c>
      <c r="E258" s="130">
        <v>0</v>
      </c>
      <c r="F258" s="130">
        <f>'Stats 2020'!I102</f>
        <v>0</v>
      </c>
      <c r="G258" s="130">
        <f>'Stats 2020'!J102</f>
        <v>1</v>
      </c>
      <c r="J258" s="57" t="s">
        <v>258</v>
      </c>
      <c r="K258" s="86">
        <f t="shared" si="47"/>
        <v>44323</v>
      </c>
      <c r="L258" s="128">
        <f t="shared" si="48"/>
        <v>197.00000008000001</v>
      </c>
      <c r="M258" s="128">
        <f t="shared" si="49"/>
        <v>71.000000080000007</v>
      </c>
      <c r="N258" s="147">
        <f t="shared" si="50"/>
        <v>200</v>
      </c>
      <c r="O258" s="128">
        <f t="shared" si="51"/>
        <v>116</v>
      </c>
      <c r="P258" s="128">
        <f t="shared" si="52"/>
        <v>194</v>
      </c>
      <c r="Q258" s="128">
        <f t="shared" si="53"/>
        <v>211</v>
      </c>
      <c r="R258" s="128">
        <f t="shared" si="54"/>
        <v>11</v>
      </c>
      <c r="S258" s="1">
        <f t="shared" si="59"/>
        <v>1</v>
      </c>
      <c r="T258" s="128">
        <f t="shared" si="57"/>
        <v>-2.9999999199999934</v>
      </c>
      <c r="U258" s="128">
        <f t="shared" ref="U258:U277" si="60">SUM(L258:Q258)</f>
        <v>989.00000016000001</v>
      </c>
      <c r="W258" s="128">
        <f t="shared" si="55"/>
        <v>211</v>
      </c>
      <c r="X258" s="128">
        <f t="shared" si="56"/>
        <v>187.00000008000001</v>
      </c>
    </row>
    <row r="259" spans="1:24">
      <c r="A259" s="22">
        <f>'Stats 2020'!D103</f>
        <v>44330</v>
      </c>
      <c r="B259" s="130">
        <f>'Stats 2020'!E103</f>
        <v>1</v>
      </c>
      <c r="C259" s="130">
        <f>'Stats 2020'!F103</f>
        <v>0</v>
      </c>
      <c r="D259" s="130">
        <f>'Stats 2020'!G103</f>
        <v>1</v>
      </c>
      <c r="E259" s="130">
        <v>0</v>
      </c>
      <c r="F259" s="130">
        <f>'Stats 2020'!I103</f>
        <v>1</v>
      </c>
      <c r="G259" s="130">
        <f>'Stats 2020'!J103</f>
        <v>1</v>
      </c>
      <c r="J259" s="57" t="s">
        <v>259</v>
      </c>
      <c r="K259" s="86">
        <f t="shared" ref="K259:K322" si="61">A259</f>
        <v>44330</v>
      </c>
      <c r="L259" s="128">
        <f t="shared" ref="L259:L322" si="62">B259+L258</f>
        <v>198.00000008000001</v>
      </c>
      <c r="M259" s="128">
        <f t="shared" ref="M259:M322" si="63">C259+M258</f>
        <v>71.000000080000007</v>
      </c>
      <c r="N259" s="128">
        <f t="shared" ref="N259:N322" si="64">D259+N258</f>
        <v>201</v>
      </c>
      <c r="O259" s="128">
        <f t="shared" ref="O259:O322" si="65">E259+O258</f>
        <v>116</v>
      </c>
      <c r="P259" s="128">
        <f t="shared" ref="P259:P322" si="66">F259+P258</f>
        <v>195</v>
      </c>
      <c r="Q259" s="128">
        <f t="shared" ref="Q259:Q322" si="67">G259+Q258</f>
        <v>212</v>
      </c>
      <c r="R259" s="128">
        <f t="shared" ref="R259:R297" si="68">Q259-MAX(L259:P259)</f>
        <v>11</v>
      </c>
      <c r="S259" s="1">
        <f t="shared" si="59"/>
        <v>1</v>
      </c>
      <c r="T259" s="128">
        <f t="shared" si="57"/>
        <v>-2.9999999199999934</v>
      </c>
      <c r="U259" s="128">
        <f t="shared" si="60"/>
        <v>993.00000016000001</v>
      </c>
      <c r="W259" s="128">
        <f t="shared" ref="W259:W322" si="69">Q259</f>
        <v>212</v>
      </c>
      <c r="X259" s="128">
        <f t="shared" ref="X259:X322" si="70">M259+O259</f>
        <v>187.00000008000001</v>
      </c>
    </row>
    <row r="260" spans="1:24">
      <c r="A260" s="22">
        <f>'Stats 2020'!D105</f>
        <v>44337</v>
      </c>
      <c r="B260" s="130">
        <f>'Stats 2020'!E105</f>
        <v>1</v>
      </c>
      <c r="C260" s="130">
        <f>'Stats 2020'!F105</f>
        <v>1</v>
      </c>
      <c r="D260" s="130">
        <f>'Stats 2020'!G105</f>
        <v>0</v>
      </c>
      <c r="E260" s="130">
        <f>'Stats 2020'!H105</f>
        <v>1</v>
      </c>
      <c r="F260" s="130">
        <f>'Stats 2020'!I105</f>
        <v>1</v>
      </c>
      <c r="G260" s="130">
        <f>'Stats 2020'!J105</f>
        <v>1</v>
      </c>
      <c r="J260" s="57" t="s">
        <v>260</v>
      </c>
      <c r="K260" s="86">
        <f t="shared" si="61"/>
        <v>44337</v>
      </c>
      <c r="L260" s="128">
        <f t="shared" si="62"/>
        <v>199.00000008000001</v>
      </c>
      <c r="M260" s="128">
        <f t="shared" si="63"/>
        <v>72.000000080000007</v>
      </c>
      <c r="N260" s="128">
        <f t="shared" si="64"/>
        <v>201</v>
      </c>
      <c r="O260" s="128">
        <f t="shared" si="65"/>
        <v>117</v>
      </c>
      <c r="P260" s="128">
        <f t="shared" si="66"/>
        <v>196</v>
      </c>
      <c r="Q260" s="128">
        <f t="shared" si="67"/>
        <v>213</v>
      </c>
      <c r="R260" s="128">
        <f t="shared" si="68"/>
        <v>12</v>
      </c>
      <c r="S260" s="1">
        <f t="shared" si="59"/>
        <v>1</v>
      </c>
      <c r="T260" s="128">
        <f t="shared" si="57"/>
        <v>-1.9999999199999934</v>
      </c>
      <c r="U260" s="128">
        <f t="shared" si="60"/>
        <v>998.00000016000001</v>
      </c>
      <c r="W260" s="128">
        <f t="shared" si="69"/>
        <v>213</v>
      </c>
      <c r="X260" s="128">
        <f t="shared" si="70"/>
        <v>189.00000008000001</v>
      </c>
    </row>
    <row r="261" spans="1:24">
      <c r="A261" s="22">
        <f>'Stats 2021'!D25</f>
        <v>44344</v>
      </c>
      <c r="B261" s="130">
        <f>'Stats 2021'!E25</f>
        <v>1</v>
      </c>
      <c r="C261" s="130">
        <f>'Stats 2021'!F25</f>
        <v>1</v>
      </c>
      <c r="D261" s="130">
        <f>'Stats 2021'!G25</f>
        <v>0</v>
      </c>
      <c r="E261" s="130">
        <f>'Stats 2021'!H25</f>
        <v>1</v>
      </c>
      <c r="F261" s="130">
        <f>'Stats 2021'!I25</f>
        <v>1</v>
      </c>
      <c r="G261" s="130">
        <f>'Stats 2021'!J25</f>
        <v>1</v>
      </c>
      <c r="J261" s="57" t="s">
        <v>261</v>
      </c>
      <c r="K261" s="86">
        <f t="shared" si="61"/>
        <v>44344</v>
      </c>
      <c r="L261" s="147">
        <f t="shared" si="62"/>
        <v>200.00000008000001</v>
      </c>
      <c r="M261" s="128">
        <f t="shared" si="63"/>
        <v>73.000000080000007</v>
      </c>
      <c r="N261" s="128">
        <f t="shared" si="64"/>
        <v>201</v>
      </c>
      <c r="O261" s="128">
        <f t="shared" si="65"/>
        <v>118</v>
      </c>
      <c r="P261" s="128">
        <f t="shared" si="66"/>
        <v>197</v>
      </c>
      <c r="Q261" s="128">
        <f t="shared" si="67"/>
        <v>214</v>
      </c>
      <c r="R261" s="128">
        <f t="shared" si="68"/>
        <v>13</v>
      </c>
      <c r="S261" s="1">
        <f t="shared" si="59"/>
        <v>1</v>
      </c>
      <c r="T261" s="128">
        <f t="shared" si="57"/>
        <v>-0.99999991999999338</v>
      </c>
      <c r="U261" s="128">
        <f t="shared" si="60"/>
        <v>1003.00000016</v>
      </c>
      <c r="W261" s="128">
        <f t="shared" si="69"/>
        <v>214</v>
      </c>
      <c r="X261" s="128">
        <f t="shared" si="70"/>
        <v>191.00000008000001</v>
      </c>
    </row>
    <row r="262" spans="1:24">
      <c r="A262" s="22">
        <f>'Stats 2021'!D26</f>
        <v>44351</v>
      </c>
      <c r="B262" s="130">
        <f>'Stats 2021'!E26</f>
        <v>1</v>
      </c>
      <c r="C262" s="130">
        <f>'Stats 2021'!F26</f>
        <v>1</v>
      </c>
      <c r="D262" s="130">
        <f>'Stats 2021'!G26</f>
        <v>1</v>
      </c>
      <c r="E262" s="130">
        <f>'Stats 2021'!H26</f>
        <v>0</v>
      </c>
      <c r="F262" s="130">
        <f>'Stats 2021'!I26</f>
        <v>0</v>
      </c>
      <c r="G262" s="130">
        <f>'Stats 2021'!J26</f>
        <v>1</v>
      </c>
      <c r="J262" s="57" t="s">
        <v>262</v>
      </c>
      <c r="K262" s="86">
        <f t="shared" si="61"/>
        <v>44351</v>
      </c>
      <c r="L262" s="128">
        <f t="shared" si="62"/>
        <v>201.00000008000001</v>
      </c>
      <c r="M262" s="128">
        <f t="shared" si="63"/>
        <v>74.000000080000007</v>
      </c>
      <c r="N262" s="128">
        <f t="shared" si="64"/>
        <v>202</v>
      </c>
      <c r="O262" s="128">
        <f t="shared" si="65"/>
        <v>118</v>
      </c>
      <c r="P262" s="128">
        <f t="shared" si="66"/>
        <v>197</v>
      </c>
      <c r="Q262" s="128">
        <f t="shared" si="67"/>
        <v>215</v>
      </c>
      <c r="R262" s="128">
        <f t="shared" si="68"/>
        <v>13</v>
      </c>
      <c r="S262" s="1">
        <f t="shared" si="59"/>
        <v>1</v>
      </c>
      <c r="T262" s="128">
        <f t="shared" si="57"/>
        <v>-0.99999991999999338</v>
      </c>
      <c r="U262" s="128">
        <f t="shared" si="60"/>
        <v>1007.00000016</v>
      </c>
      <c r="W262" s="128">
        <f t="shared" si="69"/>
        <v>215</v>
      </c>
      <c r="X262" s="128">
        <f t="shared" si="70"/>
        <v>192.00000008000001</v>
      </c>
    </row>
    <row r="263" spans="1:24">
      <c r="A263" s="22">
        <f>'Stats 2021'!D27</f>
        <v>44358</v>
      </c>
      <c r="B263" s="130">
        <f>'Stats 2021'!E27</f>
        <v>1</v>
      </c>
      <c r="C263" s="130">
        <f>'Stats 2021'!F27</f>
        <v>1</v>
      </c>
      <c r="D263" s="130">
        <f>'Stats 2021'!G27</f>
        <v>1</v>
      </c>
      <c r="E263" s="130">
        <f>'Stats 2021'!H27</f>
        <v>0</v>
      </c>
      <c r="F263" s="130">
        <f>'Stats 2021'!I27</f>
        <v>0</v>
      </c>
      <c r="G263" s="130">
        <f>'Stats 2021'!J27</f>
        <v>1</v>
      </c>
      <c r="J263" s="57" t="s">
        <v>263</v>
      </c>
      <c r="K263" s="86">
        <f t="shared" si="61"/>
        <v>44358</v>
      </c>
      <c r="L263" s="128">
        <f t="shared" si="62"/>
        <v>202.00000008000001</v>
      </c>
      <c r="M263" s="128">
        <f t="shared" si="63"/>
        <v>75.000000080000007</v>
      </c>
      <c r="N263" s="128">
        <f t="shared" si="64"/>
        <v>203</v>
      </c>
      <c r="O263" s="128">
        <f t="shared" si="65"/>
        <v>118</v>
      </c>
      <c r="P263" s="128">
        <f t="shared" si="66"/>
        <v>197</v>
      </c>
      <c r="Q263" s="128">
        <f t="shared" si="67"/>
        <v>216</v>
      </c>
      <c r="R263" s="128">
        <f t="shared" si="68"/>
        <v>13</v>
      </c>
      <c r="S263" s="1">
        <f t="shared" si="59"/>
        <v>1</v>
      </c>
      <c r="T263" s="128">
        <f t="shared" si="57"/>
        <v>-0.99999991999999338</v>
      </c>
      <c r="U263" s="128">
        <f t="shared" si="60"/>
        <v>1011.00000016</v>
      </c>
      <c r="W263" s="128">
        <f t="shared" si="69"/>
        <v>216</v>
      </c>
      <c r="X263" s="128">
        <f t="shared" si="70"/>
        <v>193.00000008000001</v>
      </c>
    </row>
    <row r="264" spans="1:24">
      <c r="A264" s="22">
        <f>'Stats 2021'!D28</f>
        <v>44365</v>
      </c>
      <c r="B264" s="130">
        <f>'Stats 2021'!E28</f>
        <v>0</v>
      </c>
      <c r="C264" s="130">
        <f>'Stats 2021'!F28</f>
        <v>1</v>
      </c>
      <c r="D264" s="130">
        <f>'Stats 2021'!G28</f>
        <v>1</v>
      </c>
      <c r="E264" s="130">
        <f>'Stats 2021'!H28</f>
        <v>1</v>
      </c>
      <c r="F264" s="130">
        <f>'Stats 2021'!I28</f>
        <v>1</v>
      </c>
      <c r="G264" s="130">
        <f>'Stats 2021'!J28</f>
        <v>1</v>
      </c>
      <c r="J264" s="57" t="s">
        <v>264</v>
      </c>
      <c r="K264" s="86">
        <f t="shared" si="61"/>
        <v>44365</v>
      </c>
      <c r="L264" s="128">
        <f t="shared" si="62"/>
        <v>202.00000008000001</v>
      </c>
      <c r="M264" s="128">
        <f t="shared" si="63"/>
        <v>76.000000080000007</v>
      </c>
      <c r="N264" s="128">
        <f t="shared" si="64"/>
        <v>204</v>
      </c>
      <c r="O264" s="128">
        <f t="shared" si="65"/>
        <v>119</v>
      </c>
      <c r="P264" s="128">
        <f t="shared" si="66"/>
        <v>198</v>
      </c>
      <c r="Q264" s="128">
        <f t="shared" si="67"/>
        <v>217</v>
      </c>
      <c r="R264" s="128">
        <f t="shared" si="68"/>
        <v>13</v>
      </c>
      <c r="S264" s="1">
        <f t="shared" si="59"/>
        <v>1</v>
      </c>
      <c r="T264" s="128">
        <f t="shared" si="57"/>
        <v>-1.9999999199999934</v>
      </c>
      <c r="U264" s="128">
        <f t="shared" si="60"/>
        <v>1016.00000016</v>
      </c>
      <c r="W264" s="128">
        <f t="shared" si="69"/>
        <v>217</v>
      </c>
      <c r="X264" s="128">
        <f t="shared" si="70"/>
        <v>195.00000008000001</v>
      </c>
    </row>
    <row r="265" spans="1:24">
      <c r="A265" s="22">
        <f>'Stats 2021'!D29</f>
        <v>44372</v>
      </c>
      <c r="B265" s="130">
        <f>'Stats 2021'!E29</f>
        <v>1</v>
      </c>
      <c r="C265" s="130">
        <f>'Stats 2021'!F29</f>
        <v>0</v>
      </c>
      <c r="D265" s="130">
        <f>'Stats 2021'!G29</f>
        <v>1</v>
      </c>
      <c r="E265" s="130">
        <f>'Stats 2021'!H29</f>
        <v>0</v>
      </c>
      <c r="F265" s="130">
        <f>'Stats 2021'!I29</f>
        <v>1</v>
      </c>
      <c r="G265" s="130">
        <f>'Stats 2021'!J29</f>
        <v>1</v>
      </c>
      <c r="J265" s="57" t="s">
        <v>265</v>
      </c>
      <c r="K265" s="86">
        <f t="shared" si="61"/>
        <v>44372</v>
      </c>
      <c r="L265" s="128">
        <f t="shared" si="62"/>
        <v>203.00000008000001</v>
      </c>
      <c r="M265" s="128">
        <f t="shared" si="63"/>
        <v>76.000000080000007</v>
      </c>
      <c r="N265" s="128">
        <f t="shared" si="64"/>
        <v>205</v>
      </c>
      <c r="O265" s="128">
        <f t="shared" si="65"/>
        <v>119</v>
      </c>
      <c r="P265" s="128">
        <f t="shared" si="66"/>
        <v>199</v>
      </c>
      <c r="Q265" s="128">
        <f t="shared" si="67"/>
        <v>218</v>
      </c>
      <c r="R265" s="128">
        <f t="shared" si="68"/>
        <v>13</v>
      </c>
      <c r="S265" s="1">
        <f t="shared" si="59"/>
        <v>1</v>
      </c>
      <c r="T265" s="128">
        <f t="shared" si="57"/>
        <v>-1.9999999199999934</v>
      </c>
      <c r="U265" s="128">
        <f t="shared" si="60"/>
        <v>1020.00000016</v>
      </c>
      <c r="W265" s="128">
        <f t="shared" si="69"/>
        <v>218</v>
      </c>
      <c r="X265" s="128">
        <f t="shared" si="70"/>
        <v>195.00000008000001</v>
      </c>
    </row>
    <row r="266" spans="1:24">
      <c r="A266" s="22">
        <f>'Stats 2021'!D31</f>
        <v>44379</v>
      </c>
      <c r="B266" s="130">
        <f>'Stats 2021'!E31</f>
        <v>1</v>
      </c>
      <c r="C266" s="130">
        <f>'Stats 2021'!F31</f>
        <v>0</v>
      </c>
      <c r="D266" s="130">
        <f>'Stats 2021'!G31</f>
        <v>0</v>
      </c>
      <c r="E266" s="130">
        <f>'Stats 2021'!H31</f>
        <v>0</v>
      </c>
      <c r="F266" s="130">
        <f>'Stats 2021'!I31</f>
        <v>0</v>
      </c>
      <c r="G266" s="130">
        <f>'Stats 2021'!J31</f>
        <v>1</v>
      </c>
      <c r="J266" s="57" t="s">
        <v>266</v>
      </c>
      <c r="K266" s="86">
        <f t="shared" si="61"/>
        <v>44379</v>
      </c>
      <c r="L266" s="128">
        <f t="shared" si="62"/>
        <v>204.00000008000001</v>
      </c>
      <c r="M266" s="128">
        <f t="shared" si="63"/>
        <v>76.000000080000007</v>
      </c>
      <c r="N266" s="128">
        <f t="shared" si="64"/>
        <v>205</v>
      </c>
      <c r="O266" s="128">
        <f t="shared" si="65"/>
        <v>119</v>
      </c>
      <c r="P266" s="128">
        <f t="shared" si="66"/>
        <v>199</v>
      </c>
      <c r="Q266" s="128">
        <f t="shared" si="67"/>
        <v>219</v>
      </c>
      <c r="R266" s="128">
        <f t="shared" si="68"/>
        <v>14</v>
      </c>
      <c r="S266" s="1">
        <f t="shared" ref="S266" si="71">IF(Q266&gt;L266,1,0)</f>
        <v>1</v>
      </c>
      <c r="T266" s="128">
        <f t="shared" si="57"/>
        <v>-0.99999991999999338</v>
      </c>
      <c r="U266" s="128">
        <f t="shared" si="60"/>
        <v>1022.00000016</v>
      </c>
      <c r="W266" s="128">
        <f t="shared" si="69"/>
        <v>219</v>
      </c>
      <c r="X266" s="128">
        <f t="shared" si="70"/>
        <v>195.00000008000001</v>
      </c>
    </row>
    <row r="267" spans="1:24">
      <c r="A267" s="22">
        <f>'Stats 2021'!D32</f>
        <v>44386</v>
      </c>
      <c r="B267" s="130">
        <f>'Stats 2021'!E32</f>
        <v>0</v>
      </c>
      <c r="C267" s="130">
        <f>'Stats 2021'!F32</f>
        <v>1</v>
      </c>
      <c r="D267" s="130">
        <f>'Stats 2021'!G32</f>
        <v>1</v>
      </c>
      <c r="E267" s="130">
        <f>'Stats 2021'!H32</f>
        <v>0</v>
      </c>
      <c r="F267" s="130">
        <f>'Stats 2021'!I32</f>
        <v>1</v>
      </c>
      <c r="G267" s="130">
        <f>'Stats 2021'!J32</f>
        <v>1</v>
      </c>
      <c r="J267" s="57" t="s">
        <v>267</v>
      </c>
      <c r="K267" s="86">
        <f t="shared" si="61"/>
        <v>44386</v>
      </c>
      <c r="L267" s="128">
        <f t="shared" si="62"/>
        <v>204.00000008000001</v>
      </c>
      <c r="M267" s="128">
        <f t="shared" si="63"/>
        <v>77.000000080000007</v>
      </c>
      <c r="N267" s="128">
        <f t="shared" si="64"/>
        <v>206</v>
      </c>
      <c r="O267" s="128">
        <f t="shared" si="65"/>
        <v>119</v>
      </c>
      <c r="P267" s="147">
        <f t="shared" si="66"/>
        <v>200</v>
      </c>
      <c r="Q267" s="128">
        <f t="shared" si="67"/>
        <v>220</v>
      </c>
      <c r="R267" s="128">
        <f t="shared" si="68"/>
        <v>14</v>
      </c>
      <c r="S267" s="1">
        <f t="shared" ref="S267" si="72">IF(Q267&gt;L267,1,0)</f>
        <v>1</v>
      </c>
      <c r="T267" s="128">
        <f t="shared" si="57"/>
        <v>-1.9999999199999934</v>
      </c>
      <c r="U267" s="128">
        <f t="shared" si="60"/>
        <v>1026.0000001600001</v>
      </c>
      <c r="W267" s="128">
        <f t="shared" si="69"/>
        <v>220</v>
      </c>
      <c r="X267" s="128">
        <f t="shared" si="70"/>
        <v>196.00000008000001</v>
      </c>
    </row>
    <row r="268" spans="1:24">
      <c r="A268" s="22">
        <f>'Stats 2021'!D33</f>
        <v>44393</v>
      </c>
      <c r="B268" s="130">
        <f>'Stats 2021'!E33</f>
        <v>1</v>
      </c>
      <c r="C268" s="130">
        <f>'Stats 2021'!F33</f>
        <v>0</v>
      </c>
      <c r="D268" s="130">
        <f>'Stats 2021'!G33</f>
        <v>0</v>
      </c>
      <c r="E268" s="130">
        <f>'Stats 2021'!H33</f>
        <v>0</v>
      </c>
      <c r="F268" s="130">
        <f>'Stats 2021'!I33</f>
        <v>1</v>
      </c>
      <c r="G268" s="130">
        <f>'Stats 2021'!J33</f>
        <v>1</v>
      </c>
      <c r="J268" s="57" t="s">
        <v>269</v>
      </c>
      <c r="K268" s="86">
        <f t="shared" si="61"/>
        <v>44393</v>
      </c>
      <c r="L268" s="128">
        <f t="shared" si="62"/>
        <v>205.00000008000001</v>
      </c>
      <c r="M268" s="128">
        <f t="shared" si="63"/>
        <v>77.000000080000007</v>
      </c>
      <c r="N268" s="128">
        <f t="shared" si="64"/>
        <v>206</v>
      </c>
      <c r="O268" s="128">
        <f t="shared" si="65"/>
        <v>119</v>
      </c>
      <c r="P268" s="128">
        <f t="shared" si="66"/>
        <v>201</v>
      </c>
      <c r="Q268" s="128">
        <f t="shared" si="67"/>
        <v>221</v>
      </c>
      <c r="R268" s="128">
        <f t="shared" si="68"/>
        <v>15</v>
      </c>
      <c r="S268" s="1">
        <f t="shared" ref="S268:S270" si="73">IF(Q268&gt;L268,1,0)</f>
        <v>1</v>
      </c>
      <c r="T268" s="128">
        <f t="shared" si="57"/>
        <v>-0.99999991999999338</v>
      </c>
      <c r="U268" s="128">
        <f t="shared" si="60"/>
        <v>1029.0000001600001</v>
      </c>
      <c r="W268" s="128">
        <f t="shared" si="69"/>
        <v>221</v>
      </c>
      <c r="X268" s="128">
        <f t="shared" si="70"/>
        <v>196.00000008000001</v>
      </c>
    </row>
    <row r="269" spans="1:24">
      <c r="A269" s="22">
        <f>'Stats 2021'!D34</f>
        <v>44400</v>
      </c>
      <c r="B269" s="130">
        <f>'Stats 2021'!E34</f>
        <v>1</v>
      </c>
      <c r="C269" s="130">
        <f>'Stats 2021'!F34</f>
        <v>1</v>
      </c>
      <c r="D269" s="130">
        <f>'Stats 2021'!G34</f>
        <v>0</v>
      </c>
      <c r="E269" s="130">
        <f>'Stats 2021'!H34</f>
        <v>0</v>
      </c>
      <c r="F269" s="130">
        <f>'Stats 2021'!I34</f>
        <v>1</v>
      </c>
      <c r="G269" s="130">
        <f>'Stats 2021'!J34</f>
        <v>0</v>
      </c>
      <c r="J269" s="57" t="s">
        <v>268</v>
      </c>
      <c r="K269" s="86">
        <f t="shared" si="61"/>
        <v>44400</v>
      </c>
      <c r="L269" s="128">
        <f t="shared" si="62"/>
        <v>206.00000008000001</v>
      </c>
      <c r="M269" s="128">
        <f t="shared" si="63"/>
        <v>78.000000080000007</v>
      </c>
      <c r="N269" s="128">
        <f t="shared" si="64"/>
        <v>206</v>
      </c>
      <c r="O269" s="128">
        <f t="shared" si="65"/>
        <v>119</v>
      </c>
      <c r="P269" s="128">
        <f t="shared" si="66"/>
        <v>202</v>
      </c>
      <c r="Q269" s="128">
        <f t="shared" si="67"/>
        <v>221</v>
      </c>
      <c r="R269" s="128">
        <f t="shared" si="68"/>
        <v>14.999999919999993</v>
      </c>
      <c r="S269" s="1">
        <f t="shared" si="73"/>
        <v>1</v>
      </c>
      <c r="T269" s="128">
        <f t="shared" si="57"/>
        <v>8.000000661922968E-8</v>
      </c>
      <c r="U269" s="128">
        <f t="shared" si="60"/>
        <v>1032.0000001600001</v>
      </c>
      <c r="W269" s="128">
        <f t="shared" si="69"/>
        <v>221</v>
      </c>
      <c r="X269" s="128">
        <f t="shared" si="70"/>
        <v>197.00000008000001</v>
      </c>
    </row>
    <row r="270" spans="1:24">
      <c r="A270" s="22">
        <f>'Stats 2021'!D35</f>
        <v>44407</v>
      </c>
      <c r="B270" s="130">
        <f>'Stats 2021'!E35</f>
        <v>0</v>
      </c>
      <c r="C270" s="130">
        <f>'Stats 2021'!F35</f>
        <v>1</v>
      </c>
      <c r="D270" s="130">
        <f>'Stats 2021'!G35</f>
        <v>1</v>
      </c>
      <c r="E270" s="130">
        <f>'Stats 2021'!H35</f>
        <v>1</v>
      </c>
      <c r="F270" s="130">
        <f>'Stats 2021'!I35</f>
        <v>1</v>
      </c>
      <c r="G270" s="130">
        <f>'Stats 2021'!J35</f>
        <v>1</v>
      </c>
      <c r="J270" s="57" t="s">
        <v>270</v>
      </c>
      <c r="K270" s="86">
        <f t="shared" si="61"/>
        <v>44407</v>
      </c>
      <c r="L270" s="128">
        <f t="shared" si="62"/>
        <v>206.00000008000001</v>
      </c>
      <c r="M270" s="128">
        <f t="shared" si="63"/>
        <v>79.000000080000007</v>
      </c>
      <c r="N270" s="128">
        <f t="shared" si="64"/>
        <v>207</v>
      </c>
      <c r="O270" s="128">
        <f t="shared" si="65"/>
        <v>120</v>
      </c>
      <c r="P270" s="128">
        <f t="shared" si="66"/>
        <v>203</v>
      </c>
      <c r="Q270" s="128">
        <f t="shared" si="67"/>
        <v>222</v>
      </c>
      <c r="R270" s="128">
        <f t="shared" si="68"/>
        <v>15</v>
      </c>
      <c r="S270" s="1">
        <f t="shared" si="73"/>
        <v>1</v>
      </c>
      <c r="T270" s="128">
        <f t="shared" si="57"/>
        <v>-0.99999991999999338</v>
      </c>
      <c r="U270" s="128">
        <f t="shared" si="60"/>
        <v>1037.0000001600001</v>
      </c>
      <c r="W270" s="128">
        <f t="shared" si="69"/>
        <v>222</v>
      </c>
      <c r="X270" s="128">
        <f t="shared" si="70"/>
        <v>199.00000008000001</v>
      </c>
    </row>
    <row r="271" spans="1:24">
      <c r="A271" s="22">
        <f>'Stats 2021'!D37</f>
        <v>44414</v>
      </c>
      <c r="B271" s="130">
        <f>'Stats 2021'!E37</f>
        <v>0</v>
      </c>
      <c r="C271" s="130">
        <f>'Stats 2021'!F37</f>
        <v>1</v>
      </c>
      <c r="D271" s="130">
        <f>'Stats 2021'!G37</f>
        <v>1</v>
      </c>
      <c r="E271" s="130">
        <f>'Stats 2021'!H37</f>
        <v>1</v>
      </c>
      <c r="F271" s="130">
        <f>'Stats 2021'!I37</f>
        <v>1</v>
      </c>
      <c r="G271" s="130">
        <f>'Stats 2021'!J37</f>
        <v>1</v>
      </c>
      <c r="J271" s="57" t="s">
        <v>271</v>
      </c>
      <c r="K271" s="86">
        <f t="shared" si="61"/>
        <v>44414</v>
      </c>
      <c r="L271" s="128">
        <f t="shared" si="62"/>
        <v>206.00000008000001</v>
      </c>
      <c r="M271" s="128">
        <f t="shared" si="63"/>
        <v>80.000000080000007</v>
      </c>
      <c r="N271" s="128">
        <f t="shared" si="64"/>
        <v>208</v>
      </c>
      <c r="O271" s="128">
        <f t="shared" si="65"/>
        <v>121</v>
      </c>
      <c r="P271" s="128">
        <f t="shared" si="66"/>
        <v>204</v>
      </c>
      <c r="Q271" s="128">
        <f t="shared" si="67"/>
        <v>223</v>
      </c>
      <c r="R271" s="128">
        <f t="shared" si="68"/>
        <v>15</v>
      </c>
      <c r="S271" s="1">
        <f t="shared" ref="S271" si="74">IF(Q271&gt;L271,1,0)</f>
        <v>1</v>
      </c>
      <c r="T271" s="128">
        <f t="shared" si="57"/>
        <v>-1.9999999199999934</v>
      </c>
      <c r="U271" s="128">
        <f t="shared" si="60"/>
        <v>1042.0000001600001</v>
      </c>
      <c r="W271" s="128">
        <f t="shared" si="69"/>
        <v>223</v>
      </c>
      <c r="X271" s="128">
        <f t="shared" si="70"/>
        <v>201.00000008000001</v>
      </c>
    </row>
    <row r="272" spans="1:24">
      <c r="A272" s="22">
        <f>'Stats 2021'!D38</f>
        <v>44421</v>
      </c>
      <c r="B272" s="130">
        <f>'Stats 2021'!E38</f>
        <v>1</v>
      </c>
      <c r="C272" s="130">
        <f>'Stats 2021'!F38</f>
        <v>1</v>
      </c>
      <c r="D272" s="130">
        <f>'Stats 2021'!G38</f>
        <v>1</v>
      </c>
      <c r="E272" s="130">
        <f>'Stats 2021'!H38</f>
        <v>1</v>
      </c>
      <c r="F272" s="130">
        <f>'Stats 2021'!I38</f>
        <v>0</v>
      </c>
      <c r="G272" s="130">
        <f>'Stats 2021'!J38</f>
        <v>1</v>
      </c>
      <c r="J272" s="57" t="s">
        <v>272</v>
      </c>
      <c r="K272" s="86">
        <f t="shared" si="61"/>
        <v>44421</v>
      </c>
      <c r="L272" s="128">
        <f t="shared" si="62"/>
        <v>207.00000008000001</v>
      </c>
      <c r="M272" s="128">
        <f t="shared" si="63"/>
        <v>81.000000080000007</v>
      </c>
      <c r="N272" s="128">
        <f t="shared" si="64"/>
        <v>209</v>
      </c>
      <c r="O272" s="128">
        <f t="shared" si="65"/>
        <v>122</v>
      </c>
      <c r="P272" s="128">
        <f t="shared" si="66"/>
        <v>204</v>
      </c>
      <c r="Q272" s="128">
        <f t="shared" si="67"/>
        <v>224</v>
      </c>
      <c r="R272" s="128">
        <f t="shared" si="68"/>
        <v>15</v>
      </c>
      <c r="S272" s="1">
        <f t="shared" ref="S272" si="75">IF(Q272&gt;L272,1,0)</f>
        <v>1</v>
      </c>
      <c r="T272" s="128">
        <f t="shared" si="57"/>
        <v>-1.9999999199999934</v>
      </c>
      <c r="U272" s="128">
        <f t="shared" si="60"/>
        <v>1047.0000001600001</v>
      </c>
      <c r="W272" s="128">
        <f t="shared" si="69"/>
        <v>224</v>
      </c>
      <c r="X272" s="128">
        <f t="shared" si="70"/>
        <v>203.00000008000001</v>
      </c>
    </row>
    <row r="273" spans="1:24">
      <c r="A273" s="22">
        <f>'Stats 2021'!D39</f>
        <v>44428</v>
      </c>
      <c r="B273" s="130">
        <f>'Stats 2021'!E39</f>
        <v>1</v>
      </c>
      <c r="C273" s="130">
        <f>'Stats 2021'!F39</f>
        <v>0</v>
      </c>
      <c r="D273" s="130">
        <f>'Stats 2021'!G39</f>
        <v>1</v>
      </c>
      <c r="E273" s="130">
        <f>'Stats 2021'!H39</f>
        <v>1</v>
      </c>
      <c r="F273" s="130">
        <f>'Stats 2021'!I39</f>
        <v>1</v>
      </c>
      <c r="G273" s="130">
        <f>'Stats 2021'!J39</f>
        <v>0</v>
      </c>
      <c r="K273" s="86">
        <f t="shared" si="61"/>
        <v>44428</v>
      </c>
      <c r="L273" s="128">
        <f t="shared" si="62"/>
        <v>208.00000008000001</v>
      </c>
      <c r="M273" s="128">
        <f t="shared" si="63"/>
        <v>81.000000080000007</v>
      </c>
      <c r="N273" s="128">
        <f t="shared" si="64"/>
        <v>210</v>
      </c>
      <c r="O273" s="128">
        <f t="shared" si="65"/>
        <v>123</v>
      </c>
      <c r="P273" s="128">
        <f t="shared" si="66"/>
        <v>205</v>
      </c>
      <c r="Q273" s="128">
        <f t="shared" si="67"/>
        <v>224</v>
      </c>
      <c r="R273" s="128">
        <f t="shared" si="68"/>
        <v>14</v>
      </c>
      <c r="S273" s="1">
        <f t="shared" ref="S273:S274" si="76">IF(Q273&gt;L273,1,0)</f>
        <v>1</v>
      </c>
      <c r="T273" s="128">
        <f t="shared" si="57"/>
        <v>-1.9999999199999934</v>
      </c>
      <c r="U273" s="128">
        <f t="shared" si="60"/>
        <v>1051.0000001600001</v>
      </c>
      <c r="W273" s="128">
        <f t="shared" si="69"/>
        <v>224</v>
      </c>
      <c r="X273" s="128">
        <f t="shared" si="70"/>
        <v>204.00000008000001</v>
      </c>
    </row>
    <row r="274" spans="1:24">
      <c r="A274" s="22">
        <f>'Stats 2021'!D40</f>
        <v>44435</v>
      </c>
      <c r="B274" s="130">
        <f>'Stats 2021'!E40</f>
        <v>1</v>
      </c>
      <c r="C274" s="130">
        <f>'Stats 2021'!F40</f>
        <v>0</v>
      </c>
      <c r="D274" s="130">
        <f>'Stats 2021'!G40</f>
        <v>1</v>
      </c>
      <c r="E274" s="130">
        <f>'Stats 2021'!H40</f>
        <v>1</v>
      </c>
      <c r="F274" s="130">
        <f>'Stats 2021'!I40</f>
        <v>0</v>
      </c>
      <c r="G274" s="130">
        <f>'Stats 2021'!J40</f>
        <v>1</v>
      </c>
      <c r="J274" s="57" t="s">
        <v>273</v>
      </c>
      <c r="K274" s="86">
        <f t="shared" si="61"/>
        <v>44435</v>
      </c>
      <c r="L274" s="128">
        <f t="shared" si="62"/>
        <v>209.00000008000001</v>
      </c>
      <c r="M274" s="128">
        <f t="shared" si="63"/>
        <v>81.000000080000007</v>
      </c>
      <c r="N274" s="128">
        <f t="shared" si="64"/>
        <v>211</v>
      </c>
      <c r="O274" s="128">
        <f t="shared" si="65"/>
        <v>124</v>
      </c>
      <c r="P274" s="128">
        <f t="shared" si="66"/>
        <v>205</v>
      </c>
      <c r="Q274" s="128">
        <f t="shared" si="67"/>
        <v>225</v>
      </c>
      <c r="R274" s="128">
        <f t="shared" si="68"/>
        <v>14</v>
      </c>
      <c r="S274" s="1">
        <f t="shared" si="76"/>
        <v>1</v>
      </c>
      <c r="T274" s="128">
        <f t="shared" si="57"/>
        <v>-1.9999999199999934</v>
      </c>
      <c r="U274" s="128">
        <f t="shared" si="60"/>
        <v>1055.0000001600001</v>
      </c>
      <c r="W274" s="128">
        <f t="shared" si="69"/>
        <v>225</v>
      </c>
      <c r="X274" s="128">
        <f t="shared" si="70"/>
        <v>205.00000008000001</v>
      </c>
    </row>
    <row r="275" spans="1:24">
      <c r="A275" s="22">
        <f>'Stats 2021'!D41</f>
        <v>44442</v>
      </c>
      <c r="B275" s="130">
        <f>'Stats 2021'!E41</f>
        <v>1</v>
      </c>
      <c r="C275" s="130">
        <f>'Stats 2021'!F41</f>
        <v>0</v>
      </c>
      <c r="D275" s="130">
        <f>'Stats 2021'!G41</f>
        <v>0</v>
      </c>
      <c r="E275" s="130">
        <f>'Stats 2021'!H41</f>
        <v>0</v>
      </c>
      <c r="F275" s="130">
        <f>'Stats 2021'!I41</f>
        <v>1</v>
      </c>
      <c r="G275" s="130">
        <f>'Stats 2021'!J41</f>
        <v>1</v>
      </c>
      <c r="J275" s="57" t="s">
        <v>274</v>
      </c>
      <c r="K275" s="86">
        <f t="shared" si="61"/>
        <v>44442</v>
      </c>
      <c r="L275" s="128">
        <f t="shared" si="62"/>
        <v>210.00000008000001</v>
      </c>
      <c r="M275" s="128">
        <f t="shared" si="63"/>
        <v>81.000000080000007</v>
      </c>
      <c r="N275" s="128">
        <f t="shared" si="64"/>
        <v>211</v>
      </c>
      <c r="O275" s="128">
        <f t="shared" si="65"/>
        <v>124</v>
      </c>
      <c r="P275" s="128">
        <f t="shared" si="66"/>
        <v>206</v>
      </c>
      <c r="Q275" s="128">
        <f t="shared" si="67"/>
        <v>226</v>
      </c>
      <c r="R275" s="128">
        <f t="shared" si="68"/>
        <v>15</v>
      </c>
      <c r="S275" s="1">
        <f t="shared" ref="S275" si="77">IF(Q275&gt;L275,1,0)</f>
        <v>1</v>
      </c>
      <c r="T275" s="128">
        <f t="shared" si="57"/>
        <v>-0.99999991999999338</v>
      </c>
      <c r="U275" s="128">
        <f t="shared" si="60"/>
        <v>1058.0000001600001</v>
      </c>
      <c r="W275" s="128">
        <f t="shared" si="69"/>
        <v>226</v>
      </c>
      <c r="X275" s="128">
        <f t="shared" si="70"/>
        <v>205.00000008000001</v>
      </c>
    </row>
    <row r="276" spans="1:24">
      <c r="A276" s="22">
        <f>'Stats 2021'!D42</f>
        <v>44449</v>
      </c>
      <c r="B276" s="130">
        <f>'Stats 2021'!E42</f>
        <v>0</v>
      </c>
      <c r="C276" s="130">
        <f>'Stats 2021'!F42</f>
        <v>0</v>
      </c>
      <c r="D276" s="130">
        <f>'Stats 2021'!G42</f>
        <v>1</v>
      </c>
      <c r="E276" s="130">
        <f>'Stats 2021'!H42</f>
        <v>0</v>
      </c>
      <c r="F276" s="130">
        <f>'Stats 2021'!I42</f>
        <v>1</v>
      </c>
      <c r="G276" s="130">
        <f>'Stats 2021'!J42</f>
        <v>0</v>
      </c>
      <c r="J276" s="57" t="s">
        <v>275</v>
      </c>
      <c r="K276" s="86">
        <f t="shared" si="61"/>
        <v>44449</v>
      </c>
      <c r="L276" s="128">
        <f t="shared" si="62"/>
        <v>210.00000008000001</v>
      </c>
      <c r="M276" s="128">
        <f t="shared" si="63"/>
        <v>81.000000080000007</v>
      </c>
      <c r="N276" s="128">
        <f t="shared" si="64"/>
        <v>212</v>
      </c>
      <c r="O276" s="128">
        <f t="shared" si="65"/>
        <v>124</v>
      </c>
      <c r="P276" s="128">
        <f t="shared" si="66"/>
        <v>207</v>
      </c>
      <c r="Q276" s="128">
        <f t="shared" si="67"/>
        <v>226</v>
      </c>
      <c r="R276" s="128">
        <f t="shared" si="68"/>
        <v>14</v>
      </c>
      <c r="S276" s="1">
        <f t="shared" ref="S276:S277" si="78">IF(Q276&gt;L276,1,0)</f>
        <v>1</v>
      </c>
      <c r="T276" s="128">
        <f t="shared" si="57"/>
        <v>-1.9999999199999934</v>
      </c>
      <c r="U276" s="128">
        <f t="shared" si="60"/>
        <v>1060.0000001600001</v>
      </c>
      <c r="W276" s="128">
        <f t="shared" si="69"/>
        <v>226</v>
      </c>
      <c r="X276" s="128">
        <f t="shared" si="70"/>
        <v>205.00000008000001</v>
      </c>
    </row>
    <row r="277" spans="1:24">
      <c r="A277" s="22">
        <f>'Stats 2021'!D44</f>
        <v>44456</v>
      </c>
      <c r="B277" s="130">
        <f>'Stats 2021'!E44</f>
        <v>1</v>
      </c>
      <c r="C277" s="130">
        <f>'Stats 2021'!F44</f>
        <v>1</v>
      </c>
      <c r="D277" s="130">
        <f>'Stats 2021'!G44</f>
        <v>1</v>
      </c>
      <c r="E277" s="130">
        <f>'Stats 2021'!H44</f>
        <v>0</v>
      </c>
      <c r="F277" s="130">
        <f>'Stats 2021'!I44</f>
        <v>1</v>
      </c>
      <c r="G277" s="130">
        <f>'Stats 2021'!J44</f>
        <v>1</v>
      </c>
      <c r="J277" s="57" t="s">
        <v>276</v>
      </c>
      <c r="K277" s="86">
        <f t="shared" si="61"/>
        <v>44456</v>
      </c>
      <c r="L277" s="128">
        <f t="shared" si="62"/>
        <v>211.00000008000001</v>
      </c>
      <c r="M277" s="128">
        <f t="shared" si="63"/>
        <v>82.000000080000007</v>
      </c>
      <c r="N277" s="128">
        <f t="shared" si="64"/>
        <v>213</v>
      </c>
      <c r="O277" s="128">
        <f t="shared" si="65"/>
        <v>124</v>
      </c>
      <c r="P277" s="128">
        <f t="shared" si="66"/>
        <v>208</v>
      </c>
      <c r="Q277" s="128">
        <f t="shared" si="67"/>
        <v>227</v>
      </c>
      <c r="R277" s="128">
        <f t="shared" si="68"/>
        <v>14</v>
      </c>
      <c r="S277" s="1">
        <f t="shared" si="78"/>
        <v>1</v>
      </c>
      <c r="T277" s="128">
        <f t="shared" si="57"/>
        <v>-1.9999999199999934</v>
      </c>
      <c r="U277" s="128">
        <f t="shared" si="60"/>
        <v>1065.0000001600001</v>
      </c>
      <c r="W277" s="128">
        <f t="shared" si="69"/>
        <v>227</v>
      </c>
      <c r="X277" s="128">
        <f t="shared" si="70"/>
        <v>206.00000008000001</v>
      </c>
    </row>
    <row r="278" spans="1:24">
      <c r="A278" s="22">
        <f>'Stats 2021'!D46</f>
        <v>44463</v>
      </c>
      <c r="B278" s="130">
        <f>'Stats 2021'!E46</f>
        <v>1</v>
      </c>
      <c r="C278" s="130">
        <f>'Stats 2021'!F46</f>
        <v>1</v>
      </c>
      <c r="D278" s="130">
        <f>'Stats 2021'!G46</f>
        <v>1</v>
      </c>
      <c r="E278" s="130">
        <f>'Stats 2021'!H46</f>
        <v>0</v>
      </c>
      <c r="F278" s="130">
        <f>'Stats 2021'!I46</f>
        <v>1</v>
      </c>
      <c r="G278" s="130">
        <f>'Stats 2021'!J46</f>
        <v>1</v>
      </c>
      <c r="J278" s="57" t="s">
        <v>277</v>
      </c>
      <c r="K278" s="86">
        <f t="shared" si="61"/>
        <v>44463</v>
      </c>
      <c r="L278" s="128">
        <f t="shared" si="62"/>
        <v>212.00000008000001</v>
      </c>
      <c r="M278" s="128">
        <f t="shared" si="63"/>
        <v>83.000000080000007</v>
      </c>
      <c r="N278" s="128">
        <f t="shared" si="64"/>
        <v>214</v>
      </c>
      <c r="O278" s="128">
        <f t="shared" si="65"/>
        <v>124</v>
      </c>
      <c r="P278" s="128">
        <f t="shared" si="66"/>
        <v>209</v>
      </c>
      <c r="Q278" s="128">
        <f t="shared" si="67"/>
        <v>228</v>
      </c>
      <c r="R278" s="128">
        <f t="shared" si="68"/>
        <v>14</v>
      </c>
      <c r="S278" s="1">
        <f t="shared" ref="S278" si="79">IF(Q278&gt;L278,1,0)</f>
        <v>1</v>
      </c>
      <c r="T278" s="128">
        <f t="shared" si="57"/>
        <v>-1.9999999199999934</v>
      </c>
      <c r="U278" s="128">
        <f>SUM(L278:Q278)</f>
        <v>1070.0000001600001</v>
      </c>
      <c r="W278" s="128">
        <f t="shared" si="69"/>
        <v>228</v>
      </c>
      <c r="X278" s="128">
        <f t="shared" si="70"/>
        <v>207.00000008000001</v>
      </c>
    </row>
    <row r="279" spans="1:24">
      <c r="A279" s="22">
        <f>'Stats 2021'!D47</f>
        <v>44470</v>
      </c>
      <c r="B279" s="130">
        <f>'Stats 2021'!E47</f>
        <v>1</v>
      </c>
      <c r="C279" s="130">
        <f>'Stats 2021'!F47</f>
        <v>1</v>
      </c>
      <c r="D279" s="130">
        <f>'Stats 2021'!G47</f>
        <v>0</v>
      </c>
      <c r="E279" s="130">
        <f>'Stats 2021'!H47</f>
        <v>1</v>
      </c>
      <c r="F279" s="130">
        <f>'Stats 2021'!I47</f>
        <v>1</v>
      </c>
      <c r="G279" s="130">
        <f>'Stats 2021'!J47</f>
        <v>1</v>
      </c>
      <c r="J279" s="57" t="s">
        <v>278</v>
      </c>
      <c r="K279" s="86">
        <f t="shared" si="61"/>
        <v>44470</v>
      </c>
      <c r="L279" s="128">
        <f t="shared" si="62"/>
        <v>213.00000008000001</v>
      </c>
      <c r="M279" s="128">
        <f t="shared" si="63"/>
        <v>84.000000080000007</v>
      </c>
      <c r="N279" s="128">
        <f t="shared" si="64"/>
        <v>214</v>
      </c>
      <c r="O279" s="128">
        <f t="shared" si="65"/>
        <v>125</v>
      </c>
      <c r="P279" s="128">
        <f t="shared" si="66"/>
        <v>210</v>
      </c>
      <c r="Q279" s="128">
        <f t="shared" si="67"/>
        <v>229</v>
      </c>
      <c r="R279" s="128">
        <f t="shared" si="68"/>
        <v>15</v>
      </c>
      <c r="S279" s="1">
        <f t="shared" ref="S279" si="80">IF(Q279&gt;L279,1,0)</f>
        <v>1</v>
      </c>
      <c r="T279" s="128">
        <f t="shared" si="57"/>
        <v>-0.99999991999999338</v>
      </c>
      <c r="U279" s="128">
        <f>SUM(L279:Q279)</f>
        <v>1075.0000001600001</v>
      </c>
      <c r="W279" s="128">
        <f t="shared" si="69"/>
        <v>229</v>
      </c>
      <c r="X279" s="128">
        <f t="shared" si="70"/>
        <v>209.00000008000001</v>
      </c>
    </row>
    <row r="280" spans="1:24">
      <c r="A280" s="22">
        <f>'Stats 2021'!D48</f>
        <v>44477</v>
      </c>
      <c r="B280" s="130">
        <f>'Stats 2021'!E48</f>
        <v>1</v>
      </c>
      <c r="C280" s="130">
        <f>'Stats 2021'!F48</f>
        <v>0</v>
      </c>
      <c r="D280" s="130">
        <f>'Stats 2021'!G48</f>
        <v>1</v>
      </c>
      <c r="E280" s="130">
        <f>'Stats 2021'!H48</f>
        <v>0</v>
      </c>
      <c r="F280" s="130">
        <f>'Stats 2021'!I48</f>
        <v>0</v>
      </c>
      <c r="G280" s="130">
        <f>'Stats 2021'!J48</f>
        <v>1</v>
      </c>
      <c r="J280" s="57" t="s">
        <v>279</v>
      </c>
      <c r="K280" s="86">
        <f t="shared" si="61"/>
        <v>44477</v>
      </c>
      <c r="L280" s="128">
        <f t="shared" si="62"/>
        <v>214.00000008000001</v>
      </c>
      <c r="M280" s="128">
        <f t="shared" si="63"/>
        <v>84.000000080000007</v>
      </c>
      <c r="N280" s="128">
        <f t="shared" si="64"/>
        <v>215</v>
      </c>
      <c r="O280" s="128">
        <f t="shared" si="65"/>
        <v>125</v>
      </c>
      <c r="P280" s="128">
        <f t="shared" si="66"/>
        <v>210</v>
      </c>
      <c r="Q280" s="128">
        <f t="shared" si="67"/>
        <v>230</v>
      </c>
      <c r="R280" s="128">
        <f t="shared" si="68"/>
        <v>15</v>
      </c>
      <c r="S280" s="1">
        <f t="shared" ref="S280" si="81">IF(Q280&gt;L280,1,0)</f>
        <v>1</v>
      </c>
      <c r="T280" s="128">
        <f t="shared" si="57"/>
        <v>-0.99999991999999338</v>
      </c>
      <c r="U280" s="128">
        <f>SUM(L280:Q280)</f>
        <v>1078.0000001600001</v>
      </c>
      <c r="W280" s="128">
        <f t="shared" si="69"/>
        <v>230</v>
      </c>
      <c r="X280" s="128">
        <f t="shared" si="70"/>
        <v>209.00000008000001</v>
      </c>
    </row>
    <row r="281" spans="1:24">
      <c r="A281" s="22">
        <f>'Stats 2021'!D49</f>
        <v>44484</v>
      </c>
      <c r="B281" s="130">
        <f>'Stats 2021'!E49</f>
        <v>0</v>
      </c>
      <c r="C281" s="130">
        <f>'Stats 2021'!F49</f>
        <v>1</v>
      </c>
      <c r="D281" s="130">
        <f>'Stats 2021'!G49</f>
        <v>0</v>
      </c>
      <c r="E281" s="130">
        <f>'Stats 2021'!H49</f>
        <v>1</v>
      </c>
      <c r="F281" s="130">
        <f>'Stats 2021'!I49</f>
        <v>1</v>
      </c>
      <c r="G281" s="130">
        <f>'Stats 2021'!J49</f>
        <v>1</v>
      </c>
      <c r="J281" s="57" t="s">
        <v>280</v>
      </c>
      <c r="K281" s="86">
        <f t="shared" si="61"/>
        <v>44484</v>
      </c>
      <c r="L281" s="128">
        <f t="shared" si="62"/>
        <v>214.00000008000001</v>
      </c>
      <c r="M281" s="128">
        <f t="shared" si="63"/>
        <v>85.000000080000007</v>
      </c>
      <c r="N281" s="128">
        <f t="shared" si="64"/>
        <v>215</v>
      </c>
      <c r="O281" s="128">
        <f t="shared" si="65"/>
        <v>126</v>
      </c>
      <c r="P281" s="128">
        <f t="shared" si="66"/>
        <v>211</v>
      </c>
      <c r="Q281" s="128">
        <f t="shared" si="67"/>
        <v>231</v>
      </c>
      <c r="R281" s="128">
        <f t="shared" si="68"/>
        <v>16</v>
      </c>
      <c r="S281" s="1">
        <f t="shared" ref="S281" si="82">IF(Q281&gt;L281,1,0)</f>
        <v>1</v>
      </c>
      <c r="T281" s="128">
        <f t="shared" si="57"/>
        <v>-0.99999991999999338</v>
      </c>
      <c r="U281" s="128">
        <f>SUM(L281:Q281)</f>
        <v>1082.0000001600001</v>
      </c>
      <c r="W281" s="128">
        <f t="shared" si="69"/>
        <v>231</v>
      </c>
      <c r="X281" s="128">
        <f t="shared" si="70"/>
        <v>211.00000008000001</v>
      </c>
    </row>
    <row r="282" spans="1:24">
      <c r="A282" s="22">
        <f>'Stats 2021'!D50</f>
        <v>44491</v>
      </c>
      <c r="B282" s="130">
        <f>'Stats 2021'!E50</f>
        <v>1</v>
      </c>
      <c r="C282" s="130">
        <f>'Stats 2021'!F50</f>
        <v>1</v>
      </c>
      <c r="D282" s="130">
        <f>'Stats 2021'!G50</f>
        <v>1</v>
      </c>
      <c r="E282" s="130">
        <f>'Stats 2021'!H50</f>
        <v>0</v>
      </c>
      <c r="F282" s="130">
        <f>'Stats 2021'!I50</f>
        <v>1</v>
      </c>
      <c r="G282" s="130">
        <f>'Stats 2021'!J50</f>
        <v>0</v>
      </c>
      <c r="K282" s="86">
        <f t="shared" si="61"/>
        <v>44491</v>
      </c>
      <c r="L282" s="128">
        <f t="shared" si="62"/>
        <v>215.00000008000001</v>
      </c>
      <c r="M282" s="128">
        <f t="shared" si="63"/>
        <v>86.000000080000007</v>
      </c>
      <c r="N282" s="128">
        <f t="shared" si="64"/>
        <v>216</v>
      </c>
      <c r="O282" s="128">
        <f t="shared" si="65"/>
        <v>126</v>
      </c>
      <c r="P282" s="128">
        <f t="shared" si="66"/>
        <v>212</v>
      </c>
      <c r="Q282" s="128">
        <f t="shared" si="67"/>
        <v>231</v>
      </c>
      <c r="R282" s="128">
        <f t="shared" si="68"/>
        <v>15</v>
      </c>
      <c r="S282" s="1">
        <f t="shared" ref="S282:S284" si="83">IF(Q282&gt;L282,1,0)</f>
        <v>1</v>
      </c>
      <c r="T282" s="128">
        <f t="shared" si="57"/>
        <v>-0.99999991999999338</v>
      </c>
      <c r="U282" s="128">
        <f t="shared" ref="U282:U284" si="84">SUM(L282:Q282)</f>
        <v>1086.0000001600001</v>
      </c>
      <c r="W282" s="128">
        <f t="shared" si="69"/>
        <v>231</v>
      </c>
      <c r="X282" s="128">
        <f t="shared" si="70"/>
        <v>212.00000008000001</v>
      </c>
    </row>
    <row r="283" spans="1:24">
      <c r="A283" s="22">
        <f>'Stats 2021'!D51</f>
        <v>44498</v>
      </c>
      <c r="B283" s="130">
        <f>'Stats 2021'!E51</f>
        <v>1</v>
      </c>
      <c r="C283" s="130">
        <f>'Stats 2021'!F51</f>
        <v>1</v>
      </c>
      <c r="D283" s="130">
        <f>'Stats 2021'!G51</f>
        <v>1</v>
      </c>
      <c r="E283" s="130">
        <f>'Stats 2021'!H51</f>
        <v>0</v>
      </c>
      <c r="F283" s="130">
        <f>'Stats 2021'!I51</f>
        <v>1</v>
      </c>
      <c r="G283" s="130">
        <f>'Stats 2021'!J51</f>
        <v>0</v>
      </c>
      <c r="K283" s="86">
        <f t="shared" si="61"/>
        <v>44498</v>
      </c>
      <c r="L283" s="128">
        <f t="shared" si="62"/>
        <v>216.00000008000001</v>
      </c>
      <c r="M283" s="128">
        <f t="shared" si="63"/>
        <v>87.000000080000007</v>
      </c>
      <c r="N283" s="128">
        <f t="shared" si="64"/>
        <v>217</v>
      </c>
      <c r="O283" s="128">
        <f t="shared" si="65"/>
        <v>126</v>
      </c>
      <c r="P283" s="128">
        <f t="shared" si="66"/>
        <v>213</v>
      </c>
      <c r="Q283" s="128">
        <f t="shared" si="67"/>
        <v>231</v>
      </c>
      <c r="R283" s="128">
        <f t="shared" si="68"/>
        <v>14</v>
      </c>
      <c r="S283" s="1">
        <f t="shared" si="83"/>
        <v>1</v>
      </c>
      <c r="T283" s="128">
        <f t="shared" si="57"/>
        <v>-0.99999991999999338</v>
      </c>
      <c r="U283" s="128">
        <f t="shared" si="84"/>
        <v>1090.0000001600001</v>
      </c>
      <c r="W283" s="128">
        <f t="shared" si="69"/>
        <v>231</v>
      </c>
      <c r="X283" s="128">
        <f t="shared" si="70"/>
        <v>213.00000008000001</v>
      </c>
    </row>
    <row r="284" spans="1:24">
      <c r="A284" s="22">
        <f>'Stats 2021'!D52</f>
        <v>44505</v>
      </c>
      <c r="B284" s="130">
        <f>'Stats 2021'!E52</f>
        <v>1</v>
      </c>
      <c r="C284" s="130">
        <f>'Stats 2021'!F52</f>
        <v>1</v>
      </c>
      <c r="D284" s="130">
        <f>'Stats 2021'!G52</f>
        <v>0</v>
      </c>
      <c r="E284" s="130">
        <f>'Stats 2021'!H52</f>
        <v>1</v>
      </c>
      <c r="F284" s="130">
        <f>'Stats 2021'!I52</f>
        <v>1</v>
      </c>
      <c r="G284" s="130">
        <f>'Stats 2021'!J52</f>
        <v>1</v>
      </c>
      <c r="J284" s="57" t="s">
        <v>281</v>
      </c>
      <c r="K284" s="86">
        <f t="shared" si="61"/>
        <v>44505</v>
      </c>
      <c r="L284" s="128">
        <f t="shared" si="62"/>
        <v>217.00000008000001</v>
      </c>
      <c r="M284" s="128">
        <f t="shared" si="63"/>
        <v>88.000000080000007</v>
      </c>
      <c r="N284" s="128">
        <f t="shared" si="64"/>
        <v>217</v>
      </c>
      <c r="O284" s="128">
        <f t="shared" si="65"/>
        <v>127</v>
      </c>
      <c r="P284" s="128">
        <f t="shared" si="66"/>
        <v>214</v>
      </c>
      <c r="Q284" s="128">
        <f t="shared" si="67"/>
        <v>232</v>
      </c>
      <c r="R284" s="128">
        <f t="shared" si="68"/>
        <v>14.999999919999993</v>
      </c>
      <c r="S284" s="1">
        <f t="shared" si="83"/>
        <v>1</v>
      </c>
      <c r="T284" s="128">
        <f t="shared" si="57"/>
        <v>8.000000661922968E-8</v>
      </c>
      <c r="U284" s="128">
        <f t="shared" si="84"/>
        <v>1095.0000001600001</v>
      </c>
      <c r="W284" s="128">
        <f t="shared" si="69"/>
        <v>232</v>
      </c>
      <c r="X284" s="128">
        <f t="shared" si="70"/>
        <v>215.00000008000001</v>
      </c>
    </row>
    <row r="285" spans="1:24">
      <c r="A285" s="22">
        <f>'Stats 2021'!D53</f>
        <v>44512</v>
      </c>
      <c r="B285" s="130">
        <f>'Stats 2021'!E53</f>
        <v>1</v>
      </c>
      <c r="C285" s="130">
        <f>'Stats 2021'!F53</f>
        <v>0</v>
      </c>
      <c r="D285" s="130">
        <f>'Stats 2021'!G53</f>
        <v>1</v>
      </c>
      <c r="E285" s="130">
        <f>'Stats 2021'!H53</f>
        <v>1</v>
      </c>
      <c r="F285" s="130">
        <f>'Stats 2021'!I53</f>
        <v>1</v>
      </c>
      <c r="G285" s="130">
        <f>'Stats 2021'!J53</f>
        <v>1</v>
      </c>
      <c r="J285" s="57" t="s">
        <v>282</v>
      </c>
      <c r="K285" s="86">
        <f t="shared" si="61"/>
        <v>44512</v>
      </c>
      <c r="L285" s="128">
        <f t="shared" si="62"/>
        <v>218.00000008000001</v>
      </c>
      <c r="M285" s="128">
        <f t="shared" si="63"/>
        <v>88.000000080000007</v>
      </c>
      <c r="N285" s="128">
        <f t="shared" si="64"/>
        <v>218</v>
      </c>
      <c r="O285" s="128">
        <f t="shared" si="65"/>
        <v>128</v>
      </c>
      <c r="P285" s="128">
        <f t="shared" si="66"/>
        <v>215</v>
      </c>
      <c r="Q285" s="128">
        <f t="shared" si="67"/>
        <v>233</v>
      </c>
      <c r="R285" s="128">
        <f t="shared" si="68"/>
        <v>14.999999919999993</v>
      </c>
      <c r="S285" s="1">
        <f t="shared" ref="S285" si="85">IF(Q285&gt;L285,1,0)</f>
        <v>1</v>
      </c>
      <c r="T285" s="128">
        <f t="shared" si="57"/>
        <v>8.000000661922968E-8</v>
      </c>
      <c r="U285" s="128">
        <f t="shared" ref="U285" si="86">SUM(L285:Q285)</f>
        <v>1100.0000001600001</v>
      </c>
      <c r="W285" s="128">
        <f t="shared" si="69"/>
        <v>233</v>
      </c>
      <c r="X285" s="128">
        <f t="shared" si="70"/>
        <v>216.00000008000001</v>
      </c>
    </row>
    <row r="286" spans="1:24">
      <c r="A286" s="22">
        <f>'Stats 2021'!D54</f>
        <v>44519</v>
      </c>
      <c r="B286" s="130">
        <f>'Stats 2021'!E54</f>
        <v>1</v>
      </c>
      <c r="C286" s="130">
        <f>'Stats 2021'!F54</f>
        <v>0</v>
      </c>
      <c r="D286" s="130">
        <f>'Stats 2021'!G54</f>
        <v>1</v>
      </c>
      <c r="E286" s="130">
        <f>'Stats 2021'!H54</f>
        <v>1</v>
      </c>
      <c r="F286" s="130">
        <f>'Stats 2021'!I54</f>
        <v>1</v>
      </c>
      <c r="G286" s="130">
        <f>'Stats 2021'!J54</f>
        <v>1</v>
      </c>
      <c r="J286" s="57" t="s">
        <v>283</v>
      </c>
      <c r="K286" s="86">
        <f t="shared" si="61"/>
        <v>44519</v>
      </c>
      <c r="L286" s="128">
        <f t="shared" si="62"/>
        <v>219.00000008000001</v>
      </c>
      <c r="M286" s="128">
        <f t="shared" si="63"/>
        <v>88.000000080000007</v>
      </c>
      <c r="N286" s="128">
        <f t="shared" si="64"/>
        <v>219</v>
      </c>
      <c r="O286" s="128">
        <f t="shared" si="65"/>
        <v>129</v>
      </c>
      <c r="P286" s="128">
        <f t="shared" si="66"/>
        <v>216</v>
      </c>
      <c r="Q286" s="128">
        <f t="shared" si="67"/>
        <v>234</v>
      </c>
      <c r="R286" s="128">
        <f t="shared" si="68"/>
        <v>14.999999919999993</v>
      </c>
      <c r="S286" s="1">
        <f t="shared" ref="S286" si="87">IF(Q286&gt;L286,1,0)</f>
        <v>1</v>
      </c>
      <c r="T286" s="128">
        <f t="shared" si="57"/>
        <v>8.000000661922968E-8</v>
      </c>
      <c r="U286" s="128">
        <f t="shared" ref="U286" si="88">SUM(L286:Q286)</f>
        <v>1105.0000001600001</v>
      </c>
      <c r="W286" s="128">
        <f t="shared" si="69"/>
        <v>234</v>
      </c>
      <c r="X286" s="128">
        <f t="shared" si="70"/>
        <v>217.00000008000001</v>
      </c>
    </row>
    <row r="287" spans="1:24">
      <c r="A287" s="22">
        <f>'Stats 2021'!D55</f>
        <v>44526</v>
      </c>
      <c r="B287" s="130">
        <f>'Stats 2021'!E55</f>
        <v>0</v>
      </c>
      <c r="C287" s="130">
        <f>'Stats 2021'!F55</f>
        <v>0</v>
      </c>
      <c r="D287" s="130">
        <f>'Stats 2021'!G55</f>
        <v>1</v>
      </c>
      <c r="E287" s="130">
        <f>'Stats 2021'!H55</f>
        <v>0</v>
      </c>
      <c r="F287" s="130">
        <f>'Stats 2021'!I55</f>
        <v>1</v>
      </c>
      <c r="G287" s="130">
        <f>'Stats 2021'!J55</f>
        <v>1</v>
      </c>
      <c r="J287" s="57" t="s">
        <v>284</v>
      </c>
      <c r="K287" s="86">
        <f t="shared" si="61"/>
        <v>44526</v>
      </c>
      <c r="L287" s="128">
        <f t="shared" si="62"/>
        <v>219.00000008000001</v>
      </c>
      <c r="M287" s="128">
        <f t="shared" si="63"/>
        <v>88.000000080000007</v>
      </c>
      <c r="N287" s="128">
        <f t="shared" si="64"/>
        <v>220</v>
      </c>
      <c r="O287" s="128">
        <f t="shared" si="65"/>
        <v>129</v>
      </c>
      <c r="P287" s="128">
        <f t="shared" si="66"/>
        <v>217</v>
      </c>
      <c r="Q287" s="128">
        <f t="shared" si="67"/>
        <v>235</v>
      </c>
      <c r="R287" s="128">
        <f t="shared" si="68"/>
        <v>15</v>
      </c>
      <c r="S287" s="1">
        <f t="shared" ref="S287" si="89">IF(Q287&gt;L287,1,0)</f>
        <v>1</v>
      </c>
      <c r="T287" s="128">
        <f t="shared" si="57"/>
        <v>-0.99999991999999338</v>
      </c>
      <c r="U287" s="128">
        <f t="shared" ref="U287" si="90">SUM(L287:Q287)</f>
        <v>1108.0000001600001</v>
      </c>
      <c r="W287" s="128">
        <f t="shared" si="69"/>
        <v>235</v>
      </c>
      <c r="X287" s="128">
        <f t="shared" si="70"/>
        <v>217.00000008000001</v>
      </c>
    </row>
    <row r="288" spans="1:24">
      <c r="A288" s="22">
        <f>'Stats 2021'!D56</f>
        <v>44533</v>
      </c>
      <c r="B288" s="130">
        <f>'Stats 2021'!E56</f>
        <v>1</v>
      </c>
      <c r="C288" s="130">
        <f>'Stats 2021'!F56</f>
        <v>0</v>
      </c>
      <c r="D288" s="130">
        <f>'Stats 2021'!G56</f>
        <v>0</v>
      </c>
      <c r="E288" s="130">
        <f>'Stats 2021'!H56</f>
        <v>1</v>
      </c>
      <c r="F288" s="130">
        <f>'Stats 2021'!I56</f>
        <v>1</v>
      </c>
      <c r="G288" s="130">
        <f>'Stats 2021'!J56</f>
        <v>1</v>
      </c>
      <c r="J288" s="57" t="s">
        <v>285</v>
      </c>
      <c r="K288" s="86">
        <f t="shared" si="61"/>
        <v>44533</v>
      </c>
      <c r="L288" s="128">
        <f t="shared" si="62"/>
        <v>220.00000008000001</v>
      </c>
      <c r="M288" s="128">
        <f t="shared" si="63"/>
        <v>88.000000080000007</v>
      </c>
      <c r="N288" s="128">
        <f t="shared" si="64"/>
        <v>220</v>
      </c>
      <c r="O288" s="128">
        <f t="shared" si="65"/>
        <v>130</v>
      </c>
      <c r="P288" s="128">
        <f t="shared" si="66"/>
        <v>218</v>
      </c>
      <c r="Q288" s="128">
        <f t="shared" si="67"/>
        <v>236</v>
      </c>
      <c r="R288" s="128">
        <f t="shared" si="68"/>
        <v>15.999999919999993</v>
      </c>
      <c r="S288" s="1">
        <f t="shared" ref="S288" si="91">IF(Q288&gt;L288,1,0)</f>
        <v>1</v>
      </c>
      <c r="T288" s="128">
        <f t="shared" si="57"/>
        <v>8.000000661922968E-8</v>
      </c>
      <c r="U288" s="128">
        <f t="shared" ref="U288" si="92">SUM(L288:Q288)</f>
        <v>1112.0000001600001</v>
      </c>
      <c r="W288" s="128">
        <f t="shared" si="69"/>
        <v>236</v>
      </c>
      <c r="X288" s="128">
        <f t="shared" si="70"/>
        <v>218.00000008000001</v>
      </c>
    </row>
    <row r="289" spans="1:24">
      <c r="A289" s="22">
        <f>'Stats 2021'!D57</f>
        <v>44540</v>
      </c>
      <c r="B289" s="130">
        <f>'Stats 2021'!E57</f>
        <v>1</v>
      </c>
      <c r="C289" s="130">
        <f>'Stats 2021'!F57</f>
        <v>1</v>
      </c>
      <c r="D289" s="130">
        <f>'Stats 2021'!G57</f>
        <v>1</v>
      </c>
      <c r="E289" s="130">
        <f>'Stats 2021'!H57</f>
        <v>1</v>
      </c>
      <c r="F289" s="130">
        <f>'Stats 2021'!I57</f>
        <v>1</v>
      </c>
      <c r="G289" s="130">
        <f>'Stats 2021'!J57</f>
        <v>1</v>
      </c>
      <c r="K289" s="86">
        <f t="shared" si="61"/>
        <v>44540</v>
      </c>
      <c r="L289" s="128">
        <f t="shared" si="62"/>
        <v>221.00000008000001</v>
      </c>
      <c r="M289" s="128">
        <f t="shared" si="63"/>
        <v>89.000000080000007</v>
      </c>
      <c r="N289" s="128">
        <f t="shared" si="64"/>
        <v>221</v>
      </c>
      <c r="O289" s="128">
        <f t="shared" si="65"/>
        <v>131</v>
      </c>
      <c r="P289" s="128">
        <f t="shared" si="66"/>
        <v>219</v>
      </c>
      <c r="Q289" s="128">
        <f t="shared" si="67"/>
        <v>237</v>
      </c>
      <c r="R289" s="128">
        <f t="shared" si="68"/>
        <v>15.999999919999993</v>
      </c>
      <c r="S289" s="1">
        <f t="shared" ref="S289:S293" si="93">IF(Q289&gt;L289,1,0)</f>
        <v>1</v>
      </c>
      <c r="T289" s="128">
        <f t="shared" si="57"/>
        <v>8.000000661922968E-8</v>
      </c>
      <c r="U289" s="128">
        <f t="shared" ref="U289:U293" si="94">SUM(L289:Q289)</f>
        <v>1118.0000001600001</v>
      </c>
      <c r="W289" s="128">
        <f t="shared" si="69"/>
        <v>237</v>
      </c>
      <c r="X289" s="128">
        <f t="shared" si="70"/>
        <v>220.00000008000001</v>
      </c>
    </row>
    <row r="290" spans="1:24">
      <c r="A290" s="22">
        <f>'Stats 2021'!D58</f>
        <v>44547</v>
      </c>
      <c r="B290" s="130">
        <f>'Stats 2021'!E58</f>
        <v>1</v>
      </c>
      <c r="C290" s="130">
        <f>'Stats 2021'!F58</f>
        <v>1</v>
      </c>
      <c r="D290" s="130">
        <f>'Stats 2021'!G58</f>
        <v>1</v>
      </c>
      <c r="E290" s="130">
        <f>'Stats 2021'!H58</f>
        <v>1</v>
      </c>
      <c r="F290" s="130">
        <f>'Stats 2021'!I58</f>
        <v>1</v>
      </c>
      <c r="G290" s="130">
        <f>'Stats 2021'!J58</f>
        <v>0</v>
      </c>
      <c r="K290" s="86">
        <f t="shared" si="61"/>
        <v>44547</v>
      </c>
      <c r="L290" s="128">
        <f t="shared" si="62"/>
        <v>222.00000008000001</v>
      </c>
      <c r="M290" s="128">
        <f t="shared" si="63"/>
        <v>90.000000080000007</v>
      </c>
      <c r="N290" s="128">
        <f t="shared" si="64"/>
        <v>222</v>
      </c>
      <c r="O290" s="128">
        <f t="shared" si="65"/>
        <v>132</v>
      </c>
      <c r="P290" s="128">
        <f t="shared" si="66"/>
        <v>220</v>
      </c>
      <c r="Q290" s="128">
        <f t="shared" si="67"/>
        <v>237</v>
      </c>
      <c r="R290" s="128">
        <f t="shared" si="68"/>
        <v>14.999999919999993</v>
      </c>
      <c r="S290" s="1">
        <f t="shared" si="93"/>
        <v>1</v>
      </c>
      <c r="T290" s="128">
        <f t="shared" si="57"/>
        <v>8.000000661922968E-8</v>
      </c>
      <c r="U290" s="128">
        <f t="shared" si="94"/>
        <v>1123.0000001600001</v>
      </c>
      <c r="W290" s="128">
        <f t="shared" si="69"/>
        <v>237</v>
      </c>
      <c r="X290" s="128">
        <f t="shared" si="70"/>
        <v>222.00000008000001</v>
      </c>
    </row>
    <row r="291" spans="1:24">
      <c r="A291" s="22">
        <f>'Stats 2021'!D59</f>
        <v>44554</v>
      </c>
      <c r="B291" s="130">
        <f>'Stats 2021'!E59</f>
        <v>1</v>
      </c>
      <c r="C291" s="130">
        <f>'Stats 2021'!F59</f>
        <v>1</v>
      </c>
      <c r="D291" s="130">
        <f>'Stats 2021'!G59</f>
        <v>1</v>
      </c>
      <c r="E291" s="130">
        <f>'Stats 2021'!H59</f>
        <v>1</v>
      </c>
      <c r="F291" s="130">
        <f>'Stats 2021'!I59</f>
        <v>1</v>
      </c>
      <c r="G291" s="130">
        <f>'Stats 2021'!J59</f>
        <v>1</v>
      </c>
      <c r="K291" s="86">
        <f t="shared" si="61"/>
        <v>44554</v>
      </c>
      <c r="L291" s="128">
        <f t="shared" si="62"/>
        <v>223.00000008000001</v>
      </c>
      <c r="M291" s="128">
        <f t="shared" si="63"/>
        <v>91.000000080000007</v>
      </c>
      <c r="N291" s="128">
        <f t="shared" si="64"/>
        <v>223</v>
      </c>
      <c r="O291" s="128">
        <f t="shared" si="65"/>
        <v>133</v>
      </c>
      <c r="P291" s="128">
        <f t="shared" si="66"/>
        <v>221</v>
      </c>
      <c r="Q291" s="128">
        <f t="shared" si="67"/>
        <v>238</v>
      </c>
      <c r="R291" s="128">
        <f t="shared" si="68"/>
        <v>14.999999919999993</v>
      </c>
      <c r="S291" s="1">
        <f t="shared" si="93"/>
        <v>1</v>
      </c>
      <c r="T291" s="128">
        <f t="shared" si="57"/>
        <v>8.000000661922968E-8</v>
      </c>
      <c r="U291" s="128">
        <f t="shared" si="94"/>
        <v>1129.0000001600001</v>
      </c>
      <c r="W291" s="128">
        <f t="shared" si="69"/>
        <v>238</v>
      </c>
      <c r="X291" s="128">
        <f t="shared" si="70"/>
        <v>224.00000008000001</v>
      </c>
    </row>
    <row r="292" spans="1:24">
      <c r="A292" s="22">
        <f>'Stats 2021'!D60</f>
        <v>44561</v>
      </c>
      <c r="B292" s="130">
        <f>'Stats 2021'!E60</f>
        <v>0</v>
      </c>
      <c r="C292" s="130">
        <f>'Stats 2021'!F60</f>
        <v>1</v>
      </c>
      <c r="D292" s="130">
        <f>'Stats 2021'!G60</f>
        <v>1</v>
      </c>
      <c r="E292" s="130">
        <f>'Stats 2021'!H60</f>
        <v>0</v>
      </c>
      <c r="F292" s="130">
        <f>'Stats 2021'!I60</f>
        <v>0</v>
      </c>
      <c r="G292" s="130">
        <f>'Stats 2021'!J60</f>
        <v>0</v>
      </c>
      <c r="K292" s="86">
        <f t="shared" si="61"/>
        <v>44561</v>
      </c>
      <c r="L292" s="128">
        <f t="shared" si="62"/>
        <v>223.00000008000001</v>
      </c>
      <c r="M292" s="128">
        <f t="shared" si="63"/>
        <v>92.000000080000007</v>
      </c>
      <c r="N292" s="128">
        <f t="shared" si="64"/>
        <v>224</v>
      </c>
      <c r="O292" s="128">
        <f t="shared" si="65"/>
        <v>133</v>
      </c>
      <c r="P292" s="128">
        <f t="shared" si="66"/>
        <v>221</v>
      </c>
      <c r="Q292" s="128">
        <f t="shared" si="67"/>
        <v>238</v>
      </c>
      <c r="R292" s="128">
        <f t="shared" si="68"/>
        <v>14</v>
      </c>
      <c r="S292" s="1">
        <f t="shared" si="93"/>
        <v>1</v>
      </c>
      <c r="T292" s="128">
        <f t="shared" si="57"/>
        <v>-0.99999991999999338</v>
      </c>
      <c r="U292" s="128">
        <f t="shared" si="94"/>
        <v>1131.0000001600001</v>
      </c>
      <c r="W292" s="128">
        <f t="shared" si="69"/>
        <v>238</v>
      </c>
      <c r="X292" s="128">
        <f t="shared" si="70"/>
        <v>225.00000008000001</v>
      </c>
    </row>
    <row r="293" spans="1:24">
      <c r="A293" s="22">
        <f>'Stats 2021'!D61</f>
        <v>44568</v>
      </c>
      <c r="B293" s="130">
        <f>'Stats 2021'!E61</f>
        <v>1</v>
      </c>
      <c r="C293" s="130">
        <f>'Stats 2021'!F61</f>
        <v>0</v>
      </c>
      <c r="D293" s="130">
        <f>'Stats 2021'!G61</f>
        <v>0</v>
      </c>
      <c r="E293" s="130">
        <f>'Stats 2021'!H61</f>
        <v>1</v>
      </c>
      <c r="F293" s="130">
        <f>'Stats 2021'!I61</f>
        <v>0</v>
      </c>
      <c r="G293" s="130">
        <f>'Stats 2021'!J61</f>
        <v>1</v>
      </c>
      <c r="K293" s="86">
        <f t="shared" si="61"/>
        <v>44568</v>
      </c>
      <c r="L293" s="128">
        <f t="shared" si="62"/>
        <v>224.00000008000001</v>
      </c>
      <c r="M293" s="128">
        <f t="shared" si="63"/>
        <v>92.000000080000007</v>
      </c>
      <c r="N293" s="128">
        <f t="shared" si="64"/>
        <v>224</v>
      </c>
      <c r="O293" s="128">
        <f t="shared" si="65"/>
        <v>134</v>
      </c>
      <c r="P293" s="128">
        <f t="shared" si="66"/>
        <v>221</v>
      </c>
      <c r="Q293" s="128">
        <f t="shared" si="67"/>
        <v>239</v>
      </c>
      <c r="R293" s="128">
        <f t="shared" si="68"/>
        <v>14.999999919999993</v>
      </c>
      <c r="S293" s="1">
        <f t="shared" si="93"/>
        <v>1</v>
      </c>
      <c r="T293" s="128">
        <f t="shared" si="57"/>
        <v>8.000000661922968E-8</v>
      </c>
      <c r="U293" s="128">
        <f t="shared" si="94"/>
        <v>1134.0000001600001</v>
      </c>
      <c r="W293" s="128">
        <f t="shared" si="69"/>
        <v>239</v>
      </c>
      <c r="X293" s="128">
        <f t="shared" si="70"/>
        <v>226.00000008000001</v>
      </c>
    </row>
    <row r="294" spans="1:24">
      <c r="A294" s="22">
        <f>'Stats 2021'!D62</f>
        <v>44575</v>
      </c>
      <c r="B294" s="130">
        <f>'Stats 2021'!E62</f>
        <v>0</v>
      </c>
      <c r="C294" s="130">
        <f>'Stats 2021'!F62</f>
        <v>1</v>
      </c>
      <c r="D294" s="130">
        <f>'Stats 2021'!G62</f>
        <v>1</v>
      </c>
      <c r="E294" s="130">
        <f>'Stats 2021'!H62</f>
        <v>0</v>
      </c>
      <c r="F294" s="130">
        <f>'Stats 2021'!I62</f>
        <v>0</v>
      </c>
      <c r="G294" s="130">
        <f>'Stats 2021'!J62</f>
        <v>1</v>
      </c>
      <c r="K294" s="86">
        <f t="shared" si="61"/>
        <v>44575</v>
      </c>
      <c r="L294" s="128">
        <f t="shared" si="62"/>
        <v>224.00000008000001</v>
      </c>
      <c r="M294" s="128">
        <f t="shared" si="63"/>
        <v>93.000000080000007</v>
      </c>
      <c r="N294" s="128">
        <f t="shared" si="64"/>
        <v>225</v>
      </c>
      <c r="O294" s="128">
        <f t="shared" si="65"/>
        <v>134</v>
      </c>
      <c r="P294" s="128">
        <f t="shared" si="66"/>
        <v>221</v>
      </c>
      <c r="Q294" s="128">
        <f t="shared" si="67"/>
        <v>240</v>
      </c>
      <c r="R294" s="128">
        <f t="shared" si="68"/>
        <v>15</v>
      </c>
      <c r="S294" s="1">
        <f t="shared" ref="S294:S296" si="95">IF(Q294&gt;L294,1,0)</f>
        <v>1</v>
      </c>
      <c r="T294" s="128">
        <f t="shared" si="57"/>
        <v>-0.99999991999999338</v>
      </c>
      <c r="U294" s="128">
        <f t="shared" ref="U294:U296" si="96">SUM(L294:Q294)</f>
        <v>1137.0000001600001</v>
      </c>
      <c r="W294" s="128">
        <f t="shared" si="69"/>
        <v>240</v>
      </c>
      <c r="X294" s="128">
        <f t="shared" si="70"/>
        <v>227.00000008000001</v>
      </c>
    </row>
    <row r="295" spans="1:24">
      <c r="A295" s="22">
        <f>'Stats 2021'!D63</f>
        <v>44582</v>
      </c>
      <c r="B295" s="130">
        <f>'Stats 2021'!E63</f>
        <v>1</v>
      </c>
      <c r="C295" s="130">
        <f>'Stats 2021'!F63</f>
        <v>1</v>
      </c>
      <c r="D295" s="130">
        <f>'Stats 2021'!G63</f>
        <v>1</v>
      </c>
      <c r="E295" s="130">
        <f>'Stats 2021'!H63</f>
        <v>1</v>
      </c>
      <c r="F295" s="130">
        <f>'Stats 2021'!I63</f>
        <v>1</v>
      </c>
      <c r="G295" s="130">
        <f>'Stats 2021'!J63</f>
        <v>1</v>
      </c>
      <c r="K295" s="86">
        <f t="shared" si="61"/>
        <v>44582</v>
      </c>
      <c r="L295" s="128">
        <f t="shared" si="62"/>
        <v>225.00000008000001</v>
      </c>
      <c r="M295" s="128">
        <f t="shared" si="63"/>
        <v>94.000000080000007</v>
      </c>
      <c r="N295" s="128">
        <f t="shared" si="64"/>
        <v>226</v>
      </c>
      <c r="O295" s="128">
        <f t="shared" si="65"/>
        <v>135</v>
      </c>
      <c r="P295" s="128">
        <f t="shared" si="66"/>
        <v>222</v>
      </c>
      <c r="Q295" s="128">
        <f t="shared" si="67"/>
        <v>241</v>
      </c>
      <c r="R295" s="128">
        <f t="shared" si="68"/>
        <v>15</v>
      </c>
      <c r="S295" s="1">
        <f t="shared" si="95"/>
        <v>1</v>
      </c>
      <c r="T295" s="128">
        <f t="shared" ref="T295:T299" si="97">L295-N295</f>
        <v>-0.99999991999999338</v>
      </c>
      <c r="U295" s="128">
        <f t="shared" si="96"/>
        <v>1143.0000001600001</v>
      </c>
      <c r="W295" s="128">
        <f t="shared" si="69"/>
        <v>241</v>
      </c>
      <c r="X295" s="128">
        <f t="shared" si="70"/>
        <v>229.00000008000001</v>
      </c>
    </row>
    <row r="296" spans="1:24">
      <c r="A296" s="22">
        <f>'Stats 2021'!D65</f>
        <v>44589</v>
      </c>
      <c r="B296" s="130">
        <f>'Stats 2021'!E65</f>
        <v>1</v>
      </c>
      <c r="C296" s="130">
        <f>'Stats 2021'!F65</f>
        <v>0</v>
      </c>
      <c r="D296" s="130">
        <f>'Stats 2021'!G65</f>
        <v>1</v>
      </c>
      <c r="E296" s="130">
        <f>'Stats 2021'!H65</f>
        <v>0</v>
      </c>
      <c r="F296" s="130">
        <f>'Stats 2021'!I65</f>
        <v>1</v>
      </c>
      <c r="G296" s="130">
        <f>'Stats 2021'!J65</f>
        <v>1</v>
      </c>
      <c r="K296" s="86">
        <f t="shared" si="61"/>
        <v>44589</v>
      </c>
      <c r="L296" s="128">
        <f t="shared" si="62"/>
        <v>226.00000008000001</v>
      </c>
      <c r="M296" s="128">
        <f t="shared" si="63"/>
        <v>94.000000080000007</v>
      </c>
      <c r="N296" s="128">
        <f t="shared" si="64"/>
        <v>227</v>
      </c>
      <c r="O296" s="128">
        <f t="shared" si="65"/>
        <v>135</v>
      </c>
      <c r="P296" s="128">
        <f t="shared" si="66"/>
        <v>223</v>
      </c>
      <c r="Q296" s="128">
        <f t="shared" si="67"/>
        <v>242</v>
      </c>
      <c r="R296" s="128">
        <f t="shared" si="68"/>
        <v>15</v>
      </c>
      <c r="S296" s="1">
        <f t="shared" si="95"/>
        <v>1</v>
      </c>
      <c r="T296" s="128">
        <f t="shared" si="97"/>
        <v>-0.99999991999999338</v>
      </c>
      <c r="U296" s="128">
        <f t="shared" si="96"/>
        <v>1147.0000001600001</v>
      </c>
      <c r="W296" s="128">
        <f t="shared" si="69"/>
        <v>242</v>
      </c>
      <c r="X296" s="128">
        <f t="shared" si="70"/>
        <v>229.00000008000001</v>
      </c>
    </row>
    <row r="297" spans="1:24">
      <c r="A297" s="22">
        <f>'Stats 2021'!D66</f>
        <v>44596</v>
      </c>
      <c r="B297" s="130">
        <f>'Stats 2021'!E66</f>
        <v>1</v>
      </c>
      <c r="C297" s="130">
        <f>'Stats 2021'!F66</f>
        <v>1</v>
      </c>
      <c r="D297" s="130">
        <f>'Stats 2021'!G66</f>
        <v>0</v>
      </c>
      <c r="E297" s="130">
        <f>'Stats 2021'!H66</f>
        <v>0</v>
      </c>
      <c r="F297" s="130">
        <f>'Stats 2021'!I66</f>
        <v>0</v>
      </c>
      <c r="G297" s="130">
        <f>'Stats 2021'!J66</f>
        <v>1</v>
      </c>
      <c r="K297" s="86">
        <f t="shared" si="61"/>
        <v>44596</v>
      </c>
      <c r="L297" s="128">
        <f t="shared" si="62"/>
        <v>227.00000008000001</v>
      </c>
      <c r="M297" s="128">
        <f t="shared" si="63"/>
        <v>95.000000080000007</v>
      </c>
      <c r="N297" s="128">
        <f t="shared" si="64"/>
        <v>227</v>
      </c>
      <c r="O297" s="128">
        <f t="shared" si="65"/>
        <v>135</v>
      </c>
      <c r="P297" s="128">
        <f t="shared" si="66"/>
        <v>223</v>
      </c>
      <c r="Q297" s="128">
        <f t="shared" si="67"/>
        <v>243</v>
      </c>
      <c r="R297" s="128">
        <f t="shared" si="68"/>
        <v>15.999999919999993</v>
      </c>
      <c r="S297" s="1">
        <f t="shared" ref="S297" si="98">IF(Q297&gt;L297,1,0)</f>
        <v>1</v>
      </c>
      <c r="T297" s="128">
        <f t="shared" si="97"/>
        <v>8.000000661922968E-8</v>
      </c>
      <c r="U297" s="128">
        <f t="shared" ref="U297" si="99">SUM(L297:Q297)</f>
        <v>1150.0000001600001</v>
      </c>
      <c r="W297" s="128">
        <f t="shared" si="69"/>
        <v>243</v>
      </c>
      <c r="X297" s="128">
        <f t="shared" si="70"/>
        <v>230.00000008000001</v>
      </c>
    </row>
    <row r="298" spans="1:24">
      <c r="A298" s="22">
        <f>'Stats 2021'!D67</f>
        <v>44603</v>
      </c>
      <c r="B298" s="130">
        <f>'Stats 2021'!E67</f>
        <v>1</v>
      </c>
      <c r="C298" s="130">
        <f>'Stats 2021'!F67</f>
        <v>1</v>
      </c>
      <c r="D298" s="130">
        <f>'Stats 2021'!G67</f>
        <v>1</v>
      </c>
      <c r="E298" s="130">
        <f>'Stats 2021'!H67</f>
        <v>0</v>
      </c>
      <c r="F298" s="130">
        <f>'Stats 2021'!I67</f>
        <v>1</v>
      </c>
      <c r="G298" s="130">
        <f>'Stats 2021'!J67</f>
        <v>1</v>
      </c>
      <c r="K298" s="86">
        <f t="shared" si="61"/>
        <v>44603</v>
      </c>
      <c r="L298" s="128">
        <f t="shared" si="62"/>
        <v>228.00000008000001</v>
      </c>
      <c r="M298" s="128">
        <f t="shared" si="63"/>
        <v>96.000000080000007</v>
      </c>
      <c r="N298" s="128">
        <f t="shared" si="64"/>
        <v>228</v>
      </c>
      <c r="O298" s="128">
        <f t="shared" si="65"/>
        <v>135</v>
      </c>
      <c r="P298" s="128">
        <f t="shared" si="66"/>
        <v>224</v>
      </c>
      <c r="Q298" s="128">
        <f t="shared" si="67"/>
        <v>244</v>
      </c>
      <c r="R298" s="128">
        <f t="shared" ref="R298" si="100">Q298-MAX(L298:P298)</f>
        <v>15.999999919999993</v>
      </c>
      <c r="S298" s="1">
        <f t="shared" ref="S298" si="101">IF(Q298&gt;L298,1,0)</f>
        <v>1</v>
      </c>
      <c r="T298" s="128">
        <f t="shared" si="97"/>
        <v>8.000000661922968E-8</v>
      </c>
      <c r="U298" s="128">
        <f t="shared" ref="U298" si="102">SUM(L298:Q298)</f>
        <v>1155.0000001600001</v>
      </c>
      <c r="W298" s="128">
        <f t="shared" si="69"/>
        <v>244</v>
      </c>
      <c r="X298" s="128">
        <f t="shared" si="70"/>
        <v>231.00000008000001</v>
      </c>
    </row>
    <row r="299" spans="1:24">
      <c r="A299" s="22">
        <f>'Stats 2021'!D68</f>
        <v>44610</v>
      </c>
      <c r="B299" s="130">
        <f>'Stats 2021'!E68</f>
        <v>1</v>
      </c>
      <c r="C299" s="130">
        <f>'Stats 2021'!F68</f>
        <v>0</v>
      </c>
      <c r="D299" s="130">
        <f>'Stats 2021'!G68</f>
        <v>1</v>
      </c>
      <c r="E299" s="130">
        <f>'Stats 2021'!H68</f>
        <v>0</v>
      </c>
      <c r="F299" s="130">
        <f>'Stats 2021'!I68</f>
        <v>1</v>
      </c>
      <c r="G299" s="130">
        <f>'Stats 2021'!J68</f>
        <v>1</v>
      </c>
      <c r="K299" s="86">
        <f t="shared" si="61"/>
        <v>44610</v>
      </c>
      <c r="L299" s="128">
        <f t="shared" si="62"/>
        <v>229.00000008000001</v>
      </c>
      <c r="M299" s="128">
        <f t="shared" si="63"/>
        <v>96.000000080000007</v>
      </c>
      <c r="N299" s="128">
        <f t="shared" si="64"/>
        <v>229</v>
      </c>
      <c r="O299" s="128">
        <f t="shared" si="65"/>
        <v>135</v>
      </c>
      <c r="P299" s="128">
        <f t="shared" si="66"/>
        <v>225</v>
      </c>
      <c r="Q299" s="128">
        <f t="shared" si="67"/>
        <v>245</v>
      </c>
      <c r="R299" s="128">
        <f t="shared" ref="R299" si="103">Q299-MAX(L299:P299)</f>
        <v>15.999999919999993</v>
      </c>
      <c r="S299" s="1">
        <f>IF(Q299&gt;L299,1,0)</f>
        <v>1</v>
      </c>
      <c r="T299" s="128">
        <f t="shared" si="97"/>
        <v>8.000000661922968E-8</v>
      </c>
      <c r="U299" s="128">
        <f t="shared" ref="U299" si="104">SUM(L299:Q299)</f>
        <v>1159.0000001600001</v>
      </c>
      <c r="W299" s="128">
        <f t="shared" si="69"/>
        <v>245</v>
      </c>
      <c r="X299" s="128">
        <f t="shared" si="70"/>
        <v>231.00000008000001</v>
      </c>
    </row>
    <row r="300" spans="1:24">
      <c r="A300" s="22">
        <f>'Stats 2021'!D69</f>
        <v>44617</v>
      </c>
      <c r="B300" s="130">
        <f>'Stats 2021'!E69</f>
        <v>0</v>
      </c>
      <c r="C300" s="130">
        <f>'Stats 2021'!F69</f>
        <v>0</v>
      </c>
      <c r="D300" s="130">
        <f>'Stats 2021'!G69</f>
        <v>1</v>
      </c>
      <c r="E300" s="130">
        <f>'Stats 2021'!H69</f>
        <v>1</v>
      </c>
      <c r="F300" s="130">
        <f>'Stats 2021'!I69</f>
        <v>1</v>
      </c>
      <c r="G300" s="130">
        <f>'Stats 2021'!J69</f>
        <v>1</v>
      </c>
      <c r="K300" s="86">
        <f t="shared" si="61"/>
        <v>44617</v>
      </c>
      <c r="L300" s="128">
        <f t="shared" si="62"/>
        <v>229.00000008000001</v>
      </c>
      <c r="M300" s="128">
        <f t="shared" si="63"/>
        <v>96.000000080000007</v>
      </c>
      <c r="N300" s="128">
        <f t="shared" si="64"/>
        <v>230</v>
      </c>
      <c r="O300" s="128">
        <f t="shared" si="65"/>
        <v>136</v>
      </c>
      <c r="P300" s="128">
        <f t="shared" si="66"/>
        <v>226</v>
      </c>
      <c r="Q300" s="128">
        <f t="shared" si="67"/>
        <v>246</v>
      </c>
      <c r="R300" s="128">
        <f t="shared" ref="R300" si="105">Q300-MAX(L300:P300)</f>
        <v>16</v>
      </c>
      <c r="S300" s="1">
        <f>IF(Q300&gt;L300,1,0)</f>
        <v>1</v>
      </c>
      <c r="T300" s="128">
        <f t="shared" ref="T300" si="106">L300-N300</f>
        <v>-0.99999991999999338</v>
      </c>
      <c r="U300" s="128">
        <f t="shared" ref="U300" si="107">SUM(L300:Q300)</f>
        <v>1163.0000001600001</v>
      </c>
      <c r="W300" s="128">
        <f t="shared" si="69"/>
        <v>246</v>
      </c>
      <c r="X300" s="128">
        <f t="shared" si="70"/>
        <v>232.00000008000001</v>
      </c>
    </row>
    <row r="301" spans="1:24">
      <c r="A301" s="22">
        <f>'Stats 2021'!D70</f>
        <v>44624</v>
      </c>
      <c r="B301" s="130">
        <f>'Stats 2021'!E70</f>
        <v>0</v>
      </c>
      <c r="C301" s="130">
        <f>'Stats 2021'!F70</f>
        <v>1</v>
      </c>
      <c r="D301" s="130">
        <f>'Stats 2021'!G70</f>
        <v>0</v>
      </c>
      <c r="E301" s="130">
        <f>'Stats 2021'!H70</f>
        <v>0</v>
      </c>
      <c r="F301" s="130">
        <f>'Stats 2021'!I70</f>
        <v>1</v>
      </c>
      <c r="G301" s="130">
        <f>'Stats 2021'!J70</f>
        <v>1</v>
      </c>
      <c r="K301" s="86">
        <f t="shared" si="61"/>
        <v>44624</v>
      </c>
      <c r="L301" s="128">
        <f t="shared" si="62"/>
        <v>229.00000008000001</v>
      </c>
      <c r="M301" s="128">
        <f t="shared" si="63"/>
        <v>97.000000080000007</v>
      </c>
      <c r="N301" s="128">
        <f t="shared" si="64"/>
        <v>230</v>
      </c>
      <c r="O301" s="128">
        <f t="shared" si="65"/>
        <v>136</v>
      </c>
      <c r="P301" s="128">
        <f t="shared" si="66"/>
        <v>227</v>
      </c>
      <c r="Q301" s="128">
        <f t="shared" si="67"/>
        <v>247</v>
      </c>
      <c r="R301" s="128">
        <f t="shared" ref="R301:R302" si="108">Q301-MAX(L301:P301)</f>
        <v>17</v>
      </c>
      <c r="S301" s="1">
        <f t="shared" ref="S301:S302" si="109">IF(Q301&gt;L301,1,0)</f>
        <v>1</v>
      </c>
      <c r="T301" s="128">
        <f t="shared" ref="T301:T302" si="110">L301-N301</f>
        <v>-0.99999991999999338</v>
      </c>
      <c r="U301" s="128">
        <f t="shared" ref="U301:U302" si="111">SUM(L301:Q301)</f>
        <v>1166.0000001600001</v>
      </c>
      <c r="W301" s="128">
        <f t="shared" si="69"/>
        <v>247</v>
      </c>
      <c r="X301" s="128">
        <f t="shared" si="70"/>
        <v>233.00000008000001</v>
      </c>
    </row>
    <row r="302" spans="1:24">
      <c r="A302" s="22">
        <f>'Stats 2021'!D71</f>
        <v>44631</v>
      </c>
      <c r="B302" s="130">
        <f>'Stats 2021'!E71</f>
        <v>1</v>
      </c>
      <c r="C302" s="130">
        <f>'Stats 2021'!F71</f>
        <v>1</v>
      </c>
      <c r="D302" s="130">
        <f>'Stats 2021'!G71</f>
        <v>1</v>
      </c>
      <c r="E302" s="130">
        <f>'Stats 2021'!H71</f>
        <v>0</v>
      </c>
      <c r="F302" s="130">
        <f>'Stats 2021'!I71</f>
        <v>1</v>
      </c>
      <c r="G302" s="130">
        <f>'Stats 2021'!J71</f>
        <v>1</v>
      </c>
      <c r="K302" s="86">
        <f t="shared" si="61"/>
        <v>44631</v>
      </c>
      <c r="L302" s="128">
        <f t="shared" si="62"/>
        <v>230.00000008000001</v>
      </c>
      <c r="M302" s="128">
        <f t="shared" si="63"/>
        <v>98.000000080000007</v>
      </c>
      <c r="N302" s="128">
        <f t="shared" si="64"/>
        <v>231</v>
      </c>
      <c r="O302" s="128">
        <f t="shared" si="65"/>
        <v>136</v>
      </c>
      <c r="P302" s="128">
        <f t="shared" si="66"/>
        <v>228</v>
      </c>
      <c r="Q302" s="128">
        <f t="shared" si="67"/>
        <v>248</v>
      </c>
      <c r="R302" s="128">
        <f t="shared" si="108"/>
        <v>17</v>
      </c>
      <c r="S302" s="1">
        <f t="shared" si="109"/>
        <v>1</v>
      </c>
      <c r="T302" s="128">
        <f t="shared" si="110"/>
        <v>-0.99999991999999338</v>
      </c>
      <c r="U302" s="128">
        <f t="shared" si="111"/>
        <v>1171.0000001600001</v>
      </c>
      <c r="W302" s="128">
        <f t="shared" si="69"/>
        <v>248</v>
      </c>
      <c r="X302" s="128">
        <f t="shared" si="70"/>
        <v>234.00000008000001</v>
      </c>
    </row>
    <row r="303" spans="1:24">
      <c r="A303" s="22">
        <f>'Stats 2022'!D25</f>
        <v>44638</v>
      </c>
      <c r="B303" s="130">
        <f>'Stats 2022'!E25</f>
        <v>1</v>
      </c>
      <c r="C303" s="130">
        <f>'Stats 2022'!F25</f>
        <v>1</v>
      </c>
      <c r="D303" s="130">
        <f>'Stats 2022'!G25</f>
        <v>1</v>
      </c>
      <c r="E303" s="130">
        <f>'Stats 2022'!H25</f>
        <v>1</v>
      </c>
      <c r="F303" s="130">
        <f>'Stats 2022'!I25</f>
        <v>1</v>
      </c>
      <c r="G303" s="130">
        <f>'Stats 2022'!J25</f>
        <v>0</v>
      </c>
      <c r="K303" s="86">
        <f t="shared" si="61"/>
        <v>44638</v>
      </c>
      <c r="L303" s="128">
        <f t="shared" si="62"/>
        <v>231.00000008000001</v>
      </c>
      <c r="M303" s="128">
        <f t="shared" si="63"/>
        <v>99.000000080000007</v>
      </c>
      <c r="N303" s="128">
        <f t="shared" si="64"/>
        <v>232</v>
      </c>
      <c r="O303" s="128">
        <f t="shared" si="65"/>
        <v>137</v>
      </c>
      <c r="P303" s="128">
        <f t="shared" si="66"/>
        <v>229</v>
      </c>
      <c r="Q303" s="128">
        <f t="shared" si="67"/>
        <v>248</v>
      </c>
      <c r="R303" s="128">
        <f>Q303-MAX(L303:P303)</f>
        <v>16</v>
      </c>
      <c r="S303" s="1">
        <f t="shared" ref="S303:S305" si="112">IF(Q303&gt;L303,1,0)</f>
        <v>1</v>
      </c>
      <c r="T303" s="128">
        <f t="shared" ref="T303:T305" si="113">L303-N303</f>
        <v>-0.99999991999999338</v>
      </c>
      <c r="U303" s="128">
        <f t="shared" ref="U303:U305" si="114">SUM(L303:Q303)</f>
        <v>1176.0000001600001</v>
      </c>
      <c r="W303" s="128">
        <f t="shared" si="69"/>
        <v>248</v>
      </c>
      <c r="X303" s="128">
        <f t="shared" si="70"/>
        <v>236.00000008000001</v>
      </c>
    </row>
    <row r="304" spans="1:24">
      <c r="A304" s="22">
        <f>'Stats 2022'!D26</f>
        <v>44645</v>
      </c>
      <c r="B304" s="130">
        <f>'Stats 2022'!E26</f>
        <v>0</v>
      </c>
      <c r="C304" s="130">
        <f>'Stats 2022'!F26</f>
        <v>0</v>
      </c>
      <c r="D304" s="130">
        <f>'Stats 2022'!G26</f>
        <v>0</v>
      </c>
      <c r="E304" s="130">
        <f>'Stats 2022'!H26</f>
        <v>0</v>
      </c>
      <c r="F304" s="130">
        <f>'Stats 2022'!I26</f>
        <v>1</v>
      </c>
      <c r="G304" s="130">
        <f>'Stats 2022'!J26</f>
        <v>1</v>
      </c>
      <c r="K304" s="86">
        <f t="shared" si="61"/>
        <v>44645</v>
      </c>
      <c r="L304" s="128">
        <f t="shared" si="62"/>
        <v>231.00000008000001</v>
      </c>
      <c r="M304" s="128">
        <f t="shared" si="63"/>
        <v>99.000000080000007</v>
      </c>
      <c r="N304" s="128">
        <f t="shared" si="64"/>
        <v>232</v>
      </c>
      <c r="O304" s="128">
        <f t="shared" si="65"/>
        <v>137</v>
      </c>
      <c r="P304" s="128">
        <f t="shared" si="66"/>
        <v>230</v>
      </c>
      <c r="Q304" s="128">
        <f t="shared" si="67"/>
        <v>249</v>
      </c>
      <c r="R304" s="128">
        <f t="shared" ref="R304:R305" si="115">Q304-MAX(L304:P304)</f>
        <v>17</v>
      </c>
      <c r="S304" s="1">
        <f t="shared" si="112"/>
        <v>1</v>
      </c>
      <c r="T304" s="128">
        <f t="shared" si="113"/>
        <v>-0.99999991999999338</v>
      </c>
      <c r="U304" s="128">
        <f t="shared" si="114"/>
        <v>1178.0000001600001</v>
      </c>
      <c r="W304" s="128">
        <f t="shared" si="69"/>
        <v>249</v>
      </c>
      <c r="X304" s="128">
        <f t="shared" si="70"/>
        <v>236.00000008000001</v>
      </c>
    </row>
    <row r="305" spans="1:24">
      <c r="A305" s="22">
        <f>'Stats 2022'!D27</f>
        <v>44652</v>
      </c>
      <c r="B305" s="130">
        <f>'Stats 2022'!E27</f>
        <v>0</v>
      </c>
      <c r="C305" s="130">
        <f>'Stats 2022'!F27</f>
        <v>0</v>
      </c>
      <c r="D305" s="130">
        <f>'Stats 2022'!G27</f>
        <v>0</v>
      </c>
      <c r="E305" s="130">
        <f>'Stats 2022'!H27</f>
        <v>0</v>
      </c>
      <c r="F305" s="130">
        <f>'Stats 2022'!I27</f>
        <v>1</v>
      </c>
      <c r="G305" s="130">
        <f>'Stats 2022'!J27</f>
        <v>1</v>
      </c>
      <c r="K305" s="86">
        <f t="shared" si="61"/>
        <v>44652</v>
      </c>
      <c r="L305" s="128">
        <f t="shared" si="62"/>
        <v>231.00000008000001</v>
      </c>
      <c r="M305" s="128">
        <f t="shared" si="63"/>
        <v>99.000000080000007</v>
      </c>
      <c r="N305" s="128">
        <f t="shared" si="64"/>
        <v>232</v>
      </c>
      <c r="O305" s="128">
        <f t="shared" si="65"/>
        <v>137</v>
      </c>
      <c r="P305" s="128">
        <f t="shared" si="66"/>
        <v>231</v>
      </c>
      <c r="Q305" s="128">
        <f t="shared" si="67"/>
        <v>250</v>
      </c>
      <c r="R305" s="128">
        <f t="shared" si="115"/>
        <v>18</v>
      </c>
      <c r="S305" s="1">
        <f t="shared" si="112"/>
        <v>1</v>
      </c>
      <c r="T305" s="128">
        <f t="shared" si="113"/>
        <v>-0.99999991999999338</v>
      </c>
      <c r="U305" s="128">
        <f t="shared" si="114"/>
        <v>1180.0000001600001</v>
      </c>
      <c r="W305" s="128">
        <f t="shared" si="69"/>
        <v>250</v>
      </c>
      <c r="X305" s="128">
        <f t="shared" si="70"/>
        <v>236.00000008000001</v>
      </c>
    </row>
    <row r="306" spans="1:24">
      <c r="A306" s="22">
        <f>'Stats 2022'!D29</f>
        <v>44659</v>
      </c>
      <c r="B306" s="130">
        <f>'Stats 2022'!E29</f>
        <v>1</v>
      </c>
      <c r="C306" s="130">
        <f>'Stats 2022'!F29</f>
        <v>0</v>
      </c>
      <c r="D306" s="130">
        <f>'Stats 2022'!G29</f>
        <v>1</v>
      </c>
      <c r="E306" s="130">
        <f>'Stats 2022'!H29</f>
        <v>0</v>
      </c>
      <c r="F306" s="130">
        <f>'Stats 2022'!I29</f>
        <v>1</v>
      </c>
      <c r="G306" s="130">
        <f>'Stats 2022'!J29</f>
        <v>1</v>
      </c>
      <c r="K306" s="86">
        <f t="shared" si="61"/>
        <v>44659</v>
      </c>
      <c r="L306" s="128">
        <f t="shared" si="62"/>
        <v>232.00000008000001</v>
      </c>
      <c r="M306" s="128">
        <f t="shared" si="63"/>
        <v>99.000000080000007</v>
      </c>
      <c r="N306" s="128">
        <f t="shared" si="64"/>
        <v>233</v>
      </c>
      <c r="O306" s="128">
        <f t="shared" si="65"/>
        <v>137</v>
      </c>
      <c r="P306" s="128">
        <f t="shared" si="66"/>
        <v>232</v>
      </c>
      <c r="Q306" s="128">
        <f t="shared" si="67"/>
        <v>251</v>
      </c>
      <c r="R306" s="128">
        <f t="shared" ref="R306:R329" si="116">Q306-MAX(L306:P306)</f>
        <v>18</v>
      </c>
      <c r="S306" s="1">
        <f t="shared" ref="S306:S329" si="117">IF(Q306&gt;L306,1,0)</f>
        <v>1</v>
      </c>
      <c r="T306" s="128">
        <f t="shared" ref="T306:T329" si="118">L306-N306</f>
        <v>-0.99999991999999338</v>
      </c>
      <c r="U306" s="128">
        <f t="shared" ref="U306:U329" si="119">SUM(L306:Q306)</f>
        <v>1184.0000001600001</v>
      </c>
      <c r="W306" s="128">
        <f t="shared" si="69"/>
        <v>251</v>
      </c>
      <c r="X306" s="128">
        <f t="shared" si="70"/>
        <v>236.00000008000001</v>
      </c>
    </row>
    <row r="307" spans="1:24">
      <c r="A307" s="22">
        <f>'Stats 2022'!D30</f>
        <v>44673</v>
      </c>
      <c r="B307" s="130">
        <f>'Stats 2022'!E30</f>
        <v>1</v>
      </c>
      <c r="C307" s="130">
        <f>'Stats 2022'!F30</f>
        <v>1</v>
      </c>
      <c r="D307" s="130">
        <f>'Stats 2022'!G30</f>
        <v>1</v>
      </c>
      <c r="E307" s="130">
        <f>'Stats 2022'!H30</f>
        <v>0</v>
      </c>
      <c r="F307" s="130">
        <f>'Stats 2022'!I30</f>
        <v>1</v>
      </c>
      <c r="G307" s="130">
        <f>'Stats 2022'!J30</f>
        <v>1</v>
      </c>
      <c r="K307" s="86">
        <f t="shared" si="61"/>
        <v>44673</v>
      </c>
      <c r="L307" s="128">
        <f t="shared" si="62"/>
        <v>233.00000008000001</v>
      </c>
      <c r="M307" s="128">
        <f t="shared" si="63"/>
        <v>100.00000008000001</v>
      </c>
      <c r="N307" s="128">
        <f t="shared" si="64"/>
        <v>234</v>
      </c>
      <c r="O307" s="128">
        <f t="shared" si="65"/>
        <v>137</v>
      </c>
      <c r="P307" s="128">
        <f t="shared" si="66"/>
        <v>233</v>
      </c>
      <c r="Q307" s="128">
        <f t="shared" si="67"/>
        <v>252</v>
      </c>
      <c r="R307" s="128">
        <f t="shared" si="116"/>
        <v>18</v>
      </c>
      <c r="S307" s="1">
        <f t="shared" si="117"/>
        <v>1</v>
      </c>
      <c r="T307" s="128">
        <f t="shared" si="118"/>
        <v>-0.99999991999999338</v>
      </c>
      <c r="U307" s="128">
        <f t="shared" si="119"/>
        <v>1189.0000001600001</v>
      </c>
      <c r="W307" s="128">
        <f t="shared" si="69"/>
        <v>252</v>
      </c>
      <c r="X307" s="128">
        <f t="shared" si="70"/>
        <v>237.00000008000001</v>
      </c>
    </row>
    <row r="308" spans="1:24">
      <c r="A308" s="22">
        <f>'Stats 2022'!D31</f>
        <v>44680</v>
      </c>
      <c r="B308" s="130">
        <f>'Stats 2022'!E31</f>
        <v>1</v>
      </c>
      <c r="C308" s="130">
        <f>'Stats 2022'!F31</f>
        <v>1</v>
      </c>
      <c r="D308" s="130">
        <f>'Stats 2022'!G31</f>
        <v>1</v>
      </c>
      <c r="E308" s="130">
        <f>'Stats 2022'!H31</f>
        <v>0</v>
      </c>
      <c r="F308" s="130">
        <f>'Stats 2022'!I31</f>
        <v>1</v>
      </c>
      <c r="G308" s="130">
        <f>'Stats 2022'!J31</f>
        <v>1</v>
      </c>
      <c r="K308" s="86">
        <f t="shared" si="61"/>
        <v>44680</v>
      </c>
      <c r="L308" s="128">
        <f t="shared" si="62"/>
        <v>234.00000008000001</v>
      </c>
      <c r="M308" s="128">
        <f t="shared" si="63"/>
        <v>101.00000008000001</v>
      </c>
      <c r="N308" s="128">
        <f t="shared" si="64"/>
        <v>235</v>
      </c>
      <c r="O308" s="128">
        <f t="shared" si="65"/>
        <v>137</v>
      </c>
      <c r="P308" s="128">
        <f t="shared" si="66"/>
        <v>234</v>
      </c>
      <c r="Q308" s="128">
        <f t="shared" si="67"/>
        <v>253</v>
      </c>
      <c r="R308" s="128">
        <f t="shared" si="116"/>
        <v>18</v>
      </c>
      <c r="S308" s="1">
        <f t="shared" si="117"/>
        <v>1</v>
      </c>
      <c r="T308" s="128">
        <f t="shared" si="118"/>
        <v>-0.99999991999999338</v>
      </c>
      <c r="U308" s="128">
        <f t="shared" si="119"/>
        <v>1194.0000001600001</v>
      </c>
      <c r="W308" s="128">
        <f t="shared" si="69"/>
        <v>253</v>
      </c>
      <c r="X308" s="128">
        <f t="shared" si="70"/>
        <v>238.00000008000001</v>
      </c>
    </row>
    <row r="309" spans="1:24">
      <c r="A309" s="22">
        <f>'Stats 2022'!D32</f>
        <v>44687</v>
      </c>
      <c r="B309" s="130">
        <f>'Stats 2022'!E32</f>
        <v>0</v>
      </c>
      <c r="C309" s="130">
        <f>'Stats 2022'!F32</f>
        <v>1</v>
      </c>
      <c r="D309" s="130">
        <f>'Stats 2022'!G32</f>
        <v>0</v>
      </c>
      <c r="E309" s="130">
        <f>'Stats 2022'!H32</f>
        <v>0</v>
      </c>
      <c r="F309" s="130">
        <f>'Stats 2022'!I32</f>
        <v>0</v>
      </c>
      <c r="G309" s="130">
        <f>'Stats 2022'!J32</f>
        <v>1</v>
      </c>
      <c r="K309" s="86">
        <f t="shared" si="61"/>
        <v>44687</v>
      </c>
      <c r="L309" s="128">
        <f t="shared" si="62"/>
        <v>234.00000008000001</v>
      </c>
      <c r="M309" s="128">
        <f t="shared" si="63"/>
        <v>102.00000008000001</v>
      </c>
      <c r="N309" s="128">
        <f t="shared" si="64"/>
        <v>235</v>
      </c>
      <c r="O309" s="128">
        <f t="shared" si="65"/>
        <v>137</v>
      </c>
      <c r="P309" s="128">
        <f t="shared" si="66"/>
        <v>234</v>
      </c>
      <c r="Q309" s="128">
        <f t="shared" si="67"/>
        <v>254</v>
      </c>
      <c r="R309" s="128">
        <f t="shared" si="116"/>
        <v>19</v>
      </c>
      <c r="S309" s="1">
        <f t="shared" si="117"/>
        <v>1</v>
      </c>
      <c r="T309" s="128">
        <f t="shared" si="118"/>
        <v>-0.99999991999999338</v>
      </c>
      <c r="U309" s="128">
        <f t="shared" si="119"/>
        <v>1196.0000001600001</v>
      </c>
      <c r="W309" s="128">
        <f t="shared" si="69"/>
        <v>254</v>
      </c>
      <c r="X309" s="128">
        <f t="shared" si="70"/>
        <v>239.00000008000001</v>
      </c>
    </row>
    <row r="310" spans="1:24">
      <c r="A310" s="22">
        <f>'Stats 2022'!D33</f>
        <v>44694</v>
      </c>
      <c r="B310" s="130">
        <f>'Stats 2022'!E33</f>
        <v>1</v>
      </c>
      <c r="C310" s="130">
        <f>'Stats 2022'!F33</f>
        <v>1</v>
      </c>
      <c r="D310" s="130">
        <f>'Stats 2022'!G33</f>
        <v>1</v>
      </c>
      <c r="E310" s="130">
        <f>'Stats 2022'!H33</f>
        <v>1</v>
      </c>
      <c r="F310" s="130">
        <f>'Stats 2022'!I33</f>
        <v>1</v>
      </c>
      <c r="G310" s="130">
        <f>'Stats 2022'!J33</f>
        <v>0</v>
      </c>
      <c r="K310" s="86">
        <f t="shared" si="61"/>
        <v>44694</v>
      </c>
      <c r="L310" s="128">
        <f t="shared" si="62"/>
        <v>235.00000008000001</v>
      </c>
      <c r="M310" s="128">
        <f t="shared" si="63"/>
        <v>103.00000008000001</v>
      </c>
      <c r="N310" s="128">
        <f t="shared" si="64"/>
        <v>236</v>
      </c>
      <c r="O310" s="128">
        <f t="shared" si="65"/>
        <v>138</v>
      </c>
      <c r="P310" s="128">
        <f t="shared" si="66"/>
        <v>235</v>
      </c>
      <c r="Q310" s="128">
        <f t="shared" si="67"/>
        <v>254</v>
      </c>
      <c r="R310" s="128">
        <f t="shared" si="116"/>
        <v>18</v>
      </c>
      <c r="S310" s="1">
        <f t="shared" si="117"/>
        <v>1</v>
      </c>
      <c r="T310" s="128">
        <f t="shared" si="118"/>
        <v>-0.99999991999999338</v>
      </c>
      <c r="U310" s="128">
        <f t="shared" si="119"/>
        <v>1201.0000001600001</v>
      </c>
      <c r="W310" s="128">
        <f t="shared" si="69"/>
        <v>254</v>
      </c>
      <c r="X310" s="128">
        <f t="shared" si="70"/>
        <v>241.00000008000001</v>
      </c>
    </row>
    <row r="311" spans="1:24">
      <c r="A311" s="22">
        <f>'Stats 2022'!D34</f>
        <v>44701</v>
      </c>
      <c r="B311" s="130">
        <f>'Stats 2022'!E34</f>
        <v>1</v>
      </c>
      <c r="C311" s="130">
        <f>'Stats 2022'!F34</f>
        <v>1</v>
      </c>
      <c r="D311" s="130">
        <f>'Stats 2022'!G34</f>
        <v>1</v>
      </c>
      <c r="E311" s="130">
        <f>'Stats 2022'!H34</f>
        <v>1</v>
      </c>
      <c r="F311" s="130">
        <f>'Stats 2022'!I34</f>
        <v>1</v>
      </c>
      <c r="G311" s="130">
        <f>'Stats 2022'!J34</f>
        <v>0</v>
      </c>
      <c r="K311" s="86">
        <f t="shared" si="61"/>
        <v>44701</v>
      </c>
      <c r="L311" s="128">
        <f t="shared" si="62"/>
        <v>236.00000008000001</v>
      </c>
      <c r="M311" s="128">
        <f t="shared" si="63"/>
        <v>104.00000008000001</v>
      </c>
      <c r="N311" s="128">
        <f t="shared" si="64"/>
        <v>237</v>
      </c>
      <c r="O311" s="128">
        <f t="shared" si="65"/>
        <v>139</v>
      </c>
      <c r="P311" s="128">
        <f t="shared" si="66"/>
        <v>236</v>
      </c>
      <c r="Q311" s="128">
        <f t="shared" si="67"/>
        <v>254</v>
      </c>
      <c r="R311" s="128">
        <f t="shared" si="116"/>
        <v>17</v>
      </c>
      <c r="S311" s="1">
        <f t="shared" si="117"/>
        <v>1</v>
      </c>
      <c r="T311" s="128">
        <f t="shared" si="118"/>
        <v>-0.99999991999999338</v>
      </c>
      <c r="U311" s="128">
        <f t="shared" si="119"/>
        <v>1206.0000001600001</v>
      </c>
      <c r="W311" s="128">
        <f t="shared" si="69"/>
        <v>254</v>
      </c>
      <c r="X311" s="128">
        <f t="shared" si="70"/>
        <v>243.00000008000001</v>
      </c>
    </row>
    <row r="312" spans="1:24">
      <c r="A312" s="22">
        <f>'Stats 2022'!D35</f>
        <v>44708</v>
      </c>
      <c r="B312" s="130">
        <f>'Stats 2022'!E35</f>
        <v>1</v>
      </c>
      <c r="C312" s="130">
        <f>'Stats 2022'!F35</f>
        <v>1</v>
      </c>
      <c r="D312" s="130">
        <f>'Stats 2022'!G35</f>
        <v>0</v>
      </c>
      <c r="E312" s="130">
        <f>'Stats 2022'!H35</f>
        <v>0</v>
      </c>
      <c r="F312" s="130">
        <f>'Stats 2022'!I35</f>
        <v>1</v>
      </c>
      <c r="G312" s="130">
        <f>'Stats 2022'!J35</f>
        <v>1</v>
      </c>
      <c r="K312" s="86">
        <f t="shared" si="61"/>
        <v>44708</v>
      </c>
      <c r="L312" s="128">
        <f t="shared" si="62"/>
        <v>237.00000008000001</v>
      </c>
      <c r="M312" s="128">
        <f t="shared" si="63"/>
        <v>105.00000008000001</v>
      </c>
      <c r="N312" s="128">
        <f t="shared" si="64"/>
        <v>237</v>
      </c>
      <c r="O312" s="128">
        <f t="shared" si="65"/>
        <v>139</v>
      </c>
      <c r="P312" s="128">
        <f t="shared" si="66"/>
        <v>237</v>
      </c>
      <c r="Q312" s="128">
        <f t="shared" si="67"/>
        <v>255</v>
      </c>
      <c r="R312" s="128">
        <f t="shared" si="116"/>
        <v>17.999999919999993</v>
      </c>
      <c r="S312" s="1">
        <f t="shared" si="117"/>
        <v>1</v>
      </c>
      <c r="T312" s="128">
        <f t="shared" si="118"/>
        <v>8.000000661922968E-8</v>
      </c>
      <c r="U312" s="128">
        <f t="shared" si="119"/>
        <v>1210.0000001600001</v>
      </c>
      <c r="W312" s="128">
        <f t="shared" si="69"/>
        <v>255</v>
      </c>
      <c r="X312" s="128">
        <f t="shared" si="70"/>
        <v>244.00000008000001</v>
      </c>
    </row>
    <row r="313" spans="1:24">
      <c r="A313" s="22">
        <f>'Stats 2022'!D36</f>
        <v>44715</v>
      </c>
      <c r="B313" s="130">
        <f>'Stats 2022'!E36</f>
        <v>0</v>
      </c>
      <c r="C313" s="130">
        <f>'Stats 2022'!F36</f>
        <v>1</v>
      </c>
      <c r="D313" s="130">
        <f>'Stats 2022'!G36</f>
        <v>0</v>
      </c>
      <c r="E313" s="130">
        <f>'Stats 2022'!H36</f>
        <v>0</v>
      </c>
      <c r="F313" s="130">
        <f>'Stats 2022'!I36</f>
        <v>0</v>
      </c>
      <c r="G313" s="130">
        <f>'Stats 2022'!J36</f>
        <v>1</v>
      </c>
      <c r="K313" s="86">
        <f t="shared" si="61"/>
        <v>44715</v>
      </c>
      <c r="L313" s="128">
        <f t="shared" si="62"/>
        <v>237.00000008000001</v>
      </c>
      <c r="M313" s="128">
        <f t="shared" si="63"/>
        <v>106.00000008000001</v>
      </c>
      <c r="N313" s="128">
        <f t="shared" si="64"/>
        <v>237</v>
      </c>
      <c r="O313" s="128">
        <f t="shared" si="65"/>
        <v>139</v>
      </c>
      <c r="P313" s="128">
        <f t="shared" si="66"/>
        <v>237</v>
      </c>
      <c r="Q313" s="128">
        <f t="shared" si="67"/>
        <v>256</v>
      </c>
      <c r="R313" s="128">
        <f t="shared" si="116"/>
        <v>18.999999919999993</v>
      </c>
      <c r="S313" s="1">
        <f t="shared" si="117"/>
        <v>1</v>
      </c>
      <c r="T313" s="128">
        <f t="shared" si="118"/>
        <v>8.000000661922968E-8</v>
      </c>
      <c r="U313" s="128">
        <f t="shared" si="119"/>
        <v>1212.0000001600001</v>
      </c>
      <c r="W313" s="128">
        <f t="shared" si="69"/>
        <v>256</v>
      </c>
      <c r="X313" s="128">
        <f t="shared" si="70"/>
        <v>245.00000008000001</v>
      </c>
    </row>
    <row r="314" spans="1:24">
      <c r="A314" s="22">
        <f>'Stats 2022'!D37</f>
        <v>44722</v>
      </c>
      <c r="B314" s="130">
        <f>'Stats 2022'!E37</f>
        <v>1</v>
      </c>
      <c r="C314" s="130">
        <f>'Stats 2022'!F37</f>
        <v>1</v>
      </c>
      <c r="D314" s="130">
        <f>'Stats 2022'!G37</f>
        <v>0</v>
      </c>
      <c r="E314" s="130">
        <f>'Stats 2022'!H37</f>
        <v>0</v>
      </c>
      <c r="F314" s="130">
        <f>'Stats 2022'!I37</f>
        <v>0</v>
      </c>
      <c r="G314" s="130">
        <f>'Stats 2022'!J37</f>
        <v>1</v>
      </c>
      <c r="K314" s="86">
        <f t="shared" si="61"/>
        <v>44722</v>
      </c>
      <c r="L314" s="128">
        <f t="shared" si="62"/>
        <v>238.00000008000001</v>
      </c>
      <c r="M314" s="128">
        <f t="shared" si="63"/>
        <v>107.00000008000001</v>
      </c>
      <c r="N314" s="128">
        <f t="shared" si="64"/>
        <v>237</v>
      </c>
      <c r="O314" s="128">
        <f t="shared" si="65"/>
        <v>139</v>
      </c>
      <c r="P314" s="128">
        <f t="shared" si="66"/>
        <v>237</v>
      </c>
      <c r="Q314" s="128">
        <f t="shared" si="67"/>
        <v>257</v>
      </c>
      <c r="R314" s="128">
        <f t="shared" si="116"/>
        <v>18.999999919999993</v>
      </c>
      <c r="S314" s="1">
        <f t="shared" si="117"/>
        <v>1</v>
      </c>
      <c r="T314" s="128">
        <f t="shared" si="118"/>
        <v>1.0000000800000066</v>
      </c>
      <c r="U314" s="128">
        <f t="shared" si="119"/>
        <v>1215.0000001600001</v>
      </c>
      <c r="W314" s="128">
        <f t="shared" si="69"/>
        <v>257</v>
      </c>
      <c r="X314" s="128">
        <f t="shared" si="70"/>
        <v>246.00000008000001</v>
      </c>
    </row>
    <row r="315" spans="1:24">
      <c r="A315" s="22">
        <f>'Stats 2022'!D38</f>
        <v>44729</v>
      </c>
      <c r="B315" s="130">
        <f>'Stats 2022'!E38</f>
        <v>1</v>
      </c>
      <c r="C315" s="130">
        <f>'Stats 2022'!F38</f>
        <v>1</v>
      </c>
      <c r="D315" s="130">
        <f>'Stats 2022'!G38</f>
        <v>1</v>
      </c>
      <c r="E315" s="130">
        <f>'Stats 2022'!H38</f>
        <v>0</v>
      </c>
      <c r="F315" s="130">
        <f>'Stats 2022'!I38</f>
        <v>0</v>
      </c>
      <c r="G315" s="130">
        <f>'Stats 2022'!J38</f>
        <v>0</v>
      </c>
      <c r="K315" s="86">
        <f t="shared" si="61"/>
        <v>44729</v>
      </c>
      <c r="L315" s="128">
        <f t="shared" si="62"/>
        <v>239.00000008000001</v>
      </c>
      <c r="M315" s="128">
        <f t="shared" si="63"/>
        <v>108.00000008000001</v>
      </c>
      <c r="N315" s="128">
        <f t="shared" si="64"/>
        <v>238</v>
      </c>
      <c r="O315" s="128">
        <f t="shared" si="65"/>
        <v>139</v>
      </c>
      <c r="P315" s="128">
        <f t="shared" si="66"/>
        <v>237</v>
      </c>
      <c r="Q315" s="128">
        <f t="shared" si="67"/>
        <v>257</v>
      </c>
      <c r="R315" s="128">
        <f t="shared" si="116"/>
        <v>17.999999919999993</v>
      </c>
      <c r="S315" s="1">
        <f t="shared" si="117"/>
        <v>1</v>
      </c>
      <c r="T315" s="128">
        <f t="shared" si="118"/>
        <v>1.0000000800000066</v>
      </c>
      <c r="U315" s="128">
        <f t="shared" si="119"/>
        <v>1218.0000001600001</v>
      </c>
      <c r="W315" s="128">
        <f t="shared" si="69"/>
        <v>257</v>
      </c>
      <c r="X315" s="128">
        <f t="shared" si="70"/>
        <v>247.00000008000001</v>
      </c>
    </row>
    <row r="316" spans="1:24">
      <c r="A316" s="22">
        <f>'Stats 2022'!D39</f>
        <v>44736</v>
      </c>
      <c r="B316" s="130">
        <f>'Stats 2022'!E39</f>
        <v>0</v>
      </c>
      <c r="C316" s="130">
        <f>'Stats 2022'!F39</f>
        <v>1</v>
      </c>
      <c r="D316" s="130">
        <f>'Stats 2022'!G39</f>
        <v>1</v>
      </c>
      <c r="E316" s="130">
        <f>'Stats 2022'!H39</f>
        <v>0</v>
      </c>
      <c r="F316" s="130">
        <f>'Stats 2022'!I39</f>
        <v>1</v>
      </c>
      <c r="G316" s="130">
        <f>'Stats 2022'!J39</f>
        <v>1</v>
      </c>
      <c r="K316" s="86">
        <f t="shared" si="61"/>
        <v>44736</v>
      </c>
      <c r="L316" s="128">
        <f t="shared" si="62"/>
        <v>239.00000008000001</v>
      </c>
      <c r="M316" s="128">
        <f t="shared" si="63"/>
        <v>109.00000008000001</v>
      </c>
      <c r="N316" s="128">
        <f t="shared" si="64"/>
        <v>239</v>
      </c>
      <c r="O316" s="128">
        <f t="shared" si="65"/>
        <v>139</v>
      </c>
      <c r="P316" s="128">
        <f t="shared" si="66"/>
        <v>238</v>
      </c>
      <c r="Q316" s="128">
        <f t="shared" si="67"/>
        <v>258</v>
      </c>
      <c r="R316" s="128">
        <f t="shared" si="116"/>
        <v>18.999999919999993</v>
      </c>
      <c r="S316" s="1">
        <f t="shared" si="117"/>
        <v>1</v>
      </c>
      <c r="T316" s="128">
        <f t="shared" si="118"/>
        <v>8.000000661922968E-8</v>
      </c>
      <c r="U316" s="128">
        <f t="shared" si="119"/>
        <v>1222.0000001600001</v>
      </c>
      <c r="W316" s="128">
        <f t="shared" si="69"/>
        <v>258</v>
      </c>
      <c r="X316" s="128">
        <f t="shared" si="70"/>
        <v>248.00000008000001</v>
      </c>
    </row>
    <row r="317" spans="1:24">
      <c r="A317" s="22">
        <f>'Stats 2022'!D41</f>
        <v>44743</v>
      </c>
      <c r="B317" s="130">
        <f>'Stats 2022'!E41</f>
        <v>0</v>
      </c>
      <c r="C317" s="130">
        <f>'Stats 2022'!F41</f>
        <v>1</v>
      </c>
      <c r="D317" s="130">
        <f>'Stats 2022'!G41</f>
        <v>1</v>
      </c>
      <c r="E317" s="130">
        <f>'Stats 2022'!H41</f>
        <v>0</v>
      </c>
      <c r="F317" s="130">
        <f>'Stats 2022'!I41</f>
        <v>1</v>
      </c>
      <c r="G317" s="130">
        <f>'Stats 2022'!J41</f>
        <v>1</v>
      </c>
      <c r="K317" s="86">
        <f t="shared" si="61"/>
        <v>44743</v>
      </c>
      <c r="L317" s="128">
        <f t="shared" si="62"/>
        <v>239.00000008000001</v>
      </c>
      <c r="M317" s="128">
        <f t="shared" si="63"/>
        <v>110.00000008000001</v>
      </c>
      <c r="N317" s="128">
        <f t="shared" si="64"/>
        <v>240</v>
      </c>
      <c r="O317" s="128">
        <f t="shared" si="65"/>
        <v>139</v>
      </c>
      <c r="P317" s="128">
        <f t="shared" si="66"/>
        <v>239</v>
      </c>
      <c r="Q317" s="128">
        <f t="shared" si="67"/>
        <v>259</v>
      </c>
      <c r="R317" s="128">
        <f t="shared" si="116"/>
        <v>19</v>
      </c>
      <c r="S317" s="1">
        <f t="shared" si="117"/>
        <v>1</v>
      </c>
      <c r="T317" s="128">
        <f t="shared" si="118"/>
        <v>-0.99999991999999338</v>
      </c>
      <c r="U317" s="128">
        <f t="shared" si="119"/>
        <v>1226.0000001600001</v>
      </c>
      <c r="W317" s="128">
        <f t="shared" si="69"/>
        <v>259</v>
      </c>
      <c r="X317" s="128">
        <f t="shared" si="70"/>
        <v>249.00000008000001</v>
      </c>
    </row>
    <row r="318" spans="1:24">
      <c r="A318" s="22">
        <f>'Stats 2022'!D42</f>
        <v>44750</v>
      </c>
      <c r="B318" s="130">
        <f>'Stats 2022'!E42</f>
        <v>0</v>
      </c>
      <c r="C318" s="130">
        <f>'Stats 2022'!F42</f>
        <v>0</v>
      </c>
      <c r="D318" s="130">
        <f>'Stats 2022'!G42</f>
        <v>0</v>
      </c>
      <c r="E318" s="130">
        <f>'Stats 2022'!H42</f>
        <v>0</v>
      </c>
      <c r="F318" s="130">
        <f>'Stats 2022'!I42</f>
        <v>1</v>
      </c>
      <c r="G318" s="130">
        <f>'Stats 2022'!J42</f>
        <v>1</v>
      </c>
      <c r="K318" s="86">
        <f t="shared" si="61"/>
        <v>44750</v>
      </c>
      <c r="L318" s="128">
        <f t="shared" si="62"/>
        <v>239.00000008000001</v>
      </c>
      <c r="M318" s="128">
        <f t="shared" si="63"/>
        <v>110.00000008000001</v>
      </c>
      <c r="N318" s="128">
        <f t="shared" si="64"/>
        <v>240</v>
      </c>
      <c r="O318" s="128">
        <f t="shared" si="65"/>
        <v>139</v>
      </c>
      <c r="P318" s="128">
        <f t="shared" si="66"/>
        <v>240</v>
      </c>
      <c r="Q318" s="128">
        <f t="shared" si="67"/>
        <v>260</v>
      </c>
      <c r="R318" s="128">
        <f t="shared" si="116"/>
        <v>20</v>
      </c>
      <c r="S318" s="1">
        <f t="shared" si="117"/>
        <v>1</v>
      </c>
      <c r="T318" s="128">
        <f t="shared" si="118"/>
        <v>-0.99999991999999338</v>
      </c>
      <c r="U318" s="128">
        <f t="shared" si="119"/>
        <v>1228.0000001600001</v>
      </c>
      <c r="W318" s="128">
        <f t="shared" si="69"/>
        <v>260</v>
      </c>
      <c r="X318" s="128">
        <f t="shared" si="70"/>
        <v>249.00000008000001</v>
      </c>
    </row>
    <row r="319" spans="1:24">
      <c r="A319" s="22">
        <f>'Stats 2022'!D43</f>
        <v>44757</v>
      </c>
      <c r="B319" s="130">
        <f>'Stats 2022'!E43</f>
        <v>0</v>
      </c>
      <c r="C319" s="130">
        <f>'Stats 2022'!F43</f>
        <v>1</v>
      </c>
      <c r="D319" s="130">
        <f>'Stats 2022'!G43</f>
        <v>0</v>
      </c>
      <c r="E319" s="130">
        <f>'Stats 2022'!H43</f>
        <v>1</v>
      </c>
      <c r="F319" s="130">
        <f>'Stats 2022'!I43</f>
        <v>1</v>
      </c>
      <c r="G319" s="130">
        <f>'Stats 2022'!J43</f>
        <v>1</v>
      </c>
      <c r="K319" s="86">
        <f t="shared" si="61"/>
        <v>44757</v>
      </c>
      <c r="L319" s="128">
        <f t="shared" si="62"/>
        <v>239.00000008000001</v>
      </c>
      <c r="M319" s="128">
        <f t="shared" si="63"/>
        <v>111.00000008000001</v>
      </c>
      <c r="N319" s="128">
        <f t="shared" si="64"/>
        <v>240</v>
      </c>
      <c r="O319" s="128">
        <f t="shared" si="65"/>
        <v>140</v>
      </c>
      <c r="P319" s="128">
        <f t="shared" si="66"/>
        <v>241</v>
      </c>
      <c r="Q319" s="128">
        <f t="shared" si="67"/>
        <v>261</v>
      </c>
      <c r="R319" s="128">
        <f t="shared" si="116"/>
        <v>20</v>
      </c>
      <c r="S319" s="1">
        <f t="shared" si="117"/>
        <v>1</v>
      </c>
      <c r="T319" s="128">
        <f t="shared" si="118"/>
        <v>-0.99999991999999338</v>
      </c>
      <c r="U319" s="128">
        <f t="shared" si="119"/>
        <v>1232.0000001600001</v>
      </c>
      <c r="W319" s="128">
        <f t="shared" si="69"/>
        <v>261</v>
      </c>
      <c r="X319" s="128">
        <f t="shared" si="70"/>
        <v>251.00000008000001</v>
      </c>
    </row>
    <row r="320" spans="1:24">
      <c r="A320" s="22">
        <f>'Stats 2022'!D45</f>
        <v>44764</v>
      </c>
      <c r="B320" s="130">
        <f>'Stats 2022'!E45</f>
        <v>0</v>
      </c>
      <c r="C320" s="130">
        <f>'Stats 2022'!F45</f>
        <v>1</v>
      </c>
      <c r="D320" s="130">
        <f>'Stats 2022'!G45</f>
        <v>0</v>
      </c>
      <c r="E320" s="130">
        <f>'Stats 2022'!H45</f>
        <v>1</v>
      </c>
      <c r="F320" s="130">
        <f>'Stats 2022'!I45</f>
        <v>1</v>
      </c>
      <c r="G320" s="130">
        <f>'Stats 2022'!J45</f>
        <v>0</v>
      </c>
      <c r="K320" s="86">
        <f t="shared" si="61"/>
        <v>44764</v>
      </c>
      <c r="L320" s="128">
        <f t="shared" si="62"/>
        <v>239.00000008000001</v>
      </c>
      <c r="M320" s="128">
        <f t="shared" si="63"/>
        <v>112.00000008000001</v>
      </c>
      <c r="N320" s="128">
        <f t="shared" si="64"/>
        <v>240</v>
      </c>
      <c r="O320" s="128">
        <f t="shared" si="65"/>
        <v>141</v>
      </c>
      <c r="P320" s="128">
        <f t="shared" si="66"/>
        <v>242</v>
      </c>
      <c r="Q320" s="128">
        <f t="shared" si="67"/>
        <v>261</v>
      </c>
      <c r="R320" s="128">
        <f t="shared" si="116"/>
        <v>19</v>
      </c>
      <c r="S320" s="1">
        <f t="shared" si="117"/>
        <v>1</v>
      </c>
      <c r="T320" s="128">
        <f t="shared" si="118"/>
        <v>-0.99999991999999338</v>
      </c>
      <c r="U320" s="128">
        <f t="shared" si="119"/>
        <v>1235.0000001600001</v>
      </c>
      <c r="W320" s="128">
        <f t="shared" si="69"/>
        <v>261</v>
      </c>
      <c r="X320" s="128">
        <f t="shared" si="70"/>
        <v>253.00000008000001</v>
      </c>
    </row>
    <row r="321" spans="1:24">
      <c r="A321" s="22">
        <f>'Stats 2022'!D46</f>
        <v>44771</v>
      </c>
      <c r="B321" s="130">
        <f>'Stats 2022'!E46</f>
        <v>1</v>
      </c>
      <c r="C321" s="130">
        <f>'Stats 2022'!F46</f>
        <v>1</v>
      </c>
      <c r="D321" s="130">
        <f>'Stats 2022'!G46</f>
        <v>1</v>
      </c>
      <c r="E321" s="130">
        <f>'Stats 2022'!H46</f>
        <v>1</v>
      </c>
      <c r="F321" s="130">
        <f>'Stats 2022'!I46</f>
        <v>1</v>
      </c>
      <c r="G321" s="130">
        <f>'Stats 2022'!J46</f>
        <v>1</v>
      </c>
      <c r="K321" s="86">
        <f t="shared" si="61"/>
        <v>44771</v>
      </c>
      <c r="L321" s="128">
        <f t="shared" si="62"/>
        <v>240.00000008000001</v>
      </c>
      <c r="M321" s="128">
        <f t="shared" si="63"/>
        <v>113.00000008000001</v>
      </c>
      <c r="N321" s="128">
        <f t="shared" si="64"/>
        <v>241</v>
      </c>
      <c r="O321" s="128">
        <f t="shared" si="65"/>
        <v>142</v>
      </c>
      <c r="P321" s="128">
        <f t="shared" si="66"/>
        <v>243</v>
      </c>
      <c r="Q321" s="128">
        <f t="shared" si="67"/>
        <v>262</v>
      </c>
      <c r="R321" s="128">
        <f t="shared" si="116"/>
        <v>19</v>
      </c>
      <c r="S321" s="1">
        <f t="shared" si="117"/>
        <v>1</v>
      </c>
      <c r="T321" s="128">
        <f t="shared" si="118"/>
        <v>-0.99999991999999338</v>
      </c>
      <c r="U321" s="128">
        <f t="shared" si="119"/>
        <v>1241.0000001600001</v>
      </c>
      <c r="W321" s="128">
        <f t="shared" si="69"/>
        <v>262</v>
      </c>
      <c r="X321" s="128">
        <f t="shared" si="70"/>
        <v>255.00000008000001</v>
      </c>
    </row>
    <row r="322" spans="1:24">
      <c r="A322" s="22">
        <f>'Stats 2022'!D47</f>
        <v>44778</v>
      </c>
      <c r="B322" s="130">
        <f>'Stats 2022'!E47</f>
        <v>0</v>
      </c>
      <c r="C322" s="130">
        <f>'Stats 2022'!F47</f>
        <v>1</v>
      </c>
      <c r="D322" s="130">
        <f>'Stats 2022'!G47</f>
        <v>1</v>
      </c>
      <c r="E322" s="130">
        <v>0</v>
      </c>
      <c r="F322" s="130">
        <f>'Stats 2022'!I47</f>
        <v>1</v>
      </c>
      <c r="G322" s="130">
        <f>'Stats 2022'!J47</f>
        <v>1</v>
      </c>
      <c r="K322" s="86">
        <f t="shared" si="61"/>
        <v>44778</v>
      </c>
      <c r="L322" s="128">
        <f t="shared" si="62"/>
        <v>240.00000008000001</v>
      </c>
      <c r="M322" s="128">
        <f t="shared" si="63"/>
        <v>114.00000008000001</v>
      </c>
      <c r="N322" s="128">
        <f t="shared" si="64"/>
        <v>242</v>
      </c>
      <c r="O322" s="128">
        <f t="shared" si="65"/>
        <v>142</v>
      </c>
      <c r="P322" s="128">
        <f t="shared" si="66"/>
        <v>244</v>
      </c>
      <c r="Q322" s="128">
        <f t="shared" si="67"/>
        <v>263</v>
      </c>
      <c r="R322" s="128">
        <f t="shared" si="116"/>
        <v>19</v>
      </c>
      <c r="S322" s="1">
        <f t="shared" si="117"/>
        <v>1</v>
      </c>
      <c r="T322" s="128">
        <f t="shared" si="118"/>
        <v>-1.9999999199999934</v>
      </c>
      <c r="U322" s="128">
        <f t="shared" si="119"/>
        <v>1245.0000001600001</v>
      </c>
      <c r="W322" s="128">
        <f t="shared" si="69"/>
        <v>263</v>
      </c>
      <c r="X322" s="128">
        <f t="shared" si="70"/>
        <v>256.00000008000001</v>
      </c>
    </row>
    <row r="323" spans="1:24">
      <c r="A323" s="22">
        <f>'Stats 2022'!D48</f>
        <v>44785</v>
      </c>
      <c r="B323" s="130">
        <f>'Stats 2022'!E48</f>
        <v>1</v>
      </c>
      <c r="C323" s="130">
        <f>'Stats 2022'!F48</f>
        <v>1</v>
      </c>
      <c r="D323" s="130">
        <f>'Stats 2022'!G48</f>
        <v>1</v>
      </c>
      <c r="E323" s="130">
        <v>0</v>
      </c>
      <c r="F323" s="130">
        <f>'Stats 2022'!I48</f>
        <v>1</v>
      </c>
      <c r="G323" s="130">
        <f>'Stats 2022'!J48</f>
        <v>1</v>
      </c>
      <c r="K323" s="86">
        <f t="shared" ref="K323:K371" si="120">A323</f>
        <v>44785</v>
      </c>
      <c r="L323" s="128">
        <f t="shared" ref="L323:L371" si="121">B323+L322</f>
        <v>241.00000008000001</v>
      </c>
      <c r="M323" s="128">
        <f t="shared" ref="M323:M371" si="122">C323+M322</f>
        <v>115.00000008000001</v>
      </c>
      <c r="N323" s="128">
        <f t="shared" ref="N323:N371" si="123">D323+N322</f>
        <v>243</v>
      </c>
      <c r="O323" s="128">
        <f t="shared" ref="O323:O371" si="124">E323+O322</f>
        <v>142</v>
      </c>
      <c r="P323" s="128">
        <f t="shared" ref="P323:P371" si="125">F323+P322</f>
        <v>245</v>
      </c>
      <c r="Q323" s="128">
        <f t="shared" ref="Q323:Q371" si="126">G323+Q322</f>
        <v>264</v>
      </c>
      <c r="R323" s="128">
        <f t="shared" si="116"/>
        <v>19</v>
      </c>
      <c r="S323" s="1">
        <f t="shared" si="117"/>
        <v>1</v>
      </c>
      <c r="T323" s="128">
        <f t="shared" si="118"/>
        <v>-1.9999999199999934</v>
      </c>
      <c r="U323" s="128">
        <f t="shared" si="119"/>
        <v>1250.0000001600001</v>
      </c>
      <c r="W323" s="128">
        <f t="shared" ref="W323:W348" si="127">Q323</f>
        <v>264</v>
      </c>
      <c r="X323" s="128">
        <f t="shared" ref="X323:X348" si="128">M323+O323</f>
        <v>257.00000008000001</v>
      </c>
    </row>
    <row r="324" spans="1:24">
      <c r="A324" s="22">
        <f>'Stats 2022'!D49</f>
        <v>44792</v>
      </c>
      <c r="B324" s="130">
        <f>'Stats 2022'!E49</f>
        <v>0</v>
      </c>
      <c r="C324" s="130">
        <f>'Stats 2022'!F49</f>
        <v>1</v>
      </c>
      <c r="D324" s="130">
        <f>'Stats 2022'!G49</f>
        <v>0</v>
      </c>
      <c r="E324" s="130">
        <v>0</v>
      </c>
      <c r="F324" s="130">
        <f>'Stats 2022'!I49</f>
        <v>1</v>
      </c>
      <c r="G324" s="130">
        <f>'Stats 2022'!J49</f>
        <v>1</v>
      </c>
      <c r="K324" s="86">
        <f t="shared" si="120"/>
        <v>44792</v>
      </c>
      <c r="L324" s="128">
        <f t="shared" si="121"/>
        <v>241.00000008000001</v>
      </c>
      <c r="M324" s="128">
        <f t="shared" si="122"/>
        <v>116.00000008000001</v>
      </c>
      <c r="N324" s="128">
        <f t="shared" si="123"/>
        <v>243</v>
      </c>
      <c r="O324" s="128">
        <f t="shared" si="124"/>
        <v>142</v>
      </c>
      <c r="P324" s="128">
        <f t="shared" si="125"/>
        <v>246</v>
      </c>
      <c r="Q324" s="128">
        <f t="shared" si="126"/>
        <v>265</v>
      </c>
      <c r="R324" s="128">
        <f t="shared" si="116"/>
        <v>19</v>
      </c>
      <c r="S324" s="1">
        <f t="shared" si="117"/>
        <v>1</v>
      </c>
      <c r="T324" s="128">
        <f t="shared" si="118"/>
        <v>-1.9999999199999934</v>
      </c>
      <c r="U324" s="128">
        <f t="shared" si="119"/>
        <v>1253.0000001600001</v>
      </c>
      <c r="W324" s="128">
        <f t="shared" si="127"/>
        <v>265</v>
      </c>
      <c r="X324" s="128">
        <f t="shared" si="128"/>
        <v>258.00000008000001</v>
      </c>
    </row>
    <row r="325" spans="1:24">
      <c r="A325" s="22">
        <f>'Stats 2022'!D50</f>
        <v>44799</v>
      </c>
      <c r="B325" s="130">
        <f>'Stats 2022'!E50</f>
        <v>0</v>
      </c>
      <c r="C325" s="130">
        <f>'Stats 2022'!F50</f>
        <v>1</v>
      </c>
      <c r="D325" s="130">
        <f>'Stats 2022'!G50</f>
        <v>1</v>
      </c>
      <c r="E325" s="130">
        <v>0</v>
      </c>
      <c r="F325" s="130">
        <f>'Stats 2022'!I50</f>
        <v>1</v>
      </c>
      <c r="G325" s="130">
        <f>'Stats 2022'!J50</f>
        <v>1</v>
      </c>
      <c r="K325" s="86">
        <f t="shared" si="120"/>
        <v>44799</v>
      </c>
      <c r="L325" s="128">
        <f t="shared" si="121"/>
        <v>241.00000008000001</v>
      </c>
      <c r="M325" s="128">
        <f t="shared" si="122"/>
        <v>117.00000008000001</v>
      </c>
      <c r="N325" s="128">
        <f t="shared" si="123"/>
        <v>244</v>
      </c>
      <c r="O325" s="128">
        <f t="shared" si="124"/>
        <v>142</v>
      </c>
      <c r="P325" s="128">
        <f t="shared" si="125"/>
        <v>247</v>
      </c>
      <c r="Q325" s="128">
        <f t="shared" si="126"/>
        <v>266</v>
      </c>
      <c r="R325" s="128">
        <f t="shared" si="116"/>
        <v>19</v>
      </c>
      <c r="S325" s="1">
        <f t="shared" si="117"/>
        <v>1</v>
      </c>
      <c r="T325" s="128">
        <f t="shared" si="118"/>
        <v>-2.9999999199999934</v>
      </c>
      <c r="U325" s="128">
        <f t="shared" si="119"/>
        <v>1257.0000001600001</v>
      </c>
      <c r="W325" s="128">
        <f t="shared" si="127"/>
        <v>266</v>
      </c>
      <c r="X325" s="128">
        <f t="shared" si="128"/>
        <v>259.00000008000001</v>
      </c>
    </row>
    <row r="326" spans="1:24">
      <c r="A326" s="22">
        <f>'Stats 2022'!D51</f>
        <v>44806</v>
      </c>
      <c r="B326" s="130">
        <f>'Stats 2022'!E51</f>
        <v>1</v>
      </c>
      <c r="C326" s="130">
        <f>'Stats 2022'!F51</f>
        <v>0</v>
      </c>
      <c r="D326" s="130">
        <f>'Stats 2022'!G51</f>
        <v>1</v>
      </c>
      <c r="E326" s="130">
        <v>0</v>
      </c>
      <c r="F326" s="130">
        <f>'Stats 2022'!I51</f>
        <v>1</v>
      </c>
      <c r="G326" s="130">
        <f>'Stats 2022'!J51</f>
        <v>1</v>
      </c>
      <c r="K326" s="86">
        <f t="shared" si="120"/>
        <v>44806</v>
      </c>
      <c r="L326" s="128">
        <f t="shared" si="121"/>
        <v>242.00000008000001</v>
      </c>
      <c r="M326" s="128">
        <f t="shared" si="122"/>
        <v>117.00000008000001</v>
      </c>
      <c r="N326" s="128">
        <f t="shared" si="123"/>
        <v>245</v>
      </c>
      <c r="O326" s="128">
        <f t="shared" si="124"/>
        <v>142</v>
      </c>
      <c r="P326" s="128">
        <f t="shared" si="125"/>
        <v>248</v>
      </c>
      <c r="Q326" s="128">
        <f t="shared" si="126"/>
        <v>267</v>
      </c>
      <c r="R326" s="128">
        <f t="shared" si="116"/>
        <v>19</v>
      </c>
      <c r="S326" s="1">
        <f t="shared" si="117"/>
        <v>1</v>
      </c>
      <c r="T326" s="128">
        <f t="shared" si="118"/>
        <v>-2.9999999199999934</v>
      </c>
      <c r="U326" s="128">
        <f t="shared" si="119"/>
        <v>1261.0000001600001</v>
      </c>
      <c r="W326" s="128">
        <f t="shared" si="127"/>
        <v>267</v>
      </c>
      <c r="X326" s="128">
        <f t="shared" si="128"/>
        <v>259.00000008000001</v>
      </c>
    </row>
    <row r="327" spans="1:24">
      <c r="A327" s="22">
        <f>'Stats 2022'!D52</f>
        <v>44813</v>
      </c>
      <c r="B327" s="130">
        <f>'Stats 2022'!E52</f>
        <v>0</v>
      </c>
      <c r="C327" s="130">
        <f>'Stats 2022'!F52</f>
        <v>0</v>
      </c>
      <c r="D327" s="130">
        <f>'Stats 2022'!G52</f>
        <v>1</v>
      </c>
      <c r="E327" s="130">
        <v>0</v>
      </c>
      <c r="F327" s="130">
        <f>'Stats 2022'!I52</f>
        <v>1</v>
      </c>
      <c r="G327" s="130">
        <f>'Stats 2022'!J52</f>
        <v>1</v>
      </c>
      <c r="K327" s="86">
        <f t="shared" si="120"/>
        <v>44813</v>
      </c>
      <c r="L327" s="128">
        <f t="shared" si="121"/>
        <v>242.00000008000001</v>
      </c>
      <c r="M327" s="128">
        <f t="shared" si="122"/>
        <v>117.00000008000001</v>
      </c>
      <c r="N327" s="128">
        <f t="shared" si="123"/>
        <v>246</v>
      </c>
      <c r="O327" s="128">
        <f t="shared" si="124"/>
        <v>142</v>
      </c>
      <c r="P327" s="128">
        <f t="shared" si="125"/>
        <v>249</v>
      </c>
      <c r="Q327" s="128">
        <f t="shared" si="126"/>
        <v>268</v>
      </c>
      <c r="R327" s="128">
        <f t="shared" si="116"/>
        <v>19</v>
      </c>
      <c r="S327" s="1">
        <f t="shared" si="117"/>
        <v>1</v>
      </c>
      <c r="T327" s="128">
        <f t="shared" si="118"/>
        <v>-3.9999999199999934</v>
      </c>
      <c r="U327" s="128">
        <f t="shared" si="119"/>
        <v>1264.0000001600001</v>
      </c>
      <c r="W327" s="128">
        <f t="shared" si="127"/>
        <v>268</v>
      </c>
      <c r="X327" s="128">
        <f t="shared" si="128"/>
        <v>259.00000008000001</v>
      </c>
    </row>
    <row r="328" spans="1:24">
      <c r="A328" s="22">
        <f>'Stats 2022'!D53</f>
        <v>44820</v>
      </c>
      <c r="B328" s="130">
        <f>'Stats 2022'!E53</f>
        <v>1</v>
      </c>
      <c r="C328" s="130">
        <f>'Stats 2022'!F53</f>
        <v>1</v>
      </c>
      <c r="D328" s="130">
        <f>'Stats 2022'!G53</f>
        <v>0</v>
      </c>
      <c r="E328" s="130">
        <v>0</v>
      </c>
      <c r="F328" s="130">
        <f>'Stats 2022'!I53</f>
        <v>1</v>
      </c>
      <c r="G328" s="130">
        <f>'Stats 2022'!J53</f>
        <v>0</v>
      </c>
      <c r="K328" s="86">
        <f t="shared" si="120"/>
        <v>44820</v>
      </c>
      <c r="L328" s="128">
        <f t="shared" si="121"/>
        <v>243.00000008000001</v>
      </c>
      <c r="M328" s="128">
        <f t="shared" si="122"/>
        <v>118.00000008000001</v>
      </c>
      <c r="N328" s="128">
        <f t="shared" si="123"/>
        <v>246</v>
      </c>
      <c r="O328" s="128">
        <f t="shared" si="124"/>
        <v>142</v>
      </c>
      <c r="P328" s="128">
        <f t="shared" si="125"/>
        <v>250</v>
      </c>
      <c r="Q328" s="128">
        <f t="shared" si="126"/>
        <v>268</v>
      </c>
      <c r="R328" s="128">
        <f t="shared" si="116"/>
        <v>18</v>
      </c>
      <c r="S328" s="1">
        <f t="shared" si="117"/>
        <v>1</v>
      </c>
      <c r="T328" s="128">
        <f t="shared" si="118"/>
        <v>-2.9999999199999934</v>
      </c>
      <c r="U328" s="128">
        <f t="shared" si="119"/>
        <v>1267.0000001600001</v>
      </c>
      <c r="W328" s="128">
        <f t="shared" si="127"/>
        <v>268</v>
      </c>
      <c r="X328" s="128">
        <f t="shared" si="128"/>
        <v>260.00000008000001</v>
      </c>
    </row>
    <row r="329" spans="1:24">
      <c r="A329" s="22">
        <f>'Stats 2022'!D54</f>
        <v>44827</v>
      </c>
      <c r="B329" s="130">
        <f>'Stats 2022'!E54</f>
        <v>0</v>
      </c>
      <c r="C329" s="130">
        <f>'Stats 2022'!F54</f>
        <v>1</v>
      </c>
      <c r="D329" s="130">
        <f>'Stats 2022'!G54</f>
        <v>1</v>
      </c>
      <c r="E329" s="130">
        <v>0</v>
      </c>
      <c r="F329" s="130">
        <f>'Stats 2022'!I54</f>
        <v>1</v>
      </c>
      <c r="G329" s="130">
        <f>'Stats 2022'!J54</f>
        <v>1</v>
      </c>
      <c r="K329" s="86">
        <f t="shared" si="120"/>
        <v>44827</v>
      </c>
      <c r="L329" s="128">
        <f t="shared" si="121"/>
        <v>243.00000008000001</v>
      </c>
      <c r="M329" s="128">
        <f t="shared" si="122"/>
        <v>119.00000008000001</v>
      </c>
      <c r="N329" s="128">
        <f t="shared" si="123"/>
        <v>247</v>
      </c>
      <c r="O329" s="128">
        <f t="shared" si="124"/>
        <v>142</v>
      </c>
      <c r="P329" s="128">
        <f t="shared" si="125"/>
        <v>251</v>
      </c>
      <c r="Q329" s="128">
        <f t="shared" si="126"/>
        <v>269</v>
      </c>
      <c r="R329" s="128">
        <f t="shared" si="116"/>
        <v>18</v>
      </c>
      <c r="S329" s="1">
        <f t="shared" si="117"/>
        <v>1</v>
      </c>
      <c r="T329" s="128">
        <f t="shared" si="118"/>
        <v>-3.9999999199999934</v>
      </c>
      <c r="U329" s="128">
        <f t="shared" si="119"/>
        <v>1271.0000001600001</v>
      </c>
      <c r="W329" s="128">
        <f t="shared" si="127"/>
        <v>269</v>
      </c>
      <c r="X329" s="128">
        <f t="shared" si="128"/>
        <v>261.00000008000001</v>
      </c>
    </row>
    <row r="330" spans="1:24">
      <c r="A330" s="22">
        <f>'Stats 2022'!D55</f>
        <v>44834</v>
      </c>
      <c r="B330" s="130">
        <f>'Stats 2022'!E55</f>
        <v>0</v>
      </c>
      <c r="C330" s="130">
        <f>'Stats 2022'!F55</f>
        <v>1</v>
      </c>
      <c r="D330" s="130">
        <f>'Stats 2022'!G55</f>
        <v>1</v>
      </c>
      <c r="E330" s="130">
        <v>0</v>
      </c>
      <c r="F330" s="130">
        <f>'Stats 2022'!I55</f>
        <v>1</v>
      </c>
      <c r="G330" s="130">
        <f>'Stats 2022'!J55</f>
        <v>1</v>
      </c>
      <c r="K330" s="86">
        <f t="shared" si="120"/>
        <v>44834</v>
      </c>
      <c r="L330" s="128">
        <f t="shared" si="121"/>
        <v>243.00000008000001</v>
      </c>
      <c r="M330" s="128">
        <f t="shared" si="122"/>
        <v>120.00000008000001</v>
      </c>
      <c r="N330" s="128">
        <f t="shared" si="123"/>
        <v>248</v>
      </c>
      <c r="O330" s="128">
        <f t="shared" si="124"/>
        <v>142</v>
      </c>
      <c r="P330" s="128">
        <f t="shared" si="125"/>
        <v>252</v>
      </c>
      <c r="Q330" s="128">
        <f t="shared" si="126"/>
        <v>270</v>
      </c>
      <c r="R330" s="128">
        <f t="shared" ref="R330" si="129">Q330-MAX(L330:P330)</f>
        <v>18</v>
      </c>
      <c r="S330" s="1">
        <f t="shared" ref="S330" si="130">IF(Q330&gt;L330,1,0)</f>
        <v>1</v>
      </c>
      <c r="T330" s="128">
        <f t="shared" ref="T330" si="131">L330-N330</f>
        <v>-4.9999999199999934</v>
      </c>
      <c r="U330" s="128">
        <f t="shared" ref="U330" si="132">SUM(L330:Q330)</f>
        <v>1275.0000001600001</v>
      </c>
      <c r="W330" s="128">
        <f t="shared" si="127"/>
        <v>270</v>
      </c>
      <c r="X330" s="128">
        <f t="shared" si="128"/>
        <v>262.00000008000001</v>
      </c>
    </row>
    <row r="331" spans="1:24">
      <c r="A331" s="22">
        <f>'Stats 2022'!D56</f>
        <v>44841</v>
      </c>
      <c r="B331" s="130">
        <f>'Stats 2022'!E56</f>
        <v>1</v>
      </c>
      <c r="C331" s="130">
        <f>'Stats 2022'!F56</f>
        <v>0</v>
      </c>
      <c r="D331" s="130">
        <f>'Stats 2022'!G56</f>
        <v>1</v>
      </c>
      <c r="E331" s="130">
        <v>0</v>
      </c>
      <c r="F331" s="130">
        <f>'Stats 2022'!I56</f>
        <v>0</v>
      </c>
      <c r="G331" s="130">
        <f>'Stats 2022'!J56</f>
        <v>0</v>
      </c>
      <c r="K331" s="86">
        <f t="shared" si="120"/>
        <v>44841</v>
      </c>
      <c r="L331" s="128">
        <f t="shared" si="121"/>
        <v>244.00000008000001</v>
      </c>
      <c r="M331" s="128">
        <f t="shared" si="122"/>
        <v>120.00000008000001</v>
      </c>
      <c r="N331" s="128">
        <f t="shared" si="123"/>
        <v>249</v>
      </c>
      <c r="O331" s="128">
        <f t="shared" si="124"/>
        <v>142</v>
      </c>
      <c r="P331" s="128">
        <f t="shared" si="125"/>
        <v>252</v>
      </c>
      <c r="Q331" s="128">
        <f t="shared" si="126"/>
        <v>270</v>
      </c>
      <c r="R331" s="128">
        <f t="shared" ref="R331:R332" si="133">Q331-MAX(L331:P331)</f>
        <v>18</v>
      </c>
      <c r="S331" s="1">
        <f t="shared" ref="S331:S332" si="134">IF(Q331&gt;L331,1,0)</f>
        <v>1</v>
      </c>
      <c r="T331" s="128">
        <f t="shared" ref="T331:T332" si="135">L331-N331</f>
        <v>-4.9999999199999934</v>
      </c>
      <c r="U331" s="128">
        <f t="shared" ref="U331:U332" si="136">SUM(L331:Q331)</f>
        <v>1277.0000001600001</v>
      </c>
      <c r="W331" s="128">
        <f t="shared" si="127"/>
        <v>270</v>
      </c>
      <c r="X331" s="128">
        <f t="shared" si="128"/>
        <v>262.00000008000001</v>
      </c>
    </row>
    <row r="332" spans="1:24">
      <c r="A332" s="22">
        <f>'Stats 2022'!D58</f>
        <v>44848</v>
      </c>
      <c r="B332" s="130">
        <f>'Stats 2022'!E58</f>
        <v>0</v>
      </c>
      <c r="C332" s="130">
        <f>'Stats 2022'!F58</f>
        <v>1</v>
      </c>
      <c r="D332" s="130">
        <f>'Stats 2022'!G58</f>
        <v>1</v>
      </c>
      <c r="E332" s="130">
        <v>0</v>
      </c>
      <c r="F332" s="130">
        <f>'Stats 2022'!I58</f>
        <v>1</v>
      </c>
      <c r="G332" s="130">
        <f>'Stats 2022'!J58</f>
        <v>1</v>
      </c>
      <c r="K332" s="86">
        <f t="shared" si="120"/>
        <v>44848</v>
      </c>
      <c r="L332" s="128">
        <f t="shared" si="121"/>
        <v>244.00000008000001</v>
      </c>
      <c r="M332" s="128">
        <f t="shared" si="122"/>
        <v>121.00000008000001</v>
      </c>
      <c r="N332" s="128">
        <f t="shared" si="123"/>
        <v>250</v>
      </c>
      <c r="O332" s="128">
        <f t="shared" si="124"/>
        <v>142</v>
      </c>
      <c r="P332" s="128">
        <f t="shared" si="125"/>
        <v>253</v>
      </c>
      <c r="Q332" s="128">
        <f t="shared" si="126"/>
        <v>271</v>
      </c>
      <c r="R332" s="128">
        <f t="shared" si="133"/>
        <v>18</v>
      </c>
      <c r="S332" s="1">
        <f t="shared" si="134"/>
        <v>1</v>
      </c>
      <c r="T332" s="128">
        <f t="shared" si="135"/>
        <v>-5.9999999199999934</v>
      </c>
      <c r="U332" s="128">
        <f t="shared" si="136"/>
        <v>1281.0000001600001</v>
      </c>
      <c r="W332" s="128">
        <f t="shared" si="127"/>
        <v>271</v>
      </c>
      <c r="X332" s="128">
        <f t="shared" si="128"/>
        <v>263.00000008000001</v>
      </c>
    </row>
    <row r="333" spans="1:24">
      <c r="A333" s="22">
        <f>'Stats 2022'!D60</f>
        <v>44855</v>
      </c>
      <c r="B333" s="130">
        <f>'Stats 2022'!E60</f>
        <v>1</v>
      </c>
      <c r="C333" s="130">
        <f>'Stats 2022'!F60</f>
        <v>0</v>
      </c>
      <c r="D333" s="130">
        <v>1</v>
      </c>
      <c r="E333" s="130">
        <v>0</v>
      </c>
      <c r="F333" s="130">
        <f>'Stats 2022'!I60</f>
        <v>1</v>
      </c>
      <c r="G333" s="130">
        <f>'Stats 2022'!J60</f>
        <v>1</v>
      </c>
      <c r="K333" s="86">
        <f t="shared" si="120"/>
        <v>44855</v>
      </c>
      <c r="L333" s="128">
        <f t="shared" si="121"/>
        <v>245.00000008000001</v>
      </c>
      <c r="M333" s="128">
        <f t="shared" si="122"/>
        <v>121.00000008000001</v>
      </c>
      <c r="N333" s="128">
        <f t="shared" si="123"/>
        <v>251</v>
      </c>
      <c r="O333" s="128">
        <f t="shared" si="124"/>
        <v>142</v>
      </c>
      <c r="P333" s="128">
        <f t="shared" si="125"/>
        <v>254</v>
      </c>
      <c r="Q333" s="128">
        <f t="shared" si="126"/>
        <v>272</v>
      </c>
      <c r="R333" s="128">
        <f t="shared" ref="R333:R338" si="137">Q333-MAX(L333:P333)</f>
        <v>18</v>
      </c>
      <c r="S333" s="1">
        <f t="shared" ref="S333:S338" si="138">IF(Q333&gt;L333,1,0)</f>
        <v>1</v>
      </c>
      <c r="T333" s="128">
        <f t="shared" ref="T333:T338" si="139">L333-N333</f>
        <v>-5.9999999199999934</v>
      </c>
      <c r="U333" s="128">
        <f t="shared" ref="U333:U338" si="140">SUM(L333:Q333)</f>
        <v>1285.0000001600001</v>
      </c>
      <c r="W333" s="128">
        <f t="shared" si="127"/>
        <v>272</v>
      </c>
      <c r="X333" s="128">
        <f t="shared" si="128"/>
        <v>263.00000008000001</v>
      </c>
    </row>
    <row r="334" spans="1:24">
      <c r="A334" s="22">
        <f>'Stats 2022'!D62</f>
        <v>44862</v>
      </c>
      <c r="B334" s="130">
        <f>'Stats 2022'!E62</f>
        <v>1</v>
      </c>
      <c r="C334" s="130">
        <f>'Stats 2022'!F62</f>
        <v>1</v>
      </c>
      <c r="D334" s="130">
        <f>'Stats 2022'!G62</f>
        <v>0</v>
      </c>
      <c r="E334" s="130">
        <v>0</v>
      </c>
      <c r="F334" s="130">
        <f>'Stats 2022'!I62</f>
        <v>1</v>
      </c>
      <c r="G334" s="130">
        <f>'Stats 2022'!J62</f>
        <v>1</v>
      </c>
      <c r="K334" s="86">
        <f t="shared" si="120"/>
        <v>44862</v>
      </c>
      <c r="L334" s="128">
        <f t="shared" si="121"/>
        <v>246.00000008000001</v>
      </c>
      <c r="M334" s="128">
        <f t="shared" si="122"/>
        <v>122.00000008000001</v>
      </c>
      <c r="N334" s="128">
        <f t="shared" si="123"/>
        <v>251</v>
      </c>
      <c r="O334" s="128">
        <f t="shared" si="124"/>
        <v>142</v>
      </c>
      <c r="P334" s="128">
        <f t="shared" si="125"/>
        <v>255</v>
      </c>
      <c r="Q334" s="128">
        <f t="shared" si="126"/>
        <v>273</v>
      </c>
      <c r="R334" s="128">
        <f t="shared" si="137"/>
        <v>18</v>
      </c>
      <c r="S334" s="1">
        <f t="shared" si="138"/>
        <v>1</v>
      </c>
      <c r="T334" s="128">
        <f t="shared" si="139"/>
        <v>-4.9999999199999934</v>
      </c>
      <c r="U334" s="128">
        <f t="shared" si="140"/>
        <v>1289.0000001600001</v>
      </c>
      <c r="W334" s="128">
        <f t="shared" si="127"/>
        <v>273</v>
      </c>
      <c r="X334" s="128">
        <f t="shared" si="128"/>
        <v>264.00000008000001</v>
      </c>
    </row>
    <row r="335" spans="1:24">
      <c r="A335" s="22">
        <f>'Stats 2022'!D63</f>
        <v>44869</v>
      </c>
      <c r="B335" s="130">
        <f>'Stats 2022'!E63</f>
        <v>0</v>
      </c>
      <c r="C335" s="130">
        <f>'Stats 2022'!F63</f>
        <v>1</v>
      </c>
      <c r="D335" s="130">
        <f>'Stats 2022'!G63</f>
        <v>0</v>
      </c>
      <c r="E335" s="130">
        <v>0</v>
      </c>
      <c r="F335" s="130">
        <f>'Stats 2022'!I63</f>
        <v>1</v>
      </c>
      <c r="G335" s="130">
        <f>'Stats 2022'!J63</f>
        <v>1</v>
      </c>
      <c r="K335" s="86">
        <f t="shared" si="120"/>
        <v>44869</v>
      </c>
      <c r="L335" s="128">
        <f t="shared" si="121"/>
        <v>246.00000008000001</v>
      </c>
      <c r="M335" s="128">
        <f t="shared" si="122"/>
        <v>123.00000008000001</v>
      </c>
      <c r="N335" s="128">
        <f t="shared" si="123"/>
        <v>251</v>
      </c>
      <c r="O335" s="128">
        <f t="shared" si="124"/>
        <v>142</v>
      </c>
      <c r="P335" s="128">
        <f t="shared" si="125"/>
        <v>256</v>
      </c>
      <c r="Q335" s="128">
        <f t="shared" si="126"/>
        <v>274</v>
      </c>
      <c r="R335" s="128">
        <f t="shared" si="137"/>
        <v>18</v>
      </c>
      <c r="S335" s="1">
        <f t="shared" si="138"/>
        <v>1</v>
      </c>
      <c r="T335" s="128">
        <f t="shared" si="139"/>
        <v>-4.9999999199999934</v>
      </c>
      <c r="U335" s="128">
        <f t="shared" si="140"/>
        <v>1292.0000001600001</v>
      </c>
      <c r="W335" s="128">
        <f t="shared" si="127"/>
        <v>274</v>
      </c>
      <c r="X335" s="128">
        <f t="shared" si="128"/>
        <v>265.00000008000001</v>
      </c>
    </row>
    <row r="336" spans="1:24">
      <c r="A336" s="22">
        <f>'Stats 2022'!D64</f>
        <v>44876</v>
      </c>
      <c r="B336" s="130">
        <f>'Stats 2022'!E64</f>
        <v>1</v>
      </c>
      <c r="C336" s="130">
        <f>'Stats 2022'!F64</f>
        <v>1</v>
      </c>
      <c r="D336" s="130">
        <f>'Stats 2022'!G64</f>
        <v>0</v>
      </c>
      <c r="E336" s="130">
        <v>0</v>
      </c>
      <c r="F336" s="130">
        <f>'Stats 2022'!I64</f>
        <v>1</v>
      </c>
      <c r="G336" s="130">
        <f>'Stats 2022'!J64</f>
        <v>0</v>
      </c>
      <c r="K336" s="86">
        <f t="shared" si="120"/>
        <v>44876</v>
      </c>
      <c r="L336" s="128">
        <f t="shared" si="121"/>
        <v>247.00000008000001</v>
      </c>
      <c r="M336" s="128">
        <f t="shared" si="122"/>
        <v>124.00000008000001</v>
      </c>
      <c r="N336" s="128">
        <f t="shared" si="123"/>
        <v>251</v>
      </c>
      <c r="O336" s="128">
        <f t="shared" si="124"/>
        <v>142</v>
      </c>
      <c r="P336" s="128">
        <f t="shared" si="125"/>
        <v>257</v>
      </c>
      <c r="Q336" s="128">
        <f t="shared" si="126"/>
        <v>274</v>
      </c>
      <c r="R336" s="128">
        <f t="shared" si="137"/>
        <v>17</v>
      </c>
      <c r="S336" s="1">
        <f t="shared" si="138"/>
        <v>1</v>
      </c>
      <c r="T336" s="128">
        <f t="shared" si="139"/>
        <v>-3.9999999199999934</v>
      </c>
      <c r="U336" s="128">
        <f t="shared" si="140"/>
        <v>1295.0000001600001</v>
      </c>
      <c r="W336" s="128">
        <f t="shared" si="127"/>
        <v>274</v>
      </c>
      <c r="X336" s="128">
        <f t="shared" si="128"/>
        <v>266.00000008000001</v>
      </c>
    </row>
    <row r="337" spans="1:24">
      <c r="A337" s="22">
        <f>'Stats 2022'!D65</f>
        <v>44883</v>
      </c>
      <c r="B337" s="130">
        <f>'Stats 2022'!E65</f>
        <v>0</v>
      </c>
      <c r="C337" s="130">
        <f>'Stats 2022'!F65</f>
        <v>1</v>
      </c>
      <c r="D337" s="130">
        <f>'Stats 2022'!G65</f>
        <v>0</v>
      </c>
      <c r="E337" s="130">
        <v>0</v>
      </c>
      <c r="F337" s="130">
        <f>'Stats 2022'!I65</f>
        <v>0</v>
      </c>
      <c r="G337" s="130">
        <f>'Stats 2022'!J65</f>
        <v>1</v>
      </c>
      <c r="K337" s="86">
        <f t="shared" si="120"/>
        <v>44883</v>
      </c>
      <c r="L337" s="128">
        <f t="shared" si="121"/>
        <v>247.00000008000001</v>
      </c>
      <c r="M337" s="128">
        <f t="shared" si="122"/>
        <v>125.00000008000001</v>
      </c>
      <c r="N337" s="128">
        <f t="shared" si="123"/>
        <v>251</v>
      </c>
      <c r="O337" s="128">
        <f t="shared" si="124"/>
        <v>142</v>
      </c>
      <c r="P337" s="128">
        <f t="shared" si="125"/>
        <v>257</v>
      </c>
      <c r="Q337" s="128">
        <f t="shared" si="126"/>
        <v>275</v>
      </c>
      <c r="R337" s="128">
        <f t="shared" si="137"/>
        <v>18</v>
      </c>
      <c r="S337" s="1">
        <f t="shared" si="138"/>
        <v>1</v>
      </c>
      <c r="T337" s="128">
        <f t="shared" si="139"/>
        <v>-3.9999999199999934</v>
      </c>
      <c r="U337" s="128">
        <f t="shared" si="140"/>
        <v>1297.0000001600001</v>
      </c>
      <c r="W337" s="128">
        <f t="shared" si="127"/>
        <v>275</v>
      </c>
      <c r="X337" s="128">
        <f t="shared" si="128"/>
        <v>267.00000008000001</v>
      </c>
    </row>
    <row r="338" spans="1:24">
      <c r="A338" s="22">
        <f>'Stats 2022'!D67</f>
        <v>44890</v>
      </c>
      <c r="B338" s="130">
        <f>'Stats 2022'!E67</f>
        <v>0</v>
      </c>
      <c r="C338" s="130">
        <f>'Stats 2022'!F67</f>
        <v>1</v>
      </c>
      <c r="D338" s="130">
        <f>'Stats 2022'!G67</f>
        <v>0</v>
      </c>
      <c r="E338" s="130">
        <v>0</v>
      </c>
      <c r="F338" s="130">
        <f>'Stats 2022'!I67</f>
        <v>1</v>
      </c>
      <c r="G338" s="130">
        <f>'Stats 2022'!J67</f>
        <v>1</v>
      </c>
      <c r="K338" s="86">
        <f t="shared" si="120"/>
        <v>44890</v>
      </c>
      <c r="L338" s="128">
        <f t="shared" si="121"/>
        <v>247.00000008000001</v>
      </c>
      <c r="M338" s="128">
        <f t="shared" si="122"/>
        <v>126.00000008000001</v>
      </c>
      <c r="N338" s="128">
        <f t="shared" si="123"/>
        <v>251</v>
      </c>
      <c r="O338" s="128">
        <f t="shared" si="124"/>
        <v>142</v>
      </c>
      <c r="P338" s="128">
        <f t="shared" si="125"/>
        <v>258</v>
      </c>
      <c r="Q338" s="128">
        <f t="shared" si="126"/>
        <v>276</v>
      </c>
      <c r="R338" s="128">
        <f t="shared" si="137"/>
        <v>18</v>
      </c>
      <c r="S338" s="1">
        <f t="shared" si="138"/>
        <v>1</v>
      </c>
      <c r="T338" s="128">
        <f t="shared" si="139"/>
        <v>-3.9999999199999934</v>
      </c>
      <c r="U338" s="128">
        <f t="shared" si="140"/>
        <v>1300.0000001600001</v>
      </c>
      <c r="W338" s="128">
        <f t="shared" si="127"/>
        <v>276</v>
      </c>
      <c r="X338" s="128">
        <f t="shared" si="128"/>
        <v>268.00000008000001</v>
      </c>
    </row>
    <row r="339" spans="1:24">
      <c r="A339" s="22">
        <f>'Stats 2022'!D69</f>
        <v>44897</v>
      </c>
      <c r="B339" s="130">
        <f>'Stats 2022'!E69</f>
        <v>0</v>
      </c>
      <c r="C339" s="130">
        <f>'Stats 2022'!F69</f>
        <v>0</v>
      </c>
      <c r="D339" s="130">
        <f>'Stats 2022'!G69</f>
        <v>0</v>
      </c>
      <c r="E339" s="130">
        <v>0</v>
      </c>
      <c r="F339" s="130">
        <f>'Stats 2022'!I69</f>
        <v>0</v>
      </c>
      <c r="G339" s="130">
        <f>'Stats 2022'!J69</f>
        <v>1</v>
      </c>
      <c r="K339" s="86">
        <f t="shared" si="120"/>
        <v>44897</v>
      </c>
      <c r="L339" s="128">
        <f t="shared" si="121"/>
        <v>247.00000008000001</v>
      </c>
      <c r="M339" s="128">
        <f t="shared" si="122"/>
        <v>126.00000008000001</v>
      </c>
      <c r="N339" s="128">
        <f t="shared" si="123"/>
        <v>251</v>
      </c>
      <c r="O339" s="128">
        <f t="shared" si="124"/>
        <v>142</v>
      </c>
      <c r="P339" s="128">
        <f t="shared" si="125"/>
        <v>258</v>
      </c>
      <c r="Q339" s="128">
        <f t="shared" si="126"/>
        <v>277</v>
      </c>
      <c r="R339" s="128">
        <f t="shared" ref="R339:R343" si="141">Q339-MAX(L339:P339)</f>
        <v>19</v>
      </c>
      <c r="S339" s="1">
        <f t="shared" ref="S339:S343" si="142">IF(Q339&gt;L339,1,0)</f>
        <v>1</v>
      </c>
      <c r="T339" s="128">
        <f t="shared" ref="T339:T343" si="143">L339-N339</f>
        <v>-3.9999999199999934</v>
      </c>
      <c r="U339" s="128">
        <f t="shared" ref="U339:U343" si="144">SUM(L339:Q339)</f>
        <v>1301.0000001600001</v>
      </c>
      <c r="W339" s="128">
        <f t="shared" si="127"/>
        <v>277</v>
      </c>
      <c r="X339" s="128">
        <f t="shared" si="128"/>
        <v>268.00000008000001</v>
      </c>
    </row>
    <row r="340" spans="1:24">
      <c r="A340" s="22">
        <f>'Stats 2022'!D70</f>
        <v>44904</v>
      </c>
      <c r="B340" s="130">
        <f>'Stats 2022'!E70</f>
        <v>1</v>
      </c>
      <c r="C340" s="130">
        <f>'Stats 2022'!F70</f>
        <v>0</v>
      </c>
      <c r="D340" s="130">
        <f>'Stats 2022'!G70</f>
        <v>1</v>
      </c>
      <c r="E340" s="130">
        <v>0</v>
      </c>
      <c r="F340" s="130">
        <f>'Stats 2022'!I70</f>
        <v>0</v>
      </c>
      <c r="G340" s="130">
        <f>'Stats 2022'!J70</f>
        <v>1</v>
      </c>
      <c r="K340" s="86">
        <f t="shared" si="120"/>
        <v>44904</v>
      </c>
      <c r="L340" s="128">
        <f t="shared" si="121"/>
        <v>248.00000008000001</v>
      </c>
      <c r="M340" s="128">
        <f t="shared" si="122"/>
        <v>126.00000008000001</v>
      </c>
      <c r="N340" s="128">
        <f t="shared" si="123"/>
        <v>252</v>
      </c>
      <c r="O340" s="128">
        <f t="shared" si="124"/>
        <v>142</v>
      </c>
      <c r="P340" s="128">
        <f t="shared" si="125"/>
        <v>258</v>
      </c>
      <c r="Q340" s="128">
        <f t="shared" si="126"/>
        <v>278</v>
      </c>
      <c r="R340" s="128">
        <f t="shared" si="141"/>
        <v>20</v>
      </c>
      <c r="S340" s="1">
        <f t="shared" si="142"/>
        <v>1</v>
      </c>
      <c r="T340" s="128">
        <f t="shared" si="143"/>
        <v>-3.9999999199999934</v>
      </c>
      <c r="U340" s="128">
        <f t="shared" si="144"/>
        <v>1304.0000001600001</v>
      </c>
      <c r="W340" s="128">
        <f t="shared" si="127"/>
        <v>278</v>
      </c>
      <c r="X340" s="128">
        <f t="shared" si="128"/>
        <v>268.00000008000001</v>
      </c>
    </row>
    <row r="341" spans="1:24">
      <c r="A341" s="22">
        <f>'Stats 2022'!D71</f>
        <v>44911</v>
      </c>
      <c r="B341" s="130">
        <f>'Stats 2022'!E71</f>
        <v>0</v>
      </c>
      <c r="C341" s="130">
        <f>'Stats 2022'!F71</f>
        <v>0</v>
      </c>
      <c r="D341" s="130">
        <f>'Stats 2022'!G71</f>
        <v>0</v>
      </c>
      <c r="E341" s="130">
        <v>0</v>
      </c>
      <c r="F341" s="130">
        <f>'Stats 2022'!I71</f>
        <v>1</v>
      </c>
      <c r="G341" s="130">
        <f>'Stats 2022'!J71</f>
        <v>1</v>
      </c>
      <c r="K341" s="86">
        <f t="shared" si="120"/>
        <v>44911</v>
      </c>
      <c r="L341" s="128">
        <f t="shared" si="121"/>
        <v>248.00000008000001</v>
      </c>
      <c r="M341" s="128">
        <f t="shared" si="122"/>
        <v>126.00000008000001</v>
      </c>
      <c r="N341" s="128">
        <f t="shared" si="123"/>
        <v>252</v>
      </c>
      <c r="O341" s="128">
        <f t="shared" si="124"/>
        <v>142</v>
      </c>
      <c r="P341" s="128">
        <f t="shared" si="125"/>
        <v>259</v>
      </c>
      <c r="Q341" s="128">
        <f t="shared" si="126"/>
        <v>279</v>
      </c>
      <c r="R341" s="128">
        <f t="shared" si="141"/>
        <v>20</v>
      </c>
      <c r="S341" s="1">
        <f t="shared" si="142"/>
        <v>1</v>
      </c>
      <c r="T341" s="128">
        <f t="shared" si="143"/>
        <v>-3.9999999199999934</v>
      </c>
      <c r="U341" s="128">
        <f t="shared" si="144"/>
        <v>1306.0000001600001</v>
      </c>
      <c r="W341" s="128">
        <f t="shared" si="127"/>
        <v>279</v>
      </c>
      <c r="X341" s="128">
        <f t="shared" si="128"/>
        <v>268.00000008000001</v>
      </c>
    </row>
    <row r="342" spans="1:24">
      <c r="A342" s="22">
        <f>'Stats 2022'!D72</f>
        <v>44918</v>
      </c>
      <c r="B342" s="130">
        <f>'Stats 2022'!E72</f>
        <v>1</v>
      </c>
      <c r="C342" s="130">
        <f>'Stats 2022'!F72</f>
        <v>1</v>
      </c>
      <c r="D342" s="130">
        <f>'Stats 2022'!G72</f>
        <v>1</v>
      </c>
      <c r="E342" s="130">
        <v>0</v>
      </c>
      <c r="F342" s="130">
        <f>'Stats 2022'!I72</f>
        <v>1</v>
      </c>
      <c r="G342" s="130">
        <f>'Stats 2022'!J72</f>
        <v>1</v>
      </c>
      <c r="K342" s="86">
        <f t="shared" si="120"/>
        <v>44918</v>
      </c>
      <c r="L342" s="128">
        <f t="shared" si="121"/>
        <v>249.00000008000001</v>
      </c>
      <c r="M342" s="128">
        <f t="shared" si="122"/>
        <v>127.00000008000001</v>
      </c>
      <c r="N342" s="128">
        <f t="shared" si="123"/>
        <v>253</v>
      </c>
      <c r="O342" s="128">
        <f t="shared" si="124"/>
        <v>142</v>
      </c>
      <c r="P342" s="128">
        <f t="shared" si="125"/>
        <v>260</v>
      </c>
      <c r="Q342" s="128">
        <f t="shared" si="126"/>
        <v>280</v>
      </c>
      <c r="R342" s="128">
        <f t="shared" si="141"/>
        <v>20</v>
      </c>
      <c r="S342" s="1">
        <f t="shared" si="142"/>
        <v>1</v>
      </c>
      <c r="T342" s="128">
        <f t="shared" si="143"/>
        <v>-3.9999999199999934</v>
      </c>
      <c r="U342" s="128">
        <f t="shared" si="144"/>
        <v>1311.0000001600001</v>
      </c>
      <c r="W342" s="128">
        <f t="shared" si="127"/>
        <v>280</v>
      </c>
      <c r="X342" s="128">
        <f t="shared" si="128"/>
        <v>269.00000008000001</v>
      </c>
    </row>
    <row r="343" spans="1:24">
      <c r="A343" s="22">
        <f>'Stats 2022'!D74</f>
        <v>44925</v>
      </c>
      <c r="B343" s="130">
        <f>'Stats 2022'!E74</f>
        <v>0</v>
      </c>
      <c r="C343" s="130">
        <f>'Stats 2022'!F74</f>
        <v>0</v>
      </c>
      <c r="D343" s="130">
        <f>'Stats 2022'!G74</f>
        <v>0</v>
      </c>
      <c r="E343" s="130">
        <v>0</v>
      </c>
      <c r="F343" s="130">
        <f>'Stats 2022'!I74</f>
        <v>1</v>
      </c>
      <c r="G343" s="130">
        <f>'Stats 2022'!J74</f>
        <v>0</v>
      </c>
      <c r="K343" s="86">
        <f t="shared" si="120"/>
        <v>44925</v>
      </c>
      <c r="L343" s="128">
        <f t="shared" si="121"/>
        <v>249.00000008000001</v>
      </c>
      <c r="M343" s="128">
        <f t="shared" si="122"/>
        <v>127.00000008000001</v>
      </c>
      <c r="N343" s="128">
        <f t="shared" si="123"/>
        <v>253</v>
      </c>
      <c r="O343" s="128">
        <f t="shared" si="124"/>
        <v>142</v>
      </c>
      <c r="P343" s="128">
        <f t="shared" si="125"/>
        <v>261</v>
      </c>
      <c r="Q343" s="128">
        <f t="shared" si="126"/>
        <v>280</v>
      </c>
      <c r="R343" s="128">
        <f t="shared" si="141"/>
        <v>19</v>
      </c>
      <c r="S343" s="1">
        <f t="shared" si="142"/>
        <v>1</v>
      </c>
      <c r="T343" s="128">
        <f t="shared" si="143"/>
        <v>-3.9999999199999934</v>
      </c>
      <c r="U343" s="128">
        <f t="shared" si="144"/>
        <v>1312.0000001600001</v>
      </c>
      <c r="W343" s="128">
        <f t="shared" si="127"/>
        <v>280</v>
      </c>
      <c r="X343" s="128">
        <f t="shared" si="128"/>
        <v>269.00000008000001</v>
      </c>
    </row>
    <row r="344" spans="1:24">
      <c r="A344" s="22">
        <f>'Stats 2022'!D75</f>
        <v>44932</v>
      </c>
      <c r="B344" s="130">
        <f>'Stats 2022'!E75</f>
        <v>1</v>
      </c>
      <c r="C344" s="130">
        <f>'Stats 2022'!F75</f>
        <v>0</v>
      </c>
      <c r="D344" s="130">
        <f>'Stats 2022'!G75</f>
        <v>1</v>
      </c>
      <c r="E344" s="130">
        <v>0</v>
      </c>
      <c r="F344" s="130">
        <f>'Stats 2022'!I75</f>
        <v>1</v>
      </c>
      <c r="G344" s="130">
        <f>'Stats 2022'!J75</f>
        <v>1</v>
      </c>
      <c r="K344" s="86">
        <f t="shared" si="120"/>
        <v>44932</v>
      </c>
      <c r="L344" s="128">
        <f t="shared" si="121"/>
        <v>250.00000008000001</v>
      </c>
      <c r="M344" s="128">
        <f t="shared" si="122"/>
        <v>127.00000008000001</v>
      </c>
      <c r="N344" s="128">
        <f t="shared" si="123"/>
        <v>254</v>
      </c>
      <c r="O344" s="128">
        <f t="shared" si="124"/>
        <v>142</v>
      </c>
      <c r="P344" s="128">
        <f t="shared" si="125"/>
        <v>262</v>
      </c>
      <c r="Q344" s="128">
        <f t="shared" si="126"/>
        <v>281</v>
      </c>
      <c r="R344" s="128">
        <f t="shared" ref="R344:R346" si="145">Q344-MAX(L344:P344)</f>
        <v>19</v>
      </c>
      <c r="S344" s="1">
        <f t="shared" ref="S344:S346" si="146">IF(Q344&gt;L344,1,0)</f>
        <v>1</v>
      </c>
      <c r="T344" s="128">
        <f t="shared" ref="T344:T346" si="147">L344-N344</f>
        <v>-3.9999999199999934</v>
      </c>
      <c r="U344" s="128">
        <f t="shared" ref="U344:U346" si="148">SUM(L344:Q344)</f>
        <v>1316.0000001600001</v>
      </c>
      <c r="W344" s="128">
        <f t="shared" si="127"/>
        <v>281</v>
      </c>
      <c r="X344" s="128">
        <f t="shared" si="128"/>
        <v>269.00000008000001</v>
      </c>
    </row>
    <row r="345" spans="1:24">
      <c r="A345" s="22">
        <f>'Stats 2022'!D76</f>
        <v>44939</v>
      </c>
      <c r="B345" s="130">
        <f>'Stats 2022'!E76</f>
        <v>0</v>
      </c>
      <c r="C345" s="130">
        <f>'Stats 2022'!F76</f>
        <v>1</v>
      </c>
      <c r="D345" s="130">
        <f>'Stats 2022'!G76</f>
        <v>1</v>
      </c>
      <c r="E345" s="130">
        <v>0</v>
      </c>
      <c r="F345" s="130">
        <f>'Stats 2022'!I76</f>
        <v>1</v>
      </c>
      <c r="G345" s="130">
        <f>'Stats 2022'!J76</f>
        <v>0</v>
      </c>
      <c r="K345" s="86">
        <f t="shared" si="120"/>
        <v>44939</v>
      </c>
      <c r="L345" s="128">
        <f t="shared" si="121"/>
        <v>250.00000008000001</v>
      </c>
      <c r="M345" s="128">
        <f t="shared" si="122"/>
        <v>128.00000008000001</v>
      </c>
      <c r="N345" s="128">
        <f t="shared" si="123"/>
        <v>255</v>
      </c>
      <c r="O345" s="128">
        <f t="shared" si="124"/>
        <v>142</v>
      </c>
      <c r="P345" s="128">
        <f t="shared" si="125"/>
        <v>263</v>
      </c>
      <c r="Q345" s="128">
        <f t="shared" si="126"/>
        <v>281</v>
      </c>
      <c r="R345" s="128">
        <f t="shared" si="145"/>
        <v>18</v>
      </c>
      <c r="S345" s="1">
        <f t="shared" si="146"/>
        <v>1</v>
      </c>
      <c r="T345" s="128">
        <f t="shared" si="147"/>
        <v>-4.9999999199999934</v>
      </c>
      <c r="U345" s="128">
        <f t="shared" si="148"/>
        <v>1319.0000001600001</v>
      </c>
      <c r="W345" s="128">
        <f t="shared" si="127"/>
        <v>281</v>
      </c>
      <c r="X345" s="128">
        <f t="shared" si="128"/>
        <v>270.00000008000001</v>
      </c>
    </row>
    <row r="346" spans="1:24">
      <c r="A346" s="22">
        <f>'Stats 2022'!D77</f>
        <v>44946</v>
      </c>
      <c r="B346" s="130">
        <f>'Stats 2022'!E77</f>
        <v>0</v>
      </c>
      <c r="C346" s="130">
        <f>'Stats 2022'!F77</f>
        <v>0</v>
      </c>
      <c r="D346" s="130">
        <f>'Stats 2022'!G77</f>
        <v>1</v>
      </c>
      <c r="E346" s="130">
        <v>0</v>
      </c>
      <c r="F346" s="130">
        <f>'Stats 2022'!I77</f>
        <v>1</v>
      </c>
      <c r="G346" s="130">
        <f>'Stats 2022'!J77</f>
        <v>0</v>
      </c>
      <c r="K346" s="86">
        <f t="shared" si="120"/>
        <v>44946</v>
      </c>
      <c r="L346" s="128">
        <f t="shared" si="121"/>
        <v>250.00000008000001</v>
      </c>
      <c r="M346" s="128">
        <f t="shared" si="122"/>
        <v>128.00000008000001</v>
      </c>
      <c r="N346" s="128">
        <f t="shared" si="123"/>
        <v>256</v>
      </c>
      <c r="O346" s="128">
        <f t="shared" si="124"/>
        <v>142</v>
      </c>
      <c r="P346" s="128">
        <f t="shared" si="125"/>
        <v>264</v>
      </c>
      <c r="Q346" s="128">
        <f t="shared" si="126"/>
        <v>281</v>
      </c>
      <c r="R346" s="128">
        <f t="shared" si="145"/>
        <v>17</v>
      </c>
      <c r="S346" s="1">
        <f t="shared" si="146"/>
        <v>1</v>
      </c>
      <c r="T346" s="128">
        <f t="shared" si="147"/>
        <v>-5.9999999199999934</v>
      </c>
      <c r="U346" s="128">
        <f t="shared" si="148"/>
        <v>1321.0000001600001</v>
      </c>
      <c r="W346" s="128">
        <f t="shared" si="127"/>
        <v>281</v>
      </c>
      <c r="X346" s="128">
        <f t="shared" si="128"/>
        <v>270.00000008000001</v>
      </c>
    </row>
    <row r="347" spans="1:24">
      <c r="A347" s="22">
        <f>'Stats 2022'!D78</f>
        <v>44953</v>
      </c>
      <c r="B347" s="130">
        <f>'Stats 2022'!E78</f>
        <v>0</v>
      </c>
      <c r="C347" s="130">
        <f>'Stats 2022'!F78</f>
        <v>1</v>
      </c>
      <c r="D347" s="130">
        <f>'Stats 2022'!G78</f>
        <v>1</v>
      </c>
      <c r="E347" s="130">
        <v>1</v>
      </c>
      <c r="F347" s="130">
        <f>'Stats 2022'!I78</f>
        <v>1</v>
      </c>
      <c r="G347" s="130">
        <f>'Stats 2022'!J78</f>
        <v>0</v>
      </c>
      <c r="K347" s="86">
        <f t="shared" si="120"/>
        <v>44953</v>
      </c>
      <c r="L347" s="128">
        <f t="shared" si="121"/>
        <v>250.00000008000001</v>
      </c>
      <c r="M347" s="128">
        <f t="shared" si="122"/>
        <v>129.00000008000001</v>
      </c>
      <c r="N347" s="128">
        <f t="shared" si="123"/>
        <v>257</v>
      </c>
      <c r="O347" s="128">
        <f t="shared" si="124"/>
        <v>143</v>
      </c>
      <c r="P347" s="128">
        <f t="shared" si="125"/>
        <v>265</v>
      </c>
      <c r="Q347" s="128">
        <f t="shared" si="126"/>
        <v>281</v>
      </c>
      <c r="R347" s="128">
        <f t="shared" ref="R347:R349" si="149">Q347-MAX(L347:P347)</f>
        <v>16</v>
      </c>
      <c r="S347" s="1">
        <f t="shared" ref="S347:S349" si="150">IF(Q347&gt;L347,1,0)</f>
        <v>1</v>
      </c>
      <c r="T347" s="128">
        <f t="shared" ref="T347:T349" si="151">L347-N347</f>
        <v>-6.9999999199999934</v>
      </c>
      <c r="U347" s="128">
        <f t="shared" ref="U347:U349" si="152">SUM(L347:Q347)</f>
        <v>1325.0000001600001</v>
      </c>
      <c r="W347" s="128">
        <f t="shared" si="127"/>
        <v>281</v>
      </c>
      <c r="X347" s="128">
        <f t="shared" si="128"/>
        <v>272.00000008000001</v>
      </c>
    </row>
    <row r="348" spans="1:24">
      <c r="A348" s="22">
        <f>'Stats 2022'!D79</f>
        <v>44960</v>
      </c>
      <c r="B348" s="130">
        <f>'Stats 2022'!E79</f>
        <v>1</v>
      </c>
      <c r="C348" s="130">
        <f>'Stats 2022'!F79</f>
        <v>0</v>
      </c>
      <c r="D348" s="130">
        <f>'Stats 2022'!G79</f>
        <v>0</v>
      </c>
      <c r="E348" s="130">
        <v>1</v>
      </c>
      <c r="F348" s="130">
        <f>'Stats 2022'!I79</f>
        <v>1</v>
      </c>
      <c r="G348" s="130">
        <f>'Stats 2022'!J79</f>
        <v>1</v>
      </c>
      <c r="K348" s="86">
        <f t="shared" si="120"/>
        <v>44960</v>
      </c>
      <c r="L348" s="128">
        <f t="shared" si="121"/>
        <v>251.00000008000001</v>
      </c>
      <c r="M348" s="128">
        <f t="shared" si="122"/>
        <v>129.00000008000001</v>
      </c>
      <c r="N348" s="128">
        <f t="shared" si="123"/>
        <v>257</v>
      </c>
      <c r="O348" s="128">
        <f t="shared" si="124"/>
        <v>144</v>
      </c>
      <c r="P348" s="128">
        <f t="shared" si="125"/>
        <v>266</v>
      </c>
      <c r="Q348" s="128">
        <f t="shared" si="126"/>
        <v>282</v>
      </c>
      <c r="R348" s="128">
        <f t="shared" si="149"/>
        <v>16</v>
      </c>
      <c r="S348" s="1">
        <f t="shared" si="150"/>
        <v>1</v>
      </c>
      <c r="T348" s="128">
        <f t="shared" si="151"/>
        <v>-5.9999999199999934</v>
      </c>
      <c r="U348" s="128">
        <f t="shared" si="152"/>
        <v>1329.0000001600001</v>
      </c>
      <c r="W348" s="128">
        <f t="shared" si="127"/>
        <v>282</v>
      </c>
      <c r="X348" s="128">
        <f t="shared" si="128"/>
        <v>273.00000008000001</v>
      </c>
    </row>
    <row r="349" spans="1:24">
      <c r="A349" s="22">
        <v>44967</v>
      </c>
      <c r="B349" s="130">
        <v>0</v>
      </c>
      <c r="C349" s="130">
        <v>0</v>
      </c>
      <c r="D349" s="130">
        <v>1</v>
      </c>
      <c r="E349" s="130">
        <v>0</v>
      </c>
      <c r="F349" s="130">
        <v>1</v>
      </c>
      <c r="G349" s="130">
        <v>1</v>
      </c>
      <c r="K349" s="86">
        <f t="shared" si="120"/>
        <v>44967</v>
      </c>
      <c r="L349" s="128">
        <f t="shared" si="121"/>
        <v>251.00000008000001</v>
      </c>
      <c r="M349" s="128">
        <f t="shared" si="122"/>
        <v>129.00000008000001</v>
      </c>
      <c r="N349" s="128">
        <f t="shared" si="123"/>
        <v>258</v>
      </c>
      <c r="O349" s="128">
        <f t="shared" si="124"/>
        <v>144</v>
      </c>
      <c r="P349" s="128">
        <f t="shared" si="125"/>
        <v>267</v>
      </c>
      <c r="Q349" s="128">
        <f t="shared" si="126"/>
        <v>283</v>
      </c>
      <c r="R349" s="128">
        <f t="shared" si="149"/>
        <v>16</v>
      </c>
      <c r="S349" s="1">
        <f t="shared" si="150"/>
        <v>1</v>
      </c>
      <c r="T349" s="128">
        <f t="shared" si="151"/>
        <v>-6.9999999199999934</v>
      </c>
      <c r="U349" s="128">
        <f t="shared" si="152"/>
        <v>1332.0000001600001</v>
      </c>
      <c r="W349" s="128">
        <f t="shared" ref="W349:W361" si="153">Q349</f>
        <v>283</v>
      </c>
      <c r="X349" s="128">
        <f t="shared" ref="X349:X361" si="154">M349+O349</f>
        <v>273.00000008000001</v>
      </c>
    </row>
    <row r="350" spans="1:24">
      <c r="A350" s="22">
        <v>44974</v>
      </c>
      <c r="B350" s="130">
        <v>0</v>
      </c>
      <c r="C350" s="130">
        <v>1</v>
      </c>
      <c r="D350" s="130">
        <v>0</v>
      </c>
      <c r="E350" s="130">
        <v>0</v>
      </c>
      <c r="F350" s="130">
        <v>1</v>
      </c>
      <c r="G350" s="130">
        <v>0</v>
      </c>
      <c r="K350" s="86">
        <f t="shared" si="120"/>
        <v>44974</v>
      </c>
      <c r="L350" s="128">
        <f t="shared" si="121"/>
        <v>251.00000008000001</v>
      </c>
      <c r="M350" s="128">
        <f t="shared" si="122"/>
        <v>130.00000008000001</v>
      </c>
      <c r="N350" s="128">
        <f t="shared" si="123"/>
        <v>258</v>
      </c>
      <c r="O350" s="128">
        <f t="shared" si="124"/>
        <v>144</v>
      </c>
      <c r="P350" s="128">
        <f t="shared" si="125"/>
        <v>268</v>
      </c>
      <c r="Q350" s="128">
        <f t="shared" si="126"/>
        <v>283</v>
      </c>
      <c r="R350" s="128">
        <f t="shared" ref="R350:R361" si="155">Q350-MAX(L350:P350)</f>
        <v>15</v>
      </c>
      <c r="S350" s="1">
        <f t="shared" ref="S350:S361" si="156">IF(Q350&gt;L350,1,0)</f>
        <v>1</v>
      </c>
      <c r="T350" s="128">
        <f t="shared" ref="T350:T361" si="157">L350-N350</f>
        <v>-6.9999999199999934</v>
      </c>
      <c r="U350" s="128">
        <f t="shared" ref="U350:U361" si="158">SUM(L350:Q350)</f>
        <v>1334.0000001600001</v>
      </c>
      <c r="W350" s="128">
        <f t="shared" si="153"/>
        <v>283</v>
      </c>
      <c r="X350" s="128">
        <f t="shared" si="154"/>
        <v>274.00000008000001</v>
      </c>
    </row>
    <row r="351" spans="1:24">
      <c r="A351" s="22">
        <v>44981</v>
      </c>
      <c r="B351" s="130">
        <v>0</v>
      </c>
      <c r="C351" s="130">
        <v>0</v>
      </c>
      <c r="D351" s="130">
        <v>1</v>
      </c>
      <c r="E351" s="130">
        <v>0</v>
      </c>
      <c r="F351" s="130">
        <v>1</v>
      </c>
      <c r="G351" s="130">
        <v>1</v>
      </c>
      <c r="K351" s="86">
        <f t="shared" si="120"/>
        <v>44981</v>
      </c>
      <c r="L351" s="128">
        <f t="shared" si="121"/>
        <v>251.00000008000001</v>
      </c>
      <c r="M351" s="128">
        <f t="shared" si="122"/>
        <v>130.00000008000001</v>
      </c>
      <c r="N351" s="128">
        <f t="shared" si="123"/>
        <v>259</v>
      </c>
      <c r="O351" s="128">
        <f t="shared" si="124"/>
        <v>144</v>
      </c>
      <c r="P351" s="128">
        <f t="shared" si="125"/>
        <v>269</v>
      </c>
      <c r="Q351" s="128">
        <f t="shared" si="126"/>
        <v>284</v>
      </c>
      <c r="R351" s="128">
        <f t="shared" si="155"/>
        <v>15</v>
      </c>
      <c r="S351" s="1">
        <f t="shared" si="156"/>
        <v>1</v>
      </c>
      <c r="T351" s="128">
        <f t="shared" si="157"/>
        <v>-7.9999999199999934</v>
      </c>
      <c r="U351" s="128">
        <f t="shared" si="158"/>
        <v>1337.0000001600001</v>
      </c>
      <c r="W351" s="128">
        <f t="shared" si="153"/>
        <v>284</v>
      </c>
      <c r="X351" s="128">
        <f t="shared" si="154"/>
        <v>274.00000008000001</v>
      </c>
    </row>
    <row r="352" spans="1:24">
      <c r="A352" s="22">
        <v>44988</v>
      </c>
      <c r="B352" s="130">
        <v>1</v>
      </c>
      <c r="C352" s="130">
        <v>1</v>
      </c>
      <c r="D352" s="130">
        <v>1</v>
      </c>
      <c r="E352" s="130">
        <v>0</v>
      </c>
      <c r="F352" s="130">
        <v>1</v>
      </c>
      <c r="G352" s="130">
        <v>0</v>
      </c>
      <c r="K352" s="86">
        <f t="shared" si="120"/>
        <v>44988</v>
      </c>
      <c r="L352" s="128">
        <f t="shared" si="121"/>
        <v>252.00000008000001</v>
      </c>
      <c r="M352" s="128">
        <f t="shared" si="122"/>
        <v>131.00000008000001</v>
      </c>
      <c r="N352" s="128">
        <f t="shared" si="123"/>
        <v>260</v>
      </c>
      <c r="O352" s="128">
        <f t="shared" si="124"/>
        <v>144</v>
      </c>
      <c r="P352" s="128">
        <f t="shared" si="125"/>
        <v>270</v>
      </c>
      <c r="Q352" s="128">
        <f t="shared" si="126"/>
        <v>284</v>
      </c>
      <c r="R352" s="128">
        <f t="shared" si="155"/>
        <v>14</v>
      </c>
      <c r="S352" s="1">
        <f t="shared" si="156"/>
        <v>1</v>
      </c>
      <c r="T352" s="128">
        <f t="shared" si="157"/>
        <v>-7.9999999199999934</v>
      </c>
      <c r="U352" s="128">
        <f t="shared" si="158"/>
        <v>1341.0000001600001</v>
      </c>
      <c r="W352" s="128">
        <f t="shared" si="153"/>
        <v>284</v>
      </c>
      <c r="X352" s="128">
        <f t="shared" si="154"/>
        <v>275.00000008000001</v>
      </c>
    </row>
    <row r="353" spans="1:24">
      <c r="A353" s="86">
        <v>44995</v>
      </c>
      <c r="B353" s="130">
        <v>1</v>
      </c>
      <c r="C353" s="130">
        <v>0</v>
      </c>
      <c r="D353" s="130">
        <v>0</v>
      </c>
      <c r="E353" s="130">
        <v>0</v>
      </c>
      <c r="F353" s="130">
        <v>0</v>
      </c>
      <c r="G353" s="130">
        <v>1</v>
      </c>
      <c r="K353" s="86">
        <f t="shared" si="120"/>
        <v>44995</v>
      </c>
      <c r="L353" s="128">
        <f t="shared" si="121"/>
        <v>253.00000008000001</v>
      </c>
      <c r="M353" s="128">
        <f t="shared" si="122"/>
        <v>131.00000008000001</v>
      </c>
      <c r="N353" s="128">
        <f t="shared" si="123"/>
        <v>260</v>
      </c>
      <c r="O353" s="128">
        <f t="shared" si="124"/>
        <v>144</v>
      </c>
      <c r="P353" s="128">
        <f t="shared" si="125"/>
        <v>270</v>
      </c>
      <c r="Q353" s="128">
        <f t="shared" si="126"/>
        <v>285</v>
      </c>
      <c r="R353" s="128">
        <f t="shared" si="155"/>
        <v>15</v>
      </c>
      <c r="S353" s="1">
        <f t="shared" si="156"/>
        <v>1</v>
      </c>
      <c r="T353" s="128">
        <f t="shared" si="157"/>
        <v>-6.9999999199999934</v>
      </c>
      <c r="U353" s="128">
        <f t="shared" si="158"/>
        <v>1343.0000001600001</v>
      </c>
      <c r="W353" s="128">
        <f t="shared" si="153"/>
        <v>285</v>
      </c>
      <c r="X353" s="128">
        <f t="shared" si="154"/>
        <v>275.00000008000001</v>
      </c>
    </row>
    <row r="354" spans="1:24">
      <c r="A354" s="86">
        <v>45002</v>
      </c>
      <c r="B354" s="130">
        <v>1</v>
      </c>
      <c r="C354" s="130">
        <v>0</v>
      </c>
      <c r="D354" s="130">
        <v>0</v>
      </c>
      <c r="E354" s="130">
        <v>0</v>
      </c>
      <c r="F354" s="130">
        <v>0</v>
      </c>
      <c r="G354" s="130">
        <v>0</v>
      </c>
      <c r="K354" s="86">
        <f t="shared" si="120"/>
        <v>45002</v>
      </c>
      <c r="L354" s="128">
        <f t="shared" si="121"/>
        <v>254.00000008000001</v>
      </c>
      <c r="M354" s="128">
        <f t="shared" si="122"/>
        <v>131.00000008000001</v>
      </c>
      <c r="N354" s="128">
        <f t="shared" si="123"/>
        <v>260</v>
      </c>
      <c r="O354" s="128">
        <f t="shared" si="124"/>
        <v>144</v>
      </c>
      <c r="P354" s="128">
        <f t="shared" si="125"/>
        <v>270</v>
      </c>
      <c r="Q354" s="128">
        <f t="shared" si="126"/>
        <v>285</v>
      </c>
      <c r="R354" s="128">
        <f t="shared" si="155"/>
        <v>15</v>
      </c>
      <c r="S354" s="1">
        <f t="shared" si="156"/>
        <v>1</v>
      </c>
      <c r="T354" s="128">
        <f t="shared" si="157"/>
        <v>-5.9999999199999934</v>
      </c>
      <c r="U354" s="128">
        <f t="shared" si="158"/>
        <v>1344.0000001600001</v>
      </c>
      <c r="W354" s="128">
        <f t="shared" si="153"/>
        <v>285</v>
      </c>
      <c r="X354" s="128">
        <f t="shared" si="154"/>
        <v>275.00000008000001</v>
      </c>
    </row>
    <row r="355" spans="1:24">
      <c r="A355" s="86">
        <v>45009</v>
      </c>
      <c r="B355" s="130">
        <v>0</v>
      </c>
      <c r="C355" s="130">
        <v>1</v>
      </c>
      <c r="D355" s="130">
        <v>0</v>
      </c>
      <c r="E355" s="130">
        <v>0</v>
      </c>
      <c r="F355" s="130">
        <v>1</v>
      </c>
      <c r="G355" s="130">
        <v>1</v>
      </c>
      <c r="K355" s="86">
        <f t="shared" si="120"/>
        <v>45009</v>
      </c>
      <c r="L355" s="128">
        <f t="shared" si="121"/>
        <v>254.00000008000001</v>
      </c>
      <c r="M355" s="128">
        <f t="shared" si="122"/>
        <v>132.00000008000001</v>
      </c>
      <c r="N355" s="128">
        <f t="shared" si="123"/>
        <v>260</v>
      </c>
      <c r="O355" s="128">
        <f t="shared" si="124"/>
        <v>144</v>
      </c>
      <c r="P355" s="128">
        <f t="shared" si="125"/>
        <v>271</v>
      </c>
      <c r="Q355" s="128">
        <f t="shared" si="126"/>
        <v>286</v>
      </c>
      <c r="R355" s="128">
        <f t="shared" si="155"/>
        <v>15</v>
      </c>
      <c r="S355" s="1">
        <f t="shared" si="156"/>
        <v>1</v>
      </c>
      <c r="T355" s="128">
        <f t="shared" si="157"/>
        <v>-5.9999999199999934</v>
      </c>
      <c r="U355" s="128">
        <f t="shared" si="158"/>
        <v>1347.0000001600001</v>
      </c>
      <c r="W355" s="128">
        <f t="shared" si="153"/>
        <v>286</v>
      </c>
      <c r="X355" s="128">
        <f t="shared" si="154"/>
        <v>276.00000008000001</v>
      </c>
    </row>
    <row r="356" spans="1:24">
      <c r="A356" s="86">
        <v>45016</v>
      </c>
      <c r="B356" s="130">
        <v>0</v>
      </c>
      <c r="C356" s="130">
        <v>1</v>
      </c>
      <c r="D356" s="130">
        <v>0</v>
      </c>
      <c r="E356" s="130">
        <v>0</v>
      </c>
      <c r="F356" s="130">
        <v>1</v>
      </c>
      <c r="G356" s="130">
        <v>1</v>
      </c>
      <c r="K356" s="86">
        <f t="shared" si="120"/>
        <v>45016</v>
      </c>
      <c r="L356" s="128">
        <f t="shared" si="121"/>
        <v>254.00000008000001</v>
      </c>
      <c r="M356" s="128">
        <f t="shared" si="122"/>
        <v>133.00000008000001</v>
      </c>
      <c r="N356" s="128">
        <f t="shared" si="123"/>
        <v>260</v>
      </c>
      <c r="O356" s="128">
        <f t="shared" si="124"/>
        <v>144</v>
      </c>
      <c r="P356" s="128">
        <f t="shared" si="125"/>
        <v>272</v>
      </c>
      <c r="Q356" s="128">
        <f t="shared" si="126"/>
        <v>287</v>
      </c>
      <c r="R356" s="128">
        <f t="shared" si="155"/>
        <v>15</v>
      </c>
      <c r="S356" s="1">
        <f t="shared" si="156"/>
        <v>1</v>
      </c>
      <c r="T356" s="128">
        <f t="shared" si="157"/>
        <v>-5.9999999199999934</v>
      </c>
      <c r="U356" s="128">
        <f t="shared" si="158"/>
        <v>1350.0000001600001</v>
      </c>
      <c r="W356" s="128">
        <f t="shared" si="153"/>
        <v>287</v>
      </c>
      <c r="X356" s="128">
        <f t="shared" si="154"/>
        <v>277.00000008000001</v>
      </c>
    </row>
    <row r="357" spans="1:24">
      <c r="A357" s="86">
        <v>45030</v>
      </c>
      <c r="B357" s="130">
        <v>0</v>
      </c>
      <c r="C357" s="130">
        <v>1</v>
      </c>
      <c r="D357" s="130">
        <v>0</v>
      </c>
      <c r="E357" s="130">
        <v>0</v>
      </c>
      <c r="F357" s="130">
        <v>1</v>
      </c>
      <c r="G357" s="130">
        <v>0</v>
      </c>
      <c r="K357" s="86">
        <f t="shared" si="120"/>
        <v>45030</v>
      </c>
      <c r="L357" s="128">
        <f t="shared" si="121"/>
        <v>254.00000008000001</v>
      </c>
      <c r="M357" s="128">
        <f t="shared" si="122"/>
        <v>134.00000008000001</v>
      </c>
      <c r="N357" s="128">
        <f t="shared" si="123"/>
        <v>260</v>
      </c>
      <c r="O357" s="128">
        <f t="shared" si="124"/>
        <v>144</v>
      </c>
      <c r="P357" s="128">
        <f t="shared" si="125"/>
        <v>273</v>
      </c>
      <c r="Q357" s="128">
        <f t="shared" si="126"/>
        <v>287</v>
      </c>
      <c r="R357" s="128">
        <f t="shared" si="155"/>
        <v>14</v>
      </c>
      <c r="S357" s="1">
        <f t="shared" si="156"/>
        <v>1</v>
      </c>
      <c r="T357" s="128">
        <f t="shared" si="157"/>
        <v>-5.9999999199999934</v>
      </c>
      <c r="U357" s="128">
        <f t="shared" si="158"/>
        <v>1352.0000001600001</v>
      </c>
      <c r="W357" s="128">
        <f t="shared" si="153"/>
        <v>287</v>
      </c>
      <c r="X357" s="128">
        <f t="shared" si="154"/>
        <v>278.00000008000001</v>
      </c>
    </row>
    <row r="358" spans="1:24">
      <c r="A358" s="86">
        <v>45037</v>
      </c>
      <c r="B358" s="130">
        <v>0</v>
      </c>
      <c r="C358" s="130">
        <v>0</v>
      </c>
      <c r="D358" s="130">
        <v>0</v>
      </c>
      <c r="E358" s="130">
        <v>0</v>
      </c>
      <c r="F358" s="130">
        <v>0</v>
      </c>
      <c r="G358" s="130">
        <v>1</v>
      </c>
      <c r="K358" s="86">
        <f t="shared" si="120"/>
        <v>45037</v>
      </c>
      <c r="L358" s="128">
        <f t="shared" si="121"/>
        <v>254.00000008000001</v>
      </c>
      <c r="M358" s="128">
        <f t="shared" si="122"/>
        <v>134.00000008000001</v>
      </c>
      <c r="N358" s="128">
        <f t="shared" si="123"/>
        <v>260</v>
      </c>
      <c r="O358" s="128">
        <f t="shared" si="124"/>
        <v>144</v>
      </c>
      <c r="P358" s="128">
        <f t="shared" si="125"/>
        <v>273</v>
      </c>
      <c r="Q358" s="128">
        <f t="shared" si="126"/>
        <v>288</v>
      </c>
      <c r="R358" s="128">
        <f t="shared" si="155"/>
        <v>15</v>
      </c>
      <c r="S358" s="1">
        <f t="shared" si="156"/>
        <v>1</v>
      </c>
      <c r="T358" s="128">
        <f t="shared" si="157"/>
        <v>-5.9999999199999934</v>
      </c>
      <c r="U358" s="128">
        <f t="shared" si="158"/>
        <v>1353.0000001600001</v>
      </c>
      <c r="W358" s="128">
        <f t="shared" si="153"/>
        <v>288</v>
      </c>
      <c r="X358" s="128">
        <f t="shared" si="154"/>
        <v>278.00000008000001</v>
      </c>
    </row>
    <row r="359" spans="1:24">
      <c r="A359" s="86">
        <v>45044</v>
      </c>
      <c r="B359" s="130">
        <v>0</v>
      </c>
      <c r="C359" s="130">
        <v>0</v>
      </c>
      <c r="D359" s="130">
        <v>1</v>
      </c>
      <c r="E359" s="130">
        <v>0</v>
      </c>
      <c r="F359" s="130">
        <v>1</v>
      </c>
      <c r="G359" s="130">
        <v>1</v>
      </c>
      <c r="K359" s="86">
        <f t="shared" si="120"/>
        <v>45044</v>
      </c>
      <c r="L359" s="128">
        <f t="shared" si="121"/>
        <v>254.00000008000001</v>
      </c>
      <c r="M359" s="128">
        <f t="shared" si="122"/>
        <v>134.00000008000001</v>
      </c>
      <c r="N359" s="128">
        <f t="shared" si="123"/>
        <v>261</v>
      </c>
      <c r="O359" s="128">
        <f t="shared" si="124"/>
        <v>144</v>
      </c>
      <c r="P359" s="128">
        <f t="shared" si="125"/>
        <v>274</v>
      </c>
      <c r="Q359" s="128">
        <f t="shared" si="126"/>
        <v>289</v>
      </c>
      <c r="R359" s="128">
        <f t="shared" si="155"/>
        <v>15</v>
      </c>
      <c r="S359" s="1">
        <f t="shared" si="156"/>
        <v>1</v>
      </c>
      <c r="T359" s="128">
        <f t="shared" si="157"/>
        <v>-6.9999999199999934</v>
      </c>
      <c r="U359" s="128">
        <f t="shared" si="158"/>
        <v>1356.0000001600001</v>
      </c>
      <c r="W359" s="128">
        <f t="shared" si="153"/>
        <v>289</v>
      </c>
      <c r="X359" s="128">
        <f t="shared" si="154"/>
        <v>278.00000008000001</v>
      </c>
    </row>
    <row r="360" spans="1:24">
      <c r="A360" s="86">
        <v>45051</v>
      </c>
      <c r="B360" s="130">
        <v>0</v>
      </c>
      <c r="C360" s="130">
        <v>1</v>
      </c>
      <c r="D360" s="130">
        <v>1</v>
      </c>
      <c r="E360" s="130">
        <v>0</v>
      </c>
      <c r="F360" s="130">
        <v>1</v>
      </c>
      <c r="G360" s="130">
        <v>1</v>
      </c>
      <c r="K360" s="86">
        <f t="shared" si="120"/>
        <v>45051</v>
      </c>
      <c r="L360" s="128">
        <f t="shared" si="121"/>
        <v>254.00000008000001</v>
      </c>
      <c r="M360" s="128">
        <f t="shared" si="122"/>
        <v>135.00000008000001</v>
      </c>
      <c r="N360" s="128">
        <f t="shared" si="123"/>
        <v>262</v>
      </c>
      <c r="O360" s="128">
        <f t="shared" si="124"/>
        <v>144</v>
      </c>
      <c r="P360" s="128">
        <f t="shared" si="125"/>
        <v>275</v>
      </c>
      <c r="Q360" s="128">
        <f t="shared" si="126"/>
        <v>290</v>
      </c>
      <c r="R360" s="128">
        <f t="shared" si="155"/>
        <v>15</v>
      </c>
      <c r="S360" s="1">
        <f t="shared" si="156"/>
        <v>1</v>
      </c>
      <c r="T360" s="128">
        <f t="shared" si="157"/>
        <v>-7.9999999199999934</v>
      </c>
      <c r="U360" s="128">
        <f t="shared" si="158"/>
        <v>1360.0000001600001</v>
      </c>
      <c r="W360" s="128">
        <f t="shared" si="153"/>
        <v>290</v>
      </c>
      <c r="X360" s="128">
        <f t="shared" si="154"/>
        <v>279.00000008000001</v>
      </c>
    </row>
    <row r="361" spans="1:24">
      <c r="A361" s="86">
        <v>45058</v>
      </c>
      <c r="B361" s="130">
        <v>0</v>
      </c>
      <c r="C361" s="130">
        <v>1</v>
      </c>
      <c r="D361" s="130">
        <v>0</v>
      </c>
      <c r="E361" s="130">
        <v>1</v>
      </c>
      <c r="F361" s="130">
        <v>1</v>
      </c>
      <c r="G361" s="130">
        <v>0</v>
      </c>
      <c r="K361" s="86">
        <f t="shared" si="120"/>
        <v>45058</v>
      </c>
      <c r="L361" s="128">
        <f t="shared" si="121"/>
        <v>254.00000008000001</v>
      </c>
      <c r="M361" s="128">
        <f t="shared" si="122"/>
        <v>136.00000008000001</v>
      </c>
      <c r="N361" s="128">
        <f t="shared" si="123"/>
        <v>262</v>
      </c>
      <c r="O361" s="128">
        <f t="shared" si="124"/>
        <v>145</v>
      </c>
      <c r="P361" s="128">
        <f t="shared" si="125"/>
        <v>276</v>
      </c>
      <c r="Q361" s="128">
        <f t="shared" si="126"/>
        <v>290</v>
      </c>
      <c r="R361" s="128">
        <f t="shared" si="155"/>
        <v>14</v>
      </c>
      <c r="S361" s="1">
        <f t="shared" si="156"/>
        <v>1</v>
      </c>
      <c r="T361" s="128">
        <f t="shared" si="157"/>
        <v>-7.9999999199999934</v>
      </c>
      <c r="U361" s="128">
        <f t="shared" si="158"/>
        <v>1363.0000001600001</v>
      </c>
      <c r="W361" s="128">
        <f t="shared" si="153"/>
        <v>290</v>
      </c>
      <c r="X361" s="128">
        <f t="shared" si="154"/>
        <v>281.00000008000001</v>
      </c>
    </row>
    <row r="362" spans="1:24">
      <c r="A362" s="86">
        <f>'Stats 2023'!D42</f>
        <v>45065</v>
      </c>
      <c r="B362" s="130">
        <f>'Stats 2023'!E42</f>
        <v>0</v>
      </c>
      <c r="C362" s="130">
        <f>'Stats 2023'!F42</f>
        <v>1</v>
      </c>
      <c r="D362" s="130">
        <f>'Stats 2023'!G42</f>
        <v>0</v>
      </c>
      <c r="E362" s="130">
        <f>'Stats 2023'!H42</f>
        <v>0</v>
      </c>
      <c r="F362" s="130">
        <f>'Stats 2023'!I42</f>
        <v>0</v>
      </c>
      <c r="G362" s="130">
        <f>'Stats 2023'!J42</f>
        <v>0</v>
      </c>
      <c r="K362" s="86">
        <f t="shared" si="120"/>
        <v>45065</v>
      </c>
      <c r="L362" s="128">
        <f t="shared" si="121"/>
        <v>254.00000008000001</v>
      </c>
      <c r="M362" s="128">
        <f t="shared" si="122"/>
        <v>137.00000008000001</v>
      </c>
      <c r="N362" s="128">
        <f t="shared" si="123"/>
        <v>262</v>
      </c>
      <c r="O362" s="128">
        <f t="shared" si="124"/>
        <v>145</v>
      </c>
      <c r="P362" s="128">
        <f t="shared" si="125"/>
        <v>276</v>
      </c>
      <c r="Q362" s="128">
        <f t="shared" si="126"/>
        <v>290</v>
      </c>
      <c r="R362" s="128">
        <f t="shared" ref="R362:R370" si="159">Q362-MAX(L362:P362)</f>
        <v>14</v>
      </c>
      <c r="S362" s="1">
        <f t="shared" ref="S362:S370" si="160">IF(Q362&gt;L362,1,0)</f>
        <v>1</v>
      </c>
      <c r="T362" s="128">
        <f t="shared" ref="T362:T370" si="161">L362-N362</f>
        <v>-7.9999999199999934</v>
      </c>
      <c r="U362" s="128">
        <f t="shared" ref="U362:U370" si="162">SUM(L362:Q362)</f>
        <v>1364.0000001600001</v>
      </c>
      <c r="W362" s="128">
        <f t="shared" ref="W362:W370" si="163">Q362</f>
        <v>290</v>
      </c>
      <c r="X362" s="128">
        <f t="shared" ref="X362:X370" si="164">M362+O362</f>
        <v>282.00000008000001</v>
      </c>
    </row>
    <row r="363" spans="1:24">
      <c r="A363" s="86">
        <f>'Stats 2023'!D44</f>
        <v>45072</v>
      </c>
      <c r="B363" s="130">
        <f>'Stats 2023'!E44</f>
        <v>1</v>
      </c>
      <c r="C363" s="130">
        <f>'Stats 2023'!F44</f>
        <v>1</v>
      </c>
      <c r="D363" s="130">
        <f>'Stats 2023'!G44</f>
        <v>1</v>
      </c>
      <c r="E363" s="130">
        <f>'Stats 2023'!H44</f>
        <v>0</v>
      </c>
      <c r="F363" s="130">
        <f>'Stats 2023'!I44</f>
        <v>1</v>
      </c>
      <c r="G363" s="130">
        <f>'Stats 2023'!J44</f>
        <v>1</v>
      </c>
      <c r="K363" s="86">
        <f t="shared" si="120"/>
        <v>45072</v>
      </c>
      <c r="L363" s="128">
        <f t="shared" si="121"/>
        <v>255.00000008000001</v>
      </c>
      <c r="M363" s="128">
        <f t="shared" si="122"/>
        <v>138.00000008000001</v>
      </c>
      <c r="N363" s="128">
        <f t="shared" si="123"/>
        <v>263</v>
      </c>
      <c r="O363" s="128">
        <f t="shared" si="124"/>
        <v>145</v>
      </c>
      <c r="P363" s="128">
        <f t="shared" si="125"/>
        <v>277</v>
      </c>
      <c r="Q363" s="128">
        <f t="shared" si="126"/>
        <v>291</v>
      </c>
      <c r="R363" s="128">
        <f t="shared" si="159"/>
        <v>14</v>
      </c>
      <c r="S363" s="1">
        <f t="shared" si="160"/>
        <v>1</v>
      </c>
      <c r="T363" s="128">
        <f t="shared" si="161"/>
        <v>-7.9999999199999934</v>
      </c>
      <c r="U363" s="128">
        <f t="shared" si="162"/>
        <v>1369.0000001600001</v>
      </c>
      <c r="W363" s="128">
        <f t="shared" si="163"/>
        <v>291</v>
      </c>
      <c r="X363" s="128">
        <f t="shared" si="164"/>
        <v>283.00000008000001</v>
      </c>
    </row>
    <row r="364" spans="1:24">
      <c r="A364" s="86">
        <f>'Stats 2023'!D45</f>
        <v>45079</v>
      </c>
      <c r="B364" s="130">
        <f>'Stats 2023'!E45</f>
        <v>0</v>
      </c>
      <c r="C364" s="130">
        <f>'Stats 2023'!F45</f>
        <v>1</v>
      </c>
      <c r="D364" s="130">
        <f>'Stats 2023'!G45</f>
        <v>0</v>
      </c>
      <c r="E364" s="130">
        <f>'Stats 2023'!H45</f>
        <v>1</v>
      </c>
      <c r="F364" s="130">
        <f>'Stats 2023'!I45</f>
        <v>1</v>
      </c>
      <c r="G364" s="130">
        <f>'Stats 2023'!J45</f>
        <v>1</v>
      </c>
      <c r="K364" s="86">
        <f t="shared" si="120"/>
        <v>45079</v>
      </c>
      <c r="L364" s="128">
        <f t="shared" si="121"/>
        <v>255.00000008000001</v>
      </c>
      <c r="M364" s="128">
        <f t="shared" si="122"/>
        <v>139.00000008000001</v>
      </c>
      <c r="N364" s="128">
        <f t="shared" si="123"/>
        <v>263</v>
      </c>
      <c r="O364" s="128">
        <f t="shared" si="124"/>
        <v>146</v>
      </c>
      <c r="P364" s="128">
        <f t="shared" si="125"/>
        <v>278</v>
      </c>
      <c r="Q364" s="128">
        <f t="shared" si="126"/>
        <v>292</v>
      </c>
      <c r="R364" s="128">
        <f t="shared" si="159"/>
        <v>14</v>
      </c>
      <c r="S364" s="1">
        <f t="shared" si="160"/>
        <v>1</v>
      </c>
      <c r="T364" s="128">
        <f t="shared" si="161"/>
        <v>-7.9999999199999934</v>
      </c>
      <c r="U364" s="128">
        <f t="shared" si="162"/>
        <v>1373.0000001600001</v>
      </c>
      <c r="W364" s="128">
        <f t="shared" si="163"/>
        <v>292</v>
      </c>
      <c r="X364" s="128">
        <f t="shared" si="164"/>
        <v>285.00000008000001</v>
      </c>
    </row>
    <row r="365" spans="1:24">
      <c r="A365" s="86">
        <f>'Stats 2023'!D46</f>
        <v>45086</v>
      </c>
      <c r="B365" s="130">
        <f>'Stats 2023'!E46</f>
        <v>0</v>
      </c>
      <c r="C365" s="130">
        <f>'Stats 2023'!F46</f>
        <v>1</v>
      </c>
      <c r="D365" s="130">
        <f>'Stats 2023'!G46</f>
        <v>1</v>
      </c>
      <c r="E365" s="130">
        <f>'Stats 2023'!H46</f>
        <v>0</v>
      </c>
      <c r="F365" s="130">
        <f>'Stats 2023'!I46</f>
        <v>1</v>
      </c>
      <c r="G365" s="130">
        <f>'Stats 2023'!J46</f>
        <v>1</v>
      </c>
      <c r="K365" s="86">
        <f t="shared" si="120"/>
        <v>45086</v>
      </c>
      <c r="L365" s="128">
        <f t="shared" si="121"/>
        <v>255.00000008000001</v>
      </c>
      <c r="M365" s="128">
        <f t="shared" si="122"/>
        <v>140.00000008000001</v>
      </c>
      <c r="N365" s="128">
        <f t="shared" si="123"/>
        <v>264</v>
      </c>
      <c r="O365" s="128">
        <f t="shared" si="124"/>
        <v>146</v>
      </c>
      <c r="P365" s="128">
        <f t="shared" si="125"/>
        <v>279</v>
      </c>
      <c r="Q365" s="128">
        <f t="shared" si="126"/>
        <v>293</v>
      </c>
      <c r="R365" s="128">
        <f t="shared" si="159"/>
        <v>14</v>
      </c>
      <c r="S365" s="1">
        <f t="shared" si="160"/>
        <v>1</v>
      </c>
      <c r="T365" s="128">
        <f t="shared" si="161"/>
        <v>-8.9999999199999934</v>
      </c>
      <c r="U365" s="128">
        <f t="shared" si="162"/>
        <v>1377.0000001600001</v>
      </c>
      <c r="W365" s="128">
        <f t="shared" si="163"/>
        <v>293</v>
      </c>
      <c r="X365" s="128">
        <f t="shared" si="164"/>
        <v>286.00000008000001</v>
      </c>
    </row>
    <row r="366" spans="1:24">
      <c r="A366" s="86">
        <f>'Stats 2023'!D47</f>
        <v>45093</v>
      </c>
      <c r="B366" s="130">
        <f>'Stats 2023'!E47</f>
        <v>1</v>
      </c>
      <c r="C366" s="130">
        <f>'Stats 2023'!F47</f>
        <v>1</v>
      </c>
      <c r="D366" s="130">
        <f>'Stats 2023'!G47</f>
        <v>1</v>
      </c>
      <c r="E366" s="130">
        <f>'Stats 2023'!H47</f>
        <v>0</v>
      </c>
      <c r="F366" s="130">
        <f>'Stats 2023'!I47</f>
        <v>1</v>
      </c>
      <c r="G366" s="130">
        <f>'Stats 2023'!J47</f>
        <v>1</v>
      </c>
      <c r="K366" s="86">
        <f t="shared" si="120"/>
        <v>45093</v>
      </c>
      <c r="L366" s="128">
        <f t="shared" si="121"/>
        <v>256.00000008000001</v>
      </c>
      <c r="M366" s="128">
        <f t="shared" si="122"/>
        <v>141.00000008000001</v>
      </c>
      <c r="N366" s="128">
        <f t="shared" si="123"/>
        <v>265</v>
      </c>
      <c r="O366" s="128">
        <f t="shared" si="124"/>
        <v>146</v>
      </c>
      <c r="P366" s="128">
        <f t="shared" si="125"/>
        <v>280</v>
      </c>
      <c r="Q366" s="128">
        <f t="shared" si="126"/>
        <v>294</v>
      </c>
      <c r="R366" s="128">
        <f t="shared" si="159"/>
        <v>14</v>
      </c>
      <c r="S366" s="1">
        <f t="shared" si="160"/>
        <v>1</v>
      </c>
      <c r="T366" s="128">
        <f t="shared" si="161"/>
        <v>-8.9999999199999934</v>
      </c>
      <c r="U366" s="128">
        <f t="shared" si="162"/>
        <v>1382.0000001600001</v>
      </c>
      <c r="W366" s="128">
        <f t="shared" si="163"/>
        <v>294</v>
      </c>
      <c r="X366" s="128">
        <f t="shared" si="164"/>
        <v>287.00000008000001</v>
      </c>
    </row>
    <row r="367" spans="1:24">
      <c r="A367" s="86">
        <f>'Stats 2023'!D48</f>
        <v>45100</v>
      </c>
      <c r="B367" s="130">
        <f>'Stats 2023'!E48</f>
        <v>1</v>
      </c>
      <c r="C367" s="130">
        <f>'Stats 2023'!F48</f>
        <v>1</v>
      </c>
      <c r="D367" s="130">
        <f>'Stats 2023'!G48</f>
        <v>1</v>
      </c>
      <c r="E367" s="130">
        <f>'Stats 2023'!H48</f>
        <v>1</v>
      </c>
      <c r="F367" s="130">
        <f>'Stats 2023'!I48</f>
        <v>1</v>
      </c>
      <c r="G367" s="130">
        <f>'Stats 2023'!J48</f>
        <v>1</v>
      </c>
      <c r="K367" s="86">
        <f t="shared" si="120"/>
        <v>45100</v>
      </c>
      <c r="L367" s="128">
        <f t="shared" si="121"/>
        <v>257.00000008000001</v>
      </c>
      <c r="M367" s="128">
        <f t="shared" si="122"/>
        <v>142.00000008000001</v>
      </c>
      <c r="N367" s="128">
        <f t="shared" si="123"/>
        <v>266</v>
      </c>
      <c r="O367" s="128">
        <f t="shared" si="124"/>
        <v>147</v>
      </c>
      <c r="P367" s="128">
        <f t="shared" si="125"/>
        <v>281</v>
      </c>
      <c r="Q367" s="128">
        <f t="shared" si="126"/>
        <v>295</v>
      </c>
      <c r="R367" s="128">
        <f t="shared" si="159"/>
        <v>14</v>
      </c>
      <c r="S367" s="1">
        <f t="shared" si="160"/>
        <v>1</v>
      </c>
      <c r="T367" s="128">
        <f t="shared" si="161"/>
        <v>-8.9999999199999934</v>
      </c>
      <c r="U367" s="128">
        <f t="shared" si="162"/>
        <v>1388.0000001600001</v>
      </c>
      <c r="W367" s="128">
        <f t="shared" si="163"/>
        <v>295</v>
      </c>
      <c r="X367" s="128">
        <f t="shared" si="164"/>
        <v>289.00000008000001</v>
      </c>
    </row>
    <row r="368" spans="1:24">
      <c r="A368" s="86">
        <f>'Stats 2023'!D49</f>
        <v>45107</v>
      </c>
      <c r="B368" s="130">
        <f>'Stats 2023'!E49</f>
        <v>0</v>
      </c>
      <c r="C368" s="130">
        <f>'Stats 2023'!F49</f>
        <v>1</v>
      </c>
      <c r="D368" s="130">
        <f>'Stats 2023'!G49</f>
        <v>0</v>
      </c>
      <c r="E368" s="130">
        <f>'Stats 2023'!H49</f>
        <v>0</v>
      </c>
      <c r="F368" s="130">
        <f>'Stats 2023'!I49</f>
        <v>1</v>
      </c>
      <c r="G368" s="130">
        <f>'Stats 2023'!J49</f>
        <v>1</v>
      </c>
      <c r="K368" s="86">
        <f t="shared" si="120"/>
        <v>45107</v>
      </c>
      <c r="L368" s="128">
        <f t="shared" si="121"/>
        <v>257.00000008000001</v>
      </c>
      <c r="M368" s="128">
        <f t="shared" si="122"/>
        <v>143.00000008000001</v>
      </c>
      <c r="N368" s="128">
        <f t="shared" si="123"/>
        <v>266</v>
      </c>
      <c r="O368" s="128">
        <f t="shared" si="124"/>
        <v>147</v>
      </c>
      <c r="P368" s="128">
        <f t="shared" si="125"/>
        <v>282</v>
      </c>
      <c r="Q368" s="128">
        <f t="shared" si="126"/>
        <v>296</v>
      </c>
      <c r="R368" s="128">
        <f t="shared" si="159"/>
        <v>14</v>
      </c>
      <c r="S368" s="1">
        <f t="shared" si="160"/>
        <v>1</v>
      </c>
      <c r="T368" s="128">
        <f t="shared" si="161"/>
        <v>-8.9999999199999934</v>
      </c>
      <c r="U368" s="128">
        <f t="shared" si="162"/>
        <v>1391.0000001600001</v>
      </c>
      <c r="W368" s="128">
        <f t="shared" si="163"/>
        <v>296</v>
      </c>
      <c r="X368" s="128">
        <f t="shared" si="164"/>
        <v>290.00000008000001</v>
      </c>
    </row>
    <row r="369" spans="1:24">
      <c r="A369" s="86">
        <f>'Stats 2023'!D50</f>
        <v>45114</v>
      </c>
      <c r="B369" s="130">
        <f>'Stats 2023'!E50</f>
        <v>0</v>
      </c>
      <c r="C369" s="130">
        <f>'Stats 2023'!F50</f>
        <v>1</v>
      </c>
      <c r="D369" s="130">
        <f>'Stats 2023'!G50</f>
        <v>1</v>
      </c>
      <c r="E369" s="130">
        <f>'Stats 2023'!H50</f>
        <v>0</v>
      </c>
      <c r="F369" s="130">
        <f>'Stats 2023'!I50</f>
        <v>0</v>
      </c>
      <c r="G369" s="130">
        <f>'Stats 2023'!J50</f>
        <v>1</v>
      </c>
      <c r="K369" s="86">
        <f t="shared" si="120"/>
        <v>45114</v>
      </c>
      <c r="L369" s="128">
        <f t="shared" si="121"/>
        <v>257.00000008000001</v>
      </c>
      <c r="M369" s="128">
        <f t="shared" si="122"/>
        <v>144.00000008000001</v>
      </c>
      <c r="N369" s="128">
        <f t="shared" si="123"/>
        <v>267</v>
      </c>
      <c r="O369" s="128">
        <f t="shared" si="124"/>
        <v>147</v>
      </c>
      <c r="P369" s="128">
        <f t="shared" si="125"/>
        <v>282</v>
      </c>
      <c r="Q369" s="128">
        <f t="shared" si="126"/>
        <v>297</v>
      </c>
      <c r="R369" s="128">
        <f t="shared" si="159"/>
        <v>15</v>
      </c>
      <c r="S369" s="1">
        <f t="shared" si="160"/>
        <v>1</v>
      </c>
      <c r="T369" s="128">
        <f t="shared" si="161"/>
        <v>-9.9999999199999934</v>
      </c>
      <c r="U369" s="128">
        <f t="shared" si="162"/>
        <v>1394.0000001600001</v>
      </c>
      <c r="W369" s="128">
        <f t="shared" si="163"/>
        <v>297</v>
      </c>
      <c r="X369" s="128">
        <f t="shared" si="164"/>
        <v>291.00000008000001</v>
      </c>
    </row>
    <row r="370" spans="1:24">
      <c r="A370" s="86">
        <f>'Stats 2023'!D51</f>
        <v>45121</v>
      </c>
      <c r="B370" s="130">
        <f>'Stats 2023'!E51</f>
        <v>1</v>
      </c>
      <c r="C370" s="130">
        <f>'Stats 2023'!F51</f>
        <v>1</v>
      </c>
      <c r="D370" s="130">
        <f>'Stats 2023'!G51</f>
        <v>1</v>
      </c>
      <c r="E370" s="130">
        <f>'Stats 2023'!H51</f>
        <v>1</v>
      </c>
      <c r="F370" s="130">
        <f>'Stats 2023'!I51</f>
        <v>1</v>
      </c>
      <c r="G370" s="130">
        <f>'Stats 2023'!J51</f>
        <v>1</v>
      </c>
      <c r="K370" s="86">
        <f t="shared" si="120"/>
        <v>45121</v>
      </c>
      <c r="L370" s="128">
        <f t="shared" si="121"/>
        <v>258.00000008000001</v>
      </c>
      <c r="M370" s="128">
        <f t="shared" si="122"/>
        <v>145.00000008000001</v>
      </c>
      <c r="N370" s="128">
        <f t="shared" si="123"/>
        <v>268</v>
      </c>
      <c r="O370" s="128">
        <f t="shared" si="124"/>
        <v>148</v>
      </c>
      <c r="P370" s="128">
        <f t="shared" si="125"/>
        <v>283</v>
      </c>
      <c r="Q370" s="128">
        <f t="shared" si="126"/>
        <v>298</v>
      </c>
      <c r="R370" s="128">
        <f t="shared" si="159"/>
        <v>15</v>
      </c>
      <c r="S370" s="1">
        <f t="shared" si="160"/>
        <v>1</v>
      </c>
      <c r="T370" s="128">
        <f t="shared" si="161"/>
        <v>-9.9999999199999934</v>
      </c>
      <c r="U370" s="128">
        <f t="shared" si="162"/>
        <v>1400.0000001600001</v>
      </c>
      <c r="W370" s="128">
        <f t="shared" si="163"/>
        <v>298</v>
      </c>
      <c r="X370" s="128">
        <f t="shared" si="164"/>
        <v>293.00000008000001</v>
      </c>
    </row>
    <row r="371" spans="1:24">
      <c r="A371" s="86">
        <f>'Stats 2023'!D52</f>
        <v>45128</v>
      </c>
      <c r="B371" s="130">
        <f>'Stats 2023'!E52</f>
        <v>0</v>
      </c>
      <c r="C371" s="130">
        <f>'Stats 2023'!F52</f>
        <v>1</v>
      </c>
      <c r="D371" s="130">
        <f>'Stats 2023'!G52</f>
        <v>0</v>
      </c>
      <c r="E371" s="130">
        <f>'Stats 2023'!H52</f>
        <v>0</v>
      </c>
      <c r="F371" s="130">
        <f>'Stats 2023'!I52</f>
        <v>1</v>
      </c>
      <c r="G371" s="130">
        <f>'Stats 2023'!J52</f>
        <v>1</v>
      </c>
      <c r="K371" s="86">
        <f t="shared" si="120"/>
        <v>45128</v>
      </c>
      <c r="L371" s="128">
        <f t="shared" si="121"/>
        <v>258.00000008000001</v>
      </c>
      <c r="M371" s="128">
        <f t="shared" si="122"/>
        <v>146.00000008000001</v>
      </c>
      <c r="N371" s="128">
        <f t="shared" si="123"/>
        <v>268</v>
      </c>
      <c r="O371" s="128">
        <f t="shared" si="124"/>
        <v>148</v>
      </c>
      <c r="P371" s="128">
        <f t="shared" si="125"/>
        <v>284</v>
      </c>
      <c r="Q371" s="128">
        <f t="shared" si="126"/>
        <v>299</v>
      </c>
      <c r="R371" s="128">
        <f t="shared" ref="R371" si="165">Q371-MAX(L371:P371)</f>
        <v>15</v>
      </c>
      <c r="S371" s="1">
        <f t="shared" ref="S371" si="166">IF(Q371&gt;L371,1,0)</f>
        <v>1</v>
      </c>
      <c r="T371" s="128">
        <f t="shared" ref="T371" si="167">L371-N371</f>
        <v>-9.9999999199999934</v>
      </c>
      <c r="U371" s="128">
        <f t="shared" ref="U371" si="168">SUM(L371:Q371)</f>
        <v>1403.0000001600001</v>
      </c>
      <c r="W371" s="128">
        <f t="shared" ref="W371" si="169">Q371</f>
        <v>299</v>
      </c>
      <c r="X371" s="128">
        <f t="shared" ref="X371" si="170">M371+O371</f>
        <v>294.00000008000001</v>
      </c>
    </row>
    <row r="372" spans="1:24">
      <c r="A372" s="86">
        <f>'Stats 2023'!D53</f>
        <v>45135</v>
      </c>
      <c r="B372" s="130">
        <f>'Stats 2023'!E53</f>
        <v>1</v>
      </c>
      <c r="C372" s="130">
        <f>'Stats 2023'!F53</f>
        <v>0</v>
      </c>
      <c r="D372" s="130">
        <f>'Stats 2023'!G53</f>
        <v>1</v>
      </c>
      <c r="E372" s="130">
        <f>'Stats 2023'!H53</f>
        <v>0</v>
      </c>
      <c r="F372" s="130">
        <f>'Stats 2023'!I53</f>
        <v>1</v>
      </c>
      <c r="G372" s="130">
        <f>'Stats 2023'!J53</f>
        <v>1</v>
      </c>
    </row>
    <row r="373" spans="1:24">
      <c r="A373" s="86">
        <f>'Stats 2023'!D54</f>
        <v>45142</v>
      </c>
      <c r="B373" s="130">
        <f>'Stats 2023'!E54</f>
        <v>1</v>
      </c>
      <c r="C373" s="130">
        <f>'Stats 2023'!F54</f>
        <v>1</v>
      </c>
      <c r="D373" s="130">
        <f>'Stats 2023'!G54</f>
        <v>0</v>
      </c>
      <c r="E373" s="130">
        <f>'Stats 2023'!H54</f>
        <v>0</v>
      </c>
      <c r="F373" s="130">
        <f>'Stats 2023'!I54</f>
        <v>1</v>
      </c>
      <c r="G373" s="130">
        <f>'Stats 2023'!J54</f>
        <v>1</v>
      </c>
    </row>
    <row r="374" spans="1:24">
      <c r="A374" s="86">
        <f>'Stats 2023'!D55</f>
        <v>45149</v>
      </c>
      <c r="B374" s="130">
        <f>'Stats 2023'!E55</f>
        <v>1</v>
      </c>
      <c r="C374" s="130">
        <f>'Stats 2023'!F55</f>
        <v>1</v>
      </c>
      <c r="D374" s="130">
        <f>'Stats 2023'!G55</f>
        <v>1</v>
      </c>
      <c r="E374" s="130">
        <f>'Stats 2023'!H55</f>
        <v>1</v>
      </c>
      <c r="F374" s="130">
        <f>'Stats 2023'!I55</f>
        <v>0</v>
      </c>
      <c r="G374" s="130">
        <f>'Stats 2023'!J55</f>
        <v>1</v>
      </c>
    </row>
    <row r="375" spans="1:24">
      <c r="A375" s="86">
        <f>'Stats 2023'!D58</f>
        <v>45163</v>
      </c>
      <c r="B375" s="130">
        <f>'Stats 2023'!E58</f>
        <v>0</v>
      </c>
      <c r="C375" s="130">
        <f>'Stats 2023'!F58</f>
        <v>1</v>
      </c>
      <c r="D375" s="130">
        <f>'Stats 2023'!G58</f>
        <v>0</v>
      </c>
      <c r="E375" s="130">
        <f>'Stats 2023'!H58</f>
        <v>0</v>
      </c>
      <c r="F375" s="130">
        <f>'Stats 2023'!I58</f>
        <v>1</v>
      </c>
      <c r="G375" s="130">
        <f>'Stats 2023'!J58</f>
        <v>1</v>
      </c>
    </row>
    <row r="376" spans="1:24">
      <c r="A376" s="86">
        <f>'Stats 2023'!D59</f>
        <v>45170</v>
      </c>
      <c r="B376" s="130">
        <f>'Stats 2023'!E59</f>
        <v>1</v>
      </c>
      <c r="C376" s="130">
        <f>'Stats 2023'!F59</f>
        <v>1</v>
      </c>
      <c r="D376" s="130">
        <f>'Stats 2023'!G59</f>
        <v>1</v>
      </c>
      <c r="E376" s="130">
        <f>'Stats 2023'!H59</f>
        <v>0</v>
      </c>
      <c r="F376" s="130">
        <f>'Stats 2023'!I59</f>
        <v>1</v>
      </c>
      <c r="G376" s="130">
        <f>'Stats 2023'!J59</f>
        <v>0</v>
      </c>
    </row>
    <row r="377" spans="1:24">
      <c r="A377" s="86">
        <f>'Stats 2023'!D60</f>
        <v>45177</v>
      </c>
      <c r="B377" s="130">
        <f>'Stats 2023'!E60</f>
        <v>0</v>
      </c>
      <c r="C377" s="130">
        <f>'Stats 2023'!F60</f>
        <v>1</v>
      </c>
      <c r="D377" s="130">
        <f>'Stats 2023'!G60</f>
        <v>0</v>
      </c>
      <c r="E377" s="130">
        <f>'Stats 2023'!H60</f>
        <v>1</v>
      </c>
      <c r="F377" s="130">
        <f>'Stats 2023'!I60</f>
        <v>1</v>
      </c>
      <c r="G377" s="130">
        <f>'Stats 2023'!J60</f>
        <v>1</v>
      </c>
    </row>
    <row r="378" spans="1:24">
      <c r="A378" s="86">
        <f>'Stats 2023'!D61</f>
        <v>45184</v>
      </c>
      <c r="B378" s="130">
        <f>'Stats 2023'!E61</f>
        <v>1</v>
      </c>
      <c r="C378" s="130">
        <f>'Stats 2023'!F61</f>
        <v>0</v>
      </c>
      <c r="D378" s="130">
        <f>'Stats 2023'!G61</f>
        <v>0</v>
      </c>
      <c r="E378" s="130">
        <f>'Stats 2023'!H61</f>
        <v>0</v>
      </c>
      <c r="F378" s="130">
        <f>'Stats 2023'!I61</f>
        <v>1</v>
      </c>
      <c r="G378" s="130">
        <f>'Stats 2023'!J61</f>
        <v>1</v>
      </c>
    </row>
    <row r="379" spans="1:24">
      <c r="A379" s="86">
        <f>'Stats 2023'!D62</f>
        <v>45191</v>
      </c>
      <c r="B379" s="130">
        <f>'Stats 2023'!E62</f>
        <v>0</v>
      </c>
      <c r="C379" s="130">
        <f>'Stats 2023'!F62</f>
        <v>0</v>
      </c>
      <c r="D379" s="130">
        <f>'Stats 2023'!G62</f>
        <v>1</v>
      </c>
      <c r="E379" s="130">
        <f>'Stats 2023'!H62</f>
        <v>1</v>
      </c>
      <c r="F379" s="130">
        <f>'Stats 2023'!I62</f>
        <v>1</v>
      </c>
      <c r="G379" s="130">
        <f>'Stats 2023'!J62</f>
        <v>1</v>
      </c>
    </row>
    <row r="380" spans="1:24">
      <c r="A380" s="86">
        <f>'Stats 2023'!D63</f>
        <v>0</v>
      </c>
      <c r="B380" s="130">
        <f>'Stats 2023'!E63</f>
        <v>0</v>
      </c>
      <c r="C380" s="130">
        <f>'Stats 2023'!F63</f>
        <v>0</v>
      </c>
      <c r="D380" s="130">
        <f>'Stats 2023'!G63</f>
        <v>0</v>
      </c>
      <c r="E380" s="130">
        <f>'Stats 2023'!H63</f>
        <v>0</v>
      </c>
      <c r="F380" s="130">
        <f>'Stats 2023'!I63</f>
        <v>0</v>
      </c>
      <c r="G380" s="130">
        <f>'Stats 2023'!J63</f>
        <v>0</v>
      </c>
    </row>
    <row r="381" spans="1:24">
      <c r="A381" s="86">
        <f>'Stats 2023'!D64</f>
        <v>45198</v>
      </c>
      <c r="B381" s="130">
        <f>'Stats 2023'!E64</f>
        <v>0</v>
      </c>
      <c r="C381" s="130">
        <f>'Stats 2023'!F64</f>
        <v>0</v>
      </c>
      <c r="D381" s="130">
        <f>'Stats 2023'!G64</f>
        <v>0</v>
      </c>
      <c r="E381" s="130">
        <f>'Stats 2023'!H64</f>
        <v>0</v>
      </c>
      <c r="F381" s="130">
        <f>'Stats 2023'!I64</f>
        <v>0</v>
      </c>
      <c r="G381" s="130">
        <f>'Stats 2023'!J64</f>
        <v>1</v>
      </c>
    </row>
    <row r="382" spans="1:24">
      <c r="A382" s="86">
        <f>'Stats 2023'!D66</f>
        <v>45205</v>
      </c>
      <c r="B382" s="130">
        <f>'Stats 2023'!E66</f>
        <v>0</v>
      </c>
      <c r="C382" s="130">
        <f>'Stats 2023'!F66</f>
        <v>1</v>
      </c>
      <c r="D382" s="130">
        <f>'Stats 2023'!G66</f>
        <v>0</v>
      </c>
      <c r="E382" s="130">
        <f>'Stats 2023'!H66</f>
        <v>1</v>
      </c>
      <c r="F382" s="130">
        <f>'Stats 2023'!I66</f>
        <v>1</v>
      </c>
      <c r="G382" s="130">
        <f>'Stats 2023'!J66</f>
        <v>0</v>
      </c>
    </row>
    <row r="383" spans="1:24">
      <c r="A383" s="86">
        <f>'Stats 2023'!D67</f>
        <v>45212</v>
      </c>
      <c r="B383" s="130">
        <f>'Stats 2023'!E67</f>
        <v>1</v>
      </c>
      <c r="C383" s="130">
        <f>'Stats 2023'!F67</f>
        <v>0</v>
      </c>
      <c r="D383" s="130">
        <f>'Stats 2023'!G67</f>
        <v>1</v>
      </c>
      <c r="E383" s="130">
        <f>'Stats 2023'!H67</f>
        <v>0</v>
      </c>
      <c r="F383" s="130">
        <f>'Stats 2023'!I67</f>
        <v>0</v>
      </c>
      <c r="G383" s="130">
        <f>'Stats 2023'!J67</f>
        <v>1</v>
      </c>
    </row>
    <row r="384" spans="1:24">
      <c r="A384" s="86">
        <f>'Stats 2023'!D68</f>
        <v>45219</v>
      </c>
      <c r="B384" s="130">
        <f>'Stats 2023'!E68</f>
        <v>0</v>
      </c>
      <c r="C384" s="130">
        <f>'Stats 2023'!F68</f>
        <v>0</v>
      </c>
      <c r="D384" s="130">
        <f>'Stats 2023'!G68</f>
        <v>0</v>
      </c>
      <c r="E384" s="130">
        <f>'Stats 2023'!H68</f>
        <v>0</v>
      </c>
      <c r="F384" s="130">
        <f>'Stats 2023'!I68</f>
        <v>0</v>
      </c>
      <c r="G384" s="130">
        <f>'Stats 2023'!J68</f>
        <v>0</v>
      </c>
    </row>
    <row r="385" spans="1:7">
      <c r="A385" s="86">
        <f>'Stats 2023'!D69</f>
        <v>45226</v>
      </c>
      <c r="B385" s="130">
        <f>'Stats 2023'!E69</f>
        <v>1</v>
      </c>
      <c r="C385" s="130">
        <f>'Stats 2023'!F69</f>
        <v>0</v>
      </c>
      <c r="D385" s="130">
        <f>'Stats 2023'!G69</f>
        <v>1</v>
      </c>
      <c r="E385" s="130">
        <f>'Stats 2023'!H69</f>
        <v>0</v>
      </c>
      <c r="F385" s="130">
        <f>'Stats 2023'!I69</f>
        <v>0</v>
      </c>
      <c r="G385" s="130">
        <f>'Stats 2023'!J69</f>
        <v>1</v>
      </c>
    </row>
    <row r="386" spans="1:7">
      <c r="A386" s="86">
        <f>'Stats 2023'!D70</f>
        <v>45233</v>
      </c>
      <c r="B386" s="130">
        <f>'Stats 2023'!E70</f>
        <v>0</v>
      </c>
      <c r="C386" s="130">
        <f>'Stats 2023'!F70</f>
        <v>1</v>
      </c>
      <c r="D386" s="130">
        <f>'Stats 2023'!G70</f>
        <v>1</v>
      </c>
      <c r="E386" s="130">
        <f>'Stats 2023'!H70</f>
        <v>1</v>
      </c>
      <c r="F386" s="130">
        <f>'Stats 2023'!I70</f>
        <v>1</v>
      </c>
      <c r="G386" s="130">
        <f>'Stats 2023'!J70</f>
        <v>1</v>
      </c>
    </row>
    <row r="387" spans="1:7">
      <c r="A387" s="86">
        <f>'Stats 2023'!D72</f>
        <v>45240</v>
      </c>
      <c r="B387" s="130">
        <f>'Stats 2023'!E72</f>
        <v>1</v>
      </c>
      <c r="C387" s="130">
        <f>'Stats 2023'!F72</f>
        <v>1</v>
      </c>
      <c r="D387" s="130">
        <f>'Stats 2023'!G72</f>
        <v>0</v>
      </c>
      <c r="E387" s="130">
        <f>'Stats 2023'!H72</f>
        <v>0</v>
      </c>
      <c r="F387" s="130">
        <f>'Stats 2023'!I72</f>
        <v>1</v>
      </c>
      <c r="G387" s="130">
        <f>'Stats 2023'!J72</f>
        <v>1</v>
      </c>
    </row>
    <row r="388" spans="1:7">
      <c r="A388" s="86">
        <f>'Stats 2023'!D74</f>
        <v>45247</v>
      </c>
      <c r="B388" s="130">
        <f>'Stats 2023'!E74</f>
        <v>1</v>
      </c>
      <c r="C388" s="130">
        <f>'Stats 2023'!F74</f>
        <v>0</v>
      </c>
      <c r="D388" s="130">
        <f>'Stats 2023'!G74</f>
        <v>1</v>
      </c>
      <c r="E388" s="130">
        <f>'Stats 2023'!H74</f>
        <v>1</v>
      </c>
      <c r="F388" s="130">
        <f>'Stats 2023'!I74</f>
        <v>0</v>
      </c>
      <c r="G388" s="130">
        <f>'Stats 2023'!J74</f>
        <v>1</v>
      </c>
    </row>
    <row r="389" spans="1:7">
      <c r="A389" s="86">
        <f>'Stats 2023'!D75</f>
        <v>45254</v>
      </c>
      <c r="B389" s="130">
        <f>'Stats 2023'!E75</f>
        <v>0</v>
      </c>
      <c r="C389" s="130">
        <f>'Stats 2023'!F75</f>
        <v>0</v>
      </c>
      <c r="D389" s="130">
        <f>'Stats 2023'!G75</f>
        <v>0</v>
      </c>
      <c r="E389" s="130">
        <f>'Stats 2023'!H75</f>
        <v>0</v>
      </c>
      <c r="F389" s="130">
        <f>'Stats 2023'!I75</f>
        <v>0</v>
      </c>
      <c r="G389" s="130">
        <f>'Stats 2023'!J75</f>
        <v>0</v>
      </c>
    </row>
    <row r="390" spans="1:7">
      <c r="A390" s="86">
        <f>'Stats 2023'!D76</f>
        <v>45261</v>
      </c>
      <c r="B390" s="130">
        <f>'Stats 2023'!E76</f>
        <v>0</v>
      </c>
      <c r="C390" s="130">
        <f>'Stats 2023'!F76</f>
        <v>1</v>
      </c>
      <c r="D390" s="130">
        <f>'Stats 2023'!G76</f>
        <v>1</v>
      </c>
      <c r="E390" s="130">
        <f>'Stats 2023'!H76</f>
        <v>0</v>
      </c>
      <c r="F390" s="130">
        <f>'Stats 2023'!I76</f>
        <v>1</v>
      </c>
      <c r="G390" s="130">
        <f>'Stats 2023'!J76</f>
        <v>0</v>
      </c>
    </row>
    <row r="391" spans="1:7">
      <c r="A391" s="86">
        <f>'Stats 2023'!D78</f>
        <v>45268</v>
      </c>
      <c r="B391" s="130">
        <f>'Stats 2023'!E78</f>
        <v>0</v>
      </c>
      <c r="C391" s="130">
        <f>'Stats 2023'!F78</f>
        <v>0</v>
      </c>
      <c r="D391" s="130">
        <f>'Stats 2023'!G78</f>
        <v>0</v>
      </c>
      <c r="E391" s="130">
        <f>'Stats 2023'!H78</f>
        <v>1</v>
      </c>
      <c r="F391" s="130">
        <f>'Stats 2023'!I78</f>
        <v>1</v>
      </c>
      <c r="G391" s="130">
        <f>'Stats 2023'!J78</f>
        <v>1</v>
      </c>
    </row>
    <row r="392" spans="1:7">
      <c r="A392" s="86">
        <f>'Stats 2023'!D79</f>
        <v>45275</v>
      </c>
      <c r="B392" s="130">
        <f>'Stats 2023'!E79</f>
        <v>1</v>
      </c>
      <c r="C392" s="130">
        <f>'Stats 2023'!F79</f>
        <v>0</v>
      </c>
      <c r="D392" s="130">
        <f>'Stats 2023'!G79</f>
        <v>1</v>
      </c>
      <c r="E392" s="130">
        <f>'Stats 2023'!H79</f>
        <v>0</v>
      </c>
      <c r="F392" s="130">
        <f>'Stats 2023'!I79</f>
        <v>1</v>
      </c>
      <c r="G392" s="130">
        <f>'Stats 2023'!J79</f>
        <v>1</v>
      </c>
    </row>
    <row r="393" spans="1:7">
      <c r="A393" s="86">
        <f>'Stats 2023'!D80</f>
        <v>45282</v>
      </c>
      <c r="B393" s="130">
        <f>'Stats 2023'!E80</f>
        <v>1</v>
      </c>
      <c r="C393" s="130">
        <f>'Stats 2023'!F80</f>
        <v>1</v>
      </c>
      <c r="D393" s="130">
        <f>'Stats 2023'!G80</f>
        <v>1</v>
      </c>
      <c r="E393" s="130">
        <f>'Stats 2023'!H80</f>
        <v>0</v>
      </c>
      <c r="F393" s="130">
        <f>'Stats 2023'!I80</f>
        <v>0</v>
      </c>
      <c r="G393" s="130">
        <f>'Stats 2023'!J80</f>
        <v>0</v>
      </c>
    </row>
    <row r="394" spans="1:7">
      <c r="A394" s="86">
        <f>'Stats 2023'!D82</f>
        <v>45289</v>
      </c>
      <c r="B394" s="130">
        <f>'Stats 2023'!E82</f>
        <v>0</v>
      </c>
      <c r="C394" s="130">
        <f>'Stats 2023'!F82</f>
        <v>0</v>
      </c>
      <c r="D394" s="130">
        <f>'Stats 2023'!G82</f>
        <v>0</v>
      </c>
      <c r="E394" s="130">
        <f>'Stats 2023'!H82</f>
        <v>0</v>
      </c>
      <c r="F394" s="130">
        <f>'Stats 2023'!I82</f>
        <v>1</v>
      </c>
      <c r="G394" s="130">
        <f>'Stats 2023'!J82</f>
        <v>0</v>
      </c>
    </row>
    <row r="395" spans="1:7">
      <c r="A395" s="86">
        <f>'Stats 2023'!D83</f>
        <v>45296</v>
      </c>
      <c r="B395" s="130">
        <f>'Stats 2023'!E83</f>
        <v>1</v>
      </c>
      <c r="C395" s="130">
        <f>'Stats 2023'!F83</f>
        <v>1</v>
      </c>
      <c r="D395" s="130">
        <f>'Stats 2023'!G83</f>
        <v>0</v>
      </c>
      <c r="E395" s="130">
        <f>'Stats 2023'!H83</f>
        <v>1</v>
      </c>
      <c r="F395" s="130">
        <f>'Stats 2023'!I83</f>
        <v>1</v>
      </c>
      <c r="G395" s="130">
        <f>'Stats 2023'!J83</f>
        <v>1</v>
      </c>
    </row>
    <row r="396" spans="1:7">
      <c r="A396" s="86">
        <f>'Stats 2023'!D84</f>
        <v>45303</v>
      </c>
      <c r="B396" s="130">
        <f>'Stats 2023'!E84</f>
        <v>0</v>
      </c>
      <c r="C396" s="130">
        <f>'Stats 2023'!F84</f>
        <v>1</v>
      </c>
      <c r="D396" s="130">
        <f>'Stats 2023'!G84</f>
        <v>1</v>
      </c>
      <c r="E396" s="130">
        <f>'Stats 2023'!H84</f>
        <v>0</v>
      </c>
      <c r="F396" s="130">
        <f>'Stats 2023'!I84</f>
        <v>0</v>
      </c>
      <c r="G396" s="130">
        <f>'Stats 2023'!J84</f>
        <v>0</v>
      </c>
    </row>
    <row r="397" spans="1:7">
      <c r="A397" s="86">
        <f>'Stats 2023'!D85</f>
        <v>45310</v>
      </c>
      <c r="B397" s="130">
        <f>'Stats 2023'!E85</f>
        <v>0</v>
      </c>
      <c r="C397" s="130">
        <f>'Stats 2023'!F85</f>
        <v>1</v>
      </c>
      <c r="D397" s="130">
        <f>'Stats 2023'!G85</f>
        <v>0</v>
      </c>
      <c r="E397" s="130">
        <f>'Stats 2023'!H85</f>
        <v>0</v>
      </c>
      <c r="F397" s="130">
        <f>'Stats 2023'!I85</f>
        <v>1</v>
      </c>
      <c r="G397" s="130">
        <f>'Stats 2023'!J85</f>
        <v>0</v>
      </c>
    </row>
    <row r="398" spans="1:7">
      <c r="A398" s="86">
        <f>'Stats 2023'!D86</f>
        <v>0</v>
      </c>
      <c r="B398" s="130">
        <f>'Stats 2023'!E86</f>
        <v>0</v>
      </c>
      <c r="C398" s="130">
        <f>'Stats 2023'!F86</f>
        <v>0</v>
      </c>
      <c r="D398" s="130">
        <f>'Stats 2023'!G86</f>
        <v>0</v>
      </c>
      <c r="E398" s="130">
        <f>'Stats 2023'!H86</f>
        <v>0</v>
      </c>
      <c r="F398" s="130">
        <f>'Stats 2023'!I86</f>
        <v>0</v>
      </c>
      <c r="G398" s="130">
        <f>'Stats 2023'!J86</f>
        <v>0</v>
      </c>
    </row>
    <row r="399" spans="1:7">
      <c r="A399" s="86">
        <f>'Stats 2023'!D87</f>
        <v>45317</v>
      </c>
      <c r="B399" s="130">
        <f>'Stats 2023'!E87</f>
        <v>0</v>
      </c>
      <c r="C399" s="130">
        <f>'Stats 2023'!F87</f>
        <v>0</v>
      </c>
      <c r="D399" s="130">
        <f>'Stats 2023'!G87</f>
        <v>0</v>
      </c>
      <c r="E399" s="130">
        <f>'Stats 2023'!H87</f>
        <v>1</v>
      </c>
      <c r="F399" s="130">
        <f>'Stats 2023'!I87</f>
        <v>0</v>
      </c>
      <c r="G399" s="130">
        <f>'Stats 2023'!J87</f>
        <v>0</v>
      </c>
    </row>
    <row r="400" spans="1:7">
      <c r="A400" s="86">
        <f>'Stats 2023'!D88</f>
        <v>45317</v>
      </c>
      <c r="B400" s="130" t="str">
        <f>'Stats 2023'!E88</f>
        <v/>
      </c>
      <c r="C400" s="130" t="str">
        <f>'Stats 2023'!F88</f>
        <v/>
      </c>
      <c r="D400" s="130" t="str">
        <f>'Stats 2023'!G88</f>
        <v/>
      </c>
      <c r="E400" s="130">
        <f>'Stats 2023'!H88</f>
        <v>0</v>
      </c>
      <c r="F400" s="130" t="str">
        <f>'Stats 2023'!I88</f>
        <v/>
      </c>
      <c r="G400" s="130" t="str">
        <f>'Stats 2023'!J88</f>
        <v/>
      </c>
    </row>
    <row r="401" spans="1:7">
      <c r="A401" s="86">
        <f>'Stats 2023'!D89</f>
        <v>45324</v>
      </c>
      <c r="B401" s="130">
        <f>'Stats 2023'!E89</f>
        <v>0</v>
      </c>
      <c r="C401" s="130">
        <f>'Stats 2023'!F89</f>
        <v>1</v>
      </c>
      <c r="D401" s="130">
        <f>'Stats 2023'!G89</f>
        <v>1</v>
      </c>
      <c r="E401" s="130">
        <f>'Stats 2023'!H89</f>
        <v>1</v>
      </c>
      <c r="F401" s="130">
        <f>'Stats 2023'!I89</f>
        <v>1</v>
      </c>
      <c r="G401" s="130">
        <f>'Stats 2023'!J89</f>
        <v>0</v>
      </c>
    </row>
    <row r="402" spans="1:7">
      <c r="A402" s="86">
        <f>'Stats 2023'!D90</f>
        <v>45331</v>
      </c>
      <c r="B402" s="130">
        <f>'Stats 2023'!E90</f>
        <v>1</v>
      </c>
      <c r="C402" s="130">
        <f>'Stats 2023'!F90</f>
        <v>0</v>
      </c>
      <c r="D402" s="130">
        <f>'Stats 2023'!G90</f>
        <v>1</v>
      </c>
      <c r="E402" s="130">
        <f>'Stats 2023'!H90</f>
        <v>1</v>
      </c>
      <c r="F402" s="130">
        <f>'Stats 2023'!I90</f>
        <v>1</v>
      </c>
      <c r="G402" s="130">
        <f>'Stats 2023'!J90</f>
        <v>1</v>
      </c>
    </row>
  </sheetData>
  <autoFilter ref="A1:G402" xr:uid="{00000000-0009-0000-0000-000004000000}"/>
  <conditionalFormatting sqref="B86:B105">
    <cfRule type="cellIs" dxfId="182" priority="9" operator="equal">
      <formula>1</formula>
    </cfRule>
  </conditionalFormatting>
  <conditionalFormatting sqref="B181:B182">
    <cfRule type="cellIs" dxfId="181" priority="75" operator="equal">
      <formula>0</formula>
    </cfRule>
  </conditionalFormatting>
  <conditionalFormatting sqref="B185">
    <cfRule type="cellIs" dxfId="180" priority="74" operator="equal">
      <formula>0</formula>
    </cfRule>
  </conditionalFormatting>
  <conditionalFormatting sqref="B192">
    <cfRule type="cellIs" dxfId="179" priority="69" operator="equal">
      <formula>0</formula>
    </cfRule>
  </conditionalFormatting>
  <conditionalFormatting sqref="B194:B203">
    <cfRule type="cellIs" dxfId="178" priority="68" operator="equal">
      <formula>0</formula>
    </cfRule>
  </conditionalFormatting>
  <conditionalFormatting sqref="B107:C138">
    <cfRule type="cellIs" dxfId="177" priority="91" operator="equal">
      <formula>0</formula>
    </cfRule>
  </conditionalFormatting>
  <conditionalFormatting sqref="B38:G85">
    <cfRule type="cellIs" dxfId="176" priority="15" operator="equal">
      <formula>1</formula>
    </cfRule>
  </conditionalFormatting>
  <conditionalFormatting sqref="B38:G106">
    <cfRule type="cellIs" dxfId="175" priority="8" operator="equal">
      <formula>0</formula>
    </cfRule>
  </conditionalFormatting>
  <conditionalFormatting sqref="B106:G106 D107:G127 B107:B138 D128:D138 E128:G147 B139:D139">
    <cfRule type="cellIs" dxfId="174" priority="116" operator="equal">
      <formula>1</formula>
    </cfRule>
  </conditionalFormatting>
  <conditionalFormatting sqref="B204:G402">
    <cfRule type="cellIs" dxfId="173" priority="1" operator="equal">
      <formula>0</formula>
    </cfRule>
  </conditionalFormatting>
  <conditionalFormatting sqref="B266:G402">
    <cfRule type="cellIs" dxfId="172" priority="2" operator="equal">
      <formula>1</formula>
    </cfRule>
  </conditionalFormatting>
  <conditionalFormatting sqref="C86:C105">
    <cfRule type="cellIs" dxfId="171" priority="126" operator="greaterThan">
      <formula>1</formula>
    </cfRule>
  </conditionalFormatting>
  <conditionalFormatting sqref="C107:C138">
    <cfRule type="cellIs" dxfId="170" priority="92" operator="greaterThan">
      <formula>1</formula>
    </cfRule>
  </conditionalFormatting>
  <conditionalFormatting sqref="C140:C150">
    <cfRule type="cellIs" dxfId="169" priority="90" operator="greaterThan">
      <formula>1</formula>
    </cfRule>
  </conditionalFormatting>
  <conditionalFormatting sqref="C152:C162">
    <cfRule type="cellIs" dxfId="168" priority="66" operator="equal">
      <formula>0</formula>
    </cfRule>
    <cfRule type="cellIs" dxfId="167" priority="67" operator="greaterThan">
      <formula>1</formula>
    </cfRule>
  </conditionalFormatting>
  <conditionalFormatting sqref="C164:C203">
    <cfRule type="cellIs" dxfId="166" priority="60" operator="equal">
      <formula>0</formula>
    </cfRule>
    <cfRule type="cellIs" dxfId="165" priority="61" operator="greaterThan">
      <formula>1</formula>
    </cfRule>
  </conditionalFormatting>
  <conditionalFormatting sqref="C205:C219">
    <cfRule type="cellIs" dxfId="164" priority="31" operator="greaterThan">
      <formula>1</formula>
    </cfRule>
  </conditionalFormatting>
  <conditionalFormatting sqref="C221:C222">
    <cfRule type="cellIs" dxfId="163" priority="21" operator="greaterThan">
      <formula>1</formula>
    </cfRule>
  </conditionalFormatting>
  <conditionalFormatting sqref="C224:C225">
    <cfRule type="cellIs" dxfId="162" priority="19" operator="greaterThan">
      <formula>1</formula>
    </cfRule>
  </conditionalFormatting>
  <conditionalFormatting sqref="C226">
    <cfRule type="cellIs" dxfId="161" priority="17" operator="equal">
      <formula>1</formula>
    </cfRule>
  </conditionalFormatting>
  <conditionalFormatting sqref="C140:D151 B140:B178 E148:F154 G148:G167 D152:D154 D162 C163:D163 D164:D165 D166:F166 F167 F168:G169 D170:G178 D195:G203">
    <cfRule type="cellIs" dxfId="160" priority="77" operator="equal">
      <formula>0</formula>
    </cfRule>
  </conditionalFormatting>
  <conditionalFormatting sqref="D140:D150 B140:B203 E148:F154 G148:G167 C151:D151 D152:D154 D162 C163:D163 D164:D165 D166:F166 F167 F168:G169 D170:G203 B204:G204 D205:G205 B205:B219 D206 F206:G206 D207:G208 D209:D213 F209:G213 D214:G215 D216:D219 F216:G219 B220:G220 B221:B222 D221:D222 F221:G223 B223:D223 D224:G226 B224:B265 C227:G265">
    <cfRule type="cellIs" dxfId="159" priority="78" operator="equal">
      <formula>1</formula>
    </cfRule>
  </conditionalFormatting>
  <conditionalFormatting sqref="D186">
    <cfRule type="cellIs" dxfId="158" priority="73" operator="equal">
      <formula>0</formula>
    </cfRule>
  </conditionalFormatting>
  <conditionalFormatting sqref="D191">
    <cfRule type="cellIs" dxfId="157" priority="70" operator="equal">
      <formula>0</formula>
    </cfRule>
  </conditionalFormatting>
  <conditionalFormatting sqref="D167:E169">
    <cfRule type="cellIs" dxfId="156" priority="58" operator="equal">
      <formula>0</formula>
    </cfRule>
    <cfRule type="cellIs" dxfId="155" priority="59" operator="equal">
      <formula>1</formula>
    </cfRule>
  </conditionalFormatting>
  <conditionalFormatting sqref="D155:F161">
    <cfRule type="cellIs" dxfId="154" priority="65" operator="equal">
      <formula>1</formula>
    </cfRule>
    <cfRule type="cellIs" dxfId="153" priority="64" operator="equal">
      <formula>0</formula>
    </cfRule>
  </conditionalFormatting>
  <conditionalFormatting sqref="D86:G105">
    <cfRule type="cellIs" dxfId="152" priority="11" operator="equal">
      <formula>1</formula>
    </cfRule>
  </conditionalFormatting>
  <conditionalFormatting sqref="D107:G127 D128:D138 E128:G147 B139:D139">
    <cfRule type="cellIs" dxfId="151" priority="115" operator="equal">
      <formula>0</formula>
    </cfRule>
  </conditionalFormatting>
  <conditionalFormatting sqref="E180">
    <cfRule type="cellIs" dxfId="150" priority="57" operator="equal">
      <formula>0</formula>
    </cfRule>
  </conditionalFormatting>
  <conditionalFormatting sqref="E182:E185">
    <cfRule type="cellIs" dxfId="149" priority="53" operator="equal">
      <formula>0</formula>
    </cfRule>
  </conditionalFormatting>
  <conditionalFormatting sqref="E187:E190">
    <cfRule type="cellIs" dxfId="148" priority="49" operator="equal">
      <formula>0</formula>
    </cfRule>
  </conditionalFormatting>
  <conditionalFormatting sqref="E192:E202">
    <cfRule type="cellIs" dxfId="147" priority="48" operator="equal">
      <formula>0</formula>
    </cfRule>
  </conditionalFormatting>
  <conditionalFormatting sqref="E206">
    <cfRule type="cellIs" dxfId="146" priority="29" operator="greaterThan">
      <formula>1</formula>
    </cfRule>
  </conditionalFormatting>
  <conditionalFormatting sqref="E209:E213">
    <cfRule type="cellIs" dxfId="145" priority="27" operator="greaterThan">
      <formula>1</formula>
    </cfRule>
  </conditionalFormatting>
  <conditionalFormatting sqref="E216:E219">
    <cfRule type="cellIs" dxfId="144" priority="25" operator="greaterThan">
      <formula>1</formula>
    </cfRule>
  </conditionalFormatting>
  <conditionalFormatting sqref="E221:E223">
    <cfRule type="cellIs" dxfId="143" priority="23" operator="greaterThan">
      <formula>1</formula>
    </cfRule>
  </conditionalFormatting>
  <conditionalFormatting sqref="E162:F165">
    <cfRule type="cellIs" dxfId="142" priority="63" operator="equal">
      <formula>1</formula>
    </cfRule>
    <cfRule type="cellIs" dxfId="141" priority="62" operator="equal">
      <formula>0</formula>
    </cfRule>
  </conditionalFormatting>
  <conditionalFormatting sqref="F181">
    <cfRule type="cellIs" dxfId="140" priority="76" operator="equal">
      <formula>0</formula>
    </cfRule>
  </conditionalFormatting>
  <conditionalFormatting sqref="G183">
    <cfRule type="cellIs" dxfId="139" priority="72" operator="equal">
      <formula>0</formula>
    </cfRule>
  </conditionalFormatting>
  <conditionalFormatting sqref="G190:G192">
    <cfRule type="cellIs" dxfId="138" priority="71" operator="equal">
      <formula>0</formula>
    </cfRule>
  </conditionalFormatting>
  <conditionalFormatting sqref="T38:T371">
    <cfRule type="cellIs" dxfId="137" priority="7" operator="greaterThan">
      <formula>0</formula>
    </cfRule>
  </conditionalFormatting>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F7E8A-9E53-4E7C-8A72-8CE3FEA09DFE}">
  <sheetPr codeName="Sheet7"/>
  <dimension ref="A1:G7"/>
  <sheetViews>
    <sheetView zoomScaleNormal="100" workbookViewId="0">
      <selection activeCell="E27" sqref="E27"/>
    </sheetView>
  </sheetViews>
  <sheetFormatPr defaultRowHeight="14.6"/>
  <cols>
    <col min="1" max="1" width="21.3046875" customWidth="1"/>
  </cols>
  <sheetData>
    <row r="1" spans="1:7" ht="15">
      <c r="A1" s="37"/>
      <c r="B1" s="37" t="s">
        <v>0</v>
      </c>
      <c r="C1" s="37" t="s">
        <v>4</v>
      </c>
      <c r="D1" s="37" t="s">
        <v>1</v>
      </c>
      <c r="E1" s="37" t="s">
        <v>2</v>
      </c>
      <c r="F1" s="37" t="s">
        <v>3</v>
      </c>
      <c r="G1" s="37" t="s">
        <v>21</v>
      </c>
    </row>
    <row r="2" spans="1:7" ht="15">
      <c r="A2" s="172">
        <v>44533</v>
      </c>
      <c r="B2" s="37">
        <v>220.00000008000001</v>
      </c>
      <c r="C2" s="37">
        <v>88.000000080000007</v>
      </c>
      <c r="D2" s="37">
        <v>220</v>
      </c>
      <c r="E2" s="37">
        <v>130</v>
      </c>
      <c r="F2" s="37">
        <v>218</v>
      </c>
      <c r="G2" s="37">
        <v>236</v>
      </c>
    </row>
    <row r="3" spans="1:7" ht="15">
      <c r="A3" s="172">
        <v>45128</v>
      </c>
      <c r="B3" s="37">
        <v>258.00000008000001</v>
      </c>
      <c r="C3" s="37">
        <v>146.00000008000001</v>
      </c>
      <c r="D3" s="37">
        <v>268</v>
      </c>
      <c r="E3" s="37">
        <v>148</v>
      </c>
      <c r="F3" s="37">
        <v>284</v>
      </c>
      <c r="G3" s="37">
        <v>299</v>
      </c>
    </row>
    <row r="4" spans="1:7" ht="15">
      <c r="A4" s="37" t="s">
        <v>330</v>
      </c>
      <c r="B4" s="37">
        <f>B3-B2</f>
        <v>38</v>
      </c>
      <c r="C4" s="37">
        <f t="shared" ref="C4:G4" si="0">C3-C2</f>
        <v>58</v>
      </c>
      <c r="D4" s="37">
        <f t="shared" si="0"/>
        <v>48</v>
      </c>
      <c r="E4" s="37">
        <f t="shared" si="0"/>
        <v>18</v>
      </c>
      <c r="F4" s="37">
        <f t="shared" si="0"/>
        <v>66</v>
      </c>
      <c r="G4" s="37">
        <f t="shared" si="0"/>
        <v>63</v>
      </c>
    </row>
    <row r="5" spans="1:7" ht="15.45">
      <c r="A5" s="37" t="s">
        <v>331</v>
      </c>
      <c r="B5" s="40">
        <f>B4/84</f>
        <v>0.45238095238095238</v>
      </c>
      <c r="C5" s="173">
        <f t="shared" ref="C5:G5" si="1">C4/84</f>
        <v>0.69047619047619047</v>
      </c>
      <c r="D5" s="40">
        <f t="shared" si="1"/>
        <v>0.5714285714285714</v>
      </c>
      <c r="E5" s="40">
        <f t="shared" si="1"/>
        <v>0.21428571428571427</v>
      </c>
      <c r="F5" s="174">
        <f t="shared" si="1"/>
        <v>0.7857142857142857</v>
      </c>
      <c r="G5" s="175">
        <f t="shared" si="1"/>
        <v>0.75</v>
      </c>
    </row>
    <row r="6" spans="1:7" ht="15">
      <c r="A6" s="37" t="s">
        <v>332</v>
      </c>
      <c r="B6" s="37">
        <v>5</v>
      </c>
      <c r="C6" s="37">
        <v>3</v>
      </c>
      <c r="D6" s="37">
        <v>4</v>
      </c>
      <c r="E6" s="37">
        <v>6</v>
      </c>
      <c r="F6" s="37">
        <v>1</v>
      </c>
      <c r="G6" s="37">
        <v>2</v>
      </c>
    </row>
    <row r="7" spans="1:7" ht="15">
      <c r="A7" s="37" t="s">
        <v>333</v>
      </c>
      <c r="B7" s="40">
        <v>0.72965197674418603</v>
      </c>
      <c r="C7" s="40">
        <v>0.37500063953488377</v>
      </c>
      <c r="D7" s="40">
        <v>0.74418697674418599</v>
      </c>
      <c r="E7" s="40">
        <v>0.41569831395348833</v>
      </c>
      <c r="F7" s="40">
        <v>0.77034988372093027</v>
      </c>
      <c r="G7" s="40">
        <v>0.83679643916913948</v>
      </c>
    </row>
  </sheetData>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38875-C00F-4674-B10D-B10EF5024D23}">
  <sheetPr codeName="Sheet8"/>
  <dimension ref="A1:J7"/>
  <sheetViews>
    <sheetView workbookViewId="0">
      <selection activeCell="G30" sqref="G30"/>
    </sheetView>
  </sheetViews>
  <sheetFormatPr defaultColWidth="11.3828125" defaultRowHeight="14.6"/>
  <cols>
    <col min="1" max="1" width="12" customWidth="1"/>
    <col min="2" max="2" width="16" customWidth="1"/>
    <col min="3" max="6" width="16.3828125" customWidth="1"/>
    <col min="7" max="7" width="28.3828125" bestFit="1" customWidth="1"/>
    <col min="8" max="8" width="16.3828125" customWidth="1"/>
    <col min="9" max="9" width="17.15234375" customWidth="1"/>
    <col min="10" max="10" width="24.15234375" customWidth="1"/>
    <col min="11" max="11" width="16.3828125" customWidth="1"/>
  </cols>
  <sheetData>
    <row r="1" spans="1:10" s="151" customFormat="1" ht="34.75" customHeight="1">
      <c r="A1" s="160"/>
      <c r="B1" s="159" t="s">
        <v>306</v>
      </c>
      <c r="C1" s="161" t="s">
        <v>57</v>
      </c>
      <c r="D1" s="161" t="s">
        <v>298</v>
      </c>
      <c r="E1" s="161" t="s">
        <v>300</v>
      </c>
      <c r="F1" s="161" t="s">
        <v>299</v>
      </c>
      <c r="G1" s="161" t="s">
        <v>308</v>
      </c>
      <c r="H1" s="161" t="s">
        <v>303</v>
      </c>
      <c r="I1" s="161" t="s">
        <v>307</v>
      </c>
      <c r="J1" s="158" t="s">
        <v>301</v>
      </c>
    </row>
    <row r="2" spans="1:10">
      <c r="A2" s="156" t="s">
        <v>3</v>
      </c>
      <c r="B2" s="152">
        <v>6</v>
      </c>
      <c r="C2" s="152">
        <v>6</v>
      </c>
      <c r="D2" s="152">
        <v>6</v>
      </c>
      <c r="E2" s="152">
        <v>6</v>
      </c>
      <c r="F2" s="153">
        <f>'Executive Summary für dä JWU'!C3/'Executive Summary für dä JWU'!$C$2*6</f>
        <v>5.8554208088273576</v>
      </c>
      <c r="G2" s="152">
        <v>3</v>
      </c>
      <c r="H2" s="152">
        <v>0.25</v>
      </c>
      <c r="I2" s="153">
        <f t="shared" ref="I2:I7" si="0">AVERAGE(B2:G2)+H2</f>
        <v>5.7259034681378935</v>
      </c>
      <c r="J2" s="154" t="s">
        <v>304</v>
      </c>
    </row>
    <row r="3" spans="1:10">
      <c r="A3" s="157" t="s">
        <v>32</v>
      </c>
      <c r="B3" s="152">
        <v>1</v>
      </c>
      <c r="C3" s="152">
        <v>6</v>
      </c>
      <c r="D3" s="152">
        <v>6</v>
      </c>
      <c r="E3" s="152">
        <v>6</v>
      </c>
      <c r="F3" s="153">
        <v>6</v>
      </c>
      <c r="G3" s="152">
        <v>3</v>
      </c>
      <c r="H3" s="152">
        <v>0.5</v>
      </c>
      <c r="I3" s="153">
        <f t="shared" si="0"/>
        <v>5.166666666666667</v>
      </c>
      <c r="J3" s="154" t="s">
        <v>302</v>
      </c>
    </row>
    <row r="4" spans="1:10">
      <c r="A4" s="157" t="s">
        <v>1</v>
      </c>
      <c r="B4" s="152">
        <v>6</v>
      </c>
      <c r="C4" s="152">
        <v>4</v>
      </c>
      <c r="D4" s="152">
        <v>6</v>
      </c>
      <c r="E4" s="152">
        <v>6</v>
      </c>
      <c r="F4" s="153">
        <f>'Executive Summary für dä JWU'!C5/'Executive Summary für dä JWU'!$C$2*6</f>
        <v>4.944577167080161</v>
      </c>
      <c r="G4" s="152">
        <v>3</v>
      </c>
      <c r="H4" s="152"/>
      <c r="I4" s="153">
        <f t="shared" si="0"/>
        <v>4.990762861180027</v>
      </c>
      <c r="J4" s="152"/>
    </row>
    <row r="5" spans="1:10">
      <c r="A5" s="157" t="s">
        <v>2</v>
      </c>
      <c r="B5" s="152">
        <v>6</v>
      </c>
      <c r="C5" s="152">
        <v>4</v>
      </c>
      <c r="D5" s="152">
        <v>6</v>
      </c>
      <c r="E5" s="152">
        <v>3</v>
      </c>
      <c r="F5" s="153">
        <f>'Executive Summary für dä JWU'!C7/'Executive Summary für dä JWU'!$C$2*6</f>
        <v>3.2096390175633398</v>
      </c>
      <c r="G5" s="152">
        <v>3</v>
      </c>
      <c r="H5" s="152"/>
      <c r="I5" s="153">
        <f t="shared" si="0"/>
        <v>4.2016065029272234</v>
      </c>
      <c r="J5" s="152"/>
    </row>
    <row r="6" spans="1:10">
      <c r="A6" s="157" t="s">
        <v>4</v>
      </c>
      <c r="B6" s="152">
        <v>6</v>
      </c>
      <c r="C6" s="152">
        <v>2</v>
      </c>
      <c r="D6" s="152">
        <v>6</v>
      </c>
      <c r="E6" s="152">
        <v>3</v>
      </c>
      <c r="F6" s="153">
        <f>'Executive Summary für dä JWU'!C6/'Executive Summary für dä JWU'!$C$2*6</f>
        <v>3.4409632945285891</v>
      </c>
      <c r="G6" s="152">
        <v>3</v>
      </c>
      <c r="H6" s="152">
        <v>0.1</v>
      </c>
      <c r="I6" s="153">
        <f t="shared" si="0"/>
        <v>4.0068272157547646</v>
      </c>
      <c r="J6" s="154" t="s">
        <v>305</v>
      </c>
    </row>
    <row r="7" spans="1:10">
      <c r="A7" s="155" t="s">
        <v>0</v>
      </c>
      <c r="B7" s="152">
        <v>6</v>
      </c>
      <c r="C7" s="152">
        <v>1</v>
      </c>
      <c r="D7" s="152">
        <v>1</v>
      </c>
      <c r="E7" s="152">
        <v>6</v>
      </c>
      <c r="F7" s="153">
        <f>'Executive Summary für dä JWU'!C4/'Executive Summary für dä JWU'!$C$2*6</f>
        <v>5.3349361254243375</v>
      </c>
      <c r="G7" s="152">
        <v>3</v>
      </c>
      <c r="H7" s="152"/>
      <c r="I7" s="153">
        <f t="shared" si="0"/>
        <v>3.7224893542373896</v>
      </c>
      <c r="J7" s="152"/>
    </row>
  </sheetData>
  <sortState xmlns:xlrd2="http://schemas.microsoft.com/office/spreadsheetml/2017/richdata2" ref="A2:J7">
    <sortCondition descending="1" ref="I1:I7"/>
  </sortState>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14C7-3F53-492F-B9C9-A3D30F3C923E}">
  <sheetPr codeName="Sheet9"/>
  <dimension ref="A1:AH91"/>
  <sheetViews>
    <sheetView zoomScale="70" zoomScaleNormal="70" zoomScaleSheetLayoutView="70" workbookViewId="0">
      <pane xSplit="14" ySplit="23" topLeftCell="O43" activePane="bottomRight" state="frozen"/>
      <selection pane="topRight" activeCell="P1" sqref="P1"/>
      <selection pane="bottomLeft" activeCell="A24" sqref="A24"/>
      <selection pane="bottomRight" activeCell="C8" sqref="C8"/>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1:27" ht="8.25" customHeight="1"/>
    <row r="2" spans="1: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1:27" ht="8.25" customHeight="1"/>
    <row r="4" spans="1:27" ht="9.75" customHeight="1"/>
    <row r="5" spans="1:27" ht="21.75" customHeight="1">
      <c r="B5" s="6"/>
      <c r="C5" s="7" t="s">
        <v>13</v>
      </c>
      <c r="D5" s="8"/>
      <c r="E5" s="8"/>
      <c r="F5" s="8"/>
      <c r="G5" s="8"/>
      <c r="H5" s="8"/>
      <c r="I5" s="9"/>
      <c r="J5" s="9"/>
      <c r="L5" s="6"/>
      <c r="M5" s="31" t="s">
        <v>14</v>
      </c>
      <c r="N5" s="8"/>
      <c r="O5" s="234" t="s">
        <v>31</v>
      </c>
      <c r="P5" s="234"/>
      <c r="Q5" s="234"/>
      <c r="R5" s="234"/>
      <c r="S5" s="235"/>
      <c r="T5" s="236">
        <f>W16</f>
        <v>6598.5</v>
      </c>
      <c r="U5" s="237"/>
      <c r="V5" s="238" t="s">
        <v>53</v>
      </c>
      <c r="W5" s="239"/>
      <c r="X5" s="238" t="s">
        <v>57</v>
      </c>
      <c r="Y5" s="239"/>
      <c r="Z5" s="238" t="s">
        <v>62</v>
      </c>
      <c r="AA5" s="239"/>
    </row>
    <row r="6" spans="1:27" ht="23.25" customHeight="1">
      <c r="B6" s="6"/>
      <c r="L6" s="6"/>
      <c r="V6" s="240"/>
      <c r="W6" s="241"/>
      <c r="X6" s="240"/>
      <c r="Y6" s="241"/>
      <c r="Z6" s="240"/>
      <c r="AA6" s="241"/>
    </row>
    <row r="7" spans="1:27">
      <c r="B7" s="6"/>
      <c r="D7" s="33" t="s">
        <v>6</v>
      </c>
      <c r="E7" s="35" t="s">
        <v>7</v>
      </c>
      <c r="F7" s="35" t="s">
        <v>8</v>
      </c>
      <c r="G7" s="35" t="s">
        <v>9</v>
      </c>
      <c r="I7" s="11"/>
      <c r="J7" s="11"/>
      <c r="L7" s="6"/>
      <c r="N7" s="33" t="s">
        <v>6</v>
      </c>
      <c r="O7" s="68" t="s">
        <v>16</v>
      </c>
      <c r="P7" s="68" t="s">
        <v>17</v>
      </c>
      <c r="Q7" s="244" t="s">
        <v>26</v>
      </c>
      <c r="R7" s="244"/>
      <c r="S7" s="245" t="s">
        <v>27</v>
      </c>
      <c r="T7" s="245"/>
      <c r="U7" s="34"/>
      <c r="V7" s="242"/>
      <c r="W7" s="243"/>
      <c r="X7" s="242"/>
      <c r="Y7" s="243"/>
      <c r="Z7" s="242"/>
      <c r="AA7" s="243"/>
    </row>
    <row r="8" spans="1:27" ht="16.5" customHeight="1">
      <c r="A8" s="27"/>
      <c r="B8" s="200">
        <v>1</v>
      </c>
      <c r="C8" s="12">
        <f t="shared" ref="C8:C13" si="0">B8</f>
        <v>1</v>
      </c>
      <c r="D8" s="10" t="str">
        <f t="shared" ref="D8:D13" si="1">HLOOKUP($B8,$E$17:$J$20,2,FALSE)</f>
        <v>SJU</v>
      </c>
      <c r="E8" s="12">
        <f>ROUND(HLOOKUP(D8,$E$18:$J$20,3,FALSE),0)</f>
        <v>36</v>
      </c>
      <c r="F8" s="28">
        <f ca="1">E8/$C$20</f>
        <v>0.83720930232558144</v>
      </c>
      <c r="G8" s="28">
        <f ca="1">1-F8</f>
        <v>0.16279069767441856</v>
      </c>
      <c r="L8" s="6"/>
      <c r="N8" s="10" t="s">
        <v>2</v>
      </c>
      <c r="O8" s="13">
        <f>R20</f>
        <v>286.5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JWU</v>
      </c>
      <c r="E9" s="12">
        <f>ROUND(HLOOKUP(D9,$E$18:$J$20,3,FALSE),0)</f>
        <v>36</v>
      </c>
      <c r="F9" s="28">
        <f t="shared" ref="F9:F13" ca="1" si="2">E9/$C$20</f>
        <v>0.83720930232558144</v>
      </c>
      <c r="G9" s="28">
        <f ca="1">1-F9</f>
        <v>0.16279069767441856</v>
      </c>
      <c r="J9"/>
      <c r="L9" s="6"/>
      <c r="N9" s="10" t="s">
        <v>4</v>
      </c>
      <c r="O9" s="13">
        <f>P20</f>
        <v>218</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ROUND(HLOOKUP(D10,$E$18:$J$20,3,FALSE),0)</f>
        <v>30</v>
      </c>
      <c r="F10" s="28">
        <f t="shared" ca="1" si="2"/>
        <v>0.69767441860465118</v>
      </c>
      <c r="G10" s="28">
        <f t="shared" ref="G10" ca="1" si="3">1-F10</f>
        <v>0.30232558139534882</v>
      </c>
      <c r="J10"/>
      <c r="L10" s="6"/>
      <c r="M10"/>
      <c r="N10" s="10" t="s">
        <v>3</v>
      </c>
      <c r="O10" s="13">
        <f>S20</f>
        <v>117</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ref="E11" si="4">ROUND(HLOOKUP(D11,$E$18:$J$20,3,FALSE),0)</f>
        <v>28</v>
      </c>
      <c r="F11" s="28">
        <f t="shared" ca="1" si="2"/>
        <v>0.65116279069767447</v>
      </c>
      <c r="G11" s="28">
        <f ca="1">1-F11</f>
        <v>0.34883720930232553</v>
      </c>
      <c r="L11" s="6"/>
      <c r="N11" s="10" t="s">
        <v>1</v>
      </c>
      <c r="O11" s="13">
        <f>Q20</f>
        <v>306</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YMI</v>
      </c>
      <c r="E12" s="12">
        <f>ROUND(HLOOKUP(D12,$E$18:$J$20,3,FALSE),0)</f>
        <v>23</v>
      </c>
      <c r="F12" s="28">
        <f t="shared" ca="1" si="2"/>
        <v>0.53488372093023251</v>
      </c>
      <c r="G12" s="28">
        <f ca="1">1-F12</f>
        <v>0.46511627906976749</v>
      </c>
      <c r="I12"/>
      <c r="L12" s="6"/>
      <c r="N12" s="10" t="s">
        <v>0</v>
      </c>
      <c r="O12" s="47">
        <f>O20</f>
        <v>111</v>
      </c>
      <c r="P12" s="13">
        <v>0</v>
      </c>
      <c r="Q12" s="221"/>
      <c r="R12" s="221"/>
      <c r="S12" s="221" t="s">
        <v>18</v>
      </c>
      <c r="T12" s="221"/>
      <c r="V12" s="221" t="s">
        <v>51</v>
      </c>
      <c r="W12" s="221"/>
      <c r="X12" s="221" t="s">
        <v>360</v>
      </c>
      <c r="Y12" s="221"/>
      <c r="Z12" s="221" t="s">
        <v>64</v>
      </c>
      <c r="AA12" s="221"/>
    </row>
    <row r="13" spans="1:27">
      <c r="A13" s="27"/>
      <c r="B13" s="200">
        <v>6</v>
      </c>
      <c r="C13" s="12">
        <f t="shared" si="0"/>
        <v>6</v>
      </c>
      <c r="D13" s="10" t="str">
        <f t="shared" si="1"/>
        <v>PKN</v>
      </c>
      <c r="E13" s="12">
        <f>ROUND(HLOOKUP(D13,$E$18:$J$20,3,FALSE),0)</f>
        <v>21</v>
      </c>
      <c r="F13" s="28">
        <f t="shared" ca="1" si="2"/>
        <v>0.48837209302325579</v>
      </c>
      <c r="G13" s="28">
        <f ca="1">1-F13</f>
        <v>0.51162790697674421</v>
      </c>
      <c r="L13" s="6"/>
      <c r="N13" s="10" t="s">
        <v>22</v>
      </c>
      <c r="O13" s="13">
        <f>T20</f>
        <v>202</v>
      </c>
      <c r="P13" s="13">
        <v>0</v>
      </c>
      <c r="Q13" s="221"/>
      <c r="R13" s="221"/>
      <c r="S13" s="221" t="s">
        <v>18</v>
      </c>
      <c r="T13" s="221"/>
      <c r="V13" s="221" t="s">
        <v>52</v>
      </c>
      <c r="W13" s="221"/>
      <c r="X13" s="230" t="s">
        <v>367</v>
      </c>
      <c r="Y13" s="230"/>
      <c r="Z13" s="221" t="s">
        <v>63</v>
      </c>
      <c r="AA13" s="221"/>
    </row>
    <row r="14" spans="1:27" ht="17.149999999999999" thickBot="1">
      <c r="B14" s="6"/>
      <c r="F14" s="63"/>
      <c r="L14" s="6"/>
      <c r="N14" s="29"/>
      <c r="O14" s="29"/>
      <c r="P14" s="29"/>
      <c r="Q14" s="227"/>
      <c r="R14" s="227"/>
      <c r="S14" s="227"/>
      <c r="T14" s="227"/>
      <c r="X14" s="231"/>
      <c r="Y14" s="231"/>
    </row>
    <row r="15" spans="1:27" ht="13.5" customHeight="1" thickBot="1">
      <c r="B15" s="6"/>
      <c r="L15" s="6"/>
      <c r="M15"/>
      <c r="Q15" s="1" t="s">
        <v>366</v>
      </c>
      <c r="S15" s="15">
        <v>1000</v>
      </c>
      <c r="V15" s="139" t="s">
        <v>125</v>
      </c>
      <c r="W15" s="140">
        <f>W16-S15</f>
        <v>5598.5</v>
      </c>
    </row>
    <row r="16" spans="1:27" ht="17.149999999999999" thickBot="1">
      <c r="B16" s="6"/>
      <c r="L16" s="6"/>
      <c r="N16" s="14" t="s">
        <v>19</v>
      </c>
      <c r="O16" s="15">
        <f>SUM(O8:O13)</f>
        <v>1240.5</v>
      </c>
      <c r="P16" s="87"/>
      <c r="Q16" s="252" t="s">
        <v>361</v>
      </c>
      <c r="R16" s="253"/>
      <c r="S16" s="15">
        <v>5358</v>
      </c>
      <c r="T16" s="1" t="s">
        <v>379</v>
      </c>
      <c r="V16" s="139" t="s">
        <v>70</v>
      </c>
      <c r="W16" s="140">
        <f>O16+S16</f>
        <v>6598.5</v>
      </c>
    </row>
    <row r="17" spans="2:34" ht="12" customHeight="1">
      <c r="B17" s="6"/>
      <c r="E17" s="27">
        <f t="shared" ref="E17:J17" si="5">RANK(E20,$E20:$J20)</f>
        <v>2</v>
      </c>
      <c r="F17" s="27">
        <f t="shared" si="5"/>
        <v>4</v>
      </c>
      <c r="G17" s="27">
        <f t="shared" si="5"/>
        <v>6</v>
      </c>
      <c r="H17" s="27">
        <f t="shared" si="5"/>
        <v>5</v>
      </c>
      <c r="I17" s="27">
        <f t="shared" si="5"/>
        <v>1</v>
      </c>
      <c r="J17" s="27">
        <f t="shared" si="5"/>
        <v>3</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COUNT(C23:C91)</f>
        <v>43</v>
      </c>
      <c r="E20" s="24">
        <f>SUM(E25:E91)+0.00002</f>
        <v>36.000019999999999</v>
      </c>
      <c r="F20" s="24">
        <f>SUM(F25:F91)+0.00005</f>
        <v>28.000050000000002</v>
      </c>
      <c r="G20" s="24">
        <f>SUM(G25:G91)+0.00005</f>
        <v>21.000050000000002</v>
      </c>
      <c r="H20" s="24">
        <f>SUM(H25:H91)+0.00006</f>
        <v>23.000060000000001</v>
      </c>
      <c r="I20" s="24">
        <f>SUM(I25:I91)+0.00009</f>
        <v>36.00009</v>
      </c>
      <c r="J20" s="24">
        <f>SUM(J25:J91)+0.0001</f>
        <v>30.0001</v>
      </c>
      <c r="L20" s="6"/>
      <c r="O20" s="19">
        <f t="shared" ref="O20:T20" si="6">SUM(O24:O91)</f>
        <v>111</v>
      </c>
      <c r="P20" s="19">
        <f t="shared" si="6"/>
        <v>218</v>
      </c>
      <c r="Q20" s="19">
        <f t="shared" si="6"/>
        <v>306</v>
      </c>
      <c r="R20" s="19">
        <f t="shared" si="6"/>
        <v>286.5</v>
      </c>
      <c r="S20" s="19">
        <f t="shared" si="6"/>
        <v>117</v>
      </c>
      <c r="T20" s="19">
        <f t="shared" si="6"/>
        <v>202</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45688</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6"/>
      <c r="C25" s="12">
        <v>1</v>
      </c>
      <c r="D25" s="22">
        <f>M25</f>
        <v>45688</v>
      </c>
      <c r="E25" s="26">
        <f t="shared" ref="E25:J39" si="7">IF(O25="","",IF(O25=0,1,0))</f>
        <v>1</v>
      </c>
      <c r="F25" s="26">
        <f t="shared" si="7"/>
        <v>1</v>
      </c>
      <c r="G25" s="26">
        <f t="shared" si="7"/>
        <v>0</v>
      </c>
      <c r="H25" s="26">
        <f>IF(R25="","",IF(R25=0,1,0))</f>
        <v>1</v>
      </c>
      <c r="I25" s="26">
        <f t="shared" si="7"/>
        <v>1</v>
      </c>
      <c r="J25" s="26">
        <f t="shared" si="7"/>
        <v>1</v>
      </c>
      <c r="L25" s="6"/>
      <c r="M25" s="21">
        <f>M24</f>
        <v>45688</v>
      </c>
      <c r="N25" s="10" t="s">
        <v>24</v>
      </c>
      <c r="O25" s="25">
        <v>0</v>
      </c>
      <c r="P25" s="25">
        <v>0</v>
      </c>
      <c r="Q25" s="25">
        <v>13</v>
      </c>
      <c r="R25" s="25">
        <v>0</v>
      </c>
      <c r="S25" s="25">
        <v>0</v>
      </c>
      <c r="T25" s="25">
        <v>0</v>
      </c>
      <c r="U25" s="25"/>
      <c r="V25" s="182"/>
      <c r="Y25" s="203"/>
      <c r="Z25" s="204"/>
      <c r="AC25" s="201"/>
      <c r="AE25" s="63"/>
      <c r="AG25" s="182"/>
      <c r="AH25" s="182"/>
    </row>
    <row r="26" spans="2:34">
      <c r="B26" s="6"/>
      <c r="C26" s="12">
        <f t="shared" ref="C26:C88" ca="1" si="8">IF(D26&lt;=TODAY(),1,"")</f>
        <v>1</v>
      </c>
      <c r="D26" s="22">
        <f t="shared" ref="D26:D84" si="9">IF(M26="","",M26)</f>
        <v>45695</v>
      </c>
      <c r="E26" s="26">
        <f t="shared" si="7"/>
        <v>1</v>
      </c>
      <c r="F26" s="26">
        <f t="shared" si="7"/>
        <v>1</v>
      </c>
      <c r="G26" s="26">
        <f t="shared" si="7"/>
        <v>1</v>
      </c>
      <c r="H26" s="26">
        <f t="shared" si="7"/>
        <v>1</v>
      </c>
      <c r="I26" s="26">
        <f t="shared" si="7"/>
        <v>1</v>
      </c>
      <c r="J26" s="26">
        <f t="shared" si="7"/>
        <v>1</v>
      </c>
      <c r="M26" s="21">
        <f>M25+7</f>
        <v>45695</v>
      </c>
      <c r="N26" s="10" t="s">
        <v>24</v>
      </c>
      <c r="O26" s="25">
        <v>0</v>
      </c>
      <c r="P26" s="25">
        <v>0</v>
      </c>
      <c r="Q26" s="25">
        <v>0</v>
      </c>
      <c r="R26" s="25">
        <v>0</v>
      </c>
      <c r="S26" s="25">
        <v>0</v>
      </c>
      <c r="T26" s="25">
        <v>0</v>
      </c>
      <c r="U26" s="25"/>
      <c r="V26" s="182"/>
      <c r="Z26" s="204"/>
      <c r="AC26" s="201"/>
      <c r="AE26" s="63"/>
      <c r="AG26" s="182"/>
      <c r="AH26" s="182"/>
    </row>
    <row r="27" spans="2:34">
      <c r="B27" s="6"/>
      <c r="C27" s="12">
        <f t="shared" ca="1" si="8"/>
        <v>1</v>
      </c>
      <c r="D27" s="22">
        <f t="shared" si="9"/>
        <v>45702</v>
      </c>
      <c r="E27" s="26">
        <f t="shared" si="7"/>
        <v>0</v>
      </c>
      <c r="F27" s="26">
        <f t="shared" si="7"/>
        <v>1</v>
      </c>
      <c r="G27" s="26">
        <f t="shared" si="7"/>
        <v>1</v>
      </c>
      <c r="H27" s="26">
        <f t="shared" si="7"/>
        <v>1</v>
      </c>
      <c r="I27" s="26">
        <f t="shared" si="7"/>
        <v>1</v>
      </c>
      <c r="J27" s="26">
        <f t="shared" si="7"/>
        <v>1</v>
      </c>
      <c r="M27" s="21">
        <f>M26+7</f>
        <v>45702</v>
      </c>
      <c r="N27" s="10" t="s">
        <v>24</v>
      </c>
      <c r="O27" s="25">
        <v>13</v>
      </c>
      <c r="P27" s="25">
        <v>0</v>
      </c>
      <c r="Q27" s="25">
        <v>0</v>
      </c>
      <c r="R27" s="25">
        <v>0</v>
      </c>
      <c r="S27" s="25">
        <v>0</v>
      </c>
      <c r="T27" s="25">
        <v>0</v>
      </c>
      <c r="U27" s="25"/>
      <c r="V27" s="182"/>
      <c r="Z27" s="204"/>
      <c r="AC27" s="201"/>
      <c r="AE27" s="63"/>
      <c r="AG27" s="182"/>
      <c r="AH27" s="182"/>
    </row>
    <row r="28" spans="2:34">
      <c r="B28" s="6"/>
      <c r="C28" s="12">
        <f t="shared" ca="1" si="8"/>
        <v>1</v>
      </c>
      <c r="D28" s="22">
        <f t="shared" si="9"/>
        <v>45709</v>
      </c>
      <c r="E28" s="26">
        <f t="shared" si="7"/>
        <v>1</v>
      </c>
      <c r="F28" s="26">
        <f t="shared" si="7"/>
        <v>1</v>
      </c>
      <c r="G28" s="26">
        <f t="shared" si="7"/>
        <v>1</v>
      </c>
      <c r="H28" s="26">
        <f t="shared" si="7"/>
        <v>1</v>
      </c>
      <c r="I28" s="26">
        <f t="shared" si="7"/>
        <v>1</v>
      </c>
      <c r="J28" s="26">
        <f t="shared" si="7"/>
        <v>1</v>
      </c>
      <c r="M28" s="21">
        <f>M27+7</f>
        <v>45709</v>
      </c>
      <c r="N28" s="10" t="s">
        <v>24</v>
      </c>
      <c r="O28" s="25">
        <v>0</v>
      </c>
      <c r="P28" s="25">
        <v>0</v>
      </c>
      <c r="Q28" s="25">
        <v>0</v>
      </c>
      <c r="R28" s="25">
        <v>0</v>
      </c>
      <c r="S28" s="25">
        <v>0</v>
      </c>
      <c r="T28" s="25">
        <v>0</v>
      </c>
      <c r="U28" s="25"/>
      <c r="V28" s="182"/>
      <c r="Z28" s="204"/>
      <c r="AC28" s="201"/>
      <c r="AE28" s="63"/>
      <c r="AG28" s="182"/>
      <c r="AH28" s="182"/>
    </row>
    <row r="29" spans="2:34">
      <c r="B29" s="6"/>
      <c r="C29" s="12">
        <f t="shared" ca="1" si="8"/>
        <v>1</v>
      </c>
      <c r="D29" s="22">
        <f t="shared" ref="D29" si="10">IF(M29="","",M29)</f>
        <v>45716</v>
      </c>
      <c r="E29" s="26">
        <f t="shared" ref="E29" si="11">IF(O29="","",IF(O29=0,1,0))</f>
        <v>1</v>
      </c>
      <c r="F29" s="26">
        <f t="shared" ref="F29" si="12">IF(P29="","",IF(P29=0,1,0))</f>
        <v>0</v>
      </c>
      <c r="G29" s="26">
        <f t="shared" ref="G29" si="13">IF(Q29="","",IF(Q29=0,1,0))</f>
        <v>0</v>
      </c>
      <c r="H29" s="26">
        <f t="shared" ref="H29" si="14">IF(R29="","",IF(R29=0,1,0))</f>
        <v>0</v>
      </c>
      <c r="I29" s="26">
        <f t="shared" ref="I29" si="15">IF(S29="","",IF(S29=0,1,0))</f>
        <v>1</v>
      </c>
      <c r="J29" s="26">
        <f t="shared" ref="J29" si="16">IF(T29="","",IF(T29=0,1,0))</f>
        <v>0</v>
      </c>
      <c r="M29" s="21">
        <f>M28+7</f>
        <v>45716</v>
      </c>
      <c r="N29" s="10" t="s">
        <v>24</v>
      </c>
      <c r="O29" s="25">
        <v>0</v>
      </c>
      <c r="P29" s="25">
        <v>13</v>
      </c>
      <c r="Q29" s="25">
        <v>13</v>
      </c>
      <c r="R29" s="25">
        <v>13</v>
      </c>
      <c r="S29" s="25">
        <v>0</v>
      </c>
      <c r="T29" s="25">
        <v>13</v>
      </c>
      <c r="U29" s="25"/>
      <c r="V29" s="182"/>
      <c r="Z29" s="204"/>
      <c r="AC29" s="201"/>
      <c r="AE29" s="63"/>
      <c r="AG29" s="182"/>
      <c r="AH29" s="182"/>
    </row>
    <row r="30" spans="2:34">
      <c r="B30" s="6"/>
      <c r="C30" s="12">
        <f t="shared" ca="1" si="8"/>
        <v>1</v>
      </c>
      <c r="D30" s="22">
        <f t="shared" si="9"/>
        <v>45723</v>
      </c>
      <c r="E30" s="26">
        <f t="shared" si="7"/>
        <v>1</v>
      </c>
      <c r="F30" s="26">
        <f t="shared" si="7"/>
        <v>1</v>
      </c>
      <c r="G30" s="26">
        <f t="shared" si="7"/>
        <v>1</v>
      </c>
      <c r="H30" s="26">
        <f t="shared" si="7"/>
        <v>1</v>
      </c>
      <c r="I30" s="26">
        <f t="shared" si="7"/>
        <v>0</v>
      </c>
      <c r="J30" s="26">
        <f t="shared" si="7"/>
        <v>1</v>
      </c>
      <c r="M30" s="21">
        <f>M29+7</f>
        <v>45723</v>
      </c>
      <c r="N30" s="10" t="s">
        <v>24</v>
      </c>
      <c r="O30" s="25">
        <v>0</v>
      </c>
      <c r="P30" s="25">
        <v>0</v>
      </c>
      <c r="Q30" s="25">
        <v>0</v>
      </c>
      <c r="R30" s="25">
        <v>0</v>
      </c>
      <c r="S30" s="25">
        <v>13</v>
      </c>
      <c r="T30" s="25">
        <v>0</v>
      </c>
      <c r="U30" s="25"/>
      <c r="V30" s="182"/>
      <c r="Z30" s="204"/>
      <c r="AC30" s="201"/>
      <c r="AE30" s="63"/>
      <c r="AG30" s="182"/>
      <c r="AH30" s="182"/>
    </row>
    <row r="31" spans="2:34">
      <c r="B31" s="6"/>
      <c r="C31" s="12">
        <f t="shared" ca="1" si="8"/>
        <v>1</v>
      </c>
      <c r="D31" s="22">
        <f t="shared" si="9"/>
        <v>45730</v>
      </c>
      <c r="E31" s="26">
        <f t="shared" si="7"/>
        <v>1</v>
      </c>
      <c r="F31" s="26">
        <f t="shared" si="7"/>
        <v>1</v>
      </c>
      <c r="G31" s="26">
        <f t="shared" si="7"/>
        <v>1</v>
      </c>
      <c r="H31" s="26">
        <f t="shared" si="7"/>
        <v>0</v>
      </c>
      <c r="I31" s="26">
        <f t="shared" si="7"/>
        <v>1</v>
      </c>
      <c r="J31" s="26">
        <f t="shared" si="7"/>
        <v>1</v>
      </c>
      <c r="M31" s="21">
        <f t="shared" ref="M31:M32" si="17">M30+7</f>
        <v>45730</v>
      </c>
      <c r="N31" s="10" t="s">
        <v>24</v>
      </c>
      <c r="O31" s="25">
        <v>0</v>
      </c>
      <c r="P31" s="25">
        <v>0</v>
      </c>
      <c r="Q31" s="25">
        <v>0</v>
      </c>
      <c r="R31" s="25">
        <v>13</v>
      </c>
      <c r="S31" s="25">
        <v>0</v>
      </c>
      <c r="T31" s="25">
        <v>0</v>
      </c>
      <c r="U31" s="25"/>
      <c r="V31" s="182"/>
      <c r="Z31" s="204"/>
      <c r="AC31" s="201"/>
      <c r="AD31" s="34"/>
      <c r="AE31" s="202"/>
      <c r="AG31" s="182"/>
      <c r="AH31" s="182"/>
    </row>
    <row r="32" spans="2:34">
      <c r="B32" s="6"/>
      <c r="C32" s="12">
        <f t="shared" ca="1" si="8"/>
        <v>1</v>
      </c>
      <c r="D32" s="22">
        <f t="shared" si="9"/>
        <v>45737</v>
      </c>
      <c r="E32" s="26">
        <f t="shared" si="7"/>
        <v>1</v>
      </c>
      <c r="F32" s="26">
        <f t="shared" si="7"/>
        <v>0</v>
      </c>
      <c r="G32" s="26">
        <f t="shared" si="7"/>
        <v>1</v>
      </c>
      <c r="H32" s="26">
        <f t="shared" si="7"/>
        <v>0</v>
      </c>
      <c r="I32" s="26">
        <f t="shared" si="7"/>
        <v>1</v>
      </c>
      <c r="J32" s="26">
        <f t="shared" si="7"/>
        <v>1</v>
      </c>
      <c r="M32" s="21">
        <f t="shared" si="17"/>
        <v>45737</v>
      </c>
      <c r="N32" s="10" t="s">
        <v>24</v>
      </c>
      <c r="O32" s="25">
        <v>0</v>
      </c>
      <c r="P32" s="25">
        <v>13</v>
      </c>
      <c r="Q32" s="25">
        <v>0</v>
      </c>
      <c r="R32" s="25">
        <v>13</v>
      </c>
      <c r="S32" s="25">
        <v>0</v>
      </c>
      <c r="T32" s="25">
        <v>0</v>
      </c>
      <c r="U32" s="25"/>
      <c r="V32" s="182"/>
      <c r="W32" s="182"/>
      <c r="Z32" s="182"/>
    </row>
    <row r="33" spans="2:34">
      <c r="B33" s="6"/>
      <c r="C33" s="12">
        <f t="shared" ca="1" si="8"/>
        <v>1</v>
      </c>
      <c r="D33" s="22">
        <f t="shared" si="9"/>
        <v>45744</v>
      </c>
      <c r="E33" s="26">
        <f t="shared" si="7"/>
        <v>0</v>
      </c>
      <c r="F33" s="26">
        <f t="shared" si="7"/>
        <v>1</v>
      </c>
      <c r="G33" s="26">
        <f t="shared" si="7"/>
        <v>1</v>
      </c>
      <c r="H33" s="26">
        <f t="shared" si="7"/>
        <v>0</v>
      </c>
      <c r="I33" s="26">
        <f t="shared" si="7"/>
        <v>1</v>
      </c>
      <c r="J33" s="26">
        <f t="shared" si="7"/>
        <v>0</v>
      </c>
      <c r="M33" s="21">
        <f>M32+7</f>
        <v>45744</v>
      </c>
      <c r="N33" s="10" t="s">
        <v>24</v>
      </c>
      <c r="O33" s="25">
        <v>13</v>
      </c>
      <c r="P33" s="25">
        <v>0</v>
      </c>
      <c r="Q33" s="25">
        <v>0</v>
      </c>
      <c r="R33" s="25">
        <v>13</v>
      </c>
      <c r="S33" s="25">
        <v>0</v>
      </c>
      <c r="T33" s="25">
        <v>13</v>
      </c>
      <c r="U33" s="25"/>
      <c r="V33" s="182"/>
      <c r="Y33" s="182"/>
      <c r="Z33" s="182"/>
    </row>
    <row r="34" spans="2:34">
      <c r="B34" s="6"/>
      <c r="C34" s="12">
        <f t="shared" ca="1" si="8"/>
        <v>1</v>
      </c>
      <c r="D34" s="22">
        <f t="shared" si="9"/>
        <v>45751</v>
      </c>
      <c r="E34" s="26">
        <f t="shared" si="7"/>
        <v>1</v>
      </c>
      <c r="F34" s="26">
        <f t="shared" si="7"/>
        <v>1</v>
      </c>
      <c r="G34" s="26">
        <f t="shared" si="7"/>
        <v>0</v>
      </c>
      <c r="H34" s="26">
        <f t="shared" si="7"/>
        <v>0</v>
      </c>
      <c r="I34" s="26">
        <f t="shared" si="7"/>
        <v>1</v>
      </c>
      <c r="J34" s="26">
        <f t="shared" si="7"/>
        <v>0</v>
      </c>
      <c r="M34" s="21">
        <f>M33+7</f>
        <v>45751</v>
      </c>
      <c r="N34" s="10" t="s">
        <v>24</v>
      </c>
      <c r="O34" s="25">
        <v>0</v>
      </c>
      <c r="P34" s="25">
        <v>0</v>
      </c>
      <c r="Q34" s="25">
        <v>13</v>
      </c>
      <c r="R34" s="25">
        <v>13</v>
      </c>
      <c r="S34" s="25">
        <v>0</v>
      </c>
      <c r="T34" s="25">
        <v>13</v>
      </c>
      <c r="U34" s="25"/>
      <c r="V34" s="182"/>
      <c r="AD34" s="2"/>
      <c r="AG34" s="182"/>
      <c r="AH34" s="182"/>
    </row>
    <row r="35" spans="2:34">
      <c r="B35" s="6"/>
      <c r="C35" s="222"/>
      <c r="D35" s="223"/>
      <c r="E35" s="223"/>
      <c r="F35" s="223"/>
      <c r="G35" s="223"/>
      <c r="H35" s="223"/>
      <c r="I35" s="223"/>
      <c r="J35" s="224"/>
      <c r="M35" s="21">
        <f>M34</f>
        <v>45751</v>
      </c>
      <c r="N35" s="10" t="s">
        <v>54</v>
      </c>
      <c r="O35" s="25"/>
      <c r="P35" s="25"/>
      <c r="Q35" s="25"/>
      <c r="R35" s="25"/>
      <c r="S35" s="25"/>
      <c r="T35" s="25">
        <v>6.5</v>
      </c>
      <c r="U35" s="25"/>
      <c r="V35" s="182"/>
      <c r="AB35" s="58"/>
      <c r="AG35" s="182"/>
      <c r="AH35" s="182"/>
    </row>
    <row r="36" spans="2:34">
      <c r="B36" s="6"/>
      <c r="C36" s="12">
        <f t="shared" ca="1" si="8"/>
        <v>1</v>
      </c>
      <c r="D36" s="22">
        <f t="shared" si="9"/>
        <v>45758</v>
      </c>
      <c r="E36" s="26">
        <f t="shared" si="7"/>
        <v>1</v>
      </c>
      <c r="F36" s="26">
        <f t="shared" si="7"/>
        <v>1</v>
      </c>
      <c r="G36" s="26">
        <f t="shared" si="7"/>
        <v>1</v>
      </c>
      <c r="H36" s="26">
        <f t="shared" si="7"/>
        <v>0</v>
      </c>
      <c r="I36" s="26">
        <f t="shared" si="7"/>
        <v>1</v>
      </c>
      <c r="J36" s="26">
        <f t="shared" si="7"/>
        <v>1</v>
      </c>
      <c r="M36" s="21">
        <f>M35+7</f>
        <v>45758</v>
      </c>
      <c r="N36" s="10" t="s">
        <v>24</v>
      </c>
      <c r="O36" s="25">
        <v>0</v>
      </c>
      <c r="P36" s="25">
        <v>0</v>
      </c>
      <c r="Q36" s="25">
        <v>0</v>
      </c>
      <c r="R36" s="25">
        <v>13</v>
      </c>
      <c r="S36" s="25">
        <v>0</v>
      </c>
      <c r="T36" s="25">
        <v>0</v>
      </c>
      <c r="U36" s="25"/>
      <c r="V36" s="182"/>
      <c r="AC36" s="27" t="s">
        <v>345</v>
      </c>
      <c r="AD36" s="27">
        <v>100</v>
      </c>
    </row>
    <row r="37" spans="2:34">
      <c r="B37" s="6"/>
      <c r="C37" s="12">
        <f t="shared" ca="1" si="8"/>
        <v>1</v>
      </c>
      <c r="D37" s="22">
        <f t="shared" si="9"/>
        <v>45772</v>
      </c>
      <c r="E37" s="26">
        <f t="shared" si="7"/>
        <v>1</v>
      </c>
      <c r="F37" s="26">
        <f t="shared" si="7"/>
        <v>1</v>
      </c>
      <c r="G37" s="26">
        <f t="shared" si="7"/>
        <v>0</v>
      </c>
      <c r="H37" s="26">
        <f t="shared" si="7"/>
        <v>1</v>
      </c>
      <c r="I37" s="26">
        <f t="shared" si="7"/>
        <v>1</v>
      </c>
      <c r="J37" s="26">
        <f t="shared" si="7"/>
        <v>1</v>
      </c>
      <c r="M37" s="21">
        <f>M36+14</f>
        <v>45772</v>
      </c>
      <c r="N37" s="10" t="s">
        <v>24</v>
      </c>
      <c r="O37" s="25">
        <v>0</v>
      </c>
      <c r="P37" s="25">
        <v>0</v>
      </c>
      <c r="Q37" s="25">
        <v>13</v>
      </c>
      <c r="R37" s="25">
        <v>0</v>
      </c>
      <c r="S37" s="25">
        <v>0</v>
      </c>
      <c r="T37" s="25">
        <v>0</v>
      </c>
      <c r="U37" s="25"/>
      <c r="V37" s="182"/>
      <c r="AC37" s="27">
        <v>2.57</v>
      </c>
      <c r="AD37" s="27">
        <f>100-AC37</f>
        <v>97.43</v>
      </c>
    </row>
    <row r="38" spans="2:34" ht="16.5" customHeight="1">
      <c r="B38" s="6"/>
      <c r="C38" s="12">
        <f t="shared" ca="1" si="8"/>
        <v>1</v>
      </c>
      <c r="D38" s="22">
        <f t="shared" si="9"/>
        <v>45779</v>
      </c>
      <c r="E38" s="26">
        <f t="shared" si="7"/>
        <v>1</v>
      </c>
      <c r="F38" s="26">
        <f t="shared" si="7"/>
        <v>1</v>
      </c>
      <c r="G38" s="26">
        <f t="shared" si="7"/>
        <v>0</v>
      </c>
      <c r="H38" s="26">
        <f t="shared" si="7"/>
        <v>0</v>
      </c>
      <c r="I38" s="26">
        <f t="shared" si="7"/>
        <v>1</v>
      </c>
      <c r="J38" s="26">
        <f t="shared" si="7"/>
        <v>1</v>
      </c>
      <c r="M38" s="21">
        <f t="shared" ref="M38:M47" si="18">M37+7</f>
        <v>45779</v>
      </c>
      <c r="N38" s="10" t="s">
        <v>24</v>
      </c>
      <c r="O38" s="25">
        <v>0</v>
      </c>
      <c r="P38" s="25">
        <v>0</v>
      </c>
      <c r="Q38" s="25">
        <v>13</v>
      </c>
      <c r="R38" s="25">
        <v>13</v>
      </c>
      <c r="S38" s="25">
        <v>0</v>
      </c>
      <c r="T38" s="25">
        <v>0</v>
      </c>
      <c r="U38" s="25"/>
      <c r="V38" s="182"/>
      <c r="AC38" s="27">
        <v>2.6</v>
      </c>
      <c r="AD38" s="27">
        <f t="shared" ref="AD38:AD41" si="19">100-AC38</f>
        <v>97.4</v>
      </c>
    </row>
    <row r="39" spans="2:34">
      <c r="B39" s="6"/>
      <c r="C39" s="12">
        <f t="shared" ca="1" si="8"/>
        <v>1</v>
      </c>
      <c r="D39" s="22">
        <f t="shared" si="9"/>
        <v>45786</v>
      </c>
      <c r="E39" s="26">
        <f t="shared" si="7"/>
        <v>1</v>
      </c>
      <c r="F39" s="26">
        <f t="shared" si="7"/>
        <v>1</v>
      </c>
      <c r="G39" s="26">
        <f t="shared" si="7"/>
        <v>0</v>
      </c>
      <c r="H39" s="26">
        <f t="shared" si="7"/>
        <v>1</v>
      </c>
      <c r="I39" s="26">
        <f t="shared" si="7"/>
        <v>0</v>
      </c>
      <c r="J39" s="26">
        <f t="shared" si="7"/>
        <v>1</v>
      </c>
      <c r="M39" s="21">
        <f t="shared" si="18"/>
        <v>45786</v>
      </c>
      <c r="N39" s="10" t="s">
        <v>24</v>
      </c>
      <c r="O39" s="25">
        <v>0</v>
      </c>
      <c r="P39" s="25">
        <v>0</v>
      </c>
      <c r="Q39" s="25">
        <v>13</v>
      </c>
      <c r="R39" s="25">
        <v>0</v>
      </c>
      <c r="S39" s="25">
        <v>13</v>
      </c>
      <c r="T39" s="25">
        <v>0</v>
      </c>
      <c r="V39" s="182"/>
      <c r="AC39" s="27">
        <v>2.2400000000000002</v>
      </c>
      <c r="AD39" s="27">
        <f t="shared" si="19"/>
        <v>97.76</v>
      </c>
    </row>
    <row r="40" spans="2:34">
      <c r="B40" s="6"/>
      <c r="C40" s="12">
        <f t="shared" ca="1" si="8"/>
        <v>1</v>
      </c>
      <c r="D40" s="22">
        <f t="shared" si="9"/>
        <v>45793</v>
      </c>
      <c r="E40" s="26">
        <f t="shared" ref="E40:J56" si="20">IF(O40="","",IF(O40=0,1,0))</f>
        <v>1</v>
      </c>
      <c r="F40" s="26">
        <f t="shared" si="20"/>
        <v>1</v>
      </c>
      <c r="G40" s="26">
        <f t="shared" si="20"/>
        <v>0</v>
      </c>
      <c r="H40" s="26">
        <f t="shared" si="20"/>
        <v>0</v>
      </c>
      <c r="I40" s="26">
        <f t="shared" si="20"/>
        <v>1</v>
      </c>
      <c r="J40" s="26">
        <f t="shared" si="20"/>
        <v>0</v>
      </c>
      <c r="M40" s="21">
        <f t="shared" si="18"/>
        <v>45793</v>
      </c>
      <c r="N40" s="10" t="s">
        <v>24</v>
      </c>
      <c r="O40" s="25">
        <v>0</v>
      </c>
      <c r="P40" s="25">
        <v>0</v>
      </c>
      <c r="Q40" s="25">
        <v>13</v>
      </c>
      <c r="R40" s="25">
        <v>13</v>
      </c>
      <c r="S40" s="25">
        <v>0</v>
      </c>
      <c r="T40" s="25">
        <v>13</v>
      </c>
      <c r="V40" s="182"/>
      <c r="AC40" s="27">
        <v>2.02</v>
      </c>
      <c r="AD40" s="27">
        <f t="shared" si="19"/>
        <v>97.98</v>
      </c>
    </row>
    <row r="41" spans="2:34">
      <c r="B41" s="6"/>
      <c r="C41" s="12"/>
      <c r="D41" s="10"/>
      <c r="E41" s="12"/>
      <c r="F41" s="12"/>
      <c r="G41" s="12"/>
      <c r="H41" s="12"/>
      <c r="I41" s="12"/>
      <c r="J41" s="12"/>
      <c r="M41" s="21">
        <v>45793</v>
      </c>
      <c r="N41" s="10" t="s">
        <v>54</v>
      </c>
      <c r="O41" s="25"/>
      <c r="P41" s="25"/>
      <c r="Q41" s="25"/>
      <c r="R41" s="25"/>
      <c r="S41" s="25"/>
      <c r="T41" s="25">
        <v>6.5</v>
      </c>
      <c r="V41" s="182"/>
      <c r="AC41" s="27">
        <v>1.84</v>
      </c>
      <c r="AD41" s="27">
        <f t="shared" si="19"/>
        <v>98.16</v>
      </c>
    </row>
    <row r="42" spans="2:34">
      <c r="B42" s="6"/>
      <c r="C42" s="12">
        <f t="shared" ca="1" si="8"/>
        <v>1</v>
      </c>
      <c r="D42" s="22">
        <f t="shared" si="9"/>
        <v>45800</v>
      </c>
      <c r="E42" s="26">
        <f t="shared" si="20"/>
        <v>1</v>
      </c>
      <c r="F42" s="26">
        <f t="shared" si="20"/>
        <v>1</v>
      </c>
      <c r="G42" s="26">
        <f t="shared" si="20"/>
        <v>0</v>
      </c>
      <c r="H42" s="26">
        <f t="shared" si="20"/>
        <v>1</v>
      </c>
      <c r="I42" s="26">
        <f t="shared" si="20"/>
        <v>1</v>
      </c>
      <c r="J42" s="26">
        <f t="shared" si="20"/>
        <v>1</v>
      </c>
      <c r="M42" s="21">
        <f t="shared" si="18"/>
        <v>45800</v>
      </c>
      <c r="N42" s="10" t="s">
        <v>24</v>
      </c>
      <c r="O42" s="25">
        <v>0</v>
      </c>
      <c r="P42" s="25">
        <v>0</v>
      </c>
      <c r="Q42" s="25">
        <v>13</v>
      </c>
      <c r="R42" s="25">
        <v>0</v>
      </c>
      <c r="S42" s="25">
        <v>0</v>
      </c>
      <c r="T42" s="25">
        <v>0</v>
      </c>
      <c r="V42" s="182"/>
    </row>
    <row r="43" spans="2:34">
      <c r="B43" s="6"/>
      <c r="C43" s="12">
        <f t="shared" ca="1" si="8"/>
        <v>1</v>
      </c>
      <c r="D43" s="22">
        <f t="shared" si="9"/>
        <v>45807</v>
      </c>
      <c r="E43" s="26">
        <f t="shared" si="20"/>
        <v>1</v>
      </c>
      <c r="F43" s="26">
        <f t="shared" si="20"/>
        <v>0</v>
      </c>
      <c r="G43" s="26">
        <f t="shared" si="20"/>
        <v>0</v>
      </c>
      <c r="H43" s="26">
        <f t="shared" si="20"/>
        <v>0</v>
      </c>
      <c r="I43" s="26">
        <f t="shared" si="20"/>
        <v>1</v>
      </c>
      <c r="J43" s="26">
        <f t="shared" si="20"/>
        <v>0</v>
      </c>
      <c r="M43" s="21">
        <f t="shared" si="18"/>
        <v>45807</v>
      </c>
      <c r="N43" s="10" t="s">
        <v>24</v>
      </c>
      <c r="O43" s="25">
        <v>0</v>
      </c>
      <c r="P43" s="25">
        <v>13</v>
      </c>
      <c r="Q43" s="25">
        <v>13</v>
      </c>
      <c r="R43" s="25">
        <v>13</v>
      </c>
      <c r="S43" s="25">
        <v>0</v>
      </c>
      <c r="T43" s="25">
        <v>13</v>
      </c>
      <c r="V43" s="182"/>
      <c r="Y43" s="182"/>
      <c r="Z43" s="182"/>
    </row>
    <row r="44" spans="2:34">
      <c r="B44" s="6"/>
      <c r="C44" s="12">
        <f t="shared" ca="1" si="8"/>
        <v>1</v>
      </c>
      <c r="D44" s="22">
        <f t="shared" si="9"/>
        <v>45814</v>
      </c>
      <c r="E44" s="26">
        <f t="shared" si="20"/>
        <v>1</v>
      </c>
      <c r="F44" s="26">
        <f t="shared" si="20"/>
        <v>0</v>
      </c>
      <c r="G44" s="26">
        <f t="shared" si="20"/>
        <v>1</v>
      </c>
      <c r="H44" s="26">
        <f t="shared" si="20"/>
        <v>0</v>
      </c>
      <c r="I44" s="26">
        <f t="shared" si="20"/>
        <v>1</v>
      </c>
      <c r="J44" s="26">
        <f t="shared" si="20"/>
        <v>1</v>
      </c>
      <c r="M44" s="21">
        <f t="shared" si="18"/>
        <v>45814</v>
      </c>
      <c r="N44" s="10" t="s">
        <v>24</v>
      </c>
      <c r="O44" s="25">
        <v>0</v>
      </c>
      <c r="P44" s="25">
        <v>13</v>
      </c>
      <c r="Q44" s="25">
        <v>0</v>
      </c>
      <c r="R44" s="25">
        <v>13</v>
      </c>
      <c r="S44" s="25">
        <v>0</v>
      </c>
      <c r="T44" s="25">
        <v>0</v>
      </c>
      <c r="V44" s="182"/>
      <c r="Y44" s="182"/>
      <c r="Z44" s="182"/>
    </row>
    <row r="45" spans="2:34">
      <c r="B45" s="6"/>
      <c r="C45" s="12">
        <f t="shared" ca="1" si="8"/>
        <v>1</v>
      </c>
      <c r="D45" s="22">
        <f t="shared" si="9"/>
        <v>45821</v>
      </c>
      <c r="E45" s="26">
        <f t="shared" si="20"/>
        <v>1</v>
      </c>
      <c r="F45" s="26">
        <f t="shared" si="20"/>
        <v>0</v>
      </c>
      <c r="G45" s="26">
        <f t="shared" si="20"/>
        <v>1</v>
      </c>
      <c r="H45" s="26">
        <f t="shared" si="20"/>
        <v>1</v>
      </c>
      <c r="I45" s="26">
        <f t="shared" si="20"/>
        <v>1</v>
      </c>
      <c r="J45" s="26">
        <f t="shared" si="20"/>
        <v>0</v>
      </c>
      <c r="M45" s="21">
        <f t="shared" si="18"/>
        <v>45821</v>
      </c>
      <c r="N45" s="10" t="s">
        <v>24</v>
      </c>
      <c r="O45" s="25">
        <v>0</v>
      </c>
      <c r="P45" s="25">
        <v>13</v>
      </c>
      <c r="Q45" s="25">
        <v>0</v>
      </c>
      <c r="R45" s="25">
        <v>0</v>
      </c>
      <c r="S45" s="25">
        <v>0</v>
      </c>
      <c r="T45" s="25">
        <v>13</v>
      </c>
      <c r="V45" s="182"/>
      <c r="Y45" s="182"/>
      <c r="Z45" s="182"/>
    </row>
    <row r="46" spans="2:34">
      <c r="B46" s="6"/>
      <c r="C46" s="12">
        <f t="shared" ca="1" si="8"/>
        <v>1</v>
      </c>
      <c r="D46" s="22">
        <f t="shared" si="9"/>
        <v>45828</v>
      </c>
      <c r="E46" s="26">
        <f t="shared" si="20"/>
        <v>1</v>
      </c>
      <c r="F46" s="26">
        <f t="shared" si="20"/>
        <v>1</v>
      </c>
      <c r="G46" s="26">
        <f t="shared" si="20"/>
        <v>1</v>
      </c>
      <c r="H46" s="26">
        <f t="shared" si="20"/>
        <v>0</v>
      </c>
      <c r="I46" s="26">
        <f t="shared" si="20"/>
        <v>1</v>
      </c>
      <c r="J46" s="26">
        <f t="shared" si="20"/>
        <v>1</v>
      </c>
      <c r="M46" s="21">
        <f t="shared" si="18"/>
        <v>45828</v>
      </c>
      <c r="N46" s="10" t="s">
        <v>24</v>
      </c>
      <c r="O46" s="25">
        <v>0</v>
      </c>
      <c r="P46" s="25">
        <v>0</v>
      </c>
      <c r="Q46" s="25">
        <v>0</v>
      </c>
      <c r="R46" s="25">
        <v>13</v>
      </c>
      <c r="S46" s="25">
        <v>0</v>
      </c>
      <c r="T46" s="25">
        <v>0</v>
      </c>
      <c r="V46" s="182"/>
      <c r="Y46" s="182"/>
      <c r="Z46" s="182"/>
    </row>
    <row r="47" spans="2:34">
      <c r="B47" s="6"/>
      <c r="C47" s="12">
        <f t="shared" ca="1" si="8"/>
        <v>1</v>
      </c>
      <c r="D47" s="22">
        <f t="shared" si="9"/>
        <v>45835</v>
      </c>
      <c r="E47" s="26">
        <f t="shared" si="20"/>
        <v>1</v>
      </c>
      <c r="F47" s="26">
        <f t="shared" si="20"/>
        <v>1</v>
      </c>
      <c r="G47" s="26">
        <f t="shared" si="20"/>
        <v>0</v>
      </c>
      <c r="H47" s="26">
        <f t="shared" si="20"/>
        <v>0</v>
      </c>
      <c r="I47" s="26">
        <f t="shared" si="20"/>
        <v>1</v>
      </c>
      <c r="J47" s="26">
        <f t="shared" si="20"/>
        <v>1</v>
      </c>
      <c r="M47" s="21">
        <f t="shared" si="18"/>
        <v>45835</v>
      </c>
      <c r="N47" s="10" t="s">
        <v>24</v>
      </c>
      <c r="O47" s="25">
        <v>0</v>
      </c>
      <c r="P47" s="25">
        <v>0</v>
      </c>
      <c r="Q47" s="25">
        <v>13</v>
      </c>
      <c r="R47" s="25">
        <v>13</v>
      </c>
      <c r="S47" s="25">
        <v>0</v>
      </c>
      <c r="T47" s="25">
        <v>0</v>
      </c>
      <c r="V47" s="182"/>
      <c r="AG47" s="182"/>
      <c r="AH47" s="182"/>
    </row>
    <row r="48" spans="2:34">
      <c r="B48" s="6"/>
      <c r="C48" s="222"/>
      <c r="D48" s="223"/>
      <c r="E48" s="223"/>
      <c r="F48" s="223"/>
      <c r="G48" s="223"/>
      <c r="H48" s="223"/>
      <c r="I48" s="223"/>
      <c r="J48" s="224"/>
      <c r="M48" s="21">
        <f>M47</f>
        <v>45835</v>
      </c>
      <c r="N48" s="10" t="s">
        <v>47</v>
      </c>
      <c r="O48" s="25"/>
      <c r="P48" s="25"/>
      <c r="Q48" s="25"/>
      <c r="R48" s="25"/>
      <c r="S48" s="25">
        <v>3</v>
      </c>
      <c r="T48" s="25"/>
      <c r="V48" s="182"/>
      <c r="AG48" s="182"/>
      <c r="AH48" s="182"/>
    </row>
    <row r="49" spans="2:34">
      <c r="B49" s="6"/>
      <c r="C49" s="12">
        <f t="shared" ca="1" si="8"/>
        <v>1</v>
      </c>
      <c r="D49" s="22">
        <f t="shared" si="9"/>
        <v>45842</v>
      </c>
      <c r="E49" s="26">
        <f t="shared" si="20"/>
        <v>1</v>
      </c>
      <c r="F49" s="26">
        <f t="shared" si="20"/>
        <v>0</v>
      </c>
      <c r="G49" s="26">
        <f t="shared" si="20"/>
        <v>1</v>
      </c>
      <c r="H49" s="26">
        <f t="shared" si="20"/>
        <v>1</v>
      </c>
      <c r="I49" s="26">
        <f t="shared" si="20"/>
        <v>1</v>
      </c>
      <c r="J49" s="26">
        <f t="shared" si="20"/>
        <v>0</v>
      </c>
      <c r="M49" s="21">
        <v>45842</v>
      </c>
      <c r="N49" s="10" t="s">
        <v>24</v>
      </c>
      <c r="O49" s="25">
        <v>0</v>
      </c>
      <c r="P49" s="25">
        <v>13</v>
      </c>
      <c r="Q49" s="25">
        <v>0</v>
      </c>
      <c r="R49" s="25">
        <v>0</v>
      </c>
      <c r="S49" s="25">
        <v>0</v>
      </c>
      <c r="T49" s="25">
        <v>13</v>
      </c>
      <c r="V49" s="182"/>
      <c r="AG49" s="182"/>
      <c r="AH49" s="182"/>
    </row>
    <row r="50" spans="2:34">
      <c r="B50" s="6"/>
      <c r="C50" s="12">
        <f t="shared" ca="1" si="8"/>
        <v>1</v>
      </c>
      <c r="D50" s="22">
        <f t="shared" si="9"/>
        <v>45849</v>
      </c>
      <c r="E50" s="26">
        <f t="shared" si="20"/>
        <v>1</v>
      </c>
      <c r="F50" s="26">
        <f t="shared" si="20"/>
        <v>1</v>
      </c>
      <c r="G50" s="26">
        <f t="shared" si="20"/>
        <v>0</v>
      </c>
      <c r="H50" s="26">
        <f t="shared" si="20"/>
        <v>1</v>
      </c>
      <c r="I50" s="26">
        <f t="shared" si="20"/>
        <v>1</v>
      </c>
      <c r="J50" s="26">
        <f t="shared" si="20"/>
        <v>1</v>
      </c>
      <c r="M50" s="21">
        <f t="shared" ref="M50:M57" si="21">M49+7</f>
        <v>45849</v>
      </c>
      <c r="N50" s="10" t="s">
        <v>24</v>
      </c>
      <c r="O50" s="25">
        <v>0</v>
      </c>
      <c r="P50" s="25">
        <v>0</v>
      </c>
      <c r="Q50" s="25">
        <v>13</v>
      </c>
      <c r="R50" s="25">
        <v>0</v>
      </c>
      <c r="S50" s="25">
        <v>0</v>
      </c>
      <c r="T50" s="25">
        <v>0</v>
      </c>
      <c r="V50" s="182"/>
      <c r="AG50" s="182"/>
      <c r="AH50" s="182"/>
    </row>
    <row r="51" spans="2:34">
      <c r="B51" s="6"/>
      <c r="C51" s="12">
        <f t="shared" ca="1" si="8"/>
        <v>1</v>
      </c>
      <c r="D51" s="22">
        <f t="shared" si="9"/>
        <v>45856</v>
      </c>
      <c r="E51" s="26">
        <f t="shared" si="20"/>
        <v>1</v>
      </c>
      <c r="F51" s="26">
        <f t="shared" si="20"/>
        <v>1</v>
      </c>
      <c r="G51" s="26">
        <f t="shared" si="20"/>
        <v>1</v>
      </c>
      <c r="H51" s="26">
        <f t="shared" si="20"/>
        <v>1</v>
      </c>
      <c r="I51" s="26">
        <f t="shared" si="20"/>
        <v>1</v>
      </c>
      <c r="J51" s="26">
        <f t="shared" si="20"/>
        <v>1</v>
      </c>
      <c r="M51" s="21">
        <f>M50+7</f>
        <v>45856</v>
      </c>
      <c r="N51" s="10" t="s">
        <v>24</v>
      </c>
      <c r="O51" s="25">
        <v>0</v>
      </c>
      <c r="P51" s="25">
        <v>0</v>
      </c>
      <c r="Q51" s="25">
        <v>0</v>
      </c>
      <c r="R51" s="25">
        <v>0</v>
      </c>
      <c r="S51" s="25">
        <v>0</v>
      </c>
      <c r="T51" s="25">
        <v>0</v>
      </c>
      <c r="V51" s="182"/>
      <c r="AG51" s="182"/>
      <c r="AH51" s="182"/>
    </row>
    <row r="52" spans="2:34">
      <c r="B52" s="6"/>
      <c r="C52" s="12">
        <f t="shared" ca="1" si="8"/>
        <v>1</v>
      </c>
      <c r="D52" s="22">
        <f t="shared" si="9"/>
        <v>45863</v>
      </c>
      <c r="E52" s="26">
        <f t="shared" si="20"/>
        <v>1</v>
      </c>
      <c r="F52" s="26">
        <f t="shared" si="20"/>
        <v>1</v>
      </c>
      <c r="G52" s="26">
        <f t="shared" si="20"/>
        <v>1</v>
      </c>
      <c r="H52" s="26">
        <f t="shared" si="20"/>
        <v>0</v>
      </c>
      <c r="I52" s="26">
        <f t="shared" si="20"/>
        <v>1</v>
      </c>
      <c r="J52" s="26">
        <f t="shared" si="20"/>
        <v>0</v>
      </c>
      <c r="M52" s="21">
        <f t="shared" si="21"/>
        <v>45863</v>
      </c>
      <c r="N52" s="10" t="s">
        <v>24</v>
      </c>
      <c r="O52" s="25">
        <v>0</v>
      </c>
      <c r="P52" s="25">
        <v>0</v>
      </c>
      <c r="Q52" s="25">
        <v>0</v>
      </c>
      <c r="R52" s="25">
        <v>13</v>
      </c>
      <c r="S52" s="25">
        <v>0</v>
      </c>
      <c r="T52" s="25">
        <v>13</v>
      </c>
      <c r="V52" s="182"/>
      <c r="AG52" s="182"/>
      <c r="AH52" s="182"/>
    </row>
    <row r="53" spans="2:34">
      <c r="B53" s="6"/>
      <c r="C53" s="12">
        <f t="shared" ca="1" si="8"/>
        <v>1</v>
      </c>
      <c r="D53" s="22">
        <f t="shared" si="9"/>
        <v>45877</v>
      </c>
      <c r="E53" s="26">
        <f t="shared" si="20"/>
        <v>0</v>
      </c>
      <c r="F53" s="26">
        <f t="shared" si="20"/>
        <v>1</v>
      </c>
      <c r="G53" s="26">
        <f t="shared" si="20"/>
        <v>0</v>
      </c>
      <c r="H53" s="26">
        <f t="shared" si="20"/>
        <v>1</v>
      </c>
      <c r="I53" s="26">
        <f t="shared" si="20"/>
        <v>0</v>
      </c>
      <c r="J53" s="26">
        <f t="shared" si="20"/>
        <v>1</v>
      </c>
      <c r="M53" s="21">
        <f>M52+14</f>
        <v>45877</v>
      </c>
      <c r="N53" s="10" t="s">
        <v>24</v>
      </c>
      <c r="O53" s="25">
        <v>13</v>
      </c>
      <c r="P53" s="25">
        <v>0</v>
      </c>
      <c r="Q53" s="25">
        <v>13</v>
      </c>
      <c r="R53" s="25">
        <v>0</v>
      </c>
      <c r="S53" s="25">
        <v>13</v>
      </c>
      <c r="T53" s="25">
        <v>0</v>
      </c>
      <c r="V53" s="182"/>
      <c r="AG53" s="182"/>
      <c r="AH53" s="182"/>
    </row>
    <row r="54" spans="2:34">
      <c r="B54" s="6"/>
      <c r="C54" s="12">
        <f t="shared" ca="1" si="8"/>
        <v>1</v>
      </c>
      <c r="D54" s="22">
        <f t="shared" si="9"/>
        <v>45884</v>
      </c>
      <c r="E54" s="26">
        <f t="shared" si="20"/>
        <v>1</v>
      </c>
      <c r="F54" s="26">
        <f t="shared" si="20"/>
        <v>0</v>
      </c>
      <c r="G54" s="26">
        <f t="shared" si="20"/>
        <v>0</v>
      </c>
      <c r="H54" s="26">
        <f t="shared" si="20"/>
        <v>1</v>
      </c>
      <c r="I54" s="26">
        <f t="shared" si="20"/>
        <v>0</v>
      </c>
      <c r="J54" s="26">
        <f t="shared" si="20"/>
        <v>1</v>
      </c>
      <c r="M54" s="21">
        <f t="shared" si="21"/>
        <v>45884</v>
      </c>
      <c r="N54" s="10" t="s">
        <v>24</v>
      </c>
      <c r="O54" s="25">
        <v>0</v>
      </c>
      <c r="P54" s="25">
        <v>13</v>
      </c>
      <c r="Q54" s="25">
        <v>13</v>
      </c>
      <c r="R54" s="25">
        <v>0</v>
      </c>
      <c r="S54" s="25">
        <v>13</v>
      </c>
      <c r="T54" s="25">
        <v>0</v>
      </c>
      <c r="V54" s="182"/>
      <c r="AG54" s="182"/>
      <c r="AH54" s="182"/>
    </row>
    <row r="55" spans="2:34">
      <c r="B55" s="6"/>
      <c r="C55" s="12">
        <f t="shared" ca="1" si="8"/>
        <v>1</v>
      </c>
      <c r="D55" s="22">
        <f t="shared" si="9"/>
        <v>45891</v>
      </c>
      <c r="E55" s="26">
        <f t="shared" si="20"/>
        <v>1</v>
      </c>
      <c r="F55" s="26">
        <f t="shared" si="20"/>
        <v>0</v>
      </c>
      <c r="G55" s="26">
        <f t="shared" si="20"/>
        <v>1</v>
      </c>
      <c r="H55" s="26">
        <f t="shared" si="20"/>
        <v>0</v>
      </c>
      <c r="I55" s="26">
        <f t="shared" si="20"/>
        <v>0</v>
      </c>
      <c r="J55" s="26">
        <f t="shared" si="20"/>
        <v>0</v>
      </c>
      <c r="M55" s="21">
        <f t="shared" si="21"/>
        <v>45891</v>
      </c>
      <c r="N55" s="10" t="s">
        <v>24</v>
      </c>
      <c r="O55" s="25">
        <v>0</v>
      </c>
      <c r="P55" s="25">
        <v>13</v>
      </c>
      <c r="Q55" s="25">
        <v>0</v>
      </c>
      <c r="R55" s="25">
        <v>13</v>
      </c>
      <c r="S55" s="25">
        <v>13</v>
      </c>
      <c r="T55" s="25">
        <v>13</v>
      </c>
      <c r="V55" s="182"/>
      <c r="AG55" s="182"/>
      <c r="AH55" s="182"/>
    </row>
    <row r="56" spans="2:34">
      <c r="B56" s="6"/>
      <c r="C56" s="12">
        <f t="shared" ca="1" si="8"/>
        <v>1</v>
      </c>
      <c r="D56" s="22">
        <f t="shared" si="9"/>
        <v>45898</v>
      </c>
      <c r="E56" s="26">
        <f t="shared" si="20"/>
        <v>1</v>
      </c>
      <c r="F56" s="26">
        <f t="shared" si="20"/>
        <v>0</v>
      </c>
      <c r="G56" s="26">
        <f t="shared" si="20"/>
        <v>0</v>
      </c>
      <c r="H56" s="26">
        <f t="shared" si="20"/>
        <v>0</v>
      </c>
      <c r="I56" s="26">
        <f t="shared" si="20"/>
        <v>1</v>
      </c>
      <c r="J56" s="26">
        <f t="shared" si="20"/>
        <v>0</v>
      </c>
      <c r="M56" s="21">
        <f t="shared" si="21"/>
        <v>45898</v>
      </c>
      <c r="N56" s="10" t="s">
        <v>24</v>
      </c>
      <c r="O56" s="25">
        <v>0</v>
      </c>
      <c r="P56" s="25">
        <v>13</v>
      </c>
      <c r="Q56" s="25">
        <v>13</v>
      </c>
      <c r="R56" s="25">
        <v>13</v>
      </c>
      <c r="S56" s="25">
        <v>0</v>
      </c>
      <c r="T56" s="25">
        <v>13</v>
      </c>
      <c r="V56" s="182"/>
      <c r="AG56" s="182"/>
      <c r="AH56" s="182"/>
    </row>
    <row r="57" spans="2:34">
      <c r="B57" s="6"/>
      <c r="C57" s="12">
        <f t="shared" ca="1" si="8"/>
        <v>1</v>
      </c>
      <c r="D57" s="22">
        <f t="shared" si="9"/>
        <v>45905</v>
      </c>
      <c r="E57" s="26">
        <f t="shared" ref="E57:J91" si="22">IF(O57="","",IF(O57=0,1,0))</f>
        <v>0</v>
      </c>
      <c r="F57" s="26">
        <f t="shared" si="22"/>
        <v>0</v>
      </c>
      <c r="G57" s="26">
        <f t="shared" si="22"/>
        <v>1</v>
      </c>
      <c r="H57" s="26">
        <f t="shared" si="22"/>
        <v>0</v>
      </c>
      <c r="I57" s="26">
        <f t="shared" si="22"/>
        <v>0</v>
      </c>
      <c r="J57" s="26">
        <f t="shared" si="22"/>
        <v>1</v>
      </c>
      <c r="M57" s="21">
        <f t="shared" si="21"/>
        <v>45905</v>
      </c>
      <c r="N57" s="10" t="s">
        <v>24</v>
      </c>
      <c r="O57" s="25">
        <v>13</v>
      </c>
      <c r="P57" s="25">
        <v>13</v>
      </c>
      <c r="Q57" s="25">
        <v>0</v>
      </c>
      <c r="R57" s="25">
        <v>13</v>
      </c>
      <c r="S57" s="25">
        <v>13</v>
      </c>
      <c r="T57" s="25">
        <v>0</v>
      </c>
      <c r="V57" s="182"/>
      <c r="AG57" s="182"/>
      <c r="AH57" s="182"/>
    </row>
    <row r="58" spans="2:34">
      <c r="B58" s="6"/>
      <c r="C58" s="12">
        <f t="shared" ca="1" si="8"/>
        <v>1</v>
      </c>
      <c r="D58" s="22">
        <f t="shared" si="9"/>
        <v>45912</v>
      </c>
      <c r="E58" s="26">
        <f t="shared" si="22"/>
        <v>1</v>
      </c>
      <c r="F58" s="26">
        <f t="shared" si="22"/>
        <v>1</v>
      </c>
      <c r="G58" s="26">
        <f t="shared" si="22"/>
        <v>0</v>
      </c>
      <c r="H58" s="26">
        <f t="shared" si="22"/>
        <v>0</v>
      </c>
      <c r="I58" s="26">
        <f t="shared" si="22"/>
        <v>1</v>
      </c>
      <c r="J58" s="26">
        <f t="shared" si="22"/>
        <v>0</v>
      </c>
      <c r="M58" s="21">
        <v>45912</v>
      </c>
      <c r="N58" s="10" t="s">
        <v>24</v>
      </c>
      <c r="O58" s="25">
        <v>0</v>
      </c>
      <c r="P58" s="25">
        <v>0</v>
      </c>
      <c r="Q58" s="25">
        <v>13</v>
      </c>
      <c r="R58" s="25">
        <v>13</v>
      </c>
      <c r="S58" s="25">
        <v>0</v>
      </c>
      <c r="T58" s="25">
        <v>13</v>
      </c>
      <c r="V58" s="182"/>
      <c r="AG58" s="182"/>
      <c r="AH58" s="182"/>
    </row>
    <row r="59" spans="2:34">
      <c r="C59" s="222"/>
      <c r="D59" s="223"/>
      <c r="E59" s="223"/>
      <c r="F59" s="223"/>
      <c r="G59" s="223"/>
      <c r="H59" s="223"/>
      <c r="I59" s="223"/>
      <c r="J59" s="224"/>
      <c r="M59" s="21">
        <f>M58</f>
        <v>45912</v>
      </c>
      <c r="N59" s="10" t="s">
        <v>47</v>
      </c>
      <c r="O59" s="25"/>
      <c r="P59" s="25"/>
      <c r="Q59" s="25"/>
      <c r="R59" s="25"/>
      <c r="S59" s="25">
        <v>3</v>
      </c>
      <c r="T59" s="25"/>
      <c r="V59" s="182"/>
      <c r="AG59" s="182"/>
      <c r="AH59" s="182"/>
    </row>
    <row r="60" spans="2:34">
      <c r="C60" s="12">
        <f t="shared" ca="1" si="8"/>
        <v>1</v>
      </c>
      <c r="D60" s="22">
        <f t="shared" si="9"/>
        <v>45919</v>
      </c>
      <c r="E60" s="26">
        <f t="shared" si="22"/>
        <v>0</v>
      </c>
      <c r="F60" s="26">
        <f t="shared" si="22"/>
        <v>1</v>
      </c>
      <c r="G60" s="26">
        <f t="shared" si="22"/>
        <v>1</v>
      </c>
      <c r="H60" s="26">
        <f t="shared" si="22"/>
        <v>1</v>
      </c>
      <c r="I60" s="26">
        <f t="shared" si="22"/>
        <v>1</v>
      </c>
      <c r="J60" s="26">
        <f t="shared" si="22"/>
        <v>1</v>
      </c>
      <c r="M60" s="21">
        <v>45919</v>
      </c>
      <c r="N60" s="10" t="s">
        <v>24</v>
      </c>
      <c r="O60" s="25">
        <v>13</v>
      </c>
      <c r="P60" s="25">
        <v>0</v>
      </c>
      <c r="Q60" s="25">
        <v>0</v>
      </c>
      <c r="R60" s="25">
        <v>0</v>
      </c>
      <c r="S60" s="25">
        <v>0</v>
      </c>
      <c r="T60" s="25">
        <v>0</v>
      </c>
      <c r="V60" s="182"/>
      <c r="AG60" s="182"/>
      <c r="AH60" s="182"/>
    </row>
    <row r="61" spans="2:34">
      <c r="C61" s="12">
        <f t="shared" ca="1" si="8"/>
        <v>1</v>
      </c>
      <c r="D61" s="22">
        <f t="shared" si="9"/>
        <v>45926</v>
      </c>
      <c r="E61" s="26">
        <f t="shared" si="22"/>
        <v>1</v>
      </c>
      <c r="F61" s="26">
        <f t="shared" si="22"/>
        <v>0</v>
      </c>
      <c r="G61" s="26">
        <f t="shared" si="22"/>
        <v>0</v>
      </c>
      <c r="H61" s="26">
        <f t="shared" si="22"/>
        <v>1</v>
      </c>
      <c r="I61" s="26">
        <f t="shared" si="22"/>
        <v>1</v>
      </c>
      <c r="J61" s="26">
        <f t="shared" si="22"/>
        <v>1</v>
      </c>
      <c r="M61" s="21">
        <f t="shared" ref="M61:M65" si="23">M60+7</f>
        <v>45926</v>
      </c>
      <c r="N61" s="10" t="s">
        <v>24</v>
      </c>
      <c r="O61" s="25">
        <v>0</v>
      </c>
      <c r="P61" s="25">
        <v>13</v>
      </c>
      <c r="Q61" s="25">
        <v>13</v>
      </c>
      <c r="R61" s="25">
        <v>0</v>
      </c>
      <c r="S61" s="25">
        <v>0</v>
      </c>
      <c r="T61" s="25">
        <v>0</v>
      </c>
      <c r="V61" s="182"/>
      <c r="AG61" s="182"/>
      <c r="AH61" s="182"/>
    </row>
    <row r="62" spans="2:34">
      <c r="C62" s="12">
        <f t="shared" ca="1" si="8"/>
        <v>1</v>
      </c>
      <c r="D62" s="22">
        <f t="shared" si="9"/>
        <v>45933</v>
      </c>
      <c r="E62" s="26">
        <f t="shared" si="22"/>
        <v>1</v>
      </c>
      <c r="F62" s="26">
        <f t="shared" si="22"/>
        <v>1</v>
      </c>
      <c r="G62" s="26">
        <f t="shared" si="22"/>
        <v>0</v>
      </c>
      <c r="H62" s="26">
        <f t="shared" si="22"/>
        <v>1</v>
      </c>
      <c r="I62" s="26">
        <f t="shared" si="22"/>
        <v>1</v>
      </c>
      <c r="J62" s="26">
        <f t="shared" si="22"/>
        <v>1</v>
      </c>
      <c r="M62" s="21">
        <f t="shared" si="23"/>
        <v>45933</v>
      </c>
      <c r="N62" s="10" t="s">
        <v>24</v>
      </c>
      <c r="O62" s="25">
        <v>0</v>
      </c>
      <c r="P62" s="25">
        <v>0</v>
      </c>
      <c r="Q62" s="25">
        <v>13</v>
      </c>
      <c r="R62" s="25">
        <v>0</v>
      </c>
      <c r="S62" s="25">
        <v>0</v>
      </c>
      <c r="T62" s="25">
        <v>0</v>
      </c>
      <c r="V62" s="182"/>
      <c r="AG62" s="182"/>
      <c r="AH62" s="182"/>
    </row>
    <row r="63" spans="2:34">
      <c r="C63" s="222"/>
      <c r="D63" s="223"/>
      <c r="E63" s="223"/>
      <c r="F63" s="223"/>
      <c r="G63" s="223"/>
      <c r="H63" s="223"/>
      <c r="I63" s="223"/>
      <c r="J63" s="224"/>
      <c r="M63" s="21">
        <f t="shared" si="23"/>
        <v>45940</v>
      </c>
      <c r="N63" s="10" t="s">
        <v>47</v>
      </c>
      <c r="O63" s="25"/>
      <c r="P63" s="25">
        <v>3</v>
      </c>
      <c r="Q63" s="25"/>
      <c r="R63" s="25"/>
      <c r="S63" s="25"/>
      <c r="T63" s="25"/>
      <c r="V63" s="182"/>
      <c r="AG63" s="182"/>
      <c r="AH63" s="182"/>
    </row>
    <row r="64" spans="2:34">
      <c r="C64" s="12">
        <f t="shared" ca="1" si="8"/>
        <v>1</v>
      </c>
      <c r="D64" s="22">
        <f t="shared" si="9"/>
        <v>45940</v>
      </c>
      <c r="E64" s="26">
        <f t="shared" si="22"/>
        <v>0</v>
      </c>
      <c r="F64" s="26">
        <f t="shared" si="22"/>
        <v>1</v>
      </c>
      <c r="G64" s="26">
        <f t="shared" si="22"/>
        <v>0</v>
      </c>
      <c r="H64" s="26">
        <f t="shared" si="22"/>
        <v>1</v>
      </c>
      <c r="I64" s="26">
        <f t="shared" si="22"/>
        <v>1</v>
      </c>
      <c r="J64" s="26">
        <f t="shared" si="22"/>
        <v>1</v>
      </c>
      <c r="M64" s="21">
        <f>M63</f>
        <v>45940</v>
      </c>
      <c r="N64" s="10" t="s">
        <v>24</v>
      </c>
      <c r="O64" s="25">
        <v>13</v>
      </c>
      <c r="P64" s="25">
        <v>0</v>
      </c>
      <c r="Q64" s="25">
        <v>13</v>
      </c>
      <c r="R64" s="25">
        <v>0</v>
      </c>
      <c r="S64" s="25">
        <v>0</v>
      </c>
      <c r="T64" s="25">
        <v>0</v>
      </c>
      <c r="V64" s="182"/>
      <c r="AG64" s="182"/>
      <c r="AH64" s="182"/>
    </row>
    <row r="65" spans="3:34">
      <c r="C65" s="222"/>
      <c r="D65" s="223"/>
      <c r="E65" s="223"/>
      <c r="F65" s="223"/>
      <c r="G65" s="223"/>
      <c r="H65" s="223"/>
      <c r="I65" s="223"/>
      <c r="J65" s="224"/>
      <c r="M65" s="21">
        <f t="shared" si="23"/>
        <v>45947</v>
      </c>
      <c r="N65" s="10" t="s">
        <v>54</v>
      </c>
      <c r="O65" s="25"/>
      <c r="P65" s="25"/>
      <c r="Q65" s="25"/>
      <c r="R65" s="25">
        <v>6.5</v>
      </c>
      <c r="S65" s="25"/>
      <c r="T65" s="25"/>
      <c r="V65" s="182"/>
      <c r="AG65" s="182"/>
      <c r="AH65" s="182"/>
    </row>
    <row r="66" spans="3:34">
      <c r="C66" s="12">
        <f t="shared" ca="1" si="8"/>
        <v>1</v>
      </c>
      <c r="D66" s="22">
        <f t="shared" si="9"/>
        <v>45947</v>
      </c>
      <c r="E66" s="26">
        <f t="shared" si="22"/>
        <v>1</v>
      </c>
      <c r="F66" s="26">
        <f t="shared" si="22"/>
        <v>0</v>
      </c>
      <c r="G66" s="26">
        <f t="shared" si="22"/>
        <v>1</v>
      </c>
      <c r="H66" s="26">
        <f t="shared" si="22"/>
        <v>0</v>
      </c>
      <c r="I66" s="26">
        <f t="shared" si="22"/>
        <v>1</v>
      </c>
      <c r="J66" s="26">
        <f t="shared" si="22"/>
        <v>0</v>
      </c>
      <c r="M66" s="21">
        <f>M65</f>
        <v>45947</v>
      </c>
      <c r="N66" s="10" t="s">
        <v>24</v>
      </c>
      <c r="O66" s="25">
        <v>0</v>
      </c>
      <c r="P66" s="25">
        <v>13</v>
      </c>
      <c r="Q66" s="25">
        <v>0</v>
      </c>
      <c r="R66" s="25">
        <v>13</v>
      </c>
      <c r="S66" s="25">
        <v>0</v>
      </c>
      <c r="T66" s="25">
        <v>13</v>
      </c>
      <c r="V66" s="182"/>
      <c r="AG66" s="182"/>
      <c r="AH66" s="182"/>
    </row>
    <row r="67" spans="3:34">
      <c r="C67" s="12">
        <f t="shared" ca="1" si="8"/>
        <v>1</v>
      </c>
      <c r="D67" s="22">
        <f t="shared" si="9"/>
        <v>45954</v>
      </c>
      <c r="E67" s="26">
        <f t="shared" si="22"/>
        <v>1</v>
      </c>
      <c r="F67" s="26">
        <f t="shared" si="22"/>
        <v>0</v>
      </c>
      <c r="G67" s="26">
        <f t="shared" si="22"/>
        <v>0</v>
      </c>
      <c r="H67" s="26">
        <f t="shared" si="22"/>
        <v>1</v>
      </c>
      <c r="I67" s="26">
        <f t="shared" si="22"/>
        <v>0</v>
      </c>
      <c r="J67" s="26">
        <f t="shared" si="22"/>
        <v>1</v>
      </c>
      <c r="M67" s="21">
        <f>M66+7</f>
        <v>45954</v>
      </c>
      <c r="N67" s="10" t="s">
        <v>24</v>
      </c>
      <c r="O67" s="25">
        <v>0</v>
      </c>
      <c r="P67" s="25">
        <v>13</v>
      </c>
      <c r="Q67" s="25">
        <v>13</v>
      </c>
      <c r="R67" s="25">
        <v>0</v>
      </c>
      <c r="S67" s="25">
        <v>13</v>
      </c>
      <c r="T67" s="25">
        <v>0</v>
      </c>
      <c r="V67" s="182"/>
      <c r="AG67" s="182"/>
      <c r="AH67" s="182"/>
    </row>
    <row r="68" spans="3:34">
      <c r="C68" s="12">
        <f t="shared" ca="1" si="8"/>
        <v>1</v>
      </c>
      <c r="D68" s="22">
        <f t="shared" si="9"/>
        <v>45961</v>
      </c>
      <c r="E68" s="26">
        <f t="shared" si="22"/>
        <v>0</v>
      </c>
      <c r="F68" s="26">
        <f t="shared" si="22"/>
        <v>1</v>
      </c>
      <c r="G68" s="26">
        <f t="shared" si="22"/>
        <v>1</v>
      </c>
      <c r="H68" s="26">
        <f t="shared" si="22"/>
        <v>1</v>
      </c>
      <c r="I68" s="26">
        <f t="shared" si="22"/>
        <v>1</v>
      </c>
      <c r="J68" s="26">
        <f t="shared" si="22"/>
        <v>1</v>
      </c>
      <c r="M68" s="21">
        <f>M67+7</f>
        <v>45961</v>
      </c>
      <c r="N68" s="10" t="s">
        <v>24</v>
      </c>
      <c r="O68" s="25">
        <v>13</v>
      </c>
      <c r="P68" s="25">
        <v>0</v>
      </c>
      <c r="Q68" s="25">
        <v>0</v>
      </c>
      <c r="R68" s="25">
        <v>0</v>
      </c>
      <c r="S68" s="25">
        <v>0</v>
      </c>
      <c r="T68" s="25">
        <v>0</v>
      </c>
      <c r="V68" s="182"/>
      <c r="AG68" s="182"/>
      <c r="AH68" s="182"/>
    </row>
    <row r="69" spans="3:34">
      <c r="C69" s="12">
        <f t="shared" ca="1" si="8"/>
        <v>1</v>
      </c>
      <c r="D69" s="22">
        <f t="shared" si="9"/>
        <v>45968</v>
      </c>
      <c r="E69" s="26">
        <f t="shared" si="22"/>
        <v>1</v>
      </c>
      <c r="F69" s="26">
        <f t="shared" si="22"/>
        <v>1</v>
      </c>
      <c r="G69" s="26">
        <f t="shared" si="22"/>
        <v>1</v>
      </c>
      <c r="H69" s="26">
        <f t="shared" si="22"/>
        <v>1</v>
      </c>
      <c r="I69" s="26">
        <f t="shared" si="22"/>
        <v>1</v>
      </c>
      <c r="J69" s="26">
        <f t="shared" si="22"/>
        <v>1</v>
      </c>
      <c r="M69" s="21">
        <f t="shared" ref="M69:M73" si="24">M68+7</f>
        <v>45968</v>
      </c>
      <c r="N69" s="10" t="s">
        <v>24</v>
      </c>
      <c r="O69" s="25">
        <v>0</v>
      </c>
      <c r="P69" s="25">
        <v>0</v>
      </c>
      <c r="Q69" s="25">
        <v>0</v>
      </c>
      <c r="R69" s="25">
        <v>0</v>
      </c>
      <c r="S69" s="25">
        <v>0</v>
      </c>
      <c r="T69" s="25">
        <v>0</v>
      </c>
      <c r="V69" s="182"/>
      <c r="AG69" s="182"/>
      <c r="AH69" s="182"/>
    </row>
    <row r="70" spans="3:34">
      <c r="C70" s="12">
        <f t="shared" ca="1" si="8"/>
        <v>1</v>
      </c>
      <c r="D70" s="22">
        <f t="shared" si="9"/>
        <v>45975</v>
      </c>
      <c r="E70" s="26">
        <f t="shared" si="22"/>
        <v>1</v>
      </c>
      <c r="F70" s="26">
        <f t="shared" si="22"/>
        <v>1</v>
      </c>
      <c r="G70" s="26">
        <f t="shared" si="22"/>
        <v>1</v>
      </c>
      <c r="H70" s="26">
        <f t="shared" si="22"/>
        <v>1</v>
      </c>
      <c r="I70" s="26">
        <f t="shared" si="22"/>
        <v>1</v>
      </c>
      <c r="J70" s="26">
        <f t="shared" si="22"/>
        <v>1</v>
      </c>
      <c r="M70" s="21">
        <f t="shared" si="24"/>
        <v>45975</v>
      </c>
      <c r="N70" s="10" t="s">
        <v>24</v>
      </c>
      <c r="O70" s="25">
        <v>0</v>
      </c>
      <c r="P70" s="25">
        <v>0</v>
      </c>
      <c r="Q70" s="25">
        <v>0</v>
      </c>
      <c r="R70" s="25">
        <v>0</v>
      </c>
      <c r="S70" s="25">
        <v>0</v>
      </c>
      <c r="T70" s="25">
        <v>0</v>
      </c>
      <c r="V70" s="182"/>
      <c r="AG70" s="182"/>
      <c r="AH70" s="182"/>
    </row>
    <row r="71" spans="3:34">
      <c r="C71" s="12">
        <f t="shared" ref="C71" ca="1" si="25">IF(D71&lt;=TODAY(),1,"")</f>
        <v>1</v>
      </c>
      <c r="D71" s="22">
        <f t="shared" ref="D71" si="26">IF(M71="","",M71)</f>
        <v>45982</v>
      </c>
      <c r="E71" s="26">
        <f t="shared" ref="E71" si="27">IF(O71="","",IF(O71=0,1,0))</f>
        <v>1</v>
      </c>
      <c r="F71" s="26">
        <f t="shared" ref="F71" si="28">IF(P71="","",IF(P71=0,1,0))</f>
        <v>1</v>
      </c>
      <c r="G71" s="26">
        <f t="shared" ref="G71" si="29">IF(Q71="","",IF(Q71=0,1,0))</f>
        <v>0</v>
      </c>
      <c r="H71" s="26">
        <f t="shared" ref="H71" si="30">IF(R71="","",IF(R71=0,1,0))</f>
        <v>1</v>
      </c>
      <c r="I71" s="26">
        <f t="shared" ref="I71" si="31">IF(S71="","",IF(S71=0,1,0))</f>
        <v>1</v>
      </c>
      <c r="J71" s="26">
        <f t="shared" ref="J71" si="32">IF(T71="","",IF(T71=0,1,0))</f>
        <v>1</v>
      </c>
      <c r="M71" s="21">
        <f t="shared" si="24"/>
        <v>45982</v>
      </c>
      <c r="N71" s="10" t="s">
        <v>24</v>
      </c>
      <c r="O71" s="25">
        <v>0</v>
      </c>
      <c r="P71" s="25">
        <v>0</v>
      </c>
      <c r="Q71" s="25">
        <v>13</v>
      </c>
      <c r="R71" s="25">
        <v>0</v>
      </c>
      <c r="S71" s="25">
        <v>0</v>
      </c>
      <c r="T71" s="25">
        <v>0</v>
      </c>
      <c r="AG71" s="182"/>
      <c r="AH71" s="182"/>
    </row>
    <row r="72" spans="3:34">
      <c r="C72" s="12">
        <f t="shared" ca="1" si="8"/>
        <v>1</v>
      </c>
      <c r="D72" s="22">
        <f t="shared" si="9"/>
        <v>45989</v>
      </c>
      <c r="E72" s="26">
        <f t="shared" si="22"/>
        <v>1</v>
      </c>
      <c r="F72" s="26">
        <f t="shared" si="22"/>
        <v>0</v>
      </c>
      <c r="G72" s="26">
        <f t="shared" si="22"/>
        <v>0</v>
      </c>
      <c r="H72" s="26">
        <f t="shared" si="22"/>
        <v>0</v>
      </c>
      <c r="I72" s="26">
        <f t="shared" si="22"/>
        <v>1</v>
      </c>
      <c r="J72" s="26">
        <f t="shared" si="22"/>
        <v>0</v>
      </c>
      <c r="M72" s="21">
        <f t="shared" si="24"/>
        <v>45989</v>
      </c>
      <c r="N72" s="10" t="s">
        <v>24</v>
      </c>
      <c r="O72" s="25">
        <v>0</v>
      </c>
      <c r="P72" s="25">
        <v>13</v>
      </c>
      <c r="Q72" s="25">
        <v>13</v>
      </c>
      <c r="R72" s="25">
        <v>13</v>
      </c>
      <c r="S72" s="25">
        <v>0</v>
      </c>
      <c r="T72" s="25">
        <v>13</v>
      </c>
      <c r="AG72" s="182"/>
      <c r="AH72" s="182"/>
    </row>
    <row r="73" spans="3:34">
      <c r="C73" s="12">
        <f t="shared" ca="1" si="8"/>
        <v>1</v>
      </c>
      <c r="D73" s="22">
        <f t="shared" si="9"/>
        <v>45996</v>
      </c>
      <c r="E73" s="26">
        <f t="shared" si="22"/>
        <v>1</v>
      </c>
      <c r="F73" s="26">
        <f t="shared" si="22"/>
        <v>0</v>
      </c>
      <c r="G73" s="26">
        <f t="shared" si="22"/>
        <v>0</v>
      </c>
      <c r="H73" s="26">
        <f t="shared" si="22"/>
        <v>0</v>
      </c>
      <c r="I73" s="26">
        <f t="shared" si="22"/>
        <v>1</v>
      </c>
      <c r="J73" s="26">
        <f t="shared" si="22"/>
        <v>1</v>
      </c>
      <c r="M73" s="21">
        <f t="shared" si="24"/>
        <v>45996</v>
      </c>
      <c r="N73" s="10" t="s">
        <v>24</v>
      </c>
      <c r="O73" s="25">
        <v>0</v>
      </c>
      <c r="P73" s="25">
        <v>13</v>
      </c>
      <c r="Q73" s="25">
        <v>13</v>
      </c>
      <c r="R73" s="25">
        <v>13</v>
      </c>
      <c r="S73" s="25">
        <v>0</v>
      </c>
      <c r="T73" s="25">
        <v>0</v>
      </c>
      <c r="AG73" s="182"/>
      <c r="AH73" s="182"/>
    </row>
    <row r="74" spans="3:34">
      <c r="C74" s="12" t="str">
        <f t="shared" ca="1" si="8"/>
        <v/>
      </c>
      <c r="D74" s="22" t="str">
        <f t="shared" si="9"/>
        <v/>
      </c>
      <c r="E74" s="26" t="str">
        <f t="shared" si="22"/>
        <v/>
      </c>
      <c r="F74" s="26" t="str">
        <f t="shared" si="22"/>
        <v/>
      </c>
      <c r="G74" s="26" t="str">
        <f t="shared" si="22"/>
        <v/>
      </c>
      <c r="H74" s="26" t="str">
        <f t="shared" si="22"/>
        <v/>
      </c>
      <c r="I74" s="26" t="str">
        <f t="shared" si="22"/>
        <v/>
      </c>
      <c r="J74" s="26" t="str">
        <f t="shared" si="22"/>
        <v/>
      </c>
      <c r="M74" s="21"/>
      <c r="N74" s="10"/>
      <c r="O74" s="25"/>
      <c r="P74" s="25"/>
      <c r="Q74" s="25"/>
      <c r="R74" s="25"/>
      <c r="S74" s="25"/>
      <c r="T74" s="25"/>
      <c r="AG74" s="182"/>
      <c r="AH74" s="182"/>
    </row>
    <row r="75" spans="3:34">
      <c r="C75" s="12" t="str">
        <f t="shared" ca="1" si="8"/>
        <v/>
      </c>
      <c r="D75" s="22" t="str">
        <f t="shared" si="9"/>
        <v/>
      </c>
      <c r="E75" s="26" t="str">
        <f t="shared" si="22"/>
        <v/>
      </c>
      <c r="F75" s="26" t="str">
        <f t="shared" si="22"/>
        <v/>
      </c>
      <c r="G75" s="26" t="str">
        <f t="shared" si="22"/>
        <v/>
      </c>
      <c r="H75" s="26" t="str">
        <f t="shared" si="22"/>
        <v/>
      </c>
      <c r="I75" s="26" t="str">
        <f t="shared" si="22"/>
        <v/>
      </c>
      <c r="J75" s="26" t="str">
        <f t="shared" si="22"/>
        <v/>
      </c>
      <c r="M75" s="21"/>
      <c r="N75" s="10"/>
      <c r="O75" s="25"/>
      <c r="P75" s="25"/>
      <c r="Q75" s="25"/>
      <c r="R75" s="25"/>
      <c r="S75" s="25"/>
      <c r="T75" s="25"/>
      <c r="AG75" s="182"/>
      <c r="AH75" s="182"/>
    </row>
    <row r="76" spans="3:34">
      <c r="C76" s="12" t="str">
        <f t="shared" ca="1" si="8"/>
        <v/>
      </c>
      <c r="D76" s="22" t="str">
        <f t="shared" si="9"/>
        <v/>
      </c>
      <c r="E76" s="26" t="str">
        <f t="shared" si="22"/>
        <v/>
      </c>
      <c r="F76" s="26" t="str">
        <f t="shared" si="22"/>
        <v/>
      </c>
      <c r="G76" s="26" t="str">
        <f t="shared" si="22"/>
        <v/>
      </c>
      <c r="H76" s="26" t="str">
        <f t="shared" si="22"/>
        <v/>
      </c>
      <c r="I76" s="26" t="str">
        <f t="shared" si="22"/>
        <v/>
      </c>
      <c r="J76" s="26" t="str">
        <f t="shared" si="22"/>
        <v/>
      </c>
      <c r="M76" s="21"/>
      <c r="N76" s="10"/>
      <c r="O76" s="25"/>
      <c r="P76" s="25"/>
      <c r="Q76" s="25"/>
      <c r="R76" s="25"/>
      <c r="S76" s="25"/>
      <c r="T76" s="25"/>
      <c r="AG76" s="182"/>
      <c r="AH76" s="182"/>
    </row>
    <row r="77" spans="3:34">
      <c r="C77" s="12" t="str">
        <f t="shared" ca="1" si="8"/>
        <v/>
      </c>
      <c r="D77" s="22" t="str">
        <f t="shared" si="9"/>
        <v/>
      </c>
      <c r="E77" s="26" t="str">
        <f t="shared" si="22"/>
        <v/>
      </c>
      <c r="F77" s="26" t="str">
        <f t="shared" si="22"/>
        <v/>
      </c>
      <c r="G77" s="26" t="str">
        <f t="shared" si="22"/>
        <v/>
      </c>
      <c r="H77" s="26" t="str">
        <f t="shared" si="22"/>
        <v/>
      </c>
      <c r="I77" s="26" t="str">
        <f t="shared" si="22"/>
        <v/>
      </c>
      <c r="J77" s="26" t="str">
        <f t="shared" si="22"/>
        <v/>
      </c>
      <c r="M77" s="21"/>
      <c r="N77" s="10"/>
      <c r="O77" s="25"/>
      <c r="P77" s="25"/>
      <c r="Q77" s="25"/>
      <c r="R77" s="25"/>
      <c r="S77" s="25"/>
      <c r="T77" s="25"/>
      <c r="AG77" s="182"/>
      <c r="AH77" s="182"/>
    </row>
    <row r="78" spans="3:34">
      <c r="C78" s="12" t="str">
        <f t="shared" ca="1" si="8"/>
        <v/>
      </c>
      <c r="D78" s="22" t="str">
        <f t="shared" si="9"/>
        <v/>
      </c>
      <c r="E78" s="26" t="str">
        <f t="shared" si="22"/>
        <v/>
      </c>
      <c r="F78" s="26" t="str">
        <f t="shared" si="22"/>
        <v/>
      </c>
      <c r="G78" s="26" t="str">
        <f t="shared" si="22"/>
        <v/>
      </c>
      <c r="H78" s="26" t="str">
        <f t="shared" si="22"/>
        <v/>
      </c>
      <c r="I78" s="26" t="str">
        <f t="shared" si="22"/>
        <v/>
      </c>
      <c r="J78" s="26" t="str">
        <f t="shared" si="22"/>
        <v/>
      </c>
      <c r="M78" s="21"/>
      <c r="N78" s="10"/>
      <c r="O78" s="25"/>
      <c r="P78" s="25"/>
      <c r="Q78" s="25"/>
      <c r="R78" s="25"/>
      <c r="S78" s="25"/>
      <c r="T78" s="25"/>
      <c r="AG78" s="182"/>
      <c r="AH78" s="182"/>
    </row>
    <row r="79" spans="3:34">
      <c r="C79" s="12" t="str">
        <f t="shared" ca="1" si="8"/>
        <v/>
      </c>
      <c r="D79" s="22" t="str">
        <f t="shared" si="9"/>
        <v/>
      </c>
      <c r="E79" s="26" t="str">
        <f t="shared" si="22"/>
        <v/>
      </c>
      <c r="F79" s="26" t="str">
        <f t="shared" si="22"/>
        <v/>
      </c>
      <c r="G79" s="26" t="str">
        <f t="shared" si="22"/>
        <v/>
      </c>
      <c r="H79" s="26" t="str">
        <f t="shared" si="22"/>
        <v/>
      </c>
      <c r="I79" s="26" t="str">
        <f t="shared" si="22"/>
        <v/>
      </c>
      <c r="J79" s="26" t="str">
        <f t="shared" si="22"/>
        <v/>
      </c>
      <c r="M79" s="21"/>
      <c r="N79" s="10"/>
      <c r="O79" s="25"/>
      <c r="P79" s="25"/>
      <c r="Q79" s="25"/>
      <c r="R79" s="25"/>
      <c r="S79" s="25"/>
      <c r="T79" s="25"/>
      <c r="W79" s="190"/>
      <c r="AG79" s="182"/>
      <c r="AH79" s="182"/>
    </row>
    <row r="80" spans="3:34">
      <c r="C80" s="12" t="str">
        <f t="shared" ca="1" si="8"/>
        <v/>
      </c>
      <c r="D80" s="22" t="str">
        <f t="shared" si="9"/>
        <v/>
      </c>
      <c r="E80" s="26" t="str">
        <f t="shared" si="22"/>
        <v/>
      </c>
      <c r="F80" s="26" t="str">
        <f t="shared" si="22"/>
        <v/>
      </c>
      <c r="G80" s="26" t="str">
        <f t="shared" si="22"/>
        <v/>
      </c>
      <c r="H80" s="26" t="str">
        <f t="shared" si="22"/>
        <v/>
      </c>
      <c r="I80" s="26" t="str">
        <f t="shared" si="22"/>
        <v/>
      </c>
      <c r="J80" s="26" t="str">
        <f t="shared" si="22"/>
        <v/>
      </c>
      <c r="M80" s="21"/>
      <c r="N80" s="10"/>
      <c r="O80" s="25"/>
      <c r="P80" s="25"/>
      <c r="Q80" s="25"/>
      <c r="R80" s="25"/>
      <c r="S80" s="25"/>
      <c r="T80" s="25"/>
      <c r="AG80" s="182"/>
      <c r="AH80" s="182"/>
    </row>
    <row r="81" spans="3:20">
      <c r="C81" s="12" t="str">
        <f t="shared" ca="1" si="8"/>
        <v/>
      </c>
      <c r="D81" s="22" t="str">
        <f t="shared" si="9"/>
        <v/>
      </c>
      <c r="E81" s="26" t="str">
        <f t="shared" si="22"/>
        <v/>
      </c>
      <c r="F81" s="26" t="str">
        <f t="shared" si="22"/>
        <v/>
      </c>
      <c r="G81" s="26" t="str">
        <f t="shared" si="22"/>
        <v/>
      </c>
      <c r="H81" s="26" t="str">
        <f t="shared" si="22"/>
        <v/>
      </c>
      <c r="I81" s="26" t="str">
        <f t="shared" si="22"/>
        <v/>
      </c>
      <c r="J81" s="26" t="str">
        <f t="shared" si="22"/>
        <v/>
      </c>
      <c r="M81" s="21"/>
      <c r="N81" s="10"/>
      <c r="O81" s="25"/>
      <c r="P81" s="25"/>
      <c r="Q81" s="25"/>
      <c r="R81" s="25"/>
      <c r="S81" s="25"/>
      <c r="T81" s="25"/>
    </row>
    <row r="82" spans="3:20">
      <c r="C82" s="12" t="str">
        <f t="shared" ca="1" si="8"/>
        <v/>
      </c>
      <c r="D82" s="22" t="str">
        <f t="shared" si="9"/>
        <v/>
      </c>
      <c r="E82" s="26" t="str">
        <f t="shared" si="22"/>
        <v/>
      </c>
      <c r="F82" s="26" t="str">
        <f t="shared" si="22"/>
        <v/>
      </c>
      <c r="G82" s="26" t="str">
        <f t="shared" si="22"/>
        <v/>
      </c>
      <c r="H82" s="26" t="str">
        <f t="shared" si="22"/>
        <v/>
      </c>
      <c r="I82" s="26" t="str">
        <f t="shared" si="22"/>
        <v/>
      </c>
      <c r="J82" s="26" t="str">
        <f t="shared" si="22"/>
        <v/>
      </c>
      <c r="M82" s="21"/>
      <c r="N82" s="10"/>
      <c r="O82" s="25"/>
      <c r="P82" s="25"/>
      <c r="Q82" s="25"/>
      <c r="R82" s="25"/>
      <c r="S82" s="25"/>
      <c r="T82" s="25"/>
    </row>
    <row r="83" spans="3:20">
      <c r="C83" s="12" t="str">
        <f t="shared" ca="1" si="8"/>
        <v/>
      </c>
      <c r="D83" s="22" t="str">
        <f t="shared" si="9"/>
        <v/>
      </c>
      <c r="E83" s="26" t="str">
        <f t="shared" si="22"/>
        <v/>
      </c>
      <c r="F83" s="26" t="str">
        <f t="shared" si="22"/>
        <v/>
      </c>
      <c r="G83" s="26" t="str">
        <f t="shared" si="22"/>
        <v/>
      </c>
      <c r="H83" s="26" t="str">
        <f t="shared" si="22"/>
        <v/>
      </c>
      <c r="I83" s="26" t="str">
        <f t="shared" si="22"/>
        <v/>
      </c>
      <c r="J83" s="26" t="str">
        <f t="shared" si="22"/>
        <v/>
      </c>
      <c r="M83" s="21"/>
      <c r="N83" s="10"/>
      <c r="O83" s="25"/>
      <c r="P83" s="25"/>
      <c r="Q83" s="25"/>
      <c r="R83" s="25"/>
      <c r="S83" s="25"/>
      <c r="T83" s="25"/>
    </row>
    <row r="84" spans="3:20">
      <c r="C84" s="12" t="str">
        <f t="shared" ca="1" si="8"/>
        <v/>
      </c>
      <c r="D84" s="22" t="str">
        <f t="shared" si="9"/>
        <v/>
      </c>
      <c r="E84" s="26" t="str">
        <f t="shared" si="22"/>
        <v/>
      </c>
      <c r="F84" s="26" t="str">
        <f t="shared" si="22"/>
        <v/>
      </c>
      <c r="G84" s="26" t="str">
        <f t="shared" si="22"/>
        <v/>
      </c>
      <c r="H84" s="26" t="str">
        <f t="shared" si="22"/>
        <v/>
      </c>
      <c r="I84" s="26" t="str">
        <f t="shared" si="22"/>
        <v/>
      </c>
      <c r="J84" s="26" t="str">
        <f t="shared" si="22"/>
        <v/>
      </c>
      <c r="M84" s="21"/>
      <c r="N84" s="10"/>
      <c r="O84" s="25"/>
      <c r="P84" s="25"/>
      <c r="Q84" s="25"/>
      <c r="R84" s="25"/>
      <c r="S84" s="25"/>
      <c r="T84" s="25"/>
    </row>
    <row r="85" spans="3:20">
      <c r="C85" s="12" t="str">
        <f t="shared" ca="1" si="8"/>
        <v/>
      </c>
      <c r="D85" s="22" t="str">
        <f t="shared" ref="D85:D91" si="33">IF(M85="","",M85)</f>
        <v/>
      </c>
      <c r="E85" s="26" t="str">
        <f t="shared" si="22"/>
        <v/>
      </c>
      <c r="F85" s="26" t="str">
        <f t="shared" si="22"/>
        <v/>
      </c>
      <c r="G85" s="26" t="str">
        <f t="shared" si="22"/>
        <v/>
      </c>
      <c r="H85" s="26" t="str">
        <f t="shared" si="22"/>
        <v/>
      </c>
      <c r="I85" s="26" t="str">
        <f t="shared" si="22"/>
        <v/>
      </c>
      <c r="J85" s="26" t="str">
        <f t="shared" si="22"/>
        <v/>
      </c>
      <c r="M85" s="21"/>
      <c r="N85" s="10"/>
      <c r="O85" s="25"/>
      <c r="P85" s="25"/>
      <c r="Q85" s="25"/>
      <c r="R85" s="25"/>
      <c r="S85" s="25"/>
      <c r="T85" s="25"/>
    </row>
    <row r="86" spans="3:20">
      <c r="C86" s="12" t="str">
        <f t="shared" ca="1" si="8"/>
        <v/>
      </c>
      <c r="D86" s="22" t="str">
        <f t="shared" si="33"/>
        <v/>
      </c>
      <c r="E86" s="26" t="str">
        <f t="shared" si="22"/>
        <v/>
      </c>
      <c r="F86" s="26" t="str">
        <f t="shared" si="22"/>
        <v/>
      </c>
      <c r="G86" s="26" t="str">
        <f t="shared" si="22"/>
        <v/>
      </c>
      <c r="H86" s="26" t="str">
        <f t="shared" si="22"/>
        <v/>
      </c>
      <c r="I86" s="26" t="str">
        <f t="shared" si="22"/>
        <v/>
      </c>
      <c r="J86" s="26" t="str">
        <f t="shared" si="22"/>
        <v/>
      </c>
      <c r="M86" s="21"/>
      <c r="N86" s="10"/>
      <c r="O86" s="25"/>
      <c r="P86" s="25"/>
      <c r="Q86" s="25"/>
      <c r="R86" s="25"/>
      <c r="S86" s="25"/>
      <c r="T86" s="25"/>
    </row>
    <row r="87" spans="3:20">
      <c r="C87" s="12" t="str">
        <f t="shared" ca="1" si="8"/>
        <v/>
      </c>
      <c r="D87" s="22" t="str">
        <f t="shared" si="33"/>
        <v/>
      </c>
      <c r="E87" s="26" t="str">
        <f t="shared" si="22"/>
        <v/>
      </c>
      <c r="F87" s="26" t="str">
        <f t="shared" si="22"/>
        <v/>
      </c>
      <c r="G87" s="26" t="str">
        <f t="shared" si="22"/>
        <v/>
      </c>
      <c r="H87" s="26" t="str">
        <f t="shared" si="22"/>
        <v/>
      </c>
      <c r="I87" s="26" t="str">
        <f t="shared" si="22"/>
        <v/>
      </c>
      <c r="J87" s="26" t="str">
        <f t="shared" si="22"/>
        <v/>
      </c>
      <c r="M87" s="21"/>
      <c r="N87" s="10"/>
      <c r="O87" s="25"/>
      <c r="P87" s="25"/>
      <c r="Q87" s="25"/>
      <c r="R87" s="25"/>
      <c r="S87" s="25"/>
      <c r="T87" s="25"/>
    </row>
    <row r="88" spans="3:20">
      <c r="C88" s="12" t="str">
        <f t="shared" ca="1" si="8"/>
        <v/>
      </c>
      <c r="D88" s="22" t="str">
        <f t="shared" si="33"/>
        <v/>
      </c>
      <c r="E88" s="26" t="str">
        <f t="shared" si="22"/>
        <v/>
      </c>
      <c r="F88" s="26" t="str">
        <f t="shared" si="22"/>
        <v/>
      </c>
      <c r="G88" s="26" t="str">
        <f t="shared" si="22"/>
        <v/>
      </c>
      <c r="H88" s="26" t="str">
        <f t="shared" si="22"/>
        <v/>
      </c>
      <c r="I88" s="26" t="str">
        <f t="shared" si="22"/>
        <v/>
      </c>
      <c r="J88" s="26" t="str">
        <f t="shared" si="22"/>
        <v/>
      </c>
      <c r="M88" s="21"/>
      <c r="N88" s="10"/>
      <c r="O88" s="25"/>
      <c r="P88" s="25"/>
      <c r="Q88" s="25"/>
      <c r="R88" s="25"/>
      <c r="S88" s="25"/>
      <c r="T88" s="25"/>
    </row>
    <row r="89" spans="3:20">
      <c r="C89" s="12" t="str">
        <f t="shared" ref="C89:C91" ca="1" si="34">IF(D89&lt;=TODAY(),1,"")</f>
        <v/>
      </c>
      <c r="D89" s="22" t="str">
        <f t="shared" si="33"/>
        <v/>
      </c>
      <c r="E89" s="26" t="str">
        <f t="shared" si="22"/>
        <v/>
      </c>
      <c r="F89" s="26" t="str">
        <f t="shared" si="22"/>
        <v/>
      </c>
      <c r="G89" s="26" t="str">
        <f t="shared" si="22"/>
        <v/>
      </c>
      <c r="H89" s="26" t="str">
        <f t="shared" si="22"/>
        <v/>
      </c>
      <c r="I89" s="26" t="str">
        <f t="shared" si="22"/>
        <v/>
      </c>
      <c r="J89" s="26" t="str">
        <f t="shared" si="22"/>
        <v/>
      </c>
      <c r="M89" s="21"/>
      <c r="N89" s="10"/>
      <c r="O89" s="25"/>
      <c r="P89" s="25"/>
      <c r="Q89" s="25"/>
      <c r="R89" s="25"/>
      <c r="S89" s="25"/>
      <c r="T89" s="25"/>
    </row>
    <row r="90" spans="3:20">
      <c r="C90" s="12" t="str">
        <f t="shared" ca="1" si="34"/>
        <v/>
      </c>
      <c r="D90" s="22" t="str">
        <f t="shared" si="33"/>
        <v/>
      </c>
      <c r="E90" s="26" t="str">
        <f t="shared" si="22"/>
        <v/>
      </c>
      <c r="F90" s="26" t="str">
        <f t="shared" si="22"/>
        <v/>
      </c>
      <c r="G90" s="26" t="str">
        <f t="shared" si="22"/>
        <v/>
      </c>
      <c r="H90" s="26" t="str">
        <f t="shared" si="22"/>
        <v/>
      </c>
      <c r="I90" s="26" t="str">
        <f t="shared" si="22"/>
        <v/>
      </c>
      <c r="J90" s="26" t="str">
        <f t="shared" si="22"/>
        <v/>
      </c>
      <c r="M90" s="21"/>
      <c r="N90" s="10"/>
      <c r="O90" s="25"/>
      <c r="P90" s="25"/>
      <c r="Q90" s="25"/>
      <c r="R90" s="25"/>
      <c r="S90" s="25"/>
      <c r="T90" s="25"/>
    </row>
    <row r="91" spans="3:20">
      <c r="C91" s="12" t="str">
        <f t="shared" ca="1" si="34"/>
        <v/>
      </c>
      <c r="D91" s="22" t="str">
        <f t="shared" si="33"/>
        <v/>
      </c>
      <c r="E91" s="26" t="str">
        <f t="shared" si="22"/>
        <v/>
      </c>
      <c r="F91" s="26" t="str">
        <f t="shared" si="22"/>
        <v/>
      </c>
      <c r="G91" s="26" t="str">
        <f t="shared" si="22"/>
        <v/>
      </c>
      <c r="H91" s="26" t="str">
        <f t="shared" si="22"/>
        <v/>
      </c>
      <c r="I91" s="26" t="str">
        <f t="shared" si="22"/>
        <v/>
      </c>
      <c r="J91" s="26" t="str">
        <f t="shared" si="22"/>
        <v/>
      </c>
      <c r="M91" s="21"/>
      <c r="N91" s="10"/>
      <c r="O91" s="25"/>
      <c r="P91" s="25"/>
      <c r="Q91" s="25"/>
      <c r="R91" s="25"/>
      <c r="S91" s="25"/>
      <c r="T91" s="25"/>
    </row>
  </sheetData>
  <mergeCells count="47">
    <mergeCell ref="C65:J65"/>
    <mergeCell ref="Q16:R16"/>
    <mergeCell ref="Q12:R12"/>
    <mergeCell ref="S12:T12"/>
    <mergeCell ref="V12:W12"/>
    <mergeCell ref="V17:V18"/>
    <mergeCell ref="C63:J63"/>
    <mergeCell ref="C59:J59"/>
    <mergeCell ref="C35:J35"/>
    <mergeCell ref="C48:J48"/>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34 E36:J40 E42:J47 E49:J58 E60:J62 E64:J64 E66:J91">
    <cfRule type="cellIs" dxfId="136" priority="7" operator="equal">
      <formula>0</formula>
    </cfRule>
    <cfRule type="cellIs" dxfId="135" priority="8" operator="equal">
      <formula>1</formula>
    </cfRule>
  </conditionalFormatting>
  <conditionalFormatting sqref="U24:U38 O24:T91">
    <cfRule type="cellIs" dxfId="134" priority="1" operator="equal">
      <formula>0</formula>
    </cfRule>
    <cfRule type="cellIs" dxfId="133" priority="2" operator="greaterThan">
      <formula>0</formula>
    </cfRule>
  </conditionalFormatting>
  <conditionalFormatting sqref="AE25:AE30">
    <cfRule type="cellIs" dxfId="132" priority="5" operator="lessThan">
      <formula>0</formula>
    </cfRule>
    <cfRule type="cellIs" dxfId="131" priority="6" operator="greaterThan">
      <formula>0</formula>
    </cfRule>
  </conditionalFormatting>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0C6B3-7C63-46A5-832B-B8A32DB58EF6}">
  <sheetPr codeName="Sheet10"/>
  <dimension ref="A1:AH96"/>
  <sheetViews>
    <sheetView zoomScale="55" zoomScaleNormal="55" zoomScaleSheetLayoutView="70" workbookViewId="0">
      <pane xSplit="14" ySplit="23" topLeftCell="O60" activePane="bottomRight" state="frozen"/>
      <selection pane="topRight" activeCell="P1" sqref="P1"/>
      <selection pane="bottomLeft" activeCell="A24" sqref="A24"/>
      <selection pane="bottomRight" activeCell="S71" sqref="S71"/>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1:27" ht="8.25" customHeight="1"/>
    <row r="2" spans="1: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1:27" ht="8.25" customHeight="1"/>
    <row r="4" spans="1:27" ht="9.75" customHeight="1"/>
    <row r="5" spans="1:27" ht="21.75" customHeight="1">
      <c r="B5" s="6"/>
      <c r="C5" s="7" t="s">
        <v>13</v>
      </c>
      <c r="D5" s="8"/>
      <c r="E5" s="8"/>
      <c r="F5" s="8"/>
      <c r="G5" s="8"/>
      <c r="H5" s="8"/>
      <c r="I5" s="9"/>
      <c r="J5" s="9"/>
      <c r="L5" s="6"/>
      <c r="M5" s="31" t="s">
        <v>14</v>
      </c>
      <c r="N5" s="8"/>
      <c r="O5" s="234" t="s">
        <v>31</v>
      </c>
      <c r="P5" s="234"/>
      <c r="Q5" s="234"/>
      <c r="R5" s="234"/>
      <c r="S5" s="235"/>
      <c r="T5" s="236">
        <f>W16</f>
        <v>5382.5</v>
      </c>
      <c r="U5" s="237"/>
      <c r="V5" s="238" t="s">
        <v>53</v>
      </c>
      <c r="W5" s="239"/>
      <c r="X5" s="238" t="s">
        <v>57</v>
      </c>
      <c r="Y5" s="239"/>
      <c r="Z5" s="238" t="s">
        <v>62</v>
      </c>
      <c r="AA5" s="239"/>
    </row>
    <row r="6" spans="1:27" ht="23.25" customHeight="1">
      <c r="B6" s="6"/>
      <c r="L6" s="6"/>
      <c r="V6" s="240"/>
      <c r="W6" s="241"/>
      <c r="X6" s="240"/>
      <c r="Y6" s="241"/>
      <c r="Z6" s="240"/>
      <c r="AA6" s="241"/>
    </row>
    <row r="7" spans="1:27">
      <c r="B7" s="6"/>
      <c r="D7" s="33" t="s">
        <v>6</v>
      </c>
      <c r="E7" s="35" t="s">
        <v>7</v>
      </c>
      <c r="F7" s="35" t="s">
        <v>8</v>
      </c>
      <c r="G7" s="35" t="s">
        <v>9</v>
      </c>
      <c r="I7" s="11"/>
      <c r="J7" s="11"/>
      <c r="L7" s="6"/>
      <c r="N7" s="33" t="s">
        <v>6</v>
      </c>
      <c r="O7" s="68" t="s">
        <v>16</v>
      </c>
      <c r="P7" s="68" t="s">
        <v>17</v>
      </c>
      <c r="Q7" s="244" t="s">
        <v>26</v>
      </c>
      <c r="R7" s="244"/>
      <c r="S7" s="245" t="s">
        <v>27</v>
      </c>
      <c r="T7" s="245"/>
      <c r="U7" s="34"/>
      <c r="V7" s="242"/>
      <c r="W7" s="243"/>
      <c r="X7" s="242"/>
      <c r="Y7" s="243"/>
      <c r="Z7" s="242"/>
      <c r="AA7" s="243"/>
    </row>
    <row r="8" spans="1:27" ht="16.5" customHeight="1">
      <c r="A8" s="27"/>
      <c r="B8" s="200">
        <v>1</v>
      </c>
      <c r="C8" s="12">
        <f t="shared" ref="C8:C13" si="0">B8</f>
        <v>1</v>
      </c>
      <c r="D8" s="10" t="str">
        <f t="shared" ref="D8:D13" si="1">HLOOKUP($B8,$E$17:$J$20,2,FALSE)</f>
        <v>JWU</v>
      </c>
      <c r="E8" s="12">
        <f>ROUND(HLOOKUP(D8,$E$18:$J$20,3,FALSE),0)</f>
        <v>40</v>
      </c>
      <c r="F8" s="64">
        <f ca="1">E8/$C$20</f>
        <v>0.81632653061224492</v>
      </c>
      <c r="G8" s="28">
        <f ca="1">1-F8</f>
        <v>0.18367346938775508</v>
      </c>
      <c r="L8" s="6"/>
      <c r="N8" s="10" t="s">
        <v>2</v>
      </c>
      <c r="O8" s="13">
        <f>R20</f>
        <v>393.5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SJU</v>
      </c>
      <c r="E9" s="12">
        <f t="shared" ref="E9:E11" si="2">ROUND(HLOOKUP(D9,$E$18:$J$20,3,FALSE),0)</f>
        <v>38</v>
      </c>
      <c r="F9" s="28">
        <f t="shared" ref="F9:F13" ca="1" si="3">E9/$C$20</f>
        <v>0.77551020408163263</v>
      </c>
      <c r="G9" s="28">
        <f ca="1">1-F9</f>
        <v>0.22448979591836737</v>
      </c>
      <c r="L9" s="6"/>
      <c r="N9" s="10" t="s">
        <v>4</v>
      </c>
      <c r="O9" s="13">
        <f>P20</f>
        <v>214</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 t="shared" si="2"/>
        <v>37</v>
      </c>
      <c r="F10" s="28">
        <f t="shared" ca="1" si="3"/>
        <v>0.75510204081632648</v>
      </c>
      <c r="G10" s="28">
        <f t="shared" ref="G10" ca="1" si="4">1-F10</f>
        <v>0.24489795918367352</v>
      </c>
      <c r="L10" s="6"/>
      <c r="M10"/>
      <c r="N10" s="10" t="s">
        <v>3</v>
      </c>
      <c r="O10" s="13">
        <f>S20</f>
        <v>158</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si="2"/>
        <v>34</v>
      </c>
      <c r="F11" s="28">
        <f t="shared" ca="1" si="3"/>
        <v>0.69387755102040816</v>
      </c>
      <c r="G11" s="28">
        <f ca="1">1-F11</f>
        <v>0.30612244897959184</v>
      </c>
      <c r="L11" s="6"/>
      <c r="N11" s="10" t="s">
        <v>1</v>
      </c>
      <c r="O11" s="13">
        <f>Q20</f>
        <v>360</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PKN</v>
      </c>
      <c r="E12" s="12">
        <f>ROUND(HLOOKUP(D12,$E$18:$J$20,3,FALSE),0)</f>
        <v>22</v>
      </c>
      <c r="F12" s="28">
        <f t="shared" ca="1" si="3"/>
        <v>0.44897959183673469</v>
      </c>
      <c r="G12" s="28">
        <f ca="1">1-F12</f>
        <v>0.55102040816326525</v>
      </c>
      <c r="L12" s="6"/>
      <c r="N12" s="10" t="s">
        <v>0</v>
      </c>
      <c r="O12" s="47">
        <f>O20</f>
        <v>138</v>
      </c>
      <c r="P12" s="13">
        <v>0</v>
      </c>
      <c r="Q12" s="221"/>
      <c r="R12" s="221"/>
      <c r="S12" s="221" t="s">
        <v>18</v>
      </c>
      <c r="T12" s="221"/>
      <c r="V12" s="221" t="s">
        <v>51</v>
      </c>
      <c r="W12" s="221"/>
      <c r="X12" s="221" t="s">
        <v>84</v>
      </c>
      <c r="Y12" s="221"/>
      <c r="Z12" s="221" t="s">
        <v>64</v>
      </c>
      <c r="AA12" s="221"/>
    </row>
    <row r="13" spans="1:27">
      <c r="A13" s="27"/>
      <c r="B13" s="200">
        <v>6</v>
      </c>
      <c r="C13" s="12">
        <f t="shared" si="0"/>
        <v>6</v>
      </c>
      <c r="D13" s="10" t="str">
        <f t="shared" si="1"/>
        <v>YMI</v>
      </c>
      <c r="E13" s="12">
        <f>ROUND(HLOOKUP(D13,$E$18:$J$20,3,FALSE),0)</f>
        <v>20</v>
      </c>
      <c r="F13" s="28">
        <f t="shared" ca="1" si="3"/>
        <v>0.40816326530612246</v>
      </c>
      <c r="G13" s="28">
        <f ca="1">1-F13</f>
        <v>0.59183673469387754</v>
      </c>
      <c r="L13" s="6"/>
      <c r="N13" s="10" t="s">
        <v>22</v>
      </c>
      <c r="O13" s="13">
        <f>T20</f>
        <v>169</v>
      </c>
      <c r="P13" s="13">
        <v>0</v>
      </c>
      <c r="Q13" s="221"/>
      <c r="R13" s="221"/>
      <c r="S13" s="221" t="s">
        <v>18</v>
      </c>
      <c r="T13" s="221"/>
      <c r="V13" s="221" t="s">
        <v>52</v>
      </c>
      <c r="W13" s="221"/>
      <c r="X13" s="230" t="s">
        <v>122</v>
      </c>
      <c r="Y13" s="230"/>
      <c r="Z13" s="221" t="s">
        <v>63</v>
      </c>
      <c r="AA13" s="221"/>
    </row>
    <row r="14" spans="1:27">
      <c r="B14" s="6"/>
      <c r="F14" s="63"/>
      <c r="L14" s="6"/>
      <c r="N14" s="29"/>
      <c r="O14" s="29"/>
      <c r="P14" s="29"/>
      <c r="Q14" s="227"/>
      <c r="R14" s="227"/>
      <c r="S14" s="227"/>
      <c r="T14" s="227"/>
      <c r="X14" s="231"/>
      <c r="Y14" s="231"/>
    </row>
    <row r="15" spans="1:27" ht="13.5" customHeight="1" thickBot="1">
      <c r="B15" s="6"/>
      <c r="L15" s="6"/>
      <c r="M15"/>
    </row>
    <row r="16" spans="1:27" ht="17.149999999999999" thickBot="1">
      <c r="B16" s="6"/>
      <c r="L16" s="6"/>
      <c r="N16" s="14" t="s">
        <v>19</v>
      </c>
      <c r="O16" s="15">
        <f>SUM(O8:O13)</f>
        <v>1432.5</v>
      </c>
      <c r="P16" s="87"/>
      <c r="Q16" s="252" t="s">
        <v>334</v>
      </c>
      <c r="R16" s="253"/>
      <c r="S16" s="15">
        <v>3950</v>
      </c>
      <c r="V16" s="139" t="s">
        <v>125</v>
      </c>
      <c r="W16" s="140">
        <f>O16+S16</f>
        <v>5382.5</v>
      </c>
    </row>
    <row r="17" spans="2:34" ht="12" customHeight="1">
      <c r="B17" s="6"/>
      <c r="E17" s="27">
        <f t="shared" ref="E17:J17" si="5">RANK(E20,$E20:$J20)</f>
        <v>1</v>
      </c>
      <c r="F17" s="27">
        <f t="shared" si="5"/>
        <v>4</v>
      </c>
      <c r="G17" s="27">
        <f t="shared" si="5"/>
        <v>5</v>
      </c>
      <c r="H17" s="27">
        <f t="shared" si="5"/>
        <v>6</v>
      </c>
      <c r="I17" s="27">
        <f t="shared" si="5"/>
        <v>2</v>
      </c>
      <c r="J17" s="27">
        <f t="shared" si="5"/>
        <v>3</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COUNT(C23:C96)</f>
        <v>49</v>
      </c>
      <c r="E20" s="24">
        <f>SUM(E25:E96)+0.00007</f>
        <v>40.000070000000001</v>
      </c>
      <c r="F20" s="24">
        <f>SUM(F25:F96)+0.00005</f>
        <v>34.000050000000002</v>
      </c>
      <c r="G20" s="24">
        <f>SUM(G25:G96)+0.00008</f>
        <v>22.000080000000001</v>
      </c>
      <c r="H20" s="24">
        <f>SUM(H25:H96)+0.00006</f>
        <v>20.000060000000001</v>
      </c>
      <c r="I20" s="24">
        <f>SUM(I25:I96)+0.00009</f>
        <v>38.00009</v>
      </c>
      <c r="J20" s="24">
        <f>SUM(J25:J96)+0.0001</f>
        <v>37.000100000000003</v>
      </c>
      <c r="L20" s="6"/>
      <c r="O20" s="19">
        <f t="shared" ref="O20:T20" si="6">SUM(O24:O96)</f>
        <v>138</v>
      </c>
      <c r="P20" s="19">
        <f t="shared" si="6"/>
        <v>214</v>
      </c>
      <c r="Q20" s="19">
        <f t="shared" si="6"/>
        <v>360</v>
      </c>
      <c r="R20" s="19">
        <f t="shared" si="6"/>
        <v>393.5</v>
      </c>
      <c r="S20" s="19">
        <f t="shared" si="6"/>
        <v>158</v>
      </c>
      <c r="T20" s="19">
        <f t="shared" si="6"/>
        <v>169</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45338</v>
      </c>
      <c r="N24" s="67" t="s">
        <v>20</v>
      </c>
      <c r="O24" s="25">
        <v>20</v>
      </c>
      <c r="P24" s="25">
        <v>20</v>
      </c>
      <c r="Q24" s="25">
        <v>20</v>
      </c>
      <c r="R24" s="25">
        <v>20</v>
      </c>
      <c r="S24" s="25">
        <v>20</v>
      </c>
      <c r="T24" s="25">
        <v>20</v>
      </c>
      <c r="U24" s="25"/>
      <c r="X24" s="191"/>
      <c r="Y24" s="192"/>
      <c r="Z24" s="192"/>
      <c r="AA24" s="193" t="s">
        <v>346</v>
      </c>
      <c r="AB24" s="193" t="s">
        <v>349</v>
      </c>
      <c r="AC24" s="33" t="s">
        <v>357</v>
      </c>
      <c r="AD24" s="33"/>
      <c r="AE24" s="33"/>
      <c r="AF24" s="34"/>
      <c r="AG24" s="182"/>
      <c r="AH24" s="182"/>
    </row>
    <row r="25" spans="2:34">
      <c r="B25" s="6"/>
      <c r="C25" s="12">
        <v>1</v>
      </c>
      <c r="D25" s="22">
        <f>M25</f>
        <v>45338</v>
      </c>
      <c r="E25" s="26">
        <f t="shared" ref="E25:J26" si="7">IF(O25="","",IF(O25=0,1,0))</f>
        <v>0</v>
      </c>
      <c r="F25" s="26">
        <f t="shared" si="7"/>
        <v>1</v>
      </c>
      <c r="G25" s="26">
        <f t="shared" si="7"/>
        <v>1</v>
      </c>
      <c r="H25" s="26">
        <f>IF(R25="","",IF(R25=0,1,0))</f>
        <v>1</v>
      </c>
      <c r="I25" s="26">
        <f t="shared" si="7"/>
        <v>1</v>
      </c>
      <c r="J25" s="26">
        <f t="shared" si="7"/>
        <v>1</v>
      </c>
      <c r="L25" s="6"/>
      <c r="M25" s="21">
        <f>M24</f>
        <v>45338</v>
      </c>
      <c r="N25" s="10" t="s">
        <v>24</v>
      </c>
      <c r="O25" s="25">
        <v>12</v>
      </c>
      <c r="P25" s="25">
        <v>0</v>
      </c>
      <c r="Q25" s="25">
        <v>0</v>
      </c>
      <c r="R25" s="25">
        <v>0</v>
      </c>
      <c r="S25" s="25">
        <v>0</v>
      </c>
      <c r="T25" s="25">
        <v>0</v>
      </c>
      <c r="U25" s="25"/>
      <c r="X25" s="191" t="s">
        <v>32</v>
      </c>
      <c r="Y25" s="194" t="s">
        <v>320</v>
      </c>
      <c r="Z25" s="195">
        <v>21.467017120000001</v>
      </c>
      <c r="AA25" s="191">
        <v>190.00307913373703</v>
      </c>
      <c r="AB25" s="191">
        <v>278.86</v>
      </c>
      <c r="AC25" s="197">
        <f>(AB25/AA25)-1</f>
        <v>0.46766042566983601</v>
      </c>
      <c r="AD25" s="10"/>
      <c r="AE25" s="170"/>
      <c r="AG25" s="182"/>
      <c r="AH25" s="182"/>
    </row>
    <row r="26" spans="2:34">
      <c r="B26" s="6"/>
      <c r="C26" s="12">
        <f t="shared" ref="C26" ca="1" si="8">IF(D26&lt;=TODAY(),1,"")</f>
        <v>1</v>
      </c>
      <c r="D26" s="22">
        <f t="shared" ref="D26" si="9">IF(M26="","",M26)</f>
        <v>45345</v>
      </c>
      <c r="E26" s="26">
        <f t="shared" si="7"/>
        <v>0</v>
      </c>
      <c r="F26" s="26">
        <f t="shared" si="7"/>
        <v>1</v>
      </c>
      <c r="G26" s="26">
        <f t="shared" si="7"/>
        <v>0</v>
      </c>
      <c r="H26" s="26">
        <f t="shared" si="7"/>
        <v>0</v>
      </c>
      <c r="I26" s="26">
        <f t="shared" si="7"/>
        <v>1</v>
      </c>
      <c r="J26" s="26">
        <f t="shared" si="7"/>
        <v>1</v>
      </c>
      <c r="M26" s="21">
        <f>M25+7</f>
        <v>45345</v>
      </c>
      <c r="N26" s="10" t="s">
        <v>24</v>
      </c>
      <c r="O26" s="25">
        <v>12</v>
      </c>
      <c r="P26" s="25">
        <v>0</v>
      </c>
      <c r="Q26" s="25">
        <v>12</v>
      </c>
      <c r="R26" s="25">
        <v>12</v>
      </c>
      <c r="S26" s="25">
        <v>0</v>
      </c>
      <c r="T26" s="25">
        <v>0</v>
      </c>
      <c r="U26" s="25"/>
      <c r="X26" s="191" t="s">
        <v>3</v>
      </c>
      <c r="Y26" s="191" t="s">
        <v>321</v>
      </c>
      <c r="Z26" s="195">
        <v>514.90734899999995</v>
      </c>
      <c r="AA26" s="191">
        <v>190.11414594374236</v>
      </c>
      <c r="AB26" s="191">
        <v>266.14</v>
      </c>
      <c r="AC26" s="197">
        <f t="shared" ref="AC26:AC31" si="10">(AB26/AA26)-1</f>
        <v>0.39989582931274792</v>
      </c>
      <c r="AD26" s="10"/>
      <c r="AE26" s="170"/>
      <c r="AG26" s="182"/>
      <c r="AH26" s="182"/>
    </row>
    <row r="27" spans="2:34">
      <c r="B27" s="6"/>
      <c r="C27" s="12">
        <f t="shared" ref="C27:C46" ca="1" si="11">IF(D27&lt;=TODAY(),1,"")</f>
        <v>1</v>
      </c>
      <c r="D27" s="22">
        <f t="shared" ref="D27:D46" si="12">IF(M27="","",M27)</f>
        <v>45352</v>
      </c>
      <c r="E27" s="26">
        <f t="shared" ref="E27:E46" si="13">IF(O27="","",IF(O27=0,1,0))</f>
        <v>1</v>
      </c>
      <c r="F27" s="26">
        <f t="shared" ref="F27:F46" si="14">IF(P27="","",IF(P27=0,1,0))</f>
        <v>1</v>
      </c>
      <c r="G27" s="26">
        <f t="shared" ref="G27:G46" si="15">IF(Q27="","",IF(Q27=0,1,0))</f>
        <v>1</v>
      </c>
      <c r="H27" s="26">
        <f t="shared" ref="H27:H46" si="16">IF(R27="","",IF(R27=0,1,0))</f>
        <v>0</v>
      </c>
      <c r="I27" s="26">
        <f t="shared" ref="I27:I46" si="17">IF(S27="","",IF(S27=0,1,0))</f>
        <v>0</v>
      </c>
      <c r="J27" s="26">
        <f t="shared" ref="J27:J46" si="18">IF(T27="","",IF(T27=0,1,0))</f>
        <v>1</v>
      </c>
      <c r="M27" s="21">
        <f>M26+7</f>
        <v>45352</v>
      </c>
      <c r="N27" s="10" t="s">
        <v>24</v>
      </c>
      <c r="O27" s="25">
        <v>0</v>
      </c>
      <c r="P27" s="25">
        <v>0</v>
      </c>
      <c r="Q27" s="25">
        <v>0</v>
      </c>
      <c r="R27" s="25">
        <v>12</v>
      </c>
      <c r="S27" s="25">
        <v>12</v>
      </c>
      <c r="T27" s="25">
        <v>0</v>
      </c>
      <c r="U27" s="25"/>
      <c r="X27" s="191" t="s">
        <v>1</v>
      </c>
      <c r="Y27" s="191" t="s">
        <v>322</v>
      </c>
      <c r="Z27" s="195">
        <v>100.37945723</v>
      </c>
      <c r="AA27" s="191">
        <v>189.94866529774126</v>
      </c>
      <c r="AB27" s="191">
        <v>186.71</v>
      </c>
      <c r="AC27" s="197">
        <f t="shared" si="10"/>
        <v>-1.7050213501972777E-2</v>
      </c>
      <c r="AD27" s="10"/>
      <c r="AE27" s="170"/>
      <c r="AG27" s="182"/>
      <c r="AH27" s="182"/>
    </row>
    <row r="28" spans="2:34">
      <c r="B28" s="6"/>
      <c r="C28" s="12">
        <f t="shared" ca="1" si="11"/>
        <v>1</v>
      </c>
      <c r="D28" s="22">
        <f t="shared" si="12"/>
        <v>45359</v>
      </c>
      <c r="E28" s="26">
        <f t="shared" si="13"/>
        <v>1</v>
      </c>
      <c r="F28" s="26">
        <f t="shared" si="14"/>
        <v>1</v>
      </c>
      <c r="G28" s="26">
        <f t="shared" si="15"/>
        <v>0</v>
      </c>
      <c r="H28" s="26">
        <f t="shared" si="16"/>
        <v>0</v>
      </c>
      <c r="I28" s="26">
        <f t="shared" si="17"/>
        <v>0</v>
      </c>
      <c r="J28" s="26">
        <f t="shared" si="18"/>
        <v>0</v>
      </c>
      <c r="M28" s="21">
        <f t="shared" ref="M28:M37" si="19">M27+7</f>
        <v>45359</v>
      </c>
      <c r="N28" s="10" t="s">
        <v>24</v>
      </c>
      <c r="O28" s="25">
        <v>0</v>
      </c>
      <c r="P28" s="25">
        <v>0</v>
      </c>
      <c r="Q28" s="25">
        <v>12</v>
      </c>
      <c r="R28" s="25">
        <v>12</v>
      </c>
      <c r="S28" s="25">
        <v>12</v>
      </c>
      <c r="T28" s="25">
        <v>12</v>
      </c>
      <c r="U28" s="25"/>
      <c r="X28" s="191" t="s">
        <v>0</v>
      </c>
      <c r="Y28" s="191" t="s">
        <v>323</v>
      </c>
      <c r="Z28" s="195">
        <v>15448414.2267</v>
      </c>
      <c r="AA28" s="191">
        <v>189.93453355155481</v>
      </c>
      <c r="AB28" s="191">
        <v>150.13999999999999</v>
      </c>
      <c r="AC28" s="197">
        <f t="shared" si="10"/>
        <v>-0.20951710469625162</v>
      </c>
      <c r="AD28" s="10"/>
      <c r="AE28" s="170"/>
      <c r="AG28" s="182"/>
      <c r="AH28" s="182"/>
    </row>
    <row r="29" spans="2:34">
      <c r="B29" s="6"/>
      <c r="C29" s="12">
        <f t="shared" ca="1" si="11"/>
        <v>1</v>
      </c>
      <c r="D29" s="22">
        <f t="shared" si="12"/>
        <v>45366</v>
      </c>
      <c r="E29" s="26">
        <f t="shared" si="13"/>
        <v>1</v>
      </c>
      <c r="F29" s="26">
        <f t="shared" si="14"/>
        <v>1</v>
      </c>
      <c r="G29" s="26">
        <f t="shared" si="15"/>
        <v>0</v>
      </c>
      <c r="H29" s="26">
        <f t="shared" si="16"/>
        <v>1</v>
      </c>
      <c r="I29" s="26">
        <f t="shared" si="17"/>
        <v>1</v>
      </c>
      <c r="J29" s="26">
        <f t="shared" si="18"/>
        <v>0</v>
      </c>
      <c r="M29" s="21">
        <f t="shared" si="19"/>
        <v>45366</v>
      </c>
      <c r="N29" s="10" t="s">
        <v>24</v>
      </c>
      <c r="O29" s="25">
        <v>0</v>
      </c>
      <c r="P29" s="25">
        <v>0</v>
      </c>
      <c r="Q29" s="25">
        <v>12</v>
      </c>
      <c r="R29" s="25">
        <v>0</v>
      </c>
      <c r="S29" s="25">
        <v>0</v>
      </c>
      <c r="T29" s="25">
        <v>12</v>
      </c>
      <c r="U29" s="25"/>
      <c r="V29" s="58"/>
      <c r="X29" s="191" t="s">
        <v>2</v>
      </c>
      <c r="Y29" s="191" t="s">
        <v>324</v>
      </c>
      <c r="Z29" s="195">
        <v>147.60700398</v>
      </c>
      <c r="AA29" s="191">
        <v>189.99795876709533</v>
      </c>
      <c r="AB29" s="191">
        <v>201.64</v>
      </c>
      <c r="AC29" s="197">
        <f t="shared" si="10"/>
        <v>6.1274559518693428E-2</v>
      </c>
      <c r="AD29" s="10"/>
      <c r="AE29" s="170"/>
      <c r="AG29" s="182"/>
      <c r="AH29" s="182"/>
    </row>
    <row r="30" spans="2:34">
      <c r="B30" s="6"/>
      <c r="C30" s="12">
        <f t="shared" ca="1" si="11"/>
        <v>1</v>
      </c>
      <c r="D30" s="22">
        <f t="shared" si="12"/>
        <v>45373</v>
      </c>
      <c r="E30" s="26">
        <f t="shared" si="13"/>
        <v>1</v>
      </c>
      <c r="F30" s="26">
        <f t="shared" si="14"/>
        <v>1</v>
      </c>
      <c r="G30" s="26">
        <f t="shared" si="15"/>
        <v>1</v>
      </c>
      <c r="H30" s="26">
        <f t="shared" si="16"/>
        <v>1</v>
      </c>
      <c r="I30" s="26">
        <f t="shared" si="17"/>
        <v>1</v>
      </c>
      <c r="J30" s="26">
        <f t="shared" si="18"/>
        <v>1</v>
      </c>
      <c r="M30" s="21">
        <f t="shared" si="19"/>
        <v>45373</v>
      </c>
      <c r="N30" s="10" t="s">
        <v>24</v>
      </c>
      <c r="O30" s="25">
        <v>0</v>
      </c>
      <c r="P30" s="25">
        <v>0</v>
      </c>
      <c r="Q30" s="25">
        <v>0</v>
      </c>
      <c r="R30" s="25">
        <v>0</v>
      </c>
      <c r="S30" s="25">
        <v>0</v>
      </c>
      <c r="T30" s="25">
        <v>0</v>
      </c>
      <c r="U30" s="25"/>
      <c r="X30" s="191" t="s">
        <v>4</v>
      </c>
      <c r="Y30" s="191" t="s">
        <v>319</v>
      </c>
      <c r="Z30" s="195">
        <v>0.12023725</v>
      </c>
      <c r="AA30" s="191">
        <v>189.94498777506112</v>
      </c>
      <c r="AB30" s="191">
        <v>353.86</v>
      </c>
      <c r="AC30" s="197">
        <f t="shared" si="10"/>
        <v>0.86296045052292847</v>
      </c>
      <c r="AD30" s="177"/>
      <c r="AE30" s="170"/>
      <c r="AG30" s="182"/>
      <c r="AH30" s="182"/>
    </row>
    <row r="31" spans="2:34">
      <c r="B31" s="6"/>
      <c r="C31" s="12">
        <f t="shared" ca="1" si="11"/>
        <v>1</v>
      </c>
      <c r="D31" s="22">
        <f t="shared" si="12"/>
        <v>45387</v>
      </c>
      <c r="E31" s="26">
        <f t="shared" si="13"/>
        <v>1</v>
      </c>
      <c r="F31" s="26">
        <f t="shared" si="14"/>
        <v>1</v>
      </c>
      <c r="G31" s="26">
        <f t="shared" si="15"/>
        <v>0</v>
      </c>
      <c r="H31" s="26">
        <f t="shared" si="16"/>
        <v>0</v>
      </c>
      <c r="I31" s="26">
        <f t="shared" si="17"/>
        <v>1</v>
      </c>
      <c r="J31" s="26">
        <f t="shared" si="18"/>
        <v>1</v>
      </c>
      <c r="M31" s="21">
        <v>45387</v>
      </c>
      <c r="N31" s="10" t="s">
        <v>24</v>
      </c>
      <c r="O31" s="25">
        <v>0</v>
      </c>
      <c r="P31" s="25">
        <v>0</v>
      </c>
      <c r="Q31" s="25">
        <v>12</v>
      </c>
      <c r="R31" s="25">
        <v>12</v>
      </c>
      <c r="S31" s="25">
        <v>0</v>
      </c>
      <c r="T31" s="25">
        <v>0</v>
      </c>
      <c r="U31" s="25"/>
      <c r="X31" s="191" t="s">
        <v>350</v>
      </c>
      <c r="Y31" s="191" t="s">
        <v>351</v>
      </c>
      <c r="Z31" s="195">
        <v>1.2999999999999999E-2</v>
      </c>
      <c r="AA31" s="191">
        <f>718.31/1.1534</f>
        <v>622.77614010750824</v>
      </c>
      <c r="AB31" s="191">
        <v>718.31</v>
      </c>
      <c r="AC31" s="197">
        <f t="shared" si="10"/>
        <v>0.15339999999999998</v>
      </c>
      <c r="AD31" s="33"/>
      <c r="AE31" s="181"/>
      <c r="AG31" s="182"/>
      <c r="AH31" s="182"/>
    </row>
    <row r="32" spans="2:34">
      <c r="B32" s="6"/>
      <c r="C32" s="12">
        <f t="shared" ca="1" si="11"/>
        <v>1</v>
      </c>
      <c r="D32" s="22">
        <f t="shared" si="12"/>
        <v>45394</v>
      </c>
      <c r="E32" s="26">
        <f t="shared" si="13"/>
        <v>0</v>
      </c>
      <c r="F32" s="26">
        <f t="shared" si="14"/>
        <v>1</v>
      </c>
      <c r="G32" s="26">
        <f t="shared" si="15"/>
        <v>1</v>
      </c>
      <c r="H32" s="26">
        <f t="shared" si="16"/>
        <v>1</v>
      </c>
      <c r="I32" s="26">
        <f t="shared" si="17"/>
        <v>1</v>
      </c>
      <c r="J32" s="26">
        <f t="shared" si="18"/>
        <v>0</v>
      </c>
      <c r="M32" s="21">
        <f t="shared" si="19"/>
        <v>45394</v>
      </c>
      <c r="N32" s="10" t="s">
        <v>24</v>
      </c>
      <c r="O32" s="25">
        <v>12</v>
      </c>
      <c r="P32" s="25">
        <v>0</v>
      </c>
      <c r="Q32" s="25">
        <v>0</v>
      </c>
      <c r="R32" s="25">
        <v>0</v>
      </c>
      <c r="S32" s="25">
        <v>0</v>
      </c>
      <c r="T32" s="25">
        <v>12</v>
      </c>
      <c r="U32" s="25"/>
      <c r="W32" s="182"/>
      <c r="Z32" s="182"/>
      <c r="AA32" s="1">
        <f>SUM(AA25:AA31)</f>
        <v>1762.7195105764399</v>
      </c>
      <c r="AB32" s="1">
        <f>SUM(AB25:AB31)</f>
        <v>2155.66</v>
      </c>
    </row>
    <row r="33" spans="2:34">
      <c r="B33" s="6"/>
      <c r="C33" s="12">
        <f t="shared" ca="1" si="11"/>
        <v>1</v>
      </c>
      <c r="D33" s="22">
        <f t="shared" si="12"/>
        <v>45401</v>
      </c>
      <c r="E33" s="26">
        <f t="shared" si="13"/>
        <v>1</v>
      </c>
      <c r="F33" s="26">
        <f t="shared" si="14"/>
        <v>1</v>
      </c>
      <c r="G33" s="26">
        <f t="shared" si="15"/>
        <v>1</v>
      </c>
      <c r="H33" s="26">
        <f t="shared" si="16"/>
        <v>1</v>
      </c>
      <c r="I33" s="26">
        <f t="shared" si="17"/>
        <v>1</v>
      </c>
      <c r="J33" s="26">
        <f t="shared" si="18"/>
        <v>0</v>
      </c>
      <c r="M33" s="21">
        <f t="shared" si="19"/>
        <v>45401</v>
      </c>
      <c r="N33" s="10" t="s">
        <v>24</v>
      </c>
      <c r="O33" s="25">
        <v>0</v>
      </c>
      <c r="P33" s="25">
        <v>0</v>
      </c>
      <c r="Q33" s="25">
        <v>0</v>
      </c>
      <c r="R33" s="25">
        <v>0</v>
      </c>
      <c r="S33" s="25">
        <v>0</v>
      </c>
      <c r="T33" s="25">
        <v>12</v>
      </c>
      <c r="U33" s="25"/>
      <c r="Y33" s="182"/>
      <c r="Z33" s="182"/>
    </row>
    <row r="34" spans="2:34">
      <c r="B34" s="6"/>
      <c r="C34" s="12">
        <f t="shared" ca="1" si="11"/>
        <v>1</v>
      </c>
      <c r="D34" s="22">
        <f t="shared" si="12"/>
        <v>45408</v>
      </c>
      <c r="E34" s="26">
        <f t="shared" si="13"/>
        <v>1</v>
      </c>
      <c r="F34" s="26">
        <f t="shared" si="14"/>
        <v>1</v>
      </c>
      <c r="G34" s="26">
        <f t="shared" si="15"/>
        <v>0</v>
      </c>
      <c r="H34" s="26">
        <f t="shared" si="16"/>
        <v>1</v>
      </c>
      <c r="I34" s="26">
        <f t="shared" si="17"/>
        <v>1</v>
      </c>
      <c r="J34" s="26">
        <f t="shared" si="18"/>
        <v>0</v>
      </c>
      <c r="M34" s="21">
        <f t="shared" si="19"/>
        <v>45408</v>
      </c>
      <c r="N34" s="10" t="s">
        <v>24</v>
      </c>
      <c r="O34" s="25">
        <v>0</v>
      </c>
      <c r="P34" s="25">
        <v>0</v>
      </c>
      <c r="Q34" s="25">
        <v>12</v>
      </c>
      <c r="R34" s="25">
        <v>0</v>
      </c>
      <c r="S34" s="25">
        <v>0</v>
      </c>
      <c r="T34" s="25">
        <v>12</v>
      </c>
      <c r="U34" s="25"/>
      <c r="AD34" s="2"/>
      <c r="AG34" s="182"/>
      <c r="AH34" s="182"/>
    </row>
    <row r="35" spans="2:34">
      <c r="B35" s="6"/>
      <c r="C35" s="12">
        <f t="shared" ca="1" si="11"/>
        <v>1</v>
      </c>
      <c r="D35" s="22">
        <f t="shared" si="12"/>
        <v>45415</v>
      </c>
      <c r="E35" s="26">
        <f t="shared" si="13"/>
        <v>0</v>
      </c>
      <c r="F35" s="26">
        <f t="shared" si="14"/>
        <v>0</v>
      </c>
      <c r="G35" s="26">
        <f t="shared" si="15"/>
        <v>1</v>
      </c>
      <c r="H35" s="26">
        <f t="shared" si="16"/>
        <v>0</v>
      </c>
      <c r="I35" s="26">
        <f t="shared" si="17"/>
        <v>1</v>
      </c>
      <c r="J35" s="26">
        <f t="shared" si="18"/>
        <v>1</v>
      </c>
      <c r="M35" s="21">
        <f t="shared" si="19"/>
        <v>45415</v>
      </c>
      <c r="N35" s="10" t="s">
        <v>24</v>
      </c>
      <c r="O35" s="25">
        <v>12</v>
      </c>
      <c r="P35" s="25">
        <v>12</v>
      </c>
      <c r="Q35" s="25">
        <v>0</v>
      </c>
      <c r="R35" s="25">
        <v>12</v>
      </c>
      <c r="S35" s="25">
        <v>0</v>
      </c>
      <c r="T35" s="25">
        <v>0</v>
      </c>
      <c r="U35" s="25"/>
      <c r="AB35" s="58"/>
      <c r="AG35" s="182"/>
      <c r="AH35" s="182"/>
    </row>
    <row r="36" spans="2:34">
      <c r="B36" s="6"/>
      <c r="C36" s="12">
        <f t="shared" ca="1" si="11"/>
        <v>1</v>
      </c>
      <c r="D36" s="22">
        <f t="shared" si="12"/>
        <v>45422</v>
      </c>
      <c r="E36" s="26">
        <f t="shared" si="13"/>
        <v>1</v>
      </c>
      <c r="F36" s="26">
        <f t="shared" si="14"/>
        <v>0</v>
      </c>
      <c r="G36" s="26">
        <f t="shared" si="15"/>
        <v>0</v>
      </c>
      <c r="H36" s="26">
        <f t="shared" si="16"/>
        <v>1</v>
      </c>
      <c r="I36" s="26">
        <f t="shared" si="17"/>
        <v>1</v>
      </c>
      <c r="J36" s="26">
        <f t="shared" si="18"/>
        <v>1</v>
      </c>
      <c r="M36" s="21">
        <f t="shared" si="19"/>
        <v>45422</v>
      </c>
      <c r="N36" s="10" t="s">
        <v>24</v>
      </c>
      <c r="O36" s="25">
        <v>0</v>
      </c>
      <c r="P36" s="25">
        <v>12</v>
      </c>
      <c r="Q36" s="25">
        <v>12</v>
      </c>
      <c r="R36" s="25">
        <v>0</v>
      </c>
      <c r="S36" s="25">
        <v>0</v>
      </c>
      <c r="T36" s="25">
        <v>0</v>
      </c>
      <c r="U36" s="25"/>
      <c r="AC36" s="27" t="s">
        <v>345</v>
      </c>
      <c r="AD36" s="27">
        <v>100</v>
      </c>
    </row>
    <row r="37" spans="2:34">
      <c r="B37" s="6"/>
      <c r="C37" s="12">
        <f t="shared" ca="1" si="11"/>
        <v>1</v>
      </c>
      <c r="D37" s="22">
        <f t="shared" si="12"/>
        <v>45429</v>
      </c>
      <c r="E37" s="26">
        <f t="shared" si="13"/>
        <v>1</v>
      </c>
      <c r="F37" s="26">
        <f t="shared" si="14"/>
        <v>0</v>
      </c>
      <c r="G37" s="26">
        <f t="shared" si="15"/>
        <v>1</v>
      </c>
      <c r="H37" s="26">
        <f t="shared" si="16"/>
        <v>1</v>
      </c>
      <c r="I37" s="26">
        <f t="shared" si="17"/>
        <v>1</v>
      </c>
      <c r="J37" s="26">
        <f t="shared" si="18"/>
        <v>1</v>
      </c>
      <c r="M37" s="21">
        <f t="shared" si="19"/>
        <v>45429</v>
      </c>
      <c r="N37" s="10" t="s">
        <v>24</v>
      </c>
      <c r="O37" s="25">
        <v>0</v>
      </c>
      <c r="P37" s="25">
        <v>12</v>
      </c>
      <c r="Q37" s="25">
        <v>0</v>
      </c>
      <c r="R37" s="25">
        <v>0</v>
      </c>
      <c r="S37" s="25">
        <v>0</v>
      </c>
      <c r="T37" s="25">
        <v>0</v>
      </c>
      <c r="U37" s="25"/>
      <c r="AC37" s="27">
        <v>2.57</v>
      </c>
      <c r="AD37" s="27">
        <f>100-AC37</f>
        <v>97.43</v>
      </c>
    </row>
    <row r="38" spans="2:34" ht="16.5" customHeight="1">
      <c r="B38" s="6"/>
      <c r="E38" s="2"/>
      <c r="F38" s="2"/>
      <c r="G38" s="2"/>
      <c r="H38" s="2"/>
      <c r="I38" s="2"/>
      <c r="J38" s="2"/>
      <c r="M38" s="21">
        <v>45044</v>
      </c>
      <c r="N38" s="10" t="s">
        <v>329</v>
      </c>
      <c r="O38" s="25">
        <v>3</v>
      </c>
      <c r="P38" s="25"/>
      <c r="Q38" s="25"/>
      <c r="R38" s="25"/>
      <c r="S38" s="25"/>
      <c r="T38" s="25"/>
      <c r="U38" s="25"/>
      <c r="AC38" s="27">
        <v>1.88</v>
      </c>
      <c r="AD38" s="27">
        <f>100-AC38</f>
        <v>98.12</v>
      </c>
    </row>
    <row r="39" spans="2:34" ht="16.5" customHeight="1">
      <c r="B39" s="6"/>
      <c r="C39" s="12">
        <f t="shared" ca="1" si="11"/>
        <v>1</v>
      </c>
      <c r="D39" s="22">
        <f t="shared" si="12"/>
        <v>45436</v>
      </c>
      <c r="E39" s="26">
        <f t="shared" si="13"/>
        <v>1</v>
      </c>
      <c r="F39" s="26">
        <f t="shared" si="14"/>
        <v>0</v>
      </c>
      <c r="G39" s="26">
        <f t="shared" si="15"/>
        <v>0</v>
      </c>
      <c r="H39" s="26">
        <f t="shared" si="16"/>
        <v>0</v>
      </c>
      <c r="I39" s="26">
        <f t="shared" si="17"/>
        <v>1</v>
      </c>
      <c r="J39" s="26">
        <f t="shared" si="18"/>
        <v>1</v>
      </c>
      <c r="M39" s="21">
        <v>45436</v>
      </c>
      <c r="N39" s="10" t="s">
        <v>24</v>
      </c>
      <c r="O39" s="25">
        <v>0</v>
      </c>
      <c r="P39" s="25">
        <v>12</v>
      </c>
      <c r="Q39" s="25">
        <v>12</v>
      </c>
      <c r="R39" s="25">
        <v>12</v>
      </c>
      <c r="S39" s="25">
        <v>0</v>
      </c>
      <c r="T39" s="25">
        <v>0</v>
      </c>
      <c r="U39" s="25"/>
      <c r="AC39" s="27">
        <v>2.6</v>
      </c>
      <c r="AD39" s="27">
        <f t="shared" ref="AD39:AD42" si="20">100-AC39</f>
        <v>97.4</v>
      </c>
    </row>
    <row r="40" spans="2:34">
      <c r="B40" s="6"/>
      <c r="C40" s="12">
        <f t="shared" ca="1" si="11"/>
        <v>1</v>
      </c>
      <c r="D40" s="22">
        <f t="shared" si="12"/>
        <v>45443</v>
      </c>
      <c r="E40" s="26">
        <f t="shared" si="13"/>
        <v>1</v>
      </c>
      <c r="F40" s="26">
        <f t="shared" si="14"/>
        <v>1</v>
      </c>
      <c r="G40" s="26">
        <f t="shared" si="15"/>
        <v>1</v>
      </c>
      <c r="H40" s="26">
        <f t="shared" si="16"/>
        <v>1</v>
      </c>
      <c r="I40" s="26">
        <f t="shared" si="17"/>
        <v>1</v>
      </c>
      <c r="J40" s="26">
        <f t="shared" si="18"/>
        <v>1</v>
      </c>
      <c r="M40" s="21">
        <v>45443</v>
      </c>
      <c r="N40" s="10" t="s">
        <v>24</v>
      </c>
      <c r="O40" s="25">
        <v>0</v>
      </c>
      <c r="P40" s="25">
        <v>0</v>
      </c>
      <c r="Q40" s="25">
        <v>0</v>
      </c>
      <c r="R40" s="25">
        <v>0</v>
      </c>
      <c r="S40" s="25">
        <v>0</v>
      </c>
      <c r="T40" s="25">
        <v>0</v>
      </c>
      <c r="AC40" s="27">
        <v>2.2400000000000002</v>
      </c>
      <c r="AD40" s="27">
        <f t="shared" si="20"/>
        <v>97.76</v>
      </c>
    </row>
    <row r="41" spans="2:34">
      <c r="B41" s="6"/>
      <c r="C41" s="12">
        <f t="shared" ca="1" si="11"/>
        <v>1</v>
      </c>
      <c r="D41" s="22">
        <f t="shared" si="12"/>
        <v>45450</v>
      </c>
      <c r="E41" s="26">
        <f t="shared" si="13"/>
        <v>1</v>
      </c>
      <c r="F41" s="26">
        <f t="shared" si="14"/>
        <v>1</v>
      </c>
      <c r="G41" s="26">
        <f t="shared" si="15"/>
        <v>1</v>
      </c>
      <c r="H41" s="26">
        <f t="shared" si="16"/>
        <v>0</v>
      </c>
      <c r="I41" s="26">
        <f t="shared" si="17"/>
        <v>0</v>
      </c>
      <c r="J41" s="26">
        <f t="shared" si="18"/>
        <v>0</v>
      </c>
      <c r="M41" s="21">
        <f>M40+7</f>
        <v>45450</v>
      </c>
      <c r="N41" s="10" t="s">
        <v>24</v>
      </c>
      <c r="O41" s="25">
        <v>0</v>
      </c>
      <c r="P41" s="25">
        <v>0</v>
      </c>
      <c r="Q41" s="25">
        <v>0</v>
      </c>
      <c r="R41" s="25">
        <v>12</v>
      </c>
      <c r="S41" s="25">
        <v>12</v>
      </c>
      <c r="T41" s="25">
        <v>12</v>
      </c>
      <c r="AC41" s="27">
        <v>2.02</v>
      </c>
      <c r="AD41" s="27">
        <f t="shared" si="20"/>
        <v>97.98</v>
      </c>
    </row>
    <row r="42" spans="2:34">
      <c r="B42" s="6"/>
      <c r="C42" s="12">
        <f t="shared" ca="1" si="11"/>
        <v>1</v>
      </c>
      <c r="D42" s="22">
        <f t="shared" si="12"/>
        <v>45457</v>
      </c>
      <c r="E42" s="26">
        <f t="shared" si="13"/>
        <v>1</v>
      </c>
      <c r="F42" s="26">
        <f t="shared" si="14"/>
        <v>0</v>
      </c>
      <c r="G42" s="26">
        <f t="shared" si="15"/>
        <v>0</v>
      </c>
      <c r="H42" s="26">
        <f t="shared" si="16"/>
        <v>0</v>
      </c>
      <c r="I42" s="26">
        <f t="shared" si="17"/>
        <v>1</v>
      </c>
      <c r="J42" s="26">
        <f t="shared" si="18"/>
        <v>0</v>
      </c>
      <c r="M42" s="21">
        <f t="shared" ref="M42:M43" si="21">M41+7</f>
        <v>45457</v>
      </c>
      <c r="N42" s="10" t="s">
        <v>24</v>
      </c>
      <c r="O42" s="25">
        <v>0</v>
      </c>
      <c r="P42" s="25">
        <v>12</v>
      </c>
      <c r="Q42" s="25">
        <v>12</v>
      </c>
      <c r="R42" s="25">
        <v>12</v>
      </c>
      <c r="S42" s="25">
        <v>0</v>
      </c>
      <c r="T42" s="25">
        <v>12</v>
      </c>
      <c r="AC42" s="27">
        <v>1.84</v>
      </c>
      <c r="AD42" s="27">
        <f t="shared" si="20"/>
        <v>98.16</v>
      </c>
    </row>
    <row r="43" spans="2:34">
      <c r="B43" s="6"/>
      <c r="C43" s="12">
        <f t="shared" ca="1" si="11"/>
        <v>1</v>
      </c>
      <c r="D43" s="22">
        <f t="shared" si="12"/>
        <v>45464</v>
      </c>
      <c r="E43" s="26">
        <f t="shared" si="13"/>
        <v>0</v>
      </c>
      <c r="F43" s="26">
        <f t="shared" si="14"/>
        <v>1</v>
      </c>
      <c r="G43" s="26">
        <f t="shared" si="15"/>
        <v>1</v>
      </c>
      <c r="H43" s="26">
        <f t="shared" si="16"/>
        <v>0</v>
      </c>
      <c r="I43" s="26">
        <f t="shared" si="17"/>
        <v>0</v>
      </c>
      <c r="J43" s="26">
        <f t="shared" si="18"/>
        <v>1</v>
      </c>
      <c r="M43" s="21">
        <f t="shared" si="21"/>
        <v>45464</v>
      </c>
      <c r="N43" s="10" t="s">
        <v>24</v>
      </c>
      <c r="O43" s="25">
        <v>12</v>
      </c>
      <c r="P43" s="25">
        <v>0</v>
      </c>
      <c r="Q43" s="25">
        <v>0</v>
      </c>
      <c r="R43" s="25">
        <v>12</v>
      </c>
      <c r="S43" s="25">
        <v>12</v>
      </c>
      <c r="T43" s="25">
        <v>0</v>
      </c>
    </row>
    <row r="44" spans="2:34">
      <c r="B44" s="6"/>
      <c r="E44" s="2"/>
      <c r="F44" s="2"/>
      <c r="G44" s="2"/>
      <c r="H44" s="2"/>
      <c r="I44" s="2"/>
      <c r="J44" s="2"/>
      <c r="M44" s="21">
        <v>45471</v>
      </c>
      <c r="N44" s="10" t="s">
        <v>329</v>
      </c>
      <c r="O44" s="25">
        <v>3</v>
      </c>
      <c r="P44" s="25">
        <v>3</v>
      </c>
      <c r="Q44" s="25"/>
      <c r="R44" s="25"/>
      <c r="S44" s="25"/>
      <c r="T44" s="25"/>
    </row>
    <row r="45" spans="2:34">
      <c r="B45" s="6"/>
      <c r="C45" s="12">
        <f t="shared" ca="1" si="11"/>
        <v>1</v>
      </c>
      <c r="D45" s="22">
        <f t="shared" si="12"/>
        <v>45471</v>
      </c>
      <c r="E45" s="26">
        <f t="shared" si="13"/>
        <v>1</v>
      </c>
      <c r="F45" s="26">
        <f t="shared" si="14"/>
        <v>1</v>
      </c>
      <c r="G45" s="26">
        <f t="shared" si="15"/>
        <v>1</v>
      </c>
      <c r="H45" s="26">
        <f t="shared" si="16"/>
        <v>0</v>
      </c>
      <c r="I45" s="26">
        <f t="shared" si="17"/>
        <v>0</v>
      </c>
      <c r="J45" s="26">
        <f t="shared" si="18"/>
        <v>1</v>
      </c>
      <c r="M45" s="21">
        <f>M43+7</f>
        <v>45471</v>
      </c>
      <c r="N45" s="10" t="s">
        <v>24</v>
      </c>
      <c r="O45" s="25">
        <v>0</v>
      </c>
      <c r="P45" s="25">
        <v>0</v>
      </c>
      <c r="Q45" s="25">
        <v>0</v>
      </c>
      <c r="R45" s="25">
        <v>12</v>
      </c>
      <c r="S45" s="25">
        <v>12</v>
      </c>
      <c r="T45" s="25">
        <v>0</v>
      </c>
      <c r="Y45" s="182"/>
      <c r="Z45" s="182"/>
    </row>
    <row r="46" spans="2:34">
      <c r="B46" s="6"/>
      <c r="C46" s="12">
        <f t="shared" ca="1" si="11"/>
        <v>1</v>
      </c>
      <c r="D46" s="22">
        <f t="shared" si="12"/>
        <v>45478</v>
      </c>
      <c r="E46" s="26">
        <f t="shared" si="13"/>
        <v>1</v>
      </c>
      <c r="F46" s="26">
        <f t="shared" si="14"/>
        <v>1</v>
      </c>
      <c r="G46" s="26">
        <f t="shared" si="15"/>
        <v>0</v>
      </c>
      <c r="H46" s="26">
        <f t="shared" si="16"/>
        <v>0</v>
      </c>
      <c r="I46" s="26">
        <f t="shared" si="17"/>
        <v>1</v>
      </c>
      <c r="J46" s="26">
        <f t="shared" si="18"/>
        <v>1</v>
      </c>
      <c r="M46" s="21">
        <f>M44+7</f>
        <v>45478</v>
      </c>
      <c r="N46" s="10" t="s">
        <v>24</v>
      </c>
      <c r="O46" s="25">
        <v>0</v>
      </c>
      <c r="P46" s="25">
        <v>0</v>
      </c>
      <c r="Q46" s="25">
        <v>12</v>
      </c>
      <c r="R46" s="25">
        <v>12</v>
      </c>
      <c r="S46" s="25">
        <v>0</v>
      </c>
      <c r="T46" s="25">
        <v>0</v>
      </c>
      <c r="Y46" s="182"/>
      <c r="Z46" s="182"/>
    </row>
    <row r="47" spans="2:34">
      <c r="B47" s="6"/>
      <c r="C47" s="12">
        <f t="shared" ref="C47:C92" ca="1" si="22">IF(D47&lt;=TODAY(),1,"")</f>
        <v>1</v>
      </c>
      <c r="D47" s="22">
        <f t="shared" ref="D47:D92" si="23">IF(M47="","",M47)</f>
        <v>45485</v>
      </c>
      <c r="E47" s="26">
        <f t="shared" ref="E47:E92" si="24">IF(O47="","",IF(O47=0,1,0))</f>
        <v>1</v>
      </c>
      <c r="F47" s="26">
        <f t="shared" ref="F47:F92" si="25">IF(P47="","",IF(P47=0,1,0))</f>
        <v>0</v>
      </c>
      <c r="G47" s="26">
        <f t="shared" ref="G47:G92" si="26">IF(Q47="","",IF(Q47=0,1,0))</f>
        <v>0</v>
      </c>
      <c r="H47" s="26">
        <f t="shared" ref="H47:H92" si="27">IF(R47="","",IF(R47=0,1,0))</f>
        <v>0</v>
      </c>
      <c r="I47" s="26">
        <f t="shared" ref="I47:I92" si="28">IF(S47="","",IF(S47=0,1,0))</f>
        <v>1</v>
      </c>
      <c r="J47" s="26">
        <f t="shared" ref="J47:J92" si="29">IF(T47="","",IF(T47=0,1,0))</f>
        <v>1</v>
      </c>
      <c r="M47" s="21">
        <f t="shared" ref="M47:M54" si="30">M46+7</f>
        <v>45485</v>
      </c>
      <c r="N47" s="10" t="s">
        <v>24</v>
      </c>
      <c r="O47" s="25">
        <v>0</v>
      </c>
      <c r="P47" s="25">
        <v>12</v>
      </c>
      <c r="Q47" s="25">
        <v>12</v>
      </c>
      <c r="R47" s="25">
        <v>12</v>
      </c>
      <c r="S47" s="25">
        <v>0</v>
      </c>
      <c r="T47" s="25">
        <v>0</v>
      </c>
      <c r="Y47" s="182"/>
      <c r="Z47" s="182"/>
    </row>
    <row r="48" spans="2:34">
      <c r="B48" s="6"/>
      <c r="C48" s="12">
        <f t="shared" ca="1" si="22"/>
        <v>1</v>
      </c>
      <c r="D48" s="22">
        <f t="shared" si="23"/>
        <v>45492</v>
      </c>
      <c r="E48" s="26">
        <f t="shared" si="24"/>
        <v>1</v>
      </c>
      <c r="F48" s="26">
        <f t="shared" si="25"/>
        <v>0</v>
      </c>
      <c r="G48" s="26">
        <f t="shared" si="26"/>
        <v>0</v>
      </c>
      <c r="H48" s="26">
        <f t="shared" si="27"/>
        <v>0</v>
      </c>
      <c r="I48" s="26">
        <f t="shared" si="28"/>
        <v>1</v>
      </c>
      <c r="J48" s="26">
        <f t="shared" si="29"/>
        <v>1</v>
      </c>
      <c r="M48" s="21">
        <f t="shared" si="30"/>
        <v>45492</v>
      </c>
      <c r="N48" s="10"/>
      <c r="O48" s="25">
        <v>0</v>
      </c>
      <c r="P48" s="25">
        <v>12</v>
      </c>
      <c r="Q48" s="25">
        <v>12</v>
      </c>
      <c r="R48" s="25">
        <v>12</v>
      </c>
      <c r="S48" s="25">
        <v>0</v>
      </c>
      <c r="T48" s="25">
        <v>0</v>
      </c>
      <c r="Y48" s="182"/>
      <c r="Z48" s="182"/>
    </row>
    <row r="49" spans="2:34">
      <c r="B49" s="6"/>
      <c r="E49" s="2"/>
      <c r="F49" s="2"/>
      <c r="G49" s="2"/>
      <c r="H49" s="2"/>
      <c r="I49" s="2"/>
      <c r="J49" s="2"/>
      <c r="M49" s="21">
        <f t="shared" si="30"/>
        <v>45499</v>
      </c>
      <c r="N49" s="10" t="s">
        <v>329</v>
      </c>
      <c r="O49" s="25"/>
      <c r="P49" s="25"/>
      <c r="Q49" s="25"/>
      <c r="R49" s="25">
        <v>3</v>
      </c>
      <c r="S49" s="25"/>
      <c r="T49" s="25"/>
      <c r="AG49" s="182"/>
      <c r="AH49" s="182"/>
    </row>
    <row r="50" spans="2:34">
      <c r="B50" s="6"/>
      <c r="C50" s="12">
        <f t="shared" ca="1" si="22"/>
        <v>1</v>
      </c>
      <c r="D50" s="22">
        <f t="shared" si="23"/>
        <v>45499</v>
      </c>
      <c r="E50" s="26">
        <f t="shared" si="24"/>
        <v>1</v>
      </c>
      <c r="F50" s="26">
        <f t="shared" si="25"/>
        <v>1</v>
      </c>
      <c r="G50" s="26">
        <f t="shared" si="26"/>
        <v>1</v>
      </c>
      <c r="H50" s="26">
        <f t="shared" si="27"/>
        <v>1</v>
      </c>
      <c r="I50" s="26">
        <f t="shared" si="28"/>
        <v>1</v>
      </c>
      <c r="J50" s="26">
        <f t="shared" si="29"/>
        <v>1</v>
      </c>
      <c r="M50" s="21">
        <v>45499</v>
      </c>
      <c r="N50" s="10" t="s">
        <v>24</v>
      </c>
      <c r="O50" s="25">
        <v>0</v>
      </c>
      <c r="P50" s="25">
        <v>0</v>
      </c>
      <c r="Q50" s="25">
        <v>0</v>
      </c>
      <c r="R50" s="25">
        <v>0</v>
      </c>
      <c r="S50" s="25">
        <v>0</v>
      </c>
      <c r="T50" s="25">
        <v>0</v>
      </c>
      <c r="AG50" s="182"/>
      <c r="AH50" s="182"/>
    </row>
    <row r="51" spans="2:34">
      <c r="B51" s="6"/>
      <c r="C51" s="12">
        <f t="shared" ca="1" si="22"/>
        <v>1</v>
      </c>
      <c r="D51" s="22">
        <f t="shared" si="23"/>
        <v>45506</v>
      </c>
      <c r="E51" s="26">
        <f t="shared" si="24"/>
        <v>1</v>
      </c>
      <c r="F51" s="26">
        <f t="shared" si="25"/>
        <v>0</v>
      </c>
      <c r="G51" s="26">
        <f t="shared" si="26"/>
        <v>0</v>
      </c>
      <c r="H51" s="26">
        <f t="shared" si="27"/>
        <v>0</v>
      </c>
      <c r="I51" s="26">
        <f t="shared" si="28"/>
        <v>1</v>
      </c>
      <c r="J51" s="26">
        <f t="shared" si="29"/>
        <v>1</v>
      </c>
      <c r="M51" s="21">
        <f t="shared" si="30"/>
        <v>45506</v>
      </c>
      <c r="N51" s="10" t="s">
        <v>24</v>
      </c>
      <c r="O51" s="25">
        <v>0</v>
      </c>
      <c r="P51" s="25">
        <v>13</v>
      </c>
      <c r="Q51" s="25">
        <v>13</v>
      </c>
      <c r="R51" s="25">
        <v>13</v>
      </c>
      <c r="S51" s="25">
        <v>0</v>
      </c>
      <c r="T51" s="25">
        <v>0</v>
      </c>
      <c r="AG51" s="182"/>
      <c r="AH51" s="182"/>
    </row>
    <row r="52" spans="2:34">
      <c r="B52" s="6"/>
      <c r="C52" s="12">
        <f t="shared" ca="1" si="22"/>
        <v>1</v>
      </c>
      <c r="D52" s="22">
        <f t="shared" si="23"/>
        <v>45513</v>
      </c>
      <c r="E52" s="26">
        <f t="shared" si="24"/>
        <v>1</v>
      </c>
      <c r="F52" s="26">
        <f t="shared" si="25"/>
        <v>1</v>
      </c>
      <c r="G52" s="26">
        <f t="shared" si="26"/>
        <v>1</v>
      </c>
      <c r="H52" s="26">
        <f t="shared" si="27"/>
        <v>0</v>
      </c>
      <c r="I52" s="26">
        <f t="shared" si="28"/>
        <v>0</v>
      </c>
      <c r="J52" s="26">
        <f t="shared" si="29"/>
        <v>1</v>
      </c>
      <c r="M52" s="21">
        <f t="shared" si="30"/>
        <v>45513</v>
      </c>
      <c r="N52" s="10" t="s">
        <v>24</v>
      </c>
      <c r="O52" s="25">
        <v>0</v>
      </c>
      <c r="P52" s="25">
        <v>0</v>
      </c>
      <c r="Q52" s="25">
        <v>0</v>
      </c>
      <c r="R52" s="25">
        <v>13</v>
      </c>
      <c r="S52" s="25">
        <v>13</v>
      </c>
      <c r="T52" s="25">
        <v>0</v>
      </c>
      <c r="AG52" s="182"/>
      <c r="AH52" s="182"/>
    </row>
    <row r="53" spans="2:34">
      <c r="B53" s="6"/>
      <c r="C53" s="12">
        <f t="shared" ca="1" si="22"/>
        <v>1</v>
      </c>
      <c r="D53" s="22">
        <f t="shared" si="23"/>
        <v>45520</v>
      </c>
      <c r="E53" s="26">
        <f t="shared" si="24"/>
        <v>1</v>
      </c>
      <c r="F53" s="26">
        <f t="shared" si="25"/>
        <v>1</v>
      </c>
      <c r="G53" s="26">
        <f t="shared" si="26"/>
        <v>1</v>
      </c>
      <c r="H53" s="26">
        <f t="shared" si="27"/>
        <v>1</v>
      </c>
      <c r="I53" s="26">
        <f t="shared" si="28"/>
        <v>1</v>
      </c>
      <c r="J53" s="26">
        <f t="shared" si="29"/>
        <v>1</v>
      </c>
      <c r="M53" s="21">
        <f t="shared" si="30"/>
        <v>45520</v>
      </c>
      <c r="N53" s="10" t="s">
        <v>24</v>
      </c>
      <c r="O53" s="25">
        <v>0</v>
      </c>
      <c r="P53" s="25">
        <v>0</v>
      </c>
      <c r="Q53" s="25">
        <v>0</v>
      </c>
      <c r="R53" s="25">
        <v>0</v>
      </c>
      <c r="S53" s="25">
        <v>0</v>
      </c>
      <c r="T53" s="25">
        <v>0</v>
      </c>
      <c r="AG53" s="182"/>
      <c r="AH53" s="182"/>
    </row>
    <row r="54" spans="2:34">
      <c r="B54" s="6"/>
      <c r="C54" s="12">
        <f t="shared" ca="1" si="22"/>
        <v>1</v>
      </c>
      <c r="D54" s="22">
        <f t="shared" si="23"/>
        <v>45527</v>
      </c>
      <c r="E54" s="26">
        <f t="shared" si="24"/>
        <v>1</v>
      </c>
      <c r="F54" s="26">
        <f t="shared" si="25"/>
        <v>0</v>
      </c>
      <c r="G54" s="26">
        <f t="shared" si="26"/>
        <v>1</v>
      </c>
      <c r="H54" s="26">
        <f t="shared" si="27"/>
        <v>0</v>
      </c>
      <c r="I54" s="26">
        <f t="shared" si="28"/>
        <v>1</v>
      </c>
      <c r="J54" s="26">
        <f t="shared" si="29"/>
        <v>1</v>
      </c>
      <c r="M54" s="21">
        <f t="shared" si="30"/>
        <v>45527</v>
      </c>
      <c r="N54" s="10" t="s">
        <v>24</v>
      </c>
      <c r="O54" s="25">
        <v>0</v>
      </c>
      <c r="P54" s="25">
        <v>13</v>
      </c>
      <c r="Q54" s="25">
        <v>0</v>
      </c>
      <c r="R54" s="25">
        <v>13</v>
      </c>
      <c r="S54" s="25">
        <v>0</v>
      </c>
      <c r="T54" s="25">
        <v>0</v>
      </c>
      <c r="AG54" s="182"/>
      <c r="AH54" s="182"/>
    </row>
    <row r="55" spans="2:34">
      <c r="B55" s="6"/>
      <c r="C55" s="12">
        <f t="shared" ca="1" si="22"/>
        <v>1</v>
      </c>
      <c r="D55" s="22">
        <f t="shared" si="23"/>
        <v>45534</v>
      </c>
      <c r="E55" s="26">
        <f t="shared" si="24"/>
        <v>1</v>
      </c>
      <c r="F55" s="26">
        <f t="shared" si="25"/>
        <v>0</v>
      </c>
      <c r="G55" s="26">
        <f t="shared" si="26"/>
        <v>1</v>
      </c>
      <c r="H55" s="26">
        <f t="shared" si="27"/>
        <v>0</v>
      </c>
      <c r="I55" s="26">
        <f t="shared" si="28"/>
        <v>1</v>
      </c>
      <c r="J55" s="26">
        <f t="shared" si="29"/>
        <v>1</v>
      </c>
      <c r="M55" s="21">
        <f t="shared" ref="M55:M78" si="31">M54+7</f>
        <v>45534</v>
      </c>
      <c r="N55" s="10" t="s">
        <v>24</v>
      </c>
      <c r="O55" s="25">
        <v>0</v>
      </c>
      <c r="P55" s="25">
        <v>13</v>
      </c>
      <c r="Q55" s="25">
        <v>0</v>
      </c>
      <c r="R55" s="25">
        <v>13</v>
      </c>
      <c r="S55" s="25">
        <v>0</v>
      </c>
      <c r="T55" s="25">
        <v>0</v>
      </c>
      <c r="AG55" s="182"/>
      <c r="AH55" s="182"/>
    </row>
    <row r="56" spans="2:34">
      <c r="B56" s="6"/>
      <c r="C56" s="12">
        <f t="shared" ca="1" si="22"/>
        <v>1</v>
      </c>
      <c r="D56" s="22">
        <f t="shared" si="23"/>
        <v>45541</v>
      </c>
      <c r="E56" s="26">
        <f t="shared" si="24"/>
        <v>1</v>
      </c>
      <c r="F56" s="26">
        <f t="shared" si="25"/>
        <v>1</v>
      </c>
      <c r="G56" s="26">
        <f t="shared" si="26"/>
        <v>0</v>
      </c>
      <c r="H56" s="26">
        <f t="shared" si="27"/>
        <v>0</v>
      </c>
      <c r="I56" s="26">
        <f t="shared" si="28"/>
        <v>0</v>
      </c>
      <c r="J56" s="26">
        <f t="shared" si="29"/>
        <v>1</v>
      </c>
      <c r="M56" s="21">
        <f t="shared" si="31"/>
        <v>45541</v>
      </c>
      <c r="N56" s="10" t="s">
        <v>24</v>
      </c>
      <c r="O56" s="25">
        <v>0</v>
      </c>
      <c r="P56" s="25">
        <v>0</v>
      </c>
      <c r="Q56" s="25">
        <v>13</v>
      </c>
      <c r="R56" s="25">
        <v>13</v>
      </c>
      <c r="S56" s="25">
        <v>13</v>
      </c>
      <c r="T56" s="25">
        <v>0</v>
      </c>
      <c r="AG56" s="182"/>
      <c r="AH56" s="182"/>
    </row>
    <row r="57" spans="2:34">
      <c r="B57" s="6"/>
      <c r="C57" s="12">
        <f t="shared" ca="1" si="22"/>
        <v>1</v>
      </c>
      <c r="D57" s="22">
        <f t="shared" si="23"/>
        <v>45548</v>
      </c>
      <c r="E57" s="26">
        <f t="shared" si="24"/>
        <v>1</v>
      </c>
      <c r="F57" s="26">
        <f t="shared" si="25"/>
        <v>1</v>
      </c>
      <c r="G57" s="26">
        <f t="shared" si="26"/>
        <v>1</v>
      </c>
      <c r="H57" s="26">
        <f t="shared" si="27"/>
        <v>0</v>
      </c>
      <c r="I57" s="26">
        <f t="shared" si="28"/>
        <v>0</v>
      </c>
      <c r="J57" s="26">
        <f t="shared" si="29"/>
        <v>0</v>
      </c>
      <c r="M57" s="21">
        <f t="shared" si="31"/>
        <v>45548</v>
      </c>
      <c r="N57" s="10" t="s">
        <v>24</v>
      </c>
      <c r="O57" s="25">
        <v>0</v>
      </c>
      <c r="P57" s="25">
        <v>0</v>
      </c>
      <c r="Q57" s="25">
        <v>0</v>
      </c>
      <c r="R57" s="25">
        <v>13</v>
      </c>
      <c r="S57" s="25">
        <v>13</v>
      </c>
      <c r="T57" s="25">
        <v>13</v>
      </c>
      <c r="AG57" s="182"/>
      <c r="AH57" s="182"/>
    </row>
    <row r="58" spans="2:34">
      <c r="B58" s="6"/>
      <c r="C58" s="12">
        <f t="shared" ca="1" si="22"/>
        <v>1</v>
      </c>
      <c r="D58" s="22">
        <f t="shared" si="23"/>
        <v>45555</v>
      </c>
      <c r="E58" s="26">
        <f t="shared" si="24"/>
        <v>1</v>
      </c>
      <c r="F58" s="26">
        <f t="shared" si="25"/>
        <v>1</v>
      </c>
      <c r="G58" s="26">
        <f t="shared" si="26"/>
        <v>1</v>
      </c>
      <c r="H58" s="26">
        <f t="shared" si="27"/>
        <v>0</v>
      </c>
      <c r="I58" s="26">
        <f t="shared" si="28"/>
        <v>1</v>
      </c>
      <c r="J58" s="26">
        <f t="shared" si="29"/>
        <v>0</v>
      </c>
      <c r="M58" s="21">
        <f t="shared" si="31"/>
        <v>45555</v>
      </c>
      <c r="N58" s="10" t="s">
        <v>24</v>
      </c>
      <c r="O58" s="25">
        <v>0</v>
      </c>
      <c r="P58" s="25">
        <v>0</v>
      </c>
      <c r="Q58" s="25">
        <v>0</v>
      </c>
      <c r="R58" s="25">
        <v>13</v>
      </c>
      <c r="S58" s="25">
        <v>0</v>
      </c>
      <c r="T58" s="25">
        <v>13</v>
      </c>
      <c r="AG58" s="182"/>
      <c r="AH58" s="182"/>
    </row>
    <row r="59" spans="2:34">
      <c r="B59" s="6"/>
      <c r="C59" s="12">
        <f t="shared" ca="1" si="22"/>
        <v>1</v>
      </c>
      <c r="D59" s="22">
        <f t="shared" si="23"/>
        <v>45562</v>
      </c>
      <c r="E59" s="26">
        <f t="shared" si="24"/>
        <v>1</v>
      </c>
      <c r="F59" s="26">
        <f t="shared" si="25"/>
        <v>1</v>
      </c>
      <c r="G59" s="26">
        <f t="shared" si="26"/>
        <v>0</v>
      </c>
      <c r="H59" s="26">
        <f t="shared" si="27"/>
        <v>1</v>
      </c>
      <c r="I59" s="26">
        <f t="shared" si="28"/>
        <v>1</v>
      </c>
      <c r="J59" s="26">
        <f t="shared" si="29"/>
        <v>1</v>
      </c>
      <c r="M59" s="21">
        <f t="shared" si="31"/>
        <v>45562</v>
      </c>
      <c r="N59" s="10" t="s">
        <v>24</v>
      </c>
      <c r="O59" s="25">
        <v>0</v>
      </c>
      <c r="P59" s="25">
        <v>0</v>
      </c>
      <c r="Q59" s="25">
        <v>13</v>
      </c>
      <c r="R59" s="25">
        <v>0</v>
      </c>
      <c r="S59" s="25">
        <v>0</v>
      </c>
      <c r="T59" s="25">
        <v>0</v>
      </c>
      <c r="AG59" s="182"/>
      <c r="AH59" s="182"/>
    </row>
    <row r="60" spans="2:34">
      <c r="B60" s="6"/>
      <c r="C60" s="6"/>
      <c r="D60" s="2"/>
      <c r="F60" s="2"/>
      <c r="G60" s="2"/>
      <c r="H60" s="2"/>
      <c r="I60" s="2"/>
      <c r="J60" s="2"/>
      <c r="K60" s="2"/>
      <c r="M60" s="21">
        <f t="shared" si="31"/>
        <v>45569</v>
      </c>
      <c r="N60" s="10" t="s">
        <v>329</v>
      </c>
      <c r="O60" s="25"/>
      <c r="P60" s="25">
        <v>3</v>
      </c>
      <c r="Q60" s="25"/>
      <c r="R60" s="25"/>
      <c r="S60" s="25"/>
      <c r="T60" s="25"/>
      <c r="AG60" s="182"/>
      <c r="AH60" s="182"/>
    </row>
    <row r="61" spans="2:34">
      <c r="B61" s="6"/>
      <c r="C61" s="12">
        <f t="shared" ca="1" si="22"/>
        <v>1</v>
      </c>
      <c r="D61" s="22">
        <f t="shared" si="23"/>
        <v>45569</v>
      </c>
      <c r="E61" s="26">
        <f t="shared" si="24"/>
        <v>1</v>
      </c>
      <c r="F61" s="26">
        <f t="shared" si="25"/>
        <v>1</v>
      </c>
      <c r="G61" s="26">
        <f t="shared" si="26"/>
        <v>0</v>
      </c>
      <c r="H61" s="26">
        <f t="shared" si="27"/>
        <v>0</v>
      </c>
      <c r="I61" s="26">
        <f t="shared" si="28"/>
        <v>0</v>
      </c>
      <c r="J61" s="26">
        <f t="shared" si="29"/>
        <v>1</v>
      </c>
      <c r="M61" s="21">
        <f>M60</f>
        <v>45569</v>
      </c>
      <c r="N61" s="10" t="s">
        <v>24</v>
      </c>
      <c r="O61" s="25">
        <v>0</v>
      </c>
      <c r="P61" s="25">
        <v>0</v>
      </c>
      <c r="Q61" s="25">
        <v>13</v>
      </c>
      <c r="R61" s="25">
        <v>13</v>
      </c>
      <c r="S61" s="25">
        <v>13</v>
      </c>
      <c r="T61" s="25">
        <v>0</v>
      </c>
      <c r="AG61" s="182"/>
      <c r="AH61" s="182"/>
    </row>
    <row r="62" spans="2:34">
      <c r="B62" s="6"/>
      <c r="C62" s="12">
        <f t="shared" ca="1" si="22"/>
        <v>1</v>
      </c>
      <c r="D62" s="22">
        <f t="shared" si="23"/>
        <v>45576</v>
      </c>
      <c r="E62" s="26">
        <f t="shared" si="24"/>
        <v>1</v>
      </c>
      <c r="F62" s="26">
        <f t="shared" si="25"/>
        <v>1</v>
      </c>
      <c r="G62" s="26">
        <f t="shared" si="26"/>
        <v>0</v>
      </c>
      <c r="H62" s="26">
        <f t="shared" si="27"/>
        <v>1</v>
      </c>
      <c r="I62" s="26">
        <f t="shared" si="28"/>
        <v>1</v>
      </c>
      <c r="J62" s="26">
        <f t="shared" si="29"/>
        <v>1</v>
      </c>
      <c r="M62" s="21">
        <f t="shared" si="31"/>
        <v>45576</v>
      </c>
      <c r="N62" s="10" t="s">
        <v>24</v>
      </c>
      <c r="O62" s="25">
        <v>0</v>
      </c>
      <c r="P62" s="25">
        <v>0</v>
      </c>
      <c r="Q62" s="25">
        <v>13</v>
      </c>
      <c r="R62" s="25">
        <v>0</v>
      </c>
      <c r="S62" s="25">
        <v>0</v>
      </c>
      <c r="T62" s="25">
        <v>0</v>
      </c>
      <c r="AG62" s="182"/>
      <c r="AH62" s="182"/>
    </row>
    <row r="63" spans="2:34">
      <c r="C63" s="12">
        <f t="shared" ca="1" si="22"/>
        <v>1</v>
      </c>
      <c r="D63" s="22">
        <f t="shared" si="23"/>
        <v>45583</v>
      </c>
      <c r="E63" s="26">
        <f t="shared" si="24"/>
        <v>1</v>
      </c>
      <c r="F63" s="26">
        <f t="shared" si="25"/>
        <v>1</v>
      </c>
      <c r="G63" s="26">
        <f t="shared" si="26"/>
        <v>0</v>
      </c>
      <c r="H63" s="26">
        <f t="shared" si="27"/>
        <v>1</v>
      </c>
      <c r="I63" s="26">
        <f t="shared" si="28"/>
        <v>1</v>
      </c>
      <c r="J63" s="26">
        <f t="shared" si="29"/>
        <v>1</v>
      </c>
      <c r="M63" s="21">
        <f t="shared" si="31"/>
        <v>45583</v>
      </c>
      <c r="N63" s="10" t="s">
        <v>24</v>
      </c>
      <c r="O63" s="25">
        <v>0</v>
      </c>
      <c r="P63" s="25">
        <v>0</v>
      </c>
      <c r="Q63" s="25">
        <v>13</v>
      </c>
      <c r="R63" s="25">
        <v>0</v>
      </c>
      <c r="S63" s="25">
        <v>0</v>
      </c>
      <c r="T63" s="25">
        <v>0</v>
      </c>
      <c r="AG63" s="182"/>
      <c r="AH63" s="182"/>
    </row>
    <row r="64" spans="2:34">
      <c r="C64" s="12">
        <f t="shared" ca="1" si="22"/>
        <v>1</v>
      </c>
      <c r="D64" s="22">
        <f t="shared" si="23"/>
        <v>45590</v>
      </c>
      <c r="E64" s="26">
        <f t="shared" si="24"/>
        <v>1</v>
      </c>
      <c r="F64" s="26">
        <f t="shared" si="25"/>
        <v>0</v>
      </c>
      <c r="G64" s="26">
        <f t="shared" si="26"/>
        <v>0</v>
      </c>
      <c r="H64" s="26">
        <f t="shared" si="27"/>
        <v>0</v>
      </c>
      <c r="I64" s="26">
        <f t="shared" si="28"/>
        <v>0</v>
      </c>
      <c r="J64" s="26">
        <f t="shared" si="29"/>
        <v>1</v>
      </c>
      <c r="M64" s="21">
        <f t="shared" si="31"/>
        <v>45590</v>
      </c>
      <c r="N64" s="10" t="s">
        <v>24</v>
      </c>
      <c r="O64" s="25">
        <v>0</v>
      </c>
      <c r="P64" s="25">
        <v>13</v>
      </c>
      <c r="Q64" s="25">
        <v>13</v>
      </c>
      <c r="R64" s="25">
        <v>13</v>
      </c>
      <c r="S64" s="25">
        <v>13</v>
      </c>
      <c r="T64" s="25">
        <v>0</v>
      </c>
      <c r="AG64" s="182"/>
      <c r="AH64" s="182"/>
    </row>
    <row r="65" spans="3:34">
      <c r="C65" s="12">
        <f t="shared" ca="1" si="22"/>
        <v>1</v>
      </c>
      <c r="D65" s="22">
        <f t="shared" si="23"/>
        <v>45597</v>
      </c>
      <c r="E65" s="26">
        <f t="shared" si="24"/>
        <v>1</v>
      </c>
      <c r="F65" s="26">
        <f t="shared" si="25"/>
        <v>0</v>
      </c>
      <c r="G65" s="26">
        <f t="shared" si="26"/>
        <v>0</v>
      </c>
      <c r="H65" s="26">
        <f t="shared" si="27"/>
        <v>0</v>
      </c>
      <c r="I65" s="26">
        <f t="shared" si="28"/>
        <v>1</v>
      </c>
      <c r="J65" s="26">
        <f t="shared" si="29"/>
        <v>0</v>
      </c>
      <c r="M65" s="21">
        <f t="shared" si="31"/>
        <v>45597</v>
      </c>
      <c r="N65" s="10" t="s">
        <v>24</v>
      </c>
      <c r="O65" s="25">
        <v>0</v>
      </c>
      <c r="P65" s="25">
        <v>13</v>
      </c>
      <c r="Q65" s="25">
        <v>13</v>
      </c>
      <c r="R65" s="25">
        <v>13</v>
      </c>
      <c r="S65" s="25">
        <v>0</v>
      </c>
      <c r="T65" s="25">
        <v>13</v>
      </c>
      <c r="AG65" s="182"/>
      <c r="AH65" s="182"/>
    </row>
    <row r="66" spans="3:34">
      <c r="C66" s="12">
        <f t="shared" ca="1" si="22"/>
        <v>1</v>
      </c>
      <c r="D66" s="22">
        <f t="shared" si="23"/>
        <v>45604</v>
      </c>
      <c r="E66" s="26">
        <f t="shared" si="24"/>
        <v>1</v>
      </c>
      <c r="F66" s="26">
        <f t="shared" si="25"/>
        <v>1</v>
      </c>
      <c r="G66" s="26">
        <f t="shared" si="26"/>
        <v>0</v>
      </c>
      <c r="H66" s="26">
        <f t="shared" si="27"/>
        <v>0</v>
      </c>
      <c r="I66" s="26">
        <f t="shared" si="28"/>
        <v>1</v>
      </c>
      <c r="J66" s="26">
        <f t="shared" si="29"/>
        <v>1</v>
      </c>
      <c r="M66" s="21">
        <f t="shared" si="31"/>
        <v>45604</v>
      </c>
      <c r="N66" s="10" t="s">
        <v>24</v>
      </c>
      <c r="O66" s="25">
        <v>0</v>
      </c>
      <c r="P66" s="25">
        <v>0</v>
      </c>
      <c r="Q66" s="25">
        <v>13</v>
      </c>
      <c r="R66" s="25">
        <v>13</v>
      </c>
      <c r="S66" s="25">
        <v>0</v>
      </c>
      <c r="T66" s="25">
        <v>0</v>
      </c>
      <c r="AG66" s="182"/>
      <c r="AH66" s="182"/>
    </row>
    <row r="67" spans="3:34">
      <c r="C67" s="12">
        <f t="shared" ca="1" si="22"/>
        <v>1</v>
      </c>
      <c r="D67" s="22">
        <f t="shared" si="23"/>
        <v>45611</v>
      </c>
      <c r="E67" s="26">
        <f t="shared" si="24"/>
        <v>1</v>
      </c>
      <c r="F67" s="26">
        <f t="shared" si="25"/>
        <v>1</v>
      </c>
      <c r="G67" s="26">
        <f t="shared" si="26"/>
        <v>1</v>
      </c>
      <c r="H67" s="26">
        <f t="shared" si="27"/>
        <v>0</v>
      </c>
      <c r="I67" s="26">
        <f t="shared" si="28"/>
        <v>1</v>
      </c>
      <c r="J67" s="26">
        <f t="shared" si="29"/>
        <v>1</v>
      </c>
      <c r="M67" s="21">
        <f t="shared" si="31"/>
        <v>45611</v>
      </c>
      <c r="N67" s="10" t="s">
        <v>24</v>
      </c>
      <c r="O67" s="25">
        <v>0</v>
      </c>
      <c r="P67" s="25">
        <v>0</v>
      </c>
      <c r="Q67" s="25">
        <v>0</v>
      </c>
      <c r="R67" s="25">
        <v>13</v>
      </c>
      <c r="S67" s="25">
        <v>0</v>
      </c>
      <c r="T67" s="25">
        <v>0</v>
      </c>
      <c r="AG67" s="182"/>
      <c r="AH67" s="182"/>
    </row>
    <row r="68" spans="3:34">
      <c r="C68" s="12">
        <f t="shared" ca="1" si="22"/>
        <v>1</v>
      </c>
      <c r="D68" s="22">
        <f t="shared" si="23"/>
        <v>45618</v>
      </c>
      <c r="E68" s="26">
        <f t="shared" si="24"/>
        <v>1</v>
      </c>
      <c r="F68" s="26">
        <f t="shared" si="25"/>
        <v>1</v>
      </c>
      <c r="G68" s="26">
        <f t="shared" si="26"/>
        <v>0</v>
      </c>
      <c r="H68" s="26">
        <f t="shared" si="27"/>
        <v>1</v>
      </c>
      <c r="I68" s="26">
        <f t="shared" si="28"/>
        <v>1</v>
      </c>
      <c r="J68" s="26">
        <f t="shared" si="29"/>
        <v>1</v>
      </c>
      <c r="M68" s="21">
        <f t="shared" si="31"/>
        <v>45618</v>
      </c>
      <c r="N68" s="10" t="s">
        <v>24</v>
      </c>
      <c r="O68" s="25">
        <v>0</v>
      </c>
      <c r="P68" s="25">
        <v>0</v>
      </c>
      <c r="Q68" s="25">
        <v>13</v>
      </c>
      <c r="R68" s="25">
        <v>0</v>
      </c>
      <c r="S68" s="25">
        <v>0</v>
      </c>
      <c r="T68" s="25">
        <v>0</v>
      </c>
      <c r="AG68" s="182"/>
      <c r="AH68" s="182"/>
    </row>
    <row r="69" spans="3:34">
      <c r="C69" s="12">
        <f t="shared" ca="1" si="22"/>
        <v>1</v>
      </c>
      <c r="D69" s="22">
        <f t="shared" si="23"/>
        <v>45625</v>
      </c>
      <c r="E69" s="26">
        <f t="shared" si="24"/>
        <v>1</v>
      </c>
      <c r="F69" s="26">
        <f t="shared" si="25"/>
        <v>0</v>
      </c>
      <c r="G69" s="26">
        <f t="shared" si="26"/>
        <v>1</v>
      </c>
      <c r="H69" s="26">
        <f t="shared" si="27"/>
        <v>0</v>
      </c>
      <c r="I69" s="26">
        <f t="shared" si="28"/>
        <v>1</v>
      </c>
      <c r="J69" s="26">
        <f t="shared" si="29"/>
        <v>0</v>
      </c>
      <c r="M69" s="21">
        <f t="shared" si="31"/>
        <v>45625</v>
      </c>
      <c r="N69" s="10" t="s">
        <v>24</v>
      </c>
      <c r="O69" s="25">
        <v>0</v>
      </c>
      <c r="P69" s="25">
        <v>13</v>
      </c>
      <c r="Q69" s="25">
        <v>0</v>
      </c>
      <c r="R69" s="25">
        <v>13</v>
      </c>
      <c r="S69" s="25">
        <v>0</v>
      </c>
      <c r="T69" s="25">
        <v>13</v>
      </c>
      <c r="AG69" s="182"/>
      <c r="AH69" s="182"/>
    </row>
    <row r="70" spans="3:34">
      <c r="C70" s="12">
        <f t="shared" ca="1" si="22"/>
        <v>1</v>
      </c>
      <c r="D70" s="22">
        <f t="shared" si="23"/>
        <v>45632</v>
      </c>
      <c r="E70" s="26">
        <f t="shared" si="24"/>
        <v>1</v>
      </c>
      <c r="F70" s="26">
        <f t="shared" si="25"/>
        <v>1</v>
      </c>
      <c r="G70" s="26">
        <f t="shared" si="26"/>
        <v>0</v>
      </c>
      <c r="H70" s="26">
        <f t="shared" si="27"/>
        <v>1</v>
      </c>
      <c r="I70" s="26">
        <f t="shared" si="28"/>
        <v>1</v>
      </c>
      <c r="J70" s="26">
        <f t="shared" si="29"/>
        <v>1</v>
      </c>
      <c r="M70" s="21">
        <f t="shared" si="31"/>
        <v>45632</v>
      </c>
      <c r="N70" s="10" t="s">
        <v>24</v>
      </c>
      <c r="O70" s="25">
        <v>0</v>
      </c>
      <c r="P70" s="25">
        <v>0</v>
      </c>
      <c r="Q70" s="25">
        <v>13</v>
      </c>
      <c r="R70" s="25">
        <v>0</v>
      </c>
      <c r="S70" s="25">
        <v>0</v>
      </c>
      <c r="T70" s="25">
        <v>0</v>
      </c>
      <c r="AG70" s="182"/>
      <c r="AH70" s="182"/>
    </row>
    <row r="71" spans="3:34">
      <c r="C71" s="12">
        <f t="shared" ca="1" si="22"/>
        <v>1</v>
      </c>
      <c r="D71" s="22">
        <f t="shared" si="23"/>
        <v>45639</v>
      </c>
      <c r="E71" s="26">
        <f t="shared" si="24"/>
        <v>0</v>
      </c>
      <c r="F71" s="26">
        <f t="shared" si="25"/>
        <v>0</v>
      </c>
      <c r="G71" s="26">
        <f t="shared" si="26"/>
        <v>0</v>
      </c>
      <c r="H71" s="26">
        <f t="shared" si="27"/>
        <v>0</v>
      </c>
      <c r="I71" s="26">
        <f t="shared" si="28"/>
        <v>1</v>
      </c>
      <c r="J71" s="26">
        <f t="shared" si="29"/>
        <v>1</v>
      </c>
      <c r="M71" s="21">
        <f t="shared" si="31"/>
        <v>45639</v>
      </c>
      <c r="N71" s="10" t="s">
        <v>24</v>
      </c>
      <c r="O71" s="25">
        <v>13</v>
      </c>
      <c r="P71" s="25">
        <v>13</v>
      </c>
      <c r="Q71" s="25">
        <v>13</v>
      </c>
      <c r="R71" s="25">
        <v>13</v>
      </c>
      <c r="S71" s="25">
        <v>0</v>
      </c>
      <c r="T71" s="25">
        <v>0</v>
      </c>
      <c r="AG71" s="182"/>
      <c r="AH71" s="182"/>
    </row>
    <row r="72" spans="3:34">
      <c r="C72" s="12">
        <f t="shared" ca="1" si="22"/>
        <v>1</v>
      </c>
      <c r="D72" s="22">
        <f t="shared" si="23"/>
        <v>45646</v>
      </c>
      <c r="E72" s="26">
        <f t="shared" si="24"/>
        <v>1</v>
      </c>
      <c r="F72" s="26">
        <f t="shared" si="25"/>
        <v>1</v>
      </c>
      <c r="G72" s="26">
        <f t="shared" si="26"/>
        <v>1</v>
      </c>
      <c r="H72" s="26">
        <f t="shared" si="27"/>
        <v>1</v>
      </c>
      <c r="I72" s="26">
        <f t="shared" si="28"/>
        <v>1</v>
      </c>
      <c r="J72" s="26">
        <f t="shared" si="29"/>
        <v>1</v>
      </c>
      <c r="M72" s="21">
        <f t="shared" si="31"/>
        <v>45646</v>
      </c>
      <c r="N72" s="10" t="s">
        <v>24</v>
      </c>
      <c r="O72" s="25">
        <v>0</v>
      </c>
      <c r="P72" s="25">
        <v>0</v>
      </c>
      <c r="Q72" s="25">
        <v>0</v>
      </c>
      <c r="R72" s="25">
        <v>0</v>
      </c>
      <c r="S72" s="25">
        <v>0</v>
      </c>
      <c r="T72" s="25">
        <v>0</v>
      </c>
      <c r="AG72" s="182"/>
      <c r="AH72" s="182"/>
    </row>
    <row r="73" spans="3:34">
      <c r="C73" s="6"/>
      <c r="D73" s="2"/>
      <c r="F73" s="2"/>
      <c r="G73" s="2"/>
      <c r="H73" s="2"/>
      <c r="I73" s="2"/>
      <c r="J73" s="2"/>
      <c r="M73" s="21">
        <f>M74</f>
        <v>45653</v>
      </c>
      <c r="N73" s="10" t="s">
        <v>43</v>
      </c>
      <c r="O73" s="25"/>
      <c r="P73" s="25"/>
      <c r="Q73" s="25"/>
      <c r="R73" s="25">
        <v>6.5</v>
      </c>
      <c r="S73" s="25"/>
      <c r="T73" s="25"/>
      <c r="AG73" s="182"/>
      <c r="AH73" s="182"/>
    </row>
    <row r="74" spans="3:34">
      <c r="C74" s="12">
        <f t="shared" ca="1" si="22"/>
        <v>1</v>
      </c>
      <c r="D74" s="22">
        <f t="shared" si="23"/>
        <v>45653</v>
      </c>
      <c r="E74" s="26">
        <f t="shared" si="24"/>
        <v>0</v>
      </c>
      <c r="F74" s="26">
        <f t="shared" si="25"/>
        <v>0</v>
      </c>
      <c r="G74" s="26">
        <f t="shared" si="26"/>
        <v>0</v>
      </c>
      <c r="H74" s="26">
        <f t="shared" si="27"/>
        <v>1</v>
      </c>
      <c r="I74" s="26">
        <f t="shared" si="28"/>
        <v>0</v>
      </c>
      <c r="J74" s="26">
        <f t="shared" si="29"/>
        <v>0</v>
      </c>
      <c r="M74" s="21">
        <f>M72+7</f>
        <v>45653</v>
      </c>
      <c r="N74" s="10" t="s">
        <v>24</v>
      </c>
      <c r="O74" s="25">
        <v>13</v>
      </c>
      <c r="P74" s="25">
        <v>13</v>
      </c>
      <c r="Q74" s="25">
        <v>13</v>
      </c>
      <c r="R74" s="25">
        <v>0</v>
      </c>
      <c r="S74" s="25">
        <v>13</v>
      </c>
      <c r="T74" s="25">
        <v>13</v>
      </c>
      <c r="AG74" s="182"/>
      <c r="AH74" s="182"/>
    </row>
    <row r="75" spans="3:34">
      <c r="C75" s="12">
        <f t="shared" ca="1" si="22"/>
        <v>1</v>
      </c>
      <c r="D75" s="22">
        <f t="shared" si="23"/>
        <v>45660</v>
      </c>
      <c r="E75" s="26">
        <f t="shared" si="24"/>
        <v>0</v>
      </c>
      <c r="F75" s="26">
        <f t="shared" si="25"/>
        <v>1</v>
      </c>
      <c r="G75" s="26">
        <f t="shared" si="26"/>
        <v>0</v>
      </c>
      <c r="H75" s="26">
        <f t="shared" si="27"/>
        <v>0</v>
      </c>
      <c r="I75" s="26">
        <f t="shared" si="28"/>
        <v>1</v>
      </c>
      <c r="J75" s="26">
        <f t="shared" si="29"/>
        <v>1</v>
      </c>
      <c r="M75" s="21">
        <f t="shared" si="31"/>
        <v>45660</v>
      </c>
      <c r="N75" s="10" t="s">
        <v>24</v>
      </c>
      <c r="O75" s="25">
        <v>13</v>
      </c>
      <c r="P75" s="25">
        <v>0</v>
      </c>
      <c r="Q75" s="25">
        <v>13</v>
      </c>
      <c r="R75" s="25">
        <v>13</v>
      </c>
      <c r="S75" s="25">
        <v>0</v>
      </c>
      <c r="T75" s="25">
        <v>0</v>
      </c>
      <c r="AG75" s="182"/>
      <c r="AH75" s="182"/>
    </row>
    <row r="76" spans="3:34">
      <c r="C76" s="12">
        <f t="shared" ca="1" si="22"/>
        <v>1</v>
      </c>
      <c r="D76" s="22">
        <f t="shared" si="23"/>
        <v>45667</v>
      </c>
      <c r="E76" s="26">
        <f t="shared" si="24"/>
        <v>0</v>
      </c>
      <c r="F76" s="26">
        <f t="shared" si="25"/>
        <v>1</v>
      </c>
      <c r="G76" s="26">
        <f t="shared" si="26"/>
        <v>0</v>
      </c>
      <c r="H76" s="26">
        <f t="shared" si="27"/>
        <v>1</v>
      </c>
      <c r="I76" s="26">
        <f t="shared" si="28"/>
        <v>1</v>
      </c>
      <c r="J76" s="26">
        <f t="shared" si="29"/>
        <v>1</v>
      </c>
      <c r="M76" s="21">
        <f t="shared" si="31"/>
        <v>45667</v>
      </c>
      <c r="N76" s="10" t="s">
        <v>24</v>
      </c>
      <c r="O76" s="25">
        <v>13</v>
      </c>
      <c r="P76" s="25">
        <v>0</v>
      </c>
      <c r="Q76" s="25">
        <v>13</v>
      </c>
      <c r="R76" s="25">
        <v>0</v>
      </c>
      <c r="S76" s="25">
        <v>0</v>
      </c>
      <c r="T76" s="25">
        <v>0</v>
      </c>
      <c r="AG76" s="182"/>
      <c r="AH76" s="182"/>
    </row>
    <row r="77" spans="3:34">
      <c r="C77" s="12">
        <f t="shared" ca="1" si="22"/>
        <v>1</v>
      </c>
      <c r="D77" s="22">
        <f t="shared" si="23"/>
        <v>45674</v>
      </c>
      <c r="E77" s="26">
        <f t="shared" si="24"/>
        <v>1</v>
      </c>
      <c r="F77" s="26">
        <f t="shared" si="25"/>
        <v>1</v>
      </c>
      <c r="G77" s="26">
        <f t="shared" si="26"/>
        <v>0</v>
      </c>
      <c r="H77" s="26">
        <f t="shared" si="27"/>
        <v>1</v>
      </c>
      <c r="I77" s="26">
        <f t="shared" si="28"/>
        <v>1</v>
      </c>
      <c r="J77" s="26">
        <f t="shared" si="29"/>
        <v>1</v>
      </c>
      <c r="M77" s="21">
        <f t="shared" si="31"/>
        <v>45674</v>
      </c>
      <c r="N77" s="10" t="s">
        <v>24</v>
      </c>
      <c r="O77" s="25">
        <v>0</v>
      </c>
      <c r="P77" s="25">
        <v>0</v>
      </c>
      <c r="Q77" s="25">
        <v>13</v>
      </c>
      <c r="R77" s="25">
        <v>0</v>
      </c>
      <c r="S77" s="25">
        <v>0</v>
      </c>
      <c r="T77" s="25">
        <v>0</v>
      </c>
      <c r="AG77" s="182"/>
      <c r="AH77" s="182"/>
    </row>
    <row r="78" spans="3:34">
      <c r="C78" s="12">
        <f t="shared" ca="1" si="22"/>
        <v>1</v>
      </c>
      <c r="D78" s="22">
        <f t="shared" si="23"/>
        <v>45681</v>
      </c>
      <c r="E78" s="26">
        <f t="shared" si="24"/>
        <v>1</v>
      </c>
      <c r="F78" s="26">
        <f t="shared" si="25"/>
        <v>1</v>
      </c>
      <c r="G78" s="26">
        <f t="shared" si="26"/>
        <v>1</v>
      </c>
      <c r="H78" s="26">
        <f t="shared" si="27"/>
        <v>0</v>
      </c>
      <c r="I78" s="26">
        <f t="shared" si="28"/>
        <v>1</v>
      </c>
      <c r="J78" s="26">
        <f t="shared" si="29"/>
        <v>1</v>
      </c>
      <c r="M78" s="21">
        <f t="shared" si="31"/>
        <v>45681</v>
      </c>
      <c r="N78" s="10" t="s">
        <v>24</v>
      </c>
      <c r="O78" s="25">
        <v>0</v>
      </c>
      <c r="P78" s="25">
        <v>0</v>
      </c>
      <c r="Q78" s="25">
        <v>0</v>
      </c>
      <c r="R78" s="25">
        <v>13</v>
      </c>
      <c r="S78" s="25">
        <v>0</v>
      </c>
      <c r="T78" s="25">
        <v>0</v>
      </c>
      <c r="AG78" s="182"/>
      <c r="AH78" s="182"/>
    </row>
    <row r="79" spans="3:34">
      <c r="C79" s="12" t="str">
        <f t="shared" ca="1" si="22"/>
        <v/>
      </c>
      <c r="D79" s="22" t="str">
        <f t="shared" si="23"/>
        <v/>
      </c>
      <c r="E79" s="26" t="str">
        <f t="shared" si="24"/>
        <v/>
      </c>
      <c r="F79" s="26" t="str">
        <f t="shared" si="25"/>
        <v/>
      </c>
      <c r="G79" s="26" t="str">
        <f t="shared" si="26"/>
        <v/>
      </c>
      <c r="H79" s="26" t="str">
        <f t="shared" si="27"/>
        <v/>
      </c>
      <c r="I79" s="26" t="str">
        <f t="shared" si="28"/>
        <v/>
      </c>
      <c r="J79" s="26" t="str">
        <f t="shared" si="29"/>
        <v/>
      </c>
      <c r="M79" s="21"/>
      <c r="N79" s="10"/>
      <c r="O79" s="25"/>
      <c r="P79" s="25"/>
      <c r="Q79" s="25"/>
      <c r="R79" s="25"/>
      <c r="S79" s="25"/>
      <c r="T79" s="25"/>
      <c r="AG79" s="182"/>
      <c r="AH79" s="182"/>
    </row>
    <row r="80" spans="3:34">
      <c r="C80" s="12" t="str">
        <f t="shared" ca="1" si="22"/>
        <v/>
      </c>
      <c r="D80" s="22" t="str">
        <f t="shared" si="23"/>
        <v/>
      </c>
      <c r="E80" s="26" t="str">
        <f t="shared" si="24"/>
        <v/>
      </c>
      <c r="F80" s="26" t="str">
        <f t="shared" si="25"/>
        <v/>
      </c>
      <c r="G80" s="26" t="str">
        <f t="shared" si="26"/>
        <v/>
      </c>
      <c r="H80" s="26" t="str">
        <f t="shared" si="27"/>
        <v/>
      </c>
      <c r="I80" s="26" t="str">
        <f t="shared" si="28"/>
        <v/>
      </c>
      <c r="J80" s="26" t="str">
        <f t="shared" si="29"/>
        <v/>
      </c>
      <c r="M80" s="21"/>
      <c r="N80" s="10"/>
      <c r="O80" s="25"/>
      <c r="P80" s="25"/>
      <c r="Q80" s="25"/>
      <c r="R80" s="25"/>
      <c r="S80" s="25"/>
      <c r="T80" s="25"/>
      <c r="AG80" s="182"/>
      <c r="AH80" s="182"/>
    </row>
    <row r="81" spans="3:34">
      <c r="C81" s="12" t="str">
        <f t="shared" ca="1" si="22"/>
        <v/>
      </c>
      <c r="D81" s="22" t="str">
        <f t="shared" si="23"/>
        <v/>
      </c>
      <c r="E81" s="26" t="str">
        <f t="shared" si="24"/>
        <v/>
      </c>
      <c r="F81" s="26" t="str">
        <f t="shared" si="25"/>
        <v/>
      </c>
      <c r="G81" s="26" t="str">
        <f t="shared" si="26"/>
        <v/>
      </c>
      <c r="H81" s="26" t="str">
        <f t="shared" si="27"/>
        <v/>
      </c>
      <c r="I81" s="26" t="str">
        <f t="shared" si="28"/>
        <v/>
      </c>
      <c r="J81" s="26" t="str">
        <f t="shared" si="29"/>
        <v/>
      </c>
      <c r="M81" s="21"/>
      <c r="N81" s="10"/>
      <c r="O81" s="25"/>
      <c r="P81" s="25"/>
      <c r="Q81" s="25"/>
      <c r="R81" s="25"/>
      <c r="S81" s="25"/>
      <c r="T81" s="25"/>
      <c r="AG81" s="182"/>
      <c r="AH81" s="182"/>
    </row>
    <row r="82" spans="3:34">
      <c r="C82" s="12" t="str">
        <f t="shared" ca="1" si="22"/>
        <v/>
      </c>
      <c r="D82" s="22" t="str">
        <f t="shared" si="23"/>
        <v/>
      </c>
      <c r="E82" s="26" t="str">
        <f t="shared" si="24"/>
        <v/>
      </c>
      <c r="F82" s="26" t="str">
        <f t="shared" si="25"/>
        <v/>
      </c>
      <c r="G82" s="26" t="str">
        <f t="shared" si="26"/>
        <v/>
      </c>
      <c r="H82" s="26" t="str">
        <f t="shared" si="27"/>
        <v/>
      </c>
      <c r="I82" s="26" t="str">
        <f t="shared" si="28"/>
        <v/>
      </c>
      <c r="J82" s="26" t="str">
        <f t="shared" si="29"/>
        <v/>
      </c>
      <c r="M82" s="21"/>
      <c r="N82" s="10"/>
      <c r="O82" s="25"/>
      <c r="P82" s="25"/>
      <c r="Q82" s="25"/>
      <c r="R82" s="25"/>
      <c r="S82" s="25"/>
      <c r="T82" s="25"/>
      <c r="AG82" s="182"/>
      <c r="AH82" s="182"/>
    </row>
    <row r="83" spans="3:34">
      <c r="C83" s="12" t="str">
        <f t="shared" ca="1" si="22"/>
        <v/>
      </c>
      <c r="D83" s="22" t="str">
        <f t="shared" si="23"/>
        <v/>
      </c>
      <c r="E83" s="26" t="str">
        <f t="shared" si="24"/>
        <v/>
      </c>
      <c r="F83" s="26" t="str">
        <f t="shared" si="25"/>
        <v/>
      </c>
      <c r="G83" s="26" t="str">
        <f t="shared" si="26"/>
        <v/>
      </c>
      <c r="H83" s="26" t="str">
        <f t="shared" si="27"/>
        <v/>
      </c>
      <c r="I83" s="26" t="str">
        <f t="shared" si="28"/>
        <v/>
      </c>
      <c r="J83" s="26" t="str">
        <f t="shared" si="29"/>
        <v/>
      </c>
      <c r="M83" s="21"/>
      <c r="N83" s="10"/>
      <c r="O83" s="25"/>
      <c r="P83" s="25"/>
      <c r="Q83" s="25"/>
      <c r="R83" s="25"/>
      <c r="S83" s="25"/>
      <c r="T83" s="25"/>
      <c r="AG83" s="182"/>
      <c r="AH83" s="182"/>
    </row>
    <row r="84" spans="3:34">
      <c r="C84" s="12" t="str">
        <f t="shared" ca="1" si="22"/>
        <v/>
      </c>
      <c r="D84" s="22" t="str">
        <f t="shared" si="23"/>
        <v/>
      </c>
      <c r="E84" s="26" t="str">
        <f t="shared" si="24"/>
        <v/>
      </c>
      <c r="F84" s="26" t="str">
        <f t="shared" si="25"/>
        <v/>
      </c>
      <c r="G84" s="26" t="str">
        <f t="shared" si="26"/>
        <v/>
      </c>
      <c r="H84" s="26" t="str">
        <f t="shared" si="27"/>
        <v/>
      </c>
      <c r="I84" s="26" t="str">
        <f t="shared" si="28"/>
        <v/>
      </c>
      <c r="J84" s="26" t="str">
        <f t="shared" si="29"/>
        <v/>
      </c>
      <c r="M84" s="21"/>
      <c r="N84" s="10"/>
      <c r="O84" s="25"/>
      <c r="P84" s="25"/>
      <c r="Q84" s="25"/>
      <c r="R84" s="25"/>
      <c r="S84" s="25"/>
      <c r="T84" s="25"/>
      <c r="W84" s="190"/>
      <c r="AG84" s="182"/>
      <c r="AH84" s="182"/>
    </row>
    <row r="85" spans="3:34">
      <c r="C85" s="12" t="str">
        <f t="shared" ca="1" si="22"/>
        <v/>
      </c>
      <c r="D85" s="22" t="str">
        <f t="shared" si="23"/>
        <v/>
      </c>
      <c r="E85" s="26" t="str">
        <f t="shared" si="24"/>
        <v/>
      </c>
      <c r="F85" s="26" t="str">
        <f t="shared" si="25"/>
        <v/>
      </c>
      <c r="G85" s="26" t="str">
        <f t="shared" si="26"/>
        <v/>
      </c>
      <c r="H85" s="26" t="str">
        <f t="shared" si="27"/>
        <v/>
      </c>
      <c r="I85" s="26" t="str">
        <f t="shared" si="28"/>
        <v/>
      </c>
      <c r="J85" s="26" t="str">
        <f t="shared" si="29"/>
        <v/>
      </c>
      <c r="M85" s="21"/>
      <c r="N85" s="10"/>
      <c r="O85" s="25"/>
      <c r="P85" s="25"/>
      <c r="Q85" s="25"/>
      <c r="R85" s="25"/>
      <c r="S85" s="25"/>
      <c r="T85" s="25"/>
      <c r="AG85" s="182"/>
      <c r="AH85" s="182"/>
    </row>
    <row r="86" spans="3:34">
      <c r="C86" s="12" t="str">
        <f t="shared" ca="1" si="22"/>
        <v/>
      </c>
      <c r="D86" s="22" t="str">
        <f t="shared" si="23"/>
        <v/>
      </c>
      <c r="E86" s="26" t="str">
        <f t="shared" si="24"/>
        <v/>
      </c>
      <c r="F86" s="26" t="str">
        <f t="shared" si="25"/>
        <v/>
      </c>
      <c r="G86" s="26" t="str">
        <f t="shared" si="26"/>
        <v/>
      </c>
      <c r="H86" s="26" t="str">
        <f t="shared" si="27"/>
        <v/>
      </c>
      <c r="I86" s="26" t="str">
        <f t="shared" si="28"/>
        <v/>
      </c>
      <c r="J86" s="26" t="str">
        <f t="shared" si="29"/>
        <v/>
      </c>
      <c r="M86" s="21"/>
      <c r="N86" s="10"/>
      <c r="O86" s="25"/>
      <c r="P86" s="25"/>
      <c r="Q86" s="25"/>
      <c r="R86" s="25"/>
      <c r="S86" s="25"/>
      <c r="T86" s="25"/>
    </row>
    <row r="87" spans="3:34">
      <c r="C87" s="12" t="str">
        <f t="shared" ca="1" si="22"/>
        <v/>
      </c>
      <c r="D87" s="22" t="str">
        <f t="shared" si="23"/>
        <v/>
      </c>
      <c r="E87" s="26" t="str">
        <f t="shared" si="24"/>
        <v/>
      </c>
      <c r="F87" s="26" t="str">
        <f t="shared" si="25"/>
        <v/>
      </c>
      <c r="G87" s="26" t="str">
        <f t="shared" si="26"/>
        <v/>
      </c>
      <c r="H87" s="26" t="str">
        <f t="shared" si="27"/>
        <v/>
      </c>
      <c r="I87" s="26" t="str">
        <f t="shared" si="28"/>
        <v/>
      </c>
      <c r="J87" s="26" t="str">
        <f t="shared" si="29"/>
        <v/>
      </c>
      <c r="M87" s="21"/>
      <c r="N87" s="10"/>
      <c r="O87" s="25"/>
      <c r="P87" s="25"/>
      <c r="Q87" s="25"/>
      <c r="R87" s="25"/>
      <c r="S87" s="25"/>
      <c r="T87" s="25"/>
    </row>
    <row r="88" spans="3:34">
      <c r="C88" s="12" t="str">
        <f t="shared" ca="1" si="22"/>
        <v/>
      </c>
      <c r="D88" s="22" t="str">
        <f t="shared" si="23"/>
        <v/>
      </c>
      <c r="E88" s="26" t="str">
        <f t="shared" si="24"/>
        <v/>
      </c>
      <c r="F88" s="26" t="str">
        <f t="shared" si="25"/>
        <v/>
      </c>
      <c r="G88" s="26" t="str">
        <f t="shared" si="26"/>
        <v/>
      </c>
      <c r="H88" s="26" t="str">
        <f t="shared" si="27"/>
        <v/>
      </c>
      <c r="I88" s="26" t="str">
        <f t="shared" si="28"/>
        <v/>
      </c>
      <c r="J88" s="26" t="str">
        <f t="shared" si="29"/>
        <v/>
      </c>
      <c r="M88" s="21"/>
      <c r="N88" s="10"/>
      <c r="O88" s="25"/>
      <c r="P88" s="25"/>
      <c r="Q88" s="25"/>
      <c r="R88" s="25"/>
      <c r="S88" s="25"/>
      <c r="T88" s="25"/>
    </row>
    <row r="89" spans="3:34">
      <c r="C89" s="12" t="str">
        <f t="shared" ca="1" si="22"/>
        <v/>
      </c>
      <c r="D89" s="22" t="str">
        <f t="shared" si="23"/>
        <v/>
      </c>
      <c r="E89" s="26" t="str">
        <f t="shared" si="24"/>
        <v/>
      </c>
      <c r="F89" s="26" t="str">
        <f t="shared" si="25"/>
        <v/>
      </c>
      <c r="G89" s="26" t="str">
        <f t="shared" si="26"/>
        <v/>
      </c>
      <c r="H89" s="26" t="str">
        <f t="shared" si="27"/>
        <v/>
      </c>
      <c r="I89" s="26" t="str">
        <f t="shared" si="28"/>
        <v/>
      </c>
      <c r="J89" s="26" t="str">
        <f t="shared" si="29"/>
        <v/>
      </c>
      <c r="M89" s="21"/>
      <c r="N89" s="10"/>
      <c r="O89" s="25"/>
      <c r="P89" s="25"/>
      <c r="Q89" s="25"/>
      <c r="R89" s="25"/>
      <c r="S89" s="25"/>
      <c r="T89" s="25"/>
    </row>
    <row r="90" spans="3:34">
      <c r="C90" s="12" t="str">
        <f t="shared" ca="1" si="22"/>
        <v/>
      </c>
      <c r="D90" s="22" t="str">
        <f t="shared" si="23"/>
        <v/>
      </c>
      <c r="E90" s="26" t="str">
        <f t="shared" si="24"/>
        <v/>
      </c>
      <c r="F90" s="26" t="str">
        <f t="shared" si="25"/>
        <v/>
      </c>
      <c r="G90" s="26" t="str">
        <f t="shared" si="26"/>
        <v/>
      </c>
      <c r="H90" s="26" t="str">
        <f t="shared" si="27"/>
        <v/>
      </c>
      <c r="I90" s="26" t="str">
        <f t="shared" si="28"/>
        <v/>
      </c>
      <c r="J90" s="26" t="str">
        <f t="shared" si="29"/>
        <v/>
      </c>
      <c r="M90" s="21"/>
      <c r="N90" s="10"/>
      <c r="O90" s="25"/>
      <c r="P90" s="25"/>
      <c r="Q90" s="25"/>
      <c r="R90" s="25"/>
      <c r="S90" s="25"/>
      <c r="T90" s="25"/>
    </row>
    <row r="91" spans="3:34">
      <c r="C91" s="12" t="str">
        <f t="shared" ca="1" si="22"/>
        <v/>
      </c>
      <c r="D91" s="22" t="str">
        <f t="shared" si="23"/>
        <v/>
      </c>
      <c r="E91" s="26" t="str">
        <f t="shared" si="24"/>
        <v/>
      </c>
      <c r="F91" s="26" t="str">
        <f t="shared" si="25"/>
        <v/>
      </c>
      <c r="G91" s="26" t="str">
        <f t="shared" si="26"/>
        <v/>
      </c>
      <c r="H91" s="26" t="str">
        <f t="shared" si="27"/>
        <v/>
      </c>
      <c r="I91" s="26" t="str">
        <f t="shared" si="28"/>
        <v/>
      </c>
      <c r="J91" s="26" t="str">
        <f t="shared" si="29"/>
        <v/>
      </c>
      <c r="M91" s="21"/>
      <c r="N91" s="10"/>
      <c r="O91" s="25"/>
      <c r="P91" s="25"/>
      <c r="Q91" s="25"/>
      <c r="R91" s="25"/>
      <c r="S91" s="25"/>
      <c r="T91" s="25"/>
    </row>
    <row r="92" spans="3:34">
      <c r="C92" s="12" t="str">
        <f t="shared" ca="1" si="22"/>
        <v/>
      </c>
      <c r="D92" s="22" t="str">
        <f t="shared" si="23"/>
        <v/>
      </c>
      <c r="E92" s="26" t="str">
        <f t="shared" si="24"/>
        <v/>
      </c>
      <c r="F92" s="26" t="str">
        <f t="shared" si="25"/>
        <v/>
      </c>
      <c r="G92" s="26" t="str">
        <f t="shared" si="26"/>
        <v/>
      </c>
      <c r="H92" s="26" t="str">
        <f t="shared" si="27"/>
        <v/>
      </c>
      <c r="I92" s="26" t="str">
        <f t="shared" si="28"/>
        <v/>
      </c>
      <c r="J92" s="26" t="str">
        <f t="shared" si="29"/>
        <v/>
      </c>
      <c r="M92" s="21"/>
      <c r="N92" s="10"/>
      <c r="O92" s="25"/>
      <c r="P92" s="25"/>
      <c r="Q92" s="25"/>
      <c r="R92" s="25"/>
      <c r="S92" s="25"/>
      <c r="T92" s="25"/>
    </row>
    <row r="93" spans="3:34">
      <c r="C93" s="12" t="str">
        <f t="shared" ref="C93:C96" ca="1" si="32">IF(D93&lt;=TODAY(),1,"")</f>
        <v/>
      </c>
      <c r="D93" s="22" t="str">
        <f t="shared" ref="D93:D96" si="33">IF(M93="","",M93)</f>
        <v/>
      </c>
      <c r="E93" s="26" t="str">
        <f t="shared" ref="E93:J96" si="34">IF(O93="","",IF(O93=0,1,0))</f>
        <v/>
      </c>
      <c r="F93" s="26" t="str">
        <f t="shared" si="34"/>
        <v/>
      </c>
      <c r="G93" s="26" t="str">
        <f t="shared" si="34"/>
        <v/>
      </c>
      <c r="H93" s="26" t="str">
        <f t="shared" si="34"/>
        <v/>
      </c>
      <c r="I93" s="26" t="str">
        <f t="shared" si="34"/>
        <v/>
      </c>
      <c r="J93" s="26" t="str">
        <f t="shared" si="34"/>
        <v/>
      </c>
      <c r="M93" s="21"/>
      <c r="N93" s="10"/>
      <c r="O93" s="25"/>
      <c r="P93" s="25"/>
      <c r="Q93" s="25"/>
      <c r="R93" s="25"/>
      <c r="S93" s="25"/>
      <c r="T93" s="25"/>
    </row>
    <row r="94" spans="3:34">
      <c r="C94" s="12" t="str">
        <f t="shared" ca="1" si="32"/>
        <v/>
      </c>
      <c r="D94" s="22" t="str">
        <f t="shared" si="33"/>
        <v/>
      </c>
      <c r="E94" s="26" t="str">
        <f t="shared" si="34"/>
        <v/>
      </c>
      <c r="F94" s="26" t="str">
        <f t="shared" si="34"/>
        <v/>
      </c>
      <c r="G94" s="26" t="str">
        <f t="shared" si="34"/>
        <v/>
      </c>
      <c r="H94" s="26" t="str">
        <f t="shared" si="34"/>
        <v/>
      </c>
      <c r="I94" s="26" t="str">
        <f t="shared" si="34"/>
        <v/>
      </c>
      <c r="J94" s="26" t="str">
        <f t="shared" si="34"/>
        <v/>
      </c>
      <c r="M94" s="21"/>
      <c r="N94" s="10"/>
      <c r="O94" s="25"/>
      <c r="P94" s="25"/>
      <c r="Q94" s="25"/>
      <c r="R94" s="25"/>
      <c r="S94" s="25"/>
      <c r="T94" s="25"/>
    </row>
    <row r="95" spans="3:34">
      <c r="C95" s="12" t="str">
        <f t="shared" ca="1" si="32"/>
        <v/>
      </c>
      <c r="D95" s="22" t="str">
        <f t="shared" si="33"/>
        <v/>
      </c>
      <c r="E95" s="26" t="str">
        <f t="shared" si="34"/>
        <v/>
      </c>
      <c r="F95" s="26" t="str">
        <f t="shared" si="34"/>
        <v/>
      </c>
      <c r="G95" s="26" t="str">
        <f t="shared" si="34"/>
        <v/>
      </c>
      <c r="H95" s="26" t="str">
        <f t="shared" si="34"/>
        <v/>
      </c>
      <c r="I95" s="26" t="str">
        <f t="shared" si="34"/>
        <v/>
      </c>
      <c r="J95" s="26" t="str">
        <f t="shared" si="34"/>
        <v/>
      </c>
      <c r="M95" s="21"/>
      <c r="N95" s="10"/>
      <c r="O95" s="25"/>
      <c r="P95" s="25"/>
      <c r="Q95" s="25"/>
      <c r="R95" s="25"/>
      <c r="S95" s="25"/>
      <c r="T95" s="25"/>
    </row>
    <row r="96" spans="3:34">
      <c r="C96" s="12" t="str">
        <f t="shared" ca="1" si="32"/>
        <v/>
      </c>
      <c r="D96" s="22" t="str">
        <f t="shared" si="33"/>
        <v/>
      </c>
      <c r="E96" s="26" t="str">
        <f t="shared" si="34"/>
        <v/>
      </c>
      <c r="F96" s="26" t="str">
        <f t="shared" si="34"/>
        <v/>
      </c>
      <c r="G96" s="26" t="str">
        <f t="shared" si="34"/>
        <v/>
      </c>
      <c r="H96" s="26" t="str">
        <f t="shared" si="34"/>
        <v/>
      </c>
      <c r="I96" s="26" t="str">
        <f t="shared" si="34"/>
        <v/>
      </c>
      <c r="J96" s="26" t="str">
        <f t="shared" si="34"/>
        <v/>
      </c>
      <c r="M96" s="21"/>
      <c r="N96" s="10"/>
      <c r="O96" s="25"/>
      <c r="P96" s="25"/>
      <c r="Q96" s="25"/>
      <c r="R96" s="25"/>
      <c r="S96" s="25"/>
      <c r="T96"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37 E39:J43 E45:J48 E50:J59 E61:J72 E74:J96">
    <cfRule type="cellIs" dxfId="130" priority="7" operator="equal">
      <formula>0</formula>
    </cfRule>
    <cfRule type="cellIs" dxfId="129" priority="8" operator="equal">
      <formula>1</formula>
    </cfRule>
  </conditionalFormatting>
  <conditionalFormatting sqref="O24:T96">
    <cfRule type="cellIs" dxfId="128" priority="1" operator="equal">
      <formula>0</formula>
    </cfRule>
    <cfRule type="cellIs" dxfId="127" priority="2" operator="greaterThan">
      <formula>0</formula>
    </cfRule>
  </conditionalFormatting>
  <conditionalFormatting sqref="U24:U39">
    <cfRule type="cellIs" dxfId="126" priority="3" operator="equal">
      <formula>0</formula>
    </cfRule>
    <cfRule type="cellIs" dxfId="125" priority="4" operator="greaterThan">
      <formula>0</formula>
    </cfRule>
  </conditionalFormatting>
  <conditionalFormatting sqref="AE25:AE30">
    <cfRule type="cellIs" dxfId="124" priority="5" operator="lessThan">
      <formula>0</formula>
    </cfRule>
    <cfRule type="cellIs" dxfId="123" priority="6" operator="greaterThan">
      <formula>0</formula>
    </cfRule>
  </conditionalFormatting>
  <pageMargins left="0.7" right="0.7" top="0.78740157499999996" bottom="0.78740157499999996" header="0.3" footer="0.3"/>
  <pageSetup paperSize="9" orientation="portrait" r:id="rId1"/>
  <ignoredErrors>
    <ignoredError sqref="M61" formula="1"/>
  </ignoredError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6641-20CC-48A7-9F20-CD4794B1F267}">
  <sheetPr codeName="Sheet11"/>
  <dimension ref="B1:AH94"/>
  <sheetViews>
    <sheetView zoomScale="70" zoomScaleNormal="70" zoomScaleSheetLayoutView="70" workbookViewId="0">
      <pane xSplit="14" ySplit="23" topLeftCell="O39" activePane="bottomRight" state="frozen"/>
      <selection pane="topRight" activeCell="P1" sqref="P1"/>
      <selection pane="bottomLeft" activeCell="A24" sqref="A24"/>
      <selection pane="bottomRight" activeCell="E48" sqref="E48:J48"/>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2995.2735682739599</v>
      </c>
      <c r="U5" s="237"/>
      <c r="V5" s="238" t="s">
        <v>53</v>
      </c>
      <c r="W5" s="239"/>
      <c r="X5" s="238" t="s">
        <v>57</v>
      </c>
      <c r="Y5" s="239"/>
      <c r="Z5" s="238" t="s">
        <v>62</v>
      </c>
      <c r="AA5" s="239"/>
    </row>
    <row r="6" spans="2:27" ht="23.25" customHeight="1">
      <c r="B6" s="6"/>
      <c r="L6" s="6"/>
      <c r="V6" s="240"/>
      <c r="W6" s="241"/>
      <c r="X6" s="240"/>
      <c r="Y6" s="241"/>
      <c r="Z6" s="240"/>
      <c r="AA6" s="241"/>
    </row>
    <row r="7" spans="2:2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SJU</v>
      </c>
      <c r="E8" s="12">
        <f>ROUND(HLOOKUP(D8,$E$18:$J$20,3,FALSE),0)</f>
        <v>37</v>
      </c>
      <c r="F8" s="64">
        <f ca="1">E8/$C$20</f>
        <v>0.69811320754716977</v>
      </c>
      <c r="G8" s="28">
        <f t="shared" ref="G8:G10" ca="1" si="2">1-F8</f>
        <v>0.30188679245283023</v>
      </c>
      <c r="L8" s="6"/>
      <c r="N8" s="10" t="s">
        <v>2</v>
      </c>
      <c r="O8" s="13">
        <f>R20</f>
        <v>476</v>
      </c>
      <c r="P8" s="13">
        <v>0</v>
      </c>
      <c r="Q8" s="221"/>
      <c r="R8" s="221"/>
      <c r="S8" s="221" t="s">
        <v>18</v>
      </c>
      <c r="T8" s="221"/>
      <c r="V8" s="221" t="s">
        <v>49</v>
      </c>
      <c r="W8" s="221"/>
      <c r="X8" s="221" t="s">
        <v>59</v>
      </c>
      <c r="Y8" s="221"/>
      <c r="Z8" s="221" t="s">
        <v>66</v>
      </c>
      <c r="AA8" s="221"/>
    </row>
    <row r="9" spans="2:27">
      <c r="B9" s="6">
        <v>2</v>
      </c>
      <c r="C9" s="12">
        <f>B9</f>
        <v>2</v>
      </c>
      <c r="D9" s="10" t="str">
        <f>HLOOKUP($B9,$E$17:$J$20,2,FALSE)</f>
        <v>MSO</v>
      </c>
      <c r="E9" s="12">
        <f t="shared" ref="E9:E11" si="3">ROUND(HLOOKUP(D9,$E$18:$J$20,3,FALSE),0)</f>
        <v>35</v>
      </c>
      <c r="F9" s="28">
        <f ca="1">E9/$C$20</f>
        <v>0.660377358490566</v>
      </c>
      <c r="G9" s="28">
        <f ca="1">1-F9</f>
        <v>0.339622641509434</v>
      </c>
      <c r="L9" s="6"/>
      <c r="N9" s="10" t="s">
        <v>4</v>
      </c>
      <c r="O9" s="13">
        <f>P20</f>
        <v>269</v>
      </c>
      <c r="P9" s="13">
        <v>0</v>
      </c>
      <c r="Q9" s="221"/>
      <c r="R9" s="221"/>
      <c r="S9" s="221" t="s">
        <v>18</v>
      </c>
      <c r="T9" s="221"/>
      <c r="V9" s="221" t="s">
        <v>50</v>
      </c>
      <c r="W9" s="221"/>
      <c r="X9" s="221" t="s">
        <v>58</v>
      </c>
      <c r="Y9" s="221"/>
      <c r="Z9" s="221" t="s">
        <v>65</v>
      </c>
      <c r="AA9" s="221"/>
    </row>
    <row r="10" spans="2:27">
      <c r="B10" s="6">
        <v>3</v>
      </c>
      <c r="C10" s="12">
        <f t="shared" si="0"/>
        <v>3</v>
      </c>
      <c r="D10" s="10" t="str">
        <f t="shared" si="1"/>
        <v>CBO</v>
      </c>
      <c r="E10" s="12">
        <f t="shared" si="3"/>
        <v>32</v>
      </c>
      <c r="F10" s="28">
        <f ca="1">E10/$C$20</f>
        <v>0.60377358490566035</v>
      </c>
      <c r="G10" s="28">
        <f t="shared" ca="1" si="2"/>
        <v>0.39622641509433965</v>
      </c>
      <c r="L10" s="6"/>
      <c r="N10" s="10" t="s">
        <v>3</v>
      </c>
      <c r="O10" s="13">
        <f>S20</f>
        <v>215</v>
      </c>
      <c r="P10" s="13">
        <v>0</v>
      </c>
      <c r="Q10" s="221"/>
      <c r="R10" s="221"/>
      <c r="S10" s="221" t="s">
        <v>18</v>
      </c>
      <c r="T10" s="221"/>
      <c r="V10" s="221" t="s">
        <v>49</v>
      </c>
      <c r="W10" s="221"/>
      <c r="X10" s="221" t="s">
        <v>61</v>
      </c>
      <c r="Y10" s="221"/>
      <c r="Z10" s="221" t="s">
        <v>67</v>
      </c>
      <c r="AA10" s="221"/>
    </row>
    <row r="11" spans="2:27">
      <c r="B11" s="6">
        <v>4</v>
      </c>
      <c r="C11" s="12">
        <f t="shared" si="0"/>
        <v>4</v>
      </c>
      <c r="D11" s="10" t="str">
        <f t="shared" si="1"/>
        <v>PKN</v>
      </c>
      <c r="E11" s="12">
        <f t="shared" si="3"/>
        <v>26</v>
      </c>
      <c r="F11" s="28">
        <f t="shared" ref="F11" ca="1" si="4">E11/$C$20</f>
        <v>0.49056603773584906</v>
      </c>
      <c r="G11" s="28">
        <f ca="1">1-F11</f>
        <v>0.50943396226415094</v>
      </c>
      <c r="L11" s="6"/>
      <c r="N11" s="10" t="s">
        <v>1</v>
      </c>
      <c r="O11" s="13">
        <f>Q20</f>
        <v>332</v>
      </c>
      <c r="P11" s="13">
        <v>0</v>
      </c>
      <c r="Q11" s="221"/>
      <c r="R11" s="221"/>
      <c r="S11" s="221" t="s">
        <v>18</v>
      </c>
      <c r="T11" s="221"/>
      <c r="V11" s="221" t="s">
        <v>49</v>
      </c>
      <c r="W11" s="221"/>
      <c r="X11" s="221" t="s">
        <v>60</v>
      </c>
      <c r="Y11" s="221"/>
      <c r="Z11" s="221" t="s">
        <v>68</v>
      </c>
      <c r="AA11" s="221"/>
    </row>
    <row r="12" spans="2:27">
      <c r="B12" s="6">
        <v>5</v>
      </c>
      <c r="C12" s="12">
        <f t="shared" si="0"/>
        <v>5</v>
      </c>
      <c r="D12" s="10" t="str">
        <f t="shared" si="1"/>
        <v>JWU</v>
      </c>
      <c r="E12" s="12">
        <f>ROUND(HLOOKUP(D12,$E$18:$J$20,3,FALSE),0)</f>
        <v>21</v>
      </c>
      <c r="F12" s="28">
        <f ca="1">E12/$C$20</f>
        <v>0.39622641509433965</v>
      </c>
      <c r="G12" s="28">
        <f ca="1">1-F12</f>
        <v>0.60377358490566035</v>
      </c>
      <c r="L12" s="6"/>
      <c r="N12" s="10" t="s">
        <v>0</v>
      </c>
      <c r="O12" s="47">
        <f>O20</f>
        <v>407</v>
      </c>
      <c r="P12" s="13">
        <v>0</v>
      </c>
      <c r="Q12" s="221"/>
      <c r="R12" s="221"/>
      <c r="S12" s="221" t="s">
        <v>18</v>
      </c>
      <c r="T12" s="221"/>
      <c r="V12" s="221" t="s">
        <v>51</v>
      </c>
      <c r="W12" s="221"/>
      <c r="X12" s="221" t="s">
        <v>84</v>
      </c>
      <c r="Y12" s="221"/>
      <c r="Z12" s="221" t="s">
        <v>64</v>
      </c>
      <c r="AA12" s="221"/>
    </row>
    <row r="13" spans="2:27">
      <c r="B13" s="6">
        <v>6</v>
      </c>
      <c r="C13" s="12">
        <f t="shared" si="0"/>
        <v>6</v>
      </c>
      <c r="D13" s="10" t="str">
        <f t="shared" si="1"/>
        <v>YMI</v>
      </c>
      <c r="E13" s="12">
        <f>ROUND(HLOOKUP(D13,$E$18:$J$20,3,FALSE),0)</f>
        <v>15</v>
      </c>
      <c r="F13" s="28">
        <f ca="1">E13/$C$20</f>
        <v>0.28301886792452829</v>
      </c>
      <c r="G13" s="28">
        <f ca="1">1-F13</f>
        <v>0.71698113207547176</v>
      </c>
      <c r="L13" s="6"/>
      <c r="N13" s="10" t="s">
        <v>22</v>
      </c>
      <c r="O13" s="13">
        <f>T20</f>
        <v>248</v>
      </c>
      <c r="P13" s="13">
        <v>0</v>
      </c>
      <c r="Q13" s="221"/>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149999999999999" thickBot="1">
      <c r="B16" s="6"/>
      <c r="L16" s="6"/>
      <c r="N16" s="14" t="s">
        <v>19</v>
      </c>
      <c r="O16" s="15">
        <f>SUM(O8:O13)</f>
        <v>1947</v>
      </c>
      <c r="P16" s="87"/>
      <c r="Q16" s="252" t="s">
        <v>334</v>
      </c>
      <c r="R16" s="253"/>
      <c r="S16" s="15">
        <f>AD31</f>
        <v>1048.2735682739599</v>
      </c>
      <c r="V16" s="139" t="s">
        <v>125</v>
      </c>
      <c r="W16" s="140">
        <f>O16+S16</f>
        <v>2995.2735682739599</v>
      </c>
    </row>
    <row r="17" spans="2:34" ht="12" customHeight="1">
      <c r="B17" s="6"/>
      <c r="E17" s="27">
        <f t="shared" ref="E17:J17" si="5">RANK(E20,$E20:$J20)</f>
        <v>5</v>
      </c>
      <c r="F17" s="27">
        <f t="shared" si="5"/>
        <v>3</v>
      </c>
      <c r="G17" s="27">
        <f t="shared" si="5"/>
        <v>4</v>
      </c>
      <c r="H17" s="27">
        <f t="shared" si="5"/>
        <v>6</v>
      </c>
      <c r="I17" s="27">
        <f t="shared" si="5"/>
        <v>1</v>
      </c>
      <c r="J17" s="27">
        <f t="shared" si="5"/>
        <v>2</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COUNT(C23:C94)</f>
        <v>53</v>
      </c>
      <c r="E20" s="24">
        <f>SUM(E25:E94)+0.00007</f>
        <v>21.000070000000001</v>
      </c>
      <c r="F20" s="24">
        <f>SUM(F25:F94)+0.00005</f>
        <v>32.000050000000002</v>
      </c>
      <c r="G20" s="24">
        <f>SUM(G25:G94)+0.00008</f>
        <v>26.000080000000001</v>
      </c>
      <c r="H20" s="24">
        <f>SUM(H25:H94)+0.00006</f>
        <v>15.00006</v>
      </c>
      <c r="I20" s="24">
        <f>SUM(I25:I94)+0.00009</f>
        <v>37.00009</v>
      </c>
      <c r="J20" s="24">
        <f>SUM(J25:J94)+0.0001</f>
        <v>35.000100000000003</v>
      </c>
      <c r="L20" s="6"/>
      <c r="O20" s="19">
        <f t="shared" ref="O20:T20" si="6">SUM(O24:O94)</f>
        <v>407</v>
      </c>
      <c r="P20" s="19">
        <f t="shared" si="6"/>
        <v>269</v>
      </c>
      <c r="Q20" s="19">
        <f t="shared" si="6"/>
        <v>332</v>
      </c>
      <c r="R20" s="19">
        <f t="shared" si="6"/>
        <v>476</v>
      </c>
      <c r="S20" s="19">
        <f t="shared" si="6"/>
        <v>215</v>
      </c>
      <c r="T20" s="19">
        <f t="shared" si="6"/>
        <v>248</v>
      </c>
      <c r="U20" s="19"/>
      <c r="W20" s="226" t="s">
        <v>335</v>
      </c>
      <c r="X20" s="226"/>
      <c r="Y20" s="226"/>
      <c r="Z20" s="226"/>
    </row>
    <row r="21" spans="2:34" ht="6" customHeight="1">
      <c r="B21" s="6"/>
      <c r="E21" s="2"/>
      <c r="F21" s="2"/>
      <c r="G21" s="2"/>
      <c r="H21" s="2"/>
      <c r="I21" s="2"/>
      <c r="J21" s="2"/>
      <c r="L21" s="6"/>
      <c r="O21" s="20"/>
      <c r="P21" s="20"/>
      <c r="Q21" s="20"/>
      <c r="R21" s="20"/>
      <c r="S21" s="20"/>
      <c r="T21" s="20"/>
      <c r="U21" s="20"/>
      <c r="W21" s="226"/>
      <c r="X21" s="226"/>
      <c r="Y21" s="226"/>
      <c r="Z21" s="226"/>
    </row>
    <row r="22" spans="2:34">
      <c r="B22" s="6"/>
      <c r="E22" s="18">
        <v>3</v>
      </c>
      <c r="F22" s="18">
        <v>5</v>
      </c>
      <c r="G22" s="18">
        <v>6</v>
      </c>
      <c r="H22" s="18">
        <v>7</v>
      </c>
      <c r="I22" s="18">
        <v>8</v>
      </c>
      <c r="J22" s="18">
        <v>1</v>
      </c>
      <c r="L22" s="6"/>
      <c r="W22" s="226"/>
      <c r="X22" s="226"/>
      <c r="Y22" s="226"/>
      <c r="Z22" s="226"/>
      <c r="AB22" s="1" t="s">
        <v>340</v>
      </c>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44967</v>
      </c>
      <c r="N24" s="67" t="s">
        <v>20</v>
      </c>
      <c r="O24" s="25">
        <v>20</v>
      </c>
      <c r="P24" s="25">
        <v>20</v>
      </c>
      <c r="Q24" s="25">
        <v>20</v>
      </c>
      <c r="R24" s="25">
        <v>20</v>
      </c>
      <c r="S24" s="25">
        <v>20</v>
      </c>
      <c r="T24" s="25">
        <v>20</v>
      </c>
      <c r="U24" s="25"/>
      <c r="X24" s="33" t="s">
        <v>316</v>
      </c>
      <c r="Y24" s="33" t="s">
        <v>318</v>
      </c>
      <c r="Z24" s="33" t="s">
        <v>317</v>
      </c>
      <c r="AA24" s="33" t="s">
        <v>348</v>
      </c>
      <c r="AB24" s="33" t="s">
        <v>338</v>
      </c>
      <c r="AC24" s="33" t="s">
        <v>342</v>
      </c>
      <c r="AD24" s="33" t="s">
        <v>341</v>
      </c>
      <c r="AE24" s="33" t="s">
        <v>327</v>
      </c>
      <c r="AF24" s="34"/>
      <c r="AG24" s="182"/>
      <c r="AH24" s="182"/>
    </row>
    <row r="25" spans="2:34">
      <c r="B25" s="6"/>
      <c r="C25" s="12">
        <v>1</v>
      </c>
      <c r="D25" s="22">
        <f>M25</f>
        <v>44967</v>
      </c>
      <c r="E25" s="26">
        <f t="shared" ref="E25:J26" si="7">IF(O25="","",IF(O25=0,1,0))</f>
        <v>0</v>
      </c>
      <c r="F25" s="26">
        <f t="shared" si="7"/>
        <v>0</v>
      </c>
      <c r="G25" s="26">
        <f t="shared" si="7"/>
        <v>1</v>
      </c>
      <c r="H25" s="26">
        <f>IF(R25="","",IF(R25=0,1,0))</f>
        <v>0</v>
      </c>
      <c r="I25" s="26">
        <f t="shared" si="7"/>
        <v>1</v>
      </c>
      <c r="J25" s="26">
        <f t="shared" si="7"/>
        <v>1</v>
      </c>
      <c r="L25" s="6"/>
      <c r="M25" s="21">
        <f>M24</f>
        <v>44967</v>
      </c>
      <c r="N25" s="10" t="s">
        <v>24</v>
      </c>
      <c r="O25" s="25">
        <v>12</v>
      </c>
      <c r="P25" s="25">
        <v>12</v>
      </c>
      <c r="Q25" s="25">
        <v>0</v>
      </c>
      <c r="R25" s="25">
        <v>12</v>
      </c>
      <c r="S25" s="25">
        <v>0</v>
      </c>
      <c r="T25" s="25">
        <v>0</v>
      </c>
      <c r="U25" s="25"/>
      <c r="X25" s="10" t="s">
        <v>32</v>
      </c>
      <c r="Y25" s="167" t="s">
        <v>320</v>
      </c>
      <c r="Z25" s="170">
        <v>21.467017120000001</v>
      </c>
      <c r="AA25" s="168">
        <v>8.8619671255006658</v>
      </c>
      <c r="AB25" s="10">
        <v>190</v>
      </c>
      <c r="AC25" s="183">
        <v>6.0011999999999999</v>
      </c>
      <c r="AD25" s="10">
        <f>Z25*AC25</f>
        <v>128.827863140544</v>
      </c>
      <c r="AE25" s="170">
        <f t="shared" ref="AE25:AE30" si="8">(AC25*100/AA25)-100</f>
        <v>-32.281400788191746</v>
      </c>
      <c r="AG25" s="182"/>
      <c r="AH25" s="182"/>
    </row>
    <row r="26" spans="2:34">
      <c r="B26" s="6"/>
      <c r="C26" s="12">
        <f t="shared" ref="C26" ca="1" si="9">IF(D26&lt;=TODAY(),1,"")</f>
        <v>1</v>
      </c>
      <c r="D26" s="22">
        <f t="shared" ref="D26" si="10">IF(M26="","",M26)</f>
        <v>44974</v>
      </c>
      <c r="E26" s="26">
        <f t="shared" si="7"/>
        <v>0</v>
      </c>
      <c r="F26" s="26">
        <f t="shared" si="7"/>
        <v>1</v>
      </c>
      <c r="G26" s="26">
        <f t="shared" si="7"/>
        <v>0</v>
      </c>
      <c r="H26" s="26">
        <f t="shared" si="7"/>
        <v>0</v>
      </c>
      <c r="I26" s="26">
        <f t="shared" si="7"/>
        <v>1</v>
      </c>
      <c r="J26" s="26">
        <f t="shared" si="7"/>
        <v>0</v>
      </c>
      <c r="M26" s="21">
        <f>M25+7</f>
        <v>44974</v>
      </c>
      <c r="N26" s="10" t="s">
        <v>24</v>
      </c>
      <c r="O26" s="25">
        <v>12</v>
      </c>
      <c r="P26" s="25">
        <v>0</v>
      </c>
      <c r="Q26" s="25">
        <v>12</v>
      </c>
      <c r="R26" s="25">
        <v>12</v>
      </c>
      <c r="S26" s="25">
        <v>0</v>
      </c>
      <c r="T26" s="25">
        <v>12</v>
      </c>
      <c r="U26" s="25"/>
      <c r="X26" s="10" t="s">
        <v>3</v>
      </c>
      <c r="Y26" s="10" t="s">
        <v>321</v>
      </c>
      <c r="Z26" s="170">
        <v>514.90734899999995</v>
      </c>
      <c r="AA26" s="168">
        <v>0.36946452671430025</v>
      </c>
      <c r="AB26" s="10">
        <f>AB25</f>
        <v>190</v>
      </c>
      <c r="AC26" s="183">
        <v>0.48759999999999998</v>
      </c>
      <c r="AD26" s="10">
        <f t="shared" ref="AD26:AD30" si="11">Z26*AC26</f>
        <v>251.06882337239998</v>
      </c>
      <c r="AE26" s="170">
        <f t="shared" si="8"/>
        <v>31.974780998948688</v>
      </c>
      <c r="AG26" s="182"/>
      <c r="AH26" s="182"/>
    </row>
    <row r="27" spans="2:34">
      <c r="B27" s="6"/>
      <c r="C27" s="12">
        <f t="shared" ref="C27:C74" ca="1" si="12">IF(D27&lt;=TODAY(),1,"")</f>
        <v>1</v>
      </c>
      <c r="D27" s="22">
        <f t="shared" ref="D27:D74" si="13">IF(M27="","",M27)</f>
        <v>44981</v>
      </c>
      <c r="E27" s="26">
        <f t="shared" ref="E27:E74" si="14">IF(O27="","",IF(O27=0,1,0))</f>
        <v>0</v>
      </c>
      <c r="F27" s="26">
        <f t="shared" ref="F27:F74" si="15">IF(P27="","",IF(P27=0,1,0))</f>
        <v>0</v>
      </c>
      <c r="G27" s="26">
        <f t="shared" ref="G27:G74" si="16">IF(Q27="","",IF(Q27=0,1,0))</f>
        <v>1</v>
      </c>
      <c r="H27" s="26">
        <f t="shared" ref="H27:H74" si="17">IF(R27="","",IF(R27=0,1,0))</f>
        <v>0</v>
      </c>
      <c r="I27" s="26">
        <f t="shared" ref="I27:I74" si="18">IF(S27="","",IF(S27=0,1,0))</f>
        <v>1</v>
      </c>
      <c r="J27" s="26">
        <f t="shared" ref="J27:J74" si="19">IF(T27="","",IF(T27=0,1,0))</f>
        <v>1</v>
      </c>
      <c r="M27" s="21">
        <f>M26+7</f>
        <v>44981</v>
      </c>
      <c r="N27" s="10" t="s">
        <v>24</v>
      </c>
      <c r="O27" s="25">
        <v>12</v>
      </c>
      <c r="P27" s="25">
        <v>12</v>
      </c>
      <c r="Q27" s="25">
        <v>0</v>
      </c>
      <c r="R27" s="25">
        <v>12</v>
      </c>
      <c r="S27" s="25">
        <v>0</v>
      </c>
      <c r="T27" s="25">
        <v>0</v>
      </c>
      <c r="U27" s="25"/>
      <c r="X27" s="10" t="s">
        <v>1</v>
      </c>
      <c r="Y27" s="10" t="s">
        <v>322</v>
      </c>
      <c r="Z27" s="170">
        <v>100.37945723</v>
      </c>
      <c r="AA27" s="168">
        <v>1.8952084943446352</v>
      </c>
      <c r="AB27" s="10">
        <f t="shared" ref="AB27:AB30" si="20">AB26</f>
        <v>190</v>
      </c>
      <c r="AC27" s="183">
        <v>1.6993</v>
      </c>
      <c r="AD27" s="10">
        <f>Z27*AC27</f>
        <v>170.574811670939</v>
      </c>
      <c r="AE27" s="170">
        <f t="shared" si="8"/>
        <v>-10.337041804594719</v>
      </c>
      <c r="AG27" s="182"/>
      <c r="AH27" s="182"/>
    </row>
    <row r="28" spans="2:34">
      <c r="B28" s="6"/>
      <c r="C28" s="12">
        <f t="shared" ca="1" si="12"/>
        <v>1</v>
      </c>
      <c r="D28" s="22">
        <f t="shared" si="13"/>
        <v>44988</v>
      </c>
      <c r="E28" s="26">
        <f t="shared" si="14"/>
        <v>1</v>
      </c>
      <c r="F28" s="26">
        <f t="shared" si="15"/>
        <v>1</v>
      </c>
      <c r="G28" s="26">
        <f t="shared" si="16"/>
        <v>1</v>
      </c>
      <c r="H28" s="26">
        <f t="shared" si="17"/>
        <v>0</v>
      </c>
      <c r="I28" s="26">
        <f t="shared" si="18"/>
        <v>1</v>
      </c>
      <c r="J28" s="26">
        <f t="shared" si="19"/>
        <v>0</v>
      </c>
      <c r="M28" s="21">
        <f t="shared" ref="M28:M30" si="21">M27+7</f>
        <v>44988</v>
      </c>
      <c r="N28" s="10" t="s">
        <v>24</v>
      </c>
      <c r="O28" s="25">
        <v>0</v>
      </c>
      <c r="P28" s="25">
        <v>0</v>
      </c>
      <c r="Q28" s="25">
        <v>0</v>
      </c>
      <c r="R28" s="25">
        <v>12</v>
      </c>
      <c r="S28" s="25">
        <v>0</v>
      </c>
      <c r="T28" s="25">
        <v>12</v>
      </c>
      <c r="U28" s="25"/>
      <c r="X28" s="10" t="s">
        <v>0</v>
      </c>
      <c r="Y28" s="10" t="s">
        <v>323</v>
      </c>
      <c r="Z28" s="170">
        <v>15448414.2267</v>
      </c>
      <c r="AA28" s="171">
        <v>1.2314532560319491E-5</v>
      </c>
      <c r="AB28" s="10">
        <f t="shared" si="20"/>
        <v>190</v>
      </c>
      <c r="AC28" s="184">
        <v>8.3100000000000001E-6</v>
      </c>
      <c r="AD28" s="10">
        <f t="shared" si="11"/>
        <v>128.376322223877</v>
      </c>
      <c r="AE28" s="170">
        <f t="shared" si="8"/>
        <v>-32.518754087533111</v>
      </c>
      <c r="AG28" s="182"/>
      <c r="AH28" s="182"/>
    </row>
    <row r="29" spans="2:34">
      <c r="B29" s="6"/>
      <c r="C29" s="12">
        <f t="shared" ca="1" si="12"/>
        <v>1</v>
      </c>
      <c r="D29" s="22">
        <f t="shared" si="13"/>
        <v>44995</v>
      </c>
      <c r="E29" s="26">
        <f t="shared" si="14"/>
        <v>1</v>
      </c>
      <c r="F29" s="26">
        <f t="shared" si="15"/>
        <v>0</v>
      </c>
      <c r="G29" s="26">
        <f t="shared" si="16"/>
        <v>0</v>
      </c>
      <c r="H29" s="26">
        <f t="shared" si="17"/>
        <v>0</v>
      </c>
      <c r="I29" s="26">
        <f t="shared" si="18"/>
        <v>0</v>
      </c>
      <c r="J29" s="26">
        <f t="shared" si="19"/>
        <v>1</v>
      </c>
      <c r="M29" s="21">
        <f t="shared" si="21"/>
        <v>44995</v>
      </c>
      <c r="N29" s="10" t="s">
        <v>24</v>
      </c>
      <c r="O29" s="25">
        <v>0</v>
      </c>
      <c r="P29" s="25">
        <v>12</v>
      </c>
      <c r="Q29" s="25">
        <v>12</v>
      </c>
      <c r="R29" s="25">
        <v>12</v>
      </c>
      <c r="S29" s="25">
        <v>12</v>
      </c>
      <c r="T29" s="25">
        <v>0</v>
      </c>
      <c r="U29" s="25"/>
      <c r="V29" s="58"/>
      <c r="X29" s="10" t="s">
        <v>2</v>
      </c>
      <c r="Y29" s="10" t="s">
        <v>324</v>
      </c>
      <c r="Z29" s="170">
        <v>147.60700398</v>
      </c>
      <c r="AA29" s="168">
        <v>1.2888277308695768</v>
      </c>
      <c r="AB29" s="10">
        <f t="shared" si="20"/>
        <v>190</v>
      </c>
      <c r="AC29" s="184">
        <v>0.94</v>
      </c>
      <c r="AD29" s="10">
        <f t="shared" si="11"/>
        <v>138.75058374119999</v>
      </c>
      <c r="AE29" s="170">
        <f t="shared" si="8"/>
        <v>-27.065504761774591</v>
      </c>
      <c r="AG29" s="182"/>
      <c r="AH29" s="182"/>
    </row>
    <row r="30" spans="2:34">
      <c r="B30" s="6"/>
      <c r="C30" s="12"/>
      <c r="D30" s="10"/>
      <c r="E30" s="12"/>
      <c r="F30" s="12"/>
      <c r="G30" s="12"/>
      <c r="H30" s="12"/>
      <c r="I30" s="12"/>
      <c r="J30" s="12"/>
      <c r="M30" s="21">
        <f t="shared" si="21"/>
        <v>45002</v>
      </c>
      <c r="N30" s="10" t="s">
        <v>43</v>
      </c>
      <c r="O30" s="25">
        <v>6</v>
      </c>
      <c r="P30" s="25"/>
      <c r="Q30" s="25"/>
      <c r="R30" s="25"/>
      <c r="S30" s="25"/>
      <c r="T30" s="25"/>
      <c r="U30" s="25"/>
      <c r="X30" s="177" t="s">
        <v>4</v>
      </c>
      <c r="Y30" s="177" t="s">
        <v>319</v>
      </c>
      <c r="Z30" s="178">
        <v>0.12023725</v>
      </c>
      <c r="AA30" s="179">
        <v>1582.205181838407</v>
      </c>
      <c r="AB30" s="10">
        <f t="shared" si="20"/>
        <v>190</v>
      </c>
      <c r="AC30" s="180">
        <v>1918.5</v>
      </c>
      <c r="AD30" s="177">
        <f t="shared" si="11"/>
        <v>230.67516412500001</v>
      </c>
      <c r="AE30" s="170">
        <f t="shared" si="8"/>
        <v>21.2548171388772</v>
      </c>
      <c r="AG30" s="182"/>
      <c r="AH30" s="182"/>
    </row>
    <row r="31" spans="2:34">
      <c r="B31" s="6"/>
      <c r="C31" s="12">
        <f t="shared" ca="1" si="12"/>
        <v>1</v>
      </c>
      <c r="D31" s="22">
        <f t="shared" si="13"/>
        <v>45002</v>
      </c>
      <c r="E31" s="26">
        <f t="shared" si="14"/>
        <v>1</v>
      </c>
      <c r="F31" s="26">
        <f t="shared" si="15"/>
        <v>0</v>
      </c>
      <c r="G31" s="26">
        <f t="shared" si="16"/>
        <v>0</v>
      </c>
      <c r="H31" s="26">
        <f t="shared" si="17"/>
        <v>0</v>
      </c>
      <c r="I31" s="26">
        <f t="shared" si="18"/>
        <v>0</v>
      </c>
      <c r="J31" s="26">
        <f t="shared" si="19"/>
        <v>0</v>
      </c>
      <c r="M31" s="21">
        <v>45002</v>
      </c>
      <c r="N31" s="10" t="s">
        <v>24</v>
      </c>
      <c r="O31" s="25">
        <v>0</v>
      </c>
      <c r="P31" s="25">
        <v>12</v>
      </c>
      <c r="Q31" s="25">
        <v>12</v>
      </c>
      <c r="R31" s="25">
        <v>12</v>
      </c>
      <c r="S31" s="25">
        <v>12</v>
      </c>
      <c r="T31" s="25">
        <v>12</v>
      </c>
      <c r="U31" s="25"/>
      <c r="X31" s="254" t="s">
        <v>339</v>
      </c>
      <c r="Y31" s="254"/>
      <c r="Z31" s="254"/>
      <c r="AA31" s="254"/>
      <c r="AB31" s="33">
        <v>1141.44</v>
      </c>
      <c r="AC31" s="167"/>
      <c r="AD31" s="33">
        <f>SUM(AD25:AD30)</f>
        <v>1048.2735682739599</v>
      </c>
      <c r="AE31" s="181">
        <f>AD31/AB31-1</f>
        <v>-8.1621838840447269E-2</v>
      </c>
      <c r="AG31" s="182"/>
      <c r="AH31" s="182"/>
    </row>
    <row r="32" spans="2:34">
      <c r="B32" s="6"/>
      <c r="C32" s="12">
        <f t="shared" ca="1" si="12"/>
        <v>1</v>
      </c>
      <c r="D32" s="22">
        <f t="shared" si="13"/>
        <v>45009</v>
      </c>
      <c r="E32" s="26">
        <f t="shared" si="14"/>
        <v>0</v>
      </c>
      <c r="F32" s="26">
        <f t="shared" si="15"/>
        <v>1</v>
      </c>
      <c r="G32" s="26">
        <f t="shared" si="16"/>
        <v>0</v>
      </c>
      <c r="H32" s="26">
        <f t="shared" si="17"/>
        <v>0</v>
      </c>
      <c r="I32" s="26">
        <f t="shared" si="18"/>
        <v>1</v>
      </c>
      <c r="J32" s="26">
        <f t="shared" si="19"/>
        <v>1</v>
      </c>
      <c r="M32" s="21">
        <v>45009</v>
      </c>
      <c r="N32" s="10" t="s">
        <v>24</v>
      </c>
      <c r="O32" s="25">
        <v>12</v>
      </c>
      <c r="P32" s="25">
        <v>0</v>
      </c>
      <c r="Q32" s="25">
        <v>12</v>
      </c>
      <c r="R32" s="25">
        <v>12</v>
      </c>
      <c r="S32" s="25">
        <v>0</v>
      </c>
      <c r="T32" s="25">
        <v>0</v>
      </c>
      <c r="U32" s="25"/>
      <c r="Y32" s="182"/>
      <c r="Z32" s="182"/>
    </row>
    <row r="33" spans="2:34">
      <c r="B33" s="6"/>
      <c r="C33" s="12">
        <f t="shared" ca="1" si="12"/>
        <v>1</v>
      </c>
      <c r="D33" s="22">
        <f t="shared" si="13"/>
        <v>45016</v>
      </c>
      <c r="E33" s="26">
        <f t="shared" si="14"/>
        <v>0</v>
      </c>
      <c r="F33" s="26">
        <f t="shared" si="15"/>
        <v>1</v>
      </c>
      <c r="G33" s="26">
        <f t="shared" si="16"/>
        <v>0</v>
      </c>
      <c r="H33" s="26">
        <f t="shared" si="17"/>
        <v>0</v>
      </c>
      <c r="I33" s="26">
        <f t="shared" si="18"/>
        <v>1</v>
      </c>
      <c r="J33" s="26">
        <f t="shared" si="19"/>
        <v>1</v>
      </c>
      <c r="M33" s="21">
        <v>45016</v>
      </c>
      <c r="N33" s="10" t="s">
        <v>24</v>
      </c>
      <c r="O33" s="25">
        <v>12</v>
      </c>
      <c r="P33" s="25">
        <v>0</v>
      </c>
      <c r="Q33" s="25">
        <v>12</v>
      </c>
      <c r="R33" s="25">
        <v>12</v>
      </c>
      <c r="S33" s="25">
        <v>0</v>
      </c>
      <c r="T33" s="25">
        <v>0</v>
      </c>
      <c r="U33" s="25"/>
      <c r="Y33" s="182"/>
      <c r="Z33" s="182"/>
    </row>
    <row r="34" spans="2:34">
      <c r="B34" s="6"/>
      <c r="C34" s="12">
        <f t="shared" ca="1" si="12"/>
        <v>1</v>
      </c>
      <c r="D34" s="22">
        <f t="shared" si="13"/>
        <v>45030</v>
      </c>
      <c r="E34" s="26">
        <f t="shared" si="14"/>
        <v>0</v>
      </c>
      <c r="F34" s="26">
        <f t="shared" si="15"/>
        <v>1</v>
      </c>
      <c r="G34" s="26">
        <f t="shared" si="16"/>
        <v>0</v>
      </c>
      <c r="H34" s="26">
        <f t="shared" si="17"/>
        <v>0</v>
      </c>
      <c r="I34" s="26">
        <f t="shared" si="18"/>
        <v>1</v>
      </c>
      <c r="J34" s="26">
        <f t="shared" si="19"/>
        <v>0</v>
      </c>
      <c r="M34" s="21">
        <v>45030</v>
      </c>
      <c r="N34" s="10" t="s">
        <v>24</v>
      </c>
      <c r="O34" s="25">
        <v>12</v>
      </c>
      <c r="P34" s="25">
        <v>0</v>
      </c>
      <c r="Q34" s="25">
        <v>12</v>
      </c>
      <c r="R34" s="25">
        <v>12</v>
      </c>
      <c r="S34" s="25">
        <v>0</v>
      </c>
      <c r="T34" s="25">
        <v>12</v>
      </c>
      <c r="U34" s="25"/>
      <c r="AD34" s="2"/>
      <c r="AG34" s="182"/>
      <c r="AH34" s="182"/>
    </row>
    <row r="35" spans="2:34">
      <c r="B35" s="6"/>
      <c r="C35" s="12"/>
      <c r="D35" s="10"/>
      <c r="E35" s="12"/>
      <c r="F35" s="12"/>
      <c r="G35" s="12"/>
      <c r="H35" s="12"/>
      <c r="I35" s="12"/>
      <c r="J35" s="12"/>
      <c r="M35" s="21">
        <v>45037</v>
      </c>
      <c r="N35" s="10" t="s">
        <v>43</v>
      </c>
      <c r="O35" s="25"/>
      <c r="P35" s="25"/>
      <c r="Q35" s="25"/>
      <c r="R35" s="25"/>
      <c r="S35" s="25"/>
      <c r="T35" s="25">
        <v>6</v>
      </c>
      <c r="U35" s="25"/>
      <c r="AB35" s="58"/>
      <c r="AG35" s="182"/>
      <c r="AH35" s="182"/>
    </row>
    <row r="36" spans="2:34">
      <c r="B36" s="6"/>
      <c r="C36" s="12">
        <f t="shared" ca="1" si="12"/>
        <v>1</v>
      </c>
      <c r="D36" s="22">
        <f t="shared" si="13"/>
        <v>45037</v>
      </c>
      <c r="E36" s="26">
        <f t="shared" si="14"/>
        <v>0</v>
      </c>
      <c r="F36" s="26">
        <f t="shared" si="15"/>
        <v>0</v>
      </c>
      <c r="G36" s="26">
        <f t="shared" si="16"/>
        <v>0</v>
      </c>
      <c r="H36" s="26">
        <f t="shared" si="17"/>
        <v>0</v>
      </c>
      <c r="I36" s="26">
        <f t="shared" si="18"/>
        <v>0</v>
      </c>
      <c r="J36" s="26">
        <f t="shared" si="19"/>
        <v>1</v>
      </c>
      <c r="M36" s="21">
        <v>45037</v>
      </c>
      <c r="N36" s="10" t="s">
        <v>24</v>
      </c>
      <c r="O36" s="25">
        <v>12</v>
      </c>
      <c r="P36" s="25">
        <v>12</v>
      </c>
      <c r="Q36" s="25">
        <v>12</v>
      </c>
      <c r="R36" s="25">
        <v>12</v>
      </c>
      <c r="S36" s="25">
        <v>12</v>
      </c>
      <c r="T36" s="25">
        <v>0</v>
      </c>
      <c r="U36" s="25"/>
      <c r="X36" s="10"/>
      <c r="Y36" s="189"/>
      <c r="Z36" s="189"/>
      <c r="AA36" s="33" t="s">
        <v>346</v>
      </c>
      <c r="AB36" s="33" t="s">
        <v>347</v>
      </c>
      <c r="AC36" s="27" t="s">
        <v>345</v>
      </c>
      <c r="AD36" s="27">
        <v>100</v>
      </c>
    </row>
    <row r="37" spans="2:34">
      <c r="B37" s="6"/>
      <c r="C37" s="12"/>
      <c r="D37" s="10"/>
      <c r="E37" s="12"/>
      <c r="F37" s="12"/>
      <c r="G37" s="12"/>
      <c r="H37" s="12"/>
      <c r="I37" s="12"/>
      <c r="J37" s="12"/>
      <c r="M37" s="21">
        <v>45044</v>
      </c>
      <c r="N37" s="10" t="s">
        <v>329</v>
      </c>
      <c r="O37" s="25"/>
      <c r="P37" s="25"/>
      <c r="Q37" s="25"/>
      <c r="R37" s="25"/>
      <c r="S37" s="25"/>
      <c r="T37" s="25">
        <v>3</v>
      </c>
      <c r="U37" s="25"/>
      <c r="X37" s="10" t="s">
        <v>32</v>
      </c>
      <c r="Y37" s="167" t="s">
        <v>320</v>
      </c>
      <c r="Z37" s="170">
        <v>21.467017120000001</v>
      </c>
      <c r="AA37" s="10">
        <f>AB37*100/AD37</f>
        <v>190.00307913373703</v>
      </c>
      <c r="AB37" s="10">
        <v>185.12</v>
      </c>
      <c r="AC37" s="27">
        <v>2.57</v>
      </c>
      <c r="AD37" s="27">
        <f>100-AC37</f>
        <v>97.43</v>
      </c>
    </row>
    <row r="38" spans="2:34" ht="16.5" customHeight="1">
      <c r="B38" s="6"/>
      <c r="C38" s="12">
        <f t="shared" ca="1" si="12"/>
        <v>1</v>
      </c>
      <c r="D38" s="22">
        <f t="shared" si="13"/>
        <v>45044</v>
      </c>
      <c r="E38" s="26">
        <f t="shared" si="14"/>
        <v>0</v>
      </c>
      <c r="F38" s="26">
        <f t="shared" si="15"/>
        <v>0</v>
      </c>
      <c r="G38" s="26">
        <f t="shared" si="16"/>
        <v>1</v>
      </c>
      <c r="H38" s="26">
        <f t="shared" si="17"/>
        <v>0</v>
      </c>
      <c r="I38" s="26">
        <f t="shared" si="18"/>
        <v>1</v>
      </c>
      <c r="J38" s="26">
        <f t="shared" si="19"/>
        <v>1</v>
      </c>
      <c r="M38" s="21">
        <f>M36+7</f>
        <v>45044</v>
      </c>
      <c r="N38" s="10" t="s">
        <v>24</v>
      </c>
      <c r="O38" s="25">
        <v>12</v>
      </c>
      <c r="P38" s="25">
        <v>12</v>
      </c>
      <c r="Q38" s="25">
        <v>0</v>
      </c>
      <c r="R38" s="25">
        <v>12</v>
      </c>
      <c r="S38" s="25">
        <v>0</v>
      </c>
      <c r="T38" s="25">
        <v>0</v>
      </c>
      <c r="U38" s="25"/>
      <c r="X38" s="10" t="s">
        <v>3</v>
      </c>
      <c r="Y38" s="10" t="s">
        <v>321</v>
      </c>
      <c r="Z38" s="170">
        <v>514.90734899999995</v>
      </c>
      <c r="AA38" s="10">
        <f t="shared" ref="AA38:AA42" si="22">AB38*100/AD38</f>
        <v>190.11414594374236</v>
      </c>
      <c r="AB38" s="10">
        <v>186.54</v>
      </c>
      <c r="AC38" s="27">
        <v>1.88</v>
      </c>
      <c r="AD38" s="27">
        <f>100-AC38</f>
        <v>98.12</v>
      </c>
    </row>
    <row r="39" spans="2:34" ht="16.5" customHeight="1">
      <c r="B39" s="6"/>
      <c r="C39" s="12">
        <f t="shared" ca="1" si="12"/>
        <v>1</v>
      </c>
      <c r="D39" s="22">
        <f t="shared" si="13"/>
        <v>45051</v>
      </c>
      <c r="E39" s="26">
        <f t="shared" si="14"/>
        <v>0</v>
      </c>
      <c r="F39" s="26">
        <f t="shared" si="15"/>
        <v>1</v>
      </c>
      <c r="G39" s="26">
        <f t="shared" si="16"/>
        <v>1</v>
      </c>
      <c r="H39" s="26">
        <f t="shared" si="17"/>
        <v>0</v>
      </c>
      <c r="I39" s="26">
        <f t="shared" si="18"/>
        <v>1</v>
      </c>
      <c r="J39" s="26">
        <f t="shared" si="19"/>
        <v>1</v>
      </c>
      <c r="M39" s="21">
        <f>M38+7</f>
        <v>45051</v>
      </c>
      <c r="N39" s="10" t="s">
        <v>24</v>
      </c>
      <c r="O39" s="25">
        <v>12</v>
      </c>
      <c r="P39" s="25">
        <v>0</v>
      </c>
      <c r="Q39" s="25">
        <v>0</v>
      </c>
      <c r="R39" s="25">
        <v>12</v>
      </c>
      <c r="S39" s="25">
        <v>0</v>
      </c>
      <c r="T39" s="25">
        <v>0</v>
      </c>
      <c r="U39" s="25"/>
      <c r="X39" s="10" t="s">
        <v>1</v>
      </c>
      <c r="Y39" s="10" t="s">
        <v>322</v>
      </c>
      <c r="Z39" s="170">
        <v>100.37945723</v>
      </c>
      <c r="AA39" s="10">
        <f t="shared" si="22"/>
        <v>189.94866529774126</v>
      </c>
      <c r="AB39" s="10">
        <v>185.01</v>
      </c>
      <c r="AC39" s="27">
        <v>2.6</v>
      </c>
      <c r="AD39" s="27">
        <f t="shared" ref="AD39:AD42" si="23">100-AC39</f>
        <v>97.4</v>
      </c>
    </row>
    <row r="40" spans="2:34">
      <c r="B40" s="6"/>
      <c r="C40" s="12">
        <f t="shared" ca="1" si="12"/>
        <v>1</v>
      </c>
      <c r="D40" s="22">
        <f t="shared" si="13"/>
        <v>45058</v>
      </c>
      <c r="E40" s="26">
        <f t="shared" si="14"/>
        <v>0</v>
      </c>
      <c r="F40" s="26">
        <f t="shared" si="15"/>
        <v>1</v>
      </c>
      <c r="G40" s="26">
        <f t="shared" si="16"/>
        <v>0</v>
      </c>
      <c r="H40" s="26">
        <f t="shared" si="17"/>
        <v>1</v>
      </c>
      <c r="I40" s="26">
        <f t="shared" si="18"/>
        <v>1</v>
      </c>
      <c r="J40" s="26">
        <f t="shared" si="19"/>
        <v>0</v>
      </c>
      <c r="M40" s="21">
        <f>M39+7</f>
        <v>45058</v>
      </c>
      <c r="N40" s="10" t="s">
        <v>24</v>
      </c>
      <c r="O40" s="25">
        <v>12</v>
      </c>
      <c r="P40" s="25">
        <v>0</v>
      </c>
      <c r="Q40" s="25">
        <v>12</v>
      </c>
      <c r="R40" s="25">
        <v>0</v>
      </c>
      <c r="S40" s="25">
        <v>0</v>
      </c>
      <c r="T40" s="25">
        <v>12</v>
      </c>
      <c r="X40" s="10" t="s">
        <v>0</v>
      </c>
      <c r="Y40" s="10" t="s">
        <v>323</v>
      </c>
      <c r="Z40" s="170">
        <v>15448414.2267</v>
      </c>
      <c r="AA40" s="10">
        <f t="shared" si="22"/>
        <v>189.93453355155481</v>
      </c>
      <c r="AB40" s="10">
        <v>185.68</v>
      </c>
      <c r="AC40" s="27">
        <v>2.2400000000000002</v>
      </c>
      <c r="AD40" s="27">
        <f t="shared" si="23"/>
        <v>97.76</v>
      </c>
    </row>
    <row r="41" spans="2:34">
      <c r="B41" s="6"/>
      <c r="C41" s="12"/>
      <c r="D41" s="10"/>
      <c r="E41" s="12"/>
      <c r="F41" s="12"/>
      <c r="G41" s="12"/>
      <c r="H41" s="12"/>
      <c r="I41" s="12"/>
      <c r="J41" s="12"/>
      <c r="M41" s="21">
        <f>M40+7</f>
        <v>45065</v>
      </c>
      <c r="N41" s="10" t="s">
        <v>43</v>
      </c>
      <c r="O41" s="25"/>
      <c r="P41" s="25">
        <v>6</v>
      </c>
      <c r="Q41" s="25"/>
      <c r="R41" s="25"/>
      <c r="S41" s="25"/>
      <c r="T41" s="25"/>
      <c r="X41" s="10" t="s">
        <v>2</v>
      </c>
      <c r="Y41" s="10" t="s">
        <v>324</v>
      </c>
      <c r="Z41" s="170">
        <v>147.60700398</v>
      </c>
      <c r="AA41" s="10">
        <f t="shared" si="22"/>
        <v>189.99795876709533</v>
      </c>
      <c r="AB41" s="10">
        <v>186.16</v>
      </c>
      <c r="AC41" s="27">
        <v>2.02</v>
      </c>
      <c r="AD41" s="27">
        <f t="shared" si="23"/>
        <v>97.98</v>
      </c>
    </row>
    <row r="42" spans="2:34">
      <c r="B42" s="6"/>
      <c r="C42" s="12">
        <f t="shared" ca="1" si="12"/>
        <v>1</v>
      </c>
      <c r="D42" s="22">
        <f t="shared" si="13"/>
        <v>45065</v>
      </c>
      <c r="E42" s="26">
        <f t="shared" si="14"/>
        <v>0</v>
      </c>
      <c r="F42" s="26">
        <f t="shared" si="15"/>
        <v>1</v>
      </c>
      <c r="G42" s="26">
        <f t="shared" si="16"/>
        <v>0</v>
      </c>
      <c r="H42" s="26">
        <f t="shared" si="17"/>
        <v>0</v>
      </c>
      <c r="I42" s="26">
        <f t="shared" si="18"/>
        <v>0</v>
      </c>
      <c r="J42" s="26">
        <f t="shared" si="19"/>
        <v>0</v>
      </c>
      <c r="M42" s="21">
        <v>45065</v>
      </c>
      <c r="N42" s="10" t="s">
        <v>24</v>
      </c>
      <c r="O42" s="25">
        <v>12</v>
      </c>
      <c r="P42" s="25">
        <v>0</v>
      </c>
      <c r="Q42" s="25">
        <v>12</v>
      </c>
      <c r="R42" s="25">
        <v>12</v>
      </c>
      <c r="S42" s="25">
        <v>12</v>
      </c>
      <c r="T42" s="25">
        <v>12</v>
      </c>
      <c r="X42" s="10" t="s">
        <v>4</v>
      </c>
      <c r="Y42" s="10" t="s">
        <v>319</v>
      </c>
      <c r="Z42" s="170">
        <v>0.12023725</v>
      </c>
      <c r="AA42" s="10">
        <f t="shared" si="22"/>
        <v>189.94498777506112</v>
      </c>
      <c r="AB42" s="10">
        <v>186.45</v>
      </c>
      <c r="AC42" s="27">
        <v>1.84</v>
      </c>
      <c r="AD42" s="27">
        <f t="shared" si="23"/>
        <v>98.16</v>
      </c>
    </row>
    <row r="43" spans="2:34">
      <c r="B43" s="6"/>
      <c r="C43" s="12"/>
      <c r="D43" s="10"/>
      <c r="E43" s="12"/>
      <c r="F43" s="12"/>
      <c r="G43" s="12"/>
      <c r="H43" s="12"/>
      <c r="I43" s="12"/>
      <c r="J43" s="12"/>
      <c r="M43" s="21">
        <f>M42+7</f>
        <v>45072</v>
      </c>
      <c r="N43" s="10" t="s">
        <v>47</v>
      </c>
      <c r="O43" s="25">
        <v>3</v>
      </c>
      <c r="P43" s="25"/>
      <c r="Q43" s="25"/>
      <c r="R43" s="25"/>
      <c r="S43" s="25"/>
      <c r="T43" s="25">
        <v>3</v>
      </c>
      <c r="Y43" s="182"/>
      <c r="Z43" s="182"/>
    </row>
    <row r="44" spans="2:34">
      <c r="B44" s="6"/>
      <c r="C44" s="12">
        <f t="shared" ca="1" si="12"/>
        <v>1</v>
      </c>
      <c r="D44" s="22">
        <f t="shared" si="13"/>
        <v>45072</v>
      </c>
      <c r="E44" s="26">
        <f t="shared" si="14"/>
        <v>1</v>
      </c>
      <c r="F44" s="26">
        <f t="shared" si="15"/>
        <v>1</v>
      </c>
      <c r="G44" s="26">
        <f t="shared" si="16"/>
        <v>1</v>
      </c>
      <c r="H44" s="26">
        <f t="shared" si="17"/>
        <v>0</v>
      </c>
      <c r="I44" s="26">
        <f t="shared" si="18"/>
        <v>1</v>
      </c>
      <c r="J44" s="26">
        <f t="shared" si="19"/>
        <v>1</v>
      </c>
      <c r="M44" s="21">
        <f>M43</f>
        <v>45072</v>
      </c>
      <c r="N44" s="10" t="s">
        <v>24</v>
      </c>
      <c r="O44" s="25">
        <v>0</v>
      </c>
      <c r="P44" s="25">
        <v>0</v>
      </c>
      <c r="Q44" s="25">
        <v>0</v>
      </c>
      <c r="R44" s="25">
        <v>12</v>
      </c>
      <c r="S44" s="25">
        <v>0</v>
      </c>
      <c r="T44" s="25">
        <v>0</v>
      </c>
      <c r="Y44" s="182"/>
      <c r="Z44" s="182"/>
    </row>
    <row r="45" spans="2:34">
      <c r="B45" s="6"/>
      <c r="C45" s="12">
        <f t="shared" ca="1" si="12"/>
        <v>1</v>
      </c>
      <c r="D45" s="22">
        <f t="shared" si="13"/>
        <v>45079</v>
      </c>
      <c r="E45" s="26">
        <f t="shared" si="14"/>
        <v>0</v>
      </c>
      <c r="F45" s="26">
        <f t="shared" si="15"/>
        <v>1</v>
      </c>
      <c r="G45" s="26">
        <f t="shared" si="16"/>
        <v>0</v>
      </c>
      <c r="H45" s="26">
        <f t="shared" si="17"/>
        <v>1</v>
      </c>
      <c r="I45" s="26">
        <f t="shared" si="18"/>
        <v>1</v>
      </c>
      <c r="J45" s="26">
        <f t="shared" si="19"/>
        <v>1</v>
      </c>
      <c r="M45" s="21">
        <f>M44+7</f>
        <v>45079</v>
      </c>
      <c r="N45" s="10" t="s">
        <v>24</v>
      </c>
      <c r="O45" s="25">
        <v>12</v>
      </c>
      <c r="P45" s="25">
        <v>0</v>
      </c>
      <c r="Q45" s="25">
        <v>12</v>
      </c>
      <c r="R45" s="25">
        <v>0</v>
      </c>
      <c r="S45" s="25">
        <v>0</v>
      </c>
      <c r="T45" s="25">
        <v>0</v>
      </c>
      <c r="Y45" s="182"/>
      <c r="Z45" s="182"/>
    </row>
    <row r="46" spans="2:34">
      <c r="B46" s="6"/>
      <c r="C46" s="12">
        <f t="shared" ca="1" si="12"/>
        <v>1</v>
      </c>
      <c r="D46" s="22">
        <f t="shared" si="13"/>
        <v>45086</v>
      </c>
      <c r="E46" s="26">
        <f t="shared" si="14"/>
        <v>0</v>
      </c>
      <c r="F46" s="26">
        <f t="shared" si="15"/>
        <v>1</v>
      </c>
      <c r="G46" s="26">
        <f t="shared" si="16"/>
        <v>1</v>
      </c>
      <c r="H46" s="26">
        <f t="shared" si="17"/>
        <v>0</v>
      </c>
      <c r="I46" s="26">
        <f t="shared" si="18"/>
        <v>1</v>
      </c>
      <c r="J46" s="26">
        <f t="shared" si="19"/>
        <v>1</v>
      </c>
      <c r="M46" s="21">
        <f>M45+7</f>
        <v>45086</v>
      </c>
      <c r="N46" s="10" t="s">
        <v>24</v>
      </c>
      <c r="O46" s="25">
        <v>12</v>
      </c>
      <c r="P46" s="25">
        <v>0</v>
      </c>
      <c r="Q46" s="25">
        <v>0</v>
      </c>
      <c r="R46" s="25">
        <v>12</v>
      </c>
      <c r="S46" s="25">
        <v>0</v>
      </c>
      <c r="T46" s="25">
        <v>0</v>
      </c>
      <c r="Y46" s="182"/>
      <c r="Z46" s="182"/>
    </row>
    <row r="47" spans="2:34">
      <c r="B47" s="6"/>
      <c r="C47" s="12">
        <f t="shared" ca="1" si="12"/>
        <v>1</v>
      </c>
      <c r="D47" s="22">
        <f t="shared" si="13"/>
        <v>45093</v>
      </c>
      <c r="E47" s="26">
        <f t="shared" si="14"/>
        <v>1</v>
      </c>
      <c r="F47" s="26">
        <f t="shared" si="15"/>
        <v>1</v>
      </c>
      <c r="G47" s="26">
        <f t="shared" si="16"/>
        <v>1</v>
      </c>
      <c r="H47" s="26">
        <f t="shared" si="17"/>
        <v>0</v>
      </c>
      <c r="I47" s="26">
        <f t="shared" si="18"/>
        <v>1</v>
      </c>
      <c r="J47" s="26">
        <f t="shared" si="19"/>
        <v>1</v>
      </c>
      <c r="M47" s="21">
        <f>M46+7</f>
        <v>45093</v>
      </c>
      <c r="N47" s="10" t="s">
        <v>24</v>
      </c>
      <c r="O47" s="25">
        <v>0</v>
      </c>
      <c r="P47" s="25">
        <v>0</v>
      </c>
      <c r="Q47" s="25">
        <v>0</v>
      </c>
      <c r="R47" s="25">
        <v>12</v>
      </c>
      <c r="S47" s="25">
        <v>0</v>
      </c>
      <c r="T47" s="25">
        <v>0</v>
      </c>
      <c r="Y47" s="182"/>
      <c r="Z47" s="182"/>
    </row>
    <row r="48" spans="2:34">
      <c r="B48" s="6"/>
      <c r="C48" s="12">
        <f t="shared" ca="1" si="12"/>
        <v>1</v>
      </c>
      <c r="D48" s="22">
        <f t="shared" si="13"/>
        <v>45100</v>
      </c>
      <c r="E48" s="26">
        <f t="shared" si="14"/>
        <v>1</v>
      </c>
      <c r="F48" s="26">
        <f t="shared" si="15"/>
        <v>1</v>
      </c>
      <c r="G48" s="26">
        <f t="shared" si="16"/>
        <v>1</v>
      </c>
      <c r="H48" s="26">
        <f t="shared" si="17"/>
        <v>1</v>
      </c>
      <c r="I48" s="26">
        <f t="shared" si="18"/>
        <v>1</v>
      </c>
      <c r="J48" s="26">
        <f t="shared" si="19"/>
        <v>1</v>
      </c>
      <c r="M48" s="21">
        <f>M47+7</f>
        <v>45100</v>
      </c>
      <c r="N48" s="10" t="s">
        <v>24</v>
      </c>
      <c r="O48" s="25">
        <v>0</v>
      </c>
      <c r="P48" s="25">
        <v>0</v>
      </c>
      <c r="Q48" s="25">
        <v>0</v>
      </c>
      <c r="R48" s="25">
        <v>0</v>
      </c>
      <c r="S48" s="25">
        <v>0</v>
      </c>
      <c r="T48" s="25">
        <v>0</v>
      </c>
      <c r="AG48" s="182"/>
      <c r="AH48" s="182"/>
    </row>
    <row r="49" spans="2:34">
      <c r="B49" s="6"/>
      <c r="C49" s="12">
        <f t="shared" ca="1" si="12"/>
        <v>1</v>
      </c>
      <c r="D49" s="22">
        <f t="shared" si="13"/>
        <v>45107</v>
      </c>
      <c r="E49" s="26">
        <f t="shared" si="14"/>
        <v>0</v>
      </c>
      <c r="F49" s="26">
        <f t="shared" si="15"/>
        <v>1</v>
      </c>
      <c r="G49" s="26">
        <f t="shared" si="16"/>
        <v>0</v>
      </c>
      <c r="H49" s="26">
        <f t="shared" si="17"/>
        <v>0</v>
      </c>
      <c r="I49" s="26">
        <f t="shared" si="18"/>
        <v>1</v>
      </c>
      <c r="J49" s="26">
        <f t="shared" si="19"/>
        <v>1</v>
      </c>
      <c r="M49" s="21">
        <f t="shared" ref="M49:M55" si="24">M48+7</f>
        <v>45107</v>
      </c>
      <c r="N49" s="10" t="s">
        <v>24</v>
      </c>
      <c r="O49" s="25">
        <v>12</v>
      </c>
      <c r="P49" s="25">
        <v>0</v>
      </c>
      <c r="Q49" s="25">
        <v>12</v>
      </c>
      <c r="R49" s="25">
        <v>12</v>
      </c>
      <c r="S49" s="25">
        <v>0</v>
      </c>
      <c r="T49" s="25">
        <v>0</v>
      </c>
      <c r="AG49" s="182"/>
      <c r="AH49" s="182"/>
    </row>
    <row r="50" spans="2:34">
      <c r="B50" s="6"/>
      <c r="C50" s="12">
        <f t="shared" ca="1" si="12"/>
        <v>1</v>
      </c>
      <c r="D50" s="22">
        <f t="shared" si="13"/>
        <v>45114</v>
      </c>
      <c r="E50" s="26">
        <f t="shared" si="14"/>
        <v>0</v>
      </c>
      <c r="F50" s="26">
        <f t="shared" si="15"/>
        <v>1</v>
      </c>
      <c r="G50" s="26">
        <f t="shared" si="16"/>
        <v>1</v>
      </c>
      <c r="H50" s="26">
        <f t="shared" si="17"/>
        <v>0</v>
      </c>
      <c r="I50" s="26">
        <f t="shared" si="18"/>
        <v>0</v>
      </c>
      <c r="J50" s="26">
        <f t="shared" si="19"/>
        <v>1</v>
      </c>
      <c r="M50" s="21">
        <f t="shared" si="24"/>
        <v>45114</v>
      </c>
      <c r="N50" s="10" t="s">
        <v>24</v>
      </c>
      <c r="O50" s="25">
        <v>12</v>
      </c>
      <c r="P50" s="25">
        <v>0</v>
      </c>
      <c r="Q50" s="25">
        <v>0</v>
      </c>
      <c r="R50" s="25">
        <v>12</v>
      </c>
      <c r="S50" s="25">
        <v>12</v>
      </c>
      <c r="T50" s="25">
        <v>0</v>
      </c>
      <c r="AG50" s="182"/>
      <c r="AH50" s="182"/>
    </row>
    <row r="51" spans="2:34">
      <c r="B51" s="6"/>
      <c r="C51" s="12">
        <f t="shared" ca="1" si="12"/>
        <v>1</v>
      </c>
      <c r="D51" s="22">
        <f t="shared" si="13"/>
        <v>45121</v>
      </c>
      <c r="E51" s="26">
        <f t="shared" si="14"/>
        <v>1</v>
      </c>
      <c r="F51" s="26">
        <f t="shared" si="15"/>
        <v>1</v>
      </c>
      <c r="G51" s="26">
        <f t="shared" si="16"/>
        <v>1</v>
      </c>
      <c r="H51" s="26">
        <f t="shared" si="17"/>
        <v>1</v>
      </c>
      <c r="I51" s="26">
        <f t="shared" si="18"/>
        <v>1</v>
      </c>
      <c r="J51" s="26">
        <f t="shared" si="19"/>
        <v>1</v>
      </c>
      <c r="M51" s="21">
        <f t="shared" si="24"/>
        <v>45121</v>
      </c>
      <c r="N51" s="10" t="s">
        <v>24</v>
      </c>
      <c r="O51" s="25">
        <v>0</v>
      </c>
      <c r="P51" s="25">
        <v>0</v>
      </c>
      <c r="Q51" s="25">
        <v>0</v>
      </c>
      <c r="R51" s="25">
        <v>0</v>
      </c>
      <c r="S51" s="25">
        <v>0</v>
      </c>
      <c r="T51" s="25">
        <v>0</v>
      </c>
      <c r="AG51" s="182"/>
      <c r="AH51" s="182"/>
    </row>
    <row r="52" spans="2:34">
      <c r="B52" s="6"/>
      <c r="C52" s="12">
        <f t="shared" ca="1" si="12"/>
        <v>1</v>
      </c>
      <c r="D52" s="22">
        <f t="shared" si="13"/>
        <v>45128</v>
      </c>
      <c r="E52" s="26">
        <f t="shared" si="14"/>
        <v>0</v>
      </c>
      <c r="F52" s="26">
        <f t="shared" si="15"/>
        <v>1</v>
      </c>
      <c r="G52" s="26">
        <f t="shared" si="16"/>
        <v>0</v>
      </c>
      <c r="H52" s="26">
        <f t="shared" si="17"/>
        <v>0</v>
      </c>
      <c r="I52" s="26">
        <f t="shared" si="18"/>
        <v>1</v>
      </c>
      <c r="J52" s="26">
        <f t="shared" si="19"/>
        <v>1</v>
      </c>
      <c r="M52" s="21">
        <f t="shared" si="24"/>
        <v>45128</v>
      </c>
      <c r="N52" s="10" t="s">
        <v>24</v>
      </c>
      <c r="O52" s="25">
        <v>12</v>
      </c>
      <c r="P52" s="25">
        <v>0</v>
      </c>
      <c r="Q52" s="25">
        <v>12</v>
      </c>
      <c r="R52" s="25">
        <v>12</v>
      </c>
      <c r="S52" s="25">
        <v>0</v>
      </c>
      <c r="T52" s="25">
        <v>0</v>
      </c>
      <c r="AG52" s="182"/>
      <c r="AH52" s="182"/>
    </row>
    <row r="53" spans="2:34">
      <c r="B53" s="6"/>
      <c r="C53" s="12">
        <f t="shared" ca="1" si="12"/>
        <v>1</v>
      </c>
      <c r="D53" s="22">
        <f t="shared" si="13"/>
        <v>45135</v>
      </c>
      <c r="E53" s="26">
        <f t="shared" si="14"/>
        <v>1</v>
      </c>
      <c r="F53" s="26">
        <f t="shared" si="15"/>
        <v>0</v>
      </c>
      <c r="G53" s="26">
        <f t="shared" si="16"/>
        <v>1</v>
      </c>
      <c r="H53" s="26">
        <f t="shared" si="17"/>
        <v>0</v>
      </c>
      <c r="I53" s="26">
        <f t="shared" si="18"/>
        <v>1</v>
      </c>
      <c r="J53" s="26">
        <f t="shared" si="19"/>
        <v>1</v>
      </c>
      <c r="M53" s="21">
        <f t="shared" si="24"/>
        <v>45135</v>
      </c>
      <c r="N53" s="10" t="s">
        <v>24</v>
      </c>
      <c r="O53" s="25">
        <v>0</v>
      </c>
      <c r="P53" s="25">
        <v>12</v>
      </c>
      <c r="Q53" s="25">
        <v>0</v>
      </c>
      <c r="R53" s="25">
        <v>12</v>
      </c>
      <c r="S53" s="25">
        <v>0</v>
      </c>
      <c r="T53" s="25">
        <v>0</v>
      </c>
      <c r="AG53" s="182"/>
      <c r="AH53" s="182"/>
    </row>
    <row r="54" spans="2:34">
      <c r="B54" s="6"/>
      <c r="C54" s="12">
        <f t="shared" ca="1" si="12"/>
        <v>1</v>
      </c>
      <c r="D54" s="22">
        <f t="shared" si="13"/>
        <v>45142</v>
      </c>
      <c r="E54" s="26">
        <f t="shared" si="14"/>
        <v>1</v>
      </c>
      <c r="F54" s="26">
        <f t="shared" si="15"/>
        <v>1</v>
      </c>
      <c r="G54" s="26">
        <f t="shared" si="16"/>
        <v>0</v>
      </c>
      <c r="H54" s="26">
        <f t="shared" si="17"/>
        <v>0</v>
      </c>
      <c r="I54" s="26">
        <f t="shared" si="18"/>
        <v>1</v>
      </c>
      <c r="J54" s="26">
        <f t="shared" si="19"/>
        <v>1</v>
      </c>
      <c r="M54" s="21">
        <f t="shared" si="24"/>
        <v>45142</v>
      </c>
      <c r="N54" s="10" t="s">
        <v>24</v>
      </c>
      <c r="O54" s="25">
        <v>0</v>
      </c>
      <c r="P54" s="25">
        <v>0</v>
      </c>
      <c r="Q54" s="25">
        <v>12</v>
      </c>
      <c r="R54" s="25">
        <v>12</v>
      </c>
      <c r="S54" s="25">
        <v>0</v>
      </c>
      <c r="T54" s="25">
        <v>0</v>
      </c>
      <c r="AG54" s="182"/>
      <c r="AH54" s="182"/>
    </row>
    <row r="55" spans="2:34">
      <c r="B55" s="6"/>
      <c r="C55" s="12">
        <f t="shared" ca="1" si="12"/>
        <v>1</v>
      </c>
      <c r="D55" s="22">
        <f t="shared" si="13"/>
        <v>45149</v>
      </c>
      <c r="E55" s="26">
        <f t="shared" si="14"/>
        <v>1</v>
      </c>
      <c r="F55" s="26">
        <f t="shared" si="15"/>
        <v>1</v>
      </c>
      <c r="G55" s="26">
        <f t="shared" si="16"/>
        <v>1</v>
      </c>
      <c r="H55" s="26">
        <f t="shared" si="17"/>
        <v>1</v>
      </c>
      <c r="I55" s="26">
        <f t="shared" si="18"/>
        <v>0</v>
      </c>
      <c r="J55" s="26">
        <f t="shared" si="19"/>
        <v>1</v>
      </c>
      <c r="M55" s="21">
        <f t="shared" si="24"/>
        <v>45149</v>
      </c>
      <c r="N55" s="10" t="s">
        <v>24</v>
      </c>
      <c r="O55" s="25">
        <v>0</v>
      </c>
      <c r="P55" s="25">
        <v>0</v>
      </c>
      <c r="Q55" s="25">
        <v>0</v>
      </c>
      <c r="R55" s="25">
        <v>0</v>
      </c>
      <c r="S55" s="25">
        <v>12</v>
      </c>
      <c r="T55" s="25">
        <v>0</v>
      </c>
      <c r="AG55" s="182"/>
      <c r="AH55" s="182"/>
    </row>
    <row r="56" spans="2:34">
      <c r="B56" s="6"/>
      <c r="C56" s="12">
        <f t="shared" ca="1" si="12"/>
        <v>1</v>
      </c>
      <c r="D56" s="22">
        <f t="shared" si="13"/>
        <v>45156</v>
      </c>
      <c r="E56" s="26">
        <f t="shared" si="14"/>
        <v>1</v>
      </c>
      <c r="F56" s="26">
        <f t="shared" si="15"/>
        <v>1</v>
      </c>
      <c r="G56" s="26">
        <f t="shared" si="16"/>
        <v>1</v>
      </c>
      <c r="H56" s="26">
        <f t="shared" si="17"/>
        <v>0</v>
      </c>
      <c r="I56" s="26">
        <f t="shared" si="18"/>
        <v>1</v>
      </c>
      <c r="J56" s="26">
        <f t="shared" si="19"/>
        <v>1</v>
      </c>
      <c r="M56" s="21">
        <v>45156</v>
      </c>
      <c r="N56" s="10" t="s">
        <v>24</v>
      </c>
      <c r="O56" s="25">
        <v>0</v>
      </c>
      <c r="P56" s="25">
        <v>0</v>
      </c>
      <c r="Q56" s="25">
        <v>0</v>
      </c>
      <c r="R56" s="25">
        <v>12</v>
      </c>
      <c r="S56" s="25">
        <v>0</v>
      </c>
      <c r="T56" s="25">
        <v>0</v>
      </c>
      <c r="AG56" s="182"/>
      <c r="AH56" s="182"/>
    </row>
    <row r="57" spans="2:34">
      <c r="B57" s="6"/>
      <c r="C57" s="12"/>
      <c r="D57" s="10"/>
      <c r="E57" s="12"/>
      <c r="F57" s="12"/>
      <c r="G57" s="12"/>
      <c r="H57" s="12"/>
      <c r="I57" s="12"/>
      <c r="J57" s="12"/>
      <c r="M57" s="21">
        <f>M56+7</f>
        <v>45163</v>
      </c>
      <c r="N57" s="10" t="s">
        <v>54</v>
      </c>
      <c r="O57" s="25"/>
      <c r="P57" s="25"/>
      <c r="Q57" s="25"/>
      <c r="R57" s="25">
        <v>6</v>
      </c>
      <c r="S57" s="25"/>
      <c r="T57" s="25"/>
      <c r="AG57" s="182"/>
      <c r="AH57" s="182"/>
    </row>
    <row r="58" spans="2:34">
      <c r="B58" s="6"/>
      <c r="C58" s="12">
        <f t="shared" ca="1" si="12"/>
        <v>1</v>
      </c>
      <c r="D58" s="22">
        <f t="shared" si="13"/>
        <v>45163</v>
      </c>
      <c r="E58" s="26">
        <f t="shared" si="14"/>
        <v>0</v>
      </c>
      <c r="F58" s="26">
        <f t="shared" si="15"/>
        <v>1</v>
      </c>
      <c r="G58" s="26">
        <f t="shared" si="16"/>
        <v>0</v>
      </c>
      <c r="H58" s="26">
        <f t="shared" si="17"/>
        <v>0</v>
      </c>
      <c r="I58" s="26">
        <f t="shared" si="18"/>
        <v>1</v>
      </c>
      <c r="J58" s="26">
        <f t="shared" si="19"/>
        <v>1</v>
      </c>
      <c r="M58" s="21">
        <f>M57</f>
        <v>45163</v>
      </c>
      <c r="N58" s="10" t="s">
        <v>24</v>
      </c>
      <c r="O58" s="25">
        <v>12</v>
      </c>
      <c r="P58" s="25">
        <v>0</v>
      </c>
      <c r="Q58" s="25">
        <v>12</v>
      </c>
      <c r="R58" s="25">
        <v>12</v>
      </c>
      <c r="S58" s="25">
        <v>0</v>
      </c>
      <c r="T58" s="25">
        <v>0</v>
      </c>
      <c r="AG58" s="182"/>
      <c r="AH58" s="182"/>
    </row>
    <row r="59" spans="2:34">
      <c r="B59" s="6"/>
      <c r="C59" s="12">
        <f t="shared" ca="1" si="12"/>
        <v>1</v>
      </c>
      <c r="D59" s="22">
        <f t="shared" si="13"/>
        <v>45170</v>
      </c>
      <c r="E59" s="26">
        <f t="shared" si="14"/>
        <v>1</v>
      </c>
      <c r="F59" s="26">
        <f t="shared" si="15"/>
        <v>1</v>
      </c>
      <c r="G59" s="26">
        <f t="shared" si="16"/>
        <v>1</v>
      </c>
      <c r="H59" s="26">
        <f t="shared" si="17"/>
        <v>0</v>
      </c>
      <c r="I59" s="26">
        <f t="shared" si="18"/>
        <v>1</v>
      </c>
      <c r="J59" s="26">
        <f t="shared" si="19"/>
        <v>0</v>
      </c>
      <c r="M59" s="21">
        <f>M58+7</f>
        <v>45170</v>
      </c>
      <c r="N59" s="10" t="s">
        <v>24</v>
      </c>
      <c r="O59" s="25">
        <v>0</v>
      </c>
      <c r="P59" s="25">
        <v>0</v>
      </c>
      <c r="Q59" s="25">
        <v>0</v>
      </c>
      <c r="R59" s="25">
        <v>12</v>
      </c>
      <c r="S59" s="25">
        <v>0</v>
      </c>
      <c r="T59" s="25">
        <v>12</v>
      </c>
      <c r="AG59" s="182"/>
      <c r="AH59" s="182"/>
    </row>
    <row r="60" spans="2:34">
      <c r="B60" s="6"/>
      <c r="C60" s="12">
        <f t="shared" ca="1" si="12"/>
        <v>1</v>
      </c>
      <c r="D60" s="22">
        <f t="shared" si="13"/>
        <v>45177</v>
      </c>
      <c r="E60" s="26">
        <f t="shared" si="14"/>
        <v>0</v>
      </c>
      <c r="F60" s="26">
        <f t="shared" si="15"/>
        <v>1</v>
      </c>
      <c r="G60" s="26">
        <f t="shared" si="16"/>
        <v>0</v>
      </c>
      <c r="H60" s="26">
        <f t="shared" si="17"/>
        <v>1</v>
      </c>
      <c r="I60" s="26">
        <f t="shared" si="18"/>
        <v>1</v>
      </c>
      <c r="J60" s="26">
        <f t="shared" si="19"/>
        <v>1</v>
      </c>
      <c r="M60" s="21">
        <f>M59+7</f>
        <v>45177</v>
      </c>
      <c r="N60" s="10" t="s">
        <v>24</v>
      </c>
      <c r="O60" s="25">
        <v>12</v>
      </c>
      <c r="P60" s="25">
        <v>0</v>
      </c>
      <c r="Q60" s="25">
        <v>12</v>
      </c>
      <c r="R60" s="25">
        <v>0</v>
      </c>
      <c r="S60" s="25">
        <v>0</v>
      </c>
      <c r="T60" s="25">
        <v>0</v>
      </c>
      <c r="AG60" s="182"/>
      <c r="AH60" s="182"/>
    </row>
    <row r="61" spans="2:34">
      <c r="B61" s="6"/>
      <c r="C61" s="12">
        <f t="shared" ca="1" si="12"/>
        <v>1</v>
      </c>
      <c r="D61" s="22">
        <f t="shared" si="13"/>
        <v>45184</v>
      </c>
      <c r="E61" s="26">
        <f t="shared" si="14"/>
        <v>1</v>
      </c>
      <c r="F61" s="26">
        <f t="shared" si="15"/>
        <v>0</v>
      </c>
      <c r="G61" s="26">
        <f t="shared" si="16"/>
        <v>0</v>
      </c>
      <c r="H61" s="26">
        <f t="shared" si="17"/>
        <v>0</v>
      </c>
      <c r="I61" s="26">
        <f t="shared" si="18"/>
        <v>1</v>
      </c>
      <c r="J61" s="26">
        <f t="shared" si="19"/>
        <v>1</v>
      </c>
      <c r="M61" s="21">
        <f>M60+7</f>
        <v>45184</v>
      </c>
      <c r="N61" s="10" t="s">
        <v>24</v>
      </c>
      <c r="O61" s="25">
        <v>0</v>
      </c>
      <c r="P61" s="25">
        <v>12</v>
      </c>
      <c r="Q61" s="25">
        <v>12</v>
      </c>
      <c r="R61" s="25">
        <v>12</v>
      </c>
      <c r="S61" s="25">
        <v>0</v>
      </c>
      <c r="T61" s="25">
        <v>0</v>
      </c>
      <c r="AG61" s="182"/>
      <c r="AH61" s="182"/>
    </row>
    <row r="62" spans="2:34">
      <c r="C62" s="12">
        <f t="shared" ca="1" si="12"/>
        <v>1</v>
      </c>
      <c r="D62" s="22">
        <f t="shared" si="13"/>
        <v>45191</v>
      </c>
      <c r="E62" s="26">
        <f t="shared" si="14"/>
        <v>0</v>
      </c>
      <c r="F62" s="26">
        <f t="shared" si="15"/>
        <v>0</v>
      </c>
      <c r="G62" s="26">
        <f t="shared" si="16"/>
        <v>1</v>
      </c>
      <c r="H62" s="26">
        <f t="shared" si="17"/>
        <v>1</v>
      </c>
      <c r="I62" s="26">
        <f t="shared" si="18"/>
        <v>1</v>
      </c>
      <c r="J62" s="26">
        <f t="shared" si="19"/>
        <v>1</v>
      </c>
      <c r="M62" s="21">
        <f t="shared" ref="M62:M63" si="25">M61+7</f>
        <v>45191</v>
      </c>
      <c r="N62" s="10" t="s">
        <v>24</v>
      </c>
      <c r="O62" s="25">
        <v>12</v>
      </c>
      <c r="P62" s="25">
        <v>12</v>
      </c>
      <c r="Q62" s="25">
        <v>0</v>
      </c>
      <c r="R62" s="25">
        <v>0</v>
      </c>
      <c r="S62" s="25">
        <v>0</v>
      </c>
      <c r="T62" s="25">
        <v>0</v>
      </c>
      <c r="AG62" s="182"/>
      <c r="AH62" s="182"/>
    </row>
    <row r="63" spans="2:34">
      <c r="C63" s="12"/>
      <c r="D63" s="22"/>
      <c r="E63" s="26"/>
      <c r="F63" s="26"/>
      <c r="G63" s="26"/>
      <c r="H63" s="26"/>
      <c r="I63" s="26"/>
      <c r="J63" s="26"/>
      <c r="M63" s="21">
        <f t="shared" si="25"/>
        <v>45198</v>
      </c>
      <c r="N63" s="10" t="s">
        <v>43</v>
      </c>
      <c r="O63" s="25">
        <v>0</v>
      </c>
      <c r="P63" s="25">
        <v>0</v>
      </c>
      <c r="Q63" s="25">
        <v>0</v>
      </c>
      <c r="R63" s="25">
        <v>0</v>
      </c>
      <c r="S63" s="25">
        <v>0</v>
      </c>
      <c r="T63" s="25">
        <v>6</v>
      </c>
      <c r="AG63" s="182"/>
      <c r="AH63" s="182"/>
    </row>
    <row r="64" spans="2:34">
      <c r="C64" s="12">
        <f t="shared" ca="1" si="12"/>
        <v>1</v>
      </c>
      <c r="D64" s="22">
        <f t="shared" si="13"/>
        <v>45198</v>
      </c>
      <c r="E64" s="26">
        <f t="shared" si="14"/>
        <v>0</v>
      </c>
      <c r="F64" s="26">
        <f t="shared" si="15"/>
        <v>0</v>
      </c>
      <c r="G64" s="26">
        <f t="shared" si="16"/>
        <v>0</v>
      </c>
      <c r="H64" s="26">
        <f t="shared" si="17"/>
        <v>0</v>
      </c>
      <c r="I64" s="26">
        <f t="shared" si="18"/>
        <v>0</v>
      </c>
      <c r="J64" s="26">
        <f t="shared" si="19"/>
        <v>1</v>
      </c>
      <c r="M64" s="21">
        <f>M63</f>
        <v>45198</v>
      </c>
      <c r="N64" s="10" t="s">
        <v>24</v>
      </c>
      <c r="O64" s="25">
        <v>12</v>
      </c>
      <c r="P64" s="25">
        <v>12</v>
      </c>
      <c r="Q64" s="25">
        <v>12</v>
      </c>
      <c r="R64" s="25">
        <v>12</v>
      </c>
      <c r="S64" s="25">
        <v>12</v>
      </c>
      <c r="T64" s="25">
        <v>0</v>
      </c>
      <c r="AG64" s="182"/>
      <c r="AH64" s="182"/>
    </row>
    <row r="65" spans="3:34">
      <c r="C65" s="12"/>
      <c r="D65" s="22"/>
      <c r="E65" s="26"/>
      <c r="F65" s="26"/>
      <c r="G65" s="26"/>
      <c r="H65" s="26"/>
      <c r="I65" s="26"/>
      <c r="J65" s="26"/>
      <c r="M65" s="21">
        <f>M64+7</f>
        <v>45205</v>
      </c>
      <c r="N65" s="10" t="s">
        <v>54</v>
      </c>
      <c r="O65" s="25"/>
      <c r="P65" s="25"/>
      <c r="Q65" s="25"/>
      <c r="R65" s="25"/>
      <c r="S65" s="25"/>
      <c r="T65" s="25">
        <v>6</v>
      </c>
      <c r="AG65" s="182"/>
      <c r="AH65" s="182"/>
    </row>
    <row r="66" spans="3:34">
      <c r="C66" s="12">
        <f t="shared" ca="1" si="12"/>
        <v>1</v>
      </c>
      <c r="D66" s="22">
        <f t="shared" si="13"/>
        <v>45205</v>
      </c>
      <c r="E66" s="26">
        <f t="shared" si="14"/>
        <v>0</v>
      </c>
      <c r="F66" s="26">
        <f t="shared" si="15"/>
        <v>1</v>
      </c>
      <c r="G66" s="26">
        <f t="shared" si="16"/>
        <v>0</v>
      </c>
      <c r="H66" s="26">
        <f t="shared" si="17"/>
        <v>1</v>
      </c>
      <c r="I66" s="26">
        <f t="shared" si="18"/>
        <v>1</v>
      </c>
      <c r="J66" s="26">
        <f t="shared" si="19"/>
        <v>0</v>
      </c>
      <c r="M66" s="21">
        <f>M65</f>
        <v>45205</v>
      </c>
      <c r="N66" s="10" t="s">
        <v>24</v>
      </c>
      <c r="O66" s="25">
        <v>12</v>
      </c>
      <c r="P66" s="25">
        <v>0</v>
      </c>
      <c r="Q66" s="25">
        <v>12</v>
      </c>
      <c r="R66" s="25">
        <v>0</v>
      </c>
      <c r="S66" s="25">
        <v>0</v>
      </c>
      <c r="T66" s="25">
        <v>12</v>
      </c>
      <c r="AG66" s="182"/>
      <c r="AH66" s="182"/>
    </row>
    <row r="67" spans="3:34">
      <c r="C67" s="12">
        <f t="shared" ca="1" si="12"/>
        <v>1</v>
      </c>
      <c r="D67" s="22">
        <f t="shared" si="13"/>
        <v>45212</v>
      </c>
      <c r="E67" s="26">
        <f t="shared" si="14"/>
        <v>1</v>
      </c>
      <c r="F67" s="26">
        <f t="shared" si="15"/>
        <v>0</v>
      </c>
      <c r="G67" s="26">
        <f t="shared" si="16"/>
        <v>1</v>
      </c>
      <c r="H67" s="26">
        <f t="shared" si="17"/>
        <v>0</v>
      </c>
      <c r="I67" s="26">
        <f t="shared" si="18"/>
        <v>0</v>
      </c>
      <c r="J67" s="26">
        <f t="shared" si="19"/>
        <v>1</v>
      </c>
      <c r="M67" s="21">
        <f t="shared" ref="M67:M72" si="26">M66+7</f>
        <v>45212</v>
      </c>
      <c r="N67" s="10" t="s">
        <v>24</v>
      </c>
      <c r="O67" s="25">
        <v>0</v>
      </c>
      <c r="P67" s="25">
        <v>12</v>
      </c>
      <c r="Q67" s="25">
        <v>0</v>
      </c>
      <c r="R67" s="25">
        <v>12</v>
      </c>
      <c r="S67" s="25">
        <v>12</v>
      </c>
      <c r="T67" s="25">
        <v>0</v>
      </c>
      <c r="AG67" s="182"/>
      <c r="AH67" s="182"/>
    </row>
    <row r="68" spans="3:34">
      <c r="C68" s="12">
        <f t="shared" ca="1" si="12"/>
        <v>1</v>
      </c>
      <c r="D68" s="22">
        <f t="shared" si="13"/>
        <v>45219</v>
      </c>
      <c r="E68" s="26">
        <f t="shared" si="14"/>
        <v>0</v>
      </c>
      <c r="F68" s="26">
        <f t="shared" si="15"/>
        <v>0</v>
      </c>
      <c r="G68" s="26">
        <f t="shared" si="16"/>
        <v>0</v>
      </c>
      <c r="H68" s="26">
        <f t="shared" si="17"/>
        <v>0</v>
      </c>
      <c r="I68" s="26">
        <f t="shared" si="18"/>
        <v>0</v>
      </c>
      <c r="J68" s="26">
        <f t="shared" si="19"/>
        <v>0</v>
      </c>
      <c r="M68" s="21">
        <f t="shared" si="26"/>
        <v>45219</v>
      </c>
      <c r="N68" s="10" t="s">
        <v>24</v>
      </c>
      <c r="O68" s="25">
        <v>12</v>
      </c>
      <c r="P68" s="25">
        <v>12</v>
      </c>
      <c r="Q68" s="25">
        <v>12</v>
      </c>
      <c r="R68" s="25">
        <v>12</v>
      </c>
      <c r="S68" s="25">
        <v>12</v>
      </c>
      <c r="T68" s="25">
        <v>12</v>
      </c>
      <c r="AG68" s="182"/>
      <c r="AH68" s="182"/>
    </row>
    <row r="69" spans="3:34">
      <c r="C69" s="12">
        <f t="shared" ca="1" si="12"/>
        <v>1</v>
      </c>
      <c r="D69" s="22">
        <f t="shared" si="13"/>
        <v>45226</v>
      </c>
      <c r="E69" s="26">
        <f t="shared" si="14"/>
        <v>1</v>
      </c>
      <c r="F69" s="26">
        <f t="shared" si="15"/>
        <v>0</v>
      </c>
      <c r="G69" s="26">
        <f t="shared" si="16"/>
        <v>1</v>
      </c>
      <c r="H69" s="26">
        <f t="shared" si="17"/>
        <v>0</v>
      </c>
      <c r="I69" s="26">
        <f t="shared" si="18"/>
        <v>0</v>
      </c>
      <c r="J69" s="26">
        <f t="shared" si="19"/>
        <v>1</v>
      </c>
      <c r="M69" s="21">
        <f t="shared" si="26"/>
        <v>45226</v>
      </c>
      <c r="N69" s="10" t="s">
        <v>24</v>
      </c>
      <c r="O69" s="25">
        <v>0</v>
      </c>
      <c r="P69" s="25">
        <v>12</v>
      </c>
      <c r="Q69" s="25">
        <v>0</v>
      </c>
      <c r="R69" s="25">
        <v>12</v>
      </c>
      <c r="S69" s="25">
        <v>12</v>
      </c>
      <c r="T69" s="25">
        <v>0</v>
      </c>
      <c r="AG69" s="182"/>
      <c r="AH69" s="182"/>
    </row>
    <row r="70" spans="3:34">
      <c r="C70" s="12">
        <f t="shared" ca="1" si="12"/>
        <v>1</v>
      </c>
      <c r="D70" s="22">
        <f t="shared" si="13"/>
        <v>45233</v>
      </c>
      <c r="E70" s="26">
        <f t="shared" si="14"/>
        <v>0</v>
      </c>
      <c r="F70" s="26">
        <f t="shared" si="15"/>
        <v>1</v>
      </c>
      <c r="G70" s="26">
        <f t="shared" si="16"/>
        <v>1</v>
      </c>
      <c r="H70" s="26">
        <f t="shared" si="17"/>
        <v>1</v>
      </c>
      <c r="I70" s="26">
        <f t="shared" si="18"/>
        <v>1</v>
      </c>
      <c r="J70" s="26">
        <f t="shared" si="19"/>
        <v>1</v>
      </c>
      <c r="M70" s="21">
        <f t="shared" si="26"/>
        <v>45233</v>
      </c>
      <c r="N70" s="10" t="s">
        <v>24</v>
      </c>
      <c r="O70" s="25">
        <v>12</v>
      </c>
      <c r="P70" s="25">
        <v>0</v>
      </c>
      <c r="Q70" s="25">
        <v>0</v>
      </c>
      <c r="R70" s="25">
        <v>0</v>
      </c>
      <c r="S70" s="25">
        <v>0</v>
      </c>
      <c r="T70" s="25">
        <v>0</v>
      </c>
      <c r="AG70" s="182"/>
      <c r="AH70" s="182"/>
    </row>
    <row r="71" spans="3:34">
      <c r="C71" s="12"/>
      <c r="D71" s="22"/>
      <c r="E71" s="26"/>
      <c r="F71" s="26"/>
      <c r="G71" s="26"/>
      <c r="H71" s="26"/>
      <c r="I71" s="26"/>
      <c r="J71" s="26"/>
      <c r="M71" s="21">
        <v>45233</v>
      </c>
      <c r="N71" s="10" t="s">
        <v>47</v>
      </c>
      <c r="O71" s="25"/>
      <c r="P71" s="25"/>
      <c r="Q71" s="25"/>
      <c r="R71" s="25"/>
      <c r="S71" s="25">
        <v>3</v>
      </c>
      <c r="T71" s="25"/>
      <c r="AG71" s="182"/>
      <c r="AH71" s="182"/>
    </row>
    <row r="72" spans="3:34">
      <c r="C72" s="12">
        <f t="shared" ca="1" si="12"/>
        <v>1</v>
      </c>
      <c r="D72" s="22">
        <f t="shared" si="13"/>
        <v>45240</v>
      </c>
      <c r="E72" s="26">
        <f t="shared" si="14"/>
        <v>1</v>
      </c>
      <c r="F72" s="26">
        <f t="shared" si="15"/>
        <v>1</v>
      </c>
      <c r="G72" s="26">
        <f t="shared" si="16"/>
        <v>0</v>
      </c>
      <c r="H72" s="26">
        <f t="shared" si="17"/>
        <v>0</v>
      </c>
      <c r="I72" s="26">
        <f t="shared" si="18"/>
        <v>1</v>
      </c>
      <c r="J72" s="26">
        <f t="shared" si="19"/>
        <v>1</v>
      </c>
      <c r="M72" s="21">
        <f t="shared" si="26"/>
        <v>45240</v>
      </c>
      <c r="N72" s="10" t="s">
        <v>24</v>
      </c>
      <c r="O72" s="25">
        <v>0</v>
      </c>
      <c r="P72" s="25">
        <v>0</v>
      </c>
      <c r="Q72" s="25">
        <v>12</v>
      </c>
      <c r="R72" s="25">
        <v>12</v>
      </c>
      <c r="S72" s="25">
        <v>0</v>
      </c>
      <c r="T72" s="25">
        <v>0</v>
      </c>
      <c r="AG72" s="182"/>
      <c r="AH72" s="182"/>
    </row>
    <row r="73" spans="3:34">
      <c r="C73" s="12"/>
      <c r="D73" s="22"/>
      <c r="E73" s="26"/>
      <c r="F73" s="26"/>
      <c r="G73" s="26"/>
      <c r="H73" s="26"/>
      <c r="I73" s="26"/>
      <c r="J73" s="26"/>
      <c r="M73" s="21">
        <f>M72+7</f>
        <v>45247</v>
      </c>
      <c r="N73" s="10" t="s">
        <v>54</v>
      </c>
      <c r="O73" s="25"/>
      <c r="P73" s="25"/>
      <c r="Q73" s="25"/>
      <c r="R73" s="25"/>
      <c r="S73" s="25">
        <v>6</v>
      </c>
      <c r="T73" s="25"/>
      <c r="AG73" s="182"/>
      <c r="AH73" s="182"/>
    </row>
    <row r="74" spans="3:34">
      <c r="C74" s="12">
        <f t="shared" ca="1" si="12"/>
        <v>1</v>
      </c>
      <c r="D74" s="22">
        <f t="shared" si="13"/>
        <v>45247</v>
      </c>
      <c r="E74" s="26">
        <f t="shared" si="14"/>
        <v>1</v>
      </c>
      <c r="F74" s="26">
        <f t="shared" si="15"/>
        <v>0</v>
      </c>
      <c r="G74" s="26">
        <f t="shared" si="16"/>
        <v>1</v>
      </c>
      <c r="H74" s="26">
        <f t="shared" si="17"/>
        <v>1</v>
      </c>
      <c r="I74" s="26">
        <f t="shared" si="18"/>
        <v>0</v>
      </c>
      <c r="J74" s="26">
        <f t="shared" si="19"/>
        <v>1</v>
      </c>
      <c r="M74" s="21">
        <f>M72+7</f>
        <v>45247</v>
      </c>
      <c r="N74" s="10" t="s">
        <v>24</v>
      </c>
      <c r="O74" s="25">
        <v>0</v>
      </c>
      <c r="P74" s="25">
        <v>12</v>
      </c>
      <c r="Q74" s="25">
        <v>0</v>
      </c>
      <c r="R74" s="25">
        <v>0</v>
      </c>
      <c r="S74" s="25">
        <v>12</v>
      </c>
      <c r="T74" s="25">
        <v>0</v>
      </c>
      <c r="AG74" s="182"/>
      <c r="AH74" s="182"/>
    </row>
    <row r="75" spans="3:34">
      <c r="C75" s="12">
        <f t="shared" ref="C75:C80" ca="1" si="27">IF(D75&lt;=TODAY(),1,"")</f>
        <v>1</v>
      </c>
      <c r="D75" s="22">
        <f t="shared" ref="D75:D80" si="28">IF(M75="","",M75)</f>
        <v>45254</v>
      </c>
      <c r="E75" s="26">
        <f t="shared" ref="E75:E80" si="29">IF(O75="","",IF(O75=0,1,0))</f>
        <v>0</v>
      </c>
      <c r="F75" s="26">
        <f t="shared" ref="F75:F80" si="30">IF(P75="","",IF(P75=0,1,0))</f>
        <v>0</v>
      </c>
      <c r="G75" s="26">
        <f t="shared" ref="G75:G80" si="31">IF(Q75="","",IF(Q75=0,1,0))</f>
        <v>0</v>
      </c>
      <c r="H75" s="26">
        <f t="shared" ref="H75:H80" si="32">IF(R75="","",IF(R75=0,1,0))</f>
        <v>0</v>
      </c>
      <c r="I75" s="26">
        <f t="shared" ref="I75:I80" si="33">IF(S75="","",IF(S75=0,1,0))</f>
        <v>0</v>
      </c>
      <c r="J75" s="26">
        <f t="shared" ref="J75:J80" si="34">IF(T75="","",IF(T75=0,1,0))</f>
        <v>0</v>
      </c>
      <c r="M75" s="21">
        <f>M74+7</f>
        <v>45254</v>
      </c>
      <c r="N75" s="10" t="s">
        <v>24</v>
      </c>
      <c r="O75" s="25">
        <v>12</v>
      </c>
      <c r="P75" s="25">
        <v>12</v>
      </c>
      <c r="Q75" s="25">
        <v>12</v>
      </c>
      <c r="R75" s="25">
        <v>12</v>
      </c>
      <c r="S75" s="25">
        <v>12</v>
      </c>
      <c r="T75" s="25">
        <v>12</v>
      </c>
      <c r="AG75" s="182"/>
      <c r="AH75" s="182"/>
    </row>
    <row r="76" spans="3:34">
      <c r="C76" s="12">
        <f t="shared" ca="1" si="27"/>
        <v>1</v>
      </c>
      <c r="D76" s="22">
        <f t="shared" si="28"/>
        <v>45261</v>
      </c>
      <c r="E76" s="26">
        <f t="shared" si="29"/>
        <v>0</v>
      </c>
      <c r="F76" s="26">
        <f t="shared" si="30"/>
        <v>1</v>
      </c>
      <c r="G76" s="26">
        <f t="shared" si="31"/>
        <v>1</v>
      </c>
      <c r="H76" s="26">
        <f t="shared" si="32"/>
        <v>0</v>
      </c>
      <c r="I76" s="26">
        <f t="shared" si="33"/>
        <v>1</v>
      </c>
      <c r="J76" s="26">
        <f t="shared" si="34"/>
        <v>0</v>
      </c>
      <c r="M76" s="21">
        <f>M75+7</f>
        <v>45261</v>
      </c>
      <c r="N76" s="10" t="s">
        <v>24</v>
      </c>
      <c r="O76" s="25">
        <v>12</v>
      </c>
      <c r="P76" s="25">
        <v>0</v>
      </c>
      <c r="Q76" s="25">
        <v>0</v>
      </c>
      <c r="R76" s="25">
        <v>12</v>
      </c>
      <c r="S76" s="25">
        <v>0</v>
      </c>
      <c r="T76" s="25">
        <v>12</v>
      </c>
      <c r="AG76" s="182"/>
      <c r="AH76" s="182"/>
    </row>
    <row r="77" spans="3:34">
      <c r="C77" s="12"/>
      <c r="D77" s="22"/>
      <c r="E77" s="26"/>
      <c r="F77" s="26"/>
      <c r="G77" s="26"/>
      <c r="H77" s="26"/>
      <c r="I77" s="26"/>
      <c r="J77" s="26"/>
      <c r="M77" s="21">
        <f>M78</f>
        <v>45268</v>
      </c>
      <c r="N77" s="10" t="s">
        <v>54</v>
      </c>
      <c r="O77" s="25">
        <v>6</v>
      </c>
      <c r="P77" s="25"/>
      <c r="Q77" s="25"/>
      <c r="R77" s="25"/>
      <c r="S77" s="25"/>
      <c r="T77" s="25"/>
      <c r="AG77" s="182"/>
      <c r="AH77" s="182"/>
    </row>
    <row r="78" spans="3:34">
      <c r="C78" s="12">
        <f t="shared" ca="1" si="27"/>
        <v>1</v>
      </c>
      <c r="D78" s="22">
        <f t="shared" si="28"/>
        <v>45268</v>
      </c>
      <c r="E78" s="26">
        <f t="shared" si="29"/>
        <v>0</v>
      </c>
      <c r="F78" s="26">
        <f t="shared" si="30"/>
        <v>0</v>
      </c>
      <c r="G78" s="26">
        <f t="shared" si="31"/>
        <v>0</v>
      </c>
      <c r="H78" s="26">
        <f t="shared" si="32"/>
        <v>1</v>
      </c>
      <c r="I78" s="26">
        <f t="shared" si="33"/>
        <v>1</v>
      </c>
      <c r="J78" s="26">
        <f t="shared" si="34"/>
        <v>1</v>
      </c>
      <c r="M78" s="21">
        <f>M76+7</f>
        <v>45268</v>
      </c>
      <c r="N78" s="10" t="s">
        <v>24</v>
      </c>
      <c r="O78" s="25">
        <v>12</v>
      </c>
      <c r="P78" s="25">
        <v>12</v>
      </c>
      <c r="Q78" s="25">
        <v>12</v>
      </c>
      <c r="R78" s="25">
        <v>0</v>
      </c>
      <c r="S78" s="25">
        <v>0</v>
      </c>
      <c r="T78" s="25">
        <v>0</v>
      </c>
      <c r="AG78" s="182"/>
      <c r="AH78" s="182"/>
    </row>
    <row r="79" spans="3:34">
      <c r="C79" s="12">
        <f t="shared" ca="1" si="27"/>
        <v>1</v>
      </c>
      <c r="D79" s="22">
        <f t="shared" si="28"/>
        <v>45275</v>
      </c>
      <c r="E79" s="26">
        <f t="shared" si="29"/>
        <v>1</v>
      </c>
      <c r="F79" s="26">
        <f t="shared" si="30"/>
        <v>0</v>
      </c>
      <c r="G79" s="26">
        <f t="shared" si="31"/>
        <v>1</v>
      </c>
      <c r="H79" s="26">
        <f t="shared" si="32"/>
        <v>0</v>
      </c>
      <c r="I79" s="26">
        <f t="shared" si="33"/>
        <v>1</v>
      </c>
      <c r="J79" s="26">
        <f t="shared" si="34"/>
        <v>1</v>
      </c>
      <c r="M79" s="21">
        <f t="shared" ref="M79:M85" si="35">M78+7</f>
        <v>45275</v>
      </c>
      <c r="N79" s="10" t="s">
        <v>24</v>
      </c>
      <c r="O79" s="25">
        <v>0</v>
      </c>
      <c r="P79" s="25">
        <v>12</v>
      </c>
      <c r="Q79" s="25">
        <v>0</v>
      </c>
      <c r="R79" s="25">
        <v>12</v>
      </c>
      <c r="S79" s="25">
        <v>0</v>
      </c>
      <c r="T79" s="25">
        <v>0</v>
      </c>
      <c r="AG79" s="182"/>
      <c r="AH79" s="182"/>
    </row>
    <row r="80" spans="3:34">
      <c r="C80" s="12">
        <f t="shared" ca="1" si="27"/>
        <v>1</v>
      </c>
      <c r="D80" s="22">
        <f t="shared" si="28"/>
        <v>45282</v>
      </c>
      <c r="E80" s="26">
        <f t="shared" si="29"/>
        <v>1</v>
      </c>
      <c r="F80" s="26">
        <f t="shared" si="30"/>
        <v>1</v>
      </c>
      <c r="G80" s="26">
        <f t="shared" si="31"/>
        <v>1</v>
      </c>
      <c r="H80" s="26">
        <f t="shared" si="32"/>
        <v>0</v>
      </c>
      <c r="I80" s="26">
        <f t="shared" si="33"/>
        <v>0</v>
      </c>
      <c r="J80" s="26">
        <f t="shared" si="34"/>
        <v>0</v>
      </c>
      <c r="M80" s="21">
        <f t="shared" si="35"/>
        <v>45282</v>
      </c>
      <c r="N80" s="10" t="s">
        <v>24</v>
      </c>
      <c r="O80" s="25">
        <v>0</v>
      </c>
      <c r="P80" s="25">
        <v>0</v>
      </c>
      <c r="Q80" s="25">
        <v>0</v>
      </c>
      <c r="R80" s="25">
        <v>12</v>
      </c>
      <c r="S80" s="25">
        <v>12</v>
      </c>
      <c r="T80" s="25">
        <v>12</v>
      </c>
      <c r="AG80" s="182"/>
      <c r="AH80" s="182"/>
    </row>
    <row r="81" spans="3:34">
      <c r="C81" s="12"/>
      <c r="D81" s="22"/>
      <c r="E81" s="26"/>
      <c r="F81" s="26"/>
      <c r="G81" s="26"/>
      <c r="H81" s="26"/>
      <c r="I81" s="26"/>
      <c r="J81" s="26"/>
      <c r="M81" s="21">
        <v>45289</v>
      </c>
      <c r="N81" s="10" t="s">
        <v>43</v>
      </c>
      <c r="O81" s="25"/>
      <c r="P81" s="25"/>
      <c r="Q81" s="25"/>
      <c r="R81" s="25"/>
      <c r="S81" s="25">
        <v>6</v>
      </c>
      <c r="T81" s="25"/>
      <c r="AG81" s="182"/>
      <c r="AH81" s="182"/>
    </row>
    <row r="82" spans="3:34">
      <c r="C82" s="12">
        <f t="shared" ref="C82:C94" ca="1" si="36">IF(D82&lt;=TODAY(),1,"")</f>
        <v>1</v>
      </c>
      <c r="D82" s="22">
        <f t="shared" ref="D82:D94" si="37">IF(M82="","",M82)</f>
        <v>45289</v>
      </c>
      <c r="E82" s="26">
        <f t="shared" ref="E82:E94" si="38">IF(O82="","",IF(O82=0,1,0))</f>
        <v>0</v>
      </c>
      <c r="F82" s="26">
        <f t="shared" ref="F82:F94" si="39">IF(P82="","",IF(P82=0,1,0))</f>
        <v>0</v>
      </c>
      <c r="G82" s="26">
        <f t="shared" ref="G82:G94" si="40">IF(Q82="","",IF(Q82=0,1,0))</f>
        <v>0</v>
      </c>
      <c r="H82" s="26">
        <f t="shared" ref="H82:H94" si="41">IF(R82="","",IF(R82=0,1,0))</f>
        <v>0</v>
      </c>
      <c r="I82" s="26">
        <f t="shared" ref="I82:I94" si="42">IF(S82="","",IF(S82=0,1,0))</f>
        <v>1</v>
      </c>
      <c r="J82" s="26">
        <f t="shared" ref="J82:J94" si="43">IF(T82="","",IF(T82=0,1,0))</f>
        <v>0</v>
      </c>
      <c r="M82" s="21">
        <f>M80+7</f>
        <v>45289</v>
      </c>
      <c r="N82" s="10" t="s">
        <v>24</v>
      </c>
      <c r="O82" s="25">
        <v>12</v>
      </c>
      <c r="P82" s="25">
        <v>12</v>
      </c>
      <c r="Q82" s="25">
        <v>12</v>
      </c>
      <c r="R82" s="25">
        <v>12</v>
      </c>
      <c r="S82" s="25">
        <v>0</v>
      </c>
      <c r="T82" s="25">
        <v>12</v>
      </c>
      <c r="W82" s="190"/>
      <c r="AG82" s="182"/>
      <c r="AH82" s="182"/>
    </row>
    <row r="83" spans="3:34">
      <c r="C83" s="12">
        <f t="shared" ca="1" si="36"/>
        <v>1</v>
      </c>
      <c r="D83" s="22">
        <f t="shared" si="37"/>
        <v>45296</v>
      </c>
      <c r="E83" s="26">
        <f>IF(O83="","",IF(O83=0,1,0))</f>
        <v>1</v>
      </c>
      <c r="F83" s="26">
        <f t="shared" si="39"/>
        <v>1</v>
      </c>
      <c r="G83" s="26">
        <f t="shared" si="40"/>
        <v>0</v>
      </c>
      <c r="H83" s="26">
        <f t="shared" si="41"/>
        <v>1</v>
      </c>
      <c r="I83" s="26">
        <f t="shared" si="42"/>
        <v>1</v>
      </c>
      <c r="J83" s="26">
        <f t="shared" si="43"/>
        <v>1</v>
      </c>
      <c r="M83" s="21">
        <f t="shared" si="35"/>
        <v>45296</v>
      </c>
      <c r="N83" s="10" t="s">
        <v>24</v>
      </c>
      <c r="O83" s="25">
        <v>0</v>
      </c>
      <c r="P83" s="25">
        <v>0</v>
      </c>
      <c r="Q83" s="25">
        <v>12</v>
      </c>
      <c r="R83" s="25">
        <v>0</v>
      </c>
      <c r="S83" s="25">
        <v>0</v>
      </c>
      <c r="T83" s="25">
        <v>0</v>
      </c>
      <c r="AG83" s="182"/>
      <c r="AH83" s="182"/>
    </row>
    <row r="84" spans="3:34">
      <c r="C84" s="12">
        <f t="shared" ca="1" si="36"/>
        <v>1</v>
      </c>
      <c r="D84" s="22">
        <f t="shared" si="37"/>
        <v>45303</v>
      </c>
      <c r="E84" s="26">
        <f t="shared" si="38"/>
        <v>0</v>
      </c>
      <c r="F84" s="26">
        <f t="shared" si="39"/>
        <v>1</v>
      </c>
      <c r="G84" s="26">
        <f t="shared" si="40"/>
        <v>1</v>
      </c>
      <c r="H84" s="26">
        <f t="shared" si="41"/>
        <v>0</v>
      </c>
      <c r="I84" s="26">
        <f t="shared" si="42"/>
        <v>0</v>
      </c>
      <c r="J84" s="26">
        <f t="shared" si="43"/>
        <v>0</v>
      </c>
      <c r="M84" s="21">
        <f t="shared" si="35"/>
        <v>45303</v>
      </c>
      <c r="N84" s="10" t="s">
        <v>24</v>
      </c>
      <c r="O84" s="25">
        <v>12</v>
      </c>
      <c r="P84" s="25">
        <v>0</v>
      </c>
      <c r="Q84" s="25">
        <v>0</v>
      </c>
      <c r="R84" s="25">
        <v>12</v>
      </c>
      <c r="S84" s="25">
        <v>12</v>
      </c>
      <c r="T84" s="25">
        <v>12</v>
      </c>
    </row>
    <row r="85" spans="3:34">
      <c r="C85" s="12">
        <f t="shared" ca="1" si="36"/>
        <v>1</v>
      </c>
      <c r="D85" s="22">
        <f t="shared" si="37"/>
        <v>45310</v>
      </c>
      <c r="E85" s="26">
        <f t="shared" si="38"/>
        <v>0</v>
      </c>
      <c r="F85" s="26">
        <f t="shared" si="39"/>
        <v>1</v>
      </c>
      <c r="G85" s="26">
        <f t="shared" si="40"/>
        <v>0</v>
      </c>
      <c r="H85" s="26">
        <f t="shared" si="41"/>
        <v>0</v>
      </c>
      <c r="I85" s="26">
        <f t="shared" si="42"/>
        <v>1</v>
      </c>
      <c r="J85" s="26">
        <f t="shared" si="43"/>
        <v>0</v>
      </c>
      <c r="M85" s="21">
        <f t="shared" si="35"/>
        <v>45310</v>
      </c>
      <c r="N85" s="10" t="s">
        <v>24</v>
      </c>
      <c r="O85" s="25">
        <v>12</v>
      </c>
      <c r="P85" s="25">
        <v>0</v>
      </c>
      <c r="Q85" s="25">
        <v>12</v>
      </c>
      <c r="R85" s="25">
        <v>12</v>
      </c>
      <c r="S85" s="25">
        <v>0</v>
      </c>
      <c r="T85" s="25">
        <v>12</v>
      </c>
    </row>
    <row r="86" spans="3:34">
      <c r="C86" s="12"/>
      <c r="D86" s="22"/>
      <c r="E86" s="26"/>
      <c r="F86" s="26"/>
      <c r="G86" s="26"/>
      <c r="H86" s="26"/>
      <c r="I86" s="26"/>
      <c r="J86" s="26"/>
      <c r="M86" s="21">
        <v>45310</v>
      </c>
      <c r="N86" s="10" t="s">
        <v>47</v>
      </c>
      <c r="O86" s="25"/>
      <c r="P86" s="25">
        <v>3</v>
      </c>
      <c r="Q86" s="25"/>
      <c r="R86" s="25"/>
      <c r="S86" s="25"/>
      <c r="T86" s="25"/>
    </row>
    <row r="87" spans="3:34">
      <c r="C87" s="12">
        <f t="shared" ca="1" si="36"/>
        <v>1</v>
      </c>
      <c r="D87" s="22">
        <f t="shared" si="37"/>
        <v>45317</v>
      </c>
      <c r="E87" s="26">
        <f t="shared" si="38"/>
        <v>0</v>
      </c>
      <c r="F87" s="26">
        <f t="shared" si="39"/>
        <v>0</v>
      </c>
      <c r="G87" s="26">
        <f t="shared" si="40"/>
        <v>0</v>
      </c>
      <c r="H87" s="26">
        <f t="shared" si="41"/>
        <v>1</v>
      </c>
      <c r="I87" s="26">
        <f t="shared" si="42"/>
        <v>0</v>
      </c>
      <c r="J87" s="26">
        <f t="shared" si="43"/>
        <v>0</v>
      </c>
      <c r="M87" s="21">
        <v>45317</v>
      </c>
      <c r="N87" s="10" t="s">
        <v>24</v>
      </c>
      <c r="O87" s="25">
        <v>12</v>
      </c>
      <c r="P87" s="25">
        <v>12</v>
      </c>
      <c r="Q87" s="25">
        <v>12</v>
      </c>
      <c r="R87" s="25">
        <v>0</v>
      </c>
      <c r="S87" s="25">
        <v>12</v>
      </c>
      <c r="T87" s="25">
        <v>12</v>
      </c>
    </row>
    <row r="88" spans="3:34">
      <c r="C88" s="12">
        <f t="shared" ca="1" si="36"/>
        <v>1</v>
      </c>
      <c r="D88" s="22">
        <f t="shared" si="37"/>
        <v>45317</v>
      </c>
      <c r="E88" s="26" t="str">
        <f t="shared" si="38"/>
        <v/>
      </c>
      <c r="F88" s="26" t="str">
        <f t="shared" si="39"/>
        <v/>
      </c>
      <c r="G88" s="26" t="str">
        <f t="shared" si="40"/>
        <v/>
      </c>
      <c r="H88" s="26">
        <f t="shared" si="41"/>
        <v>0</v>
      </c>
      <c r="I88" s="26" t="str">
        <f t="shared" si="42"/>
        <v/>
      </c>
      <c r="J88" s="26" t="str">
        <f t="shared" si="43"/>
        <v/>
      </c>
      <c r="M88" s="21">
        <v>45317</v>
      </c>
      <c r="N88" s="10" t="s">
        <v>43</v>
      </c>
      <c r="O88" s="25"/>
      <c r="P88" s="25"/>
      <c r="Q88" s="25"/>
      <c r="R88" s="25">
        <v>6</v>
      </c>
      <c r="S88" s="25"/>
      <c r="T88" s="25"/>
    </row>
    <row r="89" spans="3:34">
      <c r="C89" s="12">
        <f t="shared" ca="1" si="36"/>
        <v>1</v>
      </c>
      <c r="D89" s="22">
        <f t="shared" si="37"/>
        <v>45324</v>
      </c>
      <c r="E89" s="26">
        <f t="shared" si="38"/>
        <v>0</v>
      </c>
      <c r="F89" s="26">
        <f t="shared" si="39"/>
        <v>1</v>
      </c>
      <c r="G89" s="26">
        <f t="shared" si="40"/>
        <v>1</v>
      </c>
      <c r="H89" s="26">
        <f t="shared" si="41"/>
        <v>1</v>
      </c>
      <c r="I89" s="26">
        <f t="shared" si="42"/>
        <v>1</v>
      </c>
      <c r="J89" s="26">
        <f t="shared" si="43"/>
        <v>0</v>
      </c>
      <c r="M89" s="21">
        <v>45324</v>
      </c>
      <c r="N89" s="10" t="s">
        <v>24</v>
      </c>
      <c r="O89" s="25">
        <v>12</v>
      </c>
      <c r="P89" s="25">
        <v>0</v>
      </c>
      <c r="Q89" s="25">
        <v>0</v>
      </c>
      <c r="R89" s="25">
        <v>0</v>
      </c>
      <c r="S89" s="25">
        <v>0</v>
      </c>
      <c r="T89" s="25">
        <v>12</v>
      </c>
    </row>
    <row r="90" spans="3:34">
      <c r="C90" s="12">
        <f t="shared" ca="1" si="36"/>
        <v>1</v>
      </c>
      <c r="D90" s="22">
        <f t="shared" si="37"/>
        <v>45331</v>
      </c>
      <c r="E90" s="26">
        <f t="shared" si="38"/>
        <v>1</v>
      </c>
      <c r="F90" s="26">
        <f t="shared" si="39"/>
        <v>0</v>
      </c>
      <c r="G90" s="26">
        <f t="shared" si="40"/>
        <v>1</v>
      </c>
      <c r="H90" s="26">
        <f t="shared" si="41"/>
        <v>1</v>
      </c>
      <c r="I90" s="26">
        <f t="shared" si="42"/>
        <v>1</v>
      </c>
      <c r="J90" s="26">
        <f t="shared" si="43"/>
        <v>1</v>
      </c>
      <c r="M90" s="21">
        <v>45331</v>
      </c>
      <c r="N90" s="10" t="s">
        <v>24</v>
      </c>
      <c r="O90" s="25">
        <v>0</v>
      </c>
      <c r="P90" s="25">
        <v>12</v>
      </c>
      <c r="Q90" s="25">
        <v>0</v>
      </c>
      <c r="R90" s="25">
        <v>0</v>
      </c>
      <c r="S90" s="25">
        <v>0</v>
      </c>
      <c r="T90" s="25">
        <v>0</v>
      </c>
    </row>
    <row r="91" spans="3:34">
      <c r="C91" s="12" t="str">
        <f t="shared" ca="1" si="36"/>
        <v/>
      </c>
      <c r="D91" s="22" t="str">
        <f t="shared" si="37"/>
        <v/>
      </c>
      <c r="E91" s="26" t="str">
        <f t="shared" si="38"/>
        <v/>
      </c>
      <c r="F91" s="26" t="str">
        <f t="shared" si="39"/>
        <v/>
      </c>
      <c r="G91" s="26" t="str">
        <f t="shared" si="40"/>
        <v/>
      </c>
      <c r="H91" s="26" t="str">
        <f t="shared" si="41"/>
        <v/>
      </c>
      <c r="I91" s="26" t="str">
        <f t="shared" si="42"/>
        <v/>
      </c>
      <c r="J91" s="26" t="str">
        <f t="shared" si="43"/>
        <v/>
      </c>
      <c r="M91" s="21"/>
      <c r="N91" s="10"/>
      <c r="O91" s="25"/>
      <c r="P91" s="25"/>
      <c r="Q91" s="25"/>
      <c r="R91" s="25"/>
      <c r="S91" s="25"/>
      <c r="T91" s="25"/>
    </row>
    <row r="92" spans="3:34">
      <c r="C92" s="12" t="str">
        <f t="shared" ca="1" si="36"/>
        <v/>
      </c>
      <c r="D92" s="22" t="str">
        <f t="shared" si="37"/>
        <v/>
      </c>
      <c r="E92" s="26" t="str">
        <f t="shared" si="38"/>
        <v/>
      </c>
      <c r="F92" s="26" t="str">
        <f t="shared" si="39"/>
        <v/>
      </c>
      <c r="G92" s="26" t="str">
        <f t="shared" si="40"/>
        <v/>
      </c>
      <c r="H92" s="26" t="str">
        <f t="shared" si="41"/>
        <v/>
      </c>
      <c r="I92" s="26" t="str">
        <f t="shared" si="42"/>
        <v/>
      </c>
      <c r="J92" s="26" t="str">
        <f t="shared" si="43"/>
        <v/>
      </c>
      <c r="M92" s="21"/>
      <c r="N92" s="10"/>
      <c r="O92" s="25"/>
      <c r="P92" s="25"/>
      <c r="Q92" s="25"/>
      <c r="R92" s="25"/>
      <c r="S92" s="25"/>
      <c r="T92" s="25"/>
    </row>
    <row r="93" spans="3:34">
      <c r="C93" s="12" t="str">
        <f t="shared" ca="1" si="36"/>
        <v/>
      </c>
      <c r="D93" s="22" t="str">
        <f t="shared" si="37"/>
        <v/>
      </c>
      <c r="E93" s="26" t="str">
        <f t="shared" si="38"/>
        <v/>
      </c>
      <c r="F93" s="26" t="str">
        <f t="shared" si="39"/>
        <v/>
      </c>
      <c r="G93" s="26" t="str">
        <f t="shared" si="40"/>
        <v/>
      </c>
      <c r="H93" s="26" t="str">
        <f t="shared" si="41"/>
        <v/>
      </c>
      <c r="I93" s="26" t="str">
        <f t="shared" si="42"/>
        <v/>
      </c>
      <c r="J93" s="26" t="str">
        <f t="shared" si="43"/>
        <v/>
      </c>
      <c r="M93" s="21"/>
      <c r="N93" s="10"/>
      <c r="O93" s="25"/>
      <c r="P93" s="25"/>
      <c r="Q93" s="25"/>
      <c r="R93" s="25"/>
      <c r="S93" s="25"/>
      <c r="T93" s="25"/>
    </row>
    <row r="94" spans="3:34">
      <c r="C94" s="12" t="str">
        <f t="shared" ca="1" si="36"/>
        <v/>
      </c>
      <c r="D94" s="22" t="str">
        <f t="shared" si="37"/>
        <v/>
      </c>
      <c r="E94" s="26" t="str">
        <f t="shared" si="38"/>
        <v/>
      </c>
      <c r="F94" s="26" t="str">
        <f t="shared" si="39"/>
        <v/>
      </c>
      <c r="G94" s="26" t="str">
        <f t="shared" si="40"/>
        <v/>
      </c>
      <c r="H94" s="26" t="str">
        <f t="shared" si="41"/>
        <v/>
      </c>
      <c r="I94" s="26" t="str">
        <f t="shared" si="42"/>
        <v/>
      </c>
      <c r="J94" s="26" t="str">
        <f t="shared" si="43"/>
        <v/>
      </c>
      <c r="M94" s="21"/>
      <c r="N94" s="10"/>
      <c r="O94" s="25"/>
      <c r="P94" s="25"/>
      <c r="Q94" s="25"/>
      <c r="R94" s="25"/>
      <c r="S94" s="25"/>
      <c r="T94" s="25"/>
    </row>
  </sheetData>
  <mergeCells count="44">
    <mergeCell ref="X31:AA31"/>
    <mergeCell ref="W20:Z2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29 E31:J34 E36:J36 E38:J40 E42:J42 E44:J56 E58:J62 E64:J64 E66:J70 E72:J72 E74:J76 E78:J80 E82:J85 E87:J94">
    <cfRule type="cellIs" dxfId="122" priority="11" operator="equal">
      <formula>0</formula>
    </cfRule>
    <cfRule type="cellIs" dxfId="121" priority="12" operator="equal">
      <formula>1</formula>
    </cfRule>
  </conditionalFormatting>
  <conditionalFormatting sqref="U24:U39 O24:T94">
    <cfRule type="cellIs" dxfId="120" priority="5" operator="equal">
      <formula>0</formula>
    </cfRule>
    <cfRule type="cellIs" dxfId="119" priority="6" operator="greaterThan">
      <formula>0</formula>
    </cfRule>
  </conditionalFormatting>
  <conditionalFormatting sqref="AE25:AE30">
    <cfRule type="cellIs" dxfId="118" priority="9" operator="lessThan">
      <formula>0</formula>
    </cfRule>
    <cfRule type="cellIs" dxfId="117" priority="10" operator="greaterThan">
      <formula>0</formula>
    </cfRule>
  </conditionalFormatting>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B903F-322A-4407-AA1E-C71B8EC058F1}">
  <sheetPr codeName="Sheet12"/>
  <dimension ref="A1:AC92"/>
  <sheetViews>
    <sheetView zoomScale="70" zoomScaleNormal="70" workbookViewId="0">
      <pane xSplit="14" ySplit="23" topLeftCell="O51" activePane="bottomRight" state="frozen"/>
      <selection pane="topRight" activeCell="P1" sqref="P1"/>
      <selection pane="bottomLeft" activeCell="A24" sqref="A24"/>
      <selection pane="bottomRight" activeCell="N66" sqref="N66:O67"/>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1.3828125" style="1"/>
    <col min="27" max="27" width="12.15234375" style="1" customWidth="1"/>
    <col min="28" max="16384" width="11.38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2190.92</v>
      </c>
      <c r="U5" s="237"/>
      <c r="V5" s="238" t="s">
        <v>53</v>
      </c>
      <c r="W5" s="239"/>
      <c r="X5" s="238" t="s">
        <v>57</v>
      </c>
      <c r="Y5" s="239"/>
      <c r="Z5" s="238" t="s">
        <v>62</v>
      </c>
      <c r="AA5" s="239"/>
    </row>
    <row r="6" spans="2:27" ht="23.25" customHeight="1">
      <c r="B6" s="6"/>
      <c r="L6" s="6"/>
      <c r="V6" s="240"/>
      <c r="W6" s="241"/>
      <c r="X6" s="240"/>
      <c r="Y6" s="241"/>
      <c r="Z6" s="240"/>
      <c r="AA6" s="241"/>
    </row>
    <row r="7" spans="2:2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SJU</v>
      </c>
      <c r="E8" s="12">
        <f t="shared" ref="E8:E13" si="2">ROUND(HLOOKUP(D8,$E$18:$J$20,3,FALSE),0)</f>
        <v>38</v>
      </c>
      <c r="F8" s="64">
        <f ca="1">E8/$C$20</f>
        <v>0.82608695652173914</v>
      </c>
      <c r="G8" s="28">
        <f t="shared" ref="G8:G10" ca="1" si="3">1-F8</f>
        <v>0.17391304347826086</v>
      </c>
      <c r="L8" s="6"/>
      <c r="N8" s="10" t="s">
        <v>2</v>
      </c>
      <c r="O8" s="13">
        <f>R20</f>
        <v>330.5</v>
      </c>
      <c r="P8" s="13">
        <v>0</v>
      </c>
      <c r="Q8" s="221" t="s">
        <v>25</v>
      </c>
      <c r="R8" s="221"/>
      <c r="S8" s="221" t="s">
        <v>18</v>
      </c>
      <c r="T8" s="221"/>
      <c r="V8" s="221" t="s">
        <v>49</v>
      </c>
      <c r="W8" s="221"/>
      <c r="X8" s="221" t="s">
        <v>59</v>
      </c>
      <c r="Y8" s="221"/>
      <c r="Z8" s="221" t="s">
        <v>66</v>
      </c>
      <c r="AA8" s="221"/>
    </row>
    <row r="9" spans="2:27">
      <c r="B9" s="6">
        <v>2</v>
      </c>
      <c r="C9" s="12">
        <f>B9</f>
        <v>2</v>
      </c>
      <c r="D9" s="10" t="str">
        <f>HLOOKUP($B9,$E$17:$J$20,2,FALSE)</f>
        <v>MSO</v>
      </c>
      <c r="E9" s="12">
        <f t="shared" si="2"/>
        <v>34</v>
      </c>
      <c r="F9" s="28">
        <f ca="1">E9/$C$20</f>
        <v>0.73913043478260865</v>
      </c>
      <c r="G9" s="28">
        <f t="shared" ca="1" si="3"/>
        <v>0.26086956521739135</v>
      </c>
      <c r="L9" s="6"/>
      <c r="N9" s="10" t="s">
        <v>4</v>
      </c>
      <c r="O9" s="13">
        <f>P20</f>
        <v>195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CBO</v>
      </c>
      <c r="E10" s="12">
        <f t="shared" si="2"/>
        <v>31</v>
      </c>
      <c r="F10" s="28">
        <f ca="1">E10/$C$20</f>
        <v>0.67391304347826086</v>
      </c>
      <c r="G10" s="28">
        <f t="shared" ca="1" si="3"/>
        <v>0.32608695652173914</v>
      </c>
      <c r="L10" s="6"/>
      <c r="N10" s="10" t="s">
        <v>3</v>
      </c>
      <c r="O10" s="13">
        <f>S20</f>
        <v>114</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2"/>
        <v>25</v>
      </c>
      <c r="F11" s="28">
        <f t="shared" ref="F11" ca="1" si="4">E11/$C$20</f>
        <v>0.54347826086956519</v>
      </c>
      <c r="G11" s="28">
        <f ca="1">1-F11</f>
        <v>0.45652173913043481</v>
      </c>
      <c r="L11" s="6"/>
      <c r="N11" s="10" t="s">
        <v>1</v>
      </c>
      <c r="O11" s="13">
        <f>Q20</f>
        <v>257</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JWU</v>
      </c>
      <c r="E12" s="12">
        <f t="shared" si="2"/>
        <v>21</v>
      </c>
      <c r="F12" s="28">
        <f ca="1">E12/$C$20</f>
        <v>0.45652173913043476</v>
      </c>
      <c r="G12" s="28">
        <f ca="1">1-F12</f>
        <v>0.54347826086956519</v>
      </c>
      <c r="L12" s="6"/>
      <c r="N12" s="10" t="s">
        <v>0</v>
      </c>
      <c r="O12" s="47">
        <f>O20</f>
        <v>318.5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7</v>
      </c>
      <c r="F13" s="28">
        <f ca="1">E13/$C$20</f>
        <v>0.15217391304347827</v>
      </c>
      <c r="G13" s="28">
        <f ca="1">1-F13</f>
        <v>0.84782608695652173</v>
      </c>
      <c r="L13" s="6"/>
      <c r="N13" s="10" t="s">
        <v>22</v>
      </c>
      <c r="O13" s="13">
        <f>T20</f>
        <v>162.5</v>
      </c>
      <c r="P13" s="13">
        <v>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149999999999999" thickBot="1">
      <c r="B16" s="6"/>
      <c r="L16" s="6"/>
      <c r="N16" s="14" t="s">
        <v>19</v>
      </c>
      <c r="O16" s="15">
        <f>SUM(O8:O13)</f>
        <v>1377.5</v>
      </c>
      <c r="P16" s="87"/>
      <c r="Q16" s="252" t="s">
        <v>30</v>
      </c>
      <c r="R16" s="253"/>
      <c r="S16" s="15">
        <v>813.42</v>
      </c>
      <c r="V16" s="139" t="s">
        <v>125</v>
      </c>
      <c r="W16" s="140">
        <f>O16+S16</f>
        <v>2190.92</v>
      </c>
    </row>
    <row r="17" spans="2:27" ht="12" customHeight="1">
      <c r="B17" s="6"/>
      <c r="E17" s="27">
        <f t="shared" ref="E17:J17" si="5">RANK(E20,$E20:$J20)</f>
        <v>5</v>
      </c>
      <c r="F17" s="27">
        <f t="shared" si="5"/>
        <v>3</v>
      </c>
      <c r="G17" s="27">
        <f t="shared" si="5"/>
        <v>4</v>
      </c>
      <c r="H17" s="27">
        <f t="shared" si="5"/>
        <v>6</v>
      </c>
      <c r="I17" s="27">
        <f t="shared" si="5"/>
        <v>1</v>
      </c>
      <c r="J17" s="27">
        <f t="shared" si="5"/>
        <v>2</v>
      </c>
      <c r="L17" s="6"/>
      <c r="V17" s="225"/>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27" ht="6" customHeight="1">
      <c r="B19" s="6"/>
      <c r="E19" s="17"/>
      <c r="F19" s="17"/>
      <c r="G19" s="17"/>
      <c r="H19" s="17"/>
      <c r="I19" s="17"/>
      <c r="J19" s="17"/>
      <c r="L19" s="6"/>
      <c r="O19" s="17"/>
      <c r="P19" s="17"/>
      <c r="Q19" s="17"/>
      <c r="R19" s="17"/>
      <c r="S19" s="17"/>
      <c r="T19" s="17"/>
      <c r="U19" s="17"/>
    </row>
    <row r="20" spans="2:27">
      <c r="B20" s="6"/>
      <c r="C20" s="141">
        <f ca="1">COUNT(C23:C94)</f>
        <v>46</v>
      </c>
      <c r="E20" s="24">
        <f>SUM(E25:E92)+0.00007</f>
        <v>21.000070000000001</v>
      </c>
      <c r="F20" s="24">
        <f>SUM(F25:F92)+0.00005</f>
        <v>31.000050000000002</v>
      </c>
      <c r="G20" s="24">
        <f>SUM(G25:G92)+0.00008</f>
        <v>25.000080000000001</v>
      </c>
      <c r="H20" s="24">
        <f>SUM(H25:H92)+0.00006</f>
        <v>7.0000600000000004</v>
      </c>
      <c r="I20" s="24">
        <f>SUM(I25:I92)+0.00009</f>
        <v>38.00009</v>
      </c>
      <c r="J20" s="24">
        <f>SUM(J25:J92)+0.0001</f>
        <v>34.000100000000003</v>
      </c>
      <c r="L20" s="6"/>
      <c r="O20" s="19">
        <f>SUM(O24:O92)</f>
        <v>318.5</v>
      </c>
      <c r="P20" s="19">
        <f>SUM(P24:P92)</f>
        <v>195</v>
      </c>
      <c r="Q20" s="19">
        <f>SUM(Q24:Q92)</f>
        <v>257</v>
      </c>
      <c r="R20" s="149">
        <f>IF(150&gt;MAX(O20,P20,Q20,S20,T20),150,(MAX(O20,P20,Q20,S20,T20)+12))</f>
        <v>330.5</v>
      </c>
      <c r="S20" s="19">
        <f>SUM(S24:S92)</f>
        <v>114</v>
      </c>
      <c r="T20" s="19">
        <f>SUM(T24:T92)</f>
        <v>162.5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44638</v>
      </c>
      <c r="N24" s="67" t="s">
        <v>20</v>
      </c>
      <c r="O24" s="25">
        <v>20</v>
      </c>
      <c r="P24" s="25">
        <v>20</v>
      </c>
      <c r="Q24" s="25">
        <v>20</v>
      </c>
      <c r="R24" s="25">
        <v>20</v>
      </c>
      <c r="S24" s="25">
        <v>20</v>
      </c>
      <c r="T24" s="25">
        <v>20</v>
      </c>
      <c r="U24" s="25"/>
    </row>
    <row r="25" spans="2:27">
      <c r="B25" s="6"/>
      <c r="C25" s="12">
        <v>1</v>
      </c>
      <c r="D25" s="22">
        <f>M25</f>
        <v>44638</v>
      </c>
      <c r="E25" s="26">
        <f t="shared" ref="E25:J25" si="6">IF(O25="","",IF(O25=0,1,0))</f>
        <v>1</v>
      </c>
      <c r="F25" s="26">
        <f t="shared" si="6"/>
        <v>1</v>
      </c>
      <c r="G25" s="26">
        <f t="shared" si="6"/>
        <v>1</v>
      </c>
      <c r="H25" s="26">
        <f>IF(R25="","",IF(R25=0,1,0))</f>
        <v>1</v>
      </c>
      <c r="I25" s="26">
        <f t="shared" si="6"/>
        <v>1</v>
      </c>
      <c r="J25" s="26">
        <f t="shared" si="6"/>
        <v>0</v>
      </c>
      <c r="L25" s="6"/>
      <c r="M25" s="21">
        <f>M24</f>
        <v>44638</v>
      </c>
      <c r="N25" s="10" t="s">
        <v>24</v>
      </c>
      <c r="O25" s="25">
        <v>0</v>
      </c>
      <c r="P25" s="25">
        <v>0</v>
      </c>
      <c r="Q25" s="25">
        <v>0</v>
      </c>
      <c r="R25" s="25">
        <v>0</v>
      </c>
      <c r="S25" s="25">
        <v>0</v>
      </c>
      <c r="T25" s="25">
        <v>10</v>
      </c>
      <c r="U25" s="25"/>
      <c r="Y25" s="58"/>
    </row>
    <row r="26" spans="2:27">
      <c r="B26" s="6"/>
      <c r="C26" s="12">
        <f ca="1">IF(D26&lt;=TODAY(),1,"")</f>
        <v>1</v>
      </c>
      <c r="D26" s="22">
        <f>IF(M26="","",M26)</f>
        <v>44645</v>
      </c>
      <c r="E26" s="26">
        <f t="shared" ref="E26" si="7">IF(O26="","",IF(O26=0,1,0))</f>
        <v>0</v>
      </c>
      <c r="F26" s="26">
        <f t="shared" ref="F26" si="8">IF(P26="","",IF(P26=0,1,0))</f>
        <v>0</v>
      </c>
      <c r="G26" s="26">
        <f t="shared" ref="G26" si="9">IF(Q26="","",IF(Q26=0,1,0))</f>
        <v>0</v>
      </c>
      <c r="H26" s="26">
        <f>IF(R26="","",IF(R26=0,1,0))</f>
        <v>0</v>
      </c>
      <c r="I26" s="26">
        <f t="shared" ref="I26" si="10">IF(S26="","",IF(S26=0,1,0))</f>
        <v>1</v>
      </c>
      <c r="J26" s="26">
        <f t="shared" ref="J26" si="11">IF(T26="","",IF(T26=0,1,0))</f>
        <v>1</v>
      </c>
      <c r="L26" s="6"/>
      <c r="M26" s="21">
        <f>M25+7</f>
        <v>44645</v>
      </c>
      <c r="N26" s="10" t="s">
        <v>24</v>
      </c>
      <c r="O26" s="25">
        <v>10</v>
      </c>
      <c r="P26" s="25">
        <v>10</v>
      </c>
      <c r="Q26" s="25">
        <v>10</v>
      </c>
      <c r="R26" s="25">
        <v>10</v>
      </c>
      <c r="S26" s="25">
        <v>0</v>
      </c>
      <c r="T26" s="25">
        <v>0</v>
      </c>
      <c r="U26" s="25"/>
    </row>
    <row r="27" spans="2:27">
      <c r="B27" s="6"/>
      <c r="C27" s="12">
        <f t="shared" ref="C27:C81" ca="1" si="12">IF(D27&lt;=TODAY(),1,"")</f>
        <v>1</v>
      </c>
      <c r="D27" s="22">
        <f t="shared" ref="D27:D81" si="13">IF(M27="","",M27)</f>
        <v>44652</v>
      </c>
      <c r="E27" s="26">
        <f t="shared" ref="E27:E30" si="14">IF(O27="","",IF(O27=0,1,0))</f>
        <v>0</v>
      </c>
      <c r="F27" s="26">
        <f t="shared" ref="F27:F30" si="15">IF(P27="","",IF(P27=0,1,0))</f>
        <v>0</v>
      </c>
      <c r="G27" s="26">
        <f t="shared" ref="G27:G30" si="16">IF(Q27="","",IF(Q27=0,1,0))</f>
        <v>0</v>
      </c>
      <c r="H27" s="26">
        <f t="shared" ref="H27:H30" si="17">IF(R27="","",IF(R27=0,1,0))</f>
        <v>0</v>
      </c>
      <c r="I27" s="26">
        <f t="shared" ref="I27:I30" si="18">IF(S27="","",IF(S27=0,1,0))</f>
        <v>1</v>
      </c>
      <c r="J27" s="26">
        <f t="shared" ref="J27:J30" si="19">IF(T27="","",IF(T27=0,1,0))</f>
        <v>1</v>
      </c>
      <c r="L27" s="6"/>
      <c r="M27" s="21">
        <f>M26+7</f>
        <v>44652</v>
      </c>
      <c r="N27" s="10" t="s">
        <v>24</v>
      </c>
      <c r="O27" s="25">
        <v>10</v>
      </c>
      <c r="P27" s="25">
        <v>10</v>
      </c>
      <c r="Q27" s="25">
        <v>10</v>
      </c>
      <c r="R27" s="25">
        <v>10</v>
      </c>
      <c r="S27" s="25">
        <v>0</v>
      </c>
      <c r="T27" s="25">
        <v>0</v>
      </c>
      <c r="U27" s="25"/>
    </row>
    <row r="28" spans="2:27">
      <c r="B28" s="6"/>
      <c r="C28" s="76"/>
      <c r="D28" s="77"/>
      <c r="E28" s="77"/>
      <c r="F28" s="77"/>
      <c r="G28" s="77" t="str">
        <f>IF(Q28="","",IF(Q28=0,1,0))</f>
        <v/>
      </c>
      <c r="H28" s="77"/>
      <c r="I28" s="77" t="str">
        <f t="shared" si="18"/>
        <v/>
      </c>
      <c r="J28" s="2"/>
      <c r="L28" s="6"/>
      <c r="M28" s="21">
        <f>M29</f>
        <v>44659</v>
      </c>
      <c r="N28" s="10" t="s">
        <v>47</v>
      </c>
      <c r="O28" s="25">
        <v>2.5</v>
      </c>
      <c r="P28" s="25"/>
      <c r="Q28" s="25"/>
      <c r="R28" s="25"/>
      <c r="S28" s="25"/>
      <c r="T28" s="25"/>
      <c r="U28" s="25"/>
    </row>
    <row r="29" spans="2:27">
      <c r="B29" s="6"/>
      <c r="C29" s="12">
        <f t="shared" ca="1" si="12"/>
        <v>1</v>
      </c>
      <c r="D29" s="22">
        <f t="shared" si="13"/>
        <v>44659</v>
      </c>
      <c r="E29" s="26">
        <f t="shared" si="14"/>
        <v>1</v>
      </c>
      <c r="F29" s="26">
        <f t="shared" si="15"/>
        <v>0</v>
      </c>
      <c r="G29" s="26">
        <f t="shared" si="16"/>
        <v>1</v>
      </c>
      <c r="H29" s="26">
        <f t="shared" si="17"/>
        <v>0</v>
      </c>
      <c r="I29" s="26">
        <f t="shared" si="18"/>
        <v>1</v>
      </c>
      <c r="J29" s="26">
        <f t="shared" si="19"/>
        <v>1</v>
      </c>
      <c r="L29" s="6"/>
      <c r="M29" s="21">
        <f>M27+7</f>
        <v>44659</v>
      </c>
      <c r="N29" s="10" t="s">
        <v>24</v>
      </c>
      <c r="O29" s="25">
        <v>0</v>
      </c>
      <c r="P29" s="25">
        <v>10</v>
      </c>
      <c r="Q29" s="25">
        <v>0</v>
      </c>
      <c r="R29" s="25">
        <v>10</v>
      </c>
      <c r="S29" s="25">
        <v>0</v>
      </c>
      <c r="T29" s="25">
        <v>0</v>
      </c>
      <c r="U29" s="25"/>
      <c r="V29" s="58"/>
    </row>
    <row r="30" spans="2:27">
      <c r="B30" s="6"/>
      <c r="C30" s="12">
        <f t="shared" ca="1" si="12"/>
        <v>1</v>
      </c>
      <c r="D30" s="22">
        <f t="shared" si="13"/>
        <v>44673</v>
      </c>
      <c r="E30" s="26">
        <f t="shared" si="14"/>
        <v>1</v>
      </c>
      <c r="F30" s="26">
        <f t="shared" si="15"/>
        <v>1</v>
      </c>
      <c r="G30" s="26">
        <f t="shared" si="16"/>
        <v>1</v>
      </c>
      <c r="H30" s="26">
        <f t="shared" si="17"/>
        <v>0</v>
      </c>
      <c r="I30" s="26">
        <f t="shared" si="18"/>
        <v>1</v>
      </c>
      <c r="J30" s="26">
        <f t="shared" si="19"/>
        <v>1</v>
      </c>
      <c r="L30" s="6"/>
      <c r="M30" s="21">
        <f>M29+14</f>
        <v>44673</v>
      </c>
      <c r="N30" s="10" t="s">
        <v>24</v>
      </c>
      <c r="O30" s="25">
        <v>0</v>
      </c>
      <c r="P30" s="25">
        <v>0</v>
      </c>
      <c r="Q30" s="25">
        <v>0</v>
      </c>
      <c r="R30" s="25">
        <v>10</v>
      </c>
      <c r="S30" s="25">
        <v>0</v>
      </c>
      <c r="T30" s="25">
        <v>0</v>
      </c>
      <c r="U30" s="25"/>
    </row>
    <row r="31" spans="2:27">
      <c r="B31" s="6"/>
      <c r="C31" s="12">
        <f t="shared" ca="1" si="12"/>
        <v>1</v>
      </c>
      <c r="D31" s="22">
        <f t="shared" si="13"/>
        <v>44680</v>
      </c>
      <c r="E31" s="26">
        <f t="shared" ref="E31:E81" si="20">IF(O31="","",IF(O31=0,1,0))</f>
        <v>1</v>
      </c>
      <c r="F31" s="26">
        <f t="shared" ref="F31:F81" si="21">IF(P31="","",IF(P31=0,1,0))</f>
        <v>1</v>
      </c>
      <c r="G31" s="26">
        <f t="shared" ref="G31:G81" si="22">IF(Q31="","",IF(Q31=0,1,0))</f>
        <v>1</v>
      </c>
      <c r="H31" s="26">
        <f t="shared" ref="H31:H81" si="23">IF(R31="","",IF(R31=0,1,0))</f>
        <v>0</v>
      </c>
      <c r="I31" s="26">
        <f t="shared" ref="I31:I81" si="24">IF(S31="","",IF(S31=0,1,0))</f>
        <v>1</v>
      </c>
      <c r="J31" s="26">
        <f t="shared" ref="J31:J81" si="25">IF(T31="","",IF(T31=0,1,0))</f>
        <v>1</v>
      </c>
      <c r="L31" s="6"/>
      <c r="M31" s="21">
        <f t="shared" ref="M31:M36" si="26">M30+7</f>
        <v>44680</v>
      </c>
      <c r="N31" s="10" t="s">
        <v>24</v>
      </c>
      <c r="O31" s="25">
        <v>0</v>
      </c>
      <c r="P31" s="25">
        <v>0</v>
      </c>
      <c r="Q31" s="25">
        <v>0</v>
      </c>
      <c r="R31" s="25">
        <v>10</v>
      </c>
      <c r="S31" s="25">
        <v>0</v>
      </c>
      <c r="T31" s="25">
        <v>0</v>
      </c>
      <c r="U31" s="25"/>
      <c r="AA31" s="58"/>
    </row>
    <row r="32" spans="2:27">
      <c r="B32" s="6"/>
      <c r="C32" s="12">
        <f t="shared" ca="1" si="12"/>
        <v>1</v>
      </c>
      <c r="D32" s="22">
        <f t="shared" si="13"/>
        <v>44687</v>
      </c>
      <c r="E32" s="26">
        <f t="shared" si="20"/>
        <v>0</v>
      </c>
      <c r="F32" s="26">
        <f t="shared" si="21"/>
        <v>1</v>
      </c>
      <c r="G32" s="26">
        <f t="shared" si="22"/>
        <v>0</v>
      </c>
      <c r="H32" s="26">
        <f t="shared" si="23"/>
        <v>0</v>
      </c>
      <c r="I32" s="26">
        <f t="shared" si="24"/>
        <v>0</v>
      </c>
      <c r="J32" s="26">
        <f t="shared" si="25"/>
        <v>1</v>
      </c>
      <c r="L32" s="6"/>
      <c r="M32" s="21">
        <f t="shared" si="26"/>
        <v>44687</v>
      </c>
      <c r="N32" s="10" t="s">
        <v>24</v>
      </c>
      <c r="O32" s="25">
        <v>10</v>
      </c>
      <c r="P32" s="25">
        <v>0</v>
      </c>
      <c r="Q32" s="25">
        <v>10</v>
      </c>
      <c r="R32" s="25">
        <v>10</v>
      </c>
      <c r="S32" s="25">
        <v>10</v>
      </c>
      <c r="T32" s="25">
        <v>0</v>
      </c>
      <c r="U32" s="25"/>
    </row>
    <row r="33" spans="2:28">
      <c r="B33" s="6"/>
      <c r="C33" s="12">
        <f t="shared" ca="1" si="12"/>
        <v>1</v>
      </c>
      <c r="D33" s="22">
        <f t="shared" si="13"/>
        <v>44694</v>
      </c>
      <c r="E33" s="26">
        <f t="shared" si="20"/>
        <v>1</v>
      </c>
      <c r="F33" s="26">
        <f t="shared" si="21"/>
        <v>1</v>
      </c>
      <c r="G33" s="26">
        <f t="shared" si="22"/>
        <v>1</v>
      </c>
      <c r="H33" s="26">
        <f t="shared" si="23"/>
        <v>1</v>
      </c>
      <c r="I33" s="26">
        <f t="shared" si="24"/>
        <v>1</v>
      </c>
      <c r="J33" s="26">
        <f t="shared" si="25"/>
        <v>0</v>
      </c>
      <c r="L33" s="6"/>
      <c r="M33" s="21">
        <f t="shared" si="26"/>
        <v>44694</v>
      </c>
      <c r="N33" s="10" t="s">
        <v>24</v>
      </c>
      <c r="O33" s="25">
        <v>0</v>
      </c>
      <c r="P33" s="25">
        <v>0</v>
      </c>
      <c r="Q33" s="25">
        <v>0</v>
      </c>
      <c r="R33" s="25">
        <v>0</v>
      </c>
      <c r="S33" s="25">
        <v>0</v>
      </c>
      <c r="T33" s="25">
        <v>10</v>
      </c>
      <c r="U33" s="25"/>
    </row>
    <row r="34" spans="2:28">
      <c r="B34" s="6"/>
      <c r="C34" s="12">
        <f t="shared" ca="1" si="12"/>
        <v>1</v>
      </c>
      <c r="D34" s="22">
        <f t="shared" si="13"/>
        <v>44701</v>
      </c>
      <c r="E34" s="26">
        <f t="shared" si="20"/>
        <v>1</v>
      </c>
      <c r="F34" s="26">
        <f t="shared" si="21"/>
        <v>1</v>
      </c>
      <c r="G34" s="26">
        <f t="shared" si="22"/>
        <v>1</v>
      </c>
      <c r="H34" s="26">
        <f t="shared" si="23"/>
        <v>1</v>
      </c>
      <c r="I34" s="26">
        <f t="shared" si="24"/>
        <v>1</v>
      </c>
      <c r="J34" s="26">
        <f t="shared" si="25"/>
        <v>0</v>
      </c>
      <c r="L34" s="6"/>
      <c r="M34" s="21">
        <f t="shared" si="26"/>
        <v>44701</v>
      </c>
      <c r="N34" s="10" t="s">
        <v>24</v>
      </c>
      <c r="O34" s="25">
        <v>0</v>
      </c>
      <c r="P34" s="25">
        <v>0</v>
      </c>
      <c r="Q34" s="25">
        <v>0</v>
      </c>
      <c r="R34" s="25">
        <v>0</v>
      </c>
      <c r="S34" s="25">
        <v>0</v>
      </c>
      <c r="T34" s="25">
        <v>10</v>
      </c>
      <c r="U34" s="25"/>
    </row>
    <row r="35" spans="2:28">
      <c r="B35" s="6"/>
      <c r="C35" s="12">
        <f t="shared" ca="1" si="12"/>
        <v>1</v>
      </c>
      <c r="D35" s="22">
        <f t="shared" si="13"/>
        <v>44708</v>
      </c>
      <c r="E35" s="26">
        <f t="shared" si="20"/>
        <v>1</v>
      </c>
      <c r="F35" s="26">
        <f t="shared" si="21"/>
        <v>1</v>
      </c>
      <c r="G35" s="26">
        <f t="shared" si="22"/>
        <v>0</v>
      </c>
      <c r="H35" s="26">
        <f t="shared" si="23"/>
        <v>0</v>
      </c>
      <c r="I35" s="26">
        <f t="shared" si="24"/>
        <v>1</v>
      </c>
      <c r="J35" s="26">
        <f t="shared" si="25"/>
        <v>1</v>
      </c>
      <c r="L35" s="6"/>
      <c r="M35" s="21">
        <f t="shared" si="26"/>
        <v>44708</v>
      </c>
      <c r="N35" s="10" t="s">
        <v>24</v>
      </c>
      <c r="O35" s="25">
        <v>0</v>
      </c>
      <c r="P35" s="25">
        <v>0</v>
      </c>
      <c r="Q35" s="25">
        <v>10</v>
      </c>
      <c r="R35" s="25">
        <v>10</v>
      </c>
      <c r="S35" s="25">
        <v>0</v>
      </c>
      <c r="T35" s="25">
        <v>0</v>
      </c>
      <c r="U35" s="25"/>
      <c r="AB35" s="58"/>
    </row>
    <row r="36" spans="2:28">
      <c r="B36" s="6"/>
      <c r="C36" s="12">
        <f t="shared" ca="1" si="12"/>
        <v>1</v>
      </c>
      <c r="D36" s="22">
        <f t="shared" si="13"/>
        <v>44715</v>
      </c>
      <c r="E36" s="26">
        <f t="shared" si="20"/>
        <v>0</v>
      </c>
      <c r="F36" s="26">
        <f t="shared" si="21"/>
        <v>1</v>
      </c>
      <c r="G36" s="26">
        <f t="shared" si="22"/>
        <v>0</v>
      </c>
      <c r="H36" s="26">
        <f t="shared" si="23"/>
        <v>0</v>
      </c>
      <c r="I36" s="26">
        <f t="shared" si="24"/>
        <v>0</v>
      </c>
      <c r="J36" s="26">
        <f t="shared" si="25"/>
        <v>1</v>
      </c>
      <c r="L36" s="6"/>
      <c r="M36" s="21">
        <f t="shared" si="26"/>
        <v>44715</v>
      </c>
      <c r="N36" s="10" t="s">
        <v>24</v>
      </c>
      <c r="O36" s="25">
        <v>10</v>
      </c>
      <c r="P36" s="25">
        <v>0</v>
      </c>
      <c r="Q36" s="25">
        <v>10</v>
      </c>
      <c r="R36" s="25">
        <v>10</v>
      </c>
      <c r="S36" s="25">
        <v>10</v>
      </c>
      <c r="T36" s="25">
        <v>0</v>
      </c>
      <c r="U36" s="25"/>
      <c r="AB36" s="58"/>
    </row>
    <row r="37" spans="2:28">
      <c r="B37" s="6"/>
      <c r="C37" s="12">
        <f t="shared" ca="1" si="12"/>
        <v>1</v>
      </c>
      <c r="D37" s="22">
        <f t="shared" si="13"/>
        <v>44722</v>
      </c>
      <c r="E37" s="26">
        <f t="shared" si="20"/>
        <v>1</v>
      </c>
      <c r="F37" s="26">
        <f t="shared" si="21"/>
        <v>1</v>
      </c>
      <c r="G37" s="26">
        <f t="shared" si="22"/>
        <v>0</v>
      </c>
      <c r="H37" s="26">
        <f t="shared" si="23"/>
        <v>0</v>
      </c>
      <c r="I37" s="26">
        <f t="shared" si="24"/>
        <v>0</v>
      </c>
      <c r="J37" s="26">
        <f t="shared" si="25"/>
        <v>1</v>
      </c>
      <c r="L37" s="6"/>
      <c r="M37" s="21">
        <f>M36+7</f>
        <v>44722</v>
      </c>
      <c r="N37" s="10" t="s">
        <v>24</v>
      </c>
      <c r="O37" s="25">
        <v>0</v>
      </c>
      <c r="P37" s="25">
        <v>0</v>
      </c>
      <c r="Q37" s="25">
        <v>10</v>
      </c>
      <c r="R37" s="25">
        <v>10</v>
      </c>
      <c r="S37" s="25">
        <v>10</v>
      </c>
      <c r="T37" s="25">
        <v>0</v>
      </c>
      <c r="U37" s="25"/>
    </row>
    <row r="38" spans="2:28" ht="16.5" customHeight="1">
      <c r="B38" s="6"/>
      <c r="C38" s="12">
        <f t="shared" ca="1" si="12"/>
        <v>1</v>
      </c>
      <c r="D38" s="22">
        <f t="shared" si="13"/>
        <v>44729</v>
      </c>
      <c r="E38" s="26">
        <f t="shared" si="20"/>
        <v>1</v>
      </c>
      <c r="F38" s="26">
        <f t="shared" si="21"/>
        <v>1</v>
      </c>
      <c r="G38" s="26">
        <f t="shared" si="22"/>
        <v>1</v>
      </c>
      <c r="H38" s="26">
        <f t="shared" si="23"/>
        <v>0</v>
      </c>
      <c r="I38" s="26">
        <f t="shared" si="24"/>
        <v>0</v>
      </c>
      <c r="J38" s="26">
        <f t="shared" si="25"/>
        <v>0</v>
      </c>
      <c r="K38" s="2"/>
      <c r="L38" s="23"/>
      <c r="M38" s="21">
        <f>M37+7</f>
        <v>44729</v>
      </c>
      <c r="N38" s="10" t="s">
        <v>24</v>
      </c>
      <c r="O38" s="25">
        <v>0</v>
      </c>
      <c r="P38" s="25">
        <v>0</v>
      </c>
      <c r="Q38" s="25">
        <v>0</v>
      </c>
      <c r="R38" s="25">
        <v>10</v>
      </c>
      <c r="S38" s="25">
        <v>10</v>
      </c>
      <c r="T38" s="25">
        <v>10</v>
      </c>
      <c r="U38" s="25"/>
    </row>
    <row r="39" spans="2:28" ht="16.5" customHeight="1">
      <c r="B39" s="6"/>
      <c r="C39" s="12">
        <f t="shared" ca="1" si="12"/>
        <v>1</v>
      </c>
      <c r="D39" s="22">
        <f t="shared" si="13"/>
        <v>44736</v>
      </c>
      <c r="E39" s="26">
        <f t="shared" si="20"/>
        <v>0</v>
      </c>
      <c r="F39" s="26">
        <f t="shared" si="21"/>
        <v>1</v>
      </c>
      <c r="G39" s="26">
        <f t="shared" si="22"/>
        <v>1</v>
      </c>
      <c r="H39" s="26">
        <f t="shared" si="23"/>
        <v>0</v>
      </c>
      <c r="I39" s="26">
        <f t="shared" si="24"/>
        <v>1</v>
      </c>
      <c r="J39" s="26">
        <f t="shared" si="25"/>
        <v>1</v>
      </c>
      <c r="K39" s="2"/>
      <c r="L39" s="23"/>
      <c r="M39" s="21">
        <f>M38+7</f>
        <v>44736</v>
      </c>
      <c r="N39" s="10" t="s">
        <v>24</v>
      </c>
      <c r="O39" s="25">
        <v>10</v>
      </c>
      <c r="P39" s="25">
        <v>0</v>
      </c>
      <c r="Q39" s="25">
        <v>0</v>
      </c>
      <c r="R39" s="25">
        <v>10</v>
      </c>
      <c r="S39" s="25">
        <v>0</v>
      </c>
      <c r="T39" s="25">
        <v>0</v>
      </c>
      <c r="U39" s="25"/>
    </row>
    <row r="40" spans="2:28" ht="16.5" customHeight="1">
      <c r="B40" s="6"/>
      <c r="C40" s="76"/>
      <c r="D40" s="77"/>
      <c r="E40" s="77"/>
      <c r="F40" s="77"/>
      <c r="G40" s="77" t="str">
        <f>IF(Q40="","",IF(Q40=0,1,0))</f>
        <v/>
      </c>
      <c r="H40" s="77"/>
      <c r="I40" s="77" t="str">
        <f t="shared" si="24"/>
        <v/>
      </c>
      <c r="J40" s="2"/>
      <c r="L40" s="6"/>
      <c r="M40" s="21">
        <f>M39+7</f>
        <v>44743</v>
      </c>
      <c r="N40" s="10" t="s">
        <v>296</v>
      </c>
      <c r="O40" s="25">
        <v>5</v>
      </c>
      <c r="P40" s="25"/>
      <c r="Q40" s="25"/>
      <c r="R40" s="25"/>
      <c r="S40" s="25"/>
      <c r="T40" s="25"/>
      <c r="U40" s="25"/>
    </row>
    <row r="41" spans="2:28" ht="16.5" customHeight="1">
      <c r="B41" s="6"/>
      <c r="C41" s="12">
        <f t="shared" ca="1" si="12"/>
        <v>1</v>
      </c>
      <c r="D41" s="22">
        <f t="shared" si="13"/>
        <v>44743</v>
      </c>
      <c r="E41" s="26">
        <f t="shared" si="20"/>
        <v>0</v>
      </c>
      <c r="F41" s="26">
        <f t="shared" si="21"/>
        <v>1</v>
      </c>
      <c r="G41" s="26">
        <f t="shared" si="22"/>
        <v>1</v>
      </c>
      <c r="H41" s="26">
        <f t="shared" si="23"/>
        <v>0</v>
      </c>
      <c r="I41" s="26">
        <f t="shared" si="24"/>
        <v>1</v>
      </c>
      <c r="J41" s="26">
        <f t="shared" si="25"/>
        <v>1</v>
      </c>
      <c r="L41" s="6"/>
      <c r="M41" s="21">
        <f>M40</f>
        <v>44743</v>
      </c>
      <c r="N41" s="10" t="s">
        <v>24</v>
      </c>
      <c r="O41" s="25">
        <v>10</v>
      </c>
      <c r="P41" s="25">
        <v>0</v>
      </c>
      <c r="Q41" s="25">
        <v>0</v>
      </c>
      <c r="R41" s="25">
        <v>10</v>
      </c>
      <c r="S41" s="25">
        <v>0</v>
      </c>
      <c r="T41" s="25">
        <v>0</v>
      </c>
      <c r="U41" s="25"/>
    </row>
    <row r="42" spans="2:28" ht="16.5" customHeight="1">
      <c r="B42" s="6"/>
      <c r="C42" s="12">
        <f t="shared" ca="1" si="12"/>
        <v>1</v>
      </c>
      <c r="D42" s="22">
        <f t="shared" si="13"/>
        <v>44750</v>
      </c>
      <c r="E42" s="26">
        <f t="shared" si="20"/>
        <v>0</v>
      </c>
      <c r="F42" s="26">
        <f t="shared" si="21"/>
        <v>0</v>
      </c>
      <c r="G42" s="26">
        <f t="shared" si="22"/>
        <v>0</v>
      </c>
      <c r="H42" s="26">
        <f t="shared" si="23"/>
        <v>0</v>
      </c>
      <c r="I42" s="26">
        <f t="shared" si="24"/>
        <v>1</v>
      </c>
      <c r="J42" s="26">
        <f t="shared" si="25"/>
        <v>1</v>
      </c>
      <c r="L42" s="6"/>
      <c r="M42" s="21">
        <v>44750</v>
      </c>
      <c r="N42" s="10" t="s">
        <v>24</v>
      </c>
      <c r="O42" s="25">
        <v>10</v>
      </c>
      <c r="P42" s="25">
        <v>10</v>
      </c>
      <c r="Q42" s="25">
        <v>10</v>
      </c>
      <c r="R42" s="25">
        <v>10</v>
      </c>
      <c r="S42" s="25">
        <v>0</v>
      </c>
      <c r="T42" s="25">
        <v>0</v>
      </c>
      <c r="U42" s="25"/>
      <c r="W42" s="48"/>
    </row>
    <row r="43" spans="2:28" ht="16.5" customHeight="1">
      <c r="B43" s="6"/>
      <c r="C43" s="12">
        <f t="shared" ca="1" si="12"/>
        <v>1</v>
      </c>
      <c r="D43" s="22">
        <f t="shared" si="13"/>
        <v>44757</v>
      </c>
      <c r="E43" s="26">
        <f t="shared" si="20"/>
        <v>0</v>
      </c>
      <c r="F43" s="26">
        <f t="shared" si="21"/>
        <v>1</v>
      </c>
      <c r="G43" s="26">
        <f t="shared" si="22"/>
        <v>0</v>
      </c>
      <c r="H43" s="26">
        <f t="shared" si="23"/>
        <v>1</v>
      </c>
      <c r="I43" s="26">
        <f t="shared" si="24"/>
        <v>1</v>
      </c>
      <c r="J43" s="26">
        <f t="shared" si="25"/>
        <v>1</v>
      </c>
      <c r="L43" s="6"/>
      <c r="M43" s="21">
        <v>44757</v>
      </c>
      <c r="N43" s="10" t="s">
        <v>24</v>
      </c>
      <c r="O43" s="25">
        <v>10</v>
      </c>
      <c r="P43" s="25">
        <v>0</v>
      </c>
      <c r="Q43" s="25">
        <v>10</v>
      </c>
      <c r="R43" s="25">
        <v>0</v>
      </c>
      <c r="S43" s="25">
        <v>0</v>
      </c>
      <c r="T43" s="25">
        <v>0</v>
      </c>
      <c r="U43" s="25"/>
      <c r="W43" s="48"/>
    </row>
    <row r="44" spans="2:28" ht="16.5" customHeight="1">
      <c r="B44" s="6"/>
      <c r="C44" s="76"/>
      <c r="D44" s="77"/>
      <c r="E44" s="77"/>
      <c r="F44" s="77"/>
      <c r="G44" s="77" t="str">
        <f>IF(Q44="","",IF(Q44=0,1,0))</f>
        <v/>
      </c>
      <c r="H44" s="77"/>
      <c r="I44" s="77" t="str">
        <f t="shared" ref="I44" si="27">IF(S44="","",IF(S44=0,1,0))</f>
        <v/>
      </c>
      <c r="J44" s="2"/>
      <c r="L44" s="6"/>
      <c r="M44" s="21">
        <v>44757</v>
      </c>
      <c r="N44" s="10" t="s">
        <v>47</v>
      </c>
      <c r="O44" s="25"/>
      <c r="P44" s="25"/>
      <c r="Q44" s="25"/>
      <c r="R44" s="25"/>
      <c r="S44" s="25"/>
      <c r="T44" s="25">
        <v>2.5</v>
      </c>
      <c r="U44" s="25"/>
      <c r="W44" s="48"/>
    </row>
    <row r="45" spans="2:28" ht="16.5" customHeight="1">
      <c r="B45" s="6"/>
      <c r="C45" s="12">
        <f t="shared" ca="1" si="12"/>
        <v>1</v>
      </c>
      <c r="D45" s="22">
        <f t="shared" si="13"/>
        <v>44764</v>
      </c>
      <c r="E45" s="26">
        <f t="shared" si="20"/>
        <v>0</v>
      </c>
      <c r="F45" s="26">
        <f t="shared" si="21"/>
        <v>1</v>
      </c>
      <c r="G45" s="26">
        <f t="shared" si="22"/>
        <v>0</v>
      </c>
      <c r="H45" s="26">
        <f t="shared" si="23"/>
        <v>1</v>
      </c>
      <c r="I45" s="26">
        <f t="shared" si="24"/>
        <v>1</v>
      </c>
      <c r="J45" s="26">
        <f t="shared" si="25"/>
        <v>0</v>
      </c>
      <c r="L45" s="6"/>
      <c r="M45" s="21">
        <v>44764</v>
      </c>
      <c r="N45" s="10" t="s">
        <v>24</v>
      </c>
      <c r="O45" s="25">
        <v>10</v>
      </c>
      <c r="P45" s="25">
        <v>0</v>
      </c>
      <c r="Q45" s="25">
        <v>10</v>
      </c>
      <c r="R45" s="25">
        <v>0</v>
      </c>
      <c r="S45" s="25">
        <v>0</v>
      </c>
      <c r="T45" s="25">
        <v>10</v>
      </c>
      <c r="U45" s="25"/>
      <c r="W45" s="48"/>
    </row>
    <row r="46" spans="2:28" ht="16.5" customHeight="1">
      <c r="B46" s="6"/>
      <c r="C46" s="12">
        <f t="shared" ca="1" si="12"/>
        <v>1</v>
      </c>
      <c r="D46" s="22">
        <f t="shared" si="13"/>
        <v>44771</v>
      </c>
      <c r="E46" s="26">
        <f t="shared" si="20"/>
        <v>1</v>
      </c>
      <c r="F46" s="26">
        <f t="shared" si="21"/>
        <v>1</v>
      </c>
      <c r="G46" s="26">
        <f t="shared" si="22"/>
        <v>1</v>
      </c>
      <c r="H46" s="26">
        <f t="shared" si="23"/>
        <v>1</v>
      </c>
      <c r="I46" s="26">
        <f t="shared" si="24"/>
        <v>1</v>
      </c>
      <c r="J46" s="26">
        <f t="shared" si="25"/>
        <v>1</v>
      </c>
      <c r="L46" s="6"/>
      <c r="M46" s="21">
        <f t="shared" ref="M46:M52" si="28">M45+7</f>
        <v>44771</v>
      </c>
      <c r="N46" s="10" t="s">
        <v>24</v>
      </c>
      <c r="O46" s="25">
        <v>0</v>
      </c>
      <c r="P46" s="25">
        <v>0</v>
      </c>
      <c r="Q46" s="25">
        <v>0</v>
      </c>
      <c r="R46" s="25">
        <v>0</v>
      </c>
      <c r="S46" s="25">
        <v>0</v>
      </c>
      <c r="T46" s="25">
        <v>0</v>
      </c>
      <c r="U46" s="25"/>
      <c r="W46" s="48"/>
    </row>
    <row r="47" spans="2:28" ht="16.5" customHeight="1">
      <c r="B47" s="6"/>
      <c r="C47" s="12">
        <f t="shared" ca="1" si="12"/>
        <v>1</v>
      </c>
      <c r="D47" s="22">
        <f t="shared" si="13"/>
        <v>44778</v>
      </c>
      <c r="E47" s="26">
        <f t="shared" si="20"/>
        <v>0</v>
      </c>
      <c r="F47" s="26">
        <f t="shared" si="21"/>
        <v>1</v>
      </c>
      <c r="G47" s="26">
        <f t="shared" si="22"/>
        <v>1</v>
      </c>
      <c r="H47" s="26" t="str">
        <f t="shared" si="23"/>
        <v/>
      </c>
      <c r="I47" s="26">
        <f t="shared" si="24"/>
        <v>1</v>
      </c>
      <c r="J47" s="26">
        <f t="shared" si="25"/>
        <v>1</v>
      </c>
      <c r="L47" s="6"/>
      <c r="M47" s="21">
        <f t="shared" si="28"/>
        <v>44778</v>
      </c>
      <c r="N47" s="10" t="s">
        <v>24</v>
      </c>
      <c r="O47" s="25">
        <v>12</v>
      </c>
      <c r="P47" s="25">
        <v>0</v>
      </c>
      <c r="Q47" s="25">
        <v>0</v>
      </c>
      <c r="R47" s="25"/>
      <c r="S47" s="25">
        <v>0</v>
      </c>
      <c r="T47" s="25">
        <v>0</v>
      </c>
      <c r="U47" s="25"/>
      <c r="W47" s="48"/>
    </row>
    <row r="48" spans="2:28" ht="16.5" customHeight="1">
      <c r="B48" s="6"/>
      <c r="C48" s="12">
        <f t="shared" ca="1" si="12"/>
        <v>1</v>
      </c>
      <c r="D48" s="22">
        <f t="shared" si="13"/>
        <v>44785</v>
      </c>
      <c r="E48" s="26">
        <f t="shared" si="20"/>
        <v>1</v>
      </c>
      <c r="F48" s="26">
        <f t="shared" si="21"/>
        <v>1</v>
      </c>
      <c r="G48" s="26">
        <f t="shared" si="22"/>
        <v>1</v>
      </c>
      <c r="H48" s="26" t="str">
        <f t="shared" si="23"/>
        <v/>
      </c>
      <c r="I48" s="26">
        <f t="shared" si="24"/>
        <v>1</v>
      </c>
      <c r="J48" s="26">
        <f t="shared" si="25"/>
        <v>1</v>
      </c>
      <c r="L48" s="6"/>
      <c r="M48" s="21">
        <f t="shared" si="28"/>
        <v>44785</v>
      </c>
      <c r="N48" s="10" t="s">
        <v>24</v>
      </c>
      <c r="O48" s="25">
        <v>0</v>
      </c>
      <c r="P48" s="25">
        <v>0</v>
      </c>
      <c r="Q48" s="25">
        <v>0</v>
      </c>
      <c r="R48" s="25"/>
      <c r="S48" s="25">
        <v>0</v>
      </c>
      <c r="T48" s="25">
        <v>0</v>
      </c>
      <c r="U48" s="25"/>
      <c r="W48" s="48"/>
    </row>
    <row r="49" spans="1:29" ht="16.5" customHeight="1">
      <c r="B49" s="6"/>
      <c r="C49" s="12">
        <f t="shared" ca="1" si="12"/>
        <v>1</v>
      </c>
      <c r="D49" s="22">
        <f t="shared" si="13"/>
        <v>44792</v>
      </c>
      <c r="E49" s="26">
        <f t="shared" si="20"/>
        <v>0</v>
      </c>
      <c r="F49" s="26">
        <f t="shared" si="21"/>
        <v>1</v>
      </c>
      <c r="G49" s="26">
        <f t="shared" si="22"/>
        <v>0</v>
      </c>
      <c r="H49" s="26" t="str">
        <f t="shared" si="23"/>
        <v/>
      </c>
      <c r="I49" s="26">
        <f t="shared" si="24"/>
        <v>1</v>
      </c>
      <c r="J49" s="26">
        <f t="shared" si="25"/>
        <v>1</v>
      </c>
      <c r="L49" s="6"/>
      <c r="M49" s="21">
        <f t="shared" si="28"/>
        <v>44792</v>
      </c>
      <c r="N49" s="10" t="s">
        <v>24</v>
      </c>
      <c r="O49" s="25">
        <v>12</v>
      </c>
      <c r="P49" s="25">
        <v>0</v>
      </c>
      <c r="Q49" s="25">
        <v>12</v>
      </c>
      <c r="R49" s="25"/>
      <c r="S49" s="25">
        <v>0</v>
      </c>
      <c r="T49" s="25">
        <v>0</v>
      </c>
      <c r="U49" s="25"/>
      <c r="W49" s="48"/>
    </row>
    <row r="50" spans="1:29" ht="16.5" customHeight="1">
      <c r="B50" s="6"/>
      <c r="C50" s="12">
        <f t="shared" ca="1" si="12"/>
        <v>1</v>
      </c>
      <c r="D50" s="22">
        <f t="shared" si="13"/>
        <v>44799</v>
      </c>
      <c r="E50" s="26">
        <f t="shared" si="20"/>
        <v>0</v>
      </c>
      <c r="F50" s="26">
        <f t="shared" si="21"/>
        <v>1</v>
      </c>
      <c r="G50" s="26">
        <f t="shared" si="22"/>
        <v>1</v>
      </c>
      <c r="H50" s="26" t="str">
        <f t="shared" si="23"/>
        <v/>
      </c>
      <c r="I50" s="26">
        <f t="shared" si="24"/>
        <v>1</v>
      </c>
      <c r="J50" s="26">
        <f t="shared" si="25"/>
        <v>1</v>
      </c>
      <c r="L50" s="6"/>
      <c r="M50" s="21">
        <f t="shared" si="28"/>
        <v>44799</v>
      </c>
      <c r="N50" s="10" t="s">
        <v>24</v>
      </c>
      <c r="O50" s="25">
        <v>12</v>
      </c>
      <c r="P50" s="25">
        <v>0</v>
      </c>
      <c r="Q50" s="25">
        <v>0</v>
      </c>
      <c r="R50" s="25"/>
      <c r="S50" s="25">
        <v>0</v>
      </c>
      <c r="T50" s="25">
        <v>0</v>
      </c>
      <c r="U50" s="25"/>
    </row>
    <row r="51" spans="1:29" ht="16.5" customHeight="1">
      <c r="B51" s="6"/>
      <c r="C51" s="12">
        <f t="shared" ca="1" si="12"/>
        <v>1</v>
      </c>
      <c r="D51" s="22">
        <f t="shared" si="13"/>
        <v>44806</v>
      </c>
      <c r="E51" s="26">
        <f t="shared" si="20"/>
        <v>1</v>
      </c>
      <c r="F51" s="26">
        <f t="shared" si="21"/>
        <v>0</v>
      </c>
      <c r="G51" s="26">
        <f t="shared" si="22"/>
        <v>1</v>
      </c>
      <c r="H51" s="26" t="str">
        <f t="shared" si="23"/>
        <v/>
      </c>
      <c r="I51" s="26">
        <f t="shared" si="24"/>
        <v>1</v>
      </c>
      <c r="J51" s="26">
        <f t="shared" si="25"/>
        <v>1</v>
      </c>
      <c r="L51" s="6"/>
      <c r="M51" s="21">
        <f t="shared" si="28"/>
        <v>44806</v>
      </c>
      <c r="N51" s="10" t="s">
        <v>24</v>
      </c>
      <c r="O51" s="25">
        <v>0</v>
      </c>
      <c r="P51" s="25">
        <v>12</v>
      </c>
      <c r="Q51" s="25">
        <v>0</v>
      </c>
      <c r="R51" s="25"/>
      <c r="S51" s="25">
        <v>0</v>
      </c>
      <c r="T51" s="25">
        <v>0</v>
      </c>
      <c r="U51" s="25"/>
    </row>
    <row r="52" spans="1:29" ht="16.5" customHeight="1">
      <c r="B52" s="6"/>
      <c r="C52" s="12">
        <f t="shared" ca="1" si="12"/>
        <v>1</v>
      </c>
      <c r="D52" s="22">
        <f t="shared" si="13"/>
        <v>44813</v>
      </c>
      <c r="E52" s="26">
        <f t="shared" si="20"/>
        <v>0</v>
      </c>
      <c r="F52" s="26">
        <f t="shared" si="21"/>
        <v>0</v>
      </c>
      <c r="G52" s="26">
        <f t="shared" si="22"/>
        <v>1</v>
      </c>
      <c r="H52" s="26" t="str">
        <f t="shared" si="23"/>
        <v/>
      </c>
      <c r="I52" s="26">
        <f t="shared" si="24"/>
        <v>1</v>
      </c>
      <c r="J52" s="26">
        <f t="shared" si="25"/>
        <v>1</v>
      </c>
      <c r="L52" s="6"/>
      <c r="M52" s="21">
        <f t="shared" si="28"/>
        <v>44813</v>
      </c>
      <c r="N52" s="10" t="s">
        <v>24</v>
      </c>
      <c r="O52" s="25">
        <v>12</v>
      </c>
      <c r="P52" s="25">
        <v>12</v>
      </c>
      <c r="Q52" s="25">
        <v>0</v>
      </c>
      <c r="R52" s="25"/>
      <c r="S52" s="25">
        <v>0</v>
      </c>
      <c r="T52" s="25">
        <v>0</v>
      </c>
      <c r="U52" s="25"/>
    </row>
    <row r="53" spans="1:29" s="52" customFormat="1" ht="16.5" customHeight="1">
      <c r="A53" s="1"/>
      <c r="B53" s="1"/>
      <c r="C53" s="12">
        <f t="shared" ca="1" si="12"/>
        <v>1</v>
      </c>
      <c r="D53" s="22">
        <f t="shared" si="13"/>
        <v>44820</v>
      </c>
      <c r="E53" s="26">
        <f t="shared" si="20"/>
        <v>1</v>
      </c>
      <c r="F53" s="26">
        <f t="shared" si="21"/>
        <v>1</v>
      </c>
      <c r="G53" s="26">
        <f t="shared" si="22"/>
        <v>0</v>
      </c>
      <c r="H53" s="26" t="str">
        <f t="shared" si="23"/>
        <v/>
      </c>
      <c r="I53" s="26">
        <f t="shared" si="24"/>
        <v>1</v>
      </c>
      <c r="J53" s="26">
        <f t="shared" si="25"/>
        <v>0</v>
      </c>
      <c r="L53" s="51"/>
      <c r="M53" s="21">
        <f t="shared" ref="M53" si="29">M52+7</f>
        <v>44820</v>
      </c>
      <c r="N53" s="10" t="s">
        <v>24</v>
      </c>
      <c r="O53" s="25">
        <v>0</v>
      </c>
      <c r="P53" s="25">
        <v>0</v>
      </c>
      <c r="Q53" s="25">
        <v>12</v>
      </c>
      <c r="R53" s="25"/>
      <c r="S53" s="25">
        <v>0</v>
      </c>
      <c r="T53" s="25">
        <v>12</v>
      </c>
      <c r="U53" s="25"/>
    </row>
    <row r="54" spans="1:29">
      <c r="C54" s="12">
        <f t="shared" ca="1" si="12"/>
        <v>1</v>
      </c>
      <c r="D54" s="22">
        <f t="shared" si="13"/>
        <v>44827</v>
      </c>
      <c r="E54" s="26">
        <f t="shared" si="20"/>
        <v>0</v>
      </c>
      <c r="F54" s="26">
        <f t="shared" si="21"/>
        <v>1</v>
      </c>
      <c r="G54" s="26">
        <f t="shared" si="22"/>
        <v>1</v>
      </c>
      <c r="H54" s="26" t="str">
        <f t="shared" si="23"/>
        <v/>
      </c>
      <c r="I54" s="26">
        <f t="shared" si="24"/>
        <v>1</v>
      </c>
      <c r="J54" s="26">
        <f t="shared" si="25"/>
        <v>1</v>
      </c>
      <c r="M54" s="21">
        <f t="shared" ref="M54" si="30">M53+7</f>
        <v>44827</v>
      </c>
      <c r="N54" s="10" t="s">
        <v>24</v>
      </c>
      <c r="O54" s="25">
        <v>12</v>
      </c>
      <c r="P54" s="25">
        <v>0</v>
      </c>
      <c r="Q54" s="25">
        <v>0</v>
      </c>
      <c r="R54" s="25"/>
      <c r="S54" s="25">
        <v>0</v>
      </c>
      <c r="T54" s="25">
        <v>0</v>
      </c>
      <c r="U54" s="50"/>
    </row>
    <row r="55" spans="1:29">
      <c r="C55" s="12">
        <f t="shared" ca="1" si="12"/>
        <v>1</v>
      </c>
      <c r="D55" s="22">
        <f t="shared" si="13"/>
        <v>44834</v>
      </c>
      <c r="E55" s="26">
        <f t="shared" si="20"/>
        <v>0</v>
      </c>
      <c r="F55" s="26">
        <f t="shared" si="21"/>
        <v>1</v>
      </c>
      <c r="G55" s="26">
        <f t="shared" si="22"/>
        <v>1</v>
      </c>
      <c r="H55" s="26" t="str">
        <f t="shared" si="23"/>
        <v/>
      </c>
      <c r="I55" s="26">
        <f t="shared" si="24"/>
        <v>1</v>
      </c>
      <c r="J55" s="26">
        <f t="shared" si="25"/>
        <v>1</v>
      </c>
      <c r="M55" s="21">
        <f>M54+7</f>
        <v>44834</v>
      </c>
      <c r="N55" s="10" t="s">
        <v>24</v>
      </c>
      <c r="O55" s="25">
        <v>12</v>
      </c>
      <c r="P55" s="25">
        <v>0</v>
      </c>
      <c r="Q55" s="25">
        <v>0</v>
      </c>
      <c r="R55" s="25"/>
      <c r="S55" s="25">
        <v>0</v>
      </c>
      <c r="T55" s="25">
        <v>0</v>
      </c>
      <c r="U55" s="25"/>
      <c r="W55" s="36"/>
      <c r="X55" s="36"/>
      <c r="Y55" s="36"/>
      <c r="Z55" s="36"/>
      <c r="AA55" s="36"/>
      <c r="AB55" s="36"/>
      <c r="AC55" s="36"/>
    </row>
    <row r="56" spans="1:29">
      <c r="C56" s="12">
        <f t="shared" ca="1" si="12"/>
        <v>1</v>
      </c>
      <c r="D56" s="22">
        <f t="shared" si="13"/>
        <v>44841</v>
      </c>
      <c r="E56" s="26">
        <f t="shared" si="20"/>
        <v>1</v>
      </c>
      <c r="F56" s="26">
        <f t="shared" si="21"/>
        <v>0</v>
      </c>
      <c r="G56" s="26">
        <f t="shared" si="22"/>
        <v>1</v>
      </c>
      <c r="H56" s="26" t="str">
        <f t="shared" si="23"/>
        <v/>
      </c>
      <c r="I56" s="26">
        <f t="shared" si="24"/>
        <v>0</v>
      </c>
      <c r="J56" s="26">
        <f t="shared" si="25"/>
        <v>0</v>
      </c>
      <c r="M56" s="21">
        <f t="shared" ref="M56" si="31">M55+7</f>
        <v>44841</v>
      </c>
      <c r="N56" s="10" t="s">
        <v>24</v>
      </c>
      <c r="O56" s="25">
        <v>0</v>
      </c>
      <c r="P56" s="25">
        <v>12</v>
      </c>
      <c r="Q56" s="25">
        <v>0</v>
      </c>
      <c r="R56" s="25"/>
      <c r="S56" s="25">
        <v>12</v>
      </c>
      <c r="T56" s="25">
        <v>12</v>
      </c>
      <c r="U56" s="25"/>
    </row>
    <row r="57" spans="1:29">
      <c r="C57" s="76"/>
      <c r="D57" s="77"/>
      <c r="E57" s="77"/>
      <c r="F57" s="77"/>
      <c r="G57" s="77">
        <f>IF(Q57="","",IF(Q57=0,1,0))</f>
        <v>0</v>
      </c>
      <c r="H57" s="77"/>
      <c r="I57" s="77" t="str">
        <f t="shared" si="24"/>
        <v/>
      </c>
      <c r="J57" s="2"/>
      <c r="L57" s="6"/>
      <c r="M57" s="21">
        <f>M58</f>
        <v>44848</v>
      </c>
      <c r="N57" s="10" t="s">
        <v>47</v>
      </c>
      <c r="O57" s="25"/>
      <c r="P57" s="25"/>
      <c r="Q57" s="25">
        <v>3</v>
      </c>
      <c r="R57" s="25"/>
      <c r="S57" s="25"/>
      <c r="T57" s="25"/>
      <c r="U57" s="25"/>
    </row>
    <row r="58" spans="1:29">
      <c r="C58" s="12">
        <f t="shared" ca="1" si="12"/>
        <v>1</v>
      </c>
      <c r="D58" s="22">
        <f t="shared" si="13"/>
        <v>44848</v>
      </c>
      <c r="E58" s="26">
        <f t="shared" si="20"/>
        <v>0</v>
      </c>
      <c r="F58" s="26">
        <f t="shared" si="21"/>
        <v>1</v>
      </c>
      <c r="G58" s="26">
        <f t="shared" si="22"/>
        <v>1</v>
      </c>
      <c r="H58" s="26" t="str">
        <f t="shared" si="23"/>
        <v/>
      </c>
      <c r="I58" s="26">
        <f t="shared" si="24"/>
        <v>1</v>
      </c>
      <c r="J58" s="26">
        <f t="shared" si="25"/>
        <v>1</v>
      </c>
      <c r="M58" s="21">
        <f>M56+7</f>
        <v>44848</v>
      </c>
      <c r="N58" s="10" t="s">
        <v>24</v>
      </c>
      <c r="O58" s="25">
        <v>12</v>
      </c>
      <c r="P58" s="25">
        <v>0</v>
      </c>
      <c r="Q58" s="25">
        <v>0</v>
      </c>
      <c r="R58" s="25"/>
      <c r="S58" s="25">
        <v>0</v>
      </c>
      <c r="T58" s="25">
        <v>0</v>
      </c>
      <c r="U58" s="25"/>
    </row>
    <row r="59" spans="1:29">
      <c r="C59" s="76"/>
      <c r="D59" s="77"/>
      <c r="E59" s="77"/>
      <c r="F59" s="77"/>
      <c r="G59" s="77" t="str">
        <f>IF(Q59="","",IF(Q59=0,1,0))</f>
        <v/>
      </c>
      <c r="H59" s="77"/>
      <c r="I59" s="77" t="str">
        <f t="shared" ref="I59" si="32">IF(S59="","",IF(S59=0,1,0))</f>
        <v/>
      </c>
      <c r="J59" s="2"/>
      <c r="L59" s="6"/>
      <c r="M59" s="21">
        <f>M60</f>
        <v>44855</v>
      </c>
      <c r="N59" s="10" t="s">
        <v>47</v>
      </c>
      <c r="O59" s="25">
        <v>3</v>
      </c>
      <c r="P59" s="25"/>
      <c r="Q59" s="25"/>
      <c r="R59" s="25"/>
      <c r="S59" s="25"/>
      <c r="T59" s="25"/>
      <c r="U59" s="25"/>
    </row>
    <row r="60" spans="1:29">
      <c r="C60" s="12">
        <f t="shared" ca="1" si="12"/>
        <v>1</v>
      </c>
      <c r="D60" s="22">
        <f t="shared" si="13"/>
        <v>44855</v>
      </c>
      <c r="E60" s="26">
        <f t="shared" si="20"/>
        <v>1</v>
      </c>
      <c r="F60" s="26">
        <f t="shared" si="21"/>
        <v>0</v>
      </c>
      <c r="G60" s="26">
        <f t="shared" si="22"/>
        <v>0</v>
      </c>
      <c r="H60" s="26" t="str">
        <f t="shared" si="23"/>
        <v/>
      </c>
      <c r="I60" s="26">
        <f t="shared" si="24"/>
        <v>1</v>
      </c>
      <c r="J60" s="26">
        <f t="shared" si="25"/>
        <v>1</v>
      </c>
      <c r="M60" s="21">
        <f>M58+7</f>
        <v>44855</v>
      </c>
      <c r="N60" s="10" t="s">
        <v>24</v>
      </c>
      <c r="O60" s="25">
        <v>0</v>
      </c>
      <c r="P60" s="25">
        <v>12</v>
      </c>
      <c r="Q60" s="25">
        <v>12</v>
      </c>
      <c r="R60" s="25"/>
      <c r="S60" s="25">
        <v>0</v>
      </c>
      <c r="T60" s="25">
        <v>0</v>
      </c>
      <c r="U60" s="25"/>
    </row>
    <row r="61" spans="1:29">
      <c r="C61" s="76"/>
      <c r="D61" s="77"/>
      <c r="E61" s="77" t="str">
        <f t="shared" ref="E61" si="33">IF(O61="","",IF(O61=0,1,0))</f>
        <v/>
      </c>
      <c r="F61" s="77"/>
      <c r="G61" s="77" t="str">
        <f>IF(Q61="","",IF(Q61=0,1,0))</f>
        <v/>
      </c>
      <c r="H61" s="77"/>
      <c r="I61" s="77" t="str">
        <f t="shared" si="24"/>
        <v/>
      </c>
      <c r="J61" s="2"/>
      <c r="L61" s="6"/>
      <c r="M61" s="21">
        <f>M62</f>
        <v>44862</v>
      </c>
      <c r="N61" s="10" t="s">
        <v>47</v>
      </c>
      <c r="O61" s="25"/>
      <c r="P61" s="25">
        <v>3</v>
      </c>
      <c r="Q61" s="25"/>
      <c r="R61" s="25"/>
      <c r="S61" s="25"/>
      <c r="T61" s="25"/>
      <c r="U61" s="25"/>
    </row>
    <row r="62" spans="1:29">
      <c r="C62" s="12">
        <f t="shared" ca="1" si="12"/>
        <v>1</v>
      </c>
      <c r="D62" s="22">
        <f t="shared" si="13"/>
        <v>44862</v>
      </c>
      <c r="E62" s="26">
        <f t="shared" si="20"/>
        <v>1</v>
      </c>
      <c r="F62" s="26">
        <f t="shared" si="21"/>
        <v>1</v>
      </c>
      <c r="G62" s="26">
        <f t="shared" si="22"/>
        <v>0</v>
      </c>
      <c r="H62" s="26" t="str">
        <f t="shared" si="23"/>
        <v/>
      </c>
      <c r="I62" s="26">
        <f t="shared" si="24"/>
        <v>1</v>
      </c>
      <c r="J62" s="26">
        <f t="shared" si="25"/>
        <v>1</v>
      </c>
      <c r="M62" s="21">
        <f t="shared" ref="M62:M63" si="34">M60+7</f>
        <v>44862</v>
      </c>
      <c r="N62" s="10" t="s">
        <v>24</v>
      </c>
      <c r="O62" s="25">
        <v>0</v>
      </c>
      <c r="P62" s="25">
        <v>0</v>
      </c>
      <c r="Q62" s="25">
        <v>12</v>
      </c>
      <c r="R62" s="25"/>
      <c r="S62" s="25">
        <v>0</v>
      </c>
      <c r="T62" s="25">
        <v>0</v>
      </c>
      <c r="U62" s="25"/>
    </row>
    <row r="63" spans="1:29">
      <c r="C63" s="12">
        <f t="shared" ca="1" si="12"/>
        <v>1</v>
      </c>
      <c r="D63" s="22">
        <f t="shared" si="13"/>
        <v>44869</v>
      </c>
      <c r="E63" s="26">
        <f t="shared" si="20"/>
        <v>0</v>
      </c>
      <c r="F63" s="26">
        <f>IF(P63="","",IF(P63=0,1,0))</f>
        <v>1</v>
      </c>
      <c r="G63" s="26">
        <f t="shared" si="22"/>
        <v>0</v>
      </c>
      <c r="H63" s="26" t="str">
        <f t="shared" si="23"/>
        <v/>
      </c>
      <c r="I63" s="26">
        <f t="shared" si="24"/>
        <v>1</v>
      </c>
      <c r="J63" s="26">
        <f t="shared" si="25"/>
        <v>1</v>
      </c>
      <c r="M63" s="21">
        <f t="shared" si="34"/>
        <v>44869</v>
      </c>
      <c r="N63" s="10" t="s">
        <v>24</v>
      </c>
      <c r="O63" s="25">
        <v>12</v>
      </c>
      <c r="P63" s="25">
        <v>0</v>
      </c>
      <c r="Q63" s="25">
        <v>12</v>
      </c>
      <c r="R63" s="25"/>
      <c r="S63" s="25">
        <v>0</v>
      </c>
      <c r="T63" s="25">
        <v>0</v>
      </c>
      <c r="U63" s="25"/>
    </row>
    <row r="64" spans="1:29">
      <c r="C64" s="12">
        <f t="shared" ca="1" si="12"/>
        <v>1</v>
      </c>
      <c r="D64" s="22">
        <f t="shared" si="13"/>
        <v>44876</v>
      </c>
      <c r="E64" s="26">
        <f t="shared" si="20"/>
        <v>1</v>
      </c>
      <c r="F64" s="26">
        <f t="shared" si="21"/>
        <v>1</v>
      </c>
      <c r="G64" s="26">
        <f t="shared" si="22"/>
        <v>0</v>
      </c>
      <c r="H64" s="26" t="str">
        <f t="shared" si="23"/>
        <v/>
      </c>
      <c r="I64" s="26">
        <f t="shared" si="24"/>
        <v>1</v>
      </c>
      <c r="J64" s="26">
        <f t="shared" si="25"/>
        <v>0</v>
      </c>
      <c r="M64" s="21">
        <f>M63+7</f>
        <v>44876</v>
      </c>
      <c r="N64" s="10" t="s">
        <v>24</v>
      </c>
      <c r="O64" s="25">
        <v>0</v>
      </c>
      <c r="P64" s="25">
        <v>0</v>
      </c>
      <c r="Q64" s="25">
        <v>12</v>
      </c>
      <c r="R64" s="25"/>
      <c r="S64" s="25">
        <v>0</v>
      </c>
      <c r="T64" s="25">
        <v>12</v>
      </c>
      <c r="U64" s="25"/>
    </row>
    <row r="65" spans="3:21">
      <c r="C65" s="12">
        <f t="shared" ca="1" si="12"/>
        <v>1</v>
      </c>
      <c r="D65" s="22">
        <f t="shared" si="13"/>
        <v>44883</v>
      </c>
      <c r="E65" s="26">
        <f t="shared" si="20"/>
        <v>0</v>
      </c>
      <c r="F65" s="26">
        <f t="shared" si="21"/>
        <v>1</v>
      </c>
      <c r="G65" s="26">
        <f t="shared" si="22"/>
        <v>0</v>
      </c>
      <c r="H65" s="26" t="str">
        <f t="shared" si="23"/>
        <v/>
      </c>
      <c r="I65" s="26">
        <f t="shared" si="24"/>
        <v>0</v>
      </c>
      <c r="J65" s="26">
        <f t="shared" si="25"/>
        <v>1</v>
      </c>
      <c r="M65" s="21">
        <f>M64+7</f>
        <v>44883</v>
      </c>
      <c r="N65" s="10" t="s">
        <v>24</v>
      </c>
      <c r="O65" s="25">
        <v>12</v>
      </c>
      <c r="P65" s="25">
        <v>0</v>
      </c>
      <c r="Q65" s="25">
        <v>12</v>
      </c>
      <c r="R65" s="25"/>
      <c r="S65" s="25">
        <v>12</v>
      </c>
      <c r="T65" s="25">
        <v>0</v>
      </c>
      <c r="U65" s="25"/>
    </row>
    <row r="66" spans="3:21">
      <c r="C66" s="76"/>
      <c r="D66" s="77"/>
      <c r="E66" s="77"/>
      <c r="F66" s="77"/>
      <c r="G66" s="77" t="str">
        <f>IF(Q66="","",IF(Q66=0,1,0))</f>
        <v/>
      </c>
      <c r="H66" s="77"/>
      <c r="I66" s="77" t="str">
        <f t="shared" si="24"/>
        <v/>
      </c>
      <c r="J66" s="2"/>
      <c r="M66" s="21">
        <f>M65+7</f>
        <v>44890</v>
      </c>
      <c r="N66" s="10" t="s">
        <v>296</v>
      </c>
      <c r="O66" s="25">
        <v>6</v>
      </c>
      <c r="P66" s="25"/>
      <c r="Q66" s="25"/>
      <c r="R66" s="25"/>
      <c r="S66" s="25"/>
      <c r="T66" s="25"/>
      <c r="U66" s="25"/>
    </row>
    <row r="67" spans="3:21">
      <c r="C67" s="12">
        <f t="shared" ca="1" si="12"/>
        <v>1</v>
      </c>
      <c r="D67" s="22">
        <f t="shared" si="13"/>
        <v>44890</v>
      </c>
      <c r="E67" s="26">
        <f t="shared" si="20"/>
        <v>0</v>
      </c>
      <c r="F67" s="26">
        <f t="shared" si="21"/>
        <v>1</v>
      </c>
      <c r="G67" s="26">
        <f t="shared" si="22"/>
        <v>0</v>
      </c>
      <c r="H67" s="26" t="str">
        <f t="shared" si="23"/>
        <v/>
      </c>
      <c r="I67" s="26">
        <f t="shared" si="24"/>
        <v>1</v>
      </c>
      <c r="J67" s="26">
        <f t="shared" si="25"/>
        <v>1</v>
      </c>
      <c r="M67" s="21">
        <f>M66</f>
        <v>44890</v>
      </c>
      <c r="N67" s="10" t="s">
        <v>24</v>
      </c>
      <c r="O67" s="25">
        <v>12</v>
      </c>
      <c r="P67" s="25">
        <v>0</v>
      </c>
      <c r="Q67" s="25">
        <v>12</v>
      </c>
      <c r="R67" s="25"/>
      <c r="S67" s="25">
        <v>0</v>
      </c>
      <c r="T67" s="25">
        <v>0</v>
      </c>
      <c r="U67" s="25"/>
    </row>
    <row r="68" spans="3:21">
      <c r="C68" s="76"/>
      <c r="D68" s="77"/>
      <c r="E68" s="77"/>
      <c r="F68" s="77"/>
      <c r="G68" s="77" t="str">
        <f>IF(Q68="","",IF(Q68=0,1,0))</f>
        <v/>
      </c>
      <c r="H68" s="77"/>
      <c r="I68" s="77" t="str">
        <f t="shared" ref="I68" si="35">IF(S68="","",IF(S68=0,1,0))</f>
        <v/>
      </c>
      <c r="J68" s="2"/>
      <c r="M68" s="21">
        <f>M67+7</f>
        <v>44897</v>
      </c>
      <c r="N68" s="10" t="s">
        <v>43</v>
      </c>
      <c r="O68" s="25"/>
      <c r="P68" s="25"/>
      <c r="Q68" s="25"/>
      <c r="R68" s="25"/>
      <c r="S68" s="25"/>
      <c r="T68" s="25">
        <v>6</v>
      </c>
      <c r="U68" s="25"/>
    </row>
    <row r="69" spans="3:21">
      <c r="C69" s="12">
        <f t="shared" ca="1" si="12"/>
        <v>1</v>
      </c>
      <c r="D69" s="22">
        <f t="shared" si="13"/>
        <v>44897</v>
      </c>
      <c r="E69" s="26">
        <f t="shared" si="20"/>
        <v>0</v>
      </c>
      <c r="F69" s="26">
        <f t="shared" si="21"/>
        <v>0</v>
      </c>
      <c r="G69" s="26">
        <f t="shared" si="22"/>
        <v>0</v>
      </c>
      <c r="H69" s="26" t="str">
        <f t="shared" si="23"/>
        <v/>
      </c>
      <c r="I69" s="26">
        <f t="shared" si="24"/>
        <v>0</v>
      </c>
      <c r="J69" s="26">
        <f t="shared" si="25"/>
        <v>1</v>
      </c>
      <c r="M69" s="21">
        <f>M68</f>
        <v>44897</v>
      </c>
      <c r="N69" s="10" t="s">
        <v>24</v>
      </c>
      <c r="O69" s="25">
        <v>12</v>
      </c>
      <c r="P69" s="25">
        <v>12</v>
      </c>
      <c r="Q69" s="25">
        <v>12</v>
      </c>
      <c r="R69" s="25"/>
      <c r="S69" s="25">
        <v>12</v>
      </c>
      <c r="T69" s="25">
        <v>0</v>
      </c>
      <c r="U69" s="25"/>
    </row>
    <row r="70" spans="3:21" ht="16.399999999999999" customHeight="1">
      <c r="C70" s="12">
        <f t="shared" ca="1" si="12"/>
        <v>1</v>
      </c>
      <c r="D70" s="22">
        <f t="shared" si="13"/>
        <v>44904</v>
      </c>
      <c r="E70" s="26">
        <f t="shared" si="20"/>
        <v>1</v>
      </c>
      <c r="F70" s="26">
        <f t="shared" si="21"/>
        <v>0</v>
      </c>
      <c r="G70" s="26">
        <f t="shared" si="22"/>
        <v>1</v>
      </c>
      <c r="H70" s="26" t="str">
        <f t="shared" si="23"/>
        <v/>
      </c>
      <c r="I70" s="26">
        <f t="shared" si="24"/>
        <v>0</v>
      </c>
      <c r="J70" s="26">
        <f t="shared" si="25"/>
        <v>1</v>
      </c>
      <c r="M70" s="21">
        <f t="shared" ref="M70" si="36">M69+7</f>
        <v>44904</v>
      </c>
      <c r="N70" s="10" t="s">
        <v>24</v>
      </c>
      <c r="O70" s="25">
        <v>0</v>
      </c>
      <c r="P70" s="25">
        <v>12</v>
      </c>
      <c r="Q70" s="25">
        <v>0</v>
      </c>
      <c r="R70" s="25"/>
      <c r="S70" s="25">
        <v>12</v>
      </c>
      <c r="T70" s="25">
        <v>0</v>
      </c>
      <c r="U70" s="25"/>
    </row>
    <row r="71" spans="3:21">
      <c r="C71" s="12">
        <f t="shared" ca="1" si="12"/>
        <v>1</v>
      </c>
      <c r="D71" s="22">
        <f t="shared" si="13"/>
        <v>44911</v>
      </c>
      <c r="E71" s="26">
        <f t="shared" si="20"/>
        <v>0</v>
      </c>
      <c r="F71" s="26">
        <f t="shared" si="21"/>
        <v>0</v>
      </c>
      <c r="G71" s="26">
        <f t="shared" si="22"/>
        <v>0</v>
      </c>
      <c r="H71" s="26" t="str">
        <f t="shared" si="23"/>
        <v/>
      </c>
      <c r="I71" s="26">
        <f t="shared" si="24"/>
        <v>1</v>
      </c>
      <c r="J71" s="26">
        <f t="shared" si="25"/>
        <v>1</v>
      </c>
      <c r="M71" s="21">
        <f>M70+7</f>
        <v>44911</v>
      </c>
      <c r="N71" s="10" t="s">
        <v>24</v>
      </c>
      <c r="O71" s="25">
        <v>12</v>
      </c>
      <c r="P71" s="25">
        <v>12</v>
      </c>
      <c r="Q71" s="25">
        <v>12</v>
      </c>
      <c r="R71" s="25"/>
      <c r="S71" s="25">
        <v>0</v>
      </c>
      <c r="T71" s="25">
        <v>0</v>
      </c>
      <c r="U71" s="25"/>
    </row>
    <row r="72" spans="3:21">
      <c r="C72" s="12">
        <f t="shared" ca="1" si="12"/>
        <v>1</v>
      </c>
      <c r="D72" s="22">
        <f t="shared" si="13"/>
        <v>44918</v>
      </c>
      <c r="E72" s="26">
        <f t="shared" si="20"/>
        <v>1</v>
      </c>
      <c r="F72" s="26">
        <f t="shared" si="21"/>
        <v>1</v>
      </c>
      <c r="G72" s="26">
        <f t="shared" si="22"/>
        <v>1</v>
      </c>
      <c r="H72" s="26" t="str">
        <f t="shared" si="23"/>
        <v/>
      </c>
      <c r="I72" s="26">
        <f t="shared" si="24"/>
        <v>1</v>
      </c>
      <c r="J72" s="26">
        <f t="shared" si="25"/>
        <v>1</v>
      </c>
      <c r="M72" s="21">
        <f>M71+7</f>
        <v>44918</v>
      </c>
      <c r="N72" s="10" t="s">
        <v>24</v>
      </c>
      <c r="O72" s="25">
        <v>0</v>
      </c>
      <c r="P72" s="25">
        <v>0</v>
      </c>
      <c r="Q72" s="25">
        <v>0</v>
      </c>
      <c r="R72" s="25"/>
      <c r="S72" s="25">
        <v>0</v>
      </c>
      <c r="T72" s="25">
        <v>0</v>
      </c>
      <c r="U72" s="25"/>
    </row>
    <row r="73" spans="3:21">
      <c r="C73" s="76"/>
      <c r="D73" s="77"/>
      <c r="E73" s="77"/>
      <c r="F73" s="77"/>
      <c r="G73" s="77" t="str">
        <f>IF(Q73="","",IF(Q73=0,1,0))</f>
        <v/>
      </c>
      <c r="H73" s="77"/>
      <c r="I73" s="77"/>
      <c r="J73" s="2"/>
      <c r="M73" s="21">
        <v>44925</v>
      </c>
      <c r="N73" s="10" t="s">
        <v>24</v>
      </c>
      <c r="O73" s="25"/>
      <c r="P73" s="25"/>
      <c r="Q73" s="25"/>
      <c r="R73" s="25"/>
      <c r="S73" s="25">
        <v>6</v>
      </c>
      <c r="T73" s="25"/>
      <c r="U73" s="25"/>
    </row>
    <row r="74" spans="3:21">
      <c r="C74" s="12">
        <f t="shared" ca="1" si="12"/>
        <v>1</v>
      </c>
      <c r="D74" s="22">
        <f t="shared" si="13"/>
        <v>44925</v>
      </c>
      <c r="E74" s="26">
        <f t="shared" si="20"/>
        <v>0</v>
      </c>
      <c r="F74" s="26">
        <f t="shared" si="21"/>
        <v>0</v>
      </c>
      <c r="G74" s="26">
        <f t="shared" si="22"/>
        <v>0</v>
      </c>
      <c r="H74" s="26" t="str">
        <f t="shared" si="23"/>
        <v/>
      </c>
      <c r="I74" s="26">
        <f t="shared" si="24"/>
        <v>1</v>
      </c>
      <c r="J74" s="26">
        <f t="shared" si="25"/>
        <v>0</v>
      </c>
      <c r="M74" s="21">
        <f>M72+7</f>
        <v>44925</v>
      </c>
      <c r="N74" s="10" t="s">
        <v>24</v>
      </c>
      <c r="O74" s="25">
        <v>12</v>
      </c>
      <c r="P74" s="25">
        <v>12</v>
      </c>
      <c r="Q74" s="25">
        <v>12</v>
      </c>
      <c r="R74" s="25"/>
      <c r="S74" s="25">
        <v>0</v>
      </c>
      <c r="T74" s="25">
        <v>12</v>
      </c>
      <c r="U74" s="25"/>
    </row>
    <row r="75" spans="3:21">
      <c r="C75" s="12">
        <f t="shared" ca="1" si="12"/>
        <v>1</v>
      </c>
      <c r="D75" s="22">
        <f t="shared" si="13"/>
        <v>44932</v>
      </c>
      <c r="E75" s="26">
        <f t="shared" si="20"/>
        <v>1</v>
      </c>
      <c r="F75" s="26">
        <f t="shared" si="21"/>
        <v>0</v>
      </c>
      <c r="G75" s="26">
        <f t="shared" si="22"/>
        <v>1</v>
      </c>
      <c r="H75" s="26" t="str">
        <f t="shared" si="23"/>
        <v/>
      </c>
      <c r="I75" s="26">
        <f t="shared" si="24"/>
        <v>1</v>
      </c>
      <c r="J75" s="26">
        <f t="shared" si="25"/>
        <v>1</v>
      </c>
      <c r="M75" s="21">
        <f>M74+7</f>
        <v>44932</v>
      </c>
      <c r="N75" s="10" t="s">
        <v>24</v>
      </c>
      <c r="O75" s="25">
        <v>0</v>
      </c>
      <c r="P75" s="25">
        <v>12</v>
      </c>
      <c r="Q75" s="25">
        <v>0</v>
      </c>
      <c r="R75" s="25"/>
      <c r="S75" s="25">
        <v>0</v>
      </c>
      <c r="T75" s="136">
        <v>0</v>
      </c>
      <c r="U75" s="25"/>
    </row>
    <row r="76" spans="3:21">
      <c r="C76" s="12">
        <f t="shared" ca="1" si="12"/>
        <v>1</v>
      </c>
      <c r="D76" s="22">
        <f t="shared" si="13"/>
        <v>44939</v>
      </c>
      <c r="E76" s="26">
        <f t="shared" si="20"/>
        <v>0</v>
      </c>
      <c r="F76" s="26">
        <f t="shared" si="21"/>
        <v>1</v>
      </c>
      <c r="G76" s="26">
        <f t="shared" si="22"/>
        <v>1</v>
      </c>
      <c r="H76" s="26" t="str">
        <f t="shared" si="23"/>
        <v/>
      </c>
      <c r="I76" s="26">
        <f t="shared" si="24"/>
        <v>1</v>
      </c>
      <c r="J76" s="26">
        <f t="shared" si="25"/>
        <v>0</v>
      </c>
      <c r="M76" s="21">
        <f>M75+7</f>
        <v>44939</v>
      </c>
      <c r="N76" s="10" t="s">
        <v>24</v>
      </c>
      <c r="O76" s="25">
        <v>12</v>
      </c>
      <c r="P76" s="25">
        <v>0</v>
      </c>
      <c r="Q76" s="25">
        <v>0</v>
      </c>
      <c r="R76" s="25"/>
      <c r="S76" s="25">
        <v>0</v>
      </c>
      <c r="T76" s="25">
        <v>12</v>
      </c>
      <c r="U76" s="25"/>
    </row>
    <row r="77" spans="3:21">
      <c r="C77" s="12">
        <f t="shared" ca="1" si="12"/>
        <v>1</v>
      </c>
      <c r="D77" s="22">
        <f t="shared" si="13"/>
        <v>44946</v>
      </c>
      <c r="E77" s="26">
        <f t="shared" si="20"/>
        <v>0</v>
      </c>
      <c r="F77" s="26">
        <f t="shared" si="21"/>
        <v>0</v>
      </c>
      <c r="G77" s="26">
        <f t="shared" si="22"/>
        <v>1</v>
      </c>
      <c r="H77" s="26" t="str">
        <f t="shared" si="23"/>
        <v/>
      </c>
      <c r="I77" s="26">
        <f t="shared" si="24"/>
        <v>1</v>
      </c>
      <c r="J77" s="26">
        <f t="shared" si="25"/>
        <v>0</v>
      </c>
      <c r="M77" s="21">
        <f>M76+7</f>
        <v>44946</v>
      </c>
      <c r="N77" s="10" t="s">
        <v>24</v>
      </c>
      <c r="O77" s="25">
        <v>12</v>
      </c>
      <c r="P77" s="25">
        <v>12</v>
      </c>
      <c r="Q77" s="25">
        <v>0</v>
      </c>
      <c r="R77" s="25"/>
      <c r="S77" s="25">
        <v>0</v>
      </c>
      <c r="T77" s="25">
        <v>12</v>
      </c>
      <c r="U77" s="25"/>
    </row>
    <row r="78" spans="3:21">
      <c r="C78" s="12">
        <f t="shared" ca="1" si="12"/>
        <v>1</v>
      </c>
      <c r="D78" s="22">
        <f t="shared" si="13"/>
        <v>44953</v>
      </c>
      <c r="E78" s="26">
        <f t="shared" si="20"/>
        <v>0</v>
      </c>
      <c r="F78" s="26">
        <f t="shared" si="21"/>
        <v>1</v>
      </c>
      <c r="G78" s="26">
        <f t="shared" si="22"/>
        <v>1</v>
      </c>
      <c r="H78" s="26">
        <f t="shared" si="23"/>
        <v>1</v>
      </c>
      <c r="I78" s="26">
        <f t="shared" si="24"/>
        <v>1</v>
      </c>
      <c r="J78" s="26">
        <f t="shared" si="25"/>
        <v>0</v>
      </c>
      <c r="M78" s="21">
        <f>M77+7</f>
        <v>44953</v>
      </c>
      <c r="N78" s="10" t="s">
        <v>24</v>
      </c>
      <c r="O78" s="25">
        <v>12</v>
      </c>
      <c r="P78" s="25">
        <v>0</v>
      </c>
      <c r="Q78" s="25">
        <v>0</v>
      </c>
      <c r="R78" s="25">
        <v>0</v>
      </c>
      <c r="S78" s="25">
        <v>0</v>
      </c>
      <c r="T78" s="25">
        <v>12</v>
      </c>
      <c r="U78" s="25"/>
    </row>
    <row r="79" spans="3:21">
      <c r="C79" s="12">
        <f t="shared" ca="1" si="12"/>
        <v>1</v>
      </c>
      <c r="D79" s="22">
        <f t="shared" si="13"/>
        <v>44960</v>
      </c>
      <c r="E79" s="26">
        <f t="shared" si="20"/>
        <v>1</v>
      </c>
      <c r="F79" s="26">
        <f t="shared" si="21"/>
        <v>0</v>
      </c>
      <c r="G79" s="26">
        <f t="shared" si="22"/>
        <v>0</v>
      </c>
      <c r="H79" s="26" t="str">
        <f t="shared" si="23"/>
        <v/>
      </c>
      <c r="I79" s="26">
        <f t="shared" si="24"/>
        <v>1</v>
      </c>
      <c r="J79" s="26">
        <f t="shared" si="25"/>
        <v>1</v>
      </c>
      <c r="M79" s="21">
        <f>M78+7</f>
        <v>44960</v>
      </c>
      <c r="N79" s="10" t="s">
        <v>24</v>
      </c>
      <c r="O79" s="25">
        <v>0</v>
      </c>
      <c r="P79" s="25">
        <v>12</v>
      </c>
      <c r="Q79" s="25">
        <v>12</v>
      </c>
      <c r="R79" s="25"/>
      <c r="S79" s="25">
        <v>0</v>
      </c>
      <c r="T79" s="25">
        <v>0</v>
      </c>
      <c r="U79" s="25"/>
    </row>
    <row r="80" spans="3:21">
      <c r="C80" s="12" t="str">
        <f t="shared" ca="1" si="12"/>
        <v/>
      </c>
      <c r="D80" s="22" t="str">
        <f t="shared" si="13"/>
        <v/>
      </c>
      <c r="E80" s="26" t="str">
        <f t="shared" si="20"/>
        <v/>
      </c>
      <c r="F80" s="26" t="str">
        <f t="shared" si="21"/>
        <v/>
      </c>
      <c r="G80" s="26" t="str">
        <f t="shared" si="22"/>
        <v/>
      </c>
      <c r="H80" s="26" t="str">
        <f t="shared" si="23"/>
        <v/>
      </c>
      <c r="I80" s="26" t="str">
        <f t="shared" si="24"/>
        <v/>
      </c>
      <c r="J80" s="26" t="str">
        <f t="shared" si="25"/>
        <v/>
      </c>
      <c r="M80" s="21"/>
      <c r="N80" s="10"/>
      <c r="O80" s="25"/>
      <c r="P80" s="25"/>
      <c r="Q80" s="25"/>
      <c r="R80" s="25"/>
      <c r="S80" s="25"/>
      <c r="T80" s="25"/>
      <c r="U80" s="25"/>
    </row>
    <row r="81" spans="3:21">
      <c r="C81" s="12" t="str">
        <f t="shared" ca="1" si="12"/>
        <v/>
      </c>
      <c r="D81" s="22" t="str">
        <f t="shared" si="13"/>
        <v/>
      </c>
      <c r="E81" s="26" t="str">
        <f t="shared" si="20"/>
        <v/>
      </c>
      <c r="F81" s="26" t="str">
        <f t="shared" si="21"/>
        <v/>
      </c>
      <c r="G81" s="26" t="str">
        <f t="shared" si="22"/>
        <v/>
      </c>
      <c r="H81" s="26" t="str">
        <f t="shared" si="23"/>
        <v/>
      </c>
      <c r="I81" s="26" t="str">
        <f t="shared" si="24"/>
        <v/>
      </c>
      <c r="J81" s="26" t="str">
        <f t="shared" si="25"/>
        <v/>
      </c>
      <c r="M81" s="21"/>
      <c r="N81" s="10"/>
      <c r="O81" s="25"/>
      <c r="P81" s="25"/>
      <c r="Q81" s="25"/>
      <c r="R81" s="25"/>
      <c r="S81" s="25"/>
      <c r="T81" s="25"/>
      <c r="U81" s="25"/>
    </row>
    <row r="82" spans="3:21">
      <c r="C82" s="12"/>
      <c r="D82" s="22"/>
      <c r="E82" s="26"/>
      <c r="F82" s="26"/>
      <c r="G82" s="26"/>
      <c r="H82" s="26"/>
      <c r="I82" s="26"/>
      <c r="J82" s="26"/>
      <c r="M82" s="21"/>
      <c r="N82" s="10"/>
      <c r="O82" s="25"/>
      <c r="P82" s="25"/>
      <c r="Q82" s="25"/>
      <c r="R82" s="25"/>
      <c r="S82" s="25"/>
      <c r="T82" s="25"/>
    </row>
    <row r="83" spans="3:21">
      <c r="C83" s="12"/>
      <c r="D83" s="22"/>
      <c r="E83" s="26"/>
      <c r="F83" s="26"/>
      <c r="G83" s="26"/>
      <c r="H83" s="26"/>
      <c r="I83" s="26"/>
      <c r="J83" s="26"/>
      <c r="M83" s="21"/>
      <c r="N83" s="10"/>
      <c r="O83" s="25"/>
      <c r="P83" s="25"/>
      <c r="Q83" s="25"/>
      <c r="R83" s="25"/>
      <c r="S83" s="25"/>
      <c r="T83" s="25"/>
    </row>
    <row r="84" spans="3:21">
      <c r="C84" s="12"/>
      <c r="D84" s="22"/>
      <c r="E84" s="26"/>
      <c r="F84" s="26"/>
      <c r="G84" s="26"/>
      <c r="H84" s="26"/>
      <c r="I84" s="26"/>
      <c r="J84" s="26"/>
      <c r="M84" s="21"/>
      <c r="N84" s="10"/>
      <c r="O84" s="25"/>
      <c r="P84" s="25"/>
      <c r="Q84" s="25"/>
      <c r="R84" s="25"/>
      <c r="S84" s="25"/>
      <c r="T84" s="25"/>
    </row>
    <row r="85" spans="3:21">
      <c r="C85" s="12"/>
      <c r="D85" s="22"/>
      <c r="E85" s="26"/>
      <c r="F85" s="26"/>
      <c r="G85" s="26"/>
      <c r="H85" s="26"/>
      <c r="I85" s="26"/>
      <c r="J85" s="26"/>
      <c r="M85" s="21"/>
      <c r="N85" s="10"/>
      <c r="O85" s="25"/>
      <c r="P85" s="25"/>
      <c r="Q85" s="25"/>
      <c r="R85" s="25"/>
      <c r="S85" s="25"/>
      <c r="T85" s="25"/>
    </row>
    <row r="86" spans="3:21">
      <c r="C86" s="12"/>
      <c r="D86" s="22"/>
      <c r="E86" s="26"/>
      <c r="F86" s="26"/>
      <c r="G86" s="26"/>
      <c r="H86" s="26"/>
      <c r="I86" s="26"/>
      <c r="J86" s="26"/>
      <c r="M86" s="21"/>
      <c r="N86" s="10"/>
      <c r="O86" s="25"/>
      <c r="P86" s="25"/>
      <c r="Q86" s="25"/>
      <c r="R86" s="25"/>
      <c r="S86" s="25"/>
      <c r="T86" s="25"/>
    </row>
    <row r="87" spans="3:21">
      <c r="C87" s="12"/>
      <c r="D87" s="22"/>
      <c r="E87" s="26"/>
      <c r="F87" s="26"/>
      <c r="G87" s="26"/>
      <c r="H87" s="26"/>
      <c r="I87" s="26"/>
      <c r="J87" s="26"/>
      <c r="M87" s="21"/>
      <c r="N87" s="10"/>
      <c r="O87" s="25"/>
      <c r="P87" s="25"/>
      <c r="Q87" s="25"/>
      <c r="R87" s="25"/>
      <c r="S87" s="25"/>
      <c r="T87" s="25"/>
    </row>
    <row r="88" spans="3:21">
      <c r="C88" s="12" t="str">
        <f t="shared" ref="C88" ca="1" si="37">IF(D88&lt;=TODAY(),1,"")</f>
        <v/>
      </c>
      <c r="D88" s="22" t="str">
        <f t="shared" ref="D88:D92" si="38">IF(M88="","",M88)</f>
        <v/>
      </c>
      <c r="E88" s="26" t="str">
        <f t="shared" ref="E88:J91" si="39">IF(O88="","",IF(O88=0,1,0))</f>
        <v/>
      </c>
      <c r="F88" s="26" t="str">
        <f t="shared" ref="F88:J88" si="40">IF(P88="","",IF(P88=0,1,0))</f>
        <v/>
      </c>
      <c r="G88" s="26" t="str">
        <f t="shared" si="40"/>
        <v/>
      </c>
      <c r="H88" s="26" t="str">
        <f t="shared" si="40"/>
        <v/>
      </c>
      <c r="I88" s="26" t="str">
        <f t="shared" si="40"/>
        <v/>
      </c>
      <c r="J88" s="26" t="str">
        <f t="shared" si="40"/>
        <v/>
      </c>
      <c r="M88" s="21"/>
      <c r="N88" s="10"/>
      <c r="O88" s="25"/>
      <c r="P88" s="25"/>
      <c r="Q88" s="25"/>
      <c r="R88" s="25"/>
      <c r="S88" s="25"/>
      <c r="T88" s="25"/>
    </row>
    <row r="89" spans="3:21">
      <c r="C89" s="12" t="str">
        <f t="shared" ref="C89:C91" ca="1" si="41">IF(D89&lt;=TODAY(),1,"")</f>
        <v/>
      </c>
      <c r="D89" s="22" t="str">
        <f t="shared" si="38"/>
        <v/>
      </c>
      <c r="E89" s="26" t="str">
        <f t="shared" si="39"/>
        <v/>
      </c>
      <c r="F89" s="26" t="str">
        <f t="shared" si="39"/>
        <v/>
      </c>
      <c r="G89" s="26" t="str">
        <f t="shared" si="39"/>
        <v/>
      </c>
      <c r="H89" s="26" t="str">
        <f t="shared" si="39"/>
        <v/>
      </c>
      <c r="I89" s="26" t="str">
        <f t="shared" si="39"/>
        <v/>
      </c>
      <c r="J89" s="26" t="str">
        <f t="shared" si="39"/>
        <v/>
      </c>
      <c r="M89" s="21"/>
      <c r="N89" s="10"/>
      <c r="O89" s="25"/>
      <c r="P89" s="25"/>
      <c r="Q89" s="25"/>
      <c r="R89" s="25"/>
      <c r="S89" s="25"/>
      <c r="T89" s="25"/>
    </row>
    <row r="90" spans="3:21">
      <c r="C90" s="12" t="str">
        <f t="shared" ca="1" si="41"/>
        <v/>
      </c>
      <c r="D90" s="22" t="str">
        <f t="shared" si="38"/>
        <v/>
      </c>
      <c r="E90" s="26" t="str">
        <f t="shared" si="39"/>
        <v/>
      </c>
      <c r="F90" s="26" t="str">
        <f t="shared" si="39"/>
        <v/>
      </c>
      <c r="G90" s="26" t="str">
        <f t="shared" si="39"/>
        <v/>
      </c>
      <c r="H90" s="26" t="str">
        <f t="shared" si="39"/>
        <v/>
      </c>
      <c r="I90" s="26" t="str">
        <f t="shared" si="39"/>
        <v/>
      </c>
      <c r="J90" s="26" t="str">
        <f t="shared" si="39"/>
        <v/>
      </c>
      <c r="M90" s="21"/>
      <c r="N90" s="10"/>
      <c r="O90" s="25"/>
      <c r="P90" s="25"/>
      <c r="Q90" s="25"/>
      <c r="R90" s="25"/>
      <c r="S90" s="25"/>
      <c r="T90" s="25"/>
    </row>
    <row r="91" spans="3:21">
      <c r="C91" s="12" t="str">
        <f t="shared" ca="1" si="41"/>
        <v/>
      </c>
      <c r="D91" s="22" t="str">
        <f t="shared" si="38"/>
        <v/>
      </c>
      <c r="E91" s="26" t="str">
        <f t="shared" si="39"/>
        <v/>
      </c>
      <c r="F91" s="26"/>
      <c r="G91" s="26" t="str">
        <f t="shared" si="39"/>
        <v/>
      </c>
      <c r="H91" s="26" t="str">
        <f t="shared" si="39"/>
        <v/>
      </c>
      <c r="I91" s="26" t="str">
        <f>IF(S91="","",IF(S91=0,1,0))</f>
        <v/>
      </c>
      <c r="J91" s="26" t="str">
        <f t="shared" si="39"/>
        <v/>
      </c>
      <c r="M91" s="21"/>
      <c r="N91" s="10"/>
      <c r="O91" s="25"/>
      <c r="P91" s="25"/>
      <c r="Q91" s="25"/>
      <c r="R91" s="25"/>
      <c r="S91" s="25"/>
      <c r="T91" s="25"/>
    </row>
    <row r="92" spans="3:21">
      <c r="C92" s="12" t="str">
        <f ca="1">IF(D92&lt;=TODAY(),1,"")</f>
        <v/>
      </c>
      <c r="D92" s="22" t="str">
        <f t="shared" si="38"/>
        <v/>
      </c>
      <c r="E92" s="26" t="str">
        <f>IF(O92="","",IF(O92=0,1,0))</f>
        <v/>
      </c>
      <c r="F92" s="26" t="str">
        <f t="shared" ref="F92:H92" si="42">IF(P92="","",IF(P92=0,1,0))</f>
        <v/>
      </c>
      <c r="G92" s="26" t="str">
        <f>IF(Q92="","",IF(Q92=0,1,0))</f>
        <v/>
      </c>
      <c r="H92" s="26" t="str">
        <f t="shared" si="42"/>
        <v/>
      </c>
      <c r="I92" s="26" t="str">
        <f>IF(S92="","",IF(S92=0,1,0))</f>
        <v/>
      </c>
      <c r="J92" s="26" t="str">
        <f>IF(T92="","",IF(T92=0,1,0))</f>
        <v/>
      </c>
      <c r="M92" s="21"/>
      <c r="N92" s="10"/>
      <c r="O92" s="25"/>
      <c r="P92" s="25"/>
      <c r="Q92" s="25"/>
      <c r="R92" s="25"/>
      <c r="S92" s="25"/>
      <c r="T92"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27 E29:J39 E41:J43 E45:F56 E58:J58 E60:J60 E62:J65 E67:J67 E69:J72 E74:J81">
    <cfRule type="cellIs" dxfId="116" priority="145" operator="equal">
      <formula>0</formula>
    </cfRule>
  </conditionalFormatting>
  <conditionalFormatting sqref="E25:J27 E29:J39 E41:J43 E58:J58 E60:J60 E62:J65 E67:J67 E69:J72">
    <cfRule type="cellIs" dxfId="115" priority="146" operator="equal">
      <formula>1</formula>
    </cfRule>
  </conditionalFormatting>
  <conditionalFormatting sqref="E45:J56">
    <cfRule type="cellIs" dxfId="114" priority="13" operator="equal">
      <formula>1</formula>
    </cfRule>
  </conditionalFormatting>
  <conditionalFormatting sqref="E74:J92">
    <cfRule type="cellIs" dxfId="113" priority="58" operator="equal">
      <formula>1</formula>
    </cfRule>
  </conditionalFormatting>
  <conditionalFormatting sqref="G89">
    <cfRule type="cellIs" dxfId="112" priority="67" operator="equal">
      <formula>0</formula>
    </cfRule>
  </conditionalFormatting>
  <conditionalFormatting sqref="G92">
    <cfRule type="cellIs" dxfId="111" priority="57" operator="equal">
      <formula>0</formula>
    </cfRule>
  </conditionalFormatting>
  <conditionalFormatting sqref="G45:J46 G47:G53 I47:J53 G54:J56">
    <cfRule type="cellIs" dxfId="110" priority="155" operator="equal">
      <formula>0</formula>
    </cfRule>
  </conditionalFormatting>
  <conditionalFormatting sqref="I90:I92">
    <cfRule type="cellIs" dxfId="109" priority="60" operator="equal">
      <formula>0</formula>
    </cfRule>
  </conditionalFormatting>
  <conditionalFormatting sqref="O65:T92">
    <cfRule type="cellIs" dxfId="108" priority="1" operator="equal">
      <formula>0</formula>
    </cfRule>
    <cfRule type="cellIs" dxfId="107" priority="2" operator="greaterThan">
      <formula>0</formula>
    </cfRule>
  </conditionalFormatting>
  <conditionalFormatting sqref="O24:U64">
    <cfRule type="cellIs" dxfId="106" priority="45" operator="equal">
      <formula>0</formula>
    </cfRule>
    <cfRule type="cellIs" dxfId="105" priority="46" operator="greaterThan">
      <formula>0</formula>
    </cfRule>
  </conditionalFormatting>
  <conditionalFormatting sqref="U65:U81">
    <cfRule type="cellIs" dxfId="104" priority="379" operator="equal">
      <formula>0</formula>
    </cfRule>
    <cfRule type="cellIs" dxfId="103" priority="380" operator="greaterThan">
      <formula>0</formula>
    </cfRule>
  </conditionalFormatting>
  <pageMargins left="0.7" right="0.7" top="0.78740157499999996" bottom="0.78740157499999996" header="0.3" footer="0.3"/>
  <pageSetup paperSize="9" orientation="portrait" r:id="rId1"/>
  <ignoredErrors>
    <ignoredError sqref="M58:M69" formula="1"/>
  </ignoredError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C93"/>
  <sheetViews>
    <sheetView zoomScale="70" zoomScaleNormal="70" workbookViewId="0">
      <pane xSplit="14" ySplit="23" topLeftCell="O42" activePane="bottomRight" state="frozen"/>
      <selection pane="topRight" activeCell="P1" sqref="P1"/>
      <selection pane="bottomLeft" activeCell="A24" sqref="A24"/>
      <selection pane="bottomRight" activeCell="W15" sqref="W15"/>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84375" style="1" bestFit="1" customWidth="1"/>
    <col min="23" max="23" width="16.69140625" style="1" customWidth="1"/>
    <col min="24" max="24" width="11.69140625" style="1" bestFit="1" customWidth="1"/>
    <col min="25" max="25" width="43.53515625" style="1" customWidth="1"/>
    <col min="26" max="26" width="11.84375" style="1" bestFit="1" customWidth="1"/>
    <col min="27" max="27" width="12.15234375" style="1" customWidth="1"/>
    <col min="28" max="16384" width="11.38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1810.68</v>
      </c>
      <c r="U5" s="237"/>
      <c r="V5" s="238" t="s">
        <v>53</v>
      </c>
      <c r="W5" s="239"/>
      <c r="X5" s="238" t="s">
        <v>57</v>
      </c>
      <c r="Y5" s="239"/>
      <c r="Z5" s="238" t="s">
        <v>62</v>
      </c>
      <c r="AA5" s="239"/>
    </row>
    <row r="6" spans="2:27" ht="23.25" customHeight="1">
      <c r="B6" s="6"/>
      <c r="L6" s="6"/>
      <c r="V6" s="240"/>
      <c r="W6" s="241"/>
      <c r="X6" s="240"/>
      <c r="Y6" s="241"/>
      <c r="Z6" s="240"/>
      <c r="AA6" s="241"/>
    </row>
    <row r="7" spans="2:2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MSO</v>
      </c>
      <c r="E8" s="12">
        <f>ROUND(HLOOKUP(D8,$E$18:$J$20,3,FALSE),0)</f>
        <v>35</v>
      </c>
      <c r="F8" s="64">
        <f t="shared" ref="F8:F12" ca="1" si="2">E8/$C$20</f>
        <v>0.83333333333333337</v>
      </c>
      <c r="G8" s="28">
        <f t="shared" ref="G8:G10" ca="1" si="3">1-F8</f>
        <v>0.16666666666666663</v>
      </c>
      <c r="L8" s="6"/>
      <c r="N8" s="10" t="s">
        <v>2</v>
      </c>
      <c r="O8" s="13">
        <f>R20</f>
        <v>250</v>
      </c>
      <c r="P8" s="13">
        <v>0</v>
      </c>
      <c r="Q8" s="221" t="s">
        <v>25</v>
      </c>
      <c r="R8" s="221"/>
      <c r="S8" s="221" t="s">
        <v>18</v>
      </c>
      <c r="T8" s="221"/>
      <c r="V8" s="221" t="s">
        <v>49</v>
      </c>
      <c r="W8" s="221"/>
      <c r="X8" s="221" t="s">
        <v>59</v>
      </c>
      <c r="Y8" s="221"/>
      <c r="Z8" s="221" t="s">
        <v>66</v>
      </c>
      <c r="AA8" s="221"/>
    </row>
    <row r="9" spans="2:27">
      <c r="B9" s="6">
        <v>2</v>
      </c>
      <c r="C9" s="12">
        <f t="shared" si="0"/>
        <v>2</v>
      </c>
      <c r="D9" s="10" t="str">
        <f>HLOOKUP($B9,$E$17:$J$20,2,FALSE)</f>
        <v>SJU</v>
      </c>
      <c r="E9" s="12">
        <f t="shared" ref="E9:E13" si="4">ROUND(HLOOKUP(D9,$E$18:$J$20,3,FALSE),0)</f>
        <v>32</v>
      </c>
      <c r="F9" s="28">
        <f t="shared" ca="1" si="2"/>
        <v>0.76190476190476186</v>
      </c>
      <c r="G9" s="28">
        <f t="shared" ca="1" si="3"/>
        <v>0.23809523809523814</v>
      </c>
      <c r="L9" s="6"/>
      <c r="N9" s="10" t="s">
        <v>4</v>
      </c>
      <c r="O9" s="13">
        <f>P20</f>
        <v>187.5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JWU</v>
      </c>
      <c r="E10" s="12">
        <f t="shared" si="4"/>
        <v>31</v>
      </c>
      <c r="F10" s="28">
        <f t="shared" ca="1" si="2"/>
        <v>0.73809523809523814</v>
      </c>
      <c r="G10" s="28">
        <f t="shared" ca="1" si="3"/>
        <v>0.26190476190476186</v>
      </c>
      <c r="L10" s="6"/>
      <c r="N10" s="10" t="s">
        <v>3</v>
      </c>
      <c r="O10" s="13">
        <f>S20</f>
        <v>120</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4"/>
        <v>30</v>
      </c>
      <c r="F11" s="28">
        <f t="shared" ca="1" si="2"/>
        <v>0.7142857142857143</v>
      </c>
      <c r="G11" s="28">
        <f ca="1">1-F11</f>
        <v>0.2857142857142857</v>
      </c>
      <c r="L11" s="6"/>
      <c r="N11" s="10" t="s">
        <v>1</v>
      </c>
      <c r="O11" s="13">
        <f>Q20</f>
        <v>140</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4"/>
        <v>26</v>
      </c>
      <c r="F12" s="28">
        <f t="shared" ca="1" si="2"/>
        <v>0.61904761904761907</v>
      </c>
      <c r="G12" s="28">
        <f ca="1">1-F12</f>
        <v>0.38095238095238093</v>
      </c>
      <c r="L12" s="6"/>
      <c r="N12" s="10" t="s">
        <v>0</v>
      </c>
      <c r="O12" s="47">
        <f>O20</f>
        <v>132.5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4"/>
        <v>19</v>
      </c>
      <c r="F13" s="28">
        <f ca="1">E13/$C$20</f>
        <v>0.45238095238095238</v>
      </c>
      <c r="G13" s="28">
        <f ca="1">1-F13</f>
        <v>0.54761904761904767</v>
      </c>
      <c r="L13" s="6"/>
      <c r="N13" s="10" t="s">
        <v>22</v>
      </c>
      <c r="O13" s="13">
        <f>T20</f>
        <v>95</v>
      </c>
      <c r="P13" s="13">
        <v>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149999999999999" thickBot="1">
      <c r="B16" s="6"/>
      <c r="L16" s="6"/>
      <c r="N16" s="14" t="s">
        <v>19</v>
      </c>
      <c r="O16" s="15">
        <f>SUM(O8:O13)</f>
        <v>925</v>
      </c>
      <c r="P16" s="87"/>
      <c r="Q16" s="252" t="s">
        <v>30</v>
      </c>
      <c r="R16" s="253"/>
      <c r="S16" s="15">
        <v>885.68000000000006</v>
      </c>
      <c r="V16" s="139" t="s">
        <v>125</v>
      </c>
      <c r="W16" s="140">
        <f>O16+S16</f>
        <v>1810.68</v>
      </c>
      <c r="Z16" s="87"/>
    </row>
    <row r="17" spans="2:27" ht="12" customHeight="1">
      <c r="B17" s="6"/>
      <c r="E17" s="27">
        <f t="shared" ref="E17:J17" si="5">RANK(E20,$E20:$J20)</f>
        <v>3</v>
      </c>
      <c r="F17" s="27">
        <f t="shared" si="5"/>
        <v>5</v>
      </c>
      <c r="G17" s="27">
        <f t="shared" si="5"/>
        <v>4</v>
      </c>
      <c r="H17" s="27">
        <f t="shared" si="5"/>
        <v>6</v>
      </c>
      <c r="I17" s="27">
        <f t="shared" si="5"/>
        <v>2</v>
      </c>
      <c r="J17" s="27">
        <f t="shared" si="5"/>
        <v>1</v>
      </c>
      <c r="L17" s="6"/>
      <c r="V17" s="225" t="s">
        <v>294</v>
      </c>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c r="W18" s="1">
        <v>997.26</v>
      </c>
    </row>
    <row r="19" spans="2:27" ht="6" customHeight="1">
      <c r="B19" s="6"/>
      <c r="E19" s="17"/>
      <c r="F19" s="17"/>
      <c r="G19" s="17"/>
      <c r="H19" s="17"/>
      <c r="I19" s="17"/>
      <c r="J19" s="17"/>
      <c r="L19" s="6"/>
      <c r="O19" s="17"/>
      <c r="P19" s="17"/>
      <c r="Q19" s="17"/>
      <c r="R19" s="17"/>
      <c r="S19" s="17"/>
      <c r="T19" s="17"/>
      <c r="U19" s="17"/>
    </row>
    <row r="20" spans="2:27">
      <c r="B20" s="6"/>
      <c r="C20" s="141">
        <f ca="1">COUNT(C23:C95)</f>
        <v>42</v>
      </c>
      <c r="E20" s="24">
        <f>SUM(E25:E93)+0.00007</f>
        <v>31.000070000000001</v>
      </c>
      <c r="F20" s="24">
        <f>SUM(F25:F93)+0.00005</f>
        <v>26.000050000000002</v>
      </c>
      <c r="G20" s="24">
        <f>SUM(G25:G93)+0.00008</f>
        <v>30.000080000000001</v>
      </c>
      <c r="H20" s="24">
        <f>SUM(H25:H93)+0.00006</f>
        <v>19.000060000000001</v>
      </c>
      <c r="I20" s="24">
        <f>SUM(I25:I93)+0.00009</f>
        <v>32.00009</v>
      </c>
      <c r="J20" s="24">
        <f>SUM(J25:J93)+0.0001</f>
        <v>35.000100000000003</v>
      </c>
      <c r="L20" s="6"/>
      <c r="O20" s="19">
        <f>SUM(O24:O93)</f>
        <v>132.5</v>
      </c>
      <c r="P20" s="19">
        <f t="shared" ref="P20:Q20" si="6">SUM(P24:P93)</f>
        <v>187.5</v>
      </c>
      <c r="Q20" s="19">
        <f t="shared" si="6"/>
        <v>140</v>
      </c>
      <c r="R20" s="19">
        <f>SUM(R24:R93)</f>
        <v>250</v>
      </c>
      <c r="S20" s="19">
        <f>SUM(S24:S93)</f>
        <v>120</v>
      </c>
      <c r="T20" s="19">
        <f>SUM(T24:T93)</f>
        <v>95</v>
      </c>
      <c r="U20" s="19"/>
      <c r="V20" s="1" t="s">
        <v>295</v>
      </c>
      <c r="W20" s="87">
        <v>813.42</v>
      </c>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44344</v>
      </c>
      <c r="N24" s="67" t="s">
        <v>20</v>
      </c>
      <c r="O24" s="25">
        <v>20</v>
      </c>
      <c r="P24" s="25">
        <v>20</v>
      </c>
      <c r="Q24" s="25">
        <v>20</v>
      </c>
      <c r="R24" s="25">
        <v>20</v>
      </c>
      <c r="S24" s="25">
        <v>20</v>
      </c>
      <c r="T24" s="25">
        <v>20</v>
      </c>
      <c r="U24" s="25"/>
      <c r="V24" s="87">
        <f>SUM(O24:T24)</f>
        <v>120</v>
      </c>
    </row>
    <row r="25" spans="2:27">
      <c r="B25" s="6"/>
      <c r="C25" s="12">
        <v>1</v>
      </c>
      <c r="D25" s="22">
        <v>44344</v>
      </c>
      <c r="E25" s="26">
        <f t="shared" ref="E25:J39" si="7">IF(O25="","",IF(O25=0,1,0))</f>
        <v>1</v>
      </c>
      <c r="F25" s="26">
        <f t="shared" si="7"/>
        <v>1</v>
      </c>
      <c r="G25" s="26">
        <f t="shared" si="7"/>
        <v>0</v>
      </c>
      <c r="H25" s="26">
        <f>IF(R25="","",IF(R25=0,1,0))</f>
        <v>1</v>
      </c>
      <c r="I25" s="26">
        <f t="shared" si="7"/>
        <v>1</v>
      </c>
      <c r="J25" s="26">
        <f t="shared" si="7"/>
        <v>1</v>
      </c>
      <c r="L25" s="6"/>
      <c r="M25" s="21">
        <f>M24</f>
        <v>44344</v>
      </c>
      <c r="N25" s="10" t="s">
        <v>24</v>
      </c>
      <c r="O25" s="25">
        <v>0</v>
      </c>
      <c r="P25" s="25">
        <v>0</v>
      </c>
      <c r="Q25" s="25">
        <v>10</v>
      </c>
      <c r="R25" s="25">
        <v>0</v>
      </c>
      <c r="S25" s="25">
        <v>0</v>
      </c>
      <c r="T25" s="25">
        <v>0</v>
      </c>
      <c r="U25" s="25"/>
      <c r="V25" s="87">
        <f t="shared" ref="V25:V71" si="8">SUM(O25:T25)</f>
        <v>10</v>
      </c>
      <c r="Y25" s="58"/>
    </row>
    <row r="26" spans="2:27">
      <c r="B26" s="6"/>
      <c r="C26" s="12">
        <f t="shared" ref="C26:C55" ca="1" si="9">IF(D26&lt;=TODAY(),1,"")</f>
        <v>1</v>
      </c>
      <c r="D26" s="22">
        <f>IF(M26="","",M26)</f>
        <v>44351</v>
      </c>
      <c r="E26" s="26">
        <f t="shared" si="7"/>
        <v>1</v>
      </c>
      <c r="F26" s="26">
        <f t="shared" si="7"/>
        <v>1</v>
      </c>
      <c r="G26" s="26">
        <f t="shared" si="7"/>
        <v>1</v>
      </c>
      <c r="H26" s="26">
        <f t="shared" si="7"/>
        <v>0</v>
      </c>
      <c r="I26" s="26">
        <f t="shared" si="7"/>
        <v>0</v>
      </c>
      <c r="J26" s="26">
        <f t="shared" si="7"/>
        <v>1</v>
      </c>
      <c r="L26" s="6"/>
      <c r="M26" s="21">
        <f>M25+7</f>
        <v>44351</v>
      </c>
      <c r="N26" s="10" t="s">
        <v>24</v>
      </c>
      <c r="O26" s="25">
        <v>0</v>
      </c>
      <c r="P26" s="25">
        <v>0</v>
      </c>
      <c r="Q26" s="25">
        <v>0</v>
      </c>
      <c r="R26" s="25">
        <v>10</v>
      </c>
      <c r="S26" s="25">
        <v>10</v>
      </c>
      <c r="T26" s="25">
        <v>0</v>
      </c>
      <c r="U26" s="25"/>
      <c r="V26" s="87">
        <f t="shared" si="8"/>
        <v>20</v>
      </c>
    </row>
    <row r="27" spans="2:27">
      <c r="B27" s="6"/>
      <c r="C27" s="12">
        <f t="shared" ca="1" si="9"/>
        <v>1</v>
      </c>
      <c r="D27" s="22">
        <f t="shared" ref="D27:D31" si="10">IF(M27="","",M27)</f>
        <v>44358</v>
      </c>
      <c r="E27" s="26">
        <f t="shared" si="7"/>
        <v>1</v>
      </c>
      <c r="F27" s="26">
        <f t="shared" si="7"/>
        <v>1</v>
      </c>
      <c r="G27" s="26">
        <f t="shared" si="7"/>
        <v>1</v>
      </c>
      <c r="H27" s="26">
        <f t="shared" si="7"/>
        <v>0</v>
      </c>
      <c r="I27" s="26">
        <f>IF(S27="","",IF(S27=0,1,0))</f>
        <v>0</v>
      </c>
      <c r="J27" s="26">
        <f t="shared" si="7"/>
        <v>1</v>
      </c>
      <c r="L27" s="6"/>
      <c r="M27" s="21">
        <f>M26+7</f>
        <v>44358</v>
      </c>
      <c r="N27" s="10" t="s">
        <v>24</v>
      </c>
      <c r="O27" s="25">
        <v>0</v>
      </c>
      <c r="P27" s="25">
        <v>0</v>
      </c>
      <c r="Q27" s="25">
        <v>0</v>
      </c>
      <c r="R27" s="25">
        <v>10</v>
      </c>
      <c r="S27" s="25">
        <v>10</v>
      </c>
      <c r="T27" s="25">
        <v>0</v>
      </c>
      <c r="U27" s="25"/>
      <c r="V27" s="87">
        <f t="shared" si="8"/>
        <v>20</v>
      </c>
    </row>
    <row r="28" spans="2:27">
      <c r="B28" s="6"/>
      <c r="C28" s="12">
        <f t="shared" ca="1" si="9"/>
        <v>1</v>
      </c>
      <c r="D28" s="22">
        <f t="shared" si="10"/>
        <v>44365</v>
      </c>
      <c r="E28" s="26">
        <f t="shared" si="7"/>
        <v>0</v>
      </c>
      <c r="F28" s="26">
        <f t="shared" si="7"/>
        <v>1</v>
      </c>
      <c r="G28" s="26">
        <f t="shared" si="7"/>
        <v>1</v>
      </c>
      <c r="H28" s="26">
        <f t="shared" si="7"/>
        <v>1</v>
      </c>
      <c r="I28" s="26">
        <f>IF(S28="","",IF(S28=0,1,0))</f>
        <v>1</v>
      </c>
      <c r="J28" s="26">
        <f t="shared" si="7"/>
        <v>1</v>
      </c>
      <c r="L28" s="6"/>
      <c r="M28" s="21">
        <f>M27+7</f>
        <v>44365</v>
      </c>
      <c r="N28" s="10" t="s">
        <v>24</v>
      </c>
      <c r="O28" s="25">
        <v>10</v>
      </c>
      <c r="P28" s="25">
        <v>0</v>
      </c>
      <c r="Q28" s="25">
        <v>0</v>
      </c>
      <c r="R28" s="25">
        <v>0</v>
      </c>
      <c r="S28" s="25">
        <v>0</v>
      </c>
      <c r="T28" s="25">
        <v>0</v>
      </c>
      <c r="U28" s="25"/>
      <c r="V28" s="87">
        <f t="shared" si="8"/>
        <v>10</v>
      </c>
    </row>
    <row r="29" spans="2:27">
      <c r="B29" s="6"/>
      <c r="C29" s="12">
        <f ca="1">IF(D29&lt;=TODAY(),1,"")</f>
        <v>1</v>
      </c>
      <c r="D29" s="22">
        <f t="shared" si="10"/>
        <v>44372</v>
      </c>
      <c r="E29" s="26">
        <f>IF(O29="","",IF(O29=0,1,0))</f>
        <v>1</v>
      </c>
      <c r="F29" s="26">
        <f>IF(P29="","",IF(P29=0,1,0))</f>
        <v>0</v>
      </c>
      <c r="G29" s="26">
        <f>IF(Q29="","",IF(Q29=0,1,0))</f>
        <v>1</v>
      </c>
      <c r="H29" s="26">
        <f>IF(R29="","",IF(R29=0,1,0))</f>
        <v>0</v>
      </c>
      <c r="I29" s="26">
        <f>IF(S29="","",IF(S29=0,1,0))</f>
        <v>1</v>
      </c>
      <c r="J29" s="26">
        <f>IF(T29="","",IF(T29=0,1,0))</f>
        <v>1</v>
      </c>
      <c r="L29" s="6"/>
      <c r="M29" s="21">
        <f>M28+7</f>
        <v>44372</v>
      </c>
      <c r="N29" s="10" t="s">
        <v>24</v>
      </c>
      <c r="O29" s="25">
        <v>0</v>
      </c>
      <c r="P29" s="25">
        <v>10</v>
      </c>
      <c r="Q29" s="25">
        <v>0</v>
      </c>
      <c r="R29" s="25">
        <v>10</v>
      </c>
      <c r="S29" s="25">
        <v>0</v>
      </c>
      <c r="T29" s="25">
        <v>0</v>
      </c>
      <c r="U29" s="25"/>
      <c r="V29" s="87">
        <f t="shared" si="8"/>
        <v>20</v>
      </c>
    </row>
    <row r="30" spans="2:27">
      <c r="B30" s="6"/>
      <c r="C30" s="76"/>
      <c r="D30" s="77"/>
      <c r="E30" s="77"/>
      <c r="F30" s="77" t="str">
        <f>IF(P30="","",IF(P30=0,1,0))</f>
        <v/>
      </c>
      <c r="G30" s="77" t="str">
        <f>IF(Q30="","",IF(Q30=0,1,0))</f>
        <v/>
      </c>
      <c r="H30" s="77"/>
      <c r="I30" s="77" t="str">
        <f t="shared" ref="I30" si="11">IF(S30="","",IF(S30=0,1,0))</f>
        <v/>
      </c>
      <c r="J30" s="2" t="str">
        <f>IF(T30="","",IF(T30=0,1,0))</f>
        <v/>
      </c>
      <c r="L30" s="6"/>
      <c r="M30" s="21">
        <f>M31</f>
        <v>44379</v>
      </c>
      <c r="N30" s="10" t="s">
        <v>47</v>
      </c>
      <c r="O30" s="25">
        <v>2.5</v>
      </c>
      <c r="P30" s="25"/>
      <c r="Q30" s="25"/>
      <c r="R30" s="25"/>
      <c r="S30" s="25"/>
      <c r="T30" s="25"/>
      <c r="U30" s="25"/>
      <c r="V30" s="87">
        <f t="shared" si="8"/>
        <v>2.5</v>
      </c>
    </row>
    <row r="31" spans="2:27">
      <c r="B31" s="6"/>
      <c r="C31" s="12">
        <v>1</v>
      </c>
      <c r="D31" s="22">
        <f t="shared" si="10"/>
        <v>44379</v>
      </c>
      <c r="E31" s="26">
        <f t="shared" si="7"/>
        <v>1</v>
      </c>
      <c r="F31" s="26">
        <f t="shared" si="7"/>
        <v>0</v>
      </c>
      <c r="G31" s="26">
        <f t="shared" si="7"/>
        <v>0</v>
      </c>
      <c r="H31" s="26">
        <f t="shared" si="7"/>
        <v>0</v>
      </c>
      <c r="I31" s="26">
        <f>IF(S31="","",IF(S31=0,1,0))</f>
        <v>0</v>
      </c>
      <c r="J31" s="26">
        <f t="shared" si="7"/>
        <v>1</v>
      </c>
      <c r="L31" s="6"/>
      <c r="M31" s="21">
        <f>M29+7</f>
        <v>44379</v>
      </c>
      <c r="N31" s="10" t="s">
        <v>24</v>
      </c>
      <c r="O31" s="25">
        <v>0</v>
      </c>
      <c r="P31" s="25">
        <v>10</v>
      </c>
      <c r="Q31" s="25">
        <v>10</v>
      </c>
      <c r="R31" s="25">
        <v>10</v>
      </c>
      <c r="S31" s="25">
        <v>10</v>
      </c>
      <c r="T31" s="25">
        <v>0</v>
      </c>
      <c r="U31" s="25"/>
      <c r="V31" s="87">
        <f t="shared" si="8"/>
        <v>40</v>
      </c>
      <c r="AA31" s="58"/>
    </row>
    <row r="32" spans="2:27">
      <c r="B32" s="6"/>
      <c r="C32" s="12">
        <f ca="1">IF(D32&lt;=TODAY(),1,"")</f>
        <v>1</v>
      </c>
      <c r="D32" s="22">
        <f>IF(M32="","",M32)</f>
        <v>44386</v>
      </c>
      <c r="E32" s="26">
        <f t="shared" si="7"/>
        <v>0</v>
      </c>
      <c r="F32" s="26">
        <f t="shared" si="7"/>
        <v>1</v>
      </c>
      <c r="G32" s="26">
        <f t="shared" si="7"/>
        <v>1</v>
      </c>
      <c r="H32" s="26">
        <f t="shared" si="7"/>
        <v>0</v>
      </c>
      <c r="I32" s="26">
        <f>IF(S32="","",IF(S32=0,1,0))</f>
        <v>1</v>
      </c>
      <c r="J32" s="26">
        <f t="shared" si="7"/>
        <v>1</v>
      </c>
      <c r="L32" s="6"/>
      <c r="M32" s="32">
        <f>M31+7</f>
        <v>44386</v>
      </c>
      <c r="N32" s="10" t="s">
        <v>24</v>
      </c>
      <c r="O32" s="25">
        <v>10</v>
      </c>
      <c r="P32" s="25">
        <v>0</v>
      </c>
      <c r="Q32" s="25">
        <v>0</v>
      </c>
      <c r="R32" s="25">
        <v>10</v>
      </c>
      <c r="S32" s="25">
        <v>0</v>
      </c>
      <c r="T32" s="25">
        <v>0</v>
      </c>
      <c r="U32" s="25"/>
      <c r="V32" s="87">
        <f t="shared" si="8"/>
        <v>20</v>
      </c>
    </row>
    <row r="33" spans="2:28">
      <c r="B33" s="6"/>
      <c r="C33" s="12">
        <f t="shared" ca="1" si="9"/>
        <v>1</v>
      </c>
      <c r="D33" s="22">
        <f t="shared" ref="D33:D41" si="12">IF(M33="","",M33)</f>
        <v>44393</v>
      </c>
      <c r="E33" s="26">
        <f t="shared" si="7"/>
        <v>1</v>
      </c>
      <c r="F33" s="26">
        <f>IF(P33="","",IF(P33=0,1,0))</f>
        <v>0</v>
      </c>
      <c r="G33" s="26">
        <f t="shared" si="7"/>
        <v>0</v>
      </c>
      <c r="H33" s="26">
        <f t="shared" si="7"/>
        <v>0</v>
      </c>
      <c r="I33" s="26">
        <f t="shared" si="7"/>
        <v>1</v>
      </c>
      <c r="J33" s="26">
        <f t="shared" si="7"/>
        <v>1</v>
      </c>
      <c r="L33" s="6"/>
      <c r="M33" s="32">
        <f>M32+7</f>
        <v>44393</v>
      </c>
      <c r="N33" s="10" t="s">
        <v>24</v>
      </c>
      <c r="O33" s="25">
        <v>0</v>
      </c>
      <c r="P33" s="25">
        <v>10</v>
      </c>
      <c r="Q33" s="25">
        <v>10</v>
      </c>
      <c r="R33" s="25">
        <v>10</v>
      </c>
      <c r="S33" s="25">
        <v>0</v>
      </c>
      <c r="T33" s="25">
        <v>0</v>
      </c>
      <c r="U33" s="25"/>
      <c r="V33" s="87">
        <f t="shared" si="8"/>
        <v>30</v>
      </c>
    </row>
    <row r="34" spans="2:28">
      <c r="B34" s="6"/>
      <c r="C34" s="12">
        <f t="shared" ca="1" si="9"/>
        <v>1</v>
      </c>
      <c r="D34" s="22">
        <f t="shared" si="12"/>
        <v>44400</v>
      </c>
      <c r="E34" s="26">
        <f t="shared" si="7"/>
        <v>1</v>
      </c>
      <c r="F34" s="26">
        <f t="shared" si="7"/>
        <v>1</v>
      </c>
      <c r="G34" s="26">
        <f t="shared" si="7"/>
        <v>0</v>
      </c>
      <c r="H34" s="26">
        <f t="shared" si="7"/>
        <v>0</v>
      </c>
      <c r="I34" s="26">
        <f t="shared" si="7"/>
        <v>1</v>
      </c>
      <c r="J34" s="26">
        <f t="shared" si="7"/>
        <v>0</v>
      </c>
      <c r="L34" s="6"/>
      <c r="M34" s="32">
        <f>M33+7</f>
        <v>44400</v>
      </c>
      <c r="N34" s="10" t="s">
        <v>24</v>
      </c>
      <c r="O34" s="25">
        <v>0</v>
      </c>
      <c r="P34" s="25">
        <v>0</v>
      </c>
      <c r="Q34" s="25">
        <v>10</v>
      </c>
      <c r="R34" s="25">
        <v>10</v>
      </c>
      <c r="S34" s="25">
        <v>0</v>
      </c>
      <c r="T34" s="25">
        <v>10</v>
      </c>
      <c r="U34" s="25"/>
      <c r="V34" s="87">
        <f t="shared" si="8"/>
        <v>30</v>
      </c>
    </row>
    <row r="35" spans="2:28">
      <c r="B35" s="6"/>
      <c r="C35" s="12">
        <f t="shared" ca="1" si="9"/>
        <v>1</v>
      </c>
      <c r="D35" s="22">
        <f t="shared" si="12"/>
        <v>44407</v>
      </c>
      <c r="E35" s="26">
        <f t="shared" si="7"/>
        <v>0</v>
      </c>
      <c r="F35" s="26">
        <f>IF(P35="","",IF(P35=0,1,0))</f>
        <v>1</v>
      </c>
      <c r="G35" s="26">
        <f t="shared" si="7"/>
        <v>1</v>
      </c>
      <c r="H35" s="26">
        <f t="shared" si="7"/>
        <v>1</v>
      </c>
      <c r="I35" s="26">
        <f t="shared" si="7"/>
        <v>1</v>
      </c>
      <c r="J35" s="26">
        <f t="shared" si="7"/>
        <v>1</v>
      </c>
      <c r="L35" s="6"/>
      <c r="M35" s="21">
        <f>M34+7</f>
        <v>44407</v>
      </c>
      <c r="N35" s="10" t="s">
        <v>24</v>
      </c>
      <c r="O35" s="25">
        <v>10</v>
      </c>
      <c r="P35" s="25">
        <v>0</v>
      </c>
      <c r="Q35" s="25">
        <v>0</v>
      </c>
      <c r="R35" s="25">
        <v>0</v>
      </c>
      <c r="S35" s="25">
        <v>0</v>
      </c>
      <c r="T35" s="25">
        <v>0</v>
      </c>
      <c r="U35" s="25"/>
      <c r="V35" s="87">
        <f t="shared" si="8"/>
        <v>10</v>
      </c>
      <c r="AB35" s="58"/>
    </row>
    <row r="36" spans="2:28">
      <c r="B36" s="6"/>
      <c r="C36" s="76"/>
      <c r="D36" s="77"/>
      <c r="E36" s="77"/>
      <c r="F36" s="77" t="str">
        <f>IF(P36="","",IF(P36=0,1,0))</f>
        <v/>
      </c>
      <c r="G36" s="77" t="str">
        <f>IF(Q36="","",IF(Q36=0,1,0))</f>
        <v/>
      </c>
      <c r="H36" s="77"/>
      <c r="I36" s="77" t="str">
        <f t="shared" si="7"/>
        <v/>
      </c>
      <c r="J36" s="2"/>
      <c r="L36" s="6"/>
      <c r="M36" s="21">
        <v>44414</v>
      </c>
      <c r="N36" s="10" t="s">
        <v>47</v>
      </c>
      <c r="O36" s="25"/>
      <c r="P36" s="25"/>
      <c r="Q36" s="25"/>
      <c r="R36" s="25"/>
      <c r="S36" s="25"/>
      <c r="T36" s="25">
        <v>2.5</v>
      </c>
      <c r="U36" s="25"/>
      <c r="V36" s="87">
        <f t="shared" si="8"/>
        <v>2.5</v>
      </c>
    </row>
    <row r="37" spans="2:28">
      <c r="B37" s="6"/>
      <c r="C37" s="12">
        <f t="shared" ca="1" si="9"/>
        <v>1</v>
      </c>
      <c r="D37" s="22">
        <f t="shared" si="12"/>
        <v>44414</v>
      </c>
      <c r="E37" s="26">
        <f t="shared" si="7"/>
        <v>0</v>
      </c>
      <c r="F37" s="26">
        <f t="shared" si="7"/>
        <v>1</v>
      </c>
      <c r="G37" s="26">
        <f t="shared" si="7"/>
        <v>1</v>
      </c>
      <c r="H37" s="26">
        <f t="shared" si="7"/>
        <v>1</v>
      </c>
      <c r="I37" s="26">
        <f t="shared" si="7"/>
        <v>1</v>
      </c>
      <c r="J37" s="26">
        <f t="shared" si="7"/>
        <v>1</v>
      </c>
      <c r="L37" s="6"/>
      <c r="M37" s="21">
        <f>M36</f>
        <v>44414</v>
      </c>
      <c r="N37" s="10" t="s">
        <v>24</v>
      </c>
      <c r="O37" s="25">
        <v>10</v>
      </c>
      <c r="P37" s="25">
        <v>0</v>
      </c>
      <c r="Q37" s="25">
        <v>0</v>
      </c>
      <c r="R37" s="25">
        <v>0</v>
      </c>
      <c r="S37" s="25">
        <v>0</v>
      </c>
      <c r="T37" s="25">
        <v>0</v>
      </c>
      <c r="U37" s="25"/>
      <c r="V37" s="87">
        <f t="shared" si="8"/>
        <v>10</v>
      </c>
      <c r="AB37" s="58"/>
    </row>
    <row r="38" spans="2:28">
      <c r="B38" s="6"/>
      <c r="C38" s="12">
        <f t="shared" ca="1" si="9"/>
        <v>1</v>
      </c>
      <c r="D38" s="22">
        <f t="shared" si="12"/>
        <v>44421</v>
      </c>
      <c r="E38" s="26">
        <f t="shared" si="7"/>
        <v>1</v>
      </c>
      <c r="F38" s="26">
        <f t="shared" si="7"/>
        <v>1</v>
      </c>
      <c r="G38" s="26">
        <f t="shared" si="7"/>
        <v>1</v>
      </c>
      <c r="H38" s="26">
        <f t="shared" si="7"/>
        <v>1</v>
      </c>
      <c r="I38" s="26">
        <f t="shared" si="7"/>
        <v>0</v>
      </c>
      <c r="J38" s="26">
        <f t="shared" si="7"/>
        <v>1</v>
      </c>
      <c r="L38" s="6"/>
      <c r="M38" s="21">
        <f>M37+7</f>
        <v>44421</v>
      </c>
      <c r="N38" s="10" t="s">
        <v>24</v>
      </c>
      <c r="O38" s="25">
        <v>0</v>
      </c>
      <c r="P38" s="25">
        <v>0</v>
      </c>
      <c r="Q38" s="25">
        <v>0</v>
      </c>
      <c r="R38" s="25">
        <v>0</v>
      </c>
      <c r="S38" s="25">
        <v>10</v>
      </c>
      <c r="T38" s="25">
        <v>0</v>
      </c>
      <c r="U38" s="25"/>
      <c r="V38" s="87">
        <f t="shared" si="8"/>
        <v>10</v>
      </c>
    </row>
    <row r="39" spans="2:28" ht="16.5" customHeight="1">
      <c r="B39" s="6"/>
      <c r="C39" s="12">
        <f ca="1">IF(D39&lt;=TODAY(),1,"")</f>
        <v>1</v>
      </c>
      <c r="D39" s="22">
        <f t="shared" si="12"/>
        <v>44428</v>
      </c>
      <c r="E39" s="26">
        <f t="shared" si="7"/>
        <v>1</v>
      </c>
      <c r="F39" s="26">
        <f t="shared" si="7"/>
        <v>0</v>
      </c>
      <c r="G39" s="26">
        <f t="shared" si="7"/>
        <v>1</v>
      </c>
      <c r="H39" s="26">
        <f t="shared" si="7"/>
        <v>1</v>
      </c>
      <c r="I39" s="26">
        <f t="shared" si="7"/>
        <v>1</v>
      </c>
      <c r="J39" s="26">
        <f t="shared" si="7"/>
        <v>0</v>
      </c>
      <c r="K39" s="2"/>
      <c r="L39" s="23"/>
      <c r="M39" s="21">
        <f>M38+7</f>
        <v>44428</v>
      </c>
      <c r="N39" s="10" t="s">
        <v>24</v>
      </c>
      <c r="O39" s="25">
        <v>0</v>
      </c>
      <c r="P39" s="25">
        <v>10</v>
      </c>
      <c r="Q39" s="25">
        <v>0</v>
      </c>
      <c r="R39" s="25">
        <v>0</v>
      </c>
      <c r="S39" s="25">
        <v>0</v>
      </c>
      <c r="T39" s="25">
        <v>10</v>
      </c>
      <c r="U39" s="25"/>
      <c r="V39" s="87">
        <f t="shared" si="8"/>
        <v>20</v>
      </c>
    </row>
    <row r="40" spans="2:28" ht="16.5" customHeight="1">
      <c r="B40" s="6"/>
      <c r="C40" s="12">
        <f t="shared" ca="1" si="9"/>
        <v>1</v>
      </c>
      <c r="D40" s="22">
        <f t="shared" si="12"/>
        <v>44435</v>
      </c>
      <c r="E40" s="26">
        <f t="shared" ref="E40:J89" si="13">IF(O40="","",IF(O40=0,1,0))</f>
        <v>1</v>
      </c>
      <c r="F40" s="26">
        <f t="shared" si="13"/>
        <v>0</v>
      </c>
      <c r="G40" s="26">
        <f t="shared" si="13"/>
        <v>1</v>
      </c>
      <c r="H40" s="26">
        <f t="shared" si="13"/>
        <v>1</v>
      </c>
      <c r="I40" s="26">
        <f t="shared" si="13"/>
        <v>0</v>
      </c>
      <c r="J40" s="26">
        <f>IF(T40="","",IF(T40=0,1,0))</f>
        <v>1</v>
      </c>
      <c r="K40" s="2"/>
      <c r="L40" s="23"/>
      <c r="M40" s="21">
        <f>M39+7</f>
        <v>44435</v>
      </c>
      <c r="N40" s="10" t="s">
        <v>24</v>
      </c>
      <c r="O40" s="25">
        <v>0</v>
      </c>
      <c r="P40" s="25">
        <v>10</v>
      </c>
      <c r="Q40" s="25">
        <v>0</v>
      </c>
      <c r="R40" s="25">
        <v>0</v>
      </c>
      <c r="S40" s="25">
        <v>10</v>
      </c>
      <c r="T40" s="25">
        <v>0</v>
      </c>
      <c r="U40" s="25"/>
      <c r="V40" s="87">
        <f t="shared" si="8"/>
        <v>20</v>
      </c>
    </row>
    <row r="41" spans="2:28" ht="16.5" customHeight="1">
      <c r="B41" s="6"/>
      <c r="C41" s="12">
        <f t="shared" ca="1" si="9"/>
        <v>1</v>
      </c>
      <c r="D41" s="22">
        <f t="shared" si="12"/>
        <v>44442</v>
      </c>
      <c r="E41" s="26">
        <f t="shared" si="13"/>
        <v>1</v>
      </c>
      <c r="F41" s="26">
        <f t="shared" si="13"/>
        <v>0</v>
      </c>
      <c r="G41" s="26">
        <f t="shared" si="13"/>
        <v>0</v>
      </c>
      <c r="H41" s="26">
        <f t="shared" si="13"/>
        <v>0</v>
      </c>
      <c r="I41" s="26">
        <f t="shared" si="13"/>
        <v>1</v>
      </c>
      <c r="J41" s="26">
        <f t="shared" si="13"/>
        <v>1</v>
      </c>
      <c r="L41" s="6"/>
      <c r="M41" s="21">
        <f>M40+7</f>
        <v>44442</v>
      </c>
      <c r="N41" s="10" t="s">
        <v>24</v>
      </c>
      <c r="O41" s="25">
        <v>0</v>
      </c>
      <c r="P41" s="25">
        <v>10</v>
      </c>
      <c r="Q41" s="25">
        <v>10</v>
      </c>
      <c r="R41" s="25">
        <v>10</v>
      </c>
      <c r="S41" s="25">
        <v>0</v>
      </c>
      <c r="T41" s="25">
        <v>0</v>
      </c>
      <c r="U41" s="25"/>
      <c r="V41" s="87">
        <f t="shared" si="8"/>
        <v>30</v>
      </c>
    </row>
    <row r="42" spans="2:28" ht="16.5" customHeight="1">
      <c r="B42" s="6"/>
      <c r="C42" s="12">
        <f t="shared" ref="C42" ca="1" si="14">IF(D42&lt;=TODAY(),1,"")</f>
        <v>1</v>
      </c>
      <c r="D42" s="22">
        <f t="shared" ref="D42" si="15">IF(M42="","",M42)</f>
        <v>44449</v>
      </c>
      <c r="E42" s="26">
        <f t="shared" ref="E42" si="16">IF(O42="","",IF(O42=0,1,0))</f>
        <v>0</v>
      </c>
      <c r="F42" s="26">
        <f t="shared" ref="F42" si="17">IF(P42="","",IF(P42=0,1,0))</f>
        <v>0</v>
      </c>
      <c r="G42" s="26">
        <f t="shared" ref="G42" si="18">IF(Q42="","",IF(Q42=0,1,0))</f>
        <v>1</v>
      </c>
      <c r="H42" s="26">
        <f t="shared" ref="H42" si="19">IF(R42="","",IF(R42=0,1,0))</f>
        <v>0</v>
      </c>
      <c r="I42" s="26">
        <f t="shared" ref="I42:I43" si="20">IF(S42="","",IF(S42=0,1,0))</f>
        <v>1</v>
      </c>
      <c r="J42" s="26">
        <f>IF(T42="","",IF(T42=0,1,0))</f>
        <v>0</v>
      </c>
      <c r="L42" s="6"/>
      <c r="M42" s="21">
        <f>M41+7</f>
        <v>44449</v>
      </c>
      <c r="N42" s="10" t="s">
        <v>24</v>
      </c>
      <c r="O42" s="25">
        <v>10</v>
      </c>
      <c r="P42" s="25">
        <v>10</v>
      </c>
      <c r="Q42" s="25">
        <v>0</v>
      </c>
      <c r="R42" s="25">
        <v>10</v>
      </c>
      <c r="S42" s="25">
        <v>0</v>
      </c>
      <c r="T42" s="25">
        <v>10</v>
      </c>
      <c r="U42" s="25"/>
      <c r="V42" s="87">
        <f t="shared" si="8"/>
        <v>40</v>
      </c>
    </row>
    <row r="43" spans="2:28" ht="16.5" customHeight="1">
      <c r="B43" s="6"/>
      <c r="C43" s="76"/>
      <c r="D43" s="77"/>
      <c r="E43" s="77"/>
      <c r="F43" s="77" t="str">
        <f>IF(P43="","",IF(P43=0,1,0))</f>
        <v/>
      </c>
      <c r="G43" s="77" t="str">
        <f>IF(Q43="","",IF(Q43=0,1,0))</f>
        <v/>
      </c>
      <c r="H43" s="77"/>
      <c r="I43" s="77" t="str">
        <f t="shared" si="20"/>
        <v/>
      </c>
      <c r="J43" s="2"/>
      <c r="L43" s="6"/>
      <c r="M43" s="21">
        <f>M44</f>
        <v>44456</v>
      </c>
      <c r="N43" s="10" t="s">
        <v>47</v>
      </c>
      <c r="O43" s="25"/>
      <c r="P43" s="25"/>
      <c r="Q43" s="25"/>
      <c r="R43" s="25"/>
      <c r="S43" s="25"/>
      <c r="T43" s="25">
        <v>2.5</v>
      </c>
      <c r="U43" s="25"/>
      <c r="V43" s="87">
        <f t="shared" si="8"/>
        <v>2.5</v>
      </c>
    </row>
    <row r="44" spans="2:28" ht="16.5" customHeight="1">
      <c r="B44" s="6"/>
      <c r="C44" s="12">
        <f t="shared" ref="C44:C50" ca="1" si="21">IF(D44&lt;=TODAY(),1,"")</f>
        <v>1</v>
      </c>
      <c r="D44" s="22">
        <f t="shared" ref="D44:D54" si="22">IF(M44="","",M44)</f>
        <v>44456</v>
      </c>
      <c r="E44" s="26">
        <f t="shared" ref="E44:J47" si="23">IF(O44="","",IF(O44=0,1,0))</f>
        <v>1</v>
      </c>
      <c r="F44" s="26">
        <f t="shared" si="23"/>
        <v>1</v>
      </c>
      <c r="G44" s="26">
        <f t="shared" si="23"/>
        <v>1</v>
      </c>
      <c r="H44" s="26">
        <f t="shared" si="23"/>
        <v>0</v>
      </c>
      <c r="I44" s="26">
        <f t="shared" si="23"/>
        <v>1</v>
      </c>
      <c r="J44" s="26">
        <f t="shared" si="23"/>
        <v>1</v>
      </c>
      <c r="L44" s="6"/>
      <c r="M44" s="21">
        <f>M42+7</f>
        <v>44456</v>
      </c>
      <c r="N44" s="10" t="s">
        <v>24</v>
      </c>
      <c r="O44" s="25">
        <v>0</v>
      </c>
      <c r="P44" s="25">
        <v>0</v>
      </c>
      <c r="Q44" s="25">
        <v>0</v>
      </c>
      <c r="R44" s="25">
        <v>10</v>
      </c>
      <c r="S44" s="25">
        <v>0</v>
      </c>
      <c r="T44" s="25">
        <v>0</v>
      </c>
      <c r="U44" s="25"/>
      <c r="V44" s="87">
        <f t="shared" si="8"/>
        <v>10</v>
      </c>
      <c r="W44" s="48"/>
    </row>
    <row r="45" spans="2:28" ht="16.5" customHeight="1">
      <c r="B45" s="6"/>
      <c r="C45" s="76"/>
      <c r="D45" s="77"/>
      <c r="E45" s="77"/>
      <c r="F45" s="77"/>
      <c r="G45" s="77" t="str">
        <f>IF(Q45="","",IF(Q45=0,1,0))</f>
        <v/>
      </c>
      <c r="H45" s="77"/>
      <c r="I45" s="77" t="str">
        <f t="shared" si="23"/>
        <v/>
      </c>
      <c r="J45" s="2"/>
      <c r="L45" s="6"/>
      <c r="M45" s="21">
        <f>M46</f>
        <v>44463</v>
      </c>
      <c r="N45" s="10" t="s">
        <v>47</v>
      </c>
      <c r="O45" s="25"/>
      <c r="P45" s="25">
        <v>2.5</v>
      </c>
      <c r="Q45" s="25"/>
      <c r="R45" s="25"/>
      <c r="S45" s="25"/>
      <c r="T45" s="25"/>
      <c r="U45" s="25"/>
      <c r="V45" s="87">
        <f t="shared" si="8"/>
        <v>2.5</v>
      </c>
      <c r="W45" s="48"/>
    </row>
    <row r="46" spans="2:28" ht="16.5" customHeight="1">
      <c r="B46" s="6"/>
      <c r="C46" s="12">
        <f t="shared" ca="1" si="21"/>
        <v>1</v>
      </c>
      <c r="D46" s="22">
        <f t="shared" si="22"/>
        <v>44463</v>
      </c>
      <c r="E46" s="26">
        <f t="shared" si="23"/>
        <v>1</v>
      </c>
      <c r="F46" s="26">
        <f t="shared" si="23"/>
        <v>1</v>
      </c>
      <c r="G46" s="26">
        <f t="shared" si="23"/>
        <v>1</v>
      </c>
      <c r="H46" s="26">
        <f t="shared" si="23"/>
        <v>0</v>
      </c>
      <c r="I46" s="26">
        <f t="shared" si="23"/>
        <v>1</v>
      </c>
      <c r="J46" s="26">
        <f t="shared" si="23"/>
        <v>1</v>
      </c>
      <c r="L46" s="6"/>
      <c r="M46" s="21">
        <f>M44+7</f>
        <v>44463</v>
      </c>
      <c r="N46" s="10" t="s">
        <v>24</v>
      </c>
      <c r="O46" s="25">
        <v>0</v>
      </c>
      <c r="P46" s="25">
        <v>0</v>
      </c>
      <c r="Q46" s="25">
        <v>0</v>
      </c>
      <c r="R46" s="25">
        <v>10</v>
      </c>
      <c r="S46" s="25">
        <v>0</v>
      </c>
      <c r="T46" s="25">
        <v>0</v>
      </c>
      <c r="U46" s="25"/>
      <c r="V46" s="87">
        <f t="shared" si="8"/>
        <v>10</v>
      </c>
      <c r="W46" s="48"/>
    </row>
    <row r="47" spans="2:28" ht="16.5" customHeight="1">
      <c r="B47" s="6"/>
      <c r="C47" s="12">
        <f t="shared" ca="1" si="21"/>
        <v>1</v>
      </c>
      <c r="D47" s="22">
        <f t="shared" si="22"/>
        <v>44470</v>
      </c>
      <c r="E47" s="26">
        <f t="shared" si="23"/>
        <v>1</v>
      </c>
      <c r="F47" s="26">
        <f t="shared" si="23"/>
        <v>1</v>
      </c>
      <c r="G47" s="26">
        <f t="shared" si="23"/>
        <v>0</v>
      </c>
      <c r="H47" s="26">
        <f t="shared" si="23"/>
        <v>1</v>
      </c>
      <c r="I47" s="26">
        <f t="shared" si="23"/>
        <v>1</v>
      </c>
      <c r="J47" s="26">
        <f t="shared" si="23"/>
        <v>1</v>
      </c>
      <c r="L47" s="6"/>
      <c r="M47" s="21">
        <f t="shared" ref="M47:M53" si="24">M46+7</f>
        <v>44470</v>
      </c>
      <c r="N47" s="10" t="s">
        <v>24</v>
      </c>
      <c r="O47" s="25">
        <v>0</v>
      </c>
      <c r="P47" s="25">
        <v>0</v>
      </c>
      <c r="Q47" s="25">
        <v>10</v>
      </c>
      <c r="R47" s="25">
        <v>0</v>
      </c>
      <c r="S47" s="25">
        <v>0</v>
      </c>
      <c r="T47" s="25">
        <v>0</v>
      </c>
      <c r="U47" s="25"/>
      <c r="V47" s="87">
        <f t="shared" si="8"/>
        <v>10</v>
      </c>
      <c r="W47" s="48"/>
    </row>
    <row r="48" spans="2:28" ht="16.5" customHeight="1">
      <c r="B48" s="6"/>
      <c r="C48" s="12">
        <f t="shared" ca="1" si="21"/>
        <v>1</v>
      </c>
      <c r="D48" s="22">
        <f t="shared" si="22"/>
        <v>44477</v>
      </c>
      <c r="E48" s="26">
        <f t="shared" ref="E48:J49" si="25">IF(O48="","",IF(O48=0,1,0))</f>
        <v>1</v>
      </c>
      <c r="F48" s="26">
        <f t="shared" si="25"/>
        <v>0</v>
      </c>
      <c r="G48" s="26">
        <f t="shared" si="25"/>
        <v>1</v>
      </c>
      <c r="H48" s="26">
        <f t="shared" si="25"/>
        <v>0</v>
      </c>
      <c r="I48" s="26">
        <f t="shared" si="25"/>
        <v>0</v>
      </c>
      <c r="J48" s="26">
        <f t="shared" si="25"/>
        <v>1</v>
      </c>
      <c r="L48" s="6"/>
      <c r="M48" s="21">
        <f t="shared" si="24"/>
        <v>44477</v>
      </c>
      <c r="N48" s="10" t="s">
        <v>24</v>
      </c>
      <c r="O48" s="25">
        <v>0</v>
      </c>
      <c r="P48" s="25">
        <v>10</v>
      </c>
      <c r="Q48" s="25">
        <v>0</v>
      </c>
      <c r="R48" s="25">
        <v>10</v>
      </c>
      <c r="S48" s="25">
        <v>10</v>
      </c>
      <c r="T48" s="25">
        <v>0</v>
      </c>
      <c r="U48" s="25"/>
      <c r="V48" s="87">
        <f t="shared" si="8"/>
        <v>30</v>
      </c>
      <c r="W48" s="48"/>
    </row>
    <row r="49" spans="1:29" ht="16.5" customHeight="1">
      <c r="B49" s="6"/>
      <c r="C49" s="12">
        <f t="shared" ca="1" si="21"/>
        <v>1</v>
      </c>
      <c r="D49" s="22">
        <f t="shared" si="22"/>
        <v>44484</v>
      </c>
      <c r="E49" s="26">
        <f t="shared" si="25"/>
        <v>0</v>
      </c>
      <c r="F49" s="26">
        <f t="shared" si="25"/>
        <v>1</v>
      </c>
      <c r="G49" s="26">
        <f t="shared" si="25"/>
        <v>0</v>
      </c>
      <c r="H49" s="26">
        <f t="shared" si="25"/>
        <v>1</v>
      </c>
      <c r="I49" s="26">
        <f t="shared" si="25"/>
        <v>1</v>
      </c>
      <c r="J49" s="26">
        <f t="shared" si="25"/>
        <v>1</v>
      </c>
      <c r="L49" s="6"/>
      <c r="M49" s="21">
        <f t="shared" si="24"/>
        <v>44484</v>
      </c>
      <c r="N49" s="10" t="s">
        <v>24</v>
      </c>
      <c r="O49" s="25">
        <v>10</v>
      </c>
      <c r="P49" s="25">
        <v>0</v>
      </c>
      <c r="Q49" s="25">
        <v>10</v>
      </c>
      <c r="R49" s="25">
        <v>0</v>
      </c>
      <c r="S49" s="25">
        <v>0</v>
      </c>
      <c r="T49" s="25">
        <v>0</v>
      </c>
      <c r="U49" s="25"/>
      <c r="V49" s="87">
        <f t="shared" si="8"/>
        <v>20</v>
      </c>
      <c r="W49" s="48"/>
    </row>
    <row r="50" spans="1:29" ht="16.5" customHeight="1">
      <c r="B50" s="6"/>
      <c r="C50" s="12">
        <f t="shared" ca="1" si="21"/>
        <v>1</v>
      </c>
      <c r="D50" s="22">
        <f t="shared" si="22"/>
        <v>44491</v>
      </c>
      <c r="E50" s="26">
        <f t="shared" si="13"/>
        <v>1</v>
      </c>
      <c r="F50" s="26">
        <f t="shared" si="13"/>
        <v>1</v>
      </c>
      <c r="G50" s="26">
        <f t="shared" si="13"/>
        <v>1</v>
      </c>
      <c r="H50" s="26">
        <f t="shared" si="13"/>
        <v>0</v>
      </c>
      <c r="I50" s="26">
        <f t="shared" si="13"/>
        <v>1</v>
      </c>
      <c r="J50" s="26">
        <f t="shared" si="13"/>
        <v>0</v>
      </c>
      <c r="L50" s="6"/>
      <c r="M50" s="21">
        <f t="shared" si="24"/>
        <v>44491</v>
      </c>
      <c r="N50" s="10" t="s">
        <v>24</v>
      </c>
      <c r="O50" s="25">
        <v>0</v>
      </c>
      <c r="P50" s="25">
        <v>0</v>
      </c>
      <c r="Q50" s="25">
        <v>0</v>
      </c>
      <c r="R50" s="25">
        <v>10</v>
      </c>
      <c r="S50" s="25">
        <v>0</v>
      </c>
      <c r="T50" s="25">
        <v>10</v>
      </c>
      <c r="U50" s="25"/>
      <c r="V50" s="87">
        <f t="shared" si="8"/>
        <v>20</v>
      </c>
      <c r="W50" s="48"/>
    </row>
    <row r="51" spans="1:29" ht="16.5" customHeight="1">
      <c r="B51" s="6"/>
      <c r="C51" s="12">
        <f t="shared" ca="1" si="9"/>
        <v>1</v>
      </c>
      <c r="D51" s="22">
        <f t="shared" si="22"/>
        <v>44498</v>
      </c>
      <c r="E51" s="26">
        <f t="shared" si="13"/>
        <v>1</v>
      </c>
      <c r="F51" s="26">
        <f t="shared" si="13"/>
        <v>1</v>
      </c>
      <c r="G51" s="26">
        <f t="shared" si="13"/>
        <v>1</v>
      </c>
      <c r="H51" s="26">
        <f t="shared" si="13"/>
        <v>0</v>
      </c>
      <c r="I51" s="26">
        <f t="shared" si="13"/>
        <v>1</v>
      </c>
      <c r="J51" s="26">
        <f t="shared" si="13"/>
        <v>0</v>
      </c>
      <c r="L51" s="6"/>
      <c r="M51" s="21">
        <f t="shared" si="24"/>
        <v>44498</v>
      </c>
      <c r="N51" s="10" t="s">
        <v>24</v>
      </c>
      <c r="O51" s="25">
        <v>0</v>
      </c>
      <c r="P51" s="25">
        <v>0</v>
      </c>
      <c r="Q51" s="25">
        <v>0</v>
      </c>
      <c r="R51" s="25">
        <v>10</v>
      </c>
      <c r="S51" s="25">
        <v>0</v>
      </c>
      <c r="T51" s="25">
        <v>10</v>
      </c>
      <c r="U51" s="25"/>
      <c r="V51" s="87">
        <f t="shared" si="8"/>
        <v>20</v>
      </c>
      <c r="W51" s="48"/>
    </row>
    <row r="52" spans="1:29" ht="16.5" customHeight="1">
      <c r="B52" s="6"/>
      <c r="C52" s="12">
        <f ca="1">IF(D52&lt;=TODAY(),1,"")</f>
        <v>1</v>
      </c>
      <c r="D52" s="22">
        <f t="shared" si="22"/>
        <v>44505</v>
      </c>
      <c r="E52" s="26">
        <f t="shared" si="13"/>
        <v>1</v>
      </c>
      <c r="F52" s="26">
        <f t="shared" si="13"/>
        <v>1</v>
      </c>
      <c r="G52" s="26">
        <f t="shared" si="13"/>
        <v>0</v>
      </c>
      <c r="H52" s="26">
        <f t="shared" si="13"/>
        <v>1</v>
      </c>
      <c r="I52" s="26">
        <f t="shared" si="13"/>
        <v>1</v>
      </c>
      <c r="J52" s="26">
        <f t="shared" si="13"/>
        <v>1</v>
      </c>
      <c r="L52" s="6"/>
      <c r="M52" s="21">
        <f t="shared" si="24"/>
        <v>44505</v>
      </c>
      <c r="N52" s="10" t="s">
        <v>24</v>
      </c>
      <c r="O52" s="25">
        <v>0</v>
      </c>
      <c r="P52" s="25">
        <v>0</v>
      </c>
      <c r="Q52" s="25">
        <v>10</v>
      </c>
      <c r="R52" s="25">
        <v>0</v>
      </c>
      <c r="S52" s="25">
        <v>0</v>
      </c>
      <c r="T52" s="25">
        <v>0</v>
      </c>
      <c r="U52" s="25"/>
      <c r="V52" s="87">
        <f t="shared" si="8"/>
        <v>10</v>
      </c>
      <c r="W52" s="48"/>
    </row>
    <row r="53" spans="1:29" ht="16.5" customHeight="1">
      <c r="B53" s="6"/>
      <c r="C53" s="12">
        <f t="shared" ca="1" si="9"/>
        <v>1</v>
      </c>
      <c r="D53" s="22">
        <f t="shared" si="22"/>
        <v>44512</v>
      </c>
      <c r="E53" s="26">
        <f t="shared" si="13"/>
        <v>1</v>
      </c>
      <c r="F53" s="26">
        <f t="shared" si="13"/>
        <v>0</v>
      </c>
      <c r="G53" s="26">
        <f t="shared" si="13"/>
        <v>1</v>
      </c>
      <c r="H53" s="26">
        <f t="shared" si="13"/>
        <v>1</v>
      </c>
      <c r="I53" s="26">
        <f t="shared" si="13"/>
        <v>1</v>
      </c>
      <c r="J53" s="26">
        <f t="shared" si="13"/>
        <v>1</v>
      </c>
      <c r="L53" s="6"/>
      <c r="M53" s="21">
        <f t="shared" si="24"/>
        <v>44512</v>
      </c>
      <c r="N53" s="10" t="s">
        <v>24</v>
      </c>
      <c r="O53" s="25">
        <v>0</v>
      </c>
      <c r="P53" s="25">
        <v>10</v>
      </c>
      <c r="Q53" s="25">
        <v>0</v>
      </c>
      <c r="R53" s="25">
        <v>0</v>
      </c>
      <c r="S53" s="25">
        <v>0</v>
      </c>
      <c r="T53" s="25">
        <v>0</v>
      </c>
      <c r="U53" s="25"/>
      <c r="V53" s="87">
        <f t="shared" si="8"/>
        <v>10</v>
      </c>
    </row>
    <row r="54" spans="1:29" ht="16.5" customHeight="1">
      <c r="B54" s="6"/>
      <c r="C54" s="12">
        <f t="shared" ca="1" si="9"/>
        <v>1</v>
      </c>
      <c r="D54" s="22">
        <f t="shared" si="22"/>
        <v>44519</v>
      </c>
      <c r="E54" s="26">
        <f t="shared" si="13"/>
        <v>1</v>
      </c>
      <c r="F54" s="26">
        <f t="shared" si="13"/>
        <v>0</v>
      </c>
      <c r="G54" s="26">
        <f t="shared" si="13"/>
        <v>1</v>
      </c>
      <c r="H54" s="26">
        <f t="shared" si="13"/>
        <v>1</v>
      </c>
      <c r="I54" s="26">
        <f t="shared" si="13"/>
        <v>1</v>
      </c>
      <c r="J54" s="26">
        <f t="shared" si="13"/>
        <v>1</v>
      </c>
      <c r="L54" s="6"/>
      <c r="M54" s="21">
        <f t="shared" ref="M54:M59" si="26">M53+7</f>
        <v>44519</v>
      </c>
      <c r="N54" s="10" t="s">
        <v>24</v>
      </c>
      <c r="O54" s="25">
        <v>0</v>
      </c>
      <c r="P54" s="25">
        <v>10</v>
      </c>
      <c r="Q54" s="25">
        <v>0</v>
      </c>
      <c r="R54" s="25">
        <v>0</v>
      </c>
      <c r="S54" s="25">
        <v>0</v>
      </c>
      <c r="T54" s="25">
        <v>0</v>
      </c>
      <c r="U54" s="25"/>
      <c r="V54" s="87">
        <f t="shared" si="8"/>
        <v>10</v>
      </c>
    </row>
    <row r="55" spans="1:29" ht="16.5" customHeight="1">
      <c r="B55" s="6"/>
      <c r="C55" s="12">
        <f t="shared" ca="1" si="9"/>
        <v>1</v>
      </c>
      <c r="D55" s="22">
        <f t="shared" ref="D55:D61" si="27">IF(M55="","",M55)</f>
        <v>44526</v>
      </c>
      <c r="E55" s="26">
        <f t="shared" si="13"/>
        <v>0</v>
      </c>
      <c r="F55" s="26">
        <f t="shared" si="13"/>
        <v>0</v>
      </c>
      <c r="G55" s="26">
        <f t="shared" si="13"/>
        <v>1</v>
      </c>
      <c r="H55" s="26">
        <f t="shared" si="13"/>
        <v>0</v>
      </c>
      <c r="I55" s="26">
        <f t="shared" si="13"/>
        <v>1</v>
      </c>
      <c r="J55" s="26">
        <f t="shared" si="13"/>
        <v>1</v>
      </c>
      <c r="L55" s="6"/>
      <c r="M55" s="21">
        <f t="shared" si="26"/>
        <v>44526</v>
      </c>
      <c r="N55" s="10" t="s">
        <v>24</v>
      </c>
      <c r="O55" s="25">
        <v>10</v>
      </c>
      <c r="P55" s="25">
        <v>10</v>
      </c>
      <c r="Q55" s="25">
        <v>0</v>
      </c>
      <c r="R55" s="25">
        <v>10</v>
      </c>
      <c r="S55" s="25">
        <v>0</v>
      </c>
      <c r="T55" s="25">
        <v>0</v>
      </c>
      <c r="U55" s="25"/>
      <c r="V55" s="87">
        <f t="shared" si="8"/>
        <v>30</v>
      </c>
    </row>
    <row r="56" spans="1:29" s="52" customFormat="1" ht="16.5" customHeight="1">
      <c r="A56" s="1"/>
      <c r="B56" s="1"/>
      <c r="C56" s="12">
        <f t="shared" ref="C56:C62" ca="1" si="28">IF(D56&lt;=TODAY(),1,"")</f>
        <v>1</v>
      </c>
      <c r="D56" s="22">
        <f>IF(M56="","",M56)</f>
        <v>44533</v>
      </c>
      <c r="E56" s="26">
        <f t="shared" ref="E56:H60" si="29">IF(O56="","",IF(O56=0,1,0))</f>
        <v>1</v>
      </c>
      <c r="F56" s="26">
        <f t="shared" si="29"/>
        <v>0</v>
      </c>
      <c r="G56" s="26">
        <f t="shared" si="29"/>
        <v>0</v>
      </c>
      <c r="H56" s="26">
        <f t="shared" si="29"/>
        <v>1</v>
      </c>
      <c r="I56" s="26">
        <f t="shared" si="13"/>
        <v>1</v>
      </c>
      <c r="J56" s="26">
        <f t="shared" si="13"/>
        <v>1</v>
      </c>
      <c r="L56" s="51"/>
      <c r="M56" s="21">
        <f t="shared" si="26"/>
        <v>44533</v>
      </c>
      <c r="N56" s="10" t="s">
        <v>24</v>
      </c>
      <c r="O56" s="25">
        <v>0</v>
      </c>
      <c r="P56" s="25">
        <v>10</v>
      </c>
      <c r="Q56" s="25">
        <v>10</v>
      </c>
      <c r="R56" s="25">
        <v>0</v>
      </c>
      <c r="S56" s="25">
        <v>0</v>
      </c>
      <c r="T56" s="25">
        <v>0</v>
      </c>
      <c r="U56" s="25"/>
      <c r="V56" s="87">
        <f t="shared" si="8"/>
        <v>20</v>
      </c>
    </row>
    <row r="57" spans="1:29">
      <c r="C57" s="12">
        <f t="shared" ca="1" si="28"/>
        <v>1</v>
      </c>
      <c r="D57" s="22">
        <f t="shared" si="27"/>
        <v>44540</v>
      </c>
      <c r="E57" s="26">
        <f t="shared" si="29"/>
        <v>1</v>
      </c>
      <c r="F57" s="26">
        <f t="shared" si="29"/>
        <v>1</v>
      </c>
      <c r="G57" s="26">
        <f t="shared" si="29"/>
        <v>1</v>
      </c>
      <c r="H57" s="26">
        <f t="shared" si="29"/>
        <v>1</v>
      </c>
      <c r="I57" s="26">
        <f t="shared" si="13"/>
        <v>1</v>
      </c>
      <c r="J57" s="26">
        <f t="shared" si="13"/>
        <v>1</v>
      </c>
      <c r="M57" s="21">
        <f t="shared" si="26"/>
        <v>44540</v>
      </c>
      <c r="N57" s="10" t="s">
        <v>24</v>
      </c>
      <c r="O57" s="25">
        <v>0</v>
      </c>
      <c r="P57" s="50">
        <v>0</v>
      </c>
      <c r="Q57" s="50">
        <v>0</v>
      </c>
      <c r="R57" s="25">
        <v>0</v>
      </c>
      <c r="S57" s="25">
        <v>0</v>
      </c>
      <c r="T57" s="25">
        <v>0</v>
      </c>
      <c r="U57" s="50"/>
      <c r="V57" s="87">
        <f t="shared" si="8"/>
        <v>0</v>
      </c>
    </row>
    <row r="58" spans="1:29">
      <c r="C58" s="12">
        <f t="shared" ca="1" si="28"/>
        <v>1</v>
      </c>
      <c r="D58" s="22">
        <f t="shared" si="27"/>
        <v>44547</v>
      </c>
      <c r="E58" s="26">
        <f t="shared" si="29"/>
        <v>1</v>
      </c>
      <c r="F58" s="26">
        <f t="shared" si="29"/>
        <v>1</v>
      </c>
      <c r="G58" s="26">
        <f t="shared" si="29"/>
        <v>1</v>
      </c>
      <c r="H58" s="26">
        <f t="shared" si="29"/>
        <v>1</v>
      </c>
      <c r="I58" s="26">
        <f t="shared" si="13"/>
        <v>1</v>
      </c>
      <c r="J58" s="26">
        <f t="shared" si="13"/>
        <v>0</v>
      </c>
      <c r="M58" s="21">
        <f t="shared" si="26"/>
        <v>44547</v>
      </c>
      <c r="N58" s="10" t="s">
        <v>24</v>
      </c>
      <c r="O58" s="25">
        <v>0</v>
      </c>
      <c r="P58" s="25">
        <v>0</v>
      </c>
      <c r="Q58" s="25">
        <v>0</v>
      </c>
      <c r="R58" s="25">
        <v>0</v>
      </c>
      <c r="S58" s="25">
        <v>0</v>
      </c>
      <c r="T58" s="25">
        <v>10</v>
      </c>
      <c r="U58" s="25"/>
      <c r="V58" s="87">
        <f t="shared" si="8"/>
        <v>10</v>
      </c>
      <c r="W58" s="36"/>
      <c r="X58" s="36"/>
      <c r="Y58" s="36"/>
      <c r="Z58" s="36"/>
      <c r="AA58" s="36"/>
      <c r="AB58" s="36"/>
      <c r="AC58" s="36"/>
    </row>
    <row r="59" spans="1:29">
      <c r="C59" s="12">
        <f t="shared" ca="1" si="28"/>
        <v>1</v>
      </c>
      <c r="D59" s="22">
        <f t="shared" si="27"/>
        <v>44554</v>
      </c>
      <c r="E59" s="26">
        <f t="shared" si="29"/>
        <v>1</v>
      </c>
      <c r="F59" s="26">
        <f t="shared" si="29"/>
        <v>1</v>
      </c>
      <c r="G59" s="26">
        <f t="shared" si="29"/>
        <v>1</v>
      </c>
      <c r="H59" s="26">
        <f t="shared" si="29"/>
        <v>1</v>
      </c>
      <c r="I59" s="26">
        <f t="shared" si="13"/>
        <v>1</v>
      </c>
      <c r="J59" s="26">
        <f t="shared" si="13"/>
        <v>1</v>
      </c>
      <c r="M59" s="21">
        <f t="shared" si="26"/>
        <v>44554</v>
      </c>
      <c r="N59" s="10" t="s">
        <v>24</v>
      </c>
      <c r="O59" s="25">
        <v>0</v>
      </c>
      <c r="P59" s="25">
        <v>0</v>
      </c>
      <c r="Q59" s="25">
        <v>0</v>
      </c>
      <c r="R59" s="25">
        <v>0</v>
      </c>
      <c r="S59" s="25">
        <v>0</v>
      </c>
      <c r="T59" s="25">
        <v>0</v>
      </c>
      <c r="U59" s="25"/>
      <c r="V59" s="87">
        <f t="shared" si="8"/>
        <v>0</v>
      </c>
    </row>
    <row r="60" spans="1:29">
      <c r="C60" s="12">
        <f t="shared" ca="1" si="28"/>
        <v>1</v>
      </c>
      <c r="D60" s="22">
        <f t="shared" si="27"/>
        <v>44561</v>
      </c>
      <c r="E60" s="26">
        <f t="shared" si="29"/>
        <v>0</v>
      </c>
      <c r="F60" s="26">
        <f t="shared" si="29"/>
        <v>1</v>
      </c>
      <c r="G60" s="26">
        <f t="shared" si="29"/>
        <v>1</v>
      </c>
      <c r="H60" s="26">
        <f t="shared" si="29"/>
        <v>0</v>
      </c>
      <c r="I60" s="26">
        <f t="shared" si="13"/>
        <v>0</v>
      </c>
      <c r="J60" s="26">
        <f t="shared" si="13"/>
        <v>0</v>
      </c>
      <c r="M60" s="21">
        <f>M59+7</f>
        <v>44561</v>
      </c>
      <c r="N60" s="10" t="s">
        <v>24</v>
      </c>
      <c r="O60" s="25">
        <v>10</v>
      </c>
      <c r="P60" s="25">
        <v>0</v>
      </c>
      <c r="Q60" s="25">
        <v>0</v>
      </c>
      <c r="R60" s="25">
        <v>10</v>
      </c>
      <c r="S60" s="25">
        <v>10</v>
      </c>
      <c r="T60" s="25">
        <v>10</v>
      </c>
      <c r="U60" s="25"/>
      <c r="V60" s="87">
        <f t="shared" si="8"/>
        <v>40</v>
      </c>
    </row>
    <row r="61" spans="1:29">
      <c r="C61" s="12">
        <f t="shared" ca="1" si="28"/>
        <v>1</v>
      </c>
      <c r="D61" s="22">
        <f t="shared" si="27"/>
        <v>44568</v>
      </c>
      <c r="E61" s="26">
        <f t="shared" ref="E61" si="30">IF(O61="","",IF(O61=0,1,0))</f>
        <v>1</v>
      </c>
      <c r="F61" s="26">
        <f t="shared" ref="F61" si="31">IF(P61="","",IF(P61=0,1,0))</f>
        <v>0</v>
      </c>
      <c r="G61" s="26">
        <f t="shared" ref="G61" si="32">IF(Q61="","",IF(Q61=0,1,0))</f>
        <v>0</v>
      </c>
      <c r="H61" s="26">
        <f t="shared" ref="H61" si="33">IF(R61="","",IF(R61=0,1,0))</f>
        <v>1</v>
      </c>
      <c r="I61" s="26">
        <f t="shared" ref="I61" si="34">IF(S61="","",IF(S61=0,1,0))</f>
        <v>0</v>
      </c>
      <c r="J61" s="26">
        <f t="shared" ref="J61" si="35">IF(T61="","",IF(T61=0,1,0))</f>
        <v>1</v>
      </c>
      <c r="M61" s="21">
        <f>M60+7</f>
        <v>44568</v>
      </c>
      <c r="N61" s="10" t="s">
        <v>24</v>
      </c>
      <c r="O61" s="25">
        <v>0</v>
      </c>
      <c r="P61" s="25">
        <v>10</v>
      </c>
      <c r="Q61" s="25">
        <v>10</v>
      </c>
      <c r="R61" s="25">
        <v>0</v>
      </c>
      <c r="S61" s="25">
        <v>10</v>
      </c>
      <c r="T61" s="25">
        <v>0</v>
      </c>
      <c r="U61" s="25"/>
      <c r="V61" s="87">
        <f t="shared" si="8"/>
        <v>30</v>
      </c>
    </row>
    <row r="62" spans="1:29">
      <c r="C62" s="12">
        <f t="shared" ca="1" si="28"/>
        <v>1</v>
      </c>
      <c r="D62" s="22">
        <f t="shared" ref="D62:D93" si="36">IF(M62="","",M62)</f>
        <v>44575</v>
      </c>
      <c r="E62" s="26">
        <f t="shared" ref="E62:H70" si="37">IF(O62="","",IF(O62=0,1,0))</f>
        <v>0</v>
      </c>
      <c r="F62" s="26">
        <f t="shared" si="37"/>
        <v>1</v>
      </c>
      <c r="G62" s="26">
        <f t="shared" si="37"/>
        <v>1</v>
      </c>
      <c r="H62" s="26">
        <f t="shared" si="37"/>
        <v>0</v>
      </c>
      <c r="I62" s="26">
        <f t="shared" si="13"/>
        <v>0</v>
      </c>
      <c r="J62" s="26">
        <f t="shared" si="13"/>
        <v>1</v>
      </c>
      <c r="M62" s="21">
        <f>M61+7</f>
        <v>44575</v>
      </c>
      <c r="N62" s="10" t="s">
        <v>24</v>
      </c>
      <c r="O62" s="25">
        <v>10</v>
      </c>
      <c r="P62" s="25">
        <v>0</v>
      </c>
      <c r="Q62" s="25">
        <v>0</v>
      </c>
      <c r="R62" s="25">
        <v>10</v>
      </c>
      <c r="S62" s="25">
        <v>10</v>
      </c>
      <c r="T62" s="25">
        <v>0</v>
      </c>
      <c r="U62" s="25"/>
      <c r="V62" s="87">
        <f t="shared" si="8"/>
        <v>30</v>
      </c>
    </row>
    <row r="63" spans="1:29">
      <c r="C63" s="12">
        <f t="shared" ref="C63:C78" ca="1" si="38">IF(D63&lt;=TODAY(),1,"")</f>
        <v>1</v>
      </c>
      <c r="D63" s="22">
        <f t="shared" si="36"/>
        <v>44582</v>
      </c>
      <c r="E63" s="26">
        <f t="shared" si="37"/>
        <v>1</v>
      </c>
      <c r="F63" s="26">
        <f t="shared" si="37"/>
        <v>1</v>
      </c>
      <c r="G63" s="26">
        <f t="shared" si="37"/>
        <v>1</v>
      </c>
      <c r="H63" s="26">
        <f t="shared" si="37"/>
        <v>1</v>
      </c>
      <c r="I63" s="26">
        <f t="shared" si="13"/>
        <v>1</v>
      </c>
      <c r="J63" s="26">
        <f t="shared" si="13"/>
        <v>1</v>
      </c>
      <c r="M63" s="21">
        <f>M62+7</f>
        <v>44582</v>
      </c>
      <c r="N63" s="10" t="s">
        <v>24</v>
      </c>
      <c r="O63" s="25">
        <v>0</v>
      </c>
      <c r="P63" s="25">
        <v>0</v>
      </c>
      <c r="Q63" s="25">
        <v>0</v>
      </c>
      <c r="R63" s="25">
        <v>0</v>
      </c>
      <c r="S63" s="25">
        <v>0</v>
      </c>
      <c r="T63" s="25">
        <v>0</v>
      </c>
      <c r="U63" s="25"/>
      <c r="V63" s="87">
        <f t="shared" si="8"/>
        <v>0</v>
      </c>
    </row>
    <row r="64" spans="1:29" ht="16.5" customHeight="1">
      <c r="B64" s="6"/>
      <c r="C64" s="76"/>
      <c r="D64" s="77"/>
      <c r="E64" s="77"/>
      <c r="F64" s="77"/>
      <c r="G64" s="77" t="str">
        <f>IF(Q64="","",IF(Q64=0,1,0))</f>
        <v/>
      </c>
      <c r="H64" s="77"/>
      <c r="I64" s="77" t="str">
        <f t="shared" si="13"/>
        <v/>
      </c>
      <c r="J64" s="2"/>
      <c r="L64" s="6"/>
      <c r="M64" s="21">
        <f t="shared" ref="M64" si="39">M63+7</f>
        <v>44589</v>
      </c>
      <c r="N64" s="10" t="s">
        <v>286</v>
      </c>
      <c r="O64" s="25"/>
      <c r="P64" s="25">
        <v>5</v>
      </c>
      <c r="Q64" s="25"/>
      <c r="R64" s="25"/>
      <c r="S64" s="25"/>
      <c r="T64" s="25"/>
      <c r="U64" s="25"/>
      <c r="V64" s="87">
        <f t="shared" si="8"/>
        <v>5</v>
      </c>
    </row>
    <row r="65" spans="3:22">
      <c r="C65" s="12">
        <f t="shared" ca="1" si="38"/>
        <v>1</v>
      </c>
      <c r="D65" s="22">
        <f t="shared" si="36"/>
        <v>44589</v>
      </c>
      <c r="E65" s="26">
        <f t="shared" si="37"/>
        <v>1</v>
      </c>
      <c r="F65" s="26">
        <f t="shared" si="37"/>
        <v>0</v>
      </c>
      <c r="G65" s="26">
        <f t="shared" si="37"/>
        <v>1</v>
      </c>
      <c r="H65" s="26">
        <f t="shared" si="37"/>
        <v>0</v>
      </c>
      <c r="I65" s="26">
        <f t="shared" si="13"/>
        <v>1</v>
      </c>
      <c r="J65" s="26">
        <f t="shared" si="13"/>
        <v>1</v>
      </c>
      <c r="M65" s="21">
        <f>M64</f>
        <v>44589</v>
      </c>
      <c r="N65" s="10" t="s">
        <v>24</v>
      </c>
      <c r="O65" s="25">
        <v>0</v>
      </c>
      <c r="P65" s="25">
        <v>10</v>
      </c>
      <c r="Q65" s="25">
        <v>0</v>
      </c>
      <c r="R65" s="25">
        <v>10</v>
      </c>
      <c r="S65" s="25">
        <v>0</v>
      </c>
      <c r="T65" s="25">
        <v>0</v>
      </c>
      <c r="U65" s="25"/>
      <c r="V65" s="87">
        <f t="shared" si="8"/>
        <v>20</v>
      </c>
    </row>
    <row r="66" spans="3:22">
      <c r="C66" s="12">
        <f t="shared" ca="1" si="38"/>
        <v>1</v>
      </c>
      <c r="D66" s="22">
        <f t="shared" si="36"/>
        <v>44596</v>
      </c>
      <c r="E66" s="26">
        <f t="shared" si="37"/>
        <v>1</v>
      </c>
      <c r="F66" s="26">
        <f t="shared" si="37"/>
        <v>1</v>
      </c>
      <c r="G66" s="26">
        <f t="shared" si="37"/>
        <v>0</v>
      </c>
      <c r="H66" s="26">
        <f t="shared" si="37"/>
        <v>0</v>
      </c>
      <c r="I66" s="26">
        <f t="shared" si="13"/>
        <v>0</v>
      </c>
      <c r="J66" s="26">
        <f t="shared" si="13"/>
        <v>1</v>
      </c>
      <c r="M66" s="21">
        <f>M65+7</f>
        <v>44596</v>
      </c>
      <c r="N66" s="10" t="s">
        <v>24</v>
      </c>
      <c r="O66" s="25">
        <v>0</v>
      </c>
      <c r="P66" s="25">
        <v>0</v>
      </c>
      <c r="Q66" s="25">
        <v>10</v>
      </c>
      <c r="R66" s="25">
        <v>10</v>
      </c>
      <c r="S66" s="25">
        <v>10</v>
      </c>
      <c r="T66" s="25">
        <v>0</v>
      </c>
      <c r="U66" s="25"/>
      <c r="V66" s="87">
        <f t="shared" si="8"/>
        <v>30</v>
      </c>
    </row>
    <row r="67" spans="3:22">
      <c r="C67" s="12">
        <f t="shared" ca="1" si="38"/>
        <v>1</v>
      </c>
      <c r="D67" s="22">
        <f t="shared" si="36"/>
        <v>44603</v>
      </c>
      <c r="E67" s="26">
        <f t="shared" si="37"/>
        <v>1</v>
      </c>
      <c r="F67" s="26">
        <f t="shared" si="37"/>
        <v>1</v>
      </c>
      <c r="G67" s="26">
        <f t="shared" si="37"/>
        <v>1</v>
      </c>
      <c r="H67" s="26">
        <f t="shared" si="37"/>
        <v>0</v>
      </c>
      <c r="I67" s="26">
        <f t="shared" si="13"/>
        <v>1</v>
      </c>
      <c r="J67" s="26">
        <f t="shared" si="13"/>
        <v>1</v>
      </c>
      <c r="M67" s="21">
        <f>M66+7</f>
        <v>44603</v>
      </c>
      <c r="N67" s="10" t="s">
        <v>24</v>
      </c>
      <c r="O67" s="25">
        <v>0</v>
      </c>
      <c r="P67" s="25">
        <v>0</v>
      </c>
      <c r="Q67" s="25">
        <v>0</v>
      </c>
      <c r="R67" s="25">
        <v>10</v>
      </c>
      <c r="S67" s="25">
        <v>0</v>
      </c>
      <c r="T67" s="25">
        <v>0</v>
      </c>
      <c r="U67" s="25"/>
      <c r="V67" s="87">
        <f t="shared" si="8"/>
        <v>10</v>
      </c>
    </row>
    <row r="68" spans="3:22">
      <c r="C68" s="12">
        <f t="shared" ca="1" si="38"/>
        <v>1</v>
      </c>
      <c r="D68" s="22">
        <f t="shared" si="36"/>
        <v>44610</v>
      </c>
      <c r="E68" s="26">
        <f t="shared" si="37"/>
        <v>1</v>
      </c>
      <c r="F68" s="26">
        <f t="shared" si="37"/>
        <v>0</v>
      </c>
      <c r="G68" s="26">
        <f t="shared" si="37"/>
        <v>1</v>
      </c>
      <c r="H68" s="26">
        <f t="shared" si="37"/>
        <v>0</v>
      </c>
      <c r="I68" s="26">
        <f t="shared" si="13"/>
        <v>1</v>
      </c>
      <c r="J68" s="26">
        <f t="shared" si="13"/>
        <v>1</v>
      </c>
      <c r="M68" s="21">
        <f>M67+7</f>
        <v>44610</v>
      </c>
      <c r="N68" s="10" t="s">
        <v>24</v>
      </c>
      <c r="O68" s="25">
        <v>0</v>
      </c>
      <c r="P68" s="25">
        <v>10</v>
      </c>
      <c r="Q68" s="25">
        <v>0</v>
      </c>
      <c r="R68" s="25">
        <v>10</v>
      </c>
      <c r="S68" s="25">
        <v>0</v>
      </c>
      <c r="T68" s="25">
        <v>0</v>
      </c>
      <c r="U68" s="25"/>
      <c r="V68" s="87">
        <f t="shared" si="8"/>
        <v>20</v>
      </c>
    </row>
    <row r="69" spans="3:22">
      <c r="C69" s="12">
        <f t="shared" ca="1" si="38"/>
        <v>1</v>
      </c>
      <c r="D69" s="22">
        <f t="shared" si="36"/>
        <v>44617</v>
      </c>
      <c r="E69" s="26">
        <f t="shared" si="13"/>
        <v>0</v>
      </c>
      <c r="F69" s="26">
        <f t="shared" si="13"/>
        <v>0</v>
      </c>
      <c r="G69" s="26">
        <f t="shared" si="13"/>
        <v>1</v>
      </c>
      <c r="H69" s="26">
        <f t="shared" si="13"/>
        <v>1</v>
      </c>
      <c r="I69" s="26">
        <f t="shared" si="13"/>
        <v>1</v>
      </c>
      <c r="J69" s="26">
        <f t="shared" si="13"/>
        <v>1</v>
      </c>
      <c r="M69" s="21">
        <f>M68+7</f>
        <v>44617</v>
      </c>
      <c r="N69" s="10" t="s">
        <v>24</v>
      </c>
      <c r="O69" s="25">
        <v>10</v>
      </c>
      <c r="P69" s="25">
        <v>10</v>
      </c>
      <c r="Q69" s="25">
        <v>0</v>
      </c>
      <c r="R69" s="25">
        <v>0</v>
      </c>
      <c r="S69" s="25">
        <v>0</v>
      </c>
      <c r="T69" s="25">
        <v>0</v>
      </c>
      <c r="U69" s="25"/>
      <c r="V69" s="87">
        <f t="shared" si="8"/>
        <v>20</v>
      </c>
    </row>
    <row r="70" spans="3:22">
      <c r="C70" s="12">
        <f t="shared" ca="1" si="38"/>
        <v>1</v>
      </c>
      <c r="D70" s="22">
        <f t="shared" si="36"/>
        <v>44624</v>
      </c>
      <c r="E70" s="26">
        <f t="shared" si="37"/>
        <v>0</v>
      </c>
      <c r="F70" s="26">
        <f t="shared" si="13"/>
        <v>1</v>
      </c>
      <c r="G70" s="26">
        <f t="shared" si="13"/>
        <v>0</v>
      </c>
      <c r="H70" s="26">
        <f t="shared" si="13"/>
        <v>0</v>
      </c>
      <c r="I70" s="26">
        <f t="shared" si="13"/>
        <v>1</v>
      </c>
      <c r="J70" s="26">
        <f t="shared" si="13"/>
        <v>1</v>
      </c>
      <c r="M70" s="21">
        <f t="shared" ref="M70:M71" si="40">M69+7</f>
        <v>44624</v>
      </c>
      <c r="N70" s="10" t="s">
        <v>24</v>
      </c>
      <c r="O70" s="25">
        <v>10</v>
      </c>
      <c r="P70" s="25">
        <v>0</v>
      </c>
      <c r="Q70" s="25">
        <v>10</v>
      </c>
      <c r="R70" s="25">
        <v>10</v>
      </c>
      <c r="S70" s="25">
        <v>0</v>
      </c>
      <c r="T70" s="25">
        <v>0</v>
      </c>
      <c r="U70" s="25"/>
      <c r="V70" s="87">
        <f t="shared" si="8"/>
        <v>30</v>
      </c>
    </row>
    <row r="71" spans="3:22">
      <c r="C71" s="12">
        <f t="shared" ca="1" si="38"/>
        <v>1</v>
      </c>
      <c r="D71" s="22">
        <f t="shared" si="36"/>
        <v>44631</v>
      </c>
      <c r="E71" s="26">
        <f t="shared" si="13"/>
        <v>1</v>
      </c>
      <c r="F71" s="26">
        <f t="shared" si="13"/>
        <v>1</v>
      </c>
      <c r="G71" s="26">
        <f t="shared" si="13"/>
        <v>1</v>
      </c>
      <c r="H71" s="26">
        <f t="shared" si="13"/>
        <v>0</v>
      </c>
      <c r="I71" s="26">
        <f t="shared" si="13"/>
        <v>1</v>
      </c>
      <c r="J71" s="26">
        <f t="shared" si="13"/>
        <v>1</v>
      </c>
      <c r="M71" s="21">
        <f t="shared" si="40"/>
        <v>44631</v>
      </c>
      <c r="N71" s="10" t="s">
        <v>24</v>
      </c>
      <c r="O71" s="25">
        <v>0</v>
      </c>
      <c r="P71" s="25">
        <v>0</v>
      </c>
      <c r="Q71" s="25">
        <v>0</v>
      </c>
      <c r="R71" s="25">
        <v>10</v>
      </c>
      <c r="S71" s="25">
        <v>0</v>
      </c>
      <c r="T71" s="25">
        <v>0</v>
      </c>
      <c r="U71" s="25"/>
      <c r="V71" s="87">
        <f t="shared" si="8"/>
        <v>10</v>
      </c>
    </row>
    <row r="72" spans="3:22">
      <c r="C72" s="12" t="str">
        <f t="shared" ca="1" si="38"/>
        <v/>
      </c>
      <c r="D72" s="22" t="str">
        <f t="shared" si="36"/>
        <v/>
      </c>
      <c r="E72" s="26" t="str">
        <f t="shared" si="13"/>
        <v/>
      </c>
      <c r="F72" s="26" t="str">
        <f t="shared" si="13"/>
        <v/>
      </c>
      <c r="G72" s="26" t="str">
        <f t="shared" si="13"/>
        <v/>
      </c>
      <c r="H72" s="26" t="str">
        <f t="shared" si="13"/>
        <v/>
      </c>
      <c r="I72" s="26" t="str">
        <f t="shared" si="13"/>
        <v/>
      </c>
      <c r="J72" s="26" t="str">
        <f t="shared" si="13"/>
        <v/>
      </c>
      <c r="M72" s="21"/>
      <c r="N72" s="10"/>
      <c r="O72" s="25"/>
      <c r="P72" s="25"/>
      <c r="Q72" s="25"/>
      <c r="R72" s="25"/>
      <c r="S72" s="25"/>
      <c r="T72" s="25"/>
      <c r="U72" s="25"/>
    </row>
    <row r="73" spans="3:22">
      <c r="C73" s="12" t="str">
        <f t="shared" ca="1" si="38"/>
        <v/>
      </c>
      <c r="D73" s="22" t="str">
        <f t="shared" si="36"/>
        <v/>
      </c>
      <c r="E73" s="26" t="str">
        <f t="shared" si="13"/>
        <v/>
      </c>
      <c r="F73" s="26" t="str">
        <f t="shared" si="13"/>
        <v/>
      </c>
      <c r="G73" s="26" t="str">
        <f t="shared" si="13"/>
        <v/>
      </c>
      <c r="H73" s="26" t="str">
        <f t="shared" si="13"/>
        <v/>
      </c>
      <c r="I73" s="26" t="str">
        <f t="shared" si="13"/>
        <v/>
      </c>
      <c r="J73" s="26" t="str">
        <f t="shared" si="13"/>
        <v/>
      </c>
      <c r="M73" s="21"/>
      <c r="N73" s="10"/>
      <c r="O73" s="25"/>
      <c r="P73" s="25"/>
      <c r="Q73" s="25"/>
      <c r="R73" s="25"/>
      <c r="S73" s="25"/>
      <c r="T73" s="25"/>
      <c r="U73" s="25"/>
    </row>
    <row r="74" spans="3:22">
      <c r="C74" s="12" t="str">
        <f ca="1">IF(D74&lt;=TODAY(),1,"")</f>
        <v/>
      </c>
      <c r="D74" s="22" t="str">
        <f t="shared" si="36"/>
        <v/>
      </c>
      <c r="E74" s="26" t="str">
        <f t="shared" si="13"/>
        <v/>
      </c>
      <c r="F74" s="26" t="str">
        <f t="shared" si="13"/>
        <v/>
      </c>
      <c r="G74" s="26" t="str">
        <f t="shared" si="13"/>
        <v/>
      </c>
      <c r="H74" s="26" t="str">
        <f t="shared" si="13"/>
        <v/>
      </c>
      <c r="I74" s="26" t="str">
        <f t="shared" si="13"/>
        <v/>
      </c>
      <c r="J74" s="26" t="str">
        <f t="shared" si="13"/>
        <v/>
      </c>
      <c r="M74" s="21"/>
      <c r="N74" s="10"/>
      <c r="O74" s="25"/>
      <c r="P74" s="25"/>
      <c r="Q74" s="25"/>
      <c r="R74" s="25"/>
      <c r="S74" s="25"/>
      <c r="T74" s="25"/>
      <c r="U74" s="25"/>
    </row>
    <row r="75" spans="3:22">
      <c r="C75" s="12" t="str">
        <f ca="1">IF(D75&lt;=TODAY(),1,"")</f>
        <v/>
      </c>
      <c r="D75" s="22" t="str">
        <f t="shared" si="36"/>
        <v/>
      </c>
      <c r="E75" s="26" t="str">
        <f t="shared" si="13"/>
        <v/>
      </c>
      <c r="F75" s="26" t="str">
        <f t="shared" si="13"/>
        <v/>
      </c>
      <c r="G75" s="26" t="str">
        <f t="shared" si="13"/>
        <v/>
      </c>
      <c r="H75" s="26" t="str">
        <f t="shared" si="13"/>
        <v/>
      </c>
      <c r="I75" s="26" t="str">
        <f t="shared" si="13"/>
        <v/>
      </c>
      <c r="J75" s="26" t="str">
        <f t="shared" si="13"/>
        <v/>
      </c>
      <c r="M75" s="21"/>
      <c r="N75" s="10"/>
      <c r="O75" s="25"/>
      <c r="P75" s="25"/>
      <c r="Q75" s="25"/>
      <c r="R75" s="25"/>
      <c r="S75" s="25"/>
      <c r="T75" s="25"/>
      <c r="U75" s="25"/>
    </row>
    <row r="76" spans="3:22">
      <c r="C76" s="12" t="str">
        <f t="shared" ca="1" si="38"/>
        <v/>
      </c>
      <c r="D76" s="22" t="str">
        <f t="shared" si="36"/>
        <v/>
      </c>
      <c r="E76" s="26" t="str">
        <f t="shared" si="13"/>
        <v/>
      </c>
      <c r="F76" s="26" t="str">
        <f t="shared" si="13"/>
        <v/>
      </c>
      <c r="G76" s="26" t="str">
        <f t="shared" si="13"/>
        <v/>
      </c>
      <c r="H76" s="26" t="str">
        <f t="shared" si="13"/>
        <v/>
      </c>
      <c r="I76" s="26" t="str">
        <f t="shared" si="13"/>
        <v/>
      </c>
      <c r="J76" s="26" t="str">
        <f t="shared" si="13"/>
        <v/>
      </c>
      <c r="M76" s="21"/>
      <c r="N76" s="10"/>
      <c r="O76" s="25"/>
      <c r="P76" s="25"/>
      <c r="Q76" s="25"/>
      <c r="R76" s="25"/>
      <c r="S76" s="25"/>
      <c r="T76" s="136"/>
      <c r="U76" s="25"/>
    </row>
    <row r="77" spans="3:22">
      <c r="C77" s="12" t="str">
        <f t="shared" ca="1" si="38"/>
        <v/>
      </c>
      <c r="D77" s="22" t="str">
        <f t="shared" si="36"/>
        <v/>
      </c>
      <c r="E77" s="26" t="str">
        <f>IF(O77="","",IF(O77=0,1,0))</f>
        <v/>
      </c>
      <c r="F77" s="26" t="str">
        <f t="shared" si="13"/>
        <v/>
      </c>
      <c r="G77" s="26" t="str">
        <f t="shared" si="13"/>
        <v/>
      </c>
      <c r="H77" s="26" t="str">
        <f t="shared" si="13"/>
        <v/>
      </c>
      <c r="I77" s="26" t="str">
        <f t="shared" si="13"/>
        <v/>
      </c>
      <c r="J77" s="26" t="str">
        <f t="shared" si="13"/>
        <v/>
      </c>
      <c r="M77" s="21"/>
      <c r="N77" s="10"/>
      <c r="O77" s="25"/>
      <c r="P77" s="25"/>
      <c r="Q77" s="25"/>
      <c r="R77" s="25"/>
      <c r="S77" s="25"/>
      <c r="T77" s="25"/>
      <c r="U77" s="25"/>
    </row>
    <row r="78" spans="3:22">
      <c r="C78" s="12" t="str">
        <f t="shared" ca="1" si="38"/>
        <v/>
      </c>
      <c r="D78" s="22" t="str">
        <f t="shared" si="36"/>
        <v/>
      </c>
      <c r="E78" s="26" t="str">
        <f t="shared" ref="E78:J92" si="41">IF(O78="","",IF(O78=0,1,0))</f>
        <v/>
      </c>
      <c r="F78" s="26" t="str">
        <f t="shared" si="13"/>
        <v/>
      </c>
      <c r="G78" s="26" t="str">
        <f t="shared" si="13"/>
        <v/>
      </c>
      <c r="H78" s="26" t="str">
        <f t="shared" si="13"/>
        <v/>
      </c>
      <c r="I78" s="26" t="str">
        <f t="shared" si="13"/>
        <v/>
      </c>
      <c r="J78" s="26" t="str">
        <f t="shared" si="13"/>
        <v/>
      </c>
      <c r="M78" s="21"/>
      <c r="N78" s="10"/>
      <c r="O78" s="25"/>
      <c r="P78" s="25"/>
      <c r="Q78" s="25"/>
      <c r="R78" s="25"/>
      <c r="S78" s="25"/>
      <c r="T78" s="25"/>
      <c r="U78" s="25"/>
    </row>
    <row r="79" spans="3:22">
      <c r="C79" s="12" t="str">
        <f t="shared" ref="C79:C92" ca="1" si="42">IF(D79&lt;=TODAY(),1,"")</f>
        <v/>
      </c>
      <c r="D79" s="22" t="str">
        <f t="shared" si="36"/>
        <v/>
      </c>
      <c r="E79" s="26" t="str">
        <f t="shared" si="41"/>
        <v/>
      </c>
      <c r="F79" s="26" t="str">
        <f t="shared" si="13"/>
        <v/>
      </c>
      <c r="G79" s="26" t="str">
        <f t="shared" si="13"/>
        <v/>
      </c>
      <c r="H79" s="26" t="str">
        <f t="shared" si="13"/>
        <v/>
      </c>
      <c r="I79" s="26" t="str">
        <f t="shared" si="13"/>
        <v/>
      </c>
      <c r="J79" s="26" t="str">
        <f t="shared" si="13"/>
        <v/>
      </c>
      <c r="M79" s="21"/>
      <c r="N79" s="10"/>
      <c r="O79" s="25"/>
      <c r="P79" s="25"/>
      <c r="Q79" s="25"/>
      <c r="R79" s="25"/>
      <c r="S79" s="25"/>
      <c r="T79" s="25"/>
      <c r="U79" s="25"/>
    </row>
    <row r="80" spans="3:22">
      <c r="C80" s="12" t="str">
        <f t="shared" ca="1" si="42"/>
        <v/>
      </c>
      <c r="D80" s="22" t="str">
        <f t="shared" si="36"/>
        <v/>
      </c>
      <c r="E80" s="26" t="str">
        <f t="shared" si="41"/>
        <v/>
      </c>
      <c r="F80" s="26" t="str">
        <f t="shared" si="13"/>
        <v/>
      </c>
      <c r="G80" s="26" t="str">
        <f t="shared" si="13"/>
        <v/>
      </c>
      <c r="H80" s="26" t="str">
        <f t="shared" si="13"/>
        <v/>
      </c>
      <c r="I80" s="26" t="str">
        <f t="shared" si="13"/>
        <v/>
      </c>
      <c r="J80" s="26" t="str">
        <f t="shared" si="13"/>
        <v/>
      </c>
      <c r="M80" s="21"/>
      <c r="N80" s="10"/>
      <c r="O80" s="25"/>
      <c r="P80" s="25"/>
      <c r="Q80" s="25"/>
      <c r="R80" s="25"/>
      <c r="S80" s="25"/>
      <c r="T80" s="25"/>
      <c r="U80" s="25"/>
    </row>
    <row r="81" spans="3:21">
      <c r="C81" s="12" t="str">
        <f t="shared" ca="1" si="42"/>
        <v/>
      </c>
      <c r="D81" s="22" t="str">
        <f t="shared" si="36"/>
        <v/>
      </c>
      <c r="E81" s="26" t="str">
        <f t="shared" si="41"/>
        <v/>
      </c>
      <c r="F81" s="26" t="str">
        <f t="shared" si="13"/>
        <v/>
      </c>
      <c r="G81" s="26" t="str">
        <f t="shared" si="13"/>
        <v/>
      </c>
      <c r="H81" s="26" t="str">
        <f t="shared" si="13"/>
        <v/>
      </c>
      <c r="I81" s="26" t="str">
        <f t="shared" si="13"/>
        <v/>
      </c>
      <c r="J81" s="26" t="str">
        <f t="shared" si="13"/>
        <v/>
      </c>
      <c r="M81" s="21"/>
      <c r="N81" s="10"/>
      <c r="O81" s="25"/>
      <c r="P81" s="25"/>
      <c r="Q81" s="25"/>
      <c r="R81" s="25"/>
      <c r="S81" s="25"/>
      <c r="T81" s="25"/>
      <c r="U81" s="25"/>
    </row>
    <row r="82" spans="3:21">
      <c r="C82" s="12" t="str">
        <f t="shared" ca="1" si="42"/>
        <v/>
      </c>
      <c r="D82" s="22" t="str">
        <f t="shared" si="36"/>
        <v/>
      </c>
      <c r="E82" s="26" t="str">
        <f t="shared" si="41"/>
        <v/>
      </c>
      <c r="F82" s="26" t="str">
        <f t="shared" si="13"/>
        <v/>
      </c>
      <c r="G82" s="26" t="str">
        <f t="shared" si="13"/>
        <v/>
      </c>
      <c r="H82" s="26" t="str">
        <f t="shared" si="13"/>
        <v/>
      </c>
      <c r="I82" s="26" t="str">
        <f t="shared" si="13"/>
        <v/>
      </c>
      <c r="J82" s="26" t="str">
        <f t="shared" si="13"/>
        <v/>
      </c>
      <c r="M82" s="21"/>
      <c r="N82" s="10"/>
      <c r="O82" s="25"/>
      <c r="P82" s="25"/>
      <c r="Q82" s="25"/>
      <c r="R82" s="25"/>
      <c r="S82" s="25"/>
      <c r="T82" s="25"/>
      <c r="U82" s="25"/>
    </row>
    <row r="83" spans="3:21">
      <c r="C83" s="12" t="str">
        <f t="shared" ca="1" si="42"/>
        <v/>
      </c>
      <c r="D83" s="22" t="str">
        <f t="shared" si="36"/>
        <v/>
      </c>
      <c r="E83" s="26" t="str">
        <f t="shared" si="41"/>
        <v/>
      </c>
      <c r="F83" s="26" t="str">
        <f t="shared" si="13"/>
        <v/>
      </c>
      <c r="G83" s="26" t="str">
        <f t="shared" si="13"/>
        <v/>
      </c>
      <c r="H83" s="26" t="str">
        <f t="shared" si="13"/>
        <v/>
      </c>
      <c r="I83" s="26" t="str">
        <f t="shared" si="13"/>
        <v/>
      </c>
      <c r="J83" s="26" t="str">
        <f t="shared" si="13"/>
        <v/>
      </c>
      <c r="M83" s="21"/>
      <c r="N83" s="10"/>
      <c r="O83" s="25"/>
      <c r="P83" s="25"/>
      <c r="Q83" s="25"/>
      <c r="R83" s="25"/>
      <c r="S83" s="25"/>
      <c r="T83" s="25"/>
    </row>
    <row r="84" spans="3:21">
      <c r="C84" s="12" t="str">
        <f t="shared" ca="1" si="42"/>
        <v/>
      </c>
      <c r="D84" s="22" t="str">
        <f t="shared" si="36"/>
        <v/>
      </c>
      <c r="E84" s="26" t="str">
        <f t="shared" si="41"/>
        <v/>
      </c>
      <c r="F84" s="26" t="str">
        <f t="shared" si="13"/>
        <v/>
      </c>
      <c r="G84" s="26" t="str">
        <f t="shared" si="13"/>
        <v/>
      </c>
      <c r="H84" s="26" t="str">
        <f t="shared" si="13"/>
        <v/>
      </c>
      <c r="I84" s="26" t="str">
        <f t="shared" si="13"/>
        <v/>
      </c>
      <c r="J84" s="26" t="str">
        <f t="shared" si="13"/>
        <v/>
      </c>
      <c r="M84" s="21"/>
      <c r="N84" s="10"/>
      <c r="O84" s="25"/>
      <c r="P84" s="25"/>
      <c r="Q84" s="25"/>
      <c r="R84" s="25"/>
      <c r="S84" s="25"/>
      <c r="T84" s="25"/>
    </row>
    <row r="85" spans="3:21">
      <c r="C85" s="12" t="str">
        <f t="shared" ca="1" si="42"/>
        <v/>
      </c>
      <c r="D85" s="22" t="str">
        <f t="shared" si="36"/>
        <v/>
      </c>
      <c r="E85" s="26" t="str">
        <f t="shared" si="41"/>
        <v/>
      </c>
      <c r="F85" s="26" t="str">
        <f t="shared" si="13"/>
        <v/>
      </c>
      <c r="G85" s="26" t="str">
        <f t="shared" si="13"/>
        <v/>
      </c>
      <c r="H85" s="26" t="str">
        <f t="shared" si="13"/>
        <v/>
      </c>
      <c r="I85" s="26" t="str">
        <f t="shared" si="13"/>
        <v/>
      </c>
      <c r="J85" s="26" t="str">
        <f t="shared" si="13"/>
        <v/>
      </c>
      <c r="M85" s="21"/>
      <c r="N85" s="10"/>
      <c r="O85" s="25"/>
      <c r="P85" s="25"/>
      <c r="Q85" s="25"/>
      <c r="R85" s="25"/>
      <c r="S85" s="25"/>
      <c r="T85" s="25"/>
    </row>
    <row r="86" spans="3:21">
      <c r="C86" s="12" t="str">
        <f t="shared" ca="1" si="42"/>
        <v/>
      </c>
      <c r="D86" s="22" t="str">
        <f t="shared" si="36"/>
        <v/>
      </c>
      <c r="E86" s="26" t="str">
        <f t="shared" si="41"/>
        <v/>
      </c>
      <c r="F86" s="26" t="str">
        <f t="shared" si="13"/>
        <v/>
      </c>
      <c r="G86" s="26" t="str">
        <f t="shared" si="13"/>
        <v/>
      </c>
      <c r="H86" s="26" t="str">
        <f t="shared" si="13"/>
        <v/>
      </c>
      <c r="I86" s="26" t="str">
        <f t="shared" si="13"/>
        <v/>
      </c>
      <c r="J86" s="26" t="str">
        <f t="shared" si="13"/>
        <v/>
      </c>
      <c r="M86" s="21"/>
      <c r="N86" s="10"/>
      <c r="O86" s="25"/>
      <c r="P86" s="25"/>
      <c r="Q86" s="25"/>
      <c r="R86" s="25"/>
      <c r="S86" s="25"/>
      <c r="T86" s="25"/>
    </row>
    <row r="87" spans="3:21">
      <c r="C87" s="12" t="str">
        <f t="shared" ca="1" si="42"/>
        <v/>
      </c>
      <c r="D87" s="22" t="str">
        <f t="shared" si="36"/>
        <v/>
      </c>
      <c r="E87" s="26" t="str">
        <f t="shared" si="41"/>
        <v/>
      </c>
      <c r="F87" s="26" t="str">
        <f t="shared" si="13"/>
        <v/>
      </c>
      <c r="G87" s="26" t="str">
        <f t="shared" si="13"/>
        <v/>
      </c>
      <c r="H87" s="26" t="str">
        <f t="shared" si="13"/>
        <v/>
      </c>
      <c r="I87" s="26" t="str">
        <f t="shared" si="13"/>
        <v/>
      </c>
      <c r="J87" s="26" t="str">
        <f t="shared" si="13"/>
        <v/>
      </c>
      <c r="M87" s="21"/>
      <c r="N87" s="10"/>
      <c r="O87" s="25"/>
      <c r="P87" s="25"/>
      <c r="Q87" s="25"/>
      <c r="R87" s="25"/>
      <c r="S87" s="25"/>
      <c r="T87" s="25"/>
    </row>
    <row r="88" spans="3:21">
      <c r="C88" s="12" t="str">
        <f t="shared" ca="1" si="42"/>
        <v/>
      </c>
      <c r="D88" s="22" t="str">
        <f t="shared" si="36"/>
        <v/>
      </c>
      <c r="E88" s="26" t="str">
        <f t="shared" si="41"/>
        <v/>
      </c>
      <c r="F88" s="26" t="str">
        <f t="shared" si="13"/>
        <v/>
      </c>
      <c r="G88" s="26" t="str">
        <f t="shared" si="13"/>
        <v/>
      </c>
      <c r="H88" s="26" t="str">
        <f t="shared" si="13"/>
        <v/>
      </c>
      <c r="I88" s="26" t="str">
        <f t="shared" si="13"/>
        <v/>
      </c>
      <c r="J88" s="26" t="str">
        <f t="shared" si="13"/>
        <v/>
      </c>
      <c r="M88" s="21"/>
      <c r="N88" s="10"/>
      <c r="O88" s="25"/>
      <c r="P88" s="25"/>
      <c r="Q88" s="25"/>
      <c r="R88" s="25"/>
      <c r="S88" s="25"/>
      <c r="T88" s="25"/>
    </row>
    <row r="89" spans="3:21">
      <c r="C89" s="12" t="str">
        <f t="shared" ca="1" si="42"/>
        <v/>
      </c>
      <c r="D89" s="22" t="str">
        <f t="shared" si="36"/>
        <v/>
      </c>
      <c r="E89" s="26" t="str">
        <f t="shared" si="41"/>
        <v/>
      </c>
      <c r="F89" s="26" t="str">
        <f t="shared" si="13"/>
        <v/>
      </c>
      <c r="G89" s="26" t="str">
        <f t="shared" si="13"/>
        <v/>
      </c>
      <c r="H89" s="26" t="str">
        <f t="shared" si="13"/>
        <v/>
      </c>
      <c r="I89" s="26" t="str">
        <f t="shared" si="13"/>
        <v/>
      </c>
      <c r="J89" s="26" t="str">
        <f t="shared" si="13"/>
        <v/>
      </c>
      <c r="M89" s="21"/>
      <c r="N89" s="10"/>
      <c r="O89" s="25"/>
      <c r="P89" s="25"/>
      <c r="Q89" s="25"/>
      <c r="R89" s="25"/>
      <c r="S89" s="25"/>
      <c r="T89" s="25"/>
    </row>
    <row r="90" spans="3:21">
      <c r="C90" s="12" t="str">
        <f t="shared" ca="1" si="42"/>
        <v/>
      </c>
      <c r="D90" s="22" t="str">
        <f t="shared" si="36"/>
        <v/>
      </c>
      <c r="E90" s="26" t="str">
        <f t="shared" si="41"/>
        <v/>
      </c>
      <c r="F90" s="26" t="str">
        <f t="shared" si="41"/>
        <v/>
      </c>
      <c r="G90" s="26" t="str">
        <f t="shared" si="41"/>
        <v/>
      </c>
      <c r="H90" s="26" t="str">
        <f t="shared" si="41"/>
        <v/>
      </c>
      <c r="I90" s="26" t="str">
        <f t="shared" si="41"/>
        <v/>
      </c>
      <c r="J90" s="26" t="str">
        <f t="shared" si="41"/>
        <v/>
      </c>
      <c r="M90" s="21"/>
      <c r="N90" s="10"/>
      <c r="O90" s="25"/>
      <c r="P90" s="25"/>
      <c r="Q90" s="25"/>
      <c r="R90" s="25"/>
      <c r="S90" s="25"/>
      <c r="T90" s="25"/>
    </row>
    <row r="91" spans="3:21">
      <c r="C91" s="12" t="str">
        <f t="shared" ca="1" si="42"/>
        <v/>
      </c>
      <c r="D91" s="22" t="str">
        <f t="shared" si="36"/>
        <v/>
      </c>
      <c r="E91" s="26" t="str">
        <f t="shared" si="41"/>
        <v/>
      </c>
      <c r="F91" s="26" t="str">
        <f t="shared" si="41"/>
        <v/>
      </c>
      <c r="G91" s="26" t="str">
        <f t="shared" si="41"/>
        <v/>
      </c>
      <c r="H91" s="26" t="str">
        <f t="shared" si="41"/>
        <v/>
      </c>
      <c r="I91" s="26" t="str">
        <f t="shared" si="41"/>
        <v/>
      </c>
      <c r="J91" s="26" t="str">
        <f t="shared" si="41"/>
        <v/>
      </c>
      <c r="M91" s="21"/>
      <c r="N91" s="10"/>
      <c r="O91" s="25"/>
      <c r="P91" s="25"/>
      <c r="Q91" s="25"/>
      <c r="R91" s="25"/>
      <c r="S91" s="25"/>
      <c r="T91" s="25"/>
    </row>
    <row r="92" spans="3:21">
      <c r="C92" s="12" t="str">
        <f t="shared" ca="1" si="42"/>
        <v/>
      </c>
      <c r="D92" s="22" t="str">
        <f t="shared" si="36"/>
        <v/>
      </c>
      <c r="E92" s="26" t="str">
        <f t="shared" si="41"/>
        <v/>
      </c>
      <c r="F92" s="26"/>
      <c r="G92" s="26" t="str">
        <f t="shared" si="41"/>
        <v/>
      </c>
      <c r="H92" s="26" t="str">
        <f t="shared" si="41"/>
        <v/>
      </c>
      <c r="I92" s="26" t="str">
        <f>IF(S92="","",IF(S92=0,1,0))</f>
        <v/>
      </c>
      <c r="J92" s="26" t="str">
        <f t="shared" si="41"/>
        <v/>
      </c>
      <c r="M92" s="21"/>
      <c r="N92" s="10"/>
      <c r="O92" s="25"/>
      <c r="P92" s="25"/>
      <c r="Q92" s="25"/>
      <c r="R92" s="25"/>
      <c r="S92" s="25"/>
      <c r="T92" s="25"/>
    </row>
    <row r="93" spans="3:21">
      <c r="C93" s="12" t="str">
        <f ca="1">IF(D93&lt;=TODAY(),1,"")</f>
        <v/>
      </c>
      <c r="D93" s="22" t="str">
        <f t="shared" si="36"/>
        <v/>
      </c>
      <c r="E93" s="26" t="str">
        <f>IF(O93="","",IF(O93=0,1,0))</f>
        <v/>
      </c>
      <c r="F93" s="26" t="str">
        <f t="shared" ref="F93:H93" si="43">IF(P93="","",IF(P93=0,1,0))</f>
        <v/>
      </c>
      <c r="G93" s="26" t="str">
        <f>IF(Q93="","",IF(Q93=0,1,0))</f>
        <v/>
      </c>
      <c r="H93" s="26" t="str">
        <f t="shared" si="43"/>
        <v/>
      </c>
      <c r="I93" s="26" t="str">
        <f>IF(S93="","",IF(S93=0,1,0))</f>
        <v/>
      </c>
      <c r="J93" s="26" t="str">
        <f>IF(T93="","",IF(T93=0,1,0))</f>
        <v/>
      </c>
      <c r="M93" s="21"/>
      <c r="N93" s="10"/>
      <c r="O93" s="25"/>
      <c r="P93" s="25"/>
      <c r="Q93" s="25"/>
      <c r="R93" s="25"/>
      <c r="S93" s="25"/>
      <c r="T93"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69:E72">
    <cfRule type="cellIs" dxfId="102" priority="1" operator="equal">
      <formula>0</formula>
    </cfRule>
    <cfRule type="cellIs" dxfId="101" priority="2" operator="equal">
      <formula>1</formula>
    </cfRule>
  </conditionalFormatting>
  <conditionalFormatting sqref="E76">
    <cfRule type="cellIs" dxfId="100" priority="75" operator="equal">
      <formula>0</formula>
    </cfRule>
  </conditionalFormatting>
  <conditionalFormatting sqref="E78">
    <cfRule type="cellIs" dxfId="99" priority="73" operator="equal">
      <formula>0</formula>
    </cfRule>
  </conditionalFormatting>
  <conditionalFormatting sqref="E83">
    <cfRule type="cellIs" dxfId="98" priority="65" operator="equal">
      <formula>0</formula>
    </cfRule>
  </conditionalFormatting>
  <conditionalFormatting sqref="E25:J29 E31:J35 E37:J42 G69:J69 F71:G71 F72:J72">
    <cfRule type="cellIs" dxfId="97" priority="206" operator="equal">
      <formula>1</formula>
    </cfRule>
  </conditionalFormatting>
  <conditionalFormatting sqref="E25:J29 E31:J35 E37:J42">
    <cfRule type="cellIs" dxfId="96" priority="205" operator="equal">
      <formula>0</formula>
    </cfRule>
  </conditionalFormatting>
  <conditionalFormatting sqref="E44:J44">
    <cfRule type="cellIs" dxfId="95" priority="145" operator="equal">
      <formula>0</formula>
    </cfRule>
    <cfRule type="cellIs" dxfId="94" priority="146" operator="equal">
      <formula>1</formula>
    </cfRule>
  </conditionalFormatting>
  <conditionalFormatting sqref="E46:J63 E65:J68">
    <cfRule type="cellIs" dxfId="93" priority="129" operator="equal">
      <formula>0</formula>
    </cfRule>
    <cfRule type="cellIs" dxfId="92" priority="130" operator="equal">
      <formula>1</formula>
    </cfRule>
  </conditionalFormatting>
  <conditionalFormatting sqref="E73:J93">
    <cfRule type="cellIs" dxfId="91" priority="38" operator="equal">
      <formula>1</formula>
    </cfRule>
  </conditionalFormatting>
  <conditionalFormatting sqref="F69">
    <cfRule type="cellIs" dxfId="90" priority="11" operator="equal">
      <formula>0</formula>
    </cfRule>
  </conditionalFormatting>
  <conditionalFormatting sqref="F69:F70">
    <cfRule type="cellIs" dxfId="89" priority="12" operator="equal">
      <formula>1</formula>
    </cfRule>
  </conditionalFormatting>
  <conditionalFormatting sqref="G70">
    <cfRule type="cellIs" dxfId="88" priority="7" operator="equal">
      <formula>0</formula>
    </cfRule>
    <cfRule type="cellIs" dxfId="87" priority="8" operator="equal">
      <formula>1</formula>
    </cfRule>
  </conditionalFormatting>
  <conditionalFormatting sqref="G75:G76">
    <cfRule type="cellIs" dxfId="86" priority="77" operator="equal">
      <formula>0</formula>
    </cfRule>
  </conditionalFormatting>
  <conditionalFormatting sqref="G81">
    <cfRule type="cellIs" dxfId="85" priority="69" operator="equal">
      <formula>0</formula>
    </cfRule>
  </conditionalFormatting>
  <conditionalFormatting sqref="G90">
    <cfRule type="cellIs" dxfId="84" priority="59" operator="equal">
      <formula>0</formula>
    </cfRule>
  </conditionalFormatting>
  <conditionalFormatting sqref="G93">
    <cfRule type="cellIs" dxfId="83" priority="37" operator="equal">
      <formula>0</formula>
    </cfRule>
  </conditionalFormatting>
  <conditionalFormatting sqref="G74:I74">
    <cfRule type="cellIs" dxfId="82" priority="81" operator="equal">
      <formula>0</formula>
    </cfRule>
  </conditionalFormatting>
  <conditionalFormatting sqref="H70:H71">
    <cfRule type="cellIs" dxfId="81" priority="5" operator="equal">
      <formula>0</formula>
    </cfRule>
  </conditionalFormatting>
  <conditionalFormatting sqref="H70:J71">
    <cfRule type="cellIs" dxfId="80" priority="6" operator="equal">
      <formula>1</formula>
    </cfRule>
  </conditionalFormatting>
  <conditionalFormatting sqref="I75:I76">
    <cfRule type="cellIs" dxfId="79" priority="79" operator="equal">
      <formula>0</formula>
    </cfRule>
  </conditionalFormatting>
  <conditionalFormatting sqref="I81">
    <cfRule type="cellIs" dxfId="78" priority="67" operator="equal">
      <formula>0</formula>
    </cfRule>
  </conditionalFormatting>
  <conditionalFormatting sqref="I91:I93">
    <cfRule type="cellIs" dxfId="77" priority="40" operator="equal">
      <formula>0</formula>
    </cfRule>
  </conditionalFormatting>
  <conditionalFormatting sqref="J78">
    <cfRule type="cellIs" dxfId="76" priority="71" operator="equal">
      <formula>0</formula>
    </cfRule>
  </conditionalFormatting>
  <conditionalFormatting sqref="J82">
    <cfRule type="cellIs" dxfId="75" priority="63" operator="equal">
      <formula>0</formula>
    </cfRule>
  </conditionalFormatting>
  <conditionalFormatting sqref="J86">
    <cfRule type="cellIs" dxfId="74" priority="61" operator="equal">
      <formula>0</formula>
    </cfRule>
  </conditionalFormatting>
  <conditionalFormatting sqref="O68:T93">
    <cfRule type="cellIs" dxfId="73" priority="217" operator="equal">
      <formula>0</formula>
    </cfRule>
    <cfRule type="cellIs" dxfId="72" priority="218" operator="greaterThan">
      <formula>0</formula>
    </cfRule>
  </conditionalFormatting>
  <conditionalFormatting sqref="O24:U67">
    <cfRule type="cellIs" dxfId="71" priority="14" operator="greaterThan">
      <formula>0</formula>
    </cfRule>
    <cfRule type="cellIs" dxfId="70" priority="13" operator="equal">
      <formula>0</formula>
    </cfRule>
  </conditionalFormatting>
  <conditionalFormatting sqref="U68:U82">
    <cfRule type="cellIs" dxfId="69" priority="491" operator="equal">
      <formula>0</formula>
    </cfRule>
    <cfRule type="cellIs" dxfId="68" priority="492" operator="greaterThan">
      <formula>0</formula>
    </cfRule>
  </conditionalFormatting>
  <pageMargins left="0.7" right="0.7" top="0.78740157499999996" bottom="0.78740157499999996"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dimension ref="A1:AC105"/>
  <sheetViews>
    <sheetView zoomScale="60" zoomScaleNormal="60" workbookViewId="0">
      <pane xSplit="14" ySplit="23" topLeftCell="O87" activePane="bottomRight" state="frozen"/>
      <selection pane="topRight" activeCell="P1" sqref="P1"/>
      <selection pane="bottomLeft" activeCell="A24" sqref="A24"/>
      <selection pane="bottomRight" activeCell="W16" sqref="W16"/>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1.3828125" style="1"/>
    <col min="27" max="27" width="12.15234375" style="1" customWidth="1"/>
    <col min="28" max="16384" width="11.3828125" style="1"/>
  </cols>
  <sheetData>
    <row r="1" spans="2:27" ht="8.25" customHeight="1"/>
    <row r="2" spans="2:27" ht="40.5" customHeight="1">
      <c r="C2" s="3" t="s">
        <v>5</v>
      </c>
      <c r="D2" s="4"/>
      <c r="E2" s="4"/>
      <c r="F2" s="4"/>
      <c r="G2" s="4"/>
      <c r="H2" s="4"/>
      <c r="I2" s="4"/>
      <c r="J2" s="4"/>
      <c r="K2" s="4"/>
      <c r="L2" s="4"/>
      <c r="M2" s="30"/>
      <c r="N2" s="4"/>
      <c r="O2" s="4"/>
      <c r="P2" s="4"/>
      <c r="Q2" s="4"/>
      <c r="R2" s="4"/>
      <c r="S2" s="5"/>
      <c r="T2" s="5"/>
      <c r="U2" s="4"/>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O16+S16-O15</f>
        <v>1326.93</v>
      </c>
      <c r="U5" s="237"/>
      <c r="V5" s="238" t="s">
        <v>53</v>
      </c>
      <c r="W5" s="239"/>
      <c r="X5" s="238" t="s">
        <v>57</v>
      </c>
      <c r="Y5" s="239"/>
      <c r="Z5" s="238" t="s">
        <v>62</v>
      </c>
      <c r="AA5" s="239"/>
    </row>
    <row r="6" spans="2:27" ht="23.25" customHeight="1">
      <c r="B6" s="6"/>
      <c r="L6" s="6"/>
      <c r="V6" s="240"/>
      <c r="W6" s="241"/>
      <c r="X6" s="240"/>
      <c r="Y6" s="241"/>
      <c r="Z6" s="240"/>
      <c r="AA6" s="241"/>
    </row>
    <row r="7" spans="2:2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MSO</v>
      </c>
      <c r="E8" s="12">
        <f t="shared" ref="E8:E13" si="2">ROUND(HLOOKUP(D8,$E$18:$J$20,3,FALSE),0)</f>
        <v>60</v>
      </c>
      <c r="F8" s="64">
        <f t="shared" ref="F8:F13" ca="1" si="3">E8/$C$20</f>
        <v>0.90909090909090906</v>
      </c>
      <c r="G8" s="28">
        <f t="shared" ref="G8:G13" ca="1" si="4">1-F8</f>
        <v>9.0909090909090939E-2</v>
      </c>
      <c r="L8" s="6"/>
      <c r="N8" s="10" t="s">
        <v>2</v>
      </c>
      <c r="O8" s="13">
        <f>MAX(O12,O10,O11,O14)+11+16.5+5</f>
        <v>247.5</v>
      </c>
      <c r="P8" s="13">
        <v>50</v>
      </c>
      <c r="Q8" s="221" t="s">
        <v>25</v>
      </c>
      <c r="R8" s="221"/>
      <c r="S8" s="221" t="s">
        <v>29</v>
      </c>
      <c r="T8" s="221"/>
      <c r="V8" s="221" t="s">
        <v>49</v>
      </c>
      <c r="W8" s="221"/>
      <c r="X8" s="221" t="s">
        <v>59</v>
      </c>
      <c r="Y8" s="221"/>
      <c r="Z8" s="221" t="s">
        <v>66</v>
      </c>
      <c r="AA8" s="221"/>
    </row>
    <row r="9" spans="2:27">
      <c r="B9" s="6">
        <v>2</v>
      </c>
      <c r="C9" s="12">
        <f t="shared" si="0"/>
        <v>2</v>
      </c>
      <c r="D9" s="10" t="str">
        <f>HLOOKUP($B9,$E$17:$J$20,2,FALSE)</f>
        <v>JWU</v>
      </c>
      <c r="E9" s="12">
        <f t="shared" si="2"/>
        <v>55</v>
      </c>
      <c r="F9" s="28">
        <f t="shared" ca="1" si="3"/>
        <v>0.83333333333333337</v>
      </c>
      <c r="G9" s="28">
        <f t="shared" ca="1" si="4"/>
        <v>0.16666666666666663</v>
      </c>
      <c r="L9" s="6"/>
      <c r="N9" s="10" t="s">
        <v>4</v>
      </c>
      <c r="O9" s="13">
        <f>O8</f>
        <v>247.5</v>
      </c>
      <c r="P9" s="13">
        <v>50</v>
      </c>
      <c r="Q9" s="221" t="s">
        <v>25</v>
      </c>
      <c r="R9" s="221"/>
      <c r="S9" s="221" t="s">
        <v>29</v>
      </c>
      <c r="T9" s="221"/>
      <c r="V9" s="221" t="s">
        <v>50</v>
      </c>
      <c r="W9" s="221"/>
      <c r="X9" s="221" t="s">
        <v>58</v>
      </c>
      <c r="Y9" s="221"/>
      <c r="Z9" s="221" t="s">
        <v>65</v>
      </c>
      <c r="AA9" s="221"/>
    </row>
    <row r="10" spans="2:27">
      <c r="B10" s="6">
        <v>3</v>
      </c>
      <c r="C10" s="12">
        <f t="shared" si="0"/>
        <v>3</v>
      </c>
      <c r="D10" s="10" t="str">
        <f t="shared" si="1"/>
        <v>SJU</v>
      </c>
      <c r="E10" s="12">
        <f t="shared" si="2"/>
        <v>54</v>
      </c>
      <c r="F10" s="28">
        <f t="shared" ca="1" si="3"/>
        <v>0.81818181818181823</v>
      </c>
      <c r="G10" s="28">
        <f t="shared" ca="1" si="4"/>
        <v>0.18181818181818177</v>
      </c>
      <c r="L10" s="6"/>
      <c r="N10" s="10" t="s">
        <v>3</v>
      </c>
      <c r="O10" s="13">
        <f>HLOOKUP(N10,$S$18:$S$20,3,FALSE)</f>
        <v>187.5</v>
      </c>
      <c r="P10" s="13">
        <v>50</v>
      </c>
      <c r="Q10" s="221" t="s">
        <v>25</v>
      </c>
      <c r="R10" s="221"/>
      <c r="S10" s="221" t="s">
        <v>28</v>
      </c>
      <c r="T10" s="221"/>
      <c r="V10" s="221" t="s">
        <v>49</v>
      </c>
      <c r="W10" s="221"/>
      <c r="X10" s="221" t="s">
        <v>61</v>
      </c>
      <c r="Y10" s="221"/>
      <c r="Z10" s="221" t="s">
        <v>67</v>
      </c>
      <c r="AA10" s="221"/>
    </row>
    <row r="11" spans="2:27">
      <c r="B11" s="6">
        <v>4</v>
      </c>
      <c r="C11" s="12">
        <f t="shared" si="0"/>
        <v>4</v>
      </c>
      <c r="D11" s="10" t="str">
        <f t="shared" si="1"/>
        <v>PKN</v>
      </c>
      <c r="E11" s="12">
        <f t="shared" si="2"/>
        <v>53</v>
      </c>
      <c r="F11" s="28">
        <f t="shared" ca="1" si="3"/>
        <v>0.80303030303030298</v>
      </c>
      <c r="G11" s="28">
        <f t="shared" ca="1" si="4"/>
        <v>0.19696969696969702</v>
      </c>
      <c r="L11" s="6"/>
      <c r="N11" s="10" t="s">
        <v>1</v>
      </c>
      <c r="O11" s="13">
        <f>HLOOKUP(N11,$Q$18:$Q$20,3,FALSE)</f>
        <v>193</v>
      </c>
      <c r="P11" s="13">
        <v>50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2"/>
        <v>26</v>
      </c>
      <c r="F12" s="28">
        <f t="shared" ca="1" si="3"/>
        <v>0.39393939393939392</v>
      </c>
      <c r="G12" s="28">
        <f t="shared" ca="1" si="4"/>
        <v>0.60606060606060608</v>
      </c>
      <c r="L12" s="6"/>
      <c r="N12" s="10" t="s">
        <v>0</v>
      </c>
      <c r="O12" s="47">
        <f>HLOOKUP(N12,$O$18:$O$20,3,FALSE)</f>
        <v>215</v>
      </c>
      <c r="P12" s="13">
        <v>50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25</v>
      </c>
      <c r="F13" s="28">
        <f t="shared" ca="1" si="3"/>
        <v>0.37878787878787878</v>
      </c>
      <c r="G13" s="28">
        <f t="shared" ca="1" si="4"/>
        <v>0.62121212121212122</v>
      </c>
      <c r="H13" s="1" t="s">
        <v>85</v>
      </c>
      <c r="L13" s="6"/>
      <c r="N13" s="10" t="s">
        <v>22</v>
      </c>
      <c r="O13" s="13">
        <f>HLOOKUP(N13,$T$18:$T$20,3,FALSE)</f>
        <v>123.75</v>
      </c>
      <c r="P13" s="13">
        <v>50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149999999999999" thickBot="1">
      <c r="B16" s="6"/>
      <c r="L16" s="6"/>
      <c r="N16" s="14" t="s">
        <v>19</v>
      </c>
      <c r="O16" s="15">
        <f>SUM(O8:O13)-SUM(P8:P13)</f>
        <v>914.25</v>
      </c>
      <c r="P16" s="87"/>
      <c r="Q16" s="252" t="s">
        <v>126</v>
      </c>
      <c r="R16" s="253"/>
      <c r="S16" s="15">
        <f>112.68+SUM(P8:P13)</f>
        <v>412.68</v>
      </c>
      <c r="V16" s="139" t="s">
        <v>125</v>
      </c>
      <c r="W16" s="140">
        <f>O16+S16</f>
        <v>1326.93</v>
      </c>
    </row>
    <row r="17" spans="2:27" ht="12" customHeight="1">
      <c r="B17" s="6"/>
      <c r="E17" s="27">
        <f t="shared" ref="E17:J17" si="5">RANK(E20,$E20:$J20)</f>
        <v>2</v>
      </c>
      <c r="F17" s="27">
        <f t="shared" si="5"/>
        <v>5</v>
      </c>
      <c r="G17" s="27">
        <f t="shared" si="5"/>
        <v>4</v>
      </c>
      <c r="H17" s="27">
        <f t="shared" si="5"/>
        <v>6</v>
      </c>
      <c r="I17" s="27">
        <f t="shared" si="5"/>
        <v>3</v>
      </c>
      <c r="J17" s="27">
        <f t="shared" si="5"/>
        <v>1</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41">
        <f ca="1">COUNT(C23:C107)</f>
        <v>66</v>
      </c>
      <c r="E20" s="24">
        <f>SUM(E25:E105)+0.00007</f>
        <v>55.000070000000001</v>
      </c>
      <c r="F20" s="24">
        <f>SUM(F25:F105)+0.00006</f>
        <v>26.000060000000001</v>
      </c>
      <c r="G20" s="24">
        <f>SUM(G25:G105)+0.00008</f>
        <v>53.000079999999997</v>
      </c>
      <c r="H20" s="24">
        <f>SUM(H25:H105)+0.00005</f>
        <v>25.000050000000002</v>
      </c>
      <c r="I20" s="24">
        <f>SUM(I25:I105)+0.00009</f>
        <v>54.00009</v>
      </c>
      <c r="J20" s="24">
        <f>SUM(J25:J105)+0.0001</f>
        <v>60.000100000000003</v>
      </c>
      <c r="L20" s="6"/>
      <c r="O20" s="19">
        <f>SUM(O24:O105)</f>
        <v>215</v>
      </c>
      <c r="P20" s="19">
        <f>O9</f>
        <v>247.5</v>
      </c>
      <c r="Q20" s="19">
        <f>SUM(Q24:Q105)</f>
        <v>193</v>
      </c>
      <c r="R20" s="19">
        <f>O8</f>
        <v>247.5</v>
      </c>
      <c r="S20" s="19">
        <f>SUM(S24:S105)</f>
        <v>187.5</v>
      </c>
      <c r="T20" s="19">
        <f>SUM(T24:T105)</f>
        <v>123.75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43854</v>
      </c>
      <c r="N24" s="67" t="s">
        <v>20</v>
      </c>
      <c r="O24" s="25">
        <v>50</v>
      </c>
      <c r="P24" s="25">
        <v>50</v>
      </c>
      <c r="Q24" s="25">
        <v>50</v>
      </c>
      <c r="R24" s="25">
        <v>50</v>
      </c>
      <c r="S24" s="25">
        <v>50</v>
      </c>
      <c r="T24" s="25">
        <v>50</v>
      </c>
      <c r="U24" s="25"/>
    </row>
    <row r="25" spans="2:27">
      <c r="B25" s="6"/>
      <c r="C25" s="12">
        <v>1</v>
      </c>
      <c r="D25" s="22">
        <f t="shared" ref="D25:D30" si="6">IF(M25="","",M25)</f>
        <v>43854</v>
      </c>
      <c r="E25" s="26">
        <f t="shared" ref="E25:J26" si="7">IF(O25="","",IF(O25=0,1,0))</f>
        <v>1</v>
      </c>
      <c r="F25" s="26" t="str">
        <f t="shared" si="7"/>
        <v/>
      </c>
      <c r="G25" s="26">
        <f t="shared" si="7"/>
        <v>1</v>
      </c>
      <c r="H25" s="26" t="str">
        <f t="shared" si="7"/>
        <v/>
      </c>
      <c r="I25" s="26">
        <f t="shared" si="7"/>
        <v>1</v>
      </c>
      <c r="J25" s="26">
        <f t="shared" si="7"/>
        <v>1</v>
      </c>
      <c r="L25" s="6"/>
      <c r="M25" s="21">
        <f>M24</f>
        <v>43854</v>
      </c>
      <c r="N25" s="10" t="s">
        <v>24</v>
      </c>
      <c r="O25" s="25">
        <v>0</v>
      </c>
      <c r="P25" s="25"/>
      <c r="Q25" s="25">
        <v>0</v>
      </c>
      <c r="R25" s="25"/>
      <c r="S25" s="25">
        <v>0</v>
      </c>
      <c r="T25" s="25">
        <v>0</v>
      </c>
      <c r="U25" s="25"/>
      <c r="Y25" s="58"/>
    </row>
    <row r="26" spans="2:27">
      <c r="B26" s="6"/>
      <c r="C26" s="12">
        <f t="shared" ref="C26:C58" ca="1" si="8">IF(D26&lt;=TODAY(),1,"")</f>
        <v>1</v>
      </c>
      <c r="D26" s="22">
        <f t="shared" si="6"/>
        <v>43861</v>
      </c>
      <c r="E26" s="26">
        <f t="shared" si="7"/>
        <v>1</v>
      </c>
      <c r="F26" s="26" t="str">
        <f t="shared" si="7"/>
        <v/>
      </c>
      <c r="G26" s="26">
        <f t="shared" si="7"/>
        <v>1</v>
      </c>
      <c r="H26" s="26" t="str">
        <f t="shared" si="7"/>
        <v/>
      </c>
      <c r="I26" s="26">
        <f t="shared" si="7"/>
        <v>0</v>
      </c>
      <c r="J26" s="26">
        <f t="shared" si="7"/>
        <v>1</v>
      </c>
      <c r="L26" s="6"/>
      <c r="M26" s="21">
        <f>M25+7</f>
        <v>43861</v>
      </c>
      <c r="N26" s="10" t="s">
        <v>24</v>
      </c>
      <c r="O26" s="25">
        <v>0</v>
      </c>
      <c r="P26" s="25"/>
      <c r="Q26" s="25">
        <v>0</v>
      </c>
      <c r="R26" s="25"/>
      <c r="S26" s="25">
        <v>11</v>
      </c>
      <c r="T26" s="25">
        <v>0</v>
      </c>
      <c r="U26" s="25"/>
    </row>
    <row r="27" spans="2:27">
      <c r="B27" s="6"/>
      <c r="C27" s="12">
        <f t="shared" ca="1" si="8"/>
        <v>1</v>
      </c>
      <c r="D27" s="22">
        <f t="shared" si="6"/>
        <v>43868</v>
      </c>
      <c r="E27" s="26">
        <f t="shared" ref="E27:E86" si="9">IF(O27="","",IF(O27=0,1,0))</f>
        <v>0</v>
      </c>
      <c r="F27" s="26" t="str">
        <f t="shared" ref="F27:F88" si="10">IF(P27="","",IF(P27=0,1,0))</f>
        <v/>
      </c>
      <c r="G27" s="26">
        <f t="shared" ref="G27:G88" si="11">IF(Q27="","",IF(Q27=0,1,0))</f>
        <v>1</v>
      </c>
      <c r="H27" s="26" t="str">
        <f t="shared" ref="H27:H88" si="12">IF(R27="","",IF(R27=0,1,0))</f>
        <v/>
      </c>
      <c r="I27" s="26">
        <f>IF(S27="","",IF(S27=0,1,0))</f>
        <v>0</v>
      </c>
      <c r="J27" s="26">
        <f t="shared" ref="J27:J88" si="13">IF(T27="","",IF(T27=0,1,0))</f>
        <v>1</v>
      </c>
      <c r="L27" s="6"/>
      <c r="M27" s="21">
        <f>M26+7</f>
        <v>43868</v>
      </c>
      <c r="N27" s="10" t="s">
        <v>24</v>
      </c>
      <c r="O27" s="25">
        <v>11</v>
      </c>
      <c r="P27" s="25"/>
      <c r="Q27" s="25">
        <v>0</v>
      </c>
      <c r="R27" s="25"/>
      <c r="S27" s="25">
        <v>11</v>
      </c>
      <c r="T27" s="25">
        <v>0</v>
      </c>
      <c r="U27" s="25"/>
    </row>
    <row r="28" spans="2:27">
      <c r="B28" s="6"/>
      <c r="C28" s="12">
        <f t="shared" ca="1" si="8"/>
        <v>1</v>
      </c>
      <c r="D28" s="22">
        <f t="shared" si="6"/>
        <v>43875</v>
      </c>
      <c r="E28" s="26">
        <f t="shared" si="9"/>
        <v>1</v>
      </c>
      <c r="F28" s="26" t="str">
        <f t="shared" si="10"/>
        <v/>
      </c>
      <c r="G28" s="26">
        <f t="shared" si="11"/>
        <v>1</v>
      </c>
      <c r="H28" s="26" t="str">
        <f t="shared" si="12"/>
        <v/>
      </c>
      <c r="I28" s="26">
        <f>IF(S28="","",IF(S28=0,1,0))</f>
        <v>0</v>
      </c>
      <c r="J28" s="26">
        <f t="shared" si="13"/>
        <v>1</v>
      </c>
      <c r="L28" s="6"/>
      <c r="M28" s="21">
        <f>M27+7</f>
        <v>43875</v>
      </c>
      <c r="N28" s="10" t="s">
        <v>24</v>
      </c>
      <c r="O28" s="25">
        <v>0</v>
      </c>
      <c r="P28" s="25"/>
      <c r="Q28" s="25">
        <v>0</v>
      </c>
      <c r="R28" s="25"/>
      <c r="S28" s="25">
        <v>11</v>
      </c>
      <c r="T28" s="25">
        <v>0</v>
      </c>
      <c r="U28" s="25"/>
      <c r="V28" s="58"/>
    </row>
    <row r="29" spans="2:27">
      <c r="B29" s="6"/>
      <c r="C29" s="12">
        <f ca="1">IF(D29&lt;=TODAY(),1,"")</f>
        <v>1</v>
      </c>
      <c r="D29" s="22">
        <f t="shared" si="6"/>
        <v>43882</v>
      </c>
      <c r="E29" s="26">
        <f>IF(O29="","",IF(O29=0,1,0))</f>
        <v>1</v>
      </c>
      <c r="F29" s="26" t="str">
        <f>IF(P29="","",IF(P29=0,1,0))</f>
        <v/>
      </c>
      <c r="G29" s="26">
        <f>IF(Q29="","",IF(Q29=0,1,0))</f>
        <v>1</v>
      </c>
      <c r="H29" s="26" t="str">
        <f>IF(R29="","",IF(R29=0,1,0))</f>
        <v/>
      </c>
      <c r="I29" s="26">
        <f>IF(S29="","",IF(S29=0,1,0))</f>
        <v>1</v>
      </c>
      <c r="J29" s="26">
        <f>IF(T29="","",IF(T29=0,1,0))</f>
        <v>1</v>
      </c>
      <c r="L29" s="6"/>
      <c r="M29" s="21">
        <f>M28+7</f>
        <v>43882</v>
      </c>
      <c r="N29" s="10" t="s">
        <v>24</v>
      </c>
      <c r="O29" s="25">
        <v>0</v>
      </c>
      <c r="P29" s="25"/>
      <c r="Q29" s="25">
        <v>0</v>
      </c>
      <c r="R29" s="25"/>
      <c r="S29" s="25">
        <v>0</v>
      </c>
      <c r="T29" s="25">
        <v>0</v>
      </c>
      <c r="U29" s="25"/>
    </row>
    <row r="30" spans="2:27">
      <c r="B30" s="6"/>
      <c r="C30" s="12">
        <f t="shared" ca="1" si="8"/>
        <v>1</v>
      </c>
      <c r="D30" s="22">
        <f t="shared" si="6"/>
        <v>43889</v>
      </c>
      <c r="E30" s="26">
        <f t="shared" si="9"/>
        <v>1</v>
      </c>
      <c r="F30" s="26" t="str">
        <f t="shared" si="10"/>
        <v/>
      </c>
      <c r="G30" s="26">
        <f t="shared" si="11"/>
        <v>0</v>
      </c>
      <c r="H30" s="26" t="str">
        <f t="shared" si="12"/>
        <v/>
      </c>
      <c r="I30" s="26">
        <f>IF(S30="","",IF(S30=0,1,0))</f>
        <v>1</v>
      </c>
      <c r="J30" s="26">
        <f t="shared" si="13"/>
        <v>0</v>
      </c>
      <c r="L30" s="6"/>
      <c r="M30" s="21">
        <f>M29+7</f>
        <v>43889</v>
      </c>
      <c r="N30" s="10" t="s">
        <v>24</v>
      </c>
      <c r="O30" s="25">
        <v>0</v>
      </c>
      <c r="P30" s="25"/>
      <c r="Q30" s="25">
        <v>11</v>
      </c>
      <c r="R30" s="25"/>
      <c r="S30" s="25">
        <v>0</v>
      </c>
      <c r="T30" s="25">
        <v>11</v>
      </c>
      <c r="U30" s="25"/>
      <c r="AA30" s="58"/>
    </row>
    <row r="31" spans="2:27">
      <c r="B31" s="6"/>
      <c r="D31" s="76"/>
      <c r="E31" s="77"/>
      <c r="F31" s="77"/>
      <c r="G31" s="77"/>
      <c r="H31" s="77"/>
      <c r="I31" s="77"/>
      <c r="J31" s="77"/>
      <c r="L31" s="6"/>
      <c r="M31" s="21">
        <v>43889</v>
      </c>
      <c r="N31" s="10" t="s">
        <v>47</v>
      </c>
      <c r="O31" s="25">
        <f>11/4</f>
        <v>2.75</v>
      </c>
      <c r="P31" s="25"/>
      <c r="Q31" s="25">
        <v>0</v>
      </c>
      <c r="R31" s="25"/>
      <c r="S31" s="25">
        <f>11/4</f>
        <v>2.75</v>
      </c>
      <c r="T31" s="25">
        <v>0</v>
      </c>
      <c r="U31" s="25"/>
    </row>
    <row r="32" spans="2:27">
      <c r="B32" s="6"/>
      <c r="C32" s="12">
        <f ca="1">IF(D32&lt;=TODAY(),1,"")</f>
        <v>1</v>
      </c>
      <c r="D32" s="22">
        <f>IF(M32="","",M32)</f>
        <v>43896</v>
      </c>
      <c r="E32" s="26">
        <f t="shared" si="9"/>
        <v>1</v>
      </c>
      <c r="F32" s="26" t="str">
        <f t="shared" si="10"/>
        <v/>
      </c>
      <c r="G32" s="26">
        <f t="shared" si="11"/>
        <v>1</v>
      </c>
      <c r="H32" s="26" t="str">
        <f t="shared" si="12"/>
        <v/>
      </c>
      <c r="I32" s="26">
        <f>IF(S32="","",IF(S32=0,1,0))</f>
        <v>1</v>
      </c>
      <c r="J32" s="26">
        <f t="shared" si="13"/>
        <v>1</v>
      </c>
      <c r="L32" s="6"/>
      <c r="M32" s="32">
        <f>M31+7</f>
        <v>43896</v>
      </c>
      <c r="N32" s="10" t="s">
        <v>24</v>
      </c>
      <c r="O32" s="25">
        <v>0</v>
      </c>
      <c r="P32" s="25"/>
      <c r="Q32" s="25">
        <v>0</v>
      </c>
      <c r="R32" s="25"/>
      <c r="S32" s="25">
        <v>0</v>
      </c>
      <c r="T32" s="25">
        <v>0</v>
      </c>
      <c r="U32" s="25"/>
    </row>
    <row r="33" spans="2:28">
      <c r="B33" s="6"/>
      <c r="D33" s="76"/>
      <c r="E33" s="77"/>
      <c r="F33" s="77"/>
      <c r="G33" s="77"/>
      <c r="H33" s="77"/>
      <c r="I33" s="77"/>
      <c r="J33" s="77"/>
      <c r="L33" s="6"/>
      <c r="M33" s="21">
        <f>M32+7</f>
        <v>43903</v>
      </c>
      <c r="N33" s="10" t="s">
        <v>54</v>
      </c>
      <c r="O33" s="25"/>
      <c r="P33" s="25"/>
      <c r="Q33" s="25"/>
      <c r="R33" s="25">
        <v>16.5</v>
      </c>
      <c r="S33" s="25"/>
      <c r="T33" s="25"/>
      <c r="U33" s="25"/>
    </row>
    <row r="34" spans="2:28">
      <c r="B34" s="6"/>
      <c r="C34" s="12">
        <f t="shared" ca="1" si="8"/>
        <v>1</v>
      </c>
      <c r="D34" s="22">
        <f t="shared" ref="D34:D43" si="14">IF(M34="","",M34)</f>
        <v>43903</v>
      </c>
      <c r="E34" s="26">
        <f t="shared" si="9"/>
        <v>1</v>
      </c>
      <c r="F34" s="26" t="str">
        <f>IF(P34="","",IF(P34=0,1,0))</f>
        <v/>
      </c>
      <c r="G34" s="26">
        <f t="shared" si="11"/>
        <v>0</v>
      </c>
      <c r="H34" s="26" t="str">
        <f t="shared" si="12"/>
        <v/>
      </c>
      <c r="I34" s="26">
        <f t="shared" ref="I34:I43" si="15">IF(S34="","",IF(S34=0,1,0))</f>
        <v>1</v>
      </c>
      <c r="J34" s="26">
        <f t="shared" si="13"/>
        <v>1</v>
      </c>
      <c r="L34" s="6"/>
      <c r="M34" s="21">
        <f>M33</f>
        <v>43903</v>
      </c>
      <c r="N34" s="10" t="s">
        <v>24</v>
      </c>
      <c r="O34" s="25">
        <v>0</v>
      </c>
      <c r="P34" s="25"/>
      <c r="Q34" s="25">
        <v>11</v>
      </c>
      <c r="R34" s="25"/>
      <c r="S34" s="25">
        <v>0</v>
      </c>
      <c r="T34" s="25">
        <v>0</v>
      </c>
      <c r="U34" s="25"/>
    </row>
    <row r="35" spans="2:28">
      <c r="B35" s="6"/>
      <c r="C35" s="12">
        <f t="shared" ca="1" si="8"/>
        <v>1</v>
      </c>
      <c r="D35" s="22">
        <f t="shared" si="14"/>
        <v>43910</v>
      </c>
      <c r="E35" s="26">
        <f t="shared" si="9"/>
        <v>1</v>
      </c>
      <c r="F35" s="26" t="str">
        <f t="shared" si="10"/>
        <v/>
      </c>
      <c r="G35" s="26">
        <f t="shared" si="11"/>
        <v>1</v>
      </c>
      <c r="H35" s="26">
        <f t="shared" si="12"/>
        <v>1</v>
      </c>
      <c r="I35" s="26">
        <f t="shared" si="15"/>
        <v>1</v>
      </c>
      <c r="J35" s="26">
        <f t="shared" si="13"/>
        <v>1</v>
      </c>
      <c r="L35" s="6"/>
      <c r="M35" s="21">
        <f>M34+7</f>
        <v>43910</v>
      </c>
      <c r="N35" s="10" t="s">
        <v>24</v>
      </c>
      <c r="O35" s="25">
        <v>0</v>
      </c>
      <c r="P35" s="25"/>
      <c r="Q35" s="25">
        <v>0</v>
      </c>
      <c r="R35" s="25">
        <v>0</v>
      </c>
      <c r="S35" s="25">
        <v>0</v>
      </c>
      <c r="T35" s="25">
        <v>0</v>
      </c>
      <c r="U35" s="25"/>
    </row>
    <row r="36" spans="2:28">
      <c r="B36" s="6"/>
      <c r="C36" s="12">
        <f t="shared" ca="1" si="8"/>
        <v>1</v>
      </c>
      <c r="D36" s="22">
        <f t="shared" si="14"/>
        <v>43917</v>
      </c>
      <c r="E36" s="26">
        <f t="shared" si="9"/>
        <v>1</v>
      </c>
      <c r="F36" s="26">
        <f>IF(P36="","",IF(P36=0,1,0))</f>
        <v>1</v>
      </c>
      <c r="G36" s="26">
        <f t="shared" si="11"/>
        <v>1</v>
      </c>
      <c r="H36" s="26">
        <f t="shared" si="12"/>
        <v>1</v>
      </c>
      <c r="I36" s="26">
        <f t="shared" si="15"/>
        <v>1</v>
      </c>
      <c r="J36" s="26">
        <f t="shared" si="13"/>
        <v>1</v>
      </c>
      <c r="L36" s="6"/>
      <c r="M36" s="21">
        <f>M35+7</f>
        <v>43917</v>
      </c>
      <c r="N36" s="10" t="s">
        <v>24</v>
      </c>
      <c r="O36" s="25">
        <v>0</v>
      </c>
      <c r="P36" s="25">
        <v>0</v>
      </c>
      <c r="Q36" s="25">
        <v>0</v>
      </c>
      <c r="R36" s="25">
        <v>0</v>
      </c>
      <c r="S36" s="25">
        <v>0</v>
      </c>
      <c r="T36" s="25">
        <v>0</v>
      </c>
      <c r="U36" s="25"/>
      <c r="AB36" s="58"/>
    </row>
    <row r="37" spans="2:28">
      <c r="B37" s="6"/>
      <c r="C37" s="12">
        <f t="shared" ca="1" si="8"/>
        <v>1</v>
      </c>
      <c r="D37" s="22">
        <f t="shared" si="14"/>
        <v>43924</v>
      </c>
      <c r="E37" s="26">
        <f t="shared" si="9"/>
        <v>1</v>
      </c>
      <c r="F37" s="26" t="str">
        <f t="shared" si="10"/>
        <v/>
      </c>
      <c r="G37" s="26">
        <f t="shared" si="11"/>
        <v>1</v>
      </c>
      <c r="H37" s="26">
        <f t="shared" si="12"/>
        <v>1</v>
      </c>
      <c r="I37" s="26">
        <f t="shared" si="15"/>
        <v>1</v>
      </c>
      <c r="J37" s="26">
        <f t="shared" si="13"/>
        <v>1</v>
      </c>
      <c r="L37" s="6"/>
      <c r="M37" s="21">
        <f>M36+7</f>
        <v>43924</v>
      </c>
      <c r="N37" s="10" t="s">
        <v>24</v>
      </c>
      <c r="O37" s="25">
        <v>0</v>
      </c>
      <c r="P37" s="25"/>
      <c r="Q37" s="25">
        <v>0</v>
      </c>
      <c r="R37" s="25">
        <v>0</v>
      </c>
      <c r="S37" s="25">
        <v>0</v>
      </c>
      <c r="T37" s="25">
        <v>0</v>
      </c>
      <c r="U37" s="25"/>
    </row>
    <row r="38" spans="2:28">
      <c r="B38" s="6"/>
      <c r="C38" s="12">
        <f t="shared" ca="1" si="8"/>
        <v>1</v>
      </c>
      <c r="D38" s="22">
        <f t="shared" si="14"/>
        <v>43938</v>
      </c>
      <c r="E38" s="26">
        <v>1</v>
      </c>
      <c r="F38" s="26" t="str">
        <f t="shared" si="10"/>
        <v/>
      </c>
      <c r="G38" s="26">
        <f t="shared" si="11"/>
        <v>1</v>
      </c>
      <c r="H38" s="26" t="str">
        <f t="shared" si="12"/>
        <v/>
      </c>
      <c r="I38" s="26">
        <f t="shared" si="15"/>
        <v>1</v>
      </c>
      <c r="J38" s="26">
        <f t="shared" si="13"/>
        <v>1</v>
      </c>
      <c r="L38" s="6"/>
      <c r="M38" s="21">
        <f>M37+14</f>
        <v>43938</v>
      </c>
      <c r="N38" s="10" t="s">
        <v>24</v>
      </c>
      <c r="O38" s="25">
        <v>11</v>
      </c>
      <c r="P38" s="25"/>
      <c r="Q38" s="25">
        <v>0</v>
      </c>
      <c r="R38" s="25"/>
      <c r="S38" s="25">
        <v>0</v>
      </c>
      <c r="T38" s="25">
        <v>0</v>
      </c>
      <c r="U38" s="25"/>
      <c r="AB38" s="58"/>
    </row>
    <row r="39" spans="2:28">
      <c r="B39" s="6"/>
      <c r="C39" s="12">
        <f t="shared" ca="1" si="8"/>
        <v>1</v>
      </c>
      <c r="D39" s="22">
        <f t="shared" si="14"/>
        <v>43945</v>
      </c>
      <c r="E39" s="26">
        <f t="shared" si="9"/>
        <v>1</v>
      </c>
      <c r="F39" s="26" t="str">
        <f t="shared" si="10"/>
        <v/>
      </c>
      <c r="G39" s="26">
        <f t="shared" si="11"/>
        <v>1</v>
      </c>
      <c r="H39" s="26">
        <f t="shared" si="12"/>
        <v>1</v>
      </c>
      <c r="I39" s="26">
        <f t="shared" si="15"/>
        <v>1</v>
      </c>
      <c r="J39" s="26">
        <f t="shared" si="13"/>
        <v>1</v>
      </c>
      <c r="L39" s="6"/>
      <c r="M39" s="21">
        <f t="shared" ref="M39:M44" si="16">M38+7</f>
        <v>43945</v>
      </c>
      <c r="N39" s="10" t="s">
        <v>24</v>
      </c>
      <c r="O39" s="25">
        <v>0</v>
      </c>
      <c r="P39" s="25"/>
      <c r="Q39" s="25">
        <v>0</v>
      </c>
      <c r="R39" s="25">
        <v>0</v>
      </c>
      <c r="S39" s="25">
        <v>0</v>
      </c>
      <c r="T39" s="25">
        <v>0</v>
      </c>
      <c r="U39" s="25"/>
    </row>
    <row r="40" spans="2:28" ht="16.5" customHeight="1">
      <c r="B40" s="6"/>
      <c r="C40" s="12">
        <f ca="1">IF(D40&lt;=TODAY(),1,"")</f>
        <v>1</v>
      </c>
      <c r="D40" s="22">
        <f t="shared" si="14"/>
        <v>43952</v>
      </c>
      <c r="E40" s="26">
        <f t="shared" si="9"/>
        <v>1</v>
      </c>
      <c r="F40" s="26" t="str">
        <f t="shared" si="10"/>
        <v/>
      </c>
      <c r="G40" s="26">
        <f t="shared" si="11"/>
        <v>1</v>
      </c>
      <c r="H40" s="26">
        <f t="shared" si="12"/>
        <v>1</v>
      </c>
      <c r="I40" s="26">
        <f t="shared" si="15"/>
        <v>1</v>
      </c>
      <c r="J40" s="26">
        <f t="shared" si="13"/>
        <v>1</v>
      </c>
      <c r="K40" s="2"/>
      <c r="L40" s="23"/>
      <c r="M40" s="21">
        <f t="shared" si="16"/>
        <v>43952</v>
      </c>
      <c r="N40" s="10" t="s">
        <v>24</v>
      </c>
      <c r="O40" s="25">
        <v>0</v>
      </c>
      <c r="P40" s="25"/>
      <c r="Q40" s="25">
        <v>0</v>
      </c>
      <c r="R40" s="25">
        <v>0</v>
      </c>
      <c r="S40" s="25">
        <v>0</v>
      </c>
      <c r="T40" s="25">
        <v>0</v>
      </c>
      <c r="U40" s="25"/>
    </row>
    <row r="41" spans="2:28" ht="16.5" customHeight="1">
      <c r="B41" s="6"/>
      <c r="C41" s="12">
        <f t="shared" ca="1" si="8"/>
        <v>1</v>
      </c>
      <c r="D41" s="22">
        <f t="shared" si="14"/>
        <v>43959</v>
      </c>
      <c r="E41" s="26">
        <f t="shared" si="9"/>
        <v>1</v>
      </c>
      <c r="F41" s="26" t="str">
        <f t="shared" si="10"/>
        <v/>
      </c>
      <c r="G41" s="26">
        <f t="shared" si="11"/>
        <v>1</v>
      </c>
      <c r="H41" s="26" t="str">
        <f t="shared" si="12"/>
        <v/>
      </c>
      <c r="I41" s="26">
        <f t="shared" si="15"/>
        <v>1</v>
      </c>
      <c r="J41" s="26">
        <f>IF(T41="","",IF(T41=0,1,0))</f>
        <v>1</v>
      </c>
      <c r="K41" s="2"/>
      <c r="L41" s="23"/>
      <c r="M41" s="21">
        <f t="shared" si="16"/>
        <v>43959</v>
      </c>
      <c r="N41" s="10" t="s">
        <v>24</v>
      </c>
      <c r="O41" s="25">
        <v>0</v>
      </c>
      <c r="P41" s="25"/>
      <c r="Q41" s="25">
        <v>0</v>
      </c>
      <c r="R41" s="25"/>
      <c r="S41" s="25">
        <v>0</v>
      </c>
      <c r="T41" s="25">
        <v>0</v>
      </c>
      <c r="U41" s="25"/>
    </row>
    <row r="42" spans="2:28" ht="16.5" customHeight="1">
      <c r="B42" s="6"/>
      <c r="C42" s="12">
        <f t="shared" ca="1" si="8"/>
        <v>1</v>
      </c>
      <c r="D42" s="22">
        <f t="shared" si="14"/>
        <v>43966</v>
      </c>
      <c r="E42" s="26">
        <f t="shared" si="9"/>
        <v>1</v>
      </c>
      <c r="F42" s="26" t="str">
        <f t="shared" si="10"/>
        <v/>
      </c>
      <c r="G42" s="26">
        <f t="shared" si="11"/>
        <v>1</v>
      </c>
      <c r="H42" s="26" t="str">
        <f t="shared" si="12"/>
        <v/>
      </c>
      <c r="I42" s="26">
        <f t="shared" si="15"/>
        <v>1</v>
      </c>
      <c r="J42" s="26">
        <f t="shared" si="13"/>
        <v>1</v>
      </c>
      <c r="L42" s="6"/>
      <c r="M42" s="21">
        <f t="shared" si="16"/>
        <v>43966</v>
      </c>
      <c r="N42" s="10" t="s">
        <v>24</v>
      </c>
      <c r="O42" s="25">
        <v>0</v>
      </c>
      <c r="P42" s="25"/>
      <c r="Q42" s="25">
        <v>0</v>
      </c>
      <c r="R42" s="25"/>
      <c r="S42" s="25">
        <v>0</v>
      </c>
      <c r="T42" s="25">
        <v>0</v>
      </c>
      <c r="U42" s="25"/>
    </row>
    <row r="43" spans="2:28" ht="16.5" customHeight="1">
      <c r="B43" s="6"/>
      <c r="C43" s="12">
        <f t="shared" ca="1" si="8"/>
        <v>1</v>
      </c>
      <c r="D43" s="22">
        <f t="shared" si="14"/>
        <v>43973</v>
      </c>
      <c r="E43" s="26">
        <f>IF(O43="","",IF(O43=0,1,0))</f>
        <v>1</v>
      </c>
      <c r="F43" s="26" t="str">
        <f>IF(P43="","",IF(P43=0,1,0))</f>
        <v/>
      </c>
      <c r="G43" s="26">
        <f>IF(Q43="","",IF(Q43=0,1,0))</f>
        <v>1</v>
      </c>
      <c r="H43" s="26" t="str">
        <f>IF(R43="","",IF(R43=0,1,0))</f>
        <v/>
      </c>
      <c r="I43" s="26">
        <f t="shared" si="15"/>
        <v>1</v>
      </c>
      <c r="J43" s="26">
        <f>IF(T43="","",IF(T43=0,1,0))</f>
        <v>0</v>
      </c>
      <c r="L43" s="6"/>
      <c r="M43" s="21">
        <f t="shared" si="16"/>
        <v>43973</v>
      </c>
      <c r="N43" s="10" t="s">
        <v>24</v>
      </c>
      <c r="O43" s="25">
        <v>0</v>
      </c>
      <c r="P43" s="25"/>
      <c r="Q43" s="25">
        <v>0</v>
      </c>
      <c r="R43" s="25"/>
      <c r="S43" s="25">
        <v>0</v>
      </c>
      <c r="T43" s="25">
        <v>11</v>
      </c>
      <c r="U43" s="25"/>
    </row>
    <row r="44" spans="2:28" ht="16.5" customHeight="1">
      <c r="B44" s="2"/>
      <c r="C44" s="76"/>
      <c r="D44" s="77"/>
      <c r="E44" s="77"/>
      <c r="F44" s="77"/>
      <c r="G44" s="77"/>
      <c r="H44" s="77"/>
      <c r="I44" s="77"/>
      <c r="J44" s="2"/>
      <c r="L44" s="6"/>
      <c r="M44" s="21">
        <f t="shared" si="16"/>
        <v>43980</v>
      </c>
      <c r="N44" s="10" t="s">
        <v>47</v>
      </c>
      <c r="O44" s="25">
        <v>2.75</v>
      </c>
      <c r="P44" s="25"/>
      <c r="Q44" s="25"/>
      <c r="R44" s="25"/>
      <c r="S44" s="25"/>
      <c r="T44" s="25"/>
      <c r="U44" s="25"/>
    </row>
    <row r="45" spans="2:28" ht="16.5" customHeight="1">
      <c r="B45" s="6"/>
      <c r="C45" s="12">
        <f ca="1">IF(D45&lt;=TODAY(),1,"")</f>
        <v>1</v>
      </c>
      <c r="D45" s="22">
        <f>IF(M45="","",M45)</f>
        <v>43980</v>
      </c>
      <c r="E45" s="26">
        <f t="shared" ref="E45:J47" si="17">IF(O45="","",IF(O45=0,1,0))</f>
        <v>1</v>
      </c>
      <c r="F45" s="26" t="str">
        <f t="shared" si="17"/>
        <v/>
      </c>
      <c r="G45" s="26">
        <f t="shared" si="17"/>
        <v>1</v>
      </c>
      <c r="H45" s="26" t="str">
        <f t="shared" si="17"/>
        <v/>
      </c>
      <c r="I45" s="26">
        <f t="shared" si="17"/>
        <v>1</v>
      </c>
      <c r="J45" s="26">
        <f t="shared" si="17"/>
        <v>1</v>
      </c>
      <c r="L45" s="6"/>
      <c r="M45" s="21">
        <f>M44</f>
        <v>43980</v>
      </c>
      <c r="N45" s="10" t="s">
        <v>24</v>
      </c>
      <c r="O45" s="25">
        <v>0</v>
      </c>
      <c r="P45" s="25"/>
      <c r="Q45" s="25">
        <v>0</v>
      </c>
      <c r="R45" s="25"/>
      <c r="S45" s="25">
        <v>0</v>
      </c>
      <c r="T45" s="25">
        <v>0</v>
      </c>
      <c r="U45" s="25"/>
      <c r="W45" s="48"/>
    </row>
    <row r="46" spans="2:28" ht="16.5" customHeight="1">
      <c r="B46" s="6"/>
      <c r="C46" s="12">
        <f ca="1">IF(D46&lt;=TODAY(),1,"")</f>
        <v>1</v>
      </c>
      <c r="D46" s="22">
        <f>IF(M46="","",M46)</f>
        <v>43987</v>
      </c>
      <c r="E46" s="26">
        <f t="shared" si="17"/>
        <v>1</v>
      </c>
      <c r="F46" s="26" t="str">
        <f t="shared" si="17"/>
        <v/>
      </c>
      <c r="G46" s="26">
        <f t="shared" si="17"/>
        <v>1</v>
      </c>
      <c r="H46" s="26" t="str">
        <f t="shared" si="17"/>
        <v/>
      </c>
      <c r="I46" s="26">
        <f t="shared" si="17"/>
        <v>1</v>
      </c>
      <c r="J46" s="26">
        <f t="shared" si="17"/>
        <v>1</v>
      </c>
      <c r="L46" s="6"/>
      <c r="M46" s="21">
        <f>M45+7</f>
        <v>43987</v>
      </c>
      <c r="N46" s="10" t="s">
        <v>24</v>
      </c>
      <c r="O46" s="25">
        <v>0</v>
      </c>
      <c r="P46" s="25"/>
      <c r="Q46" s="25">
        <v>0</v>
      </c>
      <c r="R46" s="25"/>
      <c r="S46" s="25">
        <v>0</v>
      </c>
      <c r="T46" s="25">
        <v>0</v>
      </c>
      <c r="U46" s="25"/>
      <c r="W46" s="48"/>
    </row>
    <row r="47" spans="2:28" ht="16.5" customHeight="1">
      <c r="B47" s="6"/>
      <c r="C47" s="12">
        <f ca="1">IF(D47&lt;=TODAY(),1,"")</f>
        <v>1</v>
      </c>
      <c r="D47" s="22">
        <f>IF(M47="","",M47)</f>
        <v>43994</v>
      </c>
      <c r="E47" s="26">
        <f t="shared" si="17"/>
        <v>1</v>
      </c>
      <c r="F47" s="26" t="str">
        <f t="shared" si="17"/>
        <v/>
      </c>
      <c r="G47" s="26">
        <f t="shared" si="17"/>
        <v>1</v>
      </c>
      <c r="H47" s="26">
        <f t="shared" si="17"/>
        <v>1</v>
      </c>
      <c r="I47" s="26">
        <f t="shared" si="17"/>
        <v>1</v>
      </c>
      <c r="J47" s="26">
        <f t="shared" si="17"/>
        <v>1</v>
      </c>
      <c r="L47" s="6"/>
      <c r="M47" s="21">
        <f>M46+7</f>
        <v>43994</v>
      </c>
      <c r="N47" s="10" t="s">
        <v>24</v>
      </c>
      <c r="O47" s="25">
        <v>0</v>
      </c>
      <c r="P47" s="25"/>
      <c r="Q47" s="25">
        <v>0</v>
      </c>
      <c r="R47" s="25">
        <v>0</v>
      </c>
      <c r="S47" s="25">
        <v>0</v>
      </c>
      <c r="T47" s="25">
        <v>0</v>
      </c>
      <c r="U47" s="25"/>
      <c r="W47" s="48"/>
    </row>
    <row r="48" spans="2:28" ht="16.5" customHeight="1">
      <c r="B48" s="6"/>
      <c r="C48" s="76"/>
      <c r="D48" s="77"/>
      <c r="E48" s="77"/>
      <c r="F48" s="77"/>
      <c r="G48" s="77"/>
      <c r="H48" s="77"/>
      <c r="I48" s="77"/>
      <c r="J48" s="2"/>
      <c r="L48" s="6"/>
      <c r="M48" s="21">
        <v>44001</v>
      </c>
      <c r="N48" s="10" t="s">
        <v>47</v>
      </c>
      <c r="O48" s="25"/>
      <c r="P48" s="25"/>
      <c r="Q48" s="25"/>
      <c r="R48" s="25"/>
      <c r="S48" s="25">
        <v>2.75</v>
      </c>
      <c r="T48" s="25">
        <v>2.75</v>
      </c>
      <c r="U48" s="25"/>
      <c r="W48" s="48"/>
    </row>
    <row r="49" spans="1:29" ht="16.5" customHeight="1">
      <c r="B49" s="6"/>
      <c r="C49" s="12">
        <f ca="1">IF(D49&lt;=TODAY(),1,"")</f>
        <v>1</v>
      </c>
      <c r="D49" s="22">
        <f>IF(M49="","",M49)</f>
        <v>44001</v>
      </c>
      <c r="E49" s="26">
        <f t="shared" ref="E49:J50" si="18">IF(O49="","",IF(O49=0,1,0))</f>
        <v>0</v>
      </c>
      <c r="F49" s="26" t="str">
        <f t="shared" si="18"/>
        <v/>
      </c>
      <c r="G49" s="26">
        <f t="shared" si="18"/>
        <v>1</v>
      </c>
      <c r="H49" s="26">
        <f t="shared" si="18"/>
        <v>1</v>
      </c>
      <c r="I49" s="26">
        <f t="shared" si="18"/>
        <v>1</v>
      </c>
      <c r="J49" s="26">
        <f t="shared" si="18"/>
        <v>1</v>
      </c>
      <c r="L49" s="6"/>
      <c r="M49" s="21">
        <f>M47+7</f>
        <v>44001</v>
      </c>
      <c r="N49" s="10" t="s">
        <v>24</v>
      </c>
      <c r="O49" s="25">
        <v>11</v>
      </c>
      <c r="P49" s="25"/>
      <c r="Q49" s="25">
        <v>0</v>
      </c>
      <c r="R49" s="25">
        <v>0</v>
      </c>
      <c r="S49" s="25">
        <v>0</v>
      </c>
      <c r="T49" s="25">
        <v>0</v>
      </c>
      <c r="U49" s="25"/>
      <c r="W49" s="48"/>
    </row>
    <row r="50" spans="1:29" ht="16.5" customHeight="1">
      <c r="B50" s="6"/>
      <c r="C50" s="12">
        <f ca="1">IF(D50&lt;=TODAY(),1,"")</f>
        <v>1</v>
      </c>
      <c r="D50" s="22">
        <f>IF(M50="","",M50)</f>
        <v>44008</v>
      </c>
      <c r="E50" s="26">
        <f t="shared" si="18"/>
        <v>0</v>
      </c>
      <c r="F50" s="26" t="str">
        <f t="shared" si="18"/>
        <v/>
      </c>
      <c r="G50" s="26">
        <f t="shared" si="18"/>
        <v>1</v>
      </c>
      <c r="H50" s="26" t="str">
        <f t="shared" si="18"/>
        <v/>
      </c>
      <c r="I50" s="26">
        <f t="shared" si="18"/>
        <v>1</v>
      </c>
      <c r="J50" s="26">
        <f t="shared" si="18"/>
        <v>1</v>
      </c>
      <c r="L50" s="6"/>
      <c r="M50" s="21">
        <f>M49+7</f>
        <v>44008</v>
      </c>
      <c r="N50" s="10" t="s">
        <v>24</v>
      </c>
      <c r="O50" s="25">
        <v>11</v>
      </c>
      <c r="P50" s="25"/>
      <c r="Q50" s="25">
        <v>0</v>
      </c>
      <c r="R50" s="25"/>
      <c r="S50" s="25">
        <v>0</v>
      </c>
      <c r="T50" s="25">
        <v>0</v>
      </c>
      <c r="U50" s="25"/>
      <c r="W50" s="48"/>
    </row>
    <row r="51" spans="1:29" ht="16.5" customHeight="1">
      <c r="B51" s="6"/>
      <c r="C51" s="76"/>
      <c r="D51" s="77"/>
      <c r="E51" s="77"/>
      <c r="F51" s="77"/>
      <c r="G51" s="77"/>
      <c r="H51" s="77"/>
      <c r="I51" s="77"/>
      <c r="J51" s="2"/>
      <c r="L51" s="6"/>
      <c r="M51" s="21">
        <f>M50+7</f>
        <v>44015</v>
      </c>
      <c r="N51" s="10" t="s">
        <v>47</v>
      </c>
      <c r="O51" s="25">
        <v>2.75</v>
      </c>
      <c r="P51" s="25"/>
      <c r="Q51" s="25"/>
      <c r="R51" s="25"/>
      <c r="S51" s="25"/>
      <c r="T51" s="25"/>
      <c r="U51" s="25"/>
      <c r="W51" s="48"/>
    </row>
    <row r="52" spans="1:29" ht="16.5" customHeight="1">
      <c r="B52" s="6"/>
      <c r="C52" s="12">
        <f ca="1">IF(D52&lt;=TODAY(),1,"")</f>
        <v>1</v>
      </c>
      <c r="D52" s="22">
        <f>IF(M52="","",M52)</f>
        <v>44015</v>
      </c>
      <c r="E52" s="26">
        <f t="shared" si="9"/>
        <v>1</v>
      </c>
      <c r="F52" s="26" t="str">
        <f t="shared" si="10"/>
        <v/>
      </c>
      <c r="G52" s="26">
        <f t="shared" si="11"/>
        <v>1</v>
      </c>
      <c r="H52" s="26" t="str">
        <f t="shared" si="12"/>
        <v/>
      </c>
      <c r="I52" s="26">
        <f t="shared" ref="I52:I59" si="19">IF(S52="","",IF(S52=0,1,0))</f>
        <v>1</v>
      </c>
      <c r="J52" s="26">
        <f t="shared" si="13"/>
        <v>1</v>
      </c>
      <c r="L52" s="6"/>
      <c r="M52" s="21">
        <f>M51</f>
        <v>44015</v>
      </c>
      <c r="N52" s="10" t="s">
        <v>24</v>
      </c>
      <c r="O52" s="25">
        <v>0</v>
      </c>
      <c r="P52" s="25"/>
      <c r="Q52" s="25">
        <v>0</v>
      </c>
      <c r="R52" s="25"/>
      <c r="S52" s="25">
        <v>0</v>
      </c>
      <c r="T52" s="25">
        <v>0</v>
      </c>
      <c r="U52" s="25"/>
      <c r="W52" s="48"/>
    </row>
    <row r="53" spans="1:29" ht="16.5" customHeight="1">
      <c r="B53" s="6"/>
      <c r="C53" s="76"/>
      <c r="D53" s="77"/>
      <c r="E53" s="77"/>
      <c r="F53" s="77" t="str">
        <f t="shared" si="10"/>
        <v/>
      </c>
      <c r="G53" s="77" t="str">
        <f t="shared" si="11"/>
        <v/>
      </c>
      <c r="H53" s="77" t="str">
        <f t="shared" si="12"/>
        <v/>
      </c>
      <c r="I53" s="77" t="str">
        <f t="shared" si="19"/>
        <v/>
      </c>
      <c r="J53" s="2" t="str">
        <f t="shared" si="13"/>
        <v/>
      </c>
      <c r="L53" s="6"/>
      <c r="M53" s="21">
        <v>44022</v>
      </c>
      <c r="N53" s="10" t="s">
        <v>47</v>
      </c>
      <c r="O53" s="25">
        <v>2.75</v>
      </c>
      <c r="P53" s="25"/>
      <c r="Q53" s="25"/>
      <c r="R53" s="25"/>
      <c r="S53" s="25"/>
      <c r="T53" s="25"/>
      <c r="U53" s="25"/>
      <c r="W53" s="48"/>
    </row>
    <row r="54" spans="1:29" ht="16.5" customHeight="1">
      <c r="B54" s="6"/>
      <c r="C54" s="12">
        <f t="shared" ca="1" si="8"/>
        <v>1</v>
      </c>
      <c r="D54" s="22">
        <f>IF(M54="","",M54)</f>
        <v>44022</v>
      </c>
      <c r="E54" s="26">
        <f t="shared" si="9"/>
        <v>1</v>
      </c>
      <c r="F54" s="26" t="str">
        <f t="shared" si="10"/>
        <v/>
      </c>
      <c r="G54" s="26">
        <f t="shared" si="11"/>
        <v>1</v>
      </c>
      <c r="H54" s="26" t="str">
        <f t="shared" si="12"/>
        <v/>
      </c>
      <c r="I54" s="26">
        <f t="shared" si="19"/>
        <v>0</v>
      </c>
      <c r="J54" s="26">
        <f t="shared" si="13"/>
        <v>1</v>
      </c>
      <c r="L54" s="6"/>
      <c r="M54" s="21">
        <f>M53</f>
        <v>44022</v>
      </c>
      <c r="N54" s="10" t="s">
        <v>24</v>
      </c>
      <c r="O54" s="25">
        <v>0</v>
      </c>
      <c r="P54" s="25"/>
      <c r="Q54" s="25">
        <v>0</v>
      </c>
      <c r="R54" s="25"/>
      <c r="S54" s="25">
        <v>11</v>
      </c>
      <c r="T54" s="25">
        <v>0</v>
      </c>
      <c r="U54" s="25"/>
      <c r="W54" s="48"/>
    </row>
    <row r="55" spans="1:29" ht="16.5" customHeight="1">
      <c r="B55" s="6"/>
      <c r="C55" s="12">
        <f t="shared" ca="1" si="8"/>
        <v>1</v>
      </c>
      <c r="D55" s="22">
        <f>IF(M55="","",M55)</f>
        <v>44029</v>
      </c>
      <c r="E55" s="26">
        <f t="shared" si="9"/>
        <v>0</v>
      </c>
      <c r="F55" s="26" t="str">
        <f t="shared" si="10"/>
        <v/>
      </c>
      <c r="G55" s="26">
        <f t="shared" si="11"/>
        <v>0</v>
      </c>
      <c r="H55" s="26" t="str">
        <f t="shared" si="12"/>
        <v/>
      </c>
      <c r="I55" s="26">
        <f t="shared" si="19"/>
        <v>1</v>
      </c>
      <c r="J55" s="26">
        <f t="shared" si="13"/>
        <v>1</v>
      </c>
      <c r="L55" s="6"/>
      <c r="M55" s="21">
        <f>M54+7</f>
        <v>44029</v>
      </c>
      <c r="N55" s="10" t="s">
        <v>24</v>
      </c>
      <c r="O55" s="25">
        <v>11</v>
      </c>
      <c r="P55" s="25"/>
      <c r="Q55" s="25">
        <v>11</v>
      </c>
      <c r="R55" s="25"/>
      <c r="S55" s="25">
        <v>0</v>
      </c>
      <c r="T55" s="25">
        <v>0</v>
      </c>
      <c r="U55" s="25"/>
      <c r="W55" s="48"/>
    </row>
    <row r="56" spans="1:29" ht="16.5" customHeight="1">
      <c r="B56" s="6"/>
      <c r="C56" s="12">
        <f t="shared" ca="1" si="8"/>
        <v>1</v>
      </c>
      <c r="D56" s="22">
        <f>IF(M56="","",M56)</f>
        <v>44036</v>
      </c>
      <c r="E56" s="26">
        <f t="shared" si="9"/>
        <v>1</v>
      </c>
      <c r="F56" s="26">
        <f t="shared" si="10"/>
        <v>1</v>
      </c>
      <c r="G56" s="26">
        <f t="shared" si="11"/>
        <v>1</v>
      </c>
      <c r="H56" s="26">
        <f t="shared" si="12"/>
        <v>1</v>
      </c>
      <c r="I56" s="26">
        <f t="shared" si="19"/>
        <v>1</v>
      </c>
      <c r="J56" s="26">
        <f t="shared" si="13"/>
        <v>0</v>
      </c>
      <c r="L56" s="6"/>
      <c r="M56" s="21">
        <f>M55+7</f>
        <v>44036</v>
      </c>
      <c r="N56" s="10" t="s">
        <v>24</v>
      </c>
      <c r="O56" s="25">
        <v>0</v>
      </c>
      <c r="P56" s="25">
        <v>0</v>
      </c>
      <c r="Q56" s="25">
        <v>0</v>
      </c>
      <c r="R56" s="25">
        <v>0</v>
      </c>
      <c r="S56" s="25">
        <v>0</v>
      </c>
      <c r="T56" s="25">
        <v>11</v>
      </c>
      <c r="U56" s="25"/>
    </row>
    <row r="57" spans="1:29" ht="16.5" customHeight="1">
      <c r="B57" s="6"/>
      <c r="C57" s="12">
        <f t="shared" ca="1" si="8"/>
        <v>1</v>
      </c>
      <c r="D57" s="22">
        <f>IF(M57="","",M57)</f>
        <v>44043</v>
      </c>
      <c r="E57" s="26">
        <f t="shared" si="9"/>
        <v>0</v>
      </c>
      <c r="F57" s="26" t="str">
        <f t="shared" si="10"/>
        <v/>
      </c>
      <c r="G57" s="26">
        <f t="shared" si="11"/>
        <v>1</v>
      </c>
      <c r="H57" s="26" t="str">
        <f t="shared" si="12"/>
        <v/>
      </c>
      <c r="I57" s="26">
        <f t="shared" si="19"/>
        <v>1</v>
      </c>
      <c r="J57" s="26">
        <f t="shared" si="13"/>
        <v>1</v>
      </c>
      <c r="L57" s="6"/>
      <c r="M57" s="21">
        <f>M56+7</f>
        <v>44043</v>
      </c>
      <c r="N57" s="10" t="s">
        <v>24</v>
      </c>
      <c r="O57" s="25">
        <v>11</v>
      </c>
      <c r="P57" s="25"/>
      <c r="Q57" s="25">
        <v>0</v>
      </c>
      <c r="R57" s="25"/>
      <c r="S57" s="25">
        <v>0</v>
      </c>
      <c r="T57" s="25">
        <v>0</v>
      </c>
      <c r="U57" s="25"/>
    </row>
    <row r="58" spans="1:29" ht="16.5" customHeight="1">
      <c r="B58" s="6"/>
      <c r="C58" s="12">
        <f t="shared" ca="1" si="8"/>
        <v>1</v>
      </c>
      <c r="D58" s="22">
        <f t="shared" ref="D58:D66" si="20">IF(M58="","",M58)</f>
        <v>44050</v>
      </c>
      <c r="E58" s="26">
        <f t="shared" si="9"/>
        <v>1</v>
      </c>
      <c r="F58" s="26" t="str">
        <f t="shared" si="10"/>
        <v/>
      </c>
      <c r="G58" s="26">
        <f t="shared" si="11"/>
        <v>1</v>
      </c>
      <c r="H58" s="26" t="str">
        <f t="shared" si="12"/>
        <v/>
      </c>
      <c r="I58" s="26">
        <f t="shared" si="19"/>
        <v>1</v>
      </c>
      <c r="J58" s="26">
        <f t="shared" si="13"/>
        <v>1</v>
      </c>
      <c r="L58" s="6"/>
      <c r="M58" s="21">
        <f>M57+7</f>
        <v>44050</v>
      </c>
      <c r="N58" s="10" t="s">
        <v>24</v>
      </c>
      <c r="O58" s="25">
        <v>0</v>
      </c>
      <c r="P58" s="25"/>
      <c r="Q58" s="25">
        <v>0</v>
      </c>
      <c r="R58" s="25"/>
      <c r="S58" s="25">
        <v>0</v>
      </c>
      <c r="T58" s="25">
        <v>0</v>
      </c>
      <c r="U58" s="25"/>
    </row>
    <row r="59" spans="1:29" ht="16.5" customHeight="1">
      <c r="B59" s="6"/>
      <c r="C59" s="76"/>
      <c r="D59" s="77"/>
      <c r="E59" s="77"/>
      <c r="F59" s="77" t="str">
        <f>IF(P59="","",IF(P59=0,1,0))</f>
        <v/>
      </c>
      <c r="G59" s="77" t="str">
        <f>IF(Q59="","",IF(Q59=0,1,0))</f>
        <v/>
      </c>
      <c r="H59" s="77" t="str">
        <f>IF(R59="","",IF(R59=0,1,0))</f>
        <v/>
      </c>
      <c r="I59" s="77" t="str">
        <f t="shared" si="19"/>
        <v/>
      </c>
      <c r="J59" s="2" t="str">
        <f>IF(T59="","",IF(T59=0,1,0))</f>
        <v/>
      </c>
      <c r="L59" s="6"/>
      <c r="M59" s="21">
        <f>M58+7</f>
        <v>44057</v>
      </c>
      <c r="N59" s="10" t="s">
        <v>47</v>
      </c>
      <c r="O59" s="25">
        <v>2.75</v>
      </c>
      <c r="P59" s="25"/>
      <c r="Q59" s="25"/>
      <c r="R59" s="25"/>
      <c r="S59" s="25"/>
      <c r="T59" s="25"/>
      <c r="U59" s="25"/>
    </row>
    <row r="60" spans="1:29" s="52" customFormat="1" ht="16.5" customHeight="1">
      <c r="A60" s="1"/>
      <c r="B60" s="1"/>
      <c r="C60" s="12">
        <f t="shared" ref="C60:C66" ca="1" si="21">IF(D60&lt;=TODAY(),1,"")</f>
        <v>1</v>
      </c>
      <c r="D60" s="22">
        <f t="shared" si="20"/>
        <v>44057</v>
      </c>
      <c r="E60" s="26">
        <f t="shared" ref="E60:E66" si="22">IF(O60="","",IF(O60=0,1,0))</f>
        <v>1</v>
      </c>
      <c r="F60" s="26">
        <f t="shared" ref="F60:F66" si="23">IF(P60="","",IF(P60=0,1,0))</f>
        <v>1</v>
      </c>
      <c r="G60" s="26">
        <f t="shared" ref="G60:G66" si="24">IF(Q60="","",IF(Q60=0,1,0))</f>
        <v>1</v>
      </c>
      <c r="H60" s="26" t="str">
        <f t="shared" ref="H60:H66" si="25">IF(R60="","",IF(R60=0,1,0))</f>
        <v/>
      </c>
      <c r="I60" s="26">
        <f t="shared" ref="I60:I66" si="26">IF(S60="","",IF(S60=0,1,0))</f>
        <v>1</v>
      </c>
      <c r="J60" s="26">
        <f t="shared" ref="J60:J66" si="27">IF(T60="","",IF(T60=0,1,0))</f>
        <v>1</v>
      </c>
      <c r="L60" s="51"/>
      <c r="M60" s="21">
        <v>44057</v>
      </c>
      <c r="N60" s="10" t="s">
        <v>24</v>
      </c>
      <c r="O60" s="25">
        <v>0</v>
      </c>
      <c r="P60" s="25">
        <v>0</v>
      </c>
      <c r="Q60" s="25">
        <v>0</v>
      </c>
      <c r="R60" s="25"/>
      <c r="S60" s="25">
        <v>0</v>
      </c>
      <c r="T60" s="25">
        <v>0</v>
      </c>
      <c r="U60" s="25"/>
    </row>
    <row r="61" spans="1:29">
      <c r="C61" s="12">
        <f t="shared" ca="1" si="21"/>
        <v>1</v>
      </c>
      <c r="D61" s="22">
        <f t="shared" si="20"/>
        <v>44064</v>
      </c>
      <c r="E61" s="26">
        <f t="shared" si="22"/>
        <v>1</v>
      </c>
      <c r="F61" s="26" t="str">
        <f t="shared" si="23"/>
        <v/>
      </c>
      <c r="G61" s="26">
        <f t="shared" si="24"/>
        <v>0</v>
      </c>
      <c r="H61" s="26">
        <f t="shared" si="25"/>
        <v>1</v>
      </c>
      <c r="I61" s="26">
        <f t="shared" si="26"/>
        <v>1</v>
      </c>
      <c r="J61" s="26">
        <f t="shared" si="27"/>
        <v>1</v>
      </c>
      <c r="M61" s="21">
        <f>M60+7</f>
        <v>44064</v>
      </c>
      <c r="N61" s="49" t="s">
        <v>24</v>
      </c>
      <c r="O61" s="50">
        <v>0</v>
      </c>
      <c r="P61" s="50"/>
      <c r="Q61" s="50">
        <v>11</v>
      </c>
      <c r="R61" s="50">
        <v>0</v>
      </c>
      <c r="S61" s="50">
        <v>0</v>
      </c>
      <c r="T61" s="50">
        <v>0</v>
      </c>
      <c r="U61" s="50"/>
    </row>
    <row r="62" spans="1:29">
      <c r="C62" s="12">
        <f t="shared" ca="1" si="21"/>
        <v>1</v>
      </c>
      <c r="D62" s="22">
        <f t="shared" si="20"/>
        <v>44071</v>
      </c>
      <c r="E62" s="26">
        <f t="shared" si="22"/>
        <v>0</v>
      </c>
      <c r="F62" s="26" t="str">
        <f t="shared" si="23"/>
        <v/>
      </c>
      <c r="G62" s="26">
        <f t="shared" si="24"/>
        <v>1</v>
      </c>
      <c r="H62" s="26">
        <f t="shared" si="25"/>
        <v>1</v>
      </c>
      <c r="I62" s="26">
        <f t="shared" si="26"/>
        <v>0</v>
      </c>
      <c r="J62" s="26">
        <f t="shared" si="27"/>
        <v>1</v>
      </c>
      <c r="M62" s="21">
        <f>M61+7</f>
        <v>44071</v>
      </c>
      <c r="N62" s="10" t="s">
        <v>24</v>
      </c>
      <c r="O62" s="25">
        <v>11</v>
      </c>
      <c r="P62" s="25"/>
      <c r="Q62" s="25">
        <v>0</v>
      </c>
      <c r="R62" s="25">
        <v>0</v>
      </c>
      <c r="S62" s="25">
        <v>11</v>
      </c>
      <c r="T62" s="25">
        <v>0</v>
      </c>
      <c r="U62" s="25"/>
      <c r="W62" s="36"/>
      <c r="X62" s="36"/>
      <c r="Y62" s="36"/>
      <c r="Z62" s="36"/>
      <c r="AA62" s="36"/>
      <c r="AB62" s="36"/>
      <c r="AC62" s="36"/>
    </row>
    <row r="63" spans="1:29">
      <c r="C63" s="76"/>
      <c r="D63" s="77"/>
      <c r="E63" s="77"/>
      <c r="F63" s="77" t="str">
        <f>IF(P63="","",IF(P63=0,1,0))</f>
        <v/>
      </c>
      <c r="G63" s="77" t="str">
        <f>IF(Q63="","",IF(Q63=0,1,0))</f>
        <v/>
      </c>
      <c r="H63" s="77" t="str">
        <f>IF(R63="","",IF(R63=0,1,0))</f>
        <v/>
      </c>
      <c r="I63" s="77" t="str">
        <f t="shared" si="26"/>
        <v/>
      </c>
      <c r="J63" s="2" t="str">
        <f>IF(T63="","",IF(T63=0,1,0))</f>
        <v/>
      </c>
      <c r="L63" s="6"/>
      <c r="M63" s="21">
        <f>M62+7</f>
        <v>44078</v>
      </c>
      <c r="N63" s="10" t="s">
        <v>47</v>
      </c>
      <c r="O63" s="25">
        <v>2.75</v>
      </c>
      <c r="P63" s="25"/>
      <c r="Q63" s="25"/>
      <c r="R63" s="25"/>
      <c r="S63" s="25"/>
      <c r="T63" s="25"/>
      <c r="U63" s="25"/>
      <c r="W63" s="36"/>
      <c r="X63" s="36"/>
      <c r="Y63" s="36"/>
      <c r="Z63" s="36"/>
      <c r="AA63" s="36"/>
      <c r="AB63" s="36"/>
      <c r="AC63" s="36"/>
    </row>
    <row r="64" spans="1:29">
      <c r="C64" s="12">
        <f t="shared" ca="1" si="21"/>
        <v>1</v>
      </c>
      <c r="D64" s="22">
        <f t="shared" si="20"/>
        <v>44078</v>
      </c>
      <c r="E64" s="26">
        <f t="shared" si="22"/>
        <v>1</v>
      </c>
      <c r="F64" s="26" t="str">
        <f t="shared" si="23"/>
        <v/>
      </c>
      <c r="G64" s="26">
        <f t="shared" si="24"/>
        <v>1</v>
      </c>
      <c r="H64" s="26">
        <f t="shared" si="25"/>
        <v>1</v>
      </c>
      <c r="I64" s="26">
        <f t="shared" si="26"/>
        <v>1</v>
      </c>
      <c r="J64" s="26">
        <f t="shared" si="27"/>
        <v>1</v>
      </c>
      <c r="M64" s="21">
        <f>M62+7</f>
        <v>44078</v>
      </c>
      <c r="N64" s="10" t="s">
        <v>24</v>
      </c>
      <c r="O64" s="25">
        <v>0</v>
      </c>
      <c r="P64" s="25"/>
      <c r="Q64" s="25">
        <v>0</v>
      </c>
      <c r="R64" s="25">
        <v>0</v>
      </c>
      <c r="S64" s="25">
        <v>0</v>
      </c>
      <c r="T64" s="25">
        <v>0</v>
      </c>
      <c r="U64" s="25"/>
    </row>
    <row r="65" spans="2:29">
      <c r="C65" s="12">
        <f t="shared" ca="1" si="21"/>
        <v>1</v>
      </c>
      <c r="D65" s="22">
        <f t="shared" si="20"/>
        <v>44085</v>
      </c>
      <c r="E65" s="26">
        <f t="shared" si="22"/>
        <v>1</v>
      </c>
      <c r="F65" s="26" t="str">
        <f t="shared" si="23"/>
        <v/>
      </c>
      <c r="G65" s="26">
        <f t="shared" si="24"/>
        <v>1</v>
      </c>
      <c r="H65" s="26" t="str">
        <f t="shared" si="25"/>
        <v/>
      </c>
      <c r="I65" s="26">
        <f t="shared" si="26"/>
        <v>1</v>
      </c>
      <c r="J65" s="26">
        <f t="shared" si="27"/>
        <v>1</v>
      </c>
      <c r="M65" s="21">
        <f>M64+7</f>
        <v>44085</v>
      </c>
      <c r="N65" s="10" t="s">
        <v>24</v>
      </c>
      <c r="O65" s="25">
        <v>0</v>
      </c>
      <c r="P65" s="25"/>
      <c r="Q65" s="25">
        <v>0</v>
      </c>
      <c r="R65" s="25"/>
      <c r="S65" s="25">
        <v>0</v>
      </c>
      <c r="T65" s="25">
        <v>0</v>
      </c>
      <c r="U65" s="25"/>
    </row>
    <row r="66" spans="2:29">
      <c r="C66" s="12">
        <f t="shared" ca="1" si="21"/>
        <v>1</v>
      </c>
      <c r="D66" s="22">
        <f t="shared" si="20"/>
        <v>44092</v>
      </c>
      <c r="E66" s="26">
        <f t="shared" si="22"/>
        <v>1</v>
      </c>
      <c r="F66" s="26" t="str">
        <f t="shared" si="23"/>
        <v/>
      </c>
      <c r="G66" s="26">
        <f t="shared" si="24"/>
        <v>1</v>
      </c>
      <c r="H66" s="26">
        <f t="shared" si="25"/>
        <v>1</v>
      </c>
      <c r="I66" s="26">
        <f t="shared" si="26"/>
        <v>0</v>
      </c>
      <c r="J66" s="26">
        <f t="shared" si="27"/>
        <v>1</v>
      </c>
      <c r="M66" s="21">
        <f>M65+7</f>
        <v>44092</v>
      </c>
      <c r="N66" s="10" t="s">
        <v>24</v>
      </c>
      <c r="O66" s="25">
        <v>0</v>
      </c>
      <c r="P66" s="25"/>
      <c r="Q66" s="25">
        <v>0</v>
      </c>
      <c r="R66" s="25">
        <v>0</v>
      </c>
      <c r="S66" s="25">
        <v>11</v>
      </c>
      <c r="T66" s="25">
        <v>0</v>
      </c>
      <c r="U66" s="25"/>
    </row>
    <row r="67" spans="2:29">
      <c r="C67" s="76"/>
      <c r="D67" s="77"/>
      <c r="E67" s="77"/>
      <c r="F67" s="77" t="str">
        <f>IF(P67="","",IF(P67=0,1,0))</f>
        <v/>
      </c>
      <c r="G67" s="77" t="str">
        <f>IF(Q67="","",IF(Q67=0,1,0))</f>
        <v/>
      </c>
      <c r="H67" s="77" t="str">
        <f>IF(R67="","",IF(R67=0,1,0))</f>
        <v/>
      </c>
      <c r="I67" s="77" t="str">
        <f t="shared" ref="I67" si="28">IF(S67="","",IF(S67=0,1,0))</f>
        <v/>
      </c>
      <c r="J67" s="2" t="str">
        <f>IF(T67="","",IF(T67=0,1,0))</f>
        <v/>
      </c>
      <c r="L67" s="6"/>
      <c r="M67" s="21">
        <f>M66+7</f>
        <v>44099</v>
      </c>
      <c r="N67" s="10" t="s">
        <v>47</v>
      </c>
      <c r="O67" s="25">
        <v>2.75</v>
      </c>
      <c r="P67" s="25"/>
      <c r="Q67" s="25"/>
      <c r="R67" s="25"/>
      <c r="S67" s="25"/>
      <c r="T67" s="25"/>
      <c r="U67" s="25"/>
      <c r="W67" s="36"/>
      <c r="X67" s="36"/>
      <c r="Y67" s="36"/>
      <c r="Z67" s="36"/>
      <c r="AA67" s="36"/>
      <c r="AB67" s="36"/>
      <c r="AC67" s="36"/>
    </row>
    <row r="68" spans="2:29">
      <c r="C68" s="12">
        <v>1</v>
      </c>
      <c r="D68" s="22">
        <f t="shared" ref="D68:D76" si="29">IF(M68="","",M68)</f>
        <v>44099</v>
      </c>
      <c r="E68" s="26">
        <f t="shared" ref="E68:E76" si="30">IF(O68="","",IF(O68=0,1,0))</f>
        <v>1</v>
      </c>
      <c r="F68" s="26" t="str">
        <f t="shared" ref="F68:F76" si="31">IF(P68="","",IF(P68=0,1,0))</f>
        <v/>
      </c>
      <c r="G68" s="26">
        <f t="shared" ref="G68:G76" si="32">IF(Q68="","",IF(Q68=0,1,0))</f>
        <v>1</v>
      </c>
      <c r="H68" s="26" t="str">
        <f t="shared" ref="H68:H76" si="33">IF(R68="","",IF(R68=0,1,0))</f>
        <v/>
      </c>
      <c r="I68" s="26">
        <f t="shared" ref="I68:I76" si="34">IF(S68="","",IF(S68=0,1,0))</f>
        <v>1</v>
      </c>
      <c r="J68" s="26">
        <f t="shared" ref="J68:J76" si="35">IF(T68="","",IF(T68=0,1,0))</f>
        <v>1</v>
      </c>
      <c r="M68" s="21">
        <f>M67</f>
        <v>44099</v>
      </c>
      <c r="N68" s="10" t="s">
        <v>24</v>
      </c>
      <c r="O68" s="25">
        <v>0</v>
      </c>
      <c r="P68" s="25"/>
      <c r="Q68" s="25">
        <v>0</v>
      </c>
      <c r="R68" s="25"/>
      <c r="S68" s="25">
        <v>0</v>
      </c>
      <c r="T68" s="25">
        <v>0</v>
      </c>
      <c r="U68" s="25"/>
    </row>
    <row r="69" spans="2:29">
      <c r="C69" s="12">
        <f t="shared" ref="C69:C76" ca="1" si="36">IF(D69&lt;=TODAY(),1,"")</f>
        <v>1</v>
      </c>
      <c r="D69" s="22">
        <f t="shared" si="29"/>
        <v>44106</v>
      </c>
      <c r="E69" s="26">
        <f t="shared" si="30"/>
        <v>1</v>
      </c>
      <c r="F69" s="26" t="str">
        <f t="shared" si="31"/>
        <v/>
      </c>
      <c r="G69" s="26">
        <f t="shared" si="32"/>
        <v>1</v>
      </c>
      <c r="H69" s="26" t="str">
        <f t="shared" si="33"/>
        <v/>
      </c>
      <c r="I69" s="26">
        <f t="shared" si="34"/>
        <v>1</v>
      </c>
      <c r="J69" s="26">
        <f t="shared" si="35"/>
        <v>1</v>
      </c>
      <c r="M69" s="21">
        <f>M68+7</f>
        <v>44106</v>
      </c>
      <c r="N69" s="10" t="s">
        <v>24</v>
      </c>
      <c r="O69" s="25">
        <v>0</v>
      </c>
      <c r="P69" s="25"/>
      <c r="Q69" s="25">
        <v>0</v>
      </c>
      <c r="R69" s="25"/>
      <c r="S69" s="25">
        <v>0</v>
      </c>
      <c r="T69" s="25">
        <v>0</v>
      </c>
      <c r="U69" s="25"/>
    </row>
    <row r="70" spans="2:29">
      <c r="C70" s="76"/>
      <c r="D70" s="77"/>
      <c r="E70" s="77"/>
      <c r="F70" s="77" t="str">
        <f>IF(P70="","",IF(P70=0,1,0))</f>
        <v/>
      </c>
      <c r="G70" s="77" t="str">
        <f>IF(Q70="","",IF(Q70=0,1,0))</f>
        <v/>
      </c>
      <c r="H70" s="77" t="str">
        <f>IF(R70="","",IF(R70=0,1,0))</f>
        <v/>
      </c>
      <c r="I70" s="77" t="str">
        <f t="shared" si="34"/>
        <v/>
      </c>
      <c r="J70" s="2" t="str">
        <f>IF(T70="","",IF(T70=0,1,0))</f>
        <v/>
      </c>
      <c r="M70" s="21">
        <f>M71</f>
        <v>44113</v>
      </c>
      <c r="N70" s="10" t="s">
        <v>47</v>
      </c>
      <c r="O70" s="25">
        <v>2.75</v>
      </c>
      <c r="P70" s="25"/>
      <c r="Q70" s="25"/>
      <c r="R70" s="25"/>
      <c r="S70" s="25"/>
      <c r="T70" s="25"/>
      <c r="U70" s="25"/>
    </row>
    <row r="71" spans="2:29" ht="16.5" customHeight="1">
      <c r="B71" s="6"/>
      <c r="C71" s="12">
        <f t="shared" ca="1" si="36"/>
        <v>1</v>
      </c>
      <c r="D71" s="22">
        <f t="shared" si="29"/>
        <v>44113</v>
      </c>
      <c r="E71" s="26">
        <f t="shared" si="30"/>
        <v>1</v>
      </c>
      <c r="F71" s="26" t="str">
        <f t="shared" si="31"/>
        <v/>
      </c>
      <c r="G71" s="26">
        <f t="shared" si="32"/>
        <v>0</v>
      </c>
      <c r="H71" s="26" t="str">
        <f t="shared" si="33"/>
        <v/>
      </c>
      <c r="I71" s="26">
        <f t="shared" si="34"/>
        <v>1</v>
      </c>
      <c r="J71" s="26">
        <f t="shared" si="35"/>
        <v>1</v>
      </c>
      <c r="L71" s="6"/>
      <c r="M71" s="21">
        <f>M69+7</f>
        <v>44113</v>
      </c>
      <c r="N71" s="10" t="s">
        <v>24</v>
      </c>
      <c r="O71" s="25">
        <v>0</v>
      </c>
      <c r="P71" s="25"/>
      <c r="Q71" s="25">
        <v>11</v>
      </c>
      <c r="R71" s="25"/>
      <c r="S71" s="25">
        <v>0</v>
      </c>
      <c r="T71" s="25">
        <v>0</v>
      </c>
      <c r="U71" s="25"/>
    </row>
    <row r="72" spans="2:29">
      <c r="C72" s="12">
        <f t="shared" ca="1" si="36"/>
        <v>1</v>
      </c>
      <c r="D72" s="22">
        <f t="shared" si="29"/>
        <v>44120</v>
      </c>
      <c r="E72" s="26">
        <f t="shared" si="30"/>
        <v>1</v>
      </c>
      <c r="F72" s="26" t="str">
        <f t="shared" si="31"/>
        <v/>
      </c>
      <c r="G72" s="26">
        <f t="shared" si="32"/>
        <v>1</v>
      </c>
      <c r="H72" s="26" t="str">
        <f t="shared" si="33"/>
        <v/>
      </c>
      <c r="I72" s="26">
        <f t="shared" si="34"/>
        <v>1</v>
      </c>
      <c r="J72" s="26">
        <f t="shared" si="35"/>
        <v>1</v>
      </c>
      <c r="M72" s="21">
        <f>M71+7</f>
        <v>44120</v>
      </c>
      <c r="N72" s="10" t="s">
        <v>24</v>
      </c>
      <c r="O72" s="25">
        <v>0</v>
      </c>
      <c r="P72" s="25"/>
      <c r="Q72" s="25">
        <v>0</v>
      </c>
      <c r="R72" s="25"/>
      <c r="S72" s="25">
        <v>0</v>
      </c>
      <c r="T72" s="25">
        <v>0</v>
      </c>
      <c r="U72" s="25"/>
    </row>
    <row r="73" spans="2:29">
      <c r="C73" s="76"/>
      <c r="D73" s="77"/>
      <c r="E73" s="77"/>
      <c r="F73" s="77" t="str">
        <f>IF(P73="","",IF(P73=0,1,0))</f>
        <v/>
      </c>
      <c r="G73" s="77" t="str">
        <f>IF(Q73="","",IF(Q73=0,1,0))</f>
        <v/>
      </c>
      <c r="H73" s="77" t="str">
        <f>IF(R73="","",IF(R73=0,1,0))</f>
        <v/>
      </c>
      <c r="I73" s="77" t="str">
        <f t="shared" ref="I73" si="37">IF(S73="","",IF(S73=0,1,0))</f>
        <v/>
      </c>
      <c r="J73" s="2" t="str">
        <f>IF(T73="","",IF(T73=0,1,0))</f>
        <v/>
      </c>
      <c r="M73" s="21">
        <f>M74</f>
        <v>44127</v>
      </c>
      <c r="N73" s="10" t="s">
        <v>43</v>
      </c>
      <c r="O73" s="25">
        <v>5.5</v>
      </c>
      <c r="P73" s="25"/>
      <c r="Q73" s="25"/>
      <c r="R73" s="25"/>
      <c r="S73" s="25"/>
      <c r="T73" s="25"/>
      <c r="U73" s="25"/>
    </row>
    <row r="74" spans="2:29">
      <c r="C74" s="12">
        <f t="shared" ca="1" si="36"/>
        <v>1</v>
      </c>
      <c r="D74" s="22">
        <f t="shared" si="29"/>
        <v>44127</v>
      </c>
      <c r="E74" s="26">
        <f t="shared" si="30"/>
        <v>1</v>
      </c>
      <c r="F74" s="26">
        <f t="shared" si="31"/>
        <v>1</v>
      </c>
      <c r="G74" s="26">
        <f t="shared" si="32"/>
        <v>0</v>
      </c>
      <c r="H74" s="26" t="str">
        <f t="shared" si="33"/>
        <v/>
      </c>
      <c r="I74" s="26">
        <f t="shared" si="34"/>
        <v>0</v>
      </c>
      <c r="J74" s="26">
        <f t="shared" si="35"/>
        <v>1</v>
      </c>
      <c r="M74" s="21">
        <f>M72+7</f>
        <v>44127</v>
      </c>
      <c r="N74" s="10" t="s">
        <v>24</v>
      </c>
      <c r="O74" s="25">
        <v>0</v>
      </c>
      <c r="P74" s="25">
        <v>0</v>
      </c>
      <c r="Q74" s="25">
        <v>11</v>
      </c>
      <c r="R74" s="25"/>
      <c r="S74" s="25">
        <v>11</v>
      </c>
      <c r="T74" s="25">
        <v>0</v>
      </c>
      <c r="U74" s="25"/>
    </row>
    <row r="75" spans="2:29">
      <c r="C75" s="12">
        <f t="shared" ca="1" si="36"/>
        <v>1</v>
      </c>
      <c r="D75" s="22">
        <f t="shared" si="29"/>
        <v>44134</v>
      </c>
      <c r="E75" s="26">
        <f t="shared" si="30"/>
        <v>1</v>
      </c>
      <c r="F75" s="26">
        <f t="shared" si="31"/>
        <v>1</v>
      </c>
      <c r="G75" s="26">
        <f t="shared" si="32"/>
        <v>1</v>
      </c>
      <c r="H75" s="26">
        <f t="shared" si="33"/>
        <v>1</v>
      </c>
      <c r="I75" s="26">
        <f t="shared" si="34"/>
        <v>1</v>
      </c>
      <c r="J75" s="26">
        <f t="shared" si="35"/>
        <v>1</v>
      </c>
      <c r="M75" s="21">
        <f t="shared" ref="M75:M80" si="38">M74+7</f>
        <v>44134</v>
      </c>
      <c r="N75" s="10" t="s">
        <v>24</v>
      </c>
      <c r="O75" s="25">
        <v>0</v>
      </c>
      <c r="P75" s="25">
        <v>0</v>
      </c>
      <c r="Q75" s="25">
        <v>0</v>
      </c>
      <c r="R75" s="25">
        <v>0</v>
      </c>
      <c r="S75" s="25">
        <v>0</v>
      </c>
      <c r="T75" s="25">
        <v>0</v>
      </c>
      <c r="U75" s="25"/>
    </row>
    <row r="76" spans="2:29">
      <c r="C76" s="12">
        <f t="shared" ca="1" si="36"/>
        <v>1</v>
      </c>
      <c r="D76" s="22">
        <f t="shared" si="29"/>
        <v>44141</v>
      </c>
      <c r="E76" s="26">
        <f t="shared" si="30"/>
        <v>1</v>
      </c>
      <c r="F76" s="26">
        <f t="shared" si="31"/>
        <v>1</v>
      </c>
      <c r="G76" s="26">
        <f t="shared" si="32"/>
        <v>0</v>
      </c>
      <c r="H76" s="26" t="str">
        <f t="shared" si="33"/>
        <v/>
      </c>
      <c r="I76" s="26">
        <f t="shared" si="34"/>
        <v>1</v>
      </c>
      <c r="J76" s="26">
        <f t="shared" si="35"/>
        <v>1</v>
      </c>
      <c r="M76" s="21">
        <f t="shared" si="38"/>
        <v>44141</v>
      </c>
      <c r="N76" s="10" t="s">
        <v>24</v>
      </c>
      <c r="O76" s="25">
        <v>0</v>
      </c>
      <c r="P76" s="25">
        <v>0</v>
      </c>
      <c r="Q76" s="25">
        <v>11</v>
      </c>
      <c r="R76" s="25"/>
      <c r="S76" s="25">
        <v>0</v>
      </c>
      <c r="T76" s="25">
        <v>0</v>
      </c>
      <c r="U76" s="25"/>
    </row>
    <row r="77" spans="2:29">
      <c r="C77" s="12">
        <f t="shared" ref="C77:C88" ca="1" si="39">IF(D77&lt;=TODAY(),1,"")</f>
        <v>1</v>
      </c>
      <c r="D77" s="22">
        <f t="shared" ref="D77:D88" si="40">IF(M77="","",M77)</f>
        <v>44148</v>
      </c>
      <c r="E77" s="26">
        <f t="shared" si="9"/>
        <v>0</v>
      </c>
      <c r="F77" s="26">
        <f t="shared" si="10"/>
        <v>1</v>
      </c>
      <c r="G77" s="26">
        <f t="shared" si="11"/>
        <v>1</v>
      </c>
      <c r="H77" s="26" t="str">
        <f t="shared" si="12"/>
        <v/>
      </c>
      <c r="I77" s="26">
        <f t="shared" ref="I77:I88" si="41">IF(S77="","",IF(S77=0,1,0))</f>
        <v>1</v>
      </c>
      <c r="J77" s="26">
        <f t="shared" si="13"/>
        <v>1</v>
      </c>
      <c r="M77" s="21">
        <f t="shared" si="38"/>
        <v>44148</v>
      </c>
      <c r="N77" s="10" t="s">
        <v>24</v>
      </c>
      <c r="O77" s="25">
        <v>11</v>
      </c>
      <c r="P77" s="25">
        <v>0</v>
      </c>
      <c r="Q77" s="25">
        <v>0</v>
      </c>
      <c r="R77" s="25"/>
      <c r="S77" s="25">
        <v>0</v>
      </c>
      <c r="T77" s="25">
        <v>0</v>
      </c>
      <c r="U77" s="25"/>
    </row>
    <row r="78" spans="2:29">
      <c r="C78" s="12">
        <f t="shared" ca="1" si="39"/>
        <v>1</v>
      </c>
      <c r="D78" s="22">
        <f t="shared" si="40"/>
        <v>44155</v>
      </c>
      <c r="E78" s="26">
        <f t="shared" si="9"/>
        <v>1</v>
      </c>
      <c r="F78" s="26">
        <f t="shared" si="10"/>
        <v>1</v>
      </c>
      <c r="G78" s="26">
        <f t="shared" si="11"/>
        <v>1</v>
      </c>
      <c r="H78" s="26">
        <f t="shared" si="12"/>
        <v>1</v>
      </c>
      <c r="I78" s="26">
        <f t="shared" si="41"/>
        <v>1</v>
      </c>
      <c r="J78" s="26">
        <f t="shared" si="13"/>
        <v>1</v>
      </c>
      <c r="M78" s="21">
        <f t="shared" si="38"/>
        <v>44155</v>
      </c>
      <c r="N78" s="10" t="s">
        <v>24</v>
      </c>
      <c r="O78" s="25">
        <v>0</v>
      </c>
      <c r="P78" s="25">
        <v>0</v>
      </c>
      <c r="Q78" s="25">
        <v>0</v>
      </c>
      <c r="R78" s="25">
        <v>0</v>
      </c>
      <c r="S78" s="25">
        <v>0</v>
      </c>
      <c r="T78" s="25">
        <v>0</v>
      </c>
      <c r="U78" s="25"/>
    </row>
    <row r="79" spans="2:29">
      <c r="C79" s="12">
        <f t="shared" ca="1" si="39"/>
        <v>1</v>
      </c>
      <c r="D79" s="22">
        <f t="shared" si="40"/>
        <v>44162</v>
      </c>
      <c r="E79" s="26">
        <f t="shared" si="9"/>
        <v>1</v>
      </c>
      <c r="F79" s="26" t="str">
        <f t="shared" si="10"/>
        <v/>
      </c>
      <c r="G79" s="26">
        <f t="shared" si="11"/>
        <v>1</v>
      </c>
      <c r="H79" s="26">
        <f t="shared" si="12"/>
        <v>1</v>
      </c>
      <c r="I79" s="26">
        <f t="shared" si="41"/>
        <v>1</v>
      </c>
      <c r="J79" s="26">
        <f t="shared" si="13"/>
        <v>1</v>
      </c>
      <c r="M79" s="21">
        <f t="shared" si="38"/>
        <v>44162</v>
      </c>
      <c r="N79" s="10" t="s">
        <v>24</v>
      </c>
      <c r="O79" s="25">
        <v>0</v>
      </c>
      <c r="P79" s="25"/>
      <c r="Q79" s="25">
        <v>0</v>
      </c>
      <c r="R79" s="25">
        <v>0</v>
      </c>
      <c r="S79" s="25">
        <v>0</v>
      </c>
      <c r="T79" s="25">
        <v>0</v>
      </c>
      <c r="U79" s="25"/>
    </row>
    <row r="80" spans="2:29">
      <c r="C80" s="12">
        <f t="shared" ca="1" si="39"/>
        <v>1</v>
      </c>
      <c r="D80" s="22">
        <f t="shared" si="40"/>
        <v>44169</v>
      </c>
      <c r="E80" s="26">
        <f t="shared" si="9"/>
        <v>0</v>
      </c>
      <c r="F80" s="26">
        <f t="shared" si="10"/>
        <v>1</v>
      </c>
      <c r="G80" s="26">
        <f t="shared" si="11"/>
        <v>1</v>
      </c>
      <c r="H80" s="26" t="str">
        <f t="shared" si="12"/>
        <v/>
      </c>
      <c r="I80" s="26">
        <f t="shared" si="41"/>
        <v>1</v>
      </c>
      <c r="J80" s="26">
        <f t="shared" si="13"/>
        <v>1</v>
      </c>
      <c r="M80" s="21">
        <f t="shared" si="38"/>
        <v>44169</v>
      </c>
      <c r="N80" s="10" t="s">
        <v>24</v>
      </c>
      <c r="O80" s="25">
        <v>11</v>
      </c>
      <c r="P80" s="25">
        <v>0</v>
      </c>
      <c r="Q80" s="25">
        <v>0</v>
      </c>
      <c r="R80" s="25"/>
      <c r="S80" s="25">
        <v>0</v>
      </c>
      <c r="T80" s="25">
        <v>0</v>
      </c>
      <c r="U80" s="25"/>
    </row>
    <row r="81" spans="3:21">
      <c r="C81" s="76"/>
      <c r="D81" s="77"/>
      <c r="E81" s="77"/>
      <c r="F81" s="77" t="str">
        <f>IF(P81="","",IF(P81=0,1,0))</f>
        <v/>
      </c>
      <c r="G81" s="77" t="str">
        <f>IF(Q81="","",IF(Q81=0,1,0))</f>
        <v/>
      </c>
      <c r="H81" s="77" t="str">
        <f>IF(R81="","",IF(R81=0,1,0))</f>
        <v/>
      </c>
      <c r="I81" s="77" t="str">
        <f t="shared" si="41"/>
        <v/>
      </c>
      <c r="J81" s="2" t="str">
        <f>IF(T81="","",IF(T81=0,1,0))</f>
        <v/>
      </c>
      <c r="M81" s="21">
        <f>M80+7</f>
        <v>44176</v>
      </c>
      <c r="N81" s="10" t="s">
        <v>47</v>
      </c>
      <c r="O81" s="25">
        <v>2.75</v>
      </c>
      <c r="P81" s="25"/>
      <c r="Q81" s="25"/>
      <c r="R81" s="25"/>
      <c r="S81" s="25"/>
      <c r="T81" s="25"/>
      <c r="U81" s="25"/>
    </row>
    <row r="82" spans="3:21">
      <c r="C82" s="12">
        <f t="shared" ca="1" si="39"/>
        <v>1</v>
      </c>
      <c r="D82" s="22">
        <f t="shared" si="40"/>
        <v>44176</v>
      </c>
      <c r="E82" s="26">
        <f t="shared" si="9"/>
        <v>1</v>
      </c>
      <c r="F82" s="26">
        <f t="shared" si="10"/>
        <v>1</v>
      </c>
      <c r="G82" s="26">
        <f t="shared" si="11"/>
        <v>1</v>
      </c>
      <c r="H82" s="26" t="str">
        <f t="shared" si="12"/>
        <v/>
      </c>
      <c r="I82" s="26">
        <f t="shared" si="41"/>
        <v>1</v>
      </c>
      <c r="J82" s="26">
        <f t="shared" si="13"/>
        <v>1</v>
      </c>
      <c r="M82" s="21">
        <f>M81</f>
        <v>44176</v>
      </c>
      <c r="N82" s="10" t="s">
        <v>24</v>
      </c>
      <c r="O82" s="25">
        <v>0</v>
      </c>
      <c r="P82" s="25">
        <v>0</v>
      </c>
      <c r="Q82" s="25">
        <v>0</v>
      </c>
      <c r="R82" s="25"/>
      <c r="S82" s="25">
        <v>0</v>
      </c>
      <c r="T82" s="25">
        <v>0</v>
      </c>
      <c r="U82" s="25"/>
    </row>
    <row r="83" spans="3:21">
      <c r="C83" s="76"/>
      <c r="D83" s="77"/>
      <c r="E83" s="77"/>
      <c r="F83" s="77" t="str">
        <f>IF(P83="","",IF(P83=0,1,0))</f>
        <v/>
      </c>
      <c r="G83" s="77" t="str">
        <f>IF(Q83="","",IF(Q83=0,1,0))</f>
        <v/>
      </c>
      <c r="H83" s="77"/>
      <c r="I83" s="77" t="str">
        <f t="shared" ref="I83" si="42">IF(S83="","",IF(S83=0,1,0))</f>
        <v/>
      </c>
      <c r="J83" s="2" t="str">
        <f>IF(T83="","",IF(T83=0,1,0))</f>
        <v/>
      </c>
      <c r="M83" s="21">
        <f>M82+7</f>
        <v>44183</v>
      </c>
      <c r="N83" s="10" t="s">
        <v>47</v>
      </c>
      <c r="O83" s="25"/>
      <c r="P83" s="25"/>
      <c r="Q83" s="25"/>
      <c r="R83" s="25">
        <v>2.75</v>
      </c>
      <c r="S83" s="25"/>
      <c r="T83" s="25"/>
      <c r="U83" s="25"/>
    </row>
    <row r="84" spans="3:21">
      <c r="C84" s="12">
        <f ca="1">IF(D84&lt;=TODAY(),1,"")</f>
        <v>1</v>
      </c>
      <c r="D84" s="22">
        <f t="shared" si="40"/>
        <v>44183</v>
      </c>
      <c r="E84" s="26">
        <f t="shared" si="9"/>
        <v>1</v>
      </c>
      <c r="F84" s="26">
        <f t="shared" si="10"/>
        <v>1</v>
      </c>
      <c r="G84" s="26">
        <f t="shared" si="11"/>
        <v>0</v>
      </c>
      <c r="H84" s="26">
        <f t="shared" si="12"/>
        <v>1</v>
      </c>
      <c r="I84" s="26">
        <f t="shared" si="41"/>
        <v>0</v>
      </c>
      <c r="J84" s="26">
        <f t="shared" si="13"/>
        <v>1</v>
      </c>
      <c r="M84" s="21">
        <f>M83</f>
        <v>44183</v>
      </c>
      <c r="N84" s="10" t="s">
        <v>24</v>
      </c>
      <c r="O84" s="25">
        <v>0</v>
      </c>
      <c r="P84" s="25">
        <v>0</v>
      </c>
      <c r="Q84" s="25">
        <v>11</v>
      </c>
      <c r="R84" s="25">
        <v>0</v>
      </c>
      <c r="S84" s="25">
        <v>11</v>
      </c>
      <c r="T84" s="25">
        <v>0</v>
      </c>
      <c r="U84" s="25"/>
    </row>
    <row r="85" spans="3:21">
      <c r="C85" s="12">
        <f ca="1">IF(D85&lt;=TODAY(),1,"")</f>
        <v>1</v>
      </c>
      <c r="D85" s="22">
        <f t="shared" si="40"/>
        <v>44204</v>
      </c>
      <c r="E85" s="26">
        <f t="shared" si="9"/>
        <v>1</v>
      </c>
      <c r="F85" s="26" t="str">
        <f t="shared" si="10"/>
        <v/>
      </c>
      <c r="G85" s="26">
        <f t="shared" si="11"/>
        <v>0</v>
      </c>
      <c r="H85" s="26" t="str">
        <f t="shared" si="12"/>
        <v/>
      </c>
      <c r="I85" s="26">
        <f t="shared" si="41"/>
        <v>0</v>
      </c>
      <c r="J85" s="26">
        <f t="shared" si="13"/>
        <v>1</v>
      </c>
      <c r="M85" s="21">
        <v>44204</v>
      </c>
      <c r="N85" s="10" t="s">
        <v>24</v>
      </c>
      <c r="O85" s="25">
        <v>0</v>
      </c>
      <c r="P85" s="25"/>
      <c r="Q85" s="25">
        <v>11</v>
      </c>
      <c r="R85" s="25"/>
      <c r="S85" s="25">
        <v>11</v>
      </c>
      <c r="T85" s="25">
        <v>0</v>
      </c>
      <c r="U85" s="25"/>
    </row>
    <row r="86" spans="3:21">
      <c r="C86" s="12">
        <f t="shared" ca="1" si="39"/>
        <v>1</v>
      </c>
      <c r="D86" s="22">
        <f t="shared" si="40"/>
        <v>44211</v>
      </c>
      <c r="E86" s="26">
        <f t="shared" si="9"/>
        <v>0</v>
      </c>
      <c r="F86" s="26">
        <f t="shared" si="10"/>
        <v>1</v>
      </c>
      <c r="G86" s="26">
        <f t="shared" si="11"/>
        <v>0</v>
      </c>
      <c r="H86" s="26">
        <f t="shared" si="12"/>
        <v>1</v>
      </c>
      <c r="I86" s="26">
        <f t="shared" si="41"/>
        <v>0</v>
      </c>
      <c r="J86" s="26">
        <f t="shared" si="13"/>
        <v>1</v>
      </c>
      <c r="M86" s="21">
        <f>M85+7</f>
        <v>44211</v>
      </c>
      <c r="N86" s="10" t="s">
        <v>24</v>
      </c>
      <c r="O86" s="25">
        <v>11</v>
      </c>
      <c r="P86" s="25">
        <v>0</v>
      </c>
      <c r="Q86" s="25">
        <v>11</v>
      </c>
      <c r="R86" s="25">
        <v>0</v>
      </c>
      <c r="S86" s="25">
        <v>11</v>
      </c>
      <c r="T86" s="136">
        <v>0</v>
      </c>
      <c r="U86" s="25"/>
    </row>
    <row r="87" spans="3:21">
      <c r="C87" s="76"/>
      <c r="D87" s="77"/>
      <c r="E87" s="77"/>
      <c r="F87" s="77"/>
      <c r="G87" s="77" t="str">
        <f>IF(Q87="","",IF(Q87=0,1,0))</f>
        <v/>
      </c>
      <c r="H87" s="77"/>
      <c r="I87" s="77" t="str">
        <f t="shared" si="41"/>
        <v/>
      </c>
      <c r="J87" s="2"/>
      <c r="M87" s="21">
        <f>M86</f>
        <v>44211</v>
      </c>
      <c r="N87" s="10" t="s">
        <v>124</v>
      </c>
      <c r="O87" s="25"/>
      <c r="P87" s="25">
        <v>5</v>
      </c>
      <c r="Q87" s="25"/>
      <c r="R87" s="25">
        <v>5</v>
      </c>
      <c r="S87" s="25"/>
      <c r="T87" s="25">
        <v>5</v>
      </c>
      <c r="U87" s="25"/>
    </row>
    <row r="88" spans="3:21">
      <c r="C88" s="12">
        <f t="shared" ca="1" si="39"/>
        <v>1</v>
      </c>
      <c r="D88" s="22">
        <f t="shared" si="40"/>
        <v>44218</v>
      </c>
      <c r="E88" s="26">
        <f>IF(O88="","",IF(O88=0,1,0))</f>
        <v>1</v>
      </c>
      <c r="F88" s="26">
        <f t="shared" si="10"/>
        <v>1</v>
      </c>
      <c r="G88" s="26">
        <f t="shared" si="11"/>
        <v>1</v>
      </c>
      <c r="H88" s="26">
        <f t="shared" si="12"/>
        <v>1</v>
      </c>
      <c r="I88" s="26">
        <f t="shared" si="41"/>
        <v>1</v>
      </c>
      <c r="J88" s="26">
        <f t="shared" si="13"/>
        <v>1</v>
      </c>
      <c r="M88" s="21">
        <f t="shared" ref="M88:M93" si="43">M87+7</f>
        <v>44218</v>
      </c>
      <c r="N88" s="10" t="s">
        <v>24</v>
      </c>
      <c r="O88" s="25">
        <v>0</v>
      </c>
      <c r="P88" s="25">
        <v>0</v>
      </c>
      <c r="Q88" s="25">
        <v>0</v>
      </c>
      <c r="R88" s="25">
        <v>0</v>
      </c>
      <c r="S88" s="25">
        <v>0</v>
      </c>
      <c r="T88" s="25">
        <v>0</v>
      </c>
      <c r="U88" s="25"/>
    </row>
    <row r="89" spans="3:21">
      <c r="C89" s="12">
        <v>1</v>
      </c>
      <c r="D89" s="22">
        <f t="shared" ref="D89" si="44">IF(M89="","",M89)</f>
        <v>44225</v>
      </c>
      <c r="E89" s="26">
        <f t="shared" ref="E89" si="45">IF(O89="","",IF(O89=0,1,0))</f>
        <v>0</v>
      </c>
      <c r="F89" s="26" t="str">
        <f t="shared" ref="F89" si="46">IF(P89="","",IF(P89=0,1,0))</f>
        <v/>
      </c>
      <c r="G89" s="26">
        <f t="shared" ref="G89" si="47">IF(Q89="","",IF(Q89=0,1,0))</f>
        <v>1</v>
      </c>
      <c r="H89" s="26" t="str">
        <f t="shared" ref="H89" si="48">IF(R89="","",IF(R89=0,1,0))</f>
        <v/>
      </c>
      <c r="I89" s="26">
        <f t="shared" ref="I89" si="49">IF(S89="","",IF(S89=0,1,0))</f>
        <v>1</v>
      </c>
      <c r="J89" s="26">
        <f t="shared" ref="J89" si="50">IF(T89="","",IF(T89=0,1,0))</f>
        <v>0</v>
      </c>
      <c r="M89" s="21">
        <f t="shared" si="43"/>
        <v>44225</v>
      </c>
      <c r="N89" s="10" t="s">
        <v>24</v>
      </c>
      <c r="O89" s="25">
        <v>11</v>
      </c>
      <c r="P89" s="25"/>
      <c r="Q89" s="25">
        <v>0</v>
      </c>
      <c r="R89" s="25"/>
      <c r="S89" s="25">
        <v>0</v>
      </c>
      <c r="T89" s="25">
        <v>11</v>
      </c>
      <c r="U89" s="25"/>
    </row>
    <row r="90" spans="3:21">
      <c r="C90" s="12">
        <f t="shared" ref="C90:C92" ca="1" si="51">IF(D90&lt;=TODAY(),1,"")</f>
        <v>1</v>
      </c>
      <c r="D90" s="22">
        <f t="shared" ref="D90:D92" si="52">IF(M90="","",M90)</f>
        <v>44232</v>
      </c>
      <c r="E90" s="26">
        <f t="shared" ref="E90:E92" si="53">IF(O90="","",IF(O90=0,1,0))</f>
        <v>1</v>
      </c>
      <c r="F90" s="26">
        <f t="shared" ref="F90:F92" si="54">IF(P90="","",IF(P90=0,1,0))</f>
        <v>1</v>
      </c>
      <c r="G90" s="26">
        <f t="shared" ref="G90:G92" si="55">IF(Q90="","",IF(Q90=0,1,0))</f>
        <v>1</v>
      </c>
      <c r="H90" s="26">
        <f t="shared" ref="H90:H92" si="56">IF(R90="","",IF(R90=0,1,0))</f>
        <v>1</v>
      </c>
      <c r="I90" s="26">
        <f t="shared" ref="I90:I92" si="57">IF(S90="","",IF(S90=0,1,0))</f>
        <v>1</v>
      </c>
      <c r="J90" s="26">
        <f t="shared" ref="J90:J92" si="58">IF(T90="","",IF(T90=0,1,0))</f>
        <v>1</v>
      </c>
      <c r="M90" s="21">
        <f t="shared" si="43"/>
        <v>44232</v>
      </c>
      <c r="N90" s="10" t="s">
        <v>24</v>
      </c>
      <c r="O90" s="25">
        <v>0</v>
      </c>
      <c r="P90" s="25">
        <v>0</v>
      </c>
      <c r="Q90" s="25">
        <v>0</v>
      </c>
      <c r="R90" s="25">
        <v>0</v>
      </c>
      <c r="S90" s="25">
        <v>0</v>
      </c>
      <c r="T90" s="25">
        <v>0</v>
      </c>
      <c r="U90" s="25"/>
    </row>
    <row r="91" spans="3:21">
      <c r="C91" s="12">
        <f t="shared" ca="1" si="51"/>
        <v>1</v>
      </c>
      <c r="D91" s="22">
        <f t="shared" si="52"/>
        <v>44239</v>
      </c>
      <c r="E91" s="26">
        <f t="shared" si="53"/>
        <v>1</v>
      </c>
      <c r="F91" s="26">
        <f t="shared" si="54"/>
        <v>1</v>
      </c>
      <c r="G91" s="26">
        <f t="shared" si="55"/>
        <v>1</v>
      </c>
      <c r="H91" s="26" t="str">
        <f t="shared" si="56"/>
        <v/>
      </c>
      <c r="I91" s="26">
        <f t="shared" si="57"/>
        <v>1</v>
      </c>
      <c r="J91" s="26">
        <f t="shared" si="58"/>
        <v>1</v>
      </c>
      <c r="M91" s="21">
        <f t="shared" si="43"/>
        <v>44239</v>
      </c>
      <c r="N91" s="10" t="s">
        <v>24</v>
      </c>
      <c r="O91" s="25">
        <v>0</v>
      </c>
      <c r="P91" s="25">
        <v>0</v>
      </c>
      <c r="Q91" s="25">
        <v>0</v>
      </c>
      <c r="R91" s="25"/>
      <c r="S91" s="25">
        <v>0</v>
      </c>
      <c r="T91" s="25">
        <v>0</v>
      </c>
      <c r="U91" s="25"/>
    </row>
    <row r="92" spans="3:21">
      <c r="C92" s="12">
        <f t="shared" ca="1" si="51"/>
        <v>1</v>
      </c>
      <c r="D92" s="22">
        <f t="shared" si="52"/>
        <v>44246</v>
      </c>
      <c r="E92" s="26">
        <f t="shared" si="53"/>
        <v>1</v>
      </c>
      <c r="F92" s="26">
        <f t="shared" si="54"/>
        <v>1</v>
      </c>
      <c r="G92" s="26">
        <f t="shared" si="55"/>
        <v>0</v>
      </c>
      <c r="H92" s="26" t="str">
        <f t="shared" si="56"/>
        <v/>
      </c>
      <c r="I92" s="26">
        <f t="shared" si="57"/>
        <v>0</v>
      </c>
      <c r="J92" s="26">
        <f t="shared" si="58"/>
        <v>1</v>
      </c>
      <c r="M92" s="21">
        <f t="shared" si="43"/>
        <v>44246</v>
      </c>
      <c r="N92" s="10" t="s">
        <v>24</v>
      </c>
      <c r="O92" s="25">
        <v>0</v>
      </c>
      <c r="P92" s="25">
        <v>0</v>
      </c>
      <c r="Q92" s="25">
        <v>11</v>
      </c>
      <c r="R92" s="25"/>
      <c r="S92" s="25">
        <v>11</v>
      </c>
      <c r="T92" s="25">
        <v>0</v>
      </c>
      <c r="U92" s="25"/>
    </row>
    <row r="93" spans="3:21">
      <c r="C93" s="12">
        <f t="shared" ref="C93" ca="1" si="59">IF(D93&lt;=TODAY(),1,"")</f>
        <v>1</v>
      </c>
      <c r="D93" s="22">
        <f t="shared" ref="D93" si="60">IF(M93="","",M93)</f>
        <v>44253</v>
      </c>
      <c r="E93" s="26">
        <f t="shared" ref="E93" si="61">IF(O93="","",IF(O93=0,1,0))</f>
        <v>1</v>
      </c>
      <c r="F93" s="26">
        <f t="shared" ref="F93" si="62">IF(P93="","",IF(P93=0,1,0))</f>
        <v>1</v>
      </c>
      <c r="G93" s="26">
        <f t="shared" ref="G93" si="63">IF(Q93="","",IF(Q93=0,1,0))</f>
        <v>1</v>
      </c>
      <c r="H93" s="26">
        <f t="shared" ref="H93" si="64">IF(R93="","",IF(R93=0,1,0))</f>
        <v>1</v>
      </c>
      <c r="I93" s="26">
        <f t="shared" ref="I93" si="65">IF(S93="","",IF(S93=0,1,0))</f>
        <v>1</v>
      </c>
      <c r="J93" s="26">
        <f t="shared" ref="J93" si="66">IF(T93="","",IF(T93=0,1,0))</f>
        <v>0</v>
      </c>
      <c r="M93" s="21">
        <f t="shared" si="43"/>
        <v>44253</v>
      </c>
      <c r="N93" s="10" t="s">
        <v>24</v>
      </c>
      <c r="O93" s="25">
        <v>0</v>
      </c>
      <c r="P93" s="25">
        <v>0</v>
      </c>
      <c r="Q93" s="25">
        <v>0</v>
      </c>
      <c r="R93" s="25">
        <v>0</v>
      </c>
      <c r="S93" s="25">
        <v>0</v>
      </c>
      <c r="T93" s="25">
        <v>11</v>
      </c>
      <c r="U93" s="25"/>
    </row>
    <row r="94" spans="3:21">
      <c r="C94" s="12">
        <f t="shared" ref="C94:C98" ca="1" si="67">IF(D94&lt;=TODAY(),1,"")</f>
        <v>1</v>
      </c>
      <c r="D94" s="22">
        <f t="shared" ref="D94:D95" si="68">IF(M94="","",M94)</f>
        <v>44260</v>
      </c>
      <c r="E94" s="26">
        <f t="shared" ref="E94:E98" si="69">IF(O94="","",IF(O94=0,1,0))</f>
        <v>0</v>
      </c>
      <c r="F94" s="26">
        <f t="shared" ref="F94:F98" si="70">IF(P94="","",IF(P94=0,1,0))</f>
        <v>1</v>
      </c>
      <c r="G94" s="26">
        <f t="shared" ref="G94:G98" si="71">IF(Q94="","",IF(Q94=0,1,0))</f>
        <v>1</v>
      </c>
      <c r="H94" s="26" t="str">
        <f t="shared" ref="H94:H98" si="72">IF(R94="","",IF(R94=0,1,0))</f>
        <v/>
      </c>
      <c r="I94" s="26">
        <f t="shared" ref="I94:I98" si="73">IF(S94="","",IF(S94=0,1,0))</f>
        <v>1</v>
      </c>
      <c r="J94" s="26">
        <f t="shared" ref="J94:J98" si="74">IF(T94="","",IF(T94=0,1,0))</f>
        <v>1</v>
      </c>
      <c r="M94" s="21">
        <f>M93+7</f>
        <v>44260</v>
      </c>
      <c r="N94" s="10" t="s">
        <v>24</v>
      </c>
      <c r="O94" s="25">
        <v>11</v>
      </c>
      <c r="P94" s="25">
        <v>0</v>
      </c>
      <c r="Q94" s="25">
        <v>0</v>
      </c>
      <c r="R94" s="25"/>
      <c r="S94" s="25">
        <v>0</v>
      </c>
      <c r="T94" s="25">
        <v>0</v>
      </c>
    </row>
    <row r="95" spans="3:21">
      <c r="C95" s="12">
        <f t="shared" ca="1" si="67"/>
        <v>1</v>
      </c>
      <c r="D95" s="22">
        <f t="shared" si="68"/>
        <v>44267</v>
      </c>
      <c r="E95" s="26">
        <f t="shared" si="69"/>
        <v>1</v>
      </c>
      <c r="F95" s="26">
        <f t="shared" si="70"/>
        <v>1</v>
      </c>
      <c r="G95" s="26">
        <f t="shared" si="71"/>
        <v>1</v>
      </c>
      <c r="H95" s="26">
        <f t="shared" si="72"/>
        <v>1</v>
      </c>
      <c r="I95" s="26">
        <f t="shared" si="73"/>
        <v>1</v>
      </c>
      <c r="J95" s="26">
        <f t="shared" si="74"/>
        <v>1</v>
      </c>
      <c r="M95" s="21">
        <f>M94+7</f>
        <v>44267</v>
      </c>
      <c r="N95" s="10" t="s">
        <v>24</v>
      </c>
      <c r="O95" s="25">
        <v>0</v>
      </c>
      <c r="P95" s="25">
        <v>0</v>
      </c>
      <c r="Q95" s="25">
        <v>0</v>
      </c>
      <c r="R95" s="25">
        <v>0</v>
      </c>
      <c r="S95" s="25">
        <v>0</v>
      </c>
      <c r="T95" s="25">
        <v>0</v>
      </c>
    </row>
    <row r="96" spans="3:21">
      <c r="C96" s="12">
        <f t="shared" ref="C96:C97" ca="1" si="75">IF(D96&lt;=TODAY(),1,"")</f>
        <v>1</v>
      </c>
      <c r="D96" s="22">
        <f t="shared" ref="D96:D98" si="76">IF(M96="","",M96)</f>
        <v>44274</v>
      </c>
      <c r="E96" s="26">
        <f t="shared" ref="E96:E97" si="77">IF(O96="","",IF(O96=0,1,0))</f>
        <v>1</v>
      </c>
      <c r="F96" s="26" t="str">
        <f t="shared" ref="F96:F97" si="78">IF(P96="","",IF(P96=0,1,0))</f>
        <v/>
      </c>
      <c r="G96" s="26">
        <f t="shared" ref="G96:G97" si="79">IF(Q96="","",IF(Q96=0,1,0))</f>
        <v>1</v>
      </c>
      <c r="H96" s="26">
        <f t="shared" ref="H96:H97" si="80">IF(R96="","",IF(R96=0,1,0))</f>
        <v>1</v>
      </c>
      <c r="I96" s="26">
        <f t="shared" ref="I96:I97" si="81">IF(S96="","",IF(S96=0,1,0))</f>
        <v>1</v>
      </c>
      <c r="J96" s="26">
        <f t="shared" ref="J96:J97" si="82">IF(T96="","",IF(T96=0,1,0))</f>
        <v>1</v>
      </c>
      <c r="M96" s="21">
        <f>M95+7</f>
        <v>44274</v>
      </c>
      <c r="N96" s="10" t="s">
        <v>24</v>
      </c>
      <c r="O96" s="25">
        <v>0</v>
      </c>
      <c r="P96" s="25"/>
      <c r="Q96" s="25">
        <v>0</v>
      </c>
      <c r="R96" s="25">
        <v>0</v>
      </c>
      <c r="S96" s="25">
        <v>0</v>
      </c>
      <c r="T96" s="25">
        <v>0</v>
      </c>
    </row>
    <row r="97" spans="3:20">
      <c r="C97" s="12">
        <f t="shared" ca="1" si="75"/>
        <v>1</v>
      </c>
      <c r="D97" s="22">
        <f t="shared" si="76"/>
        <v>44281</v>
      </c>
      <c r="E97" s="26">
        <f t="shared" si="77"/>
        <v>1</v>
      </c>
      <c r="F97" s="26">
        <f t="shared" si="78"/>
        <v>1</v>
      </c>
      <c r="G97" s="26">
        <f t="shared" si="79"/>
        <v>1</v>
      </c>
      <c r="H97" s="26" t="str">
        <f t="shared" si="80"/>
        <v/>
      </c>
      <c r="I97" s="26">
        <f t="shared" si="81"/>
        <v>1</v>
      </c>
      <c r="J97" s="26">
        <f t="shared" si="82"/>
        <v>0</v>
      </c>
      <c r="M97" s="21">
        <f t="shared" ref="M97" si="83">M96+7</f>
        <v>44281</v>
      </c>
      <c r="N97" s="10" t="s">
        <v>24</v>
      </c>
      <c r="O97" s="25">
        <v>0</v>
      </c>
      <c r="P97" s="25">
        <v>0</v>
      </c>
      <c r="Q97" s="25">
        <v>0</v>
      </c>
      <c r="R97" s="25"/>
      <c r="S97" s="25">
        <v>0</v>
      </c>
      <c r="T97" s="25">
        <v>11</v>
      </c>
    </row>
    <row r="98" spans="3:20">
      <c r="C98" s="12">
        <f t="shared" ca="1" si="67"/>
        <v>1</v>
      </c>
      <c r="D98" s="22">
        <f t="shared" si="76"/>
        <v>44295</v>
      </c>
      <c r="E98" s="26">
        <f t="shared" si="69"/>
        <v>1</v>
      </c>
      <c r="F98" s="26">
        <f t="shared" si="70"/>
        <v>1</v>
      </c>
      <c r="G98" s="26">
        <f t="shared" si="71"/>
        <v>1</v>
      </c>
      <c r="H98" s="26">
        <f t="shared" si="72"/>
        <v>1</v>
      </c>
      <c r="I98" s="26">
        <f t="shared" si="73"/>
        <v>1</v>
      </c>
      <c r="J98" s="26">
        <f t="shared" si="74"/>
        <v>1</v>
      </c>
      <c r="M98" s="21">
        <f>M97+14</f>
        <v>44295</v>
      </c>
      <c r="N98" s="10" t="s">
        <v>24</v>
      </c>
      <c r="O98" s="25">
        <v>0</v>
      </c>
      <c r="P98" s="25">
        <v>0</v>
      </c>
      <c r="Q98" s="25">
        <v>0</v>
      </c>
      <c r="R98" s="25">
        <v>0</v>
      </c>
      <c r="S98" s="25">
        <v>0</v>
      </c>
      <c r="T98" s="25">
        <v>0</v>
      </c>
    </row>
    <row r="99" spans="3:20">
      <c r="C99" s="12">
        <f t="shared" ref="C99:C103" ca="1" si="84">IF(D99&lt;=TODAY(),1,"")</f>
        <v>1</v>
      </c>
      <c r="D99" s="22">
        <f t="shared" ref="D99:D105" si="85">IF(M99="","",M99)</f>
        <v>44302</v>
      </c>
      <c r="E99" s="26">
        <f t="shared" ref="E99:E102" si="86">IF(O99="","",IF(O99=0,1,0))</f>
        <v>1</v>
      </c>
      <c r="F99" s="26">
        <f t="shared" ref="F99:F102" si="87">IF(P99="","",IF(P99=0,1,0))</f>
        <v>1</v>
      </c>
      <c r="G99" s="26">
        <f t="shared" ref="G99:G102" si="88">IF(Q99="","",IF(Q99=0,1,0))</f>
        <v>1</v>
      </c>
      <c r="H99" s="26">
        <f t="shared" ref="H99:H102" si="89">IF(R99="","",IF(R99=0,1,0))</f>
        <v>1</v>
      </c>
      <c r="I99" s="26">
        <f t="shared" ref="I99:I104" si="90">IF(S99="","",IF(S99=0,1,0))</f>
        <v>1</v>
      </c>
      <c r="J99" s="26">
        <f t="shared" ref="J99:J102" si="91">IF(T99="","",IF(T99=0,1,0))</f>
        <v>1</v>
      </c>
      <c r="M99" s="21">
        <f>M98+7</f>
        <v>44302</v>
      </c>
      <c r="N99" s="10" t="s">
        <v>24</v>
      </c>
      <c r="O99" s="25">
        <v>0</v>
      </c>
      <c r="P99" s="25">
        <v>0</v>
      </c>
      <c r="Q99" s="25">
        <v>0</v>
      </c>
      <c r="R99" s="25">
        <v>0</v>
      </c>
      <c r="S99" s="25">
        <v>0</v>
      </c>
      <c r="T99" s="25">
        <v>0</v>
      </c>
    </row>
    <row r="100" spans="3:20">
      <c r="C100" s="12">
        <f t="shared" ca="1" si="84"/>
        <v>1</v>
      </c>
      <c r="D100" s="22">
        <f t="shared" si="85"/>
        <v>44309</v>
      </c>
      <c r="E100" s="26">
        <f t="shared" si="86"/>
        <v>1</v>
      </c>
      <c r="F100" s="26">
        <f t="shared" si="87"/>
        <v>1</v>
      </c>
      <c r="G100" s="26">
        <f t="shared" si="88"/>
        <v>1</v>
      </c>
      <c r="H100" s="26" t="str">
        <f t="shared" si="89"/>
        <v/>
      </c>
      <c r="I100" s="26">
        <f t="shared" si="90"/>
        <v>1</v>
      </c>
      <c r="J100" s="26">
        <f t="shared" si="91"/>
        <v>1</v>
      </c>
      <c r="M100" s="21">
        <f>M99+7</f>
        <v>44309</v>
      </c>
      <c r="N100" s="10" t="s">
        <v>24</v>
      </c>
      <c r="O100" s="25">
        <v>0</v>
      </c>
      <c r="P100" s="25">
        <v>0</v>
      </c>
      <c r="Q100" s="25">
        <v>0</v>
      </c>
      <c r="R100" s="25"/>
      <c r="S100" s="25">
        <v>0</v>
      </c>
      <c r="T100" s="25">
        <v>0</v>
      </c>
    </row>
    <row r="101" spans="3:20">
      <c r="C101" s="12">
        <f t="shared" ca="1" si="84"/>
        <v>1</v>
      </c>
      <c r="D101" s="22">
        <f t="shared" si="85"/>
        <v>44316</v>
      </c>
      <c r="E101" s="26">
        <f t="shared" si="86"/>
        <v>1</v>
      </c>
      <c r="F101" s="26">
        <f t="shared" si="87"/>
        <v>1</v>
      </c>
      <c r="G101" s="26">
        <f t="shared" si="88"/>
        <v>0</v>
      </c>
      <c r="H101" s="26" t="str">
        <f t="shared" si="89"/>
        <v/>
      </c>
      <c r="I101" s="26">
        <f t="shared" si="90"/>
        <v>1</v>
      </c>
      <c r="J101" s="26">
        <f t="shared" si="91"/>
        <v>1</v>
      </c>
      <c r="M101" s="21">
        <f>M100+7</f>
        <v>44316</v>
      </c>
      <c r="N101" s="10" t="s">
        <v>24</v>
      </c>
      <c r="O101" s="25">
        <v>0</v>
      </c>
      <c r="P101" s="25">
        <v>0</v>
      </c>
      <c r="Q101" s="25">
        <v>11</v>
      </c>
      <c r="R101" s="25"/>
      <c r="S101" s="25">
        <v>0</v>
      </c>
      <c r="T101" s="25">
        <v>0</v>
      </c>
    </row>
    <row r="102" spans="3:20">
      <c r="C102" s="12">
        <f t="shared" ca="1" si="84"/>
        <v>1</v>
      </c>
      <c r="D102" s="22">
        <f t="shared" si="85"/>
        <v>44323</v>
      </c>
      <c r="E102" s="26">
        <f t="shared" si="86"/>
        <v>1</v>
      </c>
      <c r="F102" s="26">
        <f t="shared" si="87"/>
        <v>1</v>
      </c>
      <c r="G102" s="26">
        <f t="shared" si="88"/>
        <v>1</v>
      </c>
      <c r="H102" s="26" t="str">
        <f t="shared" si="89"/>
        <v/>
      </c>
      <c r="I102" s="26">
        <f t="shared" si="90"/>
        <v>0</v>
      </c>
      <c r="J102" s="26">
        <f t="shared" si="91"/>
        <v>1</v>
      </c>
      <c r="M102" s="21">
        <f>M101+7</f>
        <v>44323</v>
      </c>
      <c r="N102" s="10" t="s">
        <v>24</v>
      </c>
      <c r="O102" s="25">
        <v>0</v>
      </c>
      <c r="P102" s="25">
        <v>0</v>
      </c>
      <c r="Q102" s="25">
        <v>0</v>
      </c>
      <c r="R102" s="25"/>
      <c r="S102" s="25">
        <v>11</v>
      </c>
      <c r="T102" s="25">
        <v>0</v>
      </c>
    </row>
    <row r="103" spans="3:20">
      <c r="C103" s="12">
        <f t="shared" ca="1" si="84"/>
        <v>1</v>
      </c>
      <c r="D103" s="22">
        <f t="shared" si="85"/>
        <v>44330</v>
      </c>
      <c r="E103" s="26">
        <f t="shared" ref="E103" si="92">IF(O103="","",IF(O103=0,1,0))</f>
        <v>1</v>
      </c>
      <c r="F103" s="26"/>
      <c r="G103" s="26">
        <f t="shared" ref="G103" si="93">IF(Q103="","",IF(Q103=0,1,0))</f>
        <v>1</v>
      </c>
      <c r="H103" s="26" t="str">
        <f t="shared" ref="H103" si="94">IF(R103="","",IF(R103=0,1,0))</f>
        <v/>
      </c>
      <c r="I103" s="26">
        <f>IF(S103="","",IF(S103=0,1,0))</f>
        <v>1</v>
      </c>
      <c r="J103" s="26">
        <f t="shared" ref="J103" si="95">IF(T103="","",IF(T103=0,1,0))</f>
        <v>1</v>
      </c>
      <c r="M103" s="21">
        <f>M102+7</f>
        <v>44330</v>
      </c>
      <c r="N103" s="10" t="s">
        <v>24</v>
      </c>
      <c r="O103" s="25">
        <v>0</v>
      </c>
      <c r="P103" s="25"/>
      <c r="Q103" s="25">
        <v>0</v>
      </c>
      <c r="R103" s="25"/>
      <c r="S103" s="25">
        <v>0</v>
      </c>
      <c r="T103" s="25">
        <v>0</v>
      </c>
    </row>
    <row r="104" spans="3:20">
      <c r="C104" s="76"/>
      <c r="D104" s="77"/>
      <c r="E104" s="77"/>
      <c r="F104" s="77" t="str">
        <f>IF(P104="","",IF(P104=0,1,0))</f>
        <v/>
      </c>
      <c r="G104" s="77" t="str">
        <f>IF(Q104="","",IF(Q104=0,1,0))</f>
        <v/>
      </c>
      <c r="H104" s="77"/>
      <c r="I104" s="77" t="str">
        <f t="shared" si="90"/>
        <v/>
      </c>
      <c r="J104" s="2" t="str">
        <f>IF(T104="","",IF(T104=0,1,0))</f>
        <v/>
      </c>
      <c r="M104" s="21">
        <f>M103</f>
        <v>44330</v>
      </c>
      <c r="N104" s="10" t="s">
        <v>47</v>
      </c>
      <c r="O104" s="25">
        <v>2.75</v>
      </c>
      <c r="P104" s="25"/>
      <c r="Q104" s="25"/>
      <c r="R104" s="25"/>
      <c r="S104" s="25"/>
      <c r="T104" s="25"/>
    </row>
    <row r="105" spans="3:20">
      <c r="C105" s="12">
        <f ca="1">IF(D105&lt;=TODAY(),1,"")</f>
        <v>1</v>
      </c>
      <c r="D105" s="22">
        <f t="shared" si="85"/>
        <v>44337</v>
      </c>
      <c r="E105" s="26">
        <f>IF(O105="","",IF(O105=0,1,0))</f>
        <v>1</v>
      </c>
      <c r="F105" s="26">
        <f t="shared" ref="F105:H105" si="96">IF(P105="","",IF(P105=0,1,0))</f>
        <v>1</v>
      </c>
      <c r="G105" s="26">
        <f>IF(Q105="","",IF(Q105=0,1,0))</f>
        <v>0</v>
      </c>
      <c r="H105" s="26">
        <f t="shared" si="96"/>
        <v>1</v>
      </c>
      <c r="I105" s="26">
        <f>IF(S105="","",IF(S105=0,1,0))</f>
        <v>1</v>
      </c>
      <c r="J105" s="26">
        <f>IF(T105="","",IF(T105=0,1,0))</f>
        <v>1</v>
      </c>
      <c r="M105" s="21">
        <f>M103+7</f>
        <v>44337</v>
      </c>
      <c r="N105" s="10" t="s">
        <v>24</v>
      </c>
      <c r="O105" s="25">
        <v>0</v>
      </c>
      <c r="P105" s="25">
        <v>0</v>
      </c>
      <c r="Q105" s="25">
        <v>11</v>
      </c>
      <c r="R105" s="25">
        <v>0</v>
      </c>
      <c r="S105" s="25">
        <v>0</v>
      </c>
      <c r="T105" s="25">
        <v>0</v>
      </c>
    </row>
  </sheetData>
  <sortState xmlns:xlrd2="http://schemas.microsoft.com/office/spreadsheetml/2017/richdata2" ref="D8:G14">
    <sortCondition descending="1" ref="E8:E14"/>
    <sortCondition ref="D8:D14"/>
  </sortState>
  <mergeCells count="40">
    <mergeCell ref="X9:Y9"/>
    <mergeCell ref="Z5:AA7"/>
    <mergeCell ref="Z13:AA13"/>
    <mergeCell ref="Z12:AA12"/>
    <mergeCell ref="Z10:AA10"/>
    <mergeCell ref="Z11:AA11"/>
    <mergeCell ref="Z8:AA8"/>
    <mergeCell ref="Z9:AA9"/>
    <mergeCell ref="X5:Y7"/>
    <mergeCell ref="X8:Y8"/>
    <mergeCell ref="X12:Y12"/>
    <mergeCell ref="X11:Y11"/>
    <mergeCell ref="X10:Y10"/>
    <mergeCell ref="X13:Y14"/>
    <mergeCell ref="T5:U5"/>
    <mergeCell ref="Q13:R13"/>
    <mergeCell ref="Q16:R16"/>
    <mergeCell ref="O5:S5"/>
    <mergeCell ref="S14:T14"/>
    <mergeCell ref="Q14:R14"/>
    <mergeCell ref="S12:T12"/>
    <mergeCell ref="S13:T13"/>
    <mergeCell ref="S7:T7"/>
    <mergeCell ref="S8:T8"/>
    <mergeCell ref="S9:T9"/>
    <mergeCell ref="S10:T10"/>
    <mergeCell ref="S11:T11"/>
    <mergeCell ref="Q7:R7"/>
    <mergeCell ref="Q8:R8"/>
    <mergeCell ref="Q9:R9"/>
    <mergeCell ref="Q10:R10"/>
    <mergeCell ref="Q11:R11"/>
    <mergeCell ref="V12:W12"/>
    <mergeCell ref="V13:W13"/>
    <mergeCell ref="Q12:R12"/>
    <mergeCell ref="V5:W7"/>
    <mergeCell ref="V8:W8"/>
    <mergeCell ref="V9:W9"/>
    <mergeCell ref="V10:W10"/>
    <mergeCell ref="V11:W11"/>
  </mergeCells>
  <conditionalFormatting sqref="E77">
    <cfRule type="cellIs" dxfId="67" priority="64" operator="equal">
      <formula>0</formula>
    </cfRule>
  </conditionalFormatting>
  <conditionalFormatting sqref="E79:E80">
    <cfRule type="cellIs" dxfId="66" priority="60" operator="equal">
      <formula>0</formula>
    </cfRule>
  </conditionalFormatting>
  <conditionalFormatting sqref="E86">
    <cfRule type="cellIs" dxfId="65" priority="50" operator="equal">
      <formula>0</formula>
    </cfRule>
  </conditionalFormatting>
  <conditionalFormatting sqref="E89">
    <cfRule type="cellIs" dxfId="64" priority="48" operator="equal">
      <formula>0</formula>
    </cfRule>
  </conditionalFormatting>
  <conditionalFormatting sqref="E94">
    <cfRule type="cellIs" dxfId="63" priority="40" operator="equal">
      <formula>0</formula>
    </cfRule>
  </conditionalFormatting>
  <conditionalFormatting sqref="E25:J30 E32:J32 E34:J43 E49:J50 E52:J52 E54:J58 E82:J82">
    <cfRule type="cellIs" dxfId="62" priority="207" operator="equal">
      <formula>1</formula>
    </cfRule>
  </conditionalFormatting>
  <conditionalFormatting sqref="E25:J30 E32:J32 E34:J43 E49:J50 E52:J52 E54:J58">
    <cfRule type="cellIs" dxfId="61" priority="206" operator="equal">
      <formula>0</formula>
    </cfRule>
  </conditionalFormatting>
  <conditionalFormatting sqref="E45:J47">
    <cfRule type="cellIs" dxfId="60" priority="125" operator="equal">
      <formula>1</formula>
    </cfRule>
    <cfRule type="cellIs" dxfId="59" priority="124" operator="equal">
      <formula>0</formula>
    </cfRule>
  </conditionalFormatting>
  <conditionalFormatting sqref="E60:J62 E64:J66 E68:J69 E71:J72 E74:J76">
    <cfRule type="cellIs" dxfId="58" priority="104" operator="equal">
      <formula>0</formula>
    </cfRule>
  </conditionalFormatting>
  <conditionalFormatting sqref="E60:J62 E64:J66 E68:J69 E71:J72">
    <cfRule type="cellIs" dxfId="57" priority="105" operator="equal">
      <formula>1</formula>
    </cfRule>
  </conditionalFormatting>
  <conditionalFormatting sqref="E74:J80">
    <cfRule type="cellIs" dxfId="56" priority="61" operator="equal">
      <formula>1</formula>
    </cfRule>
  </conditionalFormatting>
  <conditionalFormatting sqref="E84:J86">
    <cfRule type="cellIs" dxfId="55" priority="51" operator="equal">
      <formula>1</formula>
    </cfRule>
  </conditionalFormatting>
  <conditionalFormatting sqref="E88:J103">
    <cfRule type="cellIs" dxfId="54" priority="33" operator="equal">
      <formula>1</formula>
    </cfRule>
  </conditionalFormatting>
  <conditionalFormatting sqref="E105:J105">
    <cfRule type="cellIs" dxfId="53" priority="2" operator="equal">
      <formula>1</formula>
    </cfRule>
  </conditionalFormatting>
  <conditionalFormatting sqref="G85:G86">
    <cfRule type="cellIs" dxfId="52" priority="52" operator="equal">
      <formula>0</formula>
    </cfRule>
  </conditionalFormatting>
  <conditionalFormatting sqref="G92">
    <cfRule type="cellIs" dxfId="51" priority="44" operator="equal">
      <formula>0</formula>
    </cfRule>
  </conditionalFormatting>
  <conditionalFormatting sqref="G101">
    <cfRule type="cellIs" dxfId="50" priority="34" operator="equal">
      <formula>0</formula>
    </cfRule>
  </conditionalFormatting>
  <conditionalFormatting sqref="G105">
    <cfRule type="cellIs" dxfId="49" priority="1" operator="equal">
      <formula>0</formula>
    </cfRule>
  </conditionalFormatting>
  <conditionalFormatting sqref="G84:I84">
    <cfRule type="cellIs" dxfId="48" priority="56" operator="equal">
      <formula>0</formula>
    </cfRule>
  </conditionalFormatting>
  <conditionalFormatting sqref="I85:I86">
    <cfRule type="cellIs" dxfId="47" priority="54" operator="equal">
      <formula>0</formula>
    </cfRule>
  </conditionalFormatting>
  <conditionalFormatting sqref="I92">
    <cfRule type="cellIs" dxfId="46" priority="42" operator="equal">
      <formula>0</formula>
    </cfRule>
  </conditionalFormatting>
  <conditionalFormatting sqref="I102:I103">
    <cfRule type="cellIs" dxfId="45" priority="32" operator="equal">
      <formula>0</formula>
    </cfRule>
  </conditionalFormatting>
  <conditionalFormatting sqref="I105">
    <cfRule type="cellIs" dxfId="44" priority="5" operator="equal">
      <formula>0</formula>
    </cfRule>
  </conditionalFormatting>
  <conditionalFormatting sqref="J89">
    <cfRule type="cellIs" dxfId="43" priority="46" operator="equal">
      <formula>0</formula>
    </cfRule>
  </conditionalFormatting>
  <conditionalFormatting sqref="J93">
    <cfRule type="cellIs" dxfId="42" priority="38" operator="equal">
      <formula>0</formula>
    </cfRule>
  </conditionalFormatting>
  <conditionalFormatting sqref="J97">
    <cfRule type="cellIs" dxfId="41" priority="36" operator="equal">
      <formula>0</formula>
    </cfRule>
  </conditionalFormatting>
  <conditionalFormatting sqref="O76:T105">
    <cfRule type="cellIs" dxfId="40" priority="21" operator="greaterThan">
      <formula>0</formula>
    </cfRule>
    <cfRule type="cellIs" dxfId="39" priority="20" operator="equal">
      <formula>0</formula>
    </cfRule>
  </conditionalFormatting>
  <conditionalFormatting sqref="O24:U75">
    <cfRule type="cellIs" dxfId="38" priority="66" operator="equal">
      <formula>0</formula>
    </cfRule>
    <cfRule type="cellIs" dxfId="37" priority="67" operator="greaterThan">
      <formula>0</formula>
    </cfRule>
  </conditionalFormatting>
  <conditionalFormatting sqref="U76:U93">
    <cfRule type="cellIs" dxfId="36" priority="292" operator="equal">
      <formula>0</formula>
    </cfRule>
    <cfRule type="cellIs" dxfId="35" priority="293" operator="greaterThan">
      <formula>0</formula>
    </cfRule>
  </conditionalFormatting>
  <pageMargins left="0.7" right="0.7" top="0.78740157499999996" bottom="0.78740157499999996" header="0.3" footer="0.3"/>
  <pageSetup paperSize="9" orientation="portrait" r:id="rId1"/>
  <ignoredErrors>
    <ignoredError sqref="G25 M34:M38 M45" formula="1"/>
  </ignoredError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4"/>
  <dimension ref="A1:AC76"/>
  <sheetViews>
    <sheetView zoomScale="85" zoomScaleNormal="85" workbookViewId="0">
      <pane xSplit="14" ySplit="23" topLeftCell="O30" activePane="bottomRight" state="frozen"/>
      <selection pane="topRight" activeCell="P1" sqref="P1"/>
      <selection pane="bottomLeft" activeCell="A24" sqref="A24"/>
      <selection pane="bottomRight" activeCell="S16" activeCellId="1" sqref="O16 S16"/>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0" width="7.15234375" style="1" customWidth="1"/>
    <col min="11" max="12" width="1.3828125" style="1" customWidth="1"/>
    <col min="13" max="13" width="12.1523437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4" width="11.69140625" style="1" bestFit="1" customWidth="1"/>
    <col min="25" max="16384" width="11.3828125" style="1"/>
  </cols>
  <sheetData>
    <row r="1" spans="2:21" ht="8.25" customHeight="1"/>
    <row r="2" spans="2:21" ht="40.5" customHeight="1">
      <c r="C2" s="3" t="s">
        <v>5</v>
      </c>
      <c r="D2" s="4"/>
      <c r="E2" s="4"/>
      <c r="F2" s="4"/>
      <c r="G2" s="4"/>
      <c r="H2" s="4"/>
      <c r="I2" s="4"/>
      <c r="J2" s="4"/>
      <c r="K2" s="4"/>
      <c r="L2" s="4"/>
      <c r="M2" s="30"/>
      <c r="N2" s="4"/>
      <c r="O2" s="4"/>
      <c r="P2" s="4"/>
      <c r="Q2" s="4"/>
      <c r="R2" s="4"/>
      <c r="S2" s="5"/>
      <c r="T2" s="5"/>
      <c r="U2" s="4"/>
    </row>
    <row r="3" spans="2:21" ht="8.25" customHeight="1"/>
    <row r="4" spans="2:21" ht="9.75" customHeight="1"/>
    <row r="5" spans="2:21" ht="21.75" customHeight="1">
      <c r="B5" s="6"/>
      <c r="C5" s="7" t="s">
        <v>13</v>
      </c>
      <c r="D5" s="8"/>
      <c r="E5" s="8"/>
      <c r="F5" s="8"/>
      <c r="G5" s="8"/>
      <c r="H5" s="8"/>
      <c r="I5" s="9"/>
      <c r="J5" s="9"/>
      <c r="L5" s="6"/>
      <c r="M5" s="31" t="s">
        <v>14</v>
      </c>
      <c r="N5" s="8"/>
      <c r="O5" s="234" t="s">
        <v>31</v>
      </c>
      <c r="P5" s="234"/>
      <c r="Q5" s="234"/>
      <c r="R5" s="234"/>
      <c r="S5" s="235"/>
      <c r="T5" s="236">
        <f>O16+S16</f>
        <v>1395.45</v>
      </c>
      <c r="U5" s="237"/>
    </row>
    <row r="6" spans="2:21" ht="23.25" customHeight="1">
      <c r="B6" s="6"/>
      <c r="L6" s="6"/>
    </row>
    <row r="7" spans="2:21">
      <c r="B7" s="6"/>
      <c r="D7" s="33" t="s">
        <v>6</v>
      </c>
      <c r="E7" s="35" t="s">
        <v>7</v>
      </c>
      <c r="F7" s="35" t="s">
        <v>8</v>
      </c>
      <c r="G7" s="35" t="s">
        <v>9</v>
      </c>
      <c r="H7" s="11"/>
      <c r="I7" s="11"/>
      <c r="J7" s="11"/>
      <c r="L7" s="6"/>
      <c r="N7" s="33" t="s">
        <v>6</v>
      </c>
      <c r="O7" s="68" t="s">
        <v>16</v>
      </c>
      <c r="P7" s="68" t="s">
        <v>17</v>
      </c>
      <c r="Q7" s="244" t="s">
        <v>26</v>
      </c>
      <c r="R7" s="244"/>
      <c r="S7" s="245" t="s">
        <v>27</v>
      </c>
      <c r="T7" s="245"/>
      <c r="U7" s="34"/>
    </row>
    <row r="8" spans="2:21">
      <c r="B8" s="6">
        <v>1</v>
      </c>
      <c r="C8" s="12">
        <f>B8</f>
        <v>1</v>
      </c>
      <c r="D8" s="10" t="str">
        <f t="shared" ref="D8:D13" si="0">HLOOKUP($B8,$E$17:$J$20,2,FALSE)</f>
        <v>PKN</v>
      </c>
      <c r="E8" s="12">
        <f t="shared" ref="E8:E13" si="1">ROUND(HLOOKUP(D8,$E$18:$J$20,3,FALSE),0)</f>
        <v>40</v>
      </c>
      <c r="F8" s="64">
        <f t="shared" ref="F8:F13" ca="1" si="2">E8/$C$20</f>
        <v>0.85106382978723405</v>
      </c>
      <c r="G8" s="28">
        <f t="shared" ref="G8:G13" ca="1" si="3">1-F8</f>
        <v>0.14893617021276595</v>
      </c>
      <c r="L8" s="6"/>
      <c r="N8" s="10" t="s">
        <v>2</v>
      </c>
      <c r="O8" s="13">
        <f>O9</f>
        <v>201.5</v>
      </c>
      <c r="P8" s="67" t="s">
        <v>18</v>
      </c>
      <c r="Q8" s="221" t="s">
        <v>25</v>
      </c>
      <c r="R8" s="221"/>
      <c r="S8" s="221" t="s">
        <v>29</v>
      </c>
      <c r="T8" s="221"/>
    </row>
    <row r="9" spans="2:21">
      <c r="B9" s="6">
        <v>2</v>
      </c>
      <c r="C9" s="12">
        <f>IF(E9=E8,C8,B9)</f>
        <v>2</v>
      </c>
      <c r="D9" s="10" t="str">
        <f>HLOOKUP($B9,$E$17:$J$20,2,FALSE)</f>
        <v>SJU</v>
      </c>
      <c r="E9" s="12">
        <f t="shared" si="1"/>
        <v>39</v>
      </c>
      <c r="F9" s="28">
        <f t="shared" ca="1" si="2"/>
        <v>0.82978723404255317</v>
      </c>
      <c r="G9" s="28">
        <f t="shared" ca="1" si="3"/>
        <v>0.17021276595744683</v>
      </c>
      <c r="L9" s="6"/>
      <c r="N9" s="10" t="s">
        <v>4</v>
      </c>
      <c r="O9" s="13">
        <f>MAX(O12,O10,O11,O13,O14)+11</f>
        <v>201.5</v>
      </c>
      <c r="P9" s="67" t="s">
        <v>18</v>
      </c>
      <c r="Q9" s="221" t="s">
        <v>25</v>
      </c>
      <c r="R9" s="221"/>
      <c r="S9" s="221" t="s">
        <v>29</v>
      </c>
      <c r="T9" s="221"/>
    </row>
    <row r="10" spans="2:21">
      <c r="B10" s="6">
        <v>3</v>
      </c>
      <c r="C10" s="12">
        <f>IF(E10=E9,C9,B10)</f>
        <v>3</v>
      </c>
      <c r="D10" s="10" t="str">
        <f t="shared" si="0"/>
        <v>MSO</v>
      </c>
      <c r="E10" s="12">
        <f t="shared" si="1"/>
        <v>36</v>
      </c>
      <c r="F10" s="28">
        <f t="shared" ca="1" si="2"/>
        <v>0.76595744680851063</v>
      </c>
      <c r="G10" s="28">
        <f ca="1">1-F10</f>
        <v>0.23404255319148937</v>
      </c>
      <c r="L10" s="6"/>
      <c r="N10" s="10" t="s">
        <v>3</v>
      </c>
      <c r="O10" s="13">
        <f>HLOOKUP(N10,$S$18:$S$20,3,FALSE)</f>
        <v>116.25</v>
      </c>
      <c r="P10" s="67" t="s">
        <v>18</v>
      </c>
      <c r="Q10" s="221" t="s">
        <v>25</v>
      </c>
      <c r="R10" s="221"/>
      <c r="S10" s="221" t="s">
        <v>28</v>
      </c>
      <c r="T10" s="221"/>
    </row>
    <row r="11" spans="2:21">
      <c r="B11" s="6">
        <v>4</v>
      </c>
      <c r="C11" s="12">
        <f>IF(E11=E10,C10,B11)</f>
        <v>4</v>
      </c>
      <c r="D11" s="10" t="str">
        <f t="shared" si="0"/>
        <v>JWU</v>
      </c>
      <c r="E11" s="12">
        <f t="shared" si="1"/>
        <v>33</v>
      </c>
      <c r="F11" s="28">
        <f t="shared" ca="1" si="2"/>
        <v>0.7021276595744681</v>
      </c>
      <c r="G11" s="28">
        <f ca="1">1-F11</f>
        <v>0.2978723404255319</v>
      </c>
      <c r="L11" s="6"/>
      <c r="N11" s="10" t="s">
        <v>1</v>
      </c>
      <c r="O11" s="13">
        <f>HLOOKUP(N11,$Q$18:$Q$20,3,FALSE)</f>
        <v>97</v>
      </c>
      <c r="P11" s="67" t="s">
        <v>23</v>
      </c>
      <c r="Q11" s="221" t="s">
        <v>25</v>
      </c>
      <c r="R11" s="221"/>
      <c r="S11" s="221" t="s">
        <v>18</v>
      </c>
      <c r="T11" s="221"/>
    </row>
    <row r="12" spans="2:21">
      <c r="B12" s="6">
        <v>5</v>
      </c>
      <c r="C12" s="12">
        <f>IF(E12=E11,C11,B12)</f>
        <v>5</v>
      </c>
      <c r="D12" s="10" t="str">
        <f t="shared" si="0"/>
        <v>YMI</v>
      </c>
      <c r="E12" s="12">
        <f>ROUND(HLOOKUP(D12,$E$18:$J$20,3,FALSE),0)</f>
        <v>10</v>
      </c>
      <c r="F12" s="28">
        <f t="shared" ca="1" si="2"/>
        <v>0.21276595744680851</v>
      </c>
      <c r="G12" s="28">
        <f t="shared" ca="1" si="3"/>
        <v>0.78723404255319152</v>
      </c>
      <c r="L12" s="6"/>
      <c r="N12" s="10" t="s">
        <v>0</v>
      </c>
      <c r="O12" s="47">
        <f>HLOOKUP(N12,$O$18:$O$20,3,FALSE)</f>
        <v>190.5</v>
      </c>
      <c r="P12" s="67" t="s">
        <v>18</v>
      </c>
      <c r="Q12" s="221" t="s">
        <v>25</v>
      </c>
      <c r="R12" s="221"/>
      <c r="S12" s="221" t="s">
        <v>18</v>
      </c>
      <c r="T12" s="221"/>
    </row>
    <row r="13" spans="2:21">
      <c r="B13" s="6">
        <v>6</v>
      </c>
      <c r="C13" s="12">
        <f>IF(E13=E12,C12,B13)</f>
        <v>6</v>
      </c>
      <c r="D13" s="10" t="str">
        <f t="shared" si="0"/>
        <v>CBO</v>
      </c>
      <c r="E13" s="12">
        <f t="shared" si="1"/>
        <v>2</v>
      </c>
      <c r="F13" s="28">
        <f t="shared" ca="1" si="2"/>
        <v>4.2553191489361701E-2</v>
      </c>
      <c r="G13" s="28">
        <f t="shared" ca="1" si="3"/>
        <v>0.95744680851063835</v>
      </c>
      <c r="L13" s="6"/>
      <c r="N13" s="10" t="s">
        <v>22</v>
      </c>
      <c r="O13" s="13">
        <f>HLOOKUP(N13,$T$18:$T$20,3,FALSE)</f>
        <v>141</v>
      </c>
      <c r="P13" s="67" t="s">
        <v>18</v>
      </c>
      <c r="Q13" s="221" t="s">
        <v>25</v>
      </c>
      <c r="R13" s="221"/>
      <c r="S13" s="221" t="s">
        <v>18</v>
      </c>
      <c r="T13" s="221"/>
    </row>
    <row r="14" spans="2:21">
      <c r="B14" s="6"/>
      <c r="F14" s="63"/>
      <c r="L14" s="6"/>
      <c r="N14" s="29"/>
      <c r="O14" s="29"/>
      <c r="P14" s="29"/>
      <c r="Q14" s="227"/>
      <c r="R14" s="227"/>
      <c r="S14" s="227"/>
      <c r="T14" s="227"/>
    </row>
    <row r="15" spans="2:21" ht="8.25" customHeight="1">
      <c r="B15" s="6"/>
      <c r="L15" s="6"/>
    </row>
    <row r="16" spans="2:21">
      <c r="B16" s="6"/>
      <c r="L16" s="6"/>
      <c r="N16" s="14" t="s">
        <v>19</v>
      </c>
      <c r="O16" s="15">
        <f>SUM(O8:O14)</f>
        <v>947.75</v>
      </c>
      <c r="Q16" s="252" t="s">
        <v>30</v>
      </c>
      <c r="R16" s="253"/>
      <c r="S16" s="15">
        <v>447.7</v>
      </c>
    </row>
    <row r="17" spans="2:27" ht="12" customHeight="1">
      <c r="B17" s="6"/>
      <c r="E17" s="27">
        <f t="shared" ref="E17:J17" si="4">RANK(E20,$E20:$J20)</f>
        <v>4</v>
      </c>
      <c r="F17" s="27">
        <f t="shared" si="4"/>
        <v>6</v>
      </c>
      <c r="G17" s="27">
        <f t="shared" si="4"/>
        <v>1</v>
      </c>
      <c r="H17" s="27">
        <f t="shared" si="4"/>
        <v>5</v>
      </c>
      <c r="I17" s="27">
        <f t="shared" si="4"/>
        <v>2</v>
      </c>
      <c r="J17" s="27">
        <f t="shared" si="4"/>
        <v>3</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8">
        <f ca="1">COUNT(C23:C76)</f>
        <v>47</v>
      </c>
      <c r="E20" s="24">
        <f>SUM(E25:E79)+0.00007</f>
        <v>33.000070000000001</v>
      </c>
      <c r="F20" s="24">
        <f>SUM(F25:F79)+0.00006</f>
        <v>2.0000599999999999</v>
      </c>
      <c r="G20" s="24">
        <f>SUM(G25:G79)+0.00008</f>
        <v>40.000079999999997</v>
      </c>
      <c r="H20" s="24">
        <f>SUM(H25:H79)+0.00005</f>
        <v>10.00005</v>
      </c>
      <c r="I20" s="24">
        <f>SUM(I25:I79)+0.00009</f>
        <v>39.00009</v>
      </c>
      <c r="J20" s="24">
        <f>SUM(J25:J79)+0.0001</f>
        <v>36.000100000000003</v>
      </c>
      <c r="L20" s="6"/>
      <c r="O20" s="19">
        <f>SUM(O24:O78)</f>
        <v>190.5</v>
      </c>
      <c r="P20" s="19">
        <f>O9</f>
        <v>201.5</v>
      </c>
      <c r="Q20" s="19">
        <f>SUM(Q24:Q78)</f>
        <v>97</v>
      </c>
      <c r="R20" s="19">
        <f>O8</f>
        <v>201.5</v>
      </c>
      <c r="S20" s="19">
        <f>SUM(S24:S78)</f>
        <v>116.25</v>
      </c>
      <c r="T20" s="19">
        <f>SUM(T24:T78)</f>
        <v>141</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43511</v>
      </c>
      <c r="N24" s="67" t="s">
        <v>20</v>
      </c>
      <c r="O24" s="25">
        <v>20</v>
      </c>
      <c r="P24" s="25">
        <v>20</v>
      </c>
      <c r="Q24" s="25">
        <v>20</v>
      </c>
      <c r="R24" s="25">
        <v>20</v>
      </c>
      <c r="S24" s="25">
        <v>20</v>
      </c>
      <c r="T24" s="25">
        <v>20</v>
      </c>
      <c r="U24" s="25"/>
    </row>
    <row r="25" spans="2:27">
      <c r="B25" s="6"/>
      <c r="C25" s="12">
        <v>1</v>
      </c>
      <c r="D25" s="22">
        <v>43511</v>
      </c>
      <c r="E25" s="26">
        <v>1</v>
      </c>
      <c r="F25" s="26" t="s">
        <v>115</v>
      </c>
      <c r="G25" s="26">
        <v>1</v>
      </c>
      <c r="H25" s="26" t="s">
        <v>115</v>
      </c>
      <c r="I25" s="26">
        <v>1</v>
      </c>
      <c r="J25" s="26">
        <v>1</v>
      </c>
      <c r="L25" s="6"/>
      <c r="M25" s="21">
        <v>43511</v>
      </c>
      <c r="N25" s="10" t="s">
        <v>24</v>
      </c>
      <c r="O25" s="25">
        <v>0</v>
      </c>
      <c r="P25" s="25"/>
      <c r="Q25" s="25">
        <v>0</v>
      </c>
      <c r="R25" s="25"/>
      <c r="S25" s="25">
        <v>0</v>
      </c>
      <c r="T25" s="25">
        <v>0</v>
      </c>
      <c r="U25" s="25"/>
      <c r="Y25"/>
    </row>
    <row r="26" spans="2:27">
      <c r="B26" s="6"/>
      <c r="C26" s="12">
        <f t="shared" ref="C26:C76" ca="1" si="5">IF(D26&lt;=TODAY(),1,"")</f>
        <v>1</v>
      </c>
      <c r="D26" s="22">
        <v>43518</v>
      </c>
      <c r="E26" s="26">
        <v>1</v>
      </c>
      <c r="F26" s="26" t="s">
        <v>115</v>
      </c>
      <c r="G26" s="26">
        <v>1</v>
      </c>
      <c r="H26" s="26" t="s">
        <v>115</v>
      </c>
      <c r="I26" s="26">
        <v>0</v>
      </c>
      <c r="J26" s="26">
        <v>1</v>
      </c>
      <c r="L26" s="6"/>
      <c r="M26" s="21">
        <v>43518</v>
      </c>
      <c r="N26" s="10" t="s">
        <v>24</v>
      </c>
      <c r="O26" s="25">
        <v>0</v>
      </c>
      <c r="P26" s="25"/>
      <c r="Q26" s="25">
        <v>0</v>
      </c>
      <c r="R26" s="25"/>
      <c r="S26" s="25">
        <v>11</v>
      </c>
      <c r="T26" s="25">
        <v>0</v>
      </c>
      <c r="U26" s="25"/>
    </row>
    <row r="27" spans="2:27">
      <c r="B27" s="6"/>
      <c r="C27" s="12">
        <f t="shared" ca="1" si="5"/>
        <v>1</v>
      </c>
      <c r="D27" s="22">
        <v>43525</v>
      </c>
      <c r="E27" s="26">
        <v>0</v>
      </c>
      <c r="F27" s="26" t="s">
        <v>115</v>
      </c>
      <c r="G27" s="26">
        <v>1</v>
      </c>
      <c r="H27" s="26" t="s">
        <v>115</v>
      </c>
      <c r="I27" s="26">
        <v>1</v>
      </c>
      <c r="J27" s="26">
        <v>1</v>
      </c>
      <c r="L27" s="6"/>
      <c r="M27" s="21">
        <v>43525</v>
      </c>
      <c r="N27" s="10" t="s">
        <v>24</v>
      </c>
      <c r="O27" s="25">
        <v>11</v>
      </c>
      <c r="P27" s="25"/>
      <c r="Q27" s="25">
        <v>0</v>
      </c>
      <c r="R27" s="25"/>
      <c r="S27" s="25">
        <v>0</v>
      </c>
      <c r="T27" s="25">
        <v>0</v>
      </c>
      <c r="U27" s="25"/>
    </row>
    <row r="28" spans="2:27">
      <c r="B28" s="6"/>
      <c r="C28" s="12">
        <f t="shared" ca="1" si="5"/>
        <v>1</v>
      </c>
      <c r="D28" s="22">
        <v>43532</v>
      </c>
      <c r="E28" s="26">
        <v>1</v>
      </c>
      <c r="F28" s="26">
        <v>1</v>
      </c>
      <c r="G28" s="26">
        <v>1</v>
      </c>
      <c r="H28" s="26" t="s">
        <v>115</v>
      </c>
      <c r="I28" s="26">
        <v>1</v>
      </c>
      <c r="J28" s="26">
        <v>1</v>
      </c>
      <c r="L28" s="6"/>
      <c r="M28" s="32">
        <f t="shared" ref="M28:M33" si="6">M27+7</f>
        <v>43532</v>
      </c>
      <c r="N28" s="10" t="s">
        <v>24</v>
      </c>
      <c r="O28" s="25">
        <v>0</v>
      </c>
      <c r="P28" s="25">
        <v>0</v>
      </c>
      <c r="Q28" s="25">
        <v>0</v>
      </c>
      <c r="R28" s="25"/>
      <c r="S28" s="25">
        <v>0</v>
      </c>
      <c r="T28" s="25">
        <v>0</v>
      </c>
      <c r="U28" s="25"/>
      <c r="V28"/>
    </row>
    <row r="29" spans="2:27">
      <c r="B29" s="6"/>
      <c r="C29" s="12">
        <f t="shared" ca="1" si="5"/>
        <v>1</v>
      </c>
      <c r="D29" s="22">
        <v>43539</v>
      </c>
      <c r="E29" s="26">
        <v>0</v>
      </c>
      <c r="F29" s="26" t="s">
        <v>115</v>
      </c>
      <c r="G29" s="26">
        <v>1</v>
      </c>
      <c r="H29" s="26" t="s">
        <v>115</v>
      </c>
      <c r="I29" s="26">
        <v>1</v>
      </c>
      <c r="J29" s="26">
        <v>1</v>
      </c>
      <c r="L29" s="6"/>
      <c r="M29" s="32">
        <f t="shared" si="6"/>
        <v>43539</v>
      </c>
      <c r="N29" s="10" t="s">
        <v>24</v>
      </c>
      <c r="O29" s="25">
        <v>11</v>
      </c>
      <c r="P29" s="25"/>
      <c r="Q29" s="25">
        <v>0</v>
      </c>
      <c r="R29" s="25"/>
      <c r="S29" s="25">
        <v>0</v>
      </c>
      <c r="T29" s="25">
        <v>0</v>
      </c>
      <c r="U29" s="25"/>
    </row>
    <row r="30" spans="2:27">
      <c r="B30" s="6"/>
      <c r="C30" s="12">
        <f t="shared" ca="1" si="5"/>
        <v>1</v>
      </c>
      <c r="D30" s="22">
        <v>43546</v>
      </c>
      <c r="E30" s="26">
        <v>1</v>
      </c>
      <c r="F30" s="26" t="s">
        <v>115</v>
      </c>
      <c r="G30" s="26">
        <v>1</v>
      </c>
      <c r="H30" s="26" t="s">
        <v>115</v>
      </c>
      <c r="I30" s="26">
        <v>1</v>
      </c>
      <c r="J30" s="26">
        <v>0</v>
      </c>
      <c r="L30" s="6"/>
      <c r="M30" s="32">
        <f t="shared" si="6"/>
        <v>43546</v>
      </c>
      <c r="N30" s="10" t="s">
        <v>24</v>
      </c>
      <c r="O30" s="25">
        <v>0</v>
      </c>
      <c r="P30" s="25"/>
      <c r="Q30" s="25">
        <v>0</v>
      </c>
      <c r="R30" s="25"/>
      <c r="S30" s="25">
        <v>0</v>
      </c>
      <c r="T30" s="25">
        <v>11</v>
      </c>
      <c r="U30" s="25"/>
      <c r="AA30"/>
    </row>
    <row r="31" spans="2:27">
      <c r="B31" s="6"/>
      <c r="C31" s="12">
        <f t="shared" ca="1" si="5"/>
        <v>1</v>
      </c>
      <c r="D31" s="22">
        <v>43553</v>
      </c>
      <c r="E31" s="26">
        <v>0</v>
      </c>
      <c r="F31" s="26" t="s">
        <v>115</v>
      </c>
      <c r="G31" s="26">
        <v>1</v>
      </c>
      <c r="H31" s="26" t="s">
        <v>115</v>
      </c>
      <c r="I31" s="26">
        <v>1</v>
      </c>
      <c r="J31" s="26">
        <v>1</v>
      </c>
      <c r="L31" s="6"/>
      <c r="M31" s="32">
        <f t="shared" si="6"/>
        <v>43553</v>
      </c>
      <c r="N31" s="10" t="s">
        <v>24</v>
      </c>
      <c r="O31" s="25">
        <v>11</v>
      </c>
      <c r="P31" s="25"/>
      <c r="Q31" s="25">
        <v>0</v>
      </c>
      <c r="R31" s="25"/>
      <c r="S31" s="25">
        <v>0</v>
      </c>
      <c r="T31" s="25">
        <v>0</v>
      </c>
      <c r="U31" s="25"/>
    </row>
    <row r="32" spans="2:27">
      <c r="B32" s="6"/>
      <c r="C32" s="12">
        <f t="shared" ca="1" si="5"/>
        <v>1</v>
      </c>
      <c r="D32" s="22">
        <v>43560</v>
      </c>
      <c r="E32" s="26">
        <v>1</v>
      </c>
      <c r="F32" s="26" t="s">
        <v>115</v>
      </c>
      <c r="G32" s="26">
        <v>1</v>
      </c>
      <c r="H32" s="26">
        <v>1</v>
      </c>
      <c r="I32" s="26">
        <v>1</v>
      </c>
      <c r="J32" s="26">
        <v>1</v>
      </c>
      <c r="L32" s="6"/>
      <c r="M32" s="21">
        <f t="shared" si="6"/>
        <v>43560</v>
      </c>
      <c r="N32" s="10" t="s">
        <v>24</v>
      </c>
      <c r="O32" s="25">
        <v>0</v>
      </c>
      <c r="P32" s="25"/>
      <c r="Q32" s="25">
        <v>0</v>
      </c>
      <c r="R32" s="25">
        <v>0</v>
      </c>
      <c r="S32" s="25">
        <v>0</v>
      </c>
      <c r="T32" s="25">
        <v>0</v>
      </c>
      <c r="U32" s="25"/>
    </row>
    <row r="33" spans="2:28">
      <c r="B33" s="6"/>
      <c r="C33" s="12">
        <f t="shared" ca="1" si="5"/>
        <v>1</v>
      </c>
      <c r="D33" s="22">
        <v>43567</v>
      </c>
      <c r="E33" s="26">
        <v>0</v>
      </c>
      <c r="F33" s="26" t="s">
        <v>115</v>
      </c>
      <c r="G33" s="26">
        <v>1</v>
      </c>
      <c r="H33" s="26" t="s">
        <v>115</v>
      </c>
      <c r="I33" s="26">
        <v>1</v>
      </c>
      <c r="J33" s="26">
        <v>1</v>
      </c>
      <c r="L33" s="6"/>
      <c r="M33" s="21">
        <f t="shared" si="6"/>
        <v>43567</v>
      </c>
      <c r="N33" s="10" t="s">
        <v>24</v>
      </c>
      <c r="O33" s="25">
        <v>11</v>
      </c>
      <c r="P33" s="25"/>
      <c r="Q33" s="25">
        <v>0</v>
      </c>
      <c r="R33" s="25"/>
      <c r="S33" s="25">
        <v>0</v>
      </c>
      <c r="T33" s="25">
        <v>0</v>
      </c>
      <c r="U33" s="25"/>
    </row>
    <row r="34" spans="2:28">
      <c r="B34" s="6"/>
      <c r="C34" s="12">
        <f t="shared" ca="1" si="5"/>
        <v>1</v>
      </c>
      <c r="D34" s="22">
        <v>43581</v>
      </c>
      <c r="E34" s="26">
        <v>1</v>
      </c>
      <c r="F34" s="26" t="s">
        <v>115</v>
      </c>
      <c r="G34" s="26">
        <v>1</v>
      </c>
      <c r="H34" s="26" t="s">
        <v>115</v>
      </c>
      <c r="I34" s="26">
        <v>1</v>
      </c>
      <c r="J34" s="26">
        <v>1</v>
      </c>
      <c r="L34" s="6"/>
      <c r="M34" s="21">
        <v>43581</v>
      </c>
      <c r="N34" s="10" t="s">
        <v>24</v>
      </c>
      <c r="O34" s="25">
        <v>0</v>
      </c>
      <c r="P34" s="25"/>
      <c r="Q34" s="25">
        <v>0</v>
      </c>
      <c r="R34" s="25"/>
      <c r="S34" s="25">
        <v>0</v>
      </c>
      <c r="T34" s="25">
        <v>0</v>
      </c>
      <c r="U34" s="25"/>
    </row>
    <row r="35" spans="2:28">
      <c r="B35" s="6"/>
      <c r="C35" s="12">
        <f t="shared" ca="1" si="5"/>
        <v>1</v>
      </c>
      <c r="D35" s="22">
        <v>43588</v>
      </c>
      <c r="E35" s="26">
        <v>1</v>
      </c>
      <c r="F35" s="26" t="s">
        <v>115</v>
      </c>
      <c r="G35" s="26">
        <v>1</v>
      </c>
      <c r="H35" s="26" t="s">
        <v>115</v>
      </c>
      <c r="I35" s="26">
        <v>1</v>
      </c>
      <c r="J35" s="26">
        <v>1</v>
      </c>
      <c r="L35" s="6"/>
      <c r="M35" s="21">
        <v>43588</v>
      </c>
      <c r="N35" s="10" t="s">
        <v>24</v>
      </c>
      <c r="O35" s="25">
        <v>0</v>
      </c>
      <c r="P35" s="25"/>
      <c r="Q35" s="25">
        <v>0</v>
      </c>
      <c r="R35" s="25"/>
      <c r="S35" s="25">
        <v>0</v>
      </c>
      <c r="T35" s="25">
        <v>0</v>
      </c>
      <c r="U35" s="25"/>
      <c r="AB35"/>
    </row>
    <row r="36" spans="2:28">
      <c r="B36" s="6"/>
      <c r="C36" s="12">
        <f t="shared" ca="1" si="5"/>
        <v>1</v>
      </c>
      <c r="D36" s="22">
        <v>43595</v>
      </c>
      <c r="E36" s="26">
        <v>0</v>
      </c>
      <c r="F36" s="26" t="s">
        <v>115</v>
      </c>
      <c r="G36" s="26">
        <v>1</v>
      </c>
      <c r="H36" s="26" t="s">
        <v>115</v>
      </c>
      <c r="I36" s="26">
        <v>0</v>
      </c>
      <c r="J36" s="26">
        <v>1</v>
      </c>
      <c r="L36" s="6"/>
      <c r="M36" s="21">
        <f t="shared" ref="M36:M41" si="7">M35+7</f>
        <v>43595</v>
      </c>
      <c r="N36" s="10" t="s">
        <v>24</v>
      </c>
      <c r="O36" s="25">
        <v>11</v>
      </c>
      <c r="P36" s="25"/>
      <c r="Q36" s="25">
        <v>0</v>
      </c>
      <c r="R36" s="25"/>
      <c r="S36" s="25">
        <v>11</v>
      </c>
      <c r="T36" s="25">
        <v>0</v>
      </c>
      <c r="U36" s="25"/>
    </row>
    <row r="37" spans="2:28">
      <c r="B37" s="6"/>
      <c r="C37" s="12">
        <f t="shared" ca="1" si="5"/>
        <v>1</v>
      </c>
      <c r="D37" s="22">
        <v>43602</v>
      </c>
      <c r="E37" s="26">
        <v>0</v>
      </c>
      <c r="F37" s="26" t="s">
        <v>115</v>
      </c>
      <c r="G37" s="26">
        <v>0</v>
      </c>
      <c r="H37" s="26" t="s">
        <v>115</v>
      </c>
      <c r="I37" s="26">
        <v>0</v>
      </c>
      <c r="J37" s="26">
        <v>0</v>
      </c>
      <c r="L37" s="6"/>
      <c r="M37" s="21">
        <f t="shared" si="7"/>
        <v>43602</v>
      </c>
      <c r="N37" s="10" t="s">
        <v>24</v>
      </c>
      <c r="O37" s="25">
        <v>11</v>
      </c>
      <c r="P37" s="25"/>
      <c r="Q37" s="25">
        <v>11</v>
      </c>
      <c r="R37" s="25"/>
      <c r="S37" s="25">
        <v>11</v>
      </c>
      <c r="T37" s="25">
        <v>11</v>
      </c>
      <c r="U37" s="25"/>
      <c r="AB37"/>
    </row>
    <row r="38" spans="2:28">
      <c r="B38" s="6"/>
      <c r="C38" s="12">
        <f t="shared" ca="1" si="5"/>
        <v>1</v>
      </c>
      <c r="D38" s="22">
        <v>43609</v>
      </c>
      <c r="E38" s="26">
        <v>1</v>
      </c>
      <c r="F38" s="26" t="s">
        <v>115</v>
      </c>
      <c r="G38" s="26">
        <v>1</v>
      </c>
      <c r="H38" s="26">
        <v>1</v>
      </c>
      <c r="I38" s="26">
        <v>1</v>
      </c>
      <c r="J38" s="26">
        <v>1</v>
      </c>
      <c r="L38" s="6"/>
      <c r="M38" s="21">
        <f t="shared" si="7"/>
        <v>43609</v>
      </c>
      <c r="N38" s="10" t="s">
        <v>24</v>
      </c>
      <c r="O38" s="25">
        <v>0</v>
      </c>
      <c r="P38" s="25"/>
      <c r="Q38" s="25">
        <v>0</v>
      </c>
      <c r="R38" s="25">
        <v>0</v>
      </c>
      <c r="S38" s="25">
        <v>0</v>
      </c>
      <c r="T38" s="25">
        <v>0</v>
      </c>
      <c r="U38" s="25"/>
    </row>
    <row r="39" spans="2:28" ht="16.5" customHeight="1">
      <c r="B39" s="6"/>
      <c r="C39" s="12">
        <f ca="1">IF(D39&lt;=TODAY(),1,"")</f>
        <v>1</v>
      </c>
      <c r="D39" s="22">
        <v>43616</v>
      </c>
      <c r="E39" s="26">
        <v>0</v>
      </c>
      <c r="F39" s="26" t="s">
        <v>115</v>
      </c>
      <c r="G39" s="26">
        <v>1</v>
      </c>
      <c r="H39" s="26" t="s">
        <v>115</v>
      </c>
      <c r="I39" s="26">
        <v>1</v>
      </c>
      <c r="J39" s="26">
        <v>0</v>
      </c>
      <c r="K39" s="2"/>
      <c r="L39" s="23"/>
      <c r="M39" s="21">
        <f t="shared" si="7"/>
        <v>43616</v>
      </c>
      <c r="N39" s="10" t="s">
        <v>24</v>
      </c>
      <c r="O39" s="25">
        <v>11</v>
      </c>
      <c r="P39" s="25"/>
      <c r="Q39" s="25">
        <v>0</v>
      </c>
      <c r="R39" s="25"/>
      <c r="S39" s="25">
        <v>0</v>
      </c>
      <c r="T39" s="25">
        <v>11</v>
      </c>
      <c r="U39" s="25"/>
    </row>
    <row r="40" spans="2:28" ht="16.5" customHeight="1">
      <c r="B40" s="6"/>
      <c r="C40" s="12">
        <f t="shared" ca="1" si="5"/>
        <v>1</v>
      </c>
      <c r="D40" s="22">
        <v>43623</v>
      </c>
      <c r="E40" s="26">
        <v>1</v>
      </c>
      <c r="F40" s="26">
        <v>1</v>
      </c>
      <c r="G40" s="26">
        <v>1</v>
      </c>
      <c r="H40" s="26" t="s">
        <v>115</v>
      </c>
      <c r="I40" s="26">
        <v>1</v>
      </c>
      <c r="J40" s="26">
        <v>1</v>
      </c>
      <c r="K40" s="2"/>
      <c r="L40" s="23"/>
      <c r="M40" s="21">
        <f t="shared" si="7"/>
        <v>43623</v>
      </c>
      <c r="N40" s="10" t="s">
        <v>24</v>
      </c>
      <c r="O40" s="25">
        <v>0</v>
      </c>
      <c r="P40" s="25">
        <v>0</v>
      </c>
      <c r="Q40" s="25">
        <v>0</v>
      </c>
      <c r="R40" s="25"/>
      <c r="S40" s="25">
        <v>0</v>
      </c>
      <c r="T40" s="25">
        <v>0</v>
      </c>
      <c r="U40" s="25"/>
    </row>
    <row r="41" spans="2:28" ht="16.5" customHeight="1">
      <c r="B41" s="6"/>
      <c r="C41" s="12">
        <f t="shared" ca="1" si="5"/>
        <v>1</v>
      </c>
      <c r="D41" s="22">
        <v>43630</v>
      </c>
      <c r="E41" s="26">
        <v>1</v>
      </c>
      <c r="F41" s="26" t="s">
        <v>115</v>
      </c>
      <c r="G41" s="26">
        <v>1</v>
      </c>
      <c r="H41" s="26" t="s">
        <v>115</v>
      </c>
      <c r="I41" s="26">
        <v>0</v>
      </c>
      <c r="J41" s="26">
        <v>1</v>
      </c>
      <c r="L41" s="6"/>
      <c r="M41" s="21">
        <f t="shared" si="7"/>
        <v>43630</v>
      </c>
      <c r="N41" s="10" t="s">
        <v>24</v>
      </c>
      <c r="O41" s="25">
        <v>0</v>
      </c>
      <c r="P41" s="25"/>
      <c r="Q41" s="25">
        <v>0</v>
      </c>
      <c r="R41" s="25"/>
      <c r="S41" s="25">
        <v>11</v>
      </c>
      <c r="T41" s="25">
        <v>0</v>
      </c>
      <c r="U41" s="25"/>
    </row>
    <row r="42" spans="2:28" ht="16.5" customHeight="1">
      <c r="B42" s="6"/>
      <c r="C42" s="12">
        <f t="shared" ca="1" si="5"/>
        <v>1</v>
      </c>
      <c r="D42" s="22">
        <v>43637</v>
      </c>
      <c r="E42" s="26">
        <v>1</v>
      </c>
      <c r="F42" s="26" t="s">
        <v>115</v>
      </c>
      <c r="G42" s="26">
        <v>1</v>
      </c>
      <c r="H42" s="26" t="s">
        <v>115</v>
      </c>
      <c r="I42" s="26">
        <v>0</v>
      </c>
      <c r="J42" s="26">
        <v>1</v>
      </c>
      <c r="L42" s="6"/>
      <c r="M42" s="21">
        <f>M41+7</f>
        <v>43637</v>
      </c>
      <c r="N42" s="10" t="s">
        <v>24</v>
      </c>
      <c r="O42" s="25">
        <v>0</v>
      </c>
      <c r="P42" s="25"/>
      <c r="Q42" s="25">
        <v>0</v>
      </c>
      <c r="R42" s="25"/>
      <c r="S42" s="25">
        <v>11</v>
      </c>
      <c r="T42" s="25">
        <v>0</v>
      </c>
      <c r="U42" s="25"/>
    </row>
    <row r="43" spans="2:28" ht="16.5" customHeight="1">
      <c r="B43" s="6"/>
      <c r="C43" s="12">
        <f t="shared" ca="1" si="5"/>
        <v>1</v>
      </c>
      <c r="D43" s="22">
        <v>43644</v>
      </c>
      <c r="E43" s="26">
        <v>1</v>
      </c>
      <c r="F43" s="26" t="s">
        <v>115</v>
      </c>
      <c r="G43" s="26">
        <v>1</v>
      </c>
      <c r="H43" s="26">
        <v>1</v>
      </c>
      <c r="I43" s="26">
        <v>1</v>
      </c>
      <c r="J43" s="26">
        <v>1</v>
      </c>
      <c r="L43" s="6"/>
      <c r="M43" s="21">
        <f>M42+7</f>
        <v>43644</v>
      </c>
      <c r="N43" s="10" t="s">
        <v>24</v>
      </c>
      <c r="O43" s="25">
        <v>0</v>
      </c>
      <c r="P43" s="25"/>
      <c r="Q43" s="25">
        <v>0</v>
      </c>
      <c r="R43" s="25">
        <v>0</v>
      </c>
      <c r="S43" s="25">
        <v>0</v>
      </c>
      <c r="T43" s="25">
        <v>0</v>
      </c>
      <c r="U43" s="25"/>
    </row>
    <row r="44" spans="2:28" ht="16.5" customHeight="1">
      <c r="B44" s="6"/>
      <c r="C44" s="12">
        <f t="shared" ca="1" si="5"/>
        <v>1</v>
      </c>
      <c r="D44" s="22">
        <v>43651</v>
      </c>
      <c r="E44" s="26">
        <v>1</v>
      </c>
      <c r="F44" s="26" t="s">
        <v>115</v>
      </c>
      <c r="G44" s="26">
        <v>0</v>
      </c>
      <c r="H44" s="26" t="s">
        <v>115</v>
      </c>
      <c r="I44" s="26">
        <v>1</v>
      </c>
      <c r="J44" s="26">
        <v>0</v>
      </c>
      <c r="L44" s="6"/>
      <c r="M44" s="21">
        <f>M43+7</f>
        <v>43651</v>
      </c>
      <c r="N44" s="10" t="s">
        <v>24</v>
      </c>
      <c r="O44" s="25">
        <v>0</v>
      </c>
      <c r="P44" s="25"/>
      <c r="Q44" s="25">
        <v>11</v>
      </c>
      <c r="R44" s="25"/>
      <c r="S44" s="25">
        <v>0</v>
      </c>
      <c r="T44" s="25">
        <v>11</v>
      </c>
      <c r="U44" s="25"/>
      <c r="W44" s="48"/>
    </row>
    <row r="45" spans="2:28" ht="16.5" customHeight="1">
      <c r="B45" s="6"/>
      <c r="L45" s="6"/>
      <c r="M45" s="21">
        <f>M44+7</f>
        <v>43658</v>
      </c>
      <c r="N45" s="10" t="s">
        <v>44</v>
      </c>
      <c r="O45" s="25">
        <v>5.5</v>
      </c>
      <c r="P45" s="25"/>
      <c r="Q45" s="25">
        <v>0</v>
      </c>
      <c r="R45" s="25"/>
      <c r="S45" s="25">
        <v>0</v>
      </c>
      <c r="T45" s="25">
        <v>0</v>
      </c>
      <c r="U45" s="25"/>
      <c r="W45" s="48"/>
    </row>
    <row r="46" spans="2:28" ht="16.5" customHeight="1">
      <c r="B46" s="6"/>
      <c r="L46" s="6"/>
      <c r="M46" s="21">
        <v>43658</v>
      </c>
      <c r="N46" s="10" t="s">
        <v>43</v>
      </c>
      <c r="O46" s="25">
        <v>0</v>
      </c>
      <c r="P46" s="25"/>
      <c r="Q46" s="25">
        <v>0</v>
      </c>
      <c r="R46" s="25"/>
      <c r="S46" s="25">
        <v>5.5</v>
      </c>
      <c r="T46" s="25">
        <v>0</v>
      </c>
      <c r="U46" s="25"/>
      <c r="W46" s="48"/>
    </row>
    <row r="47" spans="2:28" ht="16.5" customHeight="1">
      <c r="B47" s="6"/>
      <c r="C47" s="12">
        <f ca="1">IF(D47&lt;=TODAY(),1,"")</f>
        <v>1</v>
      </c>
      <c r="D47" s="22">
        <v>43658</v>
      </c>
      <c r="E47" s="26">
        <v>0</v>
      </c>
      <c r="F47" s="26" t="s">
        <v>115</v>
      </c>
      <c r="G47" s="26">
        <v>0</v>
      </c>
      <c r="H47" s="26" t="s">
        <v>115</v>
      </c>
      <c r="I47" s="26">
        <v>1</v>
      </c>
      <c r="J47" s="26">
        <v>0</v>
      </c>
      <c r="L47" s="6"/>
      <c r="M47" s="21">
        <v>43658</v>
      </c>
      <c r="N47" s="10" t="s">
        <v>24</v>
      </c>
      <c r="O47" s="25">
        <v>11</v>
      </c>
      <c r="P47" s="25"/>
      <c r="Q47" s="25">
        <v>11</v>
      </c>
      <c r="R47" s="25"/>
      <c r="S47" s="25">
        <v>0</v>
      </c>
      <c r="T47" s="25">
        <v>11</v>
      </c>
      <c r="U47" s="25"/>
      <c r="W47" s="48"/>
    </row>
    <row r="48" spans="2:28" ht="16.5" customHeight="1">
      <c r="B48" s="6"/>
      <c r="C48" s="12">
        <f ca="1">IF(D48&lt;=TODAY(),1,"")</f>
        <v>1</v>
      </c>
      <c r="D48" s="22">
        <v>43665</v>
      </c>
      <c r="E48" s="26">
        <v>1</v>
      </c>
      <c r="F48" s="26" t="s">
        <v>115</v>
      </c>
      <c r="G48" s="26">
        <v>0</v>
      </c>
      <c r="H48" s="26" t="s">
        <v>115</v>
      </c>
      <c r="I48" s="26">
        <v>1</v>
      </c>
      <c r="J48" s="26">
        <v>1</v>
      </c>
      <c r="L48" s="6"/>
      <c r="M48" s="21">
        <v>43665</v>
      </c>
      <c r="N48" s="10" t="s">
        <v>24</v>
      </c>
      <c r="O48" s="25">
        <v>0</v>
      </c>
      <c r="P48" s="25"/>
      <c r="Q48" s="25">
        <v>11</v>
      </c>
      <c r="R48" s="25"/>
      <c r="S48" s="25">
        <v>0</v>
      </c>
      <c r="T48" s="25">
        <v>0</v>
      </c>
      <c r="U48" s="25"/>
      <c r="W48" s="48"/>
    </row>
    <row r="49" spans="1:29" ht="16.5" customHeight="1">
      <c r="B49" s="6"/>
      <c r="C49" s="12">
        <f ca="1">IF(D49&lt;=TODAY(),1,"")</f>
        <v>1</v>
      </c>
      <c r="D49" s="22">
        <v>43672</v>
      </c>
      <c r="E49" s="26">
        <v>1</v>
      </c>
      <c r="F49" s="26" t="s">
        <v>115</v>
      </c>
      <c r="G49" s="26">
        <v>1</v>
      </c>
      <c r="H49" s="26">
        <v>1</v>
      </c>
      <c r="I49" s="26">
        <v>1</v>
      </c>
      <c r="J49" s="26">
        <v>0</v>
      </c>
      <c r="L49" s="6"/>
      <c r="M49" s="21">
        <v>43672</v>
      </c>
      <c r="N49" s="10" t="s">
        <v>24</v>
      </c>
      <c r="O49" s="25">
        <v>0</v>
      </c>
      <c r="P49" s="25"/>
      <c r="Q49" s="25">
        <v>0</v>
      </c>
      <c r="R49" s="25">
        <v>0</v>
      </c>
      <c r="S49" s="25">
        <v>0</v>
      </c>
      <c r="T49" s="25">
        <v>11</v>
      </c>
      <c r="U49" s="25"/>
      <c r="W49" s="48"/>
    </row>
    <row r="50" spans="1:29" ht="16.5" customHeight="1">
      <c r="B50" s="6"/>
      <c r="C50" s="12">
        <f ca="1">IF(D50&lt;=TODAY(),1,"")</f>
        <v>1</v>
      </c>
      <c r="D50" s="22">
        <v>43679</v>
      </c>
      <c r="E50" s="26">
        <v>1</v>
      </c>
      <c r="F50" s="26" t="s">
        <v>115</v>
      </c>
      <c r="G50" s="26">
        <v>1</v>
      </c>
      <c r="H50" s="26" t="s">
        <v>115</v>
      </c>
      <c r="I50" s="26">
        <v>0</v>
      </c>
      <c r="J50" s="26">
        <v>1</v>
      </c>
      <c r="L50" s="6"/>
      <c r="M50" s="21">
        <f t="shared" ref="M50:M59" si="8">M49+7</f>
        <v>43679</v>
      </c>
      <c r="N50" s="10" t="s">
        <v>24</v>
      </c>
      <c r="O50" s="25">
        <v>0</v>
      </c>
      <c r="P50" s="25"/>
      <c r="Q50" s="25">
        <v>0</v>
      </c>
      <c r="R50" s="25"/>
      <c r="S50" s="25">
        <v>11</v>
      </c>
      <c r="T50" s="25">
        <v>0</v>
      </c>
      <c r="U50" s="25"/>
      <c r="W50" s="48"/>
    </row>
    <row r="51" spans="1:29" ht="16.5" customHeight="1">
      <c r="B51" s="6"/>
      <c r="C51" s="12">
        <f t="shared" ca="1" si="5"/>
        <v>1</v>
      </c>
      <c r="D51" s="22">
        <v>43686</v>
      </c>
      <c r="E51" s="26">
        <v>1</v>
      </c>
      <c r="F51" s="26" t="s">
        <v>115</v>
      </c>
      <c r="G51" s="26">
        <v>1</v>
      </c>
      <c r="H51" s="26">
        <v>1</v>
      </c>
      <c r="I51" s="26">
        <v>1</v>
      </c>
      <c r="J51" s="26">
        <v>1</v>
      </c>
      <c r="L51" s="6"/>
      <c r="M51" s="21">
        <f t="shared" si="8"/>
        <v>43686</v>
      </c>
      <c r="N51" s="10" t="s">
        <v>24</v>
      </c>
      <c r="O51" s="25">
        <v>0</v>
      </c>
      <c r="P51" s="25"/>
      <c r="Q51" s="25">
        <v>0</v>
      </c>
      <c r="R51" s="25">
        <v>0</v>
      </c>
      <c r="S51" s="25">
        <v>0</v>
      </c>
      <c r="T51" s="25">
        <v>0</v>
      </c>
      <c r="U51" s="25"/>
      <c r="W51" s="48"/>
    </row>
    <row r="52" spans="1:29" ht="16.5" customHeight="1">
      <c r="B52" s="6"/>
      <c r="C52" s="12">
        <f t="shared" ca="1" si="5"/>
        <v>1</v>
      </c>
      <c r="D52" s="22">
        <v>43693</v>
      </c>
      <c r="E52" s="26">
        <v>1</v>
      </c>
      <c r="F52" s="26" t="s">
        <v>115</v>
      </c>
      <c r="G52" s="26">
        <v>1</v>
      </c>
      <c r="H52" s="26" t="s">
        <v>115</v>
      </c>
      <c r="I52" s="26">
        <v>1</v>
      </c>
      <c r="J52" s="26">
        <v>1</v>
      </c>
      <c r="L52" s="6"/>
      <c r="M52" s="21">
        <f t="shared" si="8"/>
        <v>43693</v>
      </c>
      <c r="N52" s="10" t="s">
        <v>24</v>
      </c>
      <c r="O52" s="25">
        <v>0</v>
      </c>
      <c r="P52" s="25"/>
      <c r="Q52" s="25">
        <v>0</v>
      </c>
      <c r="R52" s="25"/>
      <c r="S52" s="25">
        <v>0</v>
      </c>
      <c r="T52" s="25">
        <v>0</v>
      </c>
      <c r="U52" s="25"/>
      <c r="W52" s="48"/>
    </row>
    <row r="53" spans="1:29" ht="16.5" customHeight="1">
      <c r="B53" s="6"/>
      <c r="C53" s="12">
        <f t="shared" ca="1" si="5"/>
        <v>1</v>
      </c>
      <c r="D53" s="22">
        <v>43700</v>
      </c>
      <c r="E53" s="26">
        <v>1</v>
      </c>
      <c r="F53" s="26" t="s">
        <v>115</v>
      </c>
      <c r="G53" s="26">
        <v>1</v>
      </c>
      <c r="H53" s="26" t="s">
        <v>115</v>
      </c>
      <c r="I53" s="26">
        <v>1</v>
      </c>
      <c r="J53" s="26">
        <v>1</v>
      </c>
      <c r="L53" s="6"/>
      <c r="M53" s="21">
        <f t="shared" si="8"/>
        <v>43700</v>
      </c>
      <c r="N53" s="10" t="s">
        <v>24</v>
      </c>
      <c r="O53" s="25">
        <v>0</v>
      </c>
      <c r="P53" s="25"/>
      <c r="Q53" s="25">
        <v>0</v>
      </c>
      <c r="R53" s="25"/>
      <c r="S53" s="25">
        <v>0</v>
      </c>
      <c r="T53" s="25">
        <v>0</v>
      </c>
      <c r="U53" s="25"/>
      <c r="W53" s="48"/>
    </row>
    <row r="54" spans="1:29" ht="16.5" customHeight="1">
      <c r="B54" s="6"/>
      <c r="C54" s="12">
        <f t="shared" ca="1" si="5"/>
        <v>1</v>
      </c>
      <c r="D54" s="22">
        <v>43707</v>
      </c>
      <c r="E54" s="26">
        <v>0</v>
      </c>
      <c r="F54" s="26" t="s">
        <v>115</v>
      </c>
      <c r="G54" s="26">
        <v>1</v>
      </c>
      <c r="H54" s="26">
        <v>1</v>
      </c>
      <c r="I54" s="26">
        <v>1</v>
      </c>
      <c r="J54" s="26">
        <v>1</v>
      </c>
      <c r="L54" s="6"/>
      <c r="M54" s="21">
        <f t="shared" si="8"/>
        <v>43707</v>
      </c>
      <c r="N54" s="10" t="s">
        <v>24</v>
      </c>
      <c r="O54" s="25">
        <v>11</v>
      </c>
      <c r="P54" s="25"/>
      <c r="Q54" s="25">
        <v>0</v>
      </c>
      <c r="R54" s="25">
        <v>0</v>
      </c>
      <c r="S54" s="25">
        <v>0</v>
      </c>
      <c r="T54" s="25">
        <v>0</v>
      </c>
      <c r="U54" s="25"/>
    </row>
    <row r="55" spans="1:29" ht="16.5" customHeight="1">
      <c r="B55" s="6"/>
      <c r="C55" s="12">
        <f t="shared" ca="1" si="5"/>
        <v>1</v>
      </c>
      <c r="D55" s="22">
        <v>43714</v>
      </c>
      <c r="E55" s="26">
        <v>0</v>
      </c>
      <c r="F55" s="26" t="s">
        <v>115</v>
      </c>
      <c r="G55" s="26">
        <v>1</v>
      </c>
      <c r="H55" s="26" t="s">
        <v>115</v>
      </c>
      <c r="I55" s="26">
        <v>0</v>
      </c>
      <c r="J55" s="26">
        <v>1</v>
      </c>
      <c r="L55" s="6"/>
      <c r="M55" s="21">
        <f t="shared" si="8"/>
        <v>43714</v>
      </c>
      <c r="N55" s="10" t="s">
        <v>24</v>
      </c>
      <c r="O55" s="25">
        <v>11</v>
      </c>
      <c r="P55" s="25"/>
      <c r="Q55" s="25">
        <v>0</v>
      </c>
      <c r="R55" s="25"/>
      <c r="S55" s="25">
        <v>11</v>
      </c>
      <c r="T55" s="25">
        <v>0</v>
      </c>
      <c r="U55" s="25"/>
    </row>
    <row r="56" spans="1:29" ht="16.5" customHeight="1">
      <c r="B56" s="6"/>
      <c r="C56" s="12">
        <f t="shared" ca="1" si="5"/>
        <v>1</v>
      </c>
      <c r="D56" s="22">
        <v>43721</v>
      </c>
      <c r="E56" s="26">
        <v>1</v>
      </c>
      <c r="F56" s="26" t="s">
        <v>115</v>
      </c>
      <c r="G56" s="26">
        <v>1</v>
      </c>
      <c r="H56" s="26" t="s">
        <v>115</v>
      </c>
      <c r="I56" s="26">
        <v>1</v>
      </c>
      <c r="J56" s="26">
        <v>0</v>
      </c>
      <c r="L56" s="6"/>
      <c r="M56" s="21">
        <f t="shared" si="8"/>
        <v>43721</v>
      </c>
      <c r="N56" s="10" t="s">
        <v>24</v>
      </c>
      <c r="O56" s="25">
        <v>0</v>
      </c>
      <c r="P56" s="25"/>
      <c r="Q56" s="25">
        <v>0</v>
      </c>
      <c r="R56" s="25"/>
      <c r="S56" s="25">
        <v>0</v>
      </c>
      <c r="T56" s="25">
        <v>11</v>
      </c>
      <c r="U56" s="25"/>
    </row>
    <row r="57" spans="1:29" ht="16.5" customHeight="1">
      <c r="B57" s="6"/>
      <c r="L57" s="6"/>
      <c r="M57" s="21">
        <f t="shared" si="8"/>
        <v>43728</v>
      </c>
      <c r="N57" s="10" t="s">
        <v>43</v>
      </c>
      <c r="O57" s="25">
        <v>5.5</v>
      </c>
      <c r="P57" s="25"/>
      <c r="Q57" s="25">
        <v>0</v>
      </c>
      <c r="R57" s="25"/>
      <c r="S57" s="25">
        <v>0</v>
      </c>
      <c r="T57" s="25">
        <v>0</v>
      </c>
      <c r="U57" s="25"/>
    </row>
    <row r="58" spans="1:29" s="52" customFormat="1" ht="16.5" customHeight="1">
      <c r="A58" s="1"/>
      <c r="B58" s="1"/>
      <c r="C58" s="12">
        <f ca="1">IF(D58&lt;=TODAY(),1,"")</f>
        <v>1</v>
      </c>
      <c r="D58" s="22">
        <v>43728</v>
      </c>
      <c r="E58" s="26">
        <v>1</v>
      </c>
      <c r="F58" s="26" t="s">
        <v>115</v>
      </c>
      <c r="G58" s="26">
        <v>0</v>
      </c>
      <c r="H58" s="26" t="s">
        <v>115</v>
      </c>
      <c r="I58" s="26">
        <v>1</v>
      </c>
      <c r="J58" s="26">
        <v>1</v>
      </c>
      <c r="L58" s="51"/>
      <c r="M58" s="21">
        <v>43728</v>
      </c>
      <c r="N58" s="10" t="s">
        <v>24</v>
      </c>
      <c r="O58" s="25">
        <v>0</v>
      </c>
      <c r="P58" s="25"/>
      <c r="Q58" s="25">
        <v>11</v>
      </c>
      <c r="R58" s="25"/>
      <c r="S58" s="25">
        <v>0</v>
      </c>
      <c r="T58" s="25">
        <v>0</v>
      </c>
      <c r="U58" s="25"/>
    </row>
    <row r="59" spans="1:29">
      <c r="C59" s="12">
        <f t="shared" ca="1" si="5"/>
        <v>1</v>
      </c>
      <c r="D59" s="22">
        <v>43735</v>
      </c>
      <c r="E59" s="26">
        <v>1</v>
      </c>
      <c r="F59" s="26" t="s">
        <v>115</v>
      </c>
      <c r="G59" s="26">
        <v>1</v>
      </c>
      <c r="H59" s="26">
        <v>1</v>
      </c>
      <c r="I59" s="26">
        <v>1</v>
      </c>
      <c r="J59" s="26">
        <v>1</v>
      </c>
      <c r="M59" s="21">
        <f t="shared" si="8"/>
        <v>43735</v>
      </c>
      <c r="N59" s="49" t="s">
        <v>24</v>
      </c>
      <c r="O59" s="50">
        <v>0</v>
      </c>
      <c r="P59" s="50"/>
      <c r="Q59" s="50">
        <v>0</v>
      </c>
      <c r="R59" s="50">
        <v>0</v>
      </c>
      <c r="S59" s="50">
        <v>0</v>
      </c>
      <c r="T59" s="50">
        <v>0</v>
      </c>
      <c r="U59" s="50"/>
    </row>
    <row r="60" spans="1:29">
      <c r="C60" s="12">
        <f t="shared" ca="1" si="5"/>
        <v>1</v>
      </c>
      <c r="D60" s="22">
        <v>43742</v>
      </c>
      <c r="E60" s="26">
        <v>1</v>
      </c>
      <c r="F60" s="26" t="s">
        <v>115</v>
      </c>
      <c r="G60" s="26">
        <v>1</v>
      </c>
      <c r="H60" s="26" t="s">
        <v>115</v>
      </c>
      <c r="I60" s="26">
        <v>1</v>
      </c>
      <c r="J60" s="26">
        <v>1</v>
      </c>
      <c r="M60" s="21">
        <f>M59+7</f>
        <v>43742</v>
      </c>
      <c r="N60" s="10" t="s">
        <v>24</v>
      </c>
      <c r="O60" s="25">
        <v>0</v>
      </c>
      <c r="P60" s="25"/>
      <c r="Q60" s="25">
        <v>0</v>
      </c>
      <c r="R60" s="25"/>
      <c r="S60" s="25">
        <v>0</v>
      </c>
      <c r="T60" s="25">
        <v>0</v>
      </c>
      <c r="U60" s="25"/>
      <c r="W60" s="36"/>
      <c r="X60" s="36"/>
      <c r="Y60" s="36"/>
      <c r="Z60" s="36"/>
      <c r="AA60" s="36"/>
      <c r="AB60" s="36"/>
      <c r="AC60" s="36"/>
    </row>
    <row r="61" spans="1:29">
      <c r="C61" s="12">
        <f t="shared" ca="1" si="5"/>
        <v>1</v>
      </c>
      <c r="D61" s="22">
        <v>43749</v>
      </c>
      <c r="E61" s="26">
        <v>1</v>
      </c>
      <c r="F61" s="26" t="s">
        <v>115</v>
      </c>
      <c r="G61" s="26">
        <v>1</v>
      </c>
      <c r="H61" s="26">
        <v>1</v>
      </c>
      <c r="I61" s="26">
        <v>0</v>
      </c>
      <c r="J61" s="26">
        <v>1</v>
      </c>
      <c r="M61" s="21">
        <f>M60+7</f>
        <v>43749</v>
      </c>
      <c r="N61" s="10" t="s">
        <v>24</v>
      </c>
      <c r="O61" s="25">
        <v>0</v>
      </c>
      <c r="P61" s="25"/>
      <c r="Q61" s="25">
        <v>0</v>
      </c>
      <c r="R61" s="25">
        <v>0</v>
      </c>
      <c r="S61" s="25">
        <v>11</v>
      </c>
      <c r="T61" s="25">
        <v>0</v>
      </c>
      <c r="U61" s="25"/>
    </row>
    <row r="62" spans="1:29">
      <c r="C62" s="12">
        <f ca="1">IF(D62&lt;=TODAY(),1,"")</f>
        <v>1</v>
      </c>
      <c r="D62" s="22">
        <v>43756</v>
      </c>
      <c r="E62" s="26">
        <v>0</v>
      </c>
      <c r="F62" s="26" t="s">
        <v>115</v>
      </c>
      <c r="G62" s="26">
        <v>1</v>
      </c>
      <c r="H62" s="26" t="s">
        <v>115</v>
      </c>
      <c r="I62" s="26">
        <v>1</v>
      </c>
      <c r="J62" s="26">
        <v>1</v>
      </c>
      <c r="M62" s="21">
        <f>M61+7</f>
        <v>43756</v>
      </c>
      <c r="N62" s="10" t="s">
        <v>24</v>
      </c>
      <c r="O62" s="25">
        <v>11</v>
      </c>
      <c r="P62" s="25"/>
      <c r="Q62" s="25">
        <v>0</v>
      </c>
      <c r="R62" s="25"/>
      <c r="S62" s="25">
        <v>0</v>
      </c>
      <c r="T62" s="25">
        <v>0</v>
      </c>
      <c r="U62" s="25"/>
    </row>
    <row r="63" spans="1:29">
      <c r="C63" s="12">
        <f t="shared" ca="1" si="5"/>
        <v>1</v>
      </c>
      <c r="D63" s="22">
        <v>43763</v>
      </c>
      <c r="E63" s="26">
        <v>1</v>
      </c>
      <c r="F63" s="26" t="s">
        <v>115</v>
      </c>
      <c r="G63" s="26">
        <v>1</v>
      </c>
      <c r="H63" s="26" t="s">
        <v>115</v>
      </c>
      <c r="I63" s="26">
        <v>1</v>
      </c>
      <c r="J63" s="26">
        <v>0</v>
      </c>
      <c r="M63" s="21">
        <v>43763</v>
      </c>
      <c r="N63" s="10" t="s">
        <v>24</v>
      </c>
      <c r="O63" s="25">
        <v>0</v>
      </c>
      <c r="P63" s="25"/>
      <c r="Q63" s="25">
        <v>0</v>
      </c>
      <c r="R63" s="25"/>
      <c r="S63" s="25">
        <v>0</v>
      </c>
      <c r="T63" s="25">
        <v>11</v>
      </c>
      <c r="U63" s="25"/>
    </row>
    <row r="64" spans="1:29" ht="16.5" customHeight="1">
      <c r="B64" s="6"/>
      <c r="L64" s="6"/>
      <c r="M64" s="21">
        <f>M63+7</f>
        <v>43770</v>
      </c>
      <c r="N64" s="10" t="s">
        <v>47</v>
      </c>
      <c r="O64" s="25">
        <v>2.75</v>
      </c>
      <c r="P64" s="25"/>
      <c r="Q64" s="25">
        <v>0</v>
      </c>
      <c r="R64" s="25"/>
      <c r="S64" s="25">
        <v>0</v>
      </c>
      <c r="T64" s="25">
        <v>0</v>
      </c>
      <c r="U64" s="25"/>
    </row>
    <row r="65" spans="2:21">
      <c r="C65" s="12">
        <f t="shared" ca="1" si="5"/>
        <v>1</v>
      </c>
      <c r="D65" s="22">
        <v>43770</v>
      </c>
      <c r="E65" s="26">
        <v>1</v>
      </c>
      <c r="F65" s="26" t="s">
        <v>115</v>
      </c>
      <c r="G65" s="26">
        <v>1</v>
      </c>
      <c r="H65" s="26" t="s">
        <v>115</v>
      </c>
      <c r="I65" s="26">
        <v>1</v>
      </c>
      <c r="J65" s="26">
        <v>1</v>
      </c>
      <c r="M65" s="21">
        <f>M63+7</f>
        <v>43770</v>
      </c>
      <c r="N65" s="10" t="s">
        <v>24</v>
      </c>
      <c r="O65" s="25">
        <v>0</v>
      </c>
      <c r="P65" s="25"/>
      <c r="Q65" s="25">
        <v>0</v>
      </c>
      <c r="R65" s="25"/>
      <c r="S65" s="25">
        <v>0</v>
      </c>
      <c r="T65" s="25">
        <v>0</v>
      </c>
      <c r="U65" s="25"/>
    </row>
    <row r="66" spans="2:21">
      <c r="C66" s="12">
        <f t="shared" ca="1" si="5"/>
        <v>1</v>
      </c>
      <c r="D66" s="22">
        <v>43777</v>
      </c>
      <c r="E66" s="26">
        <v>0</v>
      </c>
      <c r="F66" s="26" t="s">
        <v>115</v>
      </c>
      <c r="G66" s="26">
        <v>1</v>
      </c>
      <c r="H66" s="26" t="s">
        <v>115</v>
      </c>
      <c r="I66" s="26">
        <v>1</v>
      </c>
      <c r="J66" s="26">
        <v>1</v>
      </c>
      <c r="M66" s="21">
        <f>M64+7</f>
        <v>43777</v>
      </c>
      <c r="N66" s="10" t="s">
        <v>24</v>
      </c>
      <c r="O66" s="25">
        <v>11</v>
      </c>
      <c r="P66" s="25"/>
      <c r="Q66" s="25">
        <v>0</v>
      </c>
      <c r="R66" s="25"/>
      <c r="S66" s="25">
        <v>0</v>
      </c>
      <c r="T66" s="25">
        <v>0</v>
      </c>
      <c r="U66" s="25"/>
    </row>
    <row r="67" spans="2:21" ht="16.5" customHeight="1">
      <c r="B67" s="6"/>
      <c r="L67" s="6"/>
      <c r="M67" s="21">
        <f>M66+7</f>
        <v>43784</v>
      </c>
      <c r="N67" s="10" t="s">
        <v>47</v>
      </c>
      <c r="O67" s="25">
        <v>2.75</v>
      </c>
      <c r="P67" s="25"/>
      <c r="Q67" s="25">
        <v>0</v>
      </c>
      <c r="R67" s="25"/>
      <c r="S67" s="25">
        <v>2.75</v>
      </c>
      <c r="T67" s="25">
        <v>0</v>
      </c>
      <c r="U67" s="25"/>
    </row>
    <row r="68" spans="2:21">
      <c r="C68" s="12">
        <f t="shared" ca="1" si="5"/>
        <v>1</v>
      </c>
      <c r="D68" s="22">
        <v>43784</v>
      </c>
      <c r="E68" s="26">
        <v>1</v>
      </c>
      <c r="F68" s="26" t="s">
        <v>115</v>
      </c>
      <c r="G68" s="26">
        <v>0</v>
      </c>
      <c r="H68" s="26">
        <v>1</v>
      </c>
      <c r="I68" s="26">
        <v>1</v>
      </c>
      <c r="J68" s="26">
        <v>1</v>
      </c>
      <c r="M68" s="21">
        <v>43784</v>
      </c>
      <c r="N68" s="10" t="s">
        <v>24</v>
      </c>
      <c r="O68" s="25">
        <v>0</v>
      </c>
      <c r="P68" s="25"/>
      <c r="Q68" s="25">
        <v>11</v>
      </c>
      <c r="R68" s="25">
        <v>0</v>
      </c>
      <c r="S68" s="25">
        <v>0</v>
      </c>
      <c r="T68" s="25">
        <v>0</v>
      </c>
      <c r="U68" s="25"/>
    </row>
    <row r="69" spans="2:21">
      <c r="C69" s="12">
        <f t="shared" ca="1" si="5"/>
        <v>1</v>
      </c>
      <c r="D69" s="22">
        <v>43791</v>
      </c>
      <c r="E69" s="26">
        <v>1</v>
      </c>
      <c r="F69" s="26" t="s">
        <v>115</v>
      </c>
      <c r="G69" s="26">
        <v>1</v>
      </c>
      <c r="H69" s="26" t="s">
        <v>115</v>
      </c>
      <c r="I69" s="26">
        <v>1</v>
      </c>
      <c r="J69" s="26">
        <v>1</v>
      </c>
      <c r="M69" s="21">
        <f>M68+7</f>
        <v>43791</v>
      </c>
      <c r="N69" s="10" t="s">
        <v>24</v>
      </c>
      <c r="O69" s="25">
        <v>0</v>
      </c>
      <c r="P69" s="25"/>
      <c r="Q69" s="25">
        <v>0</v>
      </c>
      <c r="R69" s="25"/>
      <c r="S69" s="25">
        <v>0</v>
      </c>
      <c r="T69" s="25">
        <v>0</v>
      </c>
      <c r="U69" s="25"/>
    </row>
    <row r="70" spans="2:21">
      <c r="C70" s="12">
        <f t="shared" ca="1" si="5"/>
        <v>1</v>
      </c>
      <c r="D70" s="22">
        <v>43798</v>
      </c>
      <c r="E70" s="26">
        <v>1</v>
      </c>
      <c r="F70" s="26" t="s">
        <v>115</v>
      </c>
      <c r="G70" s="26">
        <v>1</v>
      </c>
      <c r="H70" s="26" t="s">
        <v>115</v>
      </c>
      <c r="I70" s="26">
        <v>1</v>
      </c>
      <c r="J70" s="26">
        <v>1</v>
      </c>
      <c r="M70" s="21">
        <v>43798</v>
      </c>
      <c r="N70" s="10" t="s">
        <v>24</v>
      </c>
      <c r="O70" s="25">
        <v>0</v>
      </c>
      <c r="P70" s="25"/>
      <c r="Q70" s="25">
        <v>0</v>
      </c>
      <c r="R70" s="25"/>
      <c r="S70" s="25">
        <v>0</v>
      </c>
      <c r="T70" s="25">
        <v>0</v>
      </c>
      <c r="U70" s="25"/>
    </row>
    <row r="71" spans="2:21">
      <c r="C71" s="12">
        <f t="shared" ca="1" si="5"/>
        <v>1</v>
      </c>
      <c r="D71" s="22">
        <v>43805</v>
      </c>
      <c r="E71" s="26">
        <v>1</v>
      </c>
      <c r="F71" s="26" t="s">
        <v>115</v>
      </c>
      <c r="G71" s="26">
        <v>1</v>
      </c>
      <c r="H71" s="26" t="s">
        <v>115</v>
      </c>
      <c r="I71" s="26">
        <v>1</v>
      </c>
      <c r="J71" s="26">
        <v>1</v>
      </c>
      <c r="M71" s="21">
        <f>M70+7</f>
        <v>43805</v>
      </c>
      <c r="N71" s="10" t="s">
        <v>24</v>
      </c>
      <c r="O71" s="25">
        <v>0</v>
      </c>
      <c r="P71" s="25"/>
      <c r="Q71" s="25">
        <v>0</v>
      </c>
      <c r="R71" s="25"/>
      <c r="S71" s="25">
        <v>0</v>
      </c>
      <c r="T71" s="25">
        <v>0</v>
      </c>
      <c r="U71" s="25"/>
    </row>
    <row r="72" spans="2:21">
      <c r="C72" s="12">
        <f t="shared" ca="1" si="5"/>
        <v>1</v>
      </c>
      <c r="D72" s="22">
        <v>43812</v>
      </c>
      <c r="E72" s="26">
        <v>1</v>
      </c>
      <c r="F72" s="26" t="s">
        <v>115</v>
      </c>
      <c r="G72" s="26">
        <v>1</v>
      </c>
      <c r="H72" s="26" t="s">
        <v>115</v>
      </c>
      <c r="I72" s="26">
        <v>1</v>
      </c>
      <c r="J72" s="26">
        <v>0</v>
      </c>
      <c r="M72" s="21">
        <f>M71+7</f>
        <v>43812</v>
      </c>
      <c r="N72" s="10" t="s">
        <v>24</v>
      </c>
      <c r="O72" s="25">
        <v>0</v>
      </c>
      <c r="P72" s="25"/>
      <c r="Q72" s="25">
        <v>0</v>
      </c>
      <c r="R72" s="25"/>
      <c r="S72" s="25">
        <v>0</v>
      </c>
      <c r="T72" s="25">
        <v>11</v>
      </c>
      <c r="U72" s="25"/>
    </row>
    <row r="73" spans="2:21">
      <c r="C73" s="12">
        <f t="shared" ca="1" si="5"/>
        <v>1</v>
      </c>
      <c r="D73" s="22">
        <v>43819</v>
      </c>
      <c r="E73" s="26">
        <v>1</v>
      </c>
      <c r="F73" s="26" t="s">
        <v>115</v>
      </c>
      <c r="G73" s="26">
        <v>0</v>
      </c>
      <c r="H73" s="26">
        <v>1</v>
      </c>
      <c r="I73" s="26">
        <v>1</v>
      </c>
      <c r="J73" s="26">
        <v>0</v>
      </c>
      <c r="M73" s="21">
        <f>M72+7</f>
        <v>43819</v>
      </c>
      <c r="N73" s="10" t="s">
        <v>24</v>
      </c>
      <c r="O73" s="25">
        <v>0</v>
      </c>
      <c r="P73" s="25"/>
      <c r="Q73" s="25">
        <v>11</v>
      </c>
      <c r="R73" s="25">
        <v>0</v>
      </c>
      <c r="S73" s="25">
        <v>0</v>
      </c>
      <c r="T73" s="25">
        <v>11</v>
      </c>
      <c r="U73" s="25"/>
    </row>
    <row r="74" spans="2:21">
      <c r="C74" s="12">
        <f t="shared" ca="1" si="5"/>
        <v>1</v>
      </c>
      <c r="D74" s="22">
        <v>43826</v>
      </c>
      <c r="E74" s="26">
        <v>0</v>
      </c>
      <c r="F74" s="26" t="s">
        <v>115</v>
      </c>
      <c r="G74" s="26">
        <v>1</v>
      </c>
      <c r="H74" s="26" t="s">
        <v>115</v>
      </c>
      <c r="I74" s="26">
        <v>1</v>
      </c>
      <c r="J74" s="26">
        <v>0</v>
      </c>
      <c r="M74" s="21">
        <f>M73+7</f>
        <v>43826</v>
      </c>
      <c r="N74" s="10" t="s">
        <v>24</v>
      </c>
      <c r="O74" s="25">
        <v>11</v>
      </c>
      <c r="P74" s="25"/>
      <c r="Q74" s="25">
        <v>0</v>
      </c>
      <c r="R74" s="25"/>
      <c r="S74" s="25">
        <v>0</v>
      </c>
      <c r="T74" s="25">
        <v>11</v>
      </c>
      <c r="U74" s="25"/>
    </row>
    <row r="75" spans="2:21">
      <c r="C75" s="12">
        <f t="shared" ca="1" si="5"/>
        <v>1</v>
      </c>
      <c r="D75" s="22">
        <v>43833</v>
      </c>
      <c r="E75" s="26">
        <v>1</v>
      </c>
      <c r="F75" s="26" t="s">
        <v>115</v>
      </c>
      <c r="G75" s="26">
        <v>1</v>
      </c>
      <c r="H75" s="26" t="s">
        <v>115</v>
      </c>
      <c r="I75" s="26">
        <v>1</v>
      </c>
      <c r="J75" s="26">
        <v>1</v>
      </c>
      <c r="M75" s="21">
        <v>43833</v>
      </c>
      <c r="N75" s="10" t="s">
        <v>24</v>
      </c>
      <c r="O75" s="25">
        <v>0</v>
      </c>
      <c r="P75" s="25"/>
      <c r="Q75" s="25">
        <v>0</v>
      </c>
      <c r="R75" s="25"/>
      <c r="S75" s="25">
        <v>0</v>
      </c>
      <c r="T75" s="25">
        <v>0</v>
      </c>
      <c r="U75" s="25"/>
    </row>
    <row r="76" spans="2:21">
      <c r="C76" s="12">
        <f t="shared" ca="1" si="5"/>
        <v>1</v>
      </c>
      <c r="D76" s="22">
        <v>43840</v>
      </c>
      <c r="E76" s="26">
        <v>0</v>
      </c>
      <c r="F76" s="26" t="s">
        <v>115</v>
      </c>
      <c r="G76" s="26">
        <v>1</v>
      </c>
      <c r="H76" s="26" t="s">
        <v>115</v>
      </c>
      <c r="I76" s="26">
        <v>1</v>
      </c>
      <c r="J76" s="26">
        <v>1</v>
      </c>
      <c r="M76" s="21">
        <f>M75+7</f>
        <v>43840</v>
      </c>
      <c r="N76" s="10" t="s">
        <v>24</v>
      </c>
      <c r="O76" s="25">
        <v>11</v>
      </c>
      <c r="P76" s="25"/>
      <c r="Q76" s="25">
        <v>0</v>
      </c>
      <c r="R76" s="25"/>
      <c r="S76" s="25">
        <v>0</v>
      </c>
      <c r="T76" s="25">
        <v>0</v>
      </c>
      <c r="U76" s="25"/>
    </row>
  </sheetData>
  <mergeCells count="19">
    <mergeCell ref="O5:S5"/>
    <mergeCell ref="T5:U5"/>
    <mergeCell ref="Q7:R7"/>
    <mergeCell ref="S7:T7"/>
    <mergeCell ref="Q8:R8"/>
    <mergeCell ref="S8:T8"/>
    <mergeCell ref="Q9:R9"/>
    <mergeCell ref="S9:T9"/>
    <mergeCell ref="Q10:R10"/>
    <mergeCell ref="S10:T10"/>
    <mergeCell ref="Q11:R11"/>
    <mergeCell ref="S11:T11"/>
    <mergeCell ref="Q16:R16"/>
    <mergeCell ref="Q12:R12"/>
    <mergeCell ref="S12:T12"/>
    <mergeCell ref="Q13:R13"/>
    <mergeCell ref="S13:T13"/>
    <mergeCell ref="Q14:R14"/>
    <mergeCell ref="S14:T14"/>
  </mergeCells>
  <conditionalFormatting sqref="E61:E62">
    <cfRule type="cellIs" dxfId="34" priority="36" operator="equal">
      <formula>0</formula>
    </cfRule>
  </conditionalFormatting>
  <conditionalFormatting sqref="E66">
    <cfRule type="cellIs" dxfId="33" priority="7" operator="equal">
      <formula>0</formula>
    </cfRule>
  </conditionalFormatting>
  <conditionalFormatting sqref="E74">
    <cfRule type="cellIs" dxfId="32" priority="2" operator="equal">
      <formula>0</formula>
    </cfRule>
  </conditionalFormatting>
  <conditionalFormatting sqref="E76">
    <cfRule type="cellIs" dxfId="31" priority="1" operator="equal">
      <formula>0</formula>
    </cfRule>
  </conditionalFormatting>
  <conditionalFormatting sqref="E25:J44 E47:J56 E58:J58">
    <cfRule type="cellIs" dxfId="30" priority="54" operator="equal">
      <formula>0</formula>
    </cfRule>
  </conditionalFormatting>
  <conditionalFormatting sqref="E25:J44 E47:J56 E58:J63 E65:J66 E68:J84">
    <cfRule type="cellIs" dxfId="29" priority="55" operator="equal">
      <formula>1</formula>
    </cfRule>
  </conditionalFormatting>
  <conditionalFormatting sqref="G68">
    <cfRule type="cellIs" dxfId="28" priority="6" operator="equal">
      <formula>0</formula>
    </cfRule>
  </conditionalFormatting>
  <conditionalFormatting sqref="G73">
    <cfRule type="cellIs" dxfId="27" priority="3" operator="equal">
      <formula>0</formula>
    </cfRule>
  </conditionalFormatting>
  <conditionalFormatting sqref="I61">
    <cfRule type="cellIs" dxfId="26" priority="37" operator="equal">
      <formula>0</formula>
    </cfRule>
  </conditionalFormatting>
  <conditionalFormatting sqref="J63">
    <cfRule type="cellIs" dxfId="25" priority="5" operator="equal">
      <formula>0</formula>
    </cfRule>
  </conditionalFormatting>
  <conditionalFormatting sqref="J72:J74">
    <cfRule type="cellIs" dxfId="24" priority="4" operator="equal">
      <formula>0</formula>
    </cfRule>
  </conditionalFormatting>
  <conditionalFormatting sqref="O24:U76">
    <cfRule type="cellIs" dxfId="23" priority="8" operator="equal">
      <formula>0</formula>
    </cfRule>
    <cfRule type="cellIs" dxfId="22" priority="9" operator="greaterThan">
      <formula>0</formula>
    </cfRule>
  </conditionalFormatting>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5"/>
  <dimension ref="B1:AF90"/>
  <sheetViews>
    <sheetView zoomScaleNormal="100" workbookViewId="0">
      <pane xSplit="14" ySplit="23" topLeftCell="O78" activePane="bottomRight" state="frozen"/>
      <selection pane="topRight" activeCell="P1" sqref="P1"/>
      <selection pane="bottomLeft" activeCell="A24" sqref="A24"/>
      <selection pane="bottomRight" activeCell="N28" sqref="N28:O28"/>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0" width="7.15234375" style="1" customWidth="1"/>
    <col min="11" max="12" width="1.3828125" style="1" customWidth="1"/>
    <col min="13" max="13" width="12.15234375" style="29" bestFit="1" customWidth="1"/>
    <col min="14" max="14" width="26.53515625" style="1" customWidth="1"/>
    <col min="15" max="15" width="16.69140625" style="1" customWidth="1"/>
    <col min="16" max="16" width="14.3828125" style="1" hidden="1" customWidth="1"/>
    <col min="17" max="18" width="14.3828125" style="1" customWidth="1"/>
    <col min="19" max="19" width="13.3828125" style="1" customWidth="1"/>
    <col min="20" max="20" width="14.3828125" style="1" customWidth="1"/>
    <col min="21" max="21" width="17" style="1" customWidth="1"/>
    <col min="22" max="22" width="20.53515625" style="1" customWidth="1"/>
    <col min="23" max="23" width="53.3046875" style="1" customWidth="1"/>
    <col min="24" max="24" width="11.69140625" style="1" bestFit="1" customWidth="1"/>
    <col min="25" max="25" width="11.3828125" style="1"/>
    <col min="26" max="27" width="11.69140625" style="1" bestFit="1" customWidth="1"/>
    <col min="28" max="16384" width="11.3828125" style="1"/>
  </cols>
  <sheetData>
    <row r="1" spans="2:23" ht="8.25" customHeight="1"/>
    <row r="2" spans="2:23" ht="40.5" customHeight="1">
      <c r="C2" s="3" t="s">
        <v>5</v>
      </c>
      <c r="D2" s="4"/>
      <c r="E2" s="4"/>
      <c r="F2" s="4"/>
      <c r="G2" s="4"/>
      <c r="H2" s="4"/>
      <c r="I2" s="4"/>
      <c r="J2" s="4"/>
      <c r="K2" s="4"/>
      <c r="L2" s="4"/>
      <c r="M2" s="30"/>
      <c r="N2" s="4"/>
      <c r="O2" s="4"/>
      <c r="P2" s="4"/>
      <c r="Q2" s="4"/>
      <c r="R2" s="4"/>
      <c r="S2" s="4"/>
      <c r="T2" s="5"/>
      <c r="U2" s="5"/>
    </row>
    <row r="3" spans="2:23" ht="8.25" customHeight="1"/>
    <row r="4" spans="2:23" ht="9.75" customHeight="1"/>
    <row r="5" spans="2:23" ht="21.75" customHeight="1">
      <c r="B5" s="6"/>
      <c r="C5" s="7" t="s">
        <v>13</v>
      </c>
      <c r="D5" s="8"/>
      <c r="E5" s="8"/>
      <c r="F5" s="8"/>
      <c r="G5" s="8"/>
      <c r="H5" s="8"/>
      <c r="I5" s="9"/>
      <c r="J5" s="9"/>
      <c r="L5" s="6"/>
      <c r="M5" s="31" t="s">
        <v>14</v>
      </c>
      <c r="N5" s="8"/>
      <c r="O5" s="8"/>
      <c r="P5" s="8"/>
      <c r="Q5" s="8"/>
      <c r="R5" s="8"/>
      <c r="S5" s="8"/>
      <c r="T5" s="9"/>
      <c r="U5" s="9"/>
      <c r="W5" s="6"/>
    </row>
    <row r="6" spans="2:23" ht="23.25" customHeight="1">
      <c r="B6" s="6"/>
      <c r="L6" s="6"/>
      <c r="W6" s="6"/>
    </row>
    <row r="7" spans="2:23">
      <c r="B7" s="6"/>
      <c r="D7" s="33" t="s">
        <v>6</v>
      </c>
      <c r="E7" s="35" t="s">
        <v>7</v>
      </c>
      <c r="F7" s="35" t="s">
        <v>8</v>
      </c>
      <c r="G7" s="35" t="s">
        <v>9</v>
      </c>
      <c r="H7" s="11"/>
      <c r="I7" s="11"/>
      <c r="J7" s="11"/>
      <c r="L7" s="6"/>
      <c r="N7" s="33" t="s">
        <v>6</v>
      </c>
      <c r="O7" s="68" t="s">
        <v>16</v>
      </c>
      <c r="P7" s="34"/>
      <c r="Q7" s="68" t="s">
        <v>17</v>
      </c>
      <c r="R7" s="244" t="s">
        <v>26</v>
      </c>
      <c r="S7" s="244"/>
      <c r="T7" s="245" t="s">
        <v>27</v>
      </c>
      <c r="U7" s="245"/>
      <c r="V7" s="82" t="s">
        <v>86</v>
      </c>
      <c r="W7" s="82" t="s">
        <v>87</v>
      </c>
    </row>
    <row r="8" spans="2:23">
      <c r="B8" s="6">
        <v>1</v>
      </c>
      <c r="C8" s="12">
        <f>B8</f>
        <v>1</v>
      </c>
      <c r="D8" s="10" t="str">
        <f t="shared" ref="D8:D13" si="0">HLOOKUP($B8,$E$17:$J$20,2,FALSE)</f>
        <v>MSO</v>
      </c>
      <c r="E8" s="12">
        <f t="shared" ref="E8:E13" si="1">ROUND(HLOOKUP(D8,$E$18:$J$20,3,FALSE),0)</f>
        <v>51</v>
      </c>
      <c r="F8" s="28">
        <f t="shared" ref="F8:F13" ca="1" si="2">E8/$C$20</f>
        <v>0.82258064516129037</v>
      </c>
      <c r="G8" s="28">
        <f t="shared" ref="G8:G13" ca="1" si="3">1-F8</f>
        <v>0.17741935483870963</v>
      </c>
      <c r="L8" s="6"/>
      <c r="N8" s="10" t="s">
        <v>2</v>
      </c>
      <c r="O8" s="13">
        <f>O9</f>
        <v>273</v>
      </c>
      <c r="Q8" s="67" t="s">
        <v>18</v>
      </c>
      <c r="R8" s="221" t="s">
        <v>25</v>
      </c>
      <c r="S8" s="221"/>
      <c r="T8" s="221" t="s">
        <v>25</v>
      </c>
      <c r="U8" s="221"/>
      <c r="V8" s="13">
        <v>-5</v>
      </c>
      <c r="W8" s="83"/>
    </row>
    <row r="9" spans="2:23">
      <c r="B9" s="6">
        <v>2</v>
      </c>
      <c r="C9" s="12">
        <f>IF(E9=E8,C8,B9)</f>
        <v>2</v>
      </c>
      <c r="D9" s="10" t="str">
        <f t="shared" si="0"/>
        <v>JWU</v>
      </c>
      <c r="E9" s="12">
        <f t="shared" si="1"/>
        <v>45</v>
      </c>
      <c r="F9" s="28">
        <f t="shared" ca="1" si="2"/>
        <v>0.72580645161290325</v>
      </c>
      <c r="G9" s="28">
        <f t="shared" ca="1" si="3"/>
        <v>0.27419354838709675</v>
      </c>
      <c r="L9" s="6"/>
      <c r="N9" s="10" t="s">
        <v>4</v>
      </c>
      <c r="O9" s="13">
        <f>MAX(O12,O10,O11,O13,O14, 160)+11</f>
        <v>273</v>
      </c>
      <c r="Q9" s="67" t="s">
        <v>18</v>
      </c>
      <c r="R9" s="221" t="s">
        <v>25</v>
      </c>
      <c r="S9" s="221"/>
      <c r="T9" s="221" t="s">
        <v>25</v>
      </c>
      <c r="U9" s="221"/>
      <c r="V9" s="12" t="s">
        <v>88</v>
      </c>
      <c r="W9" s="83"/>
    </row>
    <row r="10" spans="2:23">
      <c r="B10" s="6">
        <v>3</v>
      </c>
      <c r="C10" s="12">
        <f>IF(E10=E9,C9,B10)</f>
        <v>3</v>
      </c>
      <c r="D10" s="10" t="str">
        <f t="shared" si="0"/>
        <v>PKN</v>
      </c>
      <c r="E10" s="12">
        <f t="shared" si="1"/>
        <v>44</v>
      </c>
      <c r="F10" s="28">
        <f t="shared" ca="1" si="2"/>
        <v>0.70967741935483875</v>
      </c>
      <c r="G10" s="28">
        <f t="shared" ca="1" si="3"/>
        <v>0.29032258064516125</v>
      </c>
      <c r="L10" s="6"/>
      <c r="N10" s="10" t="s">
        <v>3</v>
      </c>
      <c r="O10" s="13">
        <f>HLOOKUP(N10,$T$18:$T$20,3,FALSE)</f>
        <v>262</v>
      </c>
      <c r="Q10" s="67" t="s">
        <v>18</v>
      </c>
      <c r="R10" s="221" t="s">
        <v>25</v>
      </c>
      <c r="S10" s="221"/>
      <c r="T10" s="256" t="s">
        <v>28</v>
      </c>
      <c r="U10" s="256"/>
      <c r="V10" s="12" t="s">
        <v>88</v>
      </c>
      <c r="W10" s="83"/>
    </row>
    <row r="11" spans="2:23">
      <c r="B11" s="6">
        <v>4</v>
      </c>
      <c r="C11" s="12">
        <f>IF(E11=E10,C10,B11)</f>
        <v>4</v>
      </c>
      <c r="D11" s="10" t="str">
        <f t="shared" si="0"/>
        <v>SJU</v>
      </c>
      <c r="E11" s="12">
        <f t="shared" si="1"/>
        <v>40</v>
      </c>
      <c r="F11" s="28">
        <f t="shared" ca="1" si="2"/>
        <v>0.64516129032258063</v>
      </c>
      <c r="G11" s="28">
        <f ca="1">1-F11</f>
        <v>0.35483870967741937</v>
      </c>
      <c r="L11" s="6"/>
      <c r="N11" s="10" t="s">
        <v>1</v>
      </c>
      <c r="O11" s="13">
        <f>HLOOKUP(N11,$R$18:$R$20,3,FALSE)</f>
        <v>215</v>
      </c>
      <c r="Q11" s="67" t="s">
        <v>23</v>
      </c>
      <c r="R11" s="221" t="s">
        <v>25</v>
      </c>
      <c r="S11" s="221"/>
      <c r="T11" s="221" t="s">
        <v>18</v>
      </c>
      <c r="U11" s="221"/>
      <c r="V11" s="12" t="s">
        <v>88</v>
      </c>
      <c r="W11" s="83"/>
    </row>
    <row r="12" spans="2:23">
      <c r="B12" s="6">
        <v>5</v>
      </c>
      <c r="C12" s="12">
        <f>IF(E12=E11,C11,B12)</f>
        <v>5</v>
      </c>
      <c r="D12" s="10" t="str">
        <f t="shared" si="0"/>
        <v>YMI</v>
      </c>
      <c r="E12" s="12">
        <f>ROUND(HLOOKUP(D12,$E$18:$J$20,3,FALSE),0)</f>
        <v>19</v>
      </c>
      <c r="F12" s="28">
        <f t="shared" ca="1" si="2"/>
        <v>0.30645161290322581</v>
      </c>
      <c r="G12" s="28">
        <f t="shared" ca="1" si="3"/>
        <v>0.69354838709677424</v>
      </c>
      <c r="L12" s="6"/>
      <c r="N12" s="10" t="s">
        <v>0</v>
      </c>
      <c r="O12" s="13">
        <f>HLOOKUP(N12,$O$18:$O$20,3,FALSE)</f>
        <v>216.5</v>
      </c>
      <c r="Q12" s="67" t="s">
        <v>18</v>
      </c>
      <c r="R12" s="221" t="s">
        <v>25</v>
      </c>
      <c r="S12" s="221"/>
      <c r="T12" s="221" t="s">
        <v>18</v>
      </c>
      <c r="U12" s="221"/>
      <c r="V12" s="13">
        <v>999960</v>
      </c>
      <c r="W12" s="12">
        <v>1</v>
      </c>
    </row>
    <row r="13" spans="2:23">
      <c r="B13" s="6">
        <v>6</v>
      </c>
      <c r="C13" s="12">
        <f>IF(E13=E12,C12,B13)</f>
        <v>6</v>
      </c>
      <c r="D13" s="10" t="str">
        <f t="shared" si="0"/>
        <v>CBO</v>
      </c>
      <c r="E13" s="12">
        <f t="shared" si="1"/>
        <v>2</v>
      </c>
      <c r="F13" s="28">
        <f t="shared" ca="1" si="2"/>
        <v>3.2258064516129031E-2</v>
      </c>
      <c r="G13" s="28">
        <f t="shared" ca="1" si="3"/>
        <v>0.967741935483871</v>
      </c>
      <c r="L13" s="6"/>
      <c r="N13" s="10" t="s">
        <v>22</v>
      </c>
      <c r="O13" s="13">
        <f>HLOOKUP(N13,$U$18:$U$20,3,FALSE)</f>
        <v>149</v>
      </c>
      <c r="Q13" s="67" t="s">
        <v>18</v>
      </c>
      <c r="R13" s="221" t="s">
        <v>25</v>
      </c>
      <c r="S13" s="221"/>
      <c r="T13" s="221" t="s">
        <v>18</v>
      </c>
      <c r="U13" s="221"/>
      <c r="V13" s="13">
        <v>-45</v>
      </c>
      <c r="W13" s="12">
        <v>2</v>
      </c>
    </row>
    <row r="14" spans="2:23" ht="33.450000000000003">
      <c r="B14" s="6">
        <v>7</v>
      </c>
      <c r="L14" s="6"/>
      <c r="N14" s="84" t="s">
        <v>89</v>
      </c>
      <c r="O14" s="13">
        <v>53</v>
      </c>
      <c r="Q14" s="67" t="s">
        <v>18</v>
      </c>
      <c r="R14" s="255" t="s">
        <v>90</v>
      </c>
      <c r="S14" s="255"/>
      <c r="T14" s="255" t="s">
        <v>91</v>
      </c>
      <c r="U14" s="255"/>
      <c r="V14" s="85" t="s">
        <v>92</v>
      </c>
      <c r="W14" s="85" t="s">
        <v>93</v>
      </c>
    </row>
    <row r="15" spans="2:23" ht="8.25" customHeight="1">
      <c r="B15" s="6"/>
      <c r="L15" s="6"/>
    </row>
    <row r="16" spans="2:23">
      <c r="B16" s="6"/>
      <c r="L16" s="6"/>
      <c r="N16" s="14" t="s">
        <v>19</v>
      </c>
      <c r="O16" s="15">
        <f>SUM(O8:O14)</f>
        <v>1441.5</v>
      </c>
    </row>
    <row r="17" spans="2:24" ht="12" customHeight="1">
      <c r="B17" s="6"/>
      <c r="E17" s="27">
        <f t="shared" ref="E17:J17" si="4">RANK(E20,$E20:$J20)</f>
        <v>2</v>
      </c>
      <c r="F17" s="27">
        <f t="shared" si="4"/>
        <v>6</v>
      </c>
      <c r="G17" s="27">
        <f t="shared" si="4"/>
        <v>3</v>
      </c>
      <c r="H17" s="27">
        <f t="shared" si="4"/>
        <v>5</v>
      </c>
      <c r="I17" s="27">
        <f t="shared" si="4"/>
        <v>4</v>
      </c>
      <c r="J17" s="27">
        <f t="shared" si="4"/>
        <v>1</v>
      </c>
      <c r="L17" s="6"/>
    </row>
    <row r="18" spans="2:24">
      <c r="B18" s="6"/>
      <c r="E18" s="16" t="s">
        <v>0</v>
      </c>
      <c r="F18" s="16" t="s">
        <v>4</v>
      </c>
      <c r="G18" s="16" t="s">
        <v>1</v>
      </c>
      <c r="H18" s="16" t="s">
        <v>2</v>
      </c>
      <c r="I18" s="16" t="s">
        <v>3</v>
      </c>
      <c r="J18" s="16" t="s">
        <v>21</v>
      </c>
      <c r="L18" s="6"/>
      <c r="O18" s="16" t="s">
        <v>0</v>
      </c>
      <c r="P18" s="16"/>
      <c r="Q18" s="16" t="s">
        <v>4</v>
      </c>
      <c r="R18" s="16" t="s">
        <v>1</v>
      </c>
      <c r="S18" s="16" t="s">
        <v>2</v>
      </c>
      <c r="T18" s="16" t="s">
        <v>3</v>
      </c>
      <c r="U18" s="16" t="s">
        <v>22</v>
      </c>
      <c r="W18" s="6"/>
    </row>
    <row r="19" spans="2:24" ht="6" customHeight="1">
      <c r="B19" s="6"/>
      <c r="E19" s="17"/>
      <c r="F19" s="17"/>
      <c r="G19" s="17"/>
      <c r="H19" s="17"/>
      <c r="I19" s="17"/>
      <c r="J19" s="17"/>
      <c r="L19" s="6"/>
      <c r="O19" s="17"/>
      <c r="P19" s="17"/>
      <c r="Q19" s="17"/>
      <c r="R19" s="17"/>
      <c r="S19" s="17"/>
      <c r="T19" s="17"/>
      <c r="U19" s="17"/>
      <c r="W19" s="6"/>
    </row>
    <row r="20" spans="2:24">
      <c r="B20" s="6"/>
      <c r="C20" s="18">
        <f ca="1">COUNT(C23:C90)</f>
        <v>62</v>
      </c>
      <c r="E20" s="24">
        <f t="shared" ref="E20:J20" si="5">SUM(E25:E95)</f>
        <v>45.019999999999996</v>
      </c>
      <c r="F20" s="24">
        <f t="shared" si="5"/>
        <v>2</v>
      </c>
      <c r="G20" s="24">
        <f t="shared" si="5"/>
        <v>44.04</v>
      </c>
      <c r="H20" s="24">
        <f t="shared" si="5"/>
        <v>19.03</v>
      </c>
      <c r="I20" s="24">
        <f t="shared" si="5"/>
        <v>40.08</v>
      </c>
      <c r="J20" s="24">
        <f t="shared" si="5"/>
        <v>51.09</v>
      </c>
      <c r="L20" s="6"/>
      <c r="O20" s="19">
        <f>SUM(O24:O95)</f>
        <v>216.5</v>
      </c>
      <c r="P20" s="19"/>
      <c r="Q20" s="19">
        <f>O9</f>
        <v>273</v>
      </c>
      <c r="R20" s="19">
        <f>SUM(R24:R95)</f>
        <v>215</v>
      </c>
      <c r="S20" s="19">
        <f>O8</f>
        <v>273</v>
      </c>
      <c r="T20" s="19">
        <f>SUM(T24:T95)</f>
        <v>262</v>
      </c>
      <c r="U20" s="19">
        <f>SUM(U24:U95)</f>
        <v>149</v>
      </c>
      <c r="V20" s="87"/>
      <c r="W20" s="6"/>
    </row>
    <row r="21" spans="2:24" ht="6" customHeight="1">
      <c r="B21" s="6"/>
      <c r="E21" s="2"/>
      <c r="F21" s="2"/>
      <c r="G21" s="2"/>
      <c r="H21" s="2"/>
      <c r="I21" s="2"/>
      <c r="J21" s="2"/>
      <c r="L21" s="6"/>
      <c r="O21" s="20"/>
      <c r="P21" s="20"/>
      <c r="Q21" s="20"/>
      <c r="R21" s="20"/>
      <c r="S21" s="20"/>
      <c r="T21" s="20"/>
      <c r="U21" s="20"/>
      <c r="W21" s="6"/>
    </row>
    <row r="22" spans="2:24">
      <c r="B22" s="6"/>
      <c r="E22" s="18">
        <v>3</v>
      </c>
      <c r="F22" s="18">
        <v>5</v>
      </c>
      <c r="G22" s="18">
        <v>6</v>
      </c>
      <c r="H22" s="18">
        <v>7</v>
      </c>
      <c r="I22" s="18">
        <v>8</v>
      </c>
      <c r="J22" s="18">
        <v>1</v>
      </c>
      <c r="L22" s="6"/>
      <c r="W22" s="6"/>
    </row>
    <row r="23" spans="2:24">
      <c r="B23" s="6"/>
      <c r="C23" s="12" t="s">
        <v>10</v>
      </c>
      <c r="D23" s="10" t="s">
        <v>11</v>
      </c>
      <c r="E23" s="12" t="s">
        <v>12</v>
      </c>
      <c r="F23" s="12" t="s">
        <v>12</v>
      </c>
      <c r="G23" s="12" t="s">
        <v>12</v>
      </c>
      <c r="H23" s="12" t="s">
        <v>12</v>
      </c>
      <c r="I23" s="12" t="s">
        <v>12</v>
      </c>
      <c r="J23" s="12" t="s">
        <v>12</v>
      </c>
      <c r="L23" s="6"/>
      <c r="M23" s="67" t="s">
        <v>11</v>
      </c>
      <c r="N23" s="67" t="s">
        <v>15</v>
      </c>
      <c r="O23" s="12" t="s">
        <v>16</v>
      </c>
      <c r="P23" s="12" t="s">
        <v>94</v>
      </c>
      <c r="Q23" s="12" t="s">
        <v>16</v>
      </c>
      <c r="R23" s="12" t="s">
        <v>16</v>
      </c>
      <c r="S23" s="12" t="s">
        <v>16</v>
      </c>
      <c r="T23" s="12" t="s">
        <v>16</v>
      </c>
      <c r="U23" s="12" t="s">
        <v>16</v>
      </c>
      <c r="W23" s="6"/>
    </row>
    <row r="24" spans="2:24">
      <c r="B24" s="6"/>
      <c r="L24" s="6"/>
      <c r="M24" s="21">
        <v>43070</v>
      </c>
      <c r="N24" s="67" t="s">
        <v>20</v>
      </c>
      <c r="O24" s="25">
        <v>20</v>
      </c>
      <c r="P24" s="25">
        <v>20</v>
      </c>
      <c r="Q24" s="25">
        <v>20</v>
      </c>
      <c r="R24" s="25">
        <v>20</v>
      </c>
      <c r="S24" s="25">
        <v>20</v>
      </c>
      <c r="T24" s="25">
        <v>20</v>
      </c>
      <c r="U24" s="25">
        <v>20</v>
      </c>
      <c r="V24" s="36"/>
      <c r="W24" s="6"/>
      <c r="X24" s="86"/>
    </row>
    <row r="25" spans="2:24">
      <c r="B25" s="6"/>
      <c r="C25" s="12">
        <f ca="1">IF(D25&lt;=TODAY(),1,"")</f>
        <v>1</v>
      </c>
      <c r="D25" s="22">
        <v>43070</v>
      </c>
      <c r="E25" s="26">
        <v>1.02</v>
      </c>
      <c r="F25" s="26">
        <v>0</v>
      </c>
      <c r="G25" s="26">
        <v>1.04</v>
      </c>
      <c r="H25" s="26">
        <v>1.03</v>
      </c>
      <c r="I25" s="26">
        <v>1.08</v>
      </c>
      <c r="J25" s="26">
        <v>1.0900000000000001</v>
      </c>
      <c r="L25" s="6"/>
      <c r="M25" s="21">
        <v>43070</v>
      </c>
      <c r="N25" s="10" t="s">
        <v>24</v>
      </c>
      <c r="O25" s="25">
        <v>0</v>
      </c>
      <c r="P25" s="25">
        <v>0</v>
      </c>
      <c r="Q25" s="25"/>
      <c r="R25" s="25">
        <v>0</v>
      </c>
      <c r="S25" s="25">
        <v>0</v>
      </c>
      <c r="T25" s="25">
        <v>0</v>
      </c>
      <c r="U25" s="25">
        <v>0</v>
      </c>
      <c r="V25" s="36"/>
      <c r="W25" s="6"/>
      <c r="X25" s="86"/>
    </row>
    <row r="26" spans="2:24">
      <c r="B26" s="6"/>
      <c r="C26" s="12">
        <f ca="1">IF(D26&lt;=TODAY(),1,"")</f>
        <v>1</v>
      </c>
      <c r="D26" s="22">
        <v>43077</v>
      </c>
      <c r="E26" s="26">
        <v>1</v>
      </c>
      <c r="F26" s="26" t="s">
        <v>115</v>
      </c>
      <c r="G26" s="26">
        <v>1</v>
      </c>
      <c r="H26" s="26">
        <v>1</v>
      </c>
      <c r="I26" s="26">
        <v>1</v>
      </c>
      <c r="J26" s="26">
        <v>1</v>
      </c>
      <c r="L26" s="6"/>
      <c r="M26" s="21">
        <v>43077</v>
      </c>
      <c r="N26" s="10" t="s">
        <v>24</v>
      </c>
      <c r="O26" s="25">
        <v>0</v>
      </c>
      <c r="P26" s="25">
        <v>0</v>
      </c>
      <c r="Q26" s="25"/>
      <c r="R26" s="25">
        <v>0</v>
      </c>
      <c r="S26" s="25">
        <v>0</v>
      </c>
      <c r="T26" s="25">
        <v>0</v>
      </c>
      <c r="U26" s="25">
        <v>0</v>
      </c>
      <c r="V26" s="36"/>
      <c r="W26" s="6"/>
    </row>
    <row r="27" spans="2:24">
      <c r="B27" s="6"/>
      <c r="C27" s="12">
        <f ca="1">IF(D27&lt;=TODAY(),1,"")</f>
        <v>1</v>
      </c>
      <c r="D27" s="22">
        <v>43084</v>
      </c>
      <c r="E27" s="26">
        <v>1</v>
      </c>
      <c r="F27" s="26" t="s">
        <v>115</v>
      </c>
      <c r="G27" s="26">
        <v>1</v>
      </c>
      <c r="H27" s="26">
        <v>1</v>
      </c>
      <c r="I27" s="26">
        <v>1</v>
      </c>
      <c r="J27" s="26">
        <v>1</v>
      </c>
      <c r="L27" s="6"/>
      <c r="M27" s="21">
        <v>43084</v>
      </c>
      <c r="N27" s="10" t="s">
        <v>24</v>
      </c>
      <c r="O27" s="25">
        <v>0</v>
      </c>
      <c r="P27" s="25">
        <v>0</v>
      </c>
      <c r="Q27" s="25"/>
      <c r="R27" s="25">
        <v>0</v>
      </c>
      <c r="S27" s="25">
        <v>0</v>
      </c>
      <c r="T27" s="25">
        <v>0</v>
      </c>
      <c r="U27" s="25">
        <v>0</v>
      </c>
      <c r="V27" s="36"/>
      <c r="W27" s="6"/>
    </row>
    <row r="28" spans="2:24">
      <c r="B28" s="6"/>
      <c r="L28" s="6"/>
      <c r="M28" s="32" t="s">
        <v>95</v>
      </c>
      <c r="N28" s="10" t="s">
        <v>43</v>
      </c>
      <c r="O28" s="25">
        <v>5</v>
      </c>
      <c r="P28" s="25"/>
      <c r="Q28" s="25"/>
      <c r="R28" s="25"/>
      <c r="S28" s="25"/>
      <c r="T28" s="25"/>
      <c r="U28" s="25"/>
      <c r="V28" s="36"/>
      <c r="W28" s="6"/>
    </row>
    <row r="29" spans="2:24">
      <c r="B29" s="6"/>
      <c r="C29" s="12">
        <f t="shared" ref="C29:C34" ca="1" si="6">IF(D29&lt;=TODAY(),1,"")</f>
        <v>1</v>
      </c>
      <c r="D29" s="22">
        <v>43091</v>
      </c>
      <c r="E29" s="26">
        <v>1</v>
      </c>
      <c r="F29" s="26" t="s">
        <v>115</v>
      </c>
      <c r="G29" s="26">
        <v>1</v>
      </c>
      <c r="H29" s="26">
        <v>1</v>
      </c>
      <c r="I29" s="26">
        <v>1</v>
      </c>
      <c r="J29" s="26">
        <v>1</v>
      </c>
      <c r="L29" s="6"/>
      <c r="M29" s="21">
        <v>43091</v>
      </c>
      <c r="N29" s="10" t="s">
        <v>24</v>
      </c>
      <c r="O29" s="25">
        <v>0</v>
      </c>
      <c r="P29" s="25">
        <v>0</v>
      </c>
      <c r="Q29" s="25"/>
      <c r="R29" s="25">
        <v>0</v>
      </c>
      <c r="S29" s="25">
        <v>0</v>
      </c>
      <c r="T29" s="25">
        <v>0</v>
      </c>
      <c r="U29" s="25">
        <v>0</v>
      </c>
      <c r="W29" s="6"/>
    </row>
    <row r="30" spans="2:24">
      <c r="B30" s="6"/>
      <c r="C30" s="12">
        <f t="shared" ca="1" si="6"/>
        <v>1</v>
      </c>
      <c r="D30" s="22">
        <v>43098</v>
      </c>
      <c r="E30" s="26">
        <v>1</v>
      </c>
      <c r="F30" s="26" t="s">
        <v>115</v>
      </c>
      <c r="G30" s="26">
        <v>0</v>
      </c>
      <c r="H30" s="26">
        <v>0</v>
      </c>
      <c r="I30" s="26">
        <v>1</v>
      </c>
      <c r="J30" s="26">
        <v>0</v>
      </c>
      <c r="L30" s="6"/>
      <c r="M30" s="21">
        <v>43098</v>
      </c>
      <c r="N30" s="10" t="s">
        <v>24</v>
      </c>
      <c r="O30" s="25">
        <v>0</v>
      </c>
      <c r="P30" s="25">
        <v>0</v>
      </c>
      <c r="Q30" s="25"/>
      <c r="R30" s="25">
        <v>10</v>
      </c>
      <c r="S30" s="25">
        <v>10</v>
      </c>
      <c r="T30" s="25">
        <v>0</v>
      </c>
      <c r="U30" s="25">
        <v>10</v>
      </c>
      <c r="W30" s="6"/>
    </row>
    <row r="31" spans="2:24">
      <c r="B31" s="6"/>
      <c r="C31" s="12">
        <f t="shared" ca="1" si="6"/>
        <v>1</v>
      </c>
      <c r="D31" s="22">
        <v>43105</v>
      </c>
      <c r="E31" s="26">
        <v>1</v>
      </c>
      <c r="F31" s="26" t="s">
        <v>115</v>
      </c>
      <c r="G31" s="26">
        <v>0</v>
      </c>
      <c r="H31" s="26">
        <v>1</v>
      </c>
      <c r="I31" s="26">
        <v>1</v>
      </c>
      <c r="J31" s="26">
        <v>0</v>
      </c>
      <c r="L31" s="6"/>
      <c r="M31" s="21">
        <v>43105</v>
      </c>
      <c r="N31" s="10" t="s">
        <v>24</v>
      </c>
      <c r="O31" s="25">
        <v>0</v>
      </c>
      <c r="P31" s="25">
        <v>0</v>
      </c>
      <c r="Q31" s="25"/>
      <c r="R31" s="25">
        <v>10</v>
      </c>
      <c r="S31" s="25">
        <v>0</v>
      </c>
      <c r="T31" s="25">
        <v>0</v>
      </c>
      <c r="U31" s="25">
        <v>10</v>
      </c>
      <c r="W31" s="6"/>
    </row>
    <row r="32" spans="2:24">
      <c r="B32" s="6"/>
      <c r="C32" s="12">
        <f t="shared" ca="1" si="6"/>
        <v>1</v>
      </c>
      <c r="D32" s="22">
        <v>43112</v>
      </c>
      <c r="E32" s="26">
        <v>1</v>
      </c>
      <c r="F32" s="26" t="s">
        <v>115</v>
      </c>
      <c r="G32" s="26">
        <v>0</v>
      </c>
      <c r="H32" s="26">
        <v>0</v>
      </c>
      <c r="I32" s="26">
        <v>1</v>
      </c>
      <c r="J32" s="26">
        <v>1</v>
      </c>
      <c r="L32" s="6"/>
      <c r="M32" s="21">
        <v>43112</v>
      </c>
      <c r="N32" s="10" t="s">
        <v>24</v>
      </c>
      <c r="O32" s="25">
        <v>0</v>
      </c>
      <c r="P32" s="25">
        <v>0</v>
      </c>
      <c r="Q32" s="25"/>
      <c r="R32" s="25">
        <v>10</v>
      </c>
      <c r="S32" s="25">
        <v>10</v>
      </c>
      <c r="T32" s="25">
        <v>0</v>
      </c>
      <c r="U32" s="25">
        <v>0</v>
      </c>
      <c r="W32" s="6"/>
    </row>
    <row r="33" spans="2:23">
      <c r="B33" s="6"/>
      <c r="C33" s="12">
        <f t="shared" ca="1" si="6"/>
        <v>1</v>
      </c>
      <c r="D33" s="22">
        <v>43119</v>
      </c>
      <c r="E33" s="26">
        <v>0</v>
      </c>
      <c r="F33" s="26" t="s">
        <v>115</v>
      </c>
      <c r="G33" s="26">
        <v>1</v>
      </c>
      <c r="H33" s="26">
        <v>1</v>
      </c>
      <c r="I33" s="26">
        <v>1</v>
      </c>
      <c r="J33" s="26">
        <v>1</v>
      </c>
      <c r="L33" s="6"/>
      <c r="M33" s="21">
        <v>43119</v>
      </c>
      <c r="N33" s="10" t="s">
        <v>24</v>
      </c>
      <c r="O33" s="25">
        <v>10</v>
      </c>
      <c r="P33" s="25">
        <v>0</v>
      </c>
      <c r="Q33" s="25"/>
      <c r="R33" s="25">
        <v>0</v>
      </c>
      <c r="S33" s="25">
        <v>0</v>
      </c>
      <c r="T33" s="25">
        <v>0</v>
      </c>
      <c r="U33" s="25">
        <v>0</v>
      </c>
      <c r="W33" s="6"/>
    </row>
    <row r="34" spans="2:23">
      <c r="B34" s="6"/>
      <c r="C34" s="12">
        <f t="shared" ca="1" si="6"/>
        <v>1</v>
      </c>
      <c r="D34" s="22">
        <v>43126</v>
      </c>
      <c r="E34" s="26">
        <v>1</v>
      </c>
      <c r="F34" s="26" t="s">
        <v>115</v>
      </c>
      <c r="G34" s="26">
        <v>1</v>
      </c>
      <c r="H34" s="26">
        <v>0</v>
      </c>
      <c r="I34" s="26">
        <v>1</v>
      </c>
      <c r="J34" s="26">
        <v>0</v>
      </c>
      <c r="L34" s="6"/>
      <c r="M34" s="21">
        <v>43126</v>
      </c>
      <c r="N34" s="10" t="s">
        <v>24</v>
      </c>
      <c r="O34" s="25">
        <v>0</v>
      </c>
      <c r="P34" s="25">
        <v>0</v>
      </c>
      <c r="Q34" s="25"/>
      <c r="R34" s="25">
        <v>0</v>
      </c>
      <c r="S34" s="25">
        <v>10</v>
      </c>
      <c r="T34" s="25">
        <v>0</v>
      </c>
      <c r="U34" s="25">
        <v>10</v>
      </c>
      <c r="W34" s="6"/>
    </row>
    <row r="35" spans="2:23">
      <c r="B35" s="6"/>
      <c r="L35" s="6"/>
      <c r="M35" s="21">
        <v>43133</v>
      </c>
      <c r="N35" s="10" t="s">
        <v>43</v>
      </c>
      <c r="O35" s="25"/>
      <c r="P35" s="25"/>
      <c r="Q35" s="25"/>
      <c r="R35" s="88"/>
      <c r="S35" s="25"/>
      <c r="T35" s="25"/>
      <c r="U35" s="25">
        <v>5.5</v>
      </c>
      <c r="W35" s="6"/>
    </row>
    <row r="36" spans="2:23">
      <c r="B36" s="6"/>
      <c r="C36" s="12">
        <f t="shared" ref="C36:C63" ca="1" si="7">IF(D36&lt;=TODAY(),1,"")</f>
        <v>1</v>
      </c>
      <c r="D36" s="22">
        <v>43133</v>
      </c>
      <c r="E36" s="26">
        <v>0</v>
      </c>
      <c r="F36" s="26" t="s">
        <v>115</v>
      </c>
      <c r="G36" s="26">
        <v>0</v>
      </c>
      <c r="H36" s="26">
        <v>0</v>
      </c>
      <c r="I36" s="26">
        <v>0</v>
      </c>
      <c r="J36" s="26">
        <v>1</v>
      </c>
      <c r="L36" s="6"/>
      <c r="M36" s="21">
        <v>43133</v>
      </c>
      <c r="N36" s="10" t="s">
        <v>24</v>
      </c>
      <c r="O36" s="25">
        <v>11</v>
      </c>
      <c r="P36" s="25">
        <v>11</v>
      </c>
      <c r="Q36" s="25"/>
      <c r="R36" s="25">
        <v>11</v>
      </c>
      <c r="S36" s="25">
        <v>11</v>
      </c>
      <c r="T36" s="25">
        <v>11</v>
      </c>
      <c r="U36" s="25">
        <v>0</v>
      </c>
      <c r="W36" s="6"/>
    </row>
    <row r="37" spans="2:23">
      <c r="B37" s="6"/>
      <c r="C37" s="12">
        <f t="shared" ca="1" si="7"/>
        <v>1</v>
      </c>
      <c r="D37" s="22">
        <v>43140</v>
      </c>
      <c r="E37" s="26">
        <v>1</v>
      </c>
      <c r="F37" s="26" t="s">
        <v>115</v>
      </c>
      <c r="G37" s="26">
        <v>1</v>
      </c>
      <c r="H37" s="26">
        <v>1</v>
      </c>
      <c r="I37" s="26">
        <v>0</v>
      </c>
      <c r="J37" s="26">
        <v>1</v>
      </c>
      <c r="L37" s="6"/>
      <c r="M37" s="21">
        <v>43140</v>
      </c>
      <c r="N37" s="10" t="s">
        <v>24</v>
      </c>
      <c r="O37" s="25">
        <v>0</v>
      </c>
      <c r="P37" s="25">
        <v>0</v>
      </c>
      <c r="Q37" s="25"/>
      <c r="R37" s="25">
        <v>0</v>
      </c>
      <c r="S37" s="25">
        <v>0</v>
      </c>
      <c r="T37" s="25">
        <v>11</v>
      </c>
      <c r="U37" s="25">
        <v>0</v>
      </c>
      <c r="W37" s="6"/>
    </row>
    <row r="38" spans="2:23">
      <c r="B38" s="6"/>
      <c r="C38" s="12">
        <f t="shared" ca="1" si="7"/>
        <v>1</v>
      </c>
      <c r="D38" s="22">
        <v>43147</v>
      </c>
      <c r="E38" s="26">
        <v>1</v>
      </c>
      <c r="F38" s="26" t="s">
        <v>115</v>
      </c>
      <c r="G38" s="26">
        <v>1</v>
      </c>
      <c r="H38" s="26">
        <v>0</v>
      </c>
      <c r="I38" s="26">
        <v>1</v>
      </c>
      <c r="J38" s="26">
        <v>1</v>
      </c>
      <c r="L38" s="6"/>
      <c r="M38" s="21">
        <v>43147</v>
      </c>
      <c r="N38" s="10" t="s">
        <v>24</v>
      </c>
      <c r="O38" s="25">
        <v>0</v>
      </c>
      <c r="P38" s="25">
        <v>0</v>
      </c>
      <c r="Q38" s="25"/>
      <c r="R38" s="25">
        <v>0</v>
      </c>
      <c r="S38" s="25">
        <v>11</v>
      </c>
      <c r="T38" s="25">
        <v>0</v>
      </c>
      <c r="U38" s="25">
        <v>0</v>
      </c>
      <c r="W38" s="6"/>
    </row>
    <row r="39" spans="2:23" ht="16.5" customHeight="1">
      <c r="B39" s="6"/>
      <c r="C39" s="12">
        <f t="shared" ca="1" si="7"/>
        <v>1</v>
      </c>
      <c r="D39" s="22">
        <v>43154</v>
      </c>
      <c r="E39" s="26">
        <v>1</v>
      </c>
      <c r="F39" s="26" t="s">
        <v>115</v>
      </c>
      <c r="G39" s="26">
        <v>1</v>
      </c>
      <c r="H39" s="26">
        <v>1</v>
      </c>
      <c r="I39" s="26">
        <v>0</v>
      </c>
      <c r="J39" s="26">
        <v>1</v>
      </c>
      <c r="K39" s="2"/>
      <c r="L39" s="23"/>
      <c r="M39" s="21">
        <v>43154</v>
      </c>
      <c r="N39" s="10" t="s">
        <v>24</v>
      </c>
      <c r="O39" s="25">
        <v>0</v>
      </c>
      <c r="P39" s="25">
        <v>0</v>
      </c>
      <c r="Q39" s="25"/>
      <c r="R39" s="25">
        <v>0</v>
      </c>
      <c r="S39" s="25">
        <v>0</v>
      </c>
      <c r="T39" s="25">
        <v>11</v>
      </c>
      <c r="U39" s="25">
        <v>0</v>
      </c>
      <c r="V39" s="2"/>
      <c r="W39" s="23"/>
    </row>
    <row r="40" spans="2:23" ht="16.5" customHeight="1">
      <c r="B40" s="6"/>
      <c r="C40" s="12">
        <f t="shared" ca="1" si="7"/>
        <v>1</v>
      </c>
      <c r="D40" s="22">
        <v>43161</v>
      </c>
      <c r="E40" s="26">
        <v>1</v>
      </c>
      <c r="F40" s="26" t="s">
        <v>115</v>
      </c>
      <c r="G40" s="26">
        <v>1</v>
      </c>
      <c r="H40" s="26">
        <v>1</v>
      </c>
      <c r="I40" s="26">
        <v>1</v>
      </c>
      <c r="J40" s="26">
        <v>1</v>
      </c>
      <c r="K40" s="2"/>
      <c r="L40" s="23"/>
      <c r="M40" s="21">
        <v>43161</v>
      </c>
      <c r="N40" s="10" t="s">
        <v>24</v>
      </c>
      <c r="O40" s="25">
        <v>0</v>
      </c>
      <c r="P40" s="25">
        <v>0</v>
      </c>
      <c r="Q40" s="25"/>
      <c r="R40" s="25">
        <v>0</v>
      </c>
      <c r="S40" s="25">
        <v>0</v>
      </c>
      <c r="T40" s="25">
        <v>0</v>
      </c>
      <c r="U40" s="25">
        <v>0</v>
      </c>
      <c r="V40" s="2"/>
      <c r="W40" s="23"/>
    </row>
    <row r="41" spans="2:23" ht="16.5" customHeight="1">
      <c r="B41" s="6"/>
      <c r="C41" s="12">
        <f t="shared" ca="1" si="7"/>
        <v>1</v>
      </c>
      <c r="D41" s="22">
        <v>43168</v>
      </c>
      <c r="E41" s="26">
        <v>0</v>
      </c>
      <c r="F41" s="26" t="s">
        <v>115</v>
      </c>
      <c r="G41" s="26">
        <v>1</v>
      </c>
      <c r="H41" s="26">
        <v>1</v>
      </c>
      <c r="I41" s="26">
        <v>1</v>
      </c>
      <c r="J41" s="26">
        <v>0</v>
      </c>
      <c r="L41" s="6"/>
      <c r="M41" s="21">
        <v>43168</v>
      </c>
      <c r="N41" s="10" t="s">
        <v>24</v>
      </c>
      <c r="O41" s="25">
        <v>11</v>
      </c>
      <c r="P41" s="25">
        <v>0</v>
      </c>
      <c r="Q41" s="25"/>
      <c r="R41" s="25">
        <v>0</v>
      </c>
      <c r="S41" s="25">
        <v>0</v>
      </c>
      <c r="T41" s="25">
        <v>0</v>
      </c>
      <c r="U41" s="25">
        <v>11</v>
      </c>
      <c r="W41" s="6"/>
    </row>
    <row r="42" spans="2:23" ht="16.5" customHeight="1">
      <c r="B42" s="6"/>
      <c r="C42" s="12">
        <f t="shared" ca="1" si="7"/>
        <v>1</v>
      </c>
      <c r="D42" s="22">
        <v>43175</v>
      </c>
      <c r="E42" s="26">
        <v>1</v>
      </c>
      <c r="F42" s="26" t="s">
        <v>115</v>
      </c>
      <c r="G42" s="26">
        <v>1</v>
      </c>
      <c r="H42" s="26">
        <v>1</v>
      </c>
      <c r="I42" s="26">
        <v>1</v>
      </c>
      <c r="J42" s="26">
        <v>0</v>
      </c>
      <c r="L42" s="6"/>
      <c r="M42" s="21">
        <v>43175</v>
      </c>
      <c r="N42" s="10" t="s">
        <v>24</v>
      </c>
      <c r="O42" s="25">
        <v>0</v>
      </c>
      <c r="P42" s="25">
        <v>0</v>
      </c>
      <c r="Q42" s="25"/>
      <c r="R42" s="25">
        <v>0</v>
      </c>
      <c r="S42" s="25">
        <v>0</v>
      </c>
      <c r="T42" s="25">
        <v>0</v>
      </c>
      <c r="U42" s="25">
        <v>11</v>
      </c>
      <c r="W42" s="6"/>
    </row>
    <row r="43" spans="2:23" ht="16.5" customHeight="1">
      <c r="B43" s="6"/>
      <c r="C43" s="12">
        <f t="shared" ca="1" si="7"/>
        <v>1</v>
      </c>
      <c r="D43" s="22">
        <v>43182</v>
      </c>
      <c r="E43" s="26">
        <v>1</v>
      </c>
      <c r="F43" s="26" t="s">
        <v>115</v>
      </c>
      <c r="G43" s="26">
        <v>1</v>
      </c>
      <c r="H43" s="26">
        <v>0</v>
      </c>
      <c r="I43" s="26">
        <v>1</v>
      </c>
      <c r="J43" s="26">
        <v>1</v>
      </c>
      <c r="L43" s="6"/>
      <c r="M43" s="21">
        <v>43182</v>
      </c>
      <c r="N43" s="10" t="s">
        <v>24</v>
      </c>
      <c r="O43" s="25">
        <v>0</v>
      </c>
      <c r="P43" s="25">
        <v>0</v>
      </c>
      <c r="Q43" s="25"/>
      <c r="R43" s="25">
        <v>0</v>
      </c>
      <c r="S43" s="25">
        <v>11</v>
      </c>
      <c r="T43" s="25">
        <v>0</v>
      </c>
      <c r="U43" s="25">
        <v>0</v>
      </c>
      <c r="W43" s="6"/>
    </row>
    <row r="44" spans="2:23" ht="16.5" customHeight="1">
      <c r="B44" s="6"/>
      <c r="C44" s="12">
        <f t="shared" ca="1" si="7"/>
        <v>1</v>
      </c>
      <c r="D44" s="22">
        <v>43196</v>
      </c>
      <c r="E44" s="26">
        <v>0</v>
      </c>
      <c r="F44" s="26" t="s">
        <v>115</v>
      </c>
      <c r="G44" s="26">
        <v>1</v>
      </c>
      <c r="H44" s="26">
        <v>1</v>
      </c>
      <c r="I44" s="26">
        <v>1</v>
      </c>
      <c r="J44" s="26">
        <v>1</v>
      </c>
      <c r="L44" s="6"/>
      <c r="M44" s="21">
        <v>43196</v>
      </c>
      <c r="N44" s="10" t="s">
        <v>24</v>
      </c>
      <c r="O44" s="25">
        <v>11</v>
      </c>
      <c r="P44" s="25">
        <v>0</v>
      </c>
      <c r="Q44" s="25"/>
      <c r="R44" s="25">
        <v>0</v>
      </c>
      <c r="S44" s="25">
        <v>0</v>
      </c>
      <c r="T44" s="25">
        <v>0</v>
      </c>
      <c r="U44" s="25">
        <v>0</v>
      </c>
      <c r="W44" s="6"/>
    </row>
    <row r="45" spans="2:23" ht="16.5" customHeight="1">
      <c r="B45" s="6"/>
      <c r="C45" s="12">
        <f t="shared" ca="1" si="7"/>
        <v>1</v>
      </c>
      <c r="D45" s="22">
        <v>43203</v>
      </c>
      <c r="E45" s="26">
        <v>1</v>
      </c>
      <c r="F45" s="26" t="s">
        <v>115</v>
      </c>
      <c r="G45" s="26">
        <v>1</v>
      </c>
      <c r="H45" s="26">
        <v>1</v>
      </c>
      <c r="I45" s="26">
        <v>1</v>
      </c>
      <c r="J45" s="26">
        <v>1</v>
      </c>
      <c r="L45" s="6"/>
      <c r="M45" s="21">
        <v>43203</v>
      </c>
      <c r="N45" s="10" t="s">
        <v>24</v>
      </c>
      <c r="O45" s="25">
        <v>0</v>
      </c>
      <c r="P45" s="25">
        <v>11</v>
      </c>
      <c r="Q45" s="25"/>
      <c r="R45" s="25">
        <v>0</v>
      </c>
      <c r="S45" s="25">
        <v>0</v>
      </c>
      <c r="T45" s="25">
        <v>0</v>
      </c>
      <c r="U45" s="25">
        <v>0</v>
      </c>
      <c r="W45" s="6"/>
    </row>
    <row r="46" spans="2:23" ht="16.5" customHeight="1">
      <c r="B46" s="6"/>
      <c r="C46" s="12">
        <f t="shared" ca="1" si="7"/>
        <v>1</v>
      </c>
      <c r="D46" s="22">
        <v>43210</v>
      </c>
      <c r="E46" s="26">
        <v>1</v>
      </c>
      <c r="F46" s="26" t="s">
        <v>115</v>
      </c>
      <c r="G46" s="26">
        <v>1</v>
      </c>
      <c r="H46" s="26">
        <v>1</v>
      </c>
      <c r="I46" s="26">
        <v>0</v>
      </c>
      <c r="J46" s="26">
        <v>1</v>
      </c>
      <c r="L46" s="6"/>
      <c r="M46" s="21">
        <v>43210</v>
      </c>
      <c r="N46" s="10" t="s">
        <v>24</v>
      </c>
      <c r="O46" s="25">
        <v>0</v>
      </c>
      <c r="P46" s="25">
        <v>0</v>
      </c>
      <c r="Q46" s="25"/>
      <c r="R46" s="25">
        <v>0</v>
      </c>
      <c r="S46" s="25">
        <v>0</v>
      </c>
      <c r="T46" s="25">
        <v>11</v>
      </c>
      <c r="U46" s="25">
        <v>0</v>
      </c>
      <c r="V46" s="27">
        <v>0</v>
      </c>
      <c r="W46" s="6"/>
    </row>
    <row r="47" spans="2:23" ht="16.5" customHeight="1">
      <c r="B47" s="6"/>
      <c r="C47" s="12">
        <f t="shared" ca="1" si="7"/>
        <v>1</v>
      </c>
      <c r="D47" s="22">
        <v>43217</v>
      </c>
      <c r="E47" s="26">
        <v>1</v>
      </c>
      <c r="F47" s="26">
        <v>1</v>
      </c>
      <c r="G47" s="26">
        <v>0</v>
      </c>
      <c r="H47" s="26">
        <v>1</v>
      </c>
      <c r="I47" s="26">
        <v>1</v>
      </c>
      <c r="J47" s="26">
        <v>1</v>
      </c>
      <c r="L47" s="6"/>
      <c r="M47" s="21">
        <v>43217</v>
      </c>
      <c r="N47" s="10" t="s">
        <v>24</v>
      </c>
      <c r="O47" s="25">
        <v>0</v>
      </c>
      <c r="P47" s="25">
        <v>0</v>
      </c>
      <c r="Q47" s="25">
        <v>0</v>
      </c>
      <c r="R47" s="25">
        <v>11</v>
      </c>
      <c r="S47" s="25">
        <v>0</v>
      </c>
      <c r="T47" s="25">
        <v>0</v>
      </c>
      <c r="U47" s="25">
        <v>0</v>
      </c>
      <c r="W47" s="6"/>
    </row>
    <row r="48" spans="2:23" ht="16.5" customHeight="1">
      <c r="B48" s="6"/>
      <c r="C48" s="12">
        <f t="shared" ca="1" si="7"/>
        <v>1</v>
      </c>
      <c r="D48" s="22">
        <v>43224</v>
      </c>
      <c r="E48" s="26">
        <v>0</v>
      </c>
      <c r="F48" s="26" t="s">
        <v>115</v>
      </c>
      <c r="G48" s="26">
        <v>0</v>
      </c>
      <c r="H48" s="26">
        <v>0</v>
      </c>
      <c r="I48" s="26">
        <v>0</v>
      </c>
      <c r="J48" s="26">
        <v>0</v>
      </c>
      <c r="L48" s="6"/>
      <c r="M48" s="21">
        <v>43224</v>
      </c>
      <c r="N48" s="10" t="s">
        <v>24</v>
      </c>
      <c r="O48" s="25">
        <v>11</v>
      </c>
      <c r="P48" s="25">
        <v>11</v>
      </c>
      <c r="Q48" s="25"/>
      <c r="R48" s="25">
        <v>11</v>
      </c>
      <c r="S48" s="25">
        <v>11</v>
      </c>
      <c r="T48" s="25">
        <v>11</v>
      </c>
      <c r="U48" s="25">
        <v>11</v>
      </c>
      <c r="W48" s="6"/>
    </row>
    <row r="49" spans="2:32" ht="16.5" customHeight="1">
      <c r="B49" s="6"/>
      <c r="C49" s="12">
        <f t="shared" ca="1" si="7"/>
        <v>1</v>
      </c>
      <c r="D49" s="22">
        <v>43231</v>
      </c>
      <c r="E49" s="26">
        <v>0</v>
      </c>
      <c r="F49" s="26" t="s">
        <v>115</v>
      </c>
      <c r="G49" s="26">
        <v>1</v>
      </c>
      <c r="H49" s="26">
        <v>1</v>
      </c>
      <c r="I49" s="26">
        <v>0</v>
      </c>
      <c r="J49" s="26">
        <v>1</v>
      </c>
      <c r="L49" s="6"/>
      <c r="M49" s="21">
        <v>43231</v>
      </c>
      <c r="N49" s="10" t="s">
        <v>24</v>
      </c>
      <c r="O49" s="25">
        <v>11</v>
      </c>
      <c r="P49" s="25">
        <v>0</v>
      </c>
      <c r="Q49" s="25"/>
      <c r="R49" s="25">
        <v>0</v>
      </c>
      <c r="S49" s="25">
        <v>0</v>
      </c>
      <c r="T49" s="25">
        <v>11</v>
      </c>
      <c r="U49" s="25">
        <v>0</v>
      </c>
      <c r="W49" s="6"/>
    </row>
    <row r="50" spans="2:32" ht="16.5" customHeight="1">
      <c r="B50" s="6"/>
      <c r="C50" s="12">
        <f t="shared" ca="1" si="7"/>
        <v>1</v>
      </c>
      <c r="D50" s="22">
        <v>43238</v>
      </c>
      <c r="E50" s="26">
        <v>1</v>
      </c>
      <c r="F50" s="26" t="s">
        <v>115</v>
      </c>
      <c r="G50" s="26">
        <v>0</v>
      </c>
      <c r="H50" s="26">
        <v>0</v>
      </c>
      <c r="I50" s="26">
        <v>0</v>
      </c>
      <c r="J50" s="26">
        <v>1</v>
      </c>
      <c r="L50" s="6"/>
      <c r="M50" s="21">
        <v>43238</v>
      </c>
      <c r="N50" s="10" t="s">
        <v>24</v>
      </c>
      <c r="O50" s="25">
        <v>0</v>
      </c>
      <c r="P50" s="25">
        <v>0</v>
      </c>
      <c r="Q50" s="25"/>
      <c r="R50" s="25">
        <v>11</v>
      </c>
      <c r="S50" s="25">
        <v>11</v>
      </c>
      <c r="T50" s="25">
        <v>11</v>
      </c>
      <c r="U50" s="25">
        <v>0</v>
      </c>
      <c r="W50" s="6"/>
    </row>
    <row r="51" spans="2:32" ht="16.5" customHeight="1">
      <c r="B51" s="6"/>
      <c r="C51" s="12">
        <f t="shared" ca="1" si="7"/>
        <v>1</v>
      </c>
      <c r="D51" s="22">
        <v>43245</v>
      </c>
      <c r="E51" s="26">
        <v>0</v>
      </c>
      <c r="F51" s="26" t="s">
        <v>115</v>
      </c>
      <c r="G51" s="26">
        <v>0</v>
      </c>
      <c r="H51" s="26">
        <v>0</v>
      </c>
      <c r="I51" s="26">
        <v>1</v>
      </c>
      <c r="J51" s="26">
        <v>1</v>
      </c>
      <c r="L51" s="6"/>
      <c r="M51" s="21">
        <v>43245</v>
      </c>
      <c r="N51" s="10" t="s">
        <v>24</v>
      </c>
      <c r="O51" s="25">
        <v>11</v>
      </c>
      <c r="P51" s="25">
        <v>0</v>
      </c>
      <c r="Q51" s="25"/>
      <c r="R51" s="25">
        <v>11</v>
      </c>
      <c r="S51" s="25">
        <v>11</v>
      </c>
      <c r="T51" s="25">
        <v>0</v>
      </c>
      <c r="U51" s="25">
        <v>0</v>
      </c>
      <c r="W51" s="6"/>
    </row>
    <row r="52" spans="2:32" ht="16.5" customHeight="1">
      <c r="B52" s="6"/>
      <c r="C52" s="12">
        <f t="shared" ca="1" si="7"/>
        <v>1</v>
      </c>
      <c r="D52" s="22">
        <v>43252</v>
      </c>
      <c r="E52" s="26">
        <v>1</v>
      </c>
      <c r="F52" s="26" t="s">
        <v>115</v>
      </c>
      <c r="G52" s="26">
        <v>0</v>
      </c>
      <c r="H52" s="26">
        <v>0</v>
      </c>
      <c r="I52" s="26">
        <v>1</v>
      </c>
      <c r="J52" s="26">
        <v>1</v>
      </c>
      <c r="L52" s="6"/>
      <c r="M52" s="21">
        <v>43252</v>
      </c>
      <c r="N52" s="10" t="s">
        <v>24</v>
      </c>
      <c r="O52" s="25">
        <v>0</v>
      </c>
      <c r="P52" s="25"/>
      <c r="Q52" s="25"/>
      <c r="R52" s="25">
        <v>11</v>
      </c>
      <c r="S52" s="25">
        <v>11</v>
      </c>
      <c r="T52" s="25">
        <v>0</v>
      </c>
      <c r="U52" s="25">
        <v>0</v>
      </c>
      <c r="W52" s="6"/>
    </row>
    <row r="53" spans="2:32" ht="16.5" customHeight="1">
      <c r="B53" s="6"/>
      <c r="C53" s="12">
        <f t="shared" ca="1" si="7"/>
        <v>1</v>
      </c>
      <c r="D53" s="22">
        <v>43259</v>
      </c>
      <c r="E53" s="26">
        <v>1</v>
      </c>
      <c r="F53" s="26" t="s">
        <v>115</v>
      </c>
      <c r="G53" s="26">
        <v>1</v>
      </c>
      <c r="H53" s="26">
        <v>0</v>
      </c>
      <c r="I53" s="26">
        <v>0</v>
      </c>
      <c r="J53" s="26">
        <v>1</v>
      </c>
      <c r="L53" s="6"/>
      <c r="M53" s="21">
        <v>43259</v>
      </c>
      <c r="N53" s="10" t="s">
        <v>24</v>
      </c>
      <c r="O53" s="25">
        <v>0</v>
      </c>
      <c r="P53" s="25"/>
      <c r="Q53" s="25"/>
      <c r="R53" s="25">
        <v>0</v>
      </c>
      <c r="S53" s="25">
        <v>11</v>
      </c>
      <c r="T53" s="25">
        <v>11</v>
      </c>
      <c r="U53" s="25">
        <v>0</v>
      </c>
      <c r="W53" s="6"/>
    </row>
    <row r="54" spans="2:32" ht="16.5" customHeight="1">
      <c r="B54" s="6"/>
      <c r="C54" s="12">
        <f t="shared" ca="1" si="7"/>
        <v>1</v>
      </c>
      <c r="D54" s="22">
        <v>43266</v>
      </c>
      <c r="E54" s="26">
        <v>0</v>
      </c>
      <c r="F54" s="26" t="s">
        <v>115</v>
      </c>
      <c r="G54" s="26">
        <v>1</v>
      </c>
      <c r="H54" s="26">
        <v>0</v>
      </c>
      <c r="I54" s="26">
        <v>1</v>
      </c>
      <c r="J54" s="26">
        <v>1</v>
      </c>
      <c r="L54" s="6"/>
      <c r="M54" s="21">
        <v>43266</v>
      </c>
      <c r="N54" s="10" t="s">
        <v>24</v>
      </c>
      <c r="O54" s="25">
        <v>11</v>
      </c>
      <c r="P54" s="25"/>
      <c r="Q54" s="25"/>
      <c r="R54" s="25">
        <v>0</v>
      </c>
      <c r="S54" s="25">
        <v>11</v>
      </c>
      <c r="T54" s="25">
        <v>0</v>
      </c>
      <c r="U54" s="25">
        <v>0</v>
      </c>
      <c r="W54" s="6"/>
    </row>
    <row r="55" spans="2:32" ht="16.5" customHeight="1">
      <c r="B55" s="6"/>
      <c r="C55" s="12">
        <f t="shared" ca="1" si="7"/>
        <v>1</v>
      </c>
      <c r="D55" s="22">
        <v>43273</v>
      </c>
      <c r="E55" s="26">
        <v>1</v>
      </c>
      <c r="F55" s="26" t="s">
        <v>115</v>
      </c>
      <c r="G55" s="26">
        <v>1</v>
      </c>
      <c r="H55" s="26">
        <v>0</v>
      </c>
      <c r="I55" s="26">
        <v>1</v>
      </c>
      <c r="J55" s="26">
        <v>1</v>
      </c>
      <c r="L55" s="6"/>
      <c r="M55" s="21">
        <v>43273</v>
      </c>
      <c r="N55" s="10" t="s">
        <v>24</v>
      </c>
      <c r="O55" s="25">
        <v>0</v>
      </c>
      <c r="P55" s="25"/>
      <c r="Q55" s="25"/>
      <c r="R55" s="25">
        <v>0</v>
      </c>
      <c r="S55" s="25">
        <v>11</v>
      </c>
      <c r="T55" s="25">
        <v>0</v>
      </c>
      <c r="U55" s="25">
        <v>0</v>
      </c>
      <c r="W55" s="6"/>
    </row>
    <row r="56" spans="2:32" ht="16.5" customHeight="1">
      <c r="B56" s="6"/>
      <c r="C56" s="12">
        <f t="shared" ca="1" si="7"/>
        <v>1</v>
      </c>
      <c r="D56" s="22">
        <v>43280</v>
      </c>
      <c r="E56" s="26">
        <v>1</v>
      </c>
      <c r="F56" s="26" t="s">
        <v>115</v>
      </c>
      <c r="G56" s="26">
        <v>1</v>
      </c>
      <c r="H56" s="26" t="s">
        <v>115</v>
      </c>
      <c r="I56" s="26">
        <v>0</v>
      </c>
      <c r="J56" s="26">
        <v>1</v>
      </c>
      <c r="L56" s="6"/>
      <c r="M56" s="21">
        <v>43280</v>
      </c>
      <c r="N56" s="10" t="s">
        <v>24</v>
      </c>
      <c r="O56" s="25">
        <v>0</v>
      </c>
      <c r="P56" s="25"/>
      <c r="Q56" s="25"/>
      <c r="R56" s="25">
        <v>0</v>
      </c>
      <c r="S56" s="25"/>
      <c r="T56" s="25">
        <v>11</v>
      </c>
      <c r="U56" s="25">
        <v>0</v>
      </c>
      <c r="W56" s="6"/>
    </row>
    <row r="57" spans="2:32" ht="16.5" customHeight="1">
      <c r="B57" s="6"/>
      <c r="C57" s="12">
        <f t="shared" ca="1" si="7"/>
        <v>1</v>
      </c>
      <c r="D57" s="22">
        <v>43287</v>
      </c>
      <c r="E57" s="26">
        <v>1</v>
      </c>
      <c r="F57" s="26" t="s">
        <v>115</v>
      </c>
      <c r="G57" s="26">
        <v>0</v>
      </c>
      <c r="H57" s="26" t="s">
        <v>115</v>
      </c>
      <c r="I57" s="26">
        <v>0</v>
      </c>
      <c r="J57" s="26">
        <v>1</v>
      </c>
      <c r="L57" s="6"/>
      <c r="M57" s="21">
        <v>43287</v>
      </c>
      <c r="N57" s="10" t="s">
        <v>24</v>
      </c>
      <c r="O57" s="25">
        <v>0</v>
      </c>
      <c r="P57" s="25"/>
      <c r="Q57" s="25"/>
      <c r="R57" s="25">
        <v>11</v>
      </c>
      <c r="S57" s="25"/>
      <c r="T57" s="25">
        <v>11</v>
      </c>
      <c r="U57" s="25">
        <v>0</v>
      </c>
      <c r="W57" s="6"/>
    </row>
    <row r="58" spans="2:32" ht="16.5" customHeight="1">
      <c r="B58" s="6"/>
      <c r="C58" s="12">
        <f t="shared" ca="1" si="7"/>
        <v>1</v>
      </c>
      <c r="D58" s="22">
        <v>43294</v>
      </c>
      <c r="E58" s="26">
        <v>1</v>
      </c>
      <c r="F58" s="26" t="s">
        <v>115</v>
      </c>
      <c r="G58" s="26">
        <v>1</v>
      </c>
      <c r="H58" s="26" t="s">
        <v>115</v>
      </c>
      <c r="I58" s="26">
        <v>0</v>
      </c>
      <c r="J58" s="26">
        <v>1</v>
      </c>
      <c r="L58" s="6"/>
      <c r="M58" s="21">
        <v>43294</v>
      </c>
      <c r="N58" s="10" t="s">
        <v>96</v>
      </c>
      <c r="O58" s="25">
        <v>0</v>
      </c>
      <c r="P58" s="25"/>
      <c r="Q58" s="25"/>
      <c r="R58" s="25">
        <v>0</v>
      </c>
      <c r="S58" s="25"/>
      <c r="T58" s="25">
        <v>11</v>
      </c>
      <c r="U58" s="25">
        <v>0</v>
      </c>
      <c r="W58" s="6"/>
    </row>
    <row r="59" spans="2:32" ht="16.5" customHeight="1">
      <c r="B59" s="6"/>
      <c r="C59" s="12">
        <f t="shared" ca="1" si="7"/>
        <v>1</v>
      </c>
      <c r="D59" s="22">
        <v>43301</v>
      </c>
      <c r="E59" s="26">
        <v>1</v>
      </c>
      <c r="F59" s="26" t="s">
        <v>115</v>
      </c>
      <c r="G59" s="26">
        <v>1</v>
      </c>
      <c r="H59" s="26" t="s">
        <v>115</v>
      </c>
      <c r="I59" s="26">
        <v>0</v>
      </c>
      <c r="J59" s="26">
        <v>1</v>
      </c>
      <c r="L59" s="6"/>
      <c r="M59" s="21">
        <v>43301</v>
      </c>
      <c r="N59" s="10" t="s">
        <v>96</v>
      </c>
      <c r="O59" s="25">
        <v>0</v>
      </c>
      <c r="P59" s="25"/>
      <c r="Q59" s="25"/>
      <c r="R59" s="25">
        <v>0</v>
      </c>
      <c r="S59" s="25"/>
      <c r="T59" s="25">
        <v>11</v>
      </c>
      <c r="U59" s="25">
        <v>0</v>
      </c>
      <c r="W59" s="6"/>
    </row>
    <row r="60" spans="2:32">
      <c r="C60" s="12">
        <f t="shared" ca="1" si="7"/>
        <v>1</v>
      </c>
      <c r="D60" s="22">
        <v>43308</v>
      </c>
      <c r="E60" s="26">
        <v>1</v>
      </c>
      <c r="F60" s="26" t="s">
        <v>115</v>
      </c>
      <c r="G60" s="26">
        <v>1</v>
      </c>
      <c r="H60" s="26">
        <v>1</v>
      </c>
      <c r="I60" s="26">
        <v>0</v>
      </c>
      <c r="J60" s="26">
        <v>1</v>
      </c>
      <c r="M60" s="21">
        <v>43308</v>
      </c>
      <c r="N60" s="10" t="s">
        <v>24</v>
      </c>
      <c r="O60" s="25">
        <v>0</v>
      </c>
      <c r="P60" s="25"/>
      <c r="Q60" s="25"/>
      <c r="R60" s="25">
        <v>0</v>
      </c>
      <c r="S60" s="25">
        <v>0</v>
      </c>
      <c r="T60" s="25">
        <v>11</v>
      </c>
      <c r="U60" s="25">
        <v>0</v>
      </c>
      <c r="W60" s="6"/>
    </row>
    <row r="61" spans="2:32">
      <c r="C61" s="12">
        <f t="shared" ca="1" si="7"/>
        <v>1</v>
      </c>
      <c r="D61" s="22">
        <v>43315</v>
      </c>
      <c r="E61" s="26">
        <v>1</v>
      </c>
      <c r="F61" s="26" t="s">
        <v>115</v>
      </c>
      <c r="G61" s="26">
        <v>1</v>
      </c>
      <c r="H61" s="26" t="s">
        <v>115</v>
      </c>
      <c r="I61" s="26">
        <v>0</v>
      </c>
      <c r="J61" s="26">
        <v>1</v>
      </c>
      <c r="M61" s="21">
        <v>43315</v>
      </c>
      <c r="N61" s="10" t="s">
        <v>24</v>
      </c>
      <c r="O61" s="25">
        <v>0</v>
      </c>
      <c r="P61" s="25"/>
      <c r="Q61" s="25"/>
      <c r="R61" s="25">
        <v>0</v>
      </c>
      <c r="S61" s="25"/>
      <c r="T61" s="25">
        <v>11</v>
      </c>
      <c r="U61" s="25">
        <v>0</v>
      </c>
      <c r="W61" s="6"/>
      <c r="Z61" s="36"/>
      <c r="AA61" s="36"/>
      <c r="AB61" s="36"/>
      <c r="AC61" s="36"/>
      <c r="AD61" s="36"/>
      <c r="AE61" s="36"/>
      <c r="AF61" s="36"/>
    </row>
    <row r="62" spans="2:32">
      <c r="C62" s="12">
        <f t="shared" ca="1" si="7"/>
        <v>1</v>
      </c>
      <c r="D62" s="22">
        <v>43322</v>
      </c>
      <c r="E62" s="26">
        <v>1</v>
      </c>
      <c r="F62" s="26" t="s">
        <v>115</v>
      </c>
      <c r="G62" s="26">
        <v>1</v>
      </c>
      <c r="H62" s="26" t="s">
        <v>115</v>
      </c>
      <c r="I62" s="26">
        <v>0</v>
      </c>
      <c r="J62" s="26">
        <v>1</v>
      </c>
      <c r="M62" s="21">
        <v>43322</v>
      </c>
      <c r="N62" s="10" t="s">
        <v>24</v>
      </c>
      <c r="O62" s="25">
        <v>0</v>
      </c>
      <c r="P62" s="25"/>
      <c r="Q62" s="25"/>
      <c r="R62" s="25">
        <v>0</v>
      </c>
      <c r="S62" s="25"/>
      <c r="T62" s="25">
        <v>11</v>
      </c>
      <c r="U62" s="25">
        <v>0</v>
      </c>
      <c r="W62" s="6"/>
    </row>
    <row r="63" spans="2:32">
      <c r="C63" s="12">
        <f t="shared" ca="1" si="7"/>
        <v>1</v>
      </c>
      <c r="D63" s="22">
        <v>43329</v>
      </c>
      <c r="E63" s="26">
        <v>1</v>
      </c>
      <c r="F63" s="26" t="s">
        <v>115</v>
      </c>
      <c r="G63" s="26">
        <v>1</v>
      </c>
      <c r="H63" s="26" t="s">
        <v>115</v>
      </c>
      <c r="I63" s="26">
        <v>0</v>
      </c>
      <c r="J63" s="26">
        <v>1</v>
      </c>
      <c r="M63" s="21">
        <v>43329</v>
      </c>
      <c r="N63" s="10" t="s">
        <v>24</v>
      </c>
      <c r="O63" s="25">
        <v>0</v>
      </c>
      <c r="P63" s="25"/>
      <c r="Q63" s="25"/>
      <c r="R63" s="25">
        <v>0</v>
      </c>
      <c r="S63" s="25"/>
      <c r="T63" s="25">
        <v>11</v>
      </c>
      <c r="U63" s="25">
        <v>0</v>
      </c>
      <c r="W63" s="6"/>
    </row>
    <row r="64" spans="2:32">
      <c r="M64" s="21">
        <v>43336</v>
      </c>
      <c r="N64" s="10" t="s">
        <v>43</v>
      </c>
      <c r="O64" s="25"/>
      <c r="P64" s="25"/>
      <c r="Q64" s="25"/>
      <c r="R64" s="25"/>
      <c r="S64" s="25"/>
      <c r="T64" s="25"/>
      <c r="U64" s="25">
        <v>5.5</v>
      </c>
      <c r="W64" s="6"/>
    </row>
    <row r="65" spans="3:23">
      <c r="C65" s="12">
        <f t="shared" ref="C65:C82" ca="1" si="8">IF(D65&lt;=TODAY(),1,"")</f>
        <v>1</v>
      </c>
      <c r="D65" s="22">
        <v>43336</v>
      </c>
      <c r="E65" s="26">
        <v>0</v>
      </c>
      <c r="F65" s="26" t="s">
        <v>115</v>
      </c>
      <c r="G65" s="26">
        <v>0</v>
      </c>
      <c r="H65" s="26" t="s">
        <v>115</v>
      </c>
      <c r="I65" s="26">
        <v>0</v>
      </c>
      <c r="J65" s="26">
        <v>1</v>
      </c>
      <c r="M65" s="21">
        <v>43336</v>
      </c>
      <c r="N65" s="10" t="s">
        <v>24</v>
      </c>
      <c r="O65" s="25">
        <v>11</v>
      </c>
      <c r="P65" s="25"/>
      <c r="Q65" s="25"/>
      <c r="R65" s="25">
        <v>11</v>
      </c>
      <c r="S65" s="25"/>
      <c r="T65" s="25">
        <v>11</v>
      </c>
      <c r="U65" s="25">
        <v>0</v>
      </c>
      <c r="W65" s="6"/>
    </row>
    <row r="66" spans="3:23">
      <c r="C66" s="12">
        <f t="shared" ca="1" si="8"/>
        <v>1</v>
      </c>
      <c r="D66" s="22">
        <v>43343</v>
      </c>
      <c r="E66" s="26">
        <v>1</v>
      </c>
      <c r="F66" s="26" t="s">
        <v>115</v>
      </c>
      <c r="G66" s="26">
        <v>0</v>
      </c>
      <c r="H66" s="26">
        <v>1</v>
      </c>
      <c r="I66" s="26">
        <v>1</v>
      </c>
      <c r="J66" s="26">
        <v>1</v>
      </c>
      <c r="M66" s="21">
        <v>43343</v>
      </c>
      <c r="N66" s="10" t="s">
        <v>24</v>
      </c>
      <c r="O66" s="25">
        <v>0</v>
      </c>
      <c r="P66" s="25"/>
      <c r="Q66" s="25"/>
      <c r="R66" s="25">
        <v>11</v>
      </c>
      <c r="S66" s="25">
        <v>0</v>
      </c>
      <c r="T66" s="25">
        <v>0</v>
      </c>
      <c r="U66" s="25">
        <v>0</v>
      </c>
      <c r="W66" s="6"/>
    </row>
    <row r="67" spans="3:23">
      <c r="C67" s="12">
        <f t="shared" ca="1" si="8"/>
        <v>1</v>
      </c>
      <c r="D67" s="22">
        <v>43350</v>
      </c>
      <c r="E67" s="26">
        <v>0</v>
      </c>
      <c r="F67" s="26" t="s">
        <v>115</v>
      </c>
      <c r="G67" s="26">
        <v>1</v>
      </c>
      <c r="H67" s="26" t="s">
        <v>115</v>
      </c>
      <c r="I67" s="26">
        <v>1</v>
      </c>
      <c r="J67" s="26">
        <v>1</v>
      </c>
      <c r="M67" s="21">
        <v>43350</v>
      </c>
      <c r="N67" s="10" t="s">
        <v>24</v>
      </c>
      <c r="O67" s="25">
        <v>11</v>
      </c>
      <c r="P67" s="25"/>
      <c r="Q67" s="25"/>
      <c r="R67" s="25">
        <v>0</v>
      </c>
      <c r="S67" s="25"/>
      <c r="T67" s="25">
        <v>0</v>
      </c>
      <c r="U67" s="25">
        <v>0</v>
      </c>
      <c r="W67" s="6"/>
    </row>
    <row r="68" spans="3:23">
      <c r="C68" s="12">
        <f t="shared" ca="1" si="8"/>
        <v>1</v>
      </c>
      <c r="D68" s="22">
        <v>43357</v>
      </c>
      <c r="E68" s="26">
        <v>0</v>
      </c>
      <c r="F68" s="26" t="s">
        <v>115</v>
      </c>
      <c r="G68" s="26">
        <v>1</v>
      </c>
      <c r="H68" s="26">
        <v>1</v>
      </c>
      <c r="I68" s="26">
        <v>1</v>
      </c>
      <c r="J68" s="26">
        <v>1</v>
      </c>
      <c r="M68" s="21">
        <v>43357</v>
      </c>
      <c r="N68" s="10" t="s">
        <v>24</v>
      </c>
      <c r="O68" s="25">
        <v>11</v>
      </c>
      <c r="P68" s="25"/>
      <c r="Q68" s="25"/>
      <c r="R68" s="25">
        <v>0</v>
      </c>
      <c r="S68" s="25">
        <v>0</v>
      </c>
      <c r="T68" s="25">
        <v>0</v>
      </c>
      <c r="U68" s="25">
        <v>0</v>
      </c>
      <c r="W68" s="6"/>
    </row>
    <row r="69" spans="3:23">
      <c r="C69" s="12">
        <f t="shared" ca="1" si="8"/>
        <v>1</v>
      </c>
      <c r="D69" s="22">
        <v>43364</v>
      </c>
      <c r="E69" s="26">
        <v>1</v>
      </c>
      <c r="F69" s="26" t="s">
        <v>115</v>
      </c>
      <c r="G69" s="26">
        <v>1</v>
      </c>
      <c r="H69" s="26" t="s">
        <v>115</v>
      </c>
      <c r="I69" s="26">
        <v>1</v>
      </c>
      <c r="J69" s="26">
        <v>1</v>
      </c>
      <c r="M69" s="21">
        <v>43364</v>
      </c>
      <c r="N69" s="10" t="s">
        <v>24</v>
      </c>
      <c r="O69" s="25">
        <v>0</v>
      </c>
      <c r="P69" s="25"/>
      <c r="Q69" s="25"/>
      <c r="R69" s="25">
        <v>0</v>
      </c>
      <c r="S69" s="25"/>
      <c r="T69" s="25">
        <v>0</v>
      </c>
      <c r="U69" s="25">
        <v>0</v>
      </c>
      <c r="W69" s="6"/>
    </row>
    <row r="70" spans="3:23">
      <c r="C70" s="12">
        <f t="shared" ca="1" si="8"/>
        <v>1</v>
      </c>
      <c r="D70" s="22">
        <v>43371</v>
      </c>
      <c r="E70" s="26">
        <v>1</v>
      </c>
      <c r="F70" s="26" t="s">
        <v>115</v>
      </c>
      <c r="G70" s="26">
        <v>0</v>
      </c>
      <c r="H70" s="26" t="s">
        <v>115</v>
      </c>
      <c r="I70" s="26">
        <v>1</v>
      </c>
      <c r="J70" s="26">
        <v>0</v>
      </c>
      <c r="M70" s="21">
        <v>43371</v>
      </c>
      <c r="N70" s="10" t="s">
        <v>24</v>
      </c>
      <c r="O70" s="25">
        <v>0</v>
      </c>
      <c r="P70" s="25"/>
      <c r="Q70" s="25"/>
      <c r="R70" s="25">
        <v>11</v>
      </c>
      <c r="S70" s="25"/>
      <c r="T70" s="25">
        <v>0</v>
      </c>
      <c r="U70" s="25">
        <v>11</v>
      </c>
      <c r="W70" s="6"/>
    </row>
    <row r="71" spans="3:23">
      <c r="C71" s="12">
        <f t="shared" ca="1" si="8"/>
        <v>1</v>
      </c>
      <c r="D71" s="22">
        <v>43378</v>
      </c>
      <c r="E71" s="26">
        <v>1</v>
      </c>
      <c r="F71" s="26" t="s">
        <v>115</v>
      </c>
      <c r="G71" s="26">
        <v>1</v>
      </c>
      <c r="H71" s="26" t="s">
        <v>115</v>
      </c>
      <c r="I71" s="26">
        <v>1</v>
      </c>
      <c r="J71" s="26">
        <v>1</v>
      </c>
      <c r="M71" s="21">
        <v>43378</v>
      </c>
      <c r="N71" s="10" t="s">
        <v>24</v>
      </c>
      <c r="O71" s="25">
        <v>0</v>
      </c>
      <c r="P71" s="25"/>
      <c r="Q71" s="25"/>
      <c r="R71" s="25">
        <v>0</v>
      </c>
      <c r="S71" s="25"/>
      <c r="T71" s="25">
        <v>0</v>
      </c>
      <c r="U71" s="25">
        <v>0</v>
      </c>
      <c r="W71" s="6"/>
    </row>
    <row r="72" spans="3:23">
      <c r="C72" s="12">
        <f t="shared" ca="1" si="8"/>
        <v>1</v>
      </c>
      <c r="D72" s="22">
        <v>43385</v>
      </c>
      <c r="E72" s="26">
        <v>1</v>
      </c>
      <c r="F72" s="26" t="s">
        <v>115</v>
      </c>
      <c r="G72" s="26">
        <v>1</v>
      </c>
      <c r="H72" s="26" t="s">
        <v>115</v>
      </c>
      <c r="I72" s="26">
        <v>1</v>
      </c>
      <c r="J72" s="26">
        <v>1</v>
      </c>
      <c r="M72" s="21">
        <v>43385</v>
      </c>
      <c r="N72" s="10" t="s">
        <v>24</v>
      </c>
      <c r="O72" s="25">
        <v>0</v>
      </c>
      <c r="P72" s="25"/>
      <c r="Q72" s="25"/>
      <c r="R72" s="25">
        <v>0</v>
      </c>
      <c r="S72" s="25"/>
      <c r="T72" s="25">
        <v>0</v>
      </c>
      <c r="U72" s="25">
        <v>0</v>
      </c>
      <c r="W72" s="6"/>
    </row>
    <row r="73" spans="3:23">
      <c r="C73" s="12">
        <f t="shared" ca="1" si="8"/>
        <v>1</v>
      </c>
      <c r="D73" s="22">
        <v>43392</v>
      </c>
      <c r="E73" s="26">
        <v>1</v>
      </c>
      <c r="F73" s="26" t="s">
        <v>115</v>
      </c>
      <c r="G73" s="26">
        <v>1</v>
      </c>
      <c r="H73" s="26" t="s">
        <v>115</v>
      </c>
      <c r="I73" s="26">
        <v>1</v>
      </c>
      <c r="J73" s="26">
        <v>1</v>
      </c>
      <c r="M73" s="21">
        <v>43392</v>
      </c>
      <c r="N73" s="10" t="s">
        <v>24</v>
      </c>
      <c r="O73" s="25">
        <v>0</v>
      </c>
      <c r="P73" s="25"/>
      <c r="Q73" s="25"/>
      <c r="R73" s="25">
        <v>0</v>
      </c>
      <c r="S73" s="25"/>
      <c r="T73" s="25">
        <v>0</v>
      </c>
      <c r="U73" s="25">
        <v>0</v>
      </c>
      <c r="W73" s="6"/>
    </row>
    <row r="74" spans="3:23">
      <c r="C74" s="12">
        <f t="shared" ca="1" si="8"/>
        <v>1</v>
      </c>
      <c r="D74" s="22">
        <v>43399</v>
      </c>
      <c r="E74" s="26">
        <v>1</v>
      </c>
      <c r="F74" s="26" t="s">
        <v>115</v>
      </c>
      <c r="G74" s="26">
        <v>1</v>
      </c>
      <c r="H74" s="26" t="s">
        <v>115</v>
      </c>
      <c r="I74" s="26">
        <v>1</v>
      </c>
      <c r="J74" s="26">
        <v>1</v>
      </c>
      <c r="M74" s="21">
        <v>43399</v>
      </c>
      <c r="N74" s="10" t="s">
        <v>24</v>
      </c>
      <c r="O74" s="25">
        <v>0</v>
      </c>
      <c r="P74" s="25"/>
      <c r="Q74" s="25"/>
      <c r="R74" s="25">
        <v>0</v>
      </c>
      <c r="S74" s="25"/>
      <c r="T74" s="25">
        <v>0</v>
      </c>
      <c r="U74" s="25">
        <v>0</v>
      </c>
    </row>
    <row r="75" spans="3:23">
      <c r="C75" s="12">
        <f t="shared" ca="1" si="8"/>
        <v>1</v>
      </c>
      <c r="D75" s="22">
        <v>43406</v>
      </c>
      <c r="E75" s="26">
        <v>1</v>
      </c>
      <c r="F75" s="26" t="s">
        <v>115</v>
      </c>
      <c r="G75" s="26">
        <v>1</v>
      </c>
      <c r="H75" s="26" t="s">
        <v>115</v>
      </c>
      <c r="I75" s="26">
        <v>1</v>
      </c>
      <c r="J75" s="26">
        <v>1</v>
      </c>
      <c r="M75" s="21">
        <v>43406</v>
      </c>
      <c r="N75" s="10" t="s">
        <v>24</v>
      </c>
      <c r="O75" s="25">
        <v>0</v>
      </c>
      <c r="P75" s="25"/>
      <c r="Q75" s="25"/>
      <c r="R75" s="25">
        <v>0</v>
      </c>
      <c r="S75" s="25"/>
      <c r="T75" s="25">
        <v>0</v>
      </c>
      <c r="U75" s="25">
        <v>0</v>
      </c>
    </row>
    <row r="76" spans="3:23">
      <c r="C76" s="12">
        <f t="shared" ca="1" si="8"/>
        <v>1</v>
      </c>
      <c r="D76" s="22">
        <v>43413</v>
      </c>
      <c r="E76" s="26">
        <v>1</v>
      </c>
      <c r="F76" s="26" t="s">
        <v>115</v>
      </c>
      <c r="G76" s="26">
        <v>1</v>
      </c>
      <c r="H76" s="26" t="s">
        <v>115</v>
      </c>
      <c r="I76" s="26">
        <v>1</v>
      </c>
      <c r="J76" s="26">
        <v>0</v>
      </c>
      <c r="M76" s="21">
        <v>43413</v>
      </c>
      <c r="N76" s="10" t="s">
        <v>24</v>
      </c>
      <c r="O76" s="25">
        <v>0</v>
      </c>
      <c r="P76" s="25"/>
      <c r="Q76" s="25"/>
      <c r="R76" s="25">
        <v>0</v>
      </c>
      <c r="S76" s="25"/>
      <c r="T76" s="25">
        <v>0</v>
      </c>
      <c r="U76" s="25">
        <v>11</v>
      </c>
    </row>
    <row r="77" spans="3:23">
      <c r="C77" s="12">
        <f t="shared" ca="1" si="8"/>
        <v>1</v>
      </c>
      <c r="D77" s="22">
        <v>43420</v>
      </c>
      <c r="E77" s="26">
        <v>1</v>
      </c>
      <c r="F77" s="26" t="s">
        <v>115</v>
      </c>
      <c r="G77" s="26">
        <v>0</v>
      </c>
      <c r="H77" s="26" t="s">
        <v>115</v>
      </c>
      <c r="I77" s="26">
        <v>1</v>
      </c>
      <c r="J77" s="26">
        <v>1</v>
      </c>
      <c r="M77" s="21">
        <v>43420</v>
      </c>
      <c r="N77" s="10" t="s">
        <v>24</v>
      </c>
      <c r="O77" s="25">
        <v>0</v>
      </c>
      <c r="P77" s="25"/>
      <c r="Q77" s="25"/>
      <c r="R77" s="25">
        <v>11</v>
      </c>
      <c r="S77" s="25"/>
      <c r="T77" s="25">
        <v>0</v>
      </c>
      <c r="U77" s="25">
        <v>0</v>
      </c>
    </row>
    <row r="78" spans="3:23">
      <c r="C78" s="12">
        <f t="shared" ca="1" si="8"/>
        <v>1</v>
      </c>
      <c r="D78" s="22">
        <v>43427</v>
      </c>
      <c r="E78" s="26">
        <v>1</v>
      </c>
      <c r="F78" s="26" t="s">
        <v>115</v>
      </c>
      <c r="G78" s="26">
        <v>1</v>
      </c>
      <c r="H78" s="26" t="s">
        <v>115</v>
      </c>
      <c r="I78" s="26">
        <v>1</v>
      </c>
      <c r="J78" s="26">
        <v>1</v>
      </c>
      <c r="M78" s="21">
        <v>43427</v>
      </c>
      <c r="N78" s="10" t="s">
        <v>24</v>
      </c>
      <c r="O78" s="25">
        <v>0</v>
      </c>
      <c r="P78" s="25"/>
      <c r="Q78" s="25"/>
      <c r="R78" s="25">
        <v>0</v>
      </c>
      <c r="S78" s="25"/>
      <c r="T78" s="25">
        <v>0</v>
      </c>
      <c r="U78" s="25">
        <v>0</v>
      </c>
    </row>
    <row r="79" spans="3:23">
      <c r="C79" s="12">
        <f t="shared" ca="1" si="8"/>
        <v>1</v>
      </c>
      <c r="D79" s="22">
        <v>43434</v>
      </c>
      <c r="E79" s="26">
        <v>1</v>
      </c>
      <c r="F79" s="26" t="s">
        <v>115</v>
      </c>
      <c r="G79" s="26">
        <v>1</v>
      </c>
      <c r="H79" s="26" t="s">
        <v>115</v>
      </c>
      <c r="I79" s="26">
        <v>0</v>
      </c>
      <c r="J79" s="26">
        <v>1</v>
      </c>
      <c r="M79" s="21">
        <v>43434</v>
      </c>
      <c r="N79" s="10" t="s">
        <v>24</v>
      </c>
      <c r="O79" s="25">
        <v>0</v>
      </c>
      <c r="P79" s="25"/>
      <c r="Q79" s="25"/>
      <c r="R79" s="25">
        <v>0</v>
      </c>
      <c r="S79" s="25"/>
      <c r="T79" s="25">
        <v>11</v>
      </c>
      <c r="U79" s="25">
        <v>0</v>
      </c>
    </row>
    <row r="80" spans="3:23">
      <c r="C80" s="12">
        <f t="shared" ca="1" si="8"/>
        <v>1</v>
      </c>
      <c r="D80" s="22">
        <v>43441</v>
      </c>
      <c r="E80" s="26">
        <v>1</v>
      </c>
      <c r="F80" s="26" t="s">
        <v>115</v>
      </c>
      <c r="G80" s="26">
        <v>0</v>
      </c>
      <c r="H80" s="26" t="s">
        <v>115</v>
      </c>
      <c r="I80" s="26">
        <v>1</v>
      </c>
      <c r="J80" s="26">
        <v>1</v>
      </c>
      <c r="M80" s="21">
        <v>43441</v>
      </c>
      <c r="N80" s="10" t="s">
        <v>24</v>
      </c>
      <c r="O80" s="25">
        <v>0</v>
      </c>
      <c r="P80" s="25"/>
      <c r="Q80" s="25"/>
      <c r="R80" s="25">
        <v>11</v>
      </c>
      <c r="S80" s="25"/>
      <c r="T80" s="25">
        <v>0</v>
      </c>
      <c r="U80" s="25">
        <v>0</v>
      </c>
    </row>
    <row r="81" spans="3:21">
      <c r="C81" s="12">
        <f t="shared" ca="1" si="8"/>
        <v>1</v>
      </c>
      <c r="D81" s="22">
        <v>43448</v>
      </c>
      <c r="E81" s="26">
        <v>0</v>
      </c>
      <c r="F81" s="26">
        <v>1</v>
      </c>
      <c r="G81" s="26">
        <v>1</v>
      </c>
      <c r="H81" s="26" t="s">
        <v>115</v>
      </c>
      <c r="I81" s="26">
        <v>1</v>
      </c>
      <c r="J81" s="26">
        <v>1</v>
      </c>
      <c r="M81" s="21">
        <v>43448</v>
      </c>
      <c r="N81" s="10" t="s">
        <v>24</v>
      </c>
      <c r="O81" s="25">
        <v>11</v>
      </c>
      <c r="P81" s="25"/>
      <c r="Q81" s="25">
        <v>0</v>
      </c>
      <c r="R81" s="25">
        <v>0</v>
      </c>
      <c r="S81" s="25"/>
      <c r="T81" s="25">
        <v>0</v>
      </c>
      <c r="U81" s="25">
        <v>0</v>
      </c>
    </row>
    <row r="82" spans="3:21">
      <c r="C82" s="12">
        <f t="shared" ca="1" si="8"/>
        <v>1</v>
      </c>
      <c r="D82" s="22">
        <v>43455</v>
      </c>
      <c r="E82" s="26">
        <v>1</v>
      </c>
      <c r="F82" s="26" t="s">
        <v>115</v>
      </c>
      <c r="G82" s="26">
        <v>1</v>
      </c>
      <c r="H82" s="26" t="s">
        <v>115</v>
      </c>
      <c r="I82" s="26">
        <v>1</v>
      </c>
      <c r="J82" s="26">
        <v>1</v>
      </c>
      <c r="M82" s="21">
        <v>43455</v>
      </c>
      <c r="N82" s="10" t="s">
        <v>24</v>
      </c>
      <c r="O82" s="25">
        <v>0</v>
      </c>
      <c r="P82" s="25"/>
      <c r="Q82" s="25"/>
      <c r="R82" s="25">
        <v>0</v>
      </c>
      <c r="S82" s="25"/>
      <c r="T82" s="25">
        <v>0</v>
      </c>
      <c r="U82" s="25">
        <v>0</v>
      </c>
    </row>
    <row r="83" spans="3:21">
      <c r="M83" s="21">
        <v>43462</v>
      </c>
      <c r="N83" s="10" t="s">
        <v>43</v>
      </c>
      <c r="O83" s="25">
        <v>5.5</v>
      </c>
      <c r="P83" s="25"/>
      <c r="Q83" s="25"/>
      <c r="R83" s="25"/>
      <c r="S83" s="25"/>
      <c r="T83" s="25"/>
      <c r="U83" s="25"/>
    </row>
    <row r="84" spans="3:21">
      <c r="C84" s="12">
        <f t="shared" ref="C84:C90" ca="1" si="9">IF(D84&lt;=TODAY(),1,"")</f>
        <v>1</v>
      </c>
      <c r="D84" s="22">
        <v>43462</v>
      </c>
      <c r="E84" s="26">
        <v>1</v>
      </c>
      <c r="F84" s="26" t="s">
        <v>115</v>
      </c>
      <c r="G84" s="26">
        <v>0</v>
      </c>
      <c r="H84" s="26" t="s">
        <v>115</v>
      </c>
      <c r="I84" s="26">
        <v>1</v>
      </c>
      <c r="J84" s="26">
        <v>0</v>
      </c>
      <c r="M84" s="21">
        <v>43462</v>
      </c>
      <c r="N84" s="10" t="s">
        <v>24</v>
      </c>
      <c r="O84" s="25">
        <v>0</v>
      </c>
      <c r="P84" s="25"/>
      <c r="Q84" s="25"/>
      <c r="R84" s="25">
        <v>11</v>
      </c>
      <c r="S84" s="25"/>
      <c r="T84" s="25">
        <v>11</v>
      </c>
      <c r="U84" s="25">
        <v>11</v>
      </c>
    </row>
    <row r="85" spans="3:21">
      <c r="C85" s="12">
        <f t="shared" ca="1" si="9"/>
        <v>1</v>
      </c>
      <c r="D85" s="22">
        <v>43469</v>
      </c>
      <c r="E85" s="26">
        <v>0</v>
      </c>
      <c r="F85" s="26" t="s">
        <v>115</v>
      </c>
      <c r="G85" s="26">
        <v>1</v>
      </c>
      <c r="H85" s="26" t="s">
        <v>115</v>
      </c>
      <c r="I85" s="26">
        <v>0</v>
      </c>
      <c r="J85" s="26">
        <v>0</v>
      </c>
      <c r="M85" s="21">
        <v>43469</v>
      </c>
      <c r="N85" s="10" t="s">
        <v>24</v>
      </c>
      <c r="O85" s="25">
        <v>11</v>
      </c>
      <c r="P85" s="25"/>
      <c r="Q85" s="25"/>
      <c r="R85" s="25">
        <v>0</v>
      </c>
      <c r="S85" s="25"/>
      <c r="T85" s="25">
        <v>0</v>
      </c>
      <c r="U85" s="25">
        <v>11</v>
      </c>
    </row>
    <row r="86" spans="3:21">
      <c r="C86" s="12">
        <f t="shared" ca="1" si="9"/>
        <v>1</v>
      </c>
      <c r="D86" s="22">
        <v>43476</v>
      </c>
      <c r="E86" s="26">
        <v>0</v>
      </c>
      <c r="F86" s="26" t="s">
        <v>115</v>
      </c>
      <c r="G86" s="26">
        <v>1</v>
      </c>
      <c r="H86" s="26" t="s">
        <v>115</v>
      </c>
      <c r="I86" s="26">
        <v>1</v>
      </c>
      <c r="J86" s="26">
        <v>1</v>
      </c>
      <c r="M86" s="21">
        <v>43476</v>
      </c>
      <c r="N86" s="10" t="s">
        <v>24</v>
      </c>
      <c r="O86" s="25">
        <v>11</v>
      </c>
      <c r="P86" s="25"/>
      <c r="Q86" s="25"/>
      <c r="R86" s="25">
        <v>0</v>
      </c>
      <c r="S86" s="25"/>
      <c r="T86" s="25">
        <v>0</v>
      </c>
      <c r="U86" s="25">
        <v>0</v>
      </c>
    </row>
    <row r="87" spans="3:21">
      <c r="C87" s="12">
        <f t="shared" ca="1" si="9"/>
        <v>1</v>
      </c>
      <c r="D87" s="22">
        <v>43483</v>
      </c>
      <c r="E87" s="26">
        <v>0</v>
      </c>
      <c r="F87" s="26" t="s">
        <v>115</v>
      </c>
      <c r="G87" s="26">
        <v>1</v>
      </c>
      <c r="H87" s="26" t="s">
        <v>115</v>
      </c>
      <c r="I87" s="26">
        <v>0</v>
      </c>
      <c r="J87" s="26">
        <v>1</v>
      </c>
      <c r="M87" s="21">
        <v>43483</v>
      </c>
      <c r="N87" s="10" t="s">
        <v>24</v>
      </c>
      <c r="O87" s="25">
        <v>11</v>
      </c>
      <c r="P87" s="25"/>
      <c r="Q87" s="25"/>
      <c r="R87" s="25">
        <v>0</v>
      </c>
      <c r="S87" s="25"/>
      <c r="T87" s="25">
        <v>11</v>
      </c>
      <c r="U87" s="25">
        <v>0</v>
      </c>
    </row>
    <row r="88" spans="3:21">
      <c r="C88" s="12">
        <f t="shared" ca="1" si="9"/>
        <v>1</v>
      </c>
      <c r="D88" s="22">
        <v>43490</v>
      </c>
      <c r="E88" s="26">
        <v>0</v>
      </c>
      <c r="F88" s="26" t="s">
        <v>115</v>
      </c>
      <c r="G88" s="26">
        <v>1</v>
      </c>
      <c r="H88" s="26" t="s">
        <v>115</v>
      </c>
      <c r="I88" s="26">
        <v>0</v>
      </c>
      <c r="J88" s="26">
        <v>1</v>
      </c>
      <c r="M88" s="21">
        <v>43490</v>
      </c>
      <c r="N88" s="10" t="s">
        <v>24</v>
      </c>
      <c r="O88" s="25">
        <v>11</v>
      </c>
      <c r="P88" s="25"/>
      <c r="Q88" s="25"/>
      <c r="R88" s="25">
        <v>0</v>
      </c>
      <c r="S88" s="25"/>
      <c r="T88" s="25">
        <v>11</v>
      </c>
      <c r="U88" s="25">
        <v>0</v>
      </c>
    </row>
    <row r="89" spans="3:21">
      <c r="C89" s="12">
        <f t="shared" ca="1" si="9"/>
        <v>1</v>
      </c>
      <c r="D89" s="22">
        <v>43497</v>
      </c>
      <c r="E89" s="26">
        <v>0</v>
      </c>
      <c r="F89" s="26" t="s">
        <v>115</v>
      </c>
      <c r="G89" s="26">
        <v>0</v>
      </c>
      <c r="H89" s="26" t="s">
        <v>115</v>
      </c>
      <c r="I89" s="26">
        <v>0</v>
      </c>
      <c r="J89" s="26">
        <v>0</v>
      </c>
      <c r="M89" s="21">
        <v>43497</v>
      </c>
      <c r="N89" s="10" t="s">
        <v>24</v>
      </c>
      <c r="O89" s="25">
        <v>11</v>
      </c>
      <c r="P89" s="25"/>
      <c r="Q89" s="25"/>
      <c r="R89" s="25">
        <v>11</v>
      </c>
      <c r="S89" s="25"/>
      <c r="T89" s="25">
        <v>11</v>
      </c>
      <c r="U89" s="25">
        <v>11</v>
      </c>
    </row>
    <row r="90" spans="3:21">
      <c r="C90" s="12">
        <f t="shared" ca="1" si="9"/>
        <v>1</v>
      </c>
      <c r="D90" s="22">
        <v>43504</v>
      </c>
      <c r="E90" s="26">
        <v>1</v>
      </c>
      <c r="F90" s="26" t="s">
        <v>115</v>
      </c>
      <c r="G90" s="26">
        <v>0</v>
      </c>
      <c r="H90" s="26" t="s">
        <v>115</v>
      </c>
      <c r="I90" s="26">
        <v>1</v>
      </c>
      <c r="J90" s="26">
        <v>1</v>
      </c>
      <c r="M90" s="21">
        <v>43504</v>
      </c>
      <c r="N90" s="10" t="s">
        <v>24</v>
      </c>
      <c r="O90" s="25">
        <v>0</v>
      </c>
      <c r="P90" s="25"/>
      <c r="Q90" s="25"/>
      <c r="R90" s="25">
        <v>11</v>
      </c>
      <c r="S90" s="25"/>
      <c r="T90" s="25">
        <v>0</v>
      </c>
      <c r="U90" s="25">
        <v>0</v>
      </c>
    </row>
  </sheetData>
  <mergeCells count="16">
    <mergeCell ref="R7:S7"/>
    <mergeCell ref="T7:U7"/>
    <mergeCell ref="R8:S8"/>
    <mergeCell ref="T8:U8"/>
    <mergeCell ref="R9:S9"/>
    <mergeCell ref="T9:U9"/>
    <mergeCell ref="R13:S13"/>
    <mergeCell ref="T13:U13"/>
    <mergeCell ref="R14:S14"/>
    <mergeCell ref="T14:U14"/>
    <mergeCell ref="R10:S10"/>
    <mergeCell ref="T10:U10"/>
    <mergeCell ref="R11:S11"/>
    <mergeCell ref="T11:U11"/>
    <mergeCell ref="R12:S12"/>
    <mergeCell ref="T12:U12"/>
  </mergeCells>
  <conditionalFormatting sqref="E25:J25">
    <cfRule type="cellIs" dxfId="21" priority="90" operator="greaterThan">
      <formula>1</formula>
    </cfRule>
  </conditionalFormatting>
  <conditionalFormatting sqref="E25:J27">
    <cfRule type="cellIs" dxfId="20" priority="67" operator="equal">
      <formula>0</formula>
    </cfRule>
  </conditionalFormatting>
  <conditionalFormatting sqref="E26:J27">
    <cfRule type="cellIs" dxfId="19" priority="68" operator="equal">
      <formula>1</formula>
    </cfRule>
  </conditionalFormatting>
  <conditionalFormatting sqref="E29:J34 E36:J43 E44:E46 E47:F63 E65:J82 E84:J90">
    <cfRule type="cellIs" dxfId="18" priority="87" operator="equal">
      <formula>0</formula>
    </cfRule>
    <cfRule type="cellIs" dxfId="17" priority="88" operator="equal">
      <formula>1</formula>
    </cfRule>
  </conditionalFormatting>
  <conditionalFormatting sqref="F44:J63">
    <cfRule type="cellIs" dxfId="16" priority="65" operator="equal">
      <formula>0</formula>
    </cfRule>
    <cfRule type="cellIs" dxfId="15" priority="66" operator="equal">
      <formula>1</formula>
    </cfRule>
  </conditionalFormatting>
  <conditionalFormatting sqref="O24:Q90">
    <cfRule type="cellIs" dxfId="14" priority="1" operator="equal">
      <formula>0</formula>
    </cfRule>
    <cfRule type="cellIs" dxfId="13" priority="2" operator="greaterThan">
      <formula>0</formula>
    </cfRule>
  </conditionalFormatting>
  <conditionalFormatting sqref="R24:R34">
    <cfRule type="cellIs" dxfId="12" priority="223" operator="equal">
      <formula>0</formula>
    </cfRule>
    <cfRule type="cellIs" dxfId="11" priority="224" operator="greaterThan">
      <formula>0</formula>
    </cfRule>
  </conditionalFormatting>
  <conditionalFormatting sqref="R36:R90">
    <cfRule type="cellIs" dxfId="10" priority="53" operator="equal">
      <formula>0</formula>
    </cfRule>
    <cfRule type="cellIs" dxfId="9" priority="54" operator="greaterThan">
      <formula>0</formula>
    </cfRule>
  </conditionalFormatting>
  <conditionalFormatting sqref="S24:U90">
    <cfRule type="cellIs" dxfId="8" priority="47" operator="equal">
      <formula>0</formula>
    </cfRule>
    <cfRule type="cellIs" dxfId="7" priority="48" operator="greaterThan">
      <formula>0</formula>
    </cfRule>
  </conditionalFormatting>
  <pageMargins left="0.7" right="0.7" top="0.78740157499999996" bottom="0.78740157499999996"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6"/>
  <dimension ref="B1:X73"/>
  <sheetViews>
    <sheetView zoomScaleNormal="100" workbookViewId="0">
      <pane xSplit="15" ySplit="23" topLeftCell="P57" activePane="bottomRight" state="frozen"/>
      <selection pane="topRight" activeCell="P1" sqref="P1"/>
      <selection pane="bottomLeft" activeCell="A24" sqref="A24"/>
      <selection pane="bottomRight" activeCell="P16" sqref="P16"/>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1" width="7.15234375" style="1" customWidth="1"/>
    <col min="12" max="13" width="1.3828125" style="1" customWidth="1"/>
    <col min="14" max="14" width="12.15234375" style="1" bestFit="1" customWidth="1"/>
    <col min="15" max="15" width="22.15234375" style="1" bestFit="1" customWidth="1"/>
    <col min="16" max="16" width="14" style="1" bestFit="1" customWidth="1"/>
    <col min="17" max="17" width="11.69140625" style="1" bestFit="1" customWidth="1"/>
    <col min="18" max="19" width="12.69140625" style="1" bestFit="1" customWidth="1"/>
    <col min="20" max="20" width="12.15234375" style="1" customWidth="1"/>
    <col min="21" max="21" width="12.69140625" style="1" bestFit="1" customWidth="1"/>
    <col min="22" max="22" width="11.69140625" style="1" bestFit="1" customWidth="1"/>
    <col min="23" max="23" width="1.3828125" style="1" customWidth="1"/>
    <col min="24" max="24" width="4.15234375" style="1" customWidth="1"/>
    <col min="25" max="25" width="11.69140625" style="1" bestFit="1" customWidth="1"/>
    <col min="26" max="16384" width="11.3828125" style="1"/>
  </cols>
  <sheetData>
    <row r="1" spans="2:24" ht="8.25" customHeight="1"/>
    <row r="2" spans="2:24" ht="40.5" customHeight="1">
      <c r="C2" s="3" t="s">
        <v>5</v>
      </c>
      <c r="D2" s="4"/>
      <c r="E2" s="4"/>
      <c r="F2" s="4"/>
      <c r="G2" s="4"/>
      <c r="H2" s="4"/>
      <c r="I2" s="4"/>
      <c r="J2" s="4"/>
      <c r="K2" s="4"/>
      <c r="L2" s="4"/>
      <c r="M2" s="4"/>
      <c r="N2" s="4"/>
      <c r="O2" s="4"/>
      <c r="P2" s="4"/>
      <c r="Q2" s="4"/>
      <c r="R2" s="4"/>
      <c r="S2" s="4"/>
      <c r="T2" s="4"/>
      <c r="U2" s="5"/>
      <c r="V2" s="5"/>
    </row>
    <row r="3" spans="2:24" ht="8.25" customHeight="1"/>
    <row r="4" spans="2:24" ht="9.75" customHeight="1"/>
    <row r="5" spans="2:24" ht="21.75" customHeight="1">
      <c r="B5" s="6"/>
      <c r="C5" s="7" t="s">
        <v>13</v>
      </c>
      <c r="D5" s="8"/>
      <c r="E5" s="8"/>
      <c r="F5" s="8"/>
      <c r="G5" s="8"/>
      <c r="H5" s="8"/>
      <c r="I5" s="8"/>
      <c r="J5" s="9"/>
      <c r="K5" s="9"/>
      <c r="M5" s="6"/>
      <c r="N5" s="7" t="s">
        <v>14</v>
      </c>
      <c r="O5" s="8"/>
      <c r="P5" s="8"/>
      <c r="Q5" s="8"/>
      <c r="R5" s="8"/>
      <c r="S5" s="8"/>
      <c r="T5" s="8"/>
      <c r="U5" s="9"/>
      <c r="V5" s="9"/>
      <c r="X5" s="6"/>
    </row>
    <row r="6" spans="2:24" ht="23.25" customHeight="1">
      <c r="B6" s="6"/>
      <c r="M6" s="6"/>
      <c r="X6" s="6"/>
    </row>
    <row r="7" spans="2:24">
      <c r="B7" s="6"/>
      <c r="D7" s="10" t="s">
        <v>6</v>
      </c>
      <c r="E7" s="124" t="s">
        <v>7</v>
      </c>
      <c r="F7" s="124" t="s">
        <v>8</v>
      </c>
      <c r="G7" s="124" t="s">
        <v>9</v>
      </c>
      <c r="H7" s="11"/>
      <c r="I7" s="11"/>
      <c r="J7" s="11"/>
      <c r="K7" s="11"/>
      <c r="M7" s="6"/>
      <c r="O7" s="10" t="s">
        <v>6</v>
      </c>
      <c r="P7" s="67" t="s">
        <v>16</v>
      </c>
      <c r="Q7" s="67" t="s">
        <v>17</v>
      </c>
      <c r="X7" s="6"/>
    </row>
    <row r="8" spans="2:24">
      <c r="B8" s="6">
        <v>1</v>
      </c>
      <c r="C8" s="12">
        <f>B8</f>
        <v>1</v>
      </c>
      <c r="D8" s="10" t="str">
        <f ca="1">HLOOKUP($B8,$E$17:$K$20,2,FALSE)</f>
        <v>MSO</v>
      </c>
      <c r="E8" s="12">
        <f t="shared" ref="E8:E14" ca="1" si="0">ROUND(HLOOKUP(D8,$E$18:$K$20,3,FALSE),0)</f>
        <v>41</v>
      </c>
      <c r="F8" s="125">
        <f t="shared" ref="F8:F14" ca="1" si="1">E8/$C$20</f>
        <v>0.85416666666666663</v>
      </c>
      <c r="G8" s="125">
        <f ca="1">1-F8</f>
        <v>0.14583333333333337</v>
      </c>
      <c r="M8" s="6"/>
      <c r="O8" s="10" t="s">
        <v>2</v>
      </c>
      <c r="P8" s="13">
        <f>HLOOKUP(O8,$T$18:$T$20,3,FALSE)</f>
        <v>140</v>
      </c>
      <c r="Q8" s="67" t="s">
        <v>18</v>
      </c>
      <c r="X8" s="6"/>
    </row>
    <row r="9" spans="2:24">
      <c r="B9" s="6">
        <v>2</v>
      </c>
      <c r="C9" s="12">
        <f t="shared" ref="C9:C14" ca="1" si="2">IF(E9=E8,C8,B9)</f>
        <v>2</v>
      </c>
      <c r="D9" s="10" t="str">
        <f t="shared" ref="D9:D14" ca="1" si="3">HLOOKUP($B9,$E$17:$K$20,2,FALSE)</f>
        <v>JWU</v>
      </c>
      <c r="E9" s="12">
        <f t="shared" ca="1" si="0"/>
        <v>38</v>
      </c>
      <c r="F9" s="125">
        <f t="shared" ca="1" si="1"/>
        <v>0.79166666666666663</v>
      </c>
      <c r="G9" s="125">
        <f t="shared" ref="G9:G14" ca="1" si="4">1-F9</f>
        <v>0.20833333333333337</v>
      </c>
      <c r="M9" s="6"/>
      <c r="O9" s="10" t="s">
        <v>0</v>
      </c>
      <c r="P9" s="13">
        <f>HLOOKUP(O9,$P$18:$P$20,3,FALSE)</f>
        <v>125</v>
      </c>
      <c r="Q9" s="67" t="s">
        <v>18</v>
      </c>
      <c r="X9" s="6"/>
    </row>
    <row r="10" spans="2:24">
      <c r="B10" s="6">
        <v>3</v>
      </c>
      <c r="C10" s="12">
        <f t="shared" ca="1" si="2"/>
        <v>3</v>
      </c>
      <c r="D10" s="10" t="str">
        <f t="shared" ca="1" si="3"/>
        <v>JWI</v>
      </c>
      <c r="E10" s="12">
        <f t="shared" ca="1" si="0"/>
        <v>37</v>
      </c>
      <c r="F10" s="125">
        <f t="shared" ca="1" si="1"/>
        <v>0.77083333333333337</v>
      </c>
      <c r="G10" s="125">
        <f t="shared" ca="1" si="4"/>
        <v>0.22916666666666663</v>
      </c>
      <c r="M10" s="6"/>
      <c r="O10" s="10" t="s">
        <v>4</v>
      </c>
      <c r="P10" s="13">
        <f>HLOOKUP(O10,$R$18:$R$20,3,FALSE)</f>
        <v>190</v>
      </c>
      <c r="Q10" s="67" t="s">
        <v>18</v>
      </c>
      <c r="X10" s="6"/>
    </row>
    <row r="11" spans="2:24">
      <c r="B11" s="6">
        <v>4</v>
      </c>
      <c r="C11" s="12">
        <f t="shared" ca="1" si="2"/>
        <v>4</v>
      </c>
      <c r="D11" s="10" t="str">
        <f t="shared" ca="1" si="3"/>
        <v>YMI</v>
      </c>
      <c r="E11" s="12">
        <f t="shared" ca="1" si="0"/>
        <v>36</v>
      </c>
      <c r="F11" s="125">
        <f t="shared" ca="1" si="1"/>
        <v>0.75</v>
      </c>
      <c r="G11" s="125">
        <f t="shared" ca="1" si="4"/>
        <v>0.25</v>
      </c>
      <c r="M11" s="6"/>
      <c r="O11" s="10" t="s">
        <v>3</v>
      </c>
      <c r="P11" s="13">
        <f>HLOOKUP(O11,$U$18:$U$20,3,FALSE)</f>
        <v>140</v>
      </c>
      <c r="Q11" s="67" t="s">
        <v>23</v>
      </c>
      <c r="X11" s="6"/>
    </row>
    <row r="12" spans="2:24">
      <c r="B12" s="6">
        <v>5</v>
      </c>
      <c r="C12" s="12">
        <f t="shared" ca="1" si="2"/>
        <v>4</v>
      </c>
      <c r="D12" s="10" t="str">
        <f t="shared" ca="1" si="3"/>
        <v>SJU</v>
      </c>
      <c r="E12" s="12">
        <f t="shared" ca="1" si="0"/>
        <v>36</v>
      </c>
      <c r="F12" s="125">
        <f t="shared" ca="1" si="1"/>
        <v>0.75</v>
      </c>
      <c r="G12" s="125">
        <f t="shared" ca="1" si="4"/>
        <v>0.25</v>
      </c>
      <c r="M12" s="6"/>
      <c r="O12" s="10" t="s">
        <v>1</v>
      </c>
      <c r="P12" s="13">
        <f>HLOOKUP(O12,$S$18:$S$20,3,FALSE)</f>
        <v>160</v>
      </c>
      <c r="Q12" s="67" t="s">
        <v>18</v>
      </c>
      <c r="X12" s="6"/>
    </row>
    <row r="13" spans="2:24">
      <c r="B13" s="6">
        <v>6</v>
      </c>
      <c r="C13" s="12">
        <f t="shared" ca="1" si="2"/>
        <v>6</v>
      </c>
      <c r="D13" s="10" t="str">
        <f t="shared" ca="1" si="3"/>
        <v>PKN</v>
      </c>
      <c r="E13" s="12">
        <f t="shared" ca="1" si="0"/>
        <v>34</v>
      </c>
      <c r="F13" s="125">
        <f t="shared" ca="1" si="1"/>
        <v>0.70833333333333337</v>
      </c>
      <c r="G13" s="125">
        <f t="shared" ca="1" si="4"/>
        <v>0.29166666666666663</v>
      </c>
      <c r="M13" s="6"/>
      <c r="O13" s="10" t="s">
        <v>22</v>
      </c>
      <c r="P13" s="13">
        <f>HLOOKUP(O13,$V$18:$V$20,3,FALSE)</f>
        <v>90</v>
      </c>
      <c r="Q13" s="67" t="s">
        <v>18</v>
      </c>
      <c r="X13" s="6"/>
    </row>
    <row r="14" spans="2:24">
      <c r="B14" s="6">
        <v>7</v>
      </c>
      <c r="C14" s="12">
        <f t="shared" ca="1" si="2"/>
        <v>7</v>
      </c>
      <c r="D14" s="10" t="str">
        <f t="shared" ca="1" si="3"/>
        <v>CBO</v>
      </c>
      <c r="E14" s="12">
        <f t="shared" ca="1" si="0"/>
        <v>14</v>
      </c>
      <c r="F14" s="125">
        <f t="shared" ca="1" si="1"/>
        <v>0.29166666666666669</v>
      </c>
      <c r="G14" s="125">
        <f t="shared" ca="1" si="4"/>
        <v>0.70833333333333326</v>
      </c>
      <c r="M14" s="6"/>
      <c r="O14" s="10" t="s">
        <v>113</v>
      </c>
      <c r="P14" s="13">
        <f>HLOOKUP(O14,$Q$18:$Q$20,3,FALSE)</f>
        <v>130</v>
      </c>
      <c r="Q14" s="67" t="s">
        <v>18</v>
      </c>
      <c r="X14" s="6"/>
    </row>
    <row r="15" spans="2:24" ht="8.25" customHeight="1">
      <c r="B15" s="6"/>
      <c r="M15" s="6"/>
      <c r="X15" s="6"/>
    </row>
    <row r="16" spans="2:24">
      <c r="B16" s="6"/>
      <c r="M16" s="6"/>
      <c r="O16" s="14" t="s">
        <v>19</v>
      </c>
      <c r="P16" s="15">
        <f>SUM(P8:P14)</f>
        <v>975</v>
      </c>
      <c r="X16" s="6"/>
    </row>
    <row r="17" spans="2:24" ht="12" customHeight="1">
      <c r="B17" s="6"/>
      <c r="E17" s="27">
        <f ca="1">RANK(E20,$E20:$K20)</f>
        <v>2</v>
      </c>
      <c r="F17" s="27">
        <f t="shared" ref="F17:K17" ca="1" si="5">RANK(F20,$E20:$K20)</f>
        <v>3</v>
      </c>
      <c r="G17" s="27">
        <f t="shared" ca="1" si="5"/>
        <v>7</v>
      </c>
      <c r="H17" s="27">
        <f t="shared" ca="1" si="5"/>
        <v>6</v>
      </c>
      <c r="I17" s="27">
        <f t="shared" ca="1" si="5"/>
        <v>4</v>
      </c>
      <c r="J17" s="27">
        <f t="shared" ca="1" si="5"/>
        <v>5</v>
      </c>
      <c r="K17" s="27">
        <f t="shared" ca="1" si="5"/>
        <v>1</v>
      </c>
      <c r="M17" s="6"/>
      <c r="V17" s="1">
        <f>COUNTA(V23:V1048576)</f>
        <v>51</v>
      </c>
      <c r="X17" s="6"/>
    </row>
    <row r="18" spans="2:24">
      <c r="B18" s="6"/>
      <c r="E18" s="16" t="s">
        <v>0</v>
      </c>
      <c r="F18" s="16" t="s">
        <v>113</v>
      </c>
      <c r="G18" s="16" t="s">
        <v>4</v>
      </c>
      <c r="H18" s="16" t="s">
        <v>1</v>
      </c>
      <c r="I18" s="16" t="s">
        <v>2</v>
      </c>
      <c r="J18" s="16" t="s">
        <v>3</v>
      </c>
      <c r="K18" s="16" t="s">
        <v>21</v>
      </c>
      <c r="M18" s="6"/>
      <c r="P18" s="16" t="s">
        <v>0</v>
      </c>
      <c r="Q18" s="16" t="s">
        <v>113</v>
      </c>
      <c r="R18" s="16" t="s">
        <v>4</v>
      </c>
      <c r="S18" s="16" t="s">
        <v>1</v>
      </c>
      <c r="T18" s="16" t="s">
        <v>2</v>
      </c>
      <c r="U18" s="16" t="s">
        <v>3</v>
      </c>
      <c r="V18" s="16" t="s">
        <v>22</v>
      </c>
      <c r="X18" s="6"/>
    </row>
    <row r="19" spans="2:24" ht="6" customHeight="1">
      <c r="B19" s="6"/>
      <c r="E19" s="17"/>
      <c r="F19" s="17"/>
      <c r="G19" s="17"/>
      <c r="H19" s="17"/>
      <c r="I19" s="17"/>
      <c r="J19" s="17"/>
      <c r="K19" s="17"/>
      <c r="M19" s="6"/>
      <c r="P19" s="17"/>
      <c r="Q19" s="17"/>
      <c r="R19" s="17"/>
      <c r="S19" s="17"/>
      <c r="T19" s="17"/>
      <c r="U19" s="17"/>
      <c r="V19" s="17"/>
      <c r="X19" s="6"/>
    </row>
    <row r="20" spans="2:24">
      <c r="B20" s="6"/>
      <c r="C20" s="18">
        <f ca="1">COUNT(C23:C73)</f>
        <v>48</v>
      </c>
      <c r="E20" s="24">
        <f t="shared" ref="E20:K20" ca="1" si="6">SUM(E25:E94)</f>
        <v>38.07</v>
      </c>
      <c r="F20" s="24">
        <f t="shared" ca="1" si="6"/>
        <v>37.06</v>
      </c>
      <c r="G20" s="24">
        <f t="shared" ca="1" si="6"/>
        <v>14.05</v>
      </c>
      <c r="H20" s="24">
        <f t="shared" ca="1" si="6"/>
        <v>34.04</v>
      </c>
      <c r="I20" s="24">
        <f t="shared" ca="1" si="6"/>
        <v>36.03</v>
      </c>
      <c r="J20" s="24">
        <f t="shared" ca="1" si="6"/>
        <v>36.019999999999996</v>
      </c>
      <c r="K20" s="24">
        <f t="shared" ca="1" si="6"/>
        <v>41.01</v>
      </c>
      <c r="M20" s="6"/>
      <c r="P20" s="19">
        <f t="shared" ref="P20:V20" si="7">SUM(P24:P96)</f>
        <v>125</v>
      </c>
      <c r="Q20" s="19">
        <f t="shared" si="7"/>
        <v>130</v>
      </c>
      <c r="R20" s="19">
        <f t="shared" si="7"/>
        <v>190</v>
      </c>
      <c r="S20" s="19">
        <f t="shared" si="7"/>
        <v>160</v>
      </c>
      <c r="T20" s="19">
        <f t="shared" si="7"/>
        <v>140</v>
      </c>
      <c r="U20" s="19">
        <f t="shared" si="7"/>
        <v>140</v>
      </c>
      <c r="V20" s="19">
        <f t="shared" si="7"/>
        <v>90</v>
      </c>
      <c r="X20" s="6"/>
    </row>
    <row r="21" spans="2:24" ht="6" customHeight="1">
      <c r="B21" s="6"/>
      <c r="E21" s="2"/>
      <c r="F21" s="2"/>
      <c r="G21" s="2"/>
      <c r="H21" s="2"/>
      <c r="I21" s="2"/>
      <c r="J21" s="2"/>
      <c r="K21" s="2"/>
      <c r="M21" s="6"/>
      <c r="P21" s="20"/>
      <c r="Q21" s="20"/>
      <c r="R21" s="20"/>
      <c r="S21" s="20"/>
      <c r="T21" s="20"/>
      <c r="U21" s="20"/>
      <c r="V21" s="20"/>
      <c r="X21" s="6"/>
    </row>
    <row r="22" spans="2:24">
      <c r="B22" s="6"/>
      <c r="E22" s="18">
        <v>3</v>
      </c>
      <c r="F22" s="18">
        <v>4</v>
      </c>
      <c r="G22" s="18">
        <v>5</v>
      </c>
      <c r="H22" s="18">
        <v>6</v>
      </c>
      <c r="I22" s="18">
        <v>7</v>
      </c>
      <c r="J22" s="18">
        <v>8</v>
      </c>
      <c r="K22" s="18">
        <v>9</v>
      </c>
      <c r="M22" s="6"/>
      <c r="X22" s="6"/>
    </row>
    <row r="23" spans="2:24">
      <c r="B23" s="6"/>
      <c r="C23" s="12" t="s">
        <v>10</v>
      </c>
      <c r="D23" s="10" t="s">
        <v>11</v>
      </c>
      <c r="E23" s="12" t="s">
        <v>12</v>
      </c>
      <c r="F23" s="12" t="s">
        <v>12</v>
      </c>
      <c r="G23" s="12" t="s">
        <v>12</v>
      </c>
      <c r="H23" s="12" t="s">
        <v>12</v>
      </c>
      <c r="I23" s="12" t="s">
        <v>12</v>
      </c>
      <c r="J23" s="12" t="s">
        <v>12</v>
      </c>
      <c r="K23" s="12" t="s">
        <v>12</v>
      </c>
      <c r="M23" s="6"/>
      <c r="N23" s="67" t="s">
        <v>11</v>
      </c>
      <c r="O23" s="67" t="s">
        <v>15</v>
      </c>
      <c r="P23" s="12" t="s">
        <v>16</v>
      </c>
      <c r="Q23" s="12" t="s">
        <v>16</v>
      </c>
      <c r="R23" s="12" t="s">
        <v>16</v>
      </c>
      <c r="S23" s="12" t="s">
        <v>16</v>
      </c>
      <c r="T23" s="12" t="s">
        <v>16</v>
      </c>
      <c r="U23" s="12" t="s">
        <v>16</v>
      </c>
      <c r="V23" s="12" t="s">
        <v>16</v>
      </c>
      <c r="X23" s="6"/>
    </row>
    <row r="24" spans="2:24">
      <c r="B24" s="6"/>
      <c r="M24" s="6"/>
      <c r="N24" s="21">
        <v>42727</v>
      </c>
      <c r="O24" s="67" t="s">
        <v>20</v>
      </c>
      <c r="P24" s="25">
        <v>20</v>
      </c>
      <c r="Q24" s="25">
        <v>20</v>
      </c>
      <c r="R24" s="25">
        <v>20</v>
      </c>
      <c r="S24" s="25">
        <v>20</v>
      </c>
      <c r="T24" s="25">
        <v>20</v>
      </c>
      <c r="U24" s="25">
        <v>20</v>
      </c>
      <c r="V24" s="25">
        <v>20</v>
      </c>
      <c r="X24" s="6"/>
    </row>
    <row r="25" spans="2:24">
      <c r="B25" s="6"/>
      <c r="C25" s="12">
        <f t="shared" ref="C25:C40" ca="1" si="8">IF(D25&lt;=TODAY(),1,"")</f>
        <v>1</v>
      </c>
      <c r="D25" s="22">
        <v>42727</v>
      </c>
      <c r="E25" s="26">
        <v>1.07</v>
      </c>
      <c r="F25" s="26">
        <v>1.06</v>
      </c>
      <c r="G25" s="26">
        <v>1.05</v>
      </c>
      <c r="H25" s="26">
        <v>1.04</v>
      </c>
      <c r="I25" s="26">
        <v>1.03</v>
      </c>
      <c r="J25" s="26">
        <v>1.02</v>
      </c>
      <c r="K25" s="26">
        <v>1.01</v>
      </c>
      <c r="M25" s="6"/>
      <c r="N25" s="21">
        <v>42727</v>
      </c>
      <c r="O25" s="10" t="s">
        <v>24</v>
      </c>
      <c r="P25" s="25">
        <v>0</v>
      </c>
      <c r="Q25" s="25">
        <v>0</v>
      </c>
      <c r="R25" s="25">
        <v>0</v>
      </c>
      <c r="S25" s="25">
        <v>0</v>
      </c>
      <c r="T25" s="25">
        <v>0</v>
      </c>
      <c r="U25" s="25">
        <v>0</v>
      </c>
      <c r="V25" s="25">
        <v>0</v>
      </c>
      <c r="X25" s="6"/>
    </row>
    <row r="26" spans="2:24">
      <c r="B26" s="6"/>
      <c r="C26" s="12">
        <f t="shared" ca="1" si="8"/>
        <v>1</v>
      </c>
      <c r="D26" s="22">
        <f>D25+7</f>
        <v>42734</v>
      </c>
      <c r="E26" s="26">
        <f t="shared" ref="E26:E40" si="9">IF(P26="","",IF(P26=0,1,0))</f>
        <v>1</v>
      </c>
      <c r="F26" s="26">
        <f t="shared" ref="F26:F40" si="10">IF(Q26="","",IF(Q26=0,1,0))</f>
        <v>1</v>
      </c>
      <c r="G26" s="26">
        <f t="shared" ref="G26:G40" si="11">IF(R26="","",IF(R26=0,1,0))</f>
        <v>0</v>
      </c>
      <c r="H26" s="26">
        <f t="shared" ref="H26:H40" si="12">IF(S26="","",IF(S26=0,1,0))</f>
        <v>1</v>
      </c>
      <c r="I26" s="26">
        <f t="shared" ref="I26:I40" si="13">IF(T26="","",IF(T26=0,1,0))</f>
        <v>1</v>
      </c>
      <c r="J26" s="26">
        <f t="shared" ref="J26:J40" si="14">IF(U26="","",IF(U26=0,1,0))</f>
        <v>1</v>
      </c>
      <c r="K26" s="26">
        <f t="shared" ref="K26:K40" si="15">IF(V26="","",IF(V26=0,1,0))</f>
        <v>0</v>
      </c>
      <c r="M26" s="6"/>
      <c r="N26" s="22">
        <f>N25+7</f>
        <v>42734</v>
      </c>
      <c r="O26" s="10" t="s">
        <v>24</v>
      </c>
      <c r="P26" s="25">
        <v>0</v>
      </c>
      <c r="Q26" s="25">
        <v>0</v>
      </c>
      <c r="R26" s="25">
        <v>10</v>
      </c>
      <c r="S26" s="25">
        <v>0</v>
      </c>
      <c r="T26" s="25">
        <v>0</v>
      </c>
      <c r="U26" s="25">
        <v>0</v>
      </c>
      <c r="V26" s="25">
        <v>10</v>
      </c>
      <c r="X26" s="6"/>
    </row>
    <row r="27" spans="2:24">
      <c r="B27" s="6"/>
      <c r="C27" s="12">
        <f t="shared" ca="1" si="8"/>
        <v>1</v>
      </c>
      <c r="D27" s="22">
        <f t="shared" ref="D27:D40" si="16">D26+7</f>
        <v>42741</v>
      </c>
      <c r="E27" s="26">
        <f t="shared" si="9"/>
        <v>1</v>
      </c>
      <c r="F27" s="26">
        <f t="shared" si="10"/>
        <v>1</v>
      </c>
      <c r="G27" s="26">
        <f t="shared" si="11"/>
        <v>1</v>
      </c>
      <c r="H27" s="26">
        <f t="shared" si="12"/>
        <v>1</v>
      </c>
      <c r="I27" s="26">
        <f t="shared" si="13"/>
        <v>1</v>
      </c>
      <c r="J27" s="26">
        <f t="shared" si="14"/>
        <v>1</v>
      </c>
      <c r="K27" s="26">
        <f t="shared" si="15"/>
        <v>1</v>
      </c>
      <c r="M27" s="6"/>
      <c r="N27" s="22">
        <f t="shared" ref="N27:N40" si="17">N26+7</f>
        <v>42741</v>
      </c>
      <c r="O27" s="10" t="s">
        <v>24</v>
      </c>
      <c r="P27" s="25">
        <v>0</v>
      </c>
      <c r="Q27" s="25">
        <v>0</v>
      </c>
      <c r="R27" s="25">
        <v>0</v>
      </c>
      <c r="S27" s="25">
        <v>0</v>
      </c>
      <c r="T27" s="25">
        <v>0</v>
      </c>
      <c r="U27" s="25">
        <v>0</v>
      </c>
      <c r="V27" s="25">
        <v>0</v>
      </c>
      <c r="X27" s="6"/>
    </row>
    <row r="28" spans="2:24">
      <c r="B28" s="6"/>
      <c r="C28" s="12">
        <f t="shared" ca="1" si="8"/>
        <v>1</v>
      </c>
      <c r="D28" s="22">
        <f t="shared" si="16"/>
        <v>42748</v>
      </c>
      <c r="E28" s="26">
        <f t="shared" si="9"/>
        <v>0</v>
      </c>
      <c r="F28" s="26">
        <f t="shared" si="10"/>
        <v>1</v>
      </c>
      <c r="G28" s="26">
        <f t="shared" si="11"/>
        <v>1</v>
      </c>
      <c r="H28" s="26">
        <f t="shared" si="12"/>
        <v>1</v>
      </c>
      <c r="I28" s="26">
        <f t="shared" si="13"/>
        <v>1</v>
      </c>
      <c r="J28" s="26">
        <f t="shared" si="14"/>
        <v>1</v>
      </c>
      <c r="K28" s="26">
        <f t="shared" si="15"/>
        <v>1</v>
      </c>
      <c r="M28" s="6"/>
      <c r="N28" s="22">
        <f t="shared" si="17"/>
        <v>42748</v>
      </c>
      <c r="O28" s="10" t="s">
        <v>24</v>
      </c>
      <c r="P28" s="25">
        <v>10</v>
      </c>
      <c r="Q28" s="25">
        <v>0</v>
      </c>
      <c r="R28" s="25">
        <v>0</v>
      </c>
      <c r="S28" s="25">
        <v>0</v>
      </c>
      <c r="T28" s="25">
        <v>0</v>
      </c>
      <c r="U28" s="25">
        <v>0</v>
      </c>
      <c r="V28" s="25">
        <v>0</v>
      </c>
      <c r="X28" s="6"/>
    </row>
    <row r="29" spans="2:24">
      <c r="B29" s="6"/>
      <c r="C29" s="12">
        <f t="shared" ca="1" si="8"/>
        <v>1</v>
      </c>
      <c r="D29" s="22">
        <f t="shared" si="16"/>
        <v>42755</v>
      </c>
      <c r="E29" s="26">
        <f t="shared" si="9"/>
        <v>1</v>
      </c>
      <c r="F29" s="26">
        <f t="shared" si="10"/>
        <v>1</v>
      </c>
      <c r="G29" s="26">
        <f t="shared" si="11"/>
        <v>1</v>
      </c>
      <c r="H29" s="26">
        <f t="shared" si="12"/>
        <v>1</v>
      </c>
      <c r="I29" s="26">
        <f t="shared" si="13"/>
        <v>0</v>
      </c>
      <c r="J29" s="26">
        <f t="shared" si="14"/>
        <v>1</v>
      </c>
      <c r="K29" s="26">
        <f t="shared" si="15"/>
        <v>0</v>
      </c>
      <c r="M29" s="6"/>
      <c r="N29" s="22">
        <f t="shared" si="17"/>
        <v>42755</v>
      </c>
      <c r="O29" s="10" t="s">
        <v>24</v>
      </c>
      <c r="P29" s="25">
        <v>0</v>
      </c>
      <c r="Q29" s="25">
        <v>0</v>
      </c>
      <c r="R29" s="25">
        <v>0</v>
      </c>
      <c r="S29" s="25">
        <v>0</v>
      </c>
      <c r="T29" s="25">
        <v>10</v>
      </c>
      <c r="U29" s="25">
        <v>0</v>
      </c>
      <c r="V29" s="25">
        <v>10</v>
      </c>
      <c r="X29" s="6"/>
    </row>
    <row r="30" spans="2:24">
      <c r="B30" s="6"/>
      <c r="C30" s="12">
        <f t="shared" ca="1" si="8"/>
        <v>1</v>
      </c>
      <c r="D30" s="22">
        <f t="shared" si="16"/>
        <v>42762</v>
      </c>
      <c r="E30" s="26">
        <f t="shared" si="9"/>
        <v>1</v>
      </c>
      <c r="F30" s="26">
        <f t="shared" si="10"/>
        <v>1</v>
      </c>
      <c r="G30" s="26">
        <f t="shared" si="11"/>
        <v>1</v>
      </c>
      <c r="H30" s="26">
        <f t="shared" si="12"/>
        <v>1</v>
      </c>
      <c r="I30" s="26">
        <f t="shared" si="13"/>
        <v>1</v>
      </c>
      <c r="J30" s="26">
        <f t="shared" si="14"/>
        <v>1</v>
      </c>
      <c r="K30" s="26">
        <f t="shared" si="15"/>
        <v>1</v>
      </c>
      <c r="M30" s="6"/>
      <c r="N30" s="22">
        <f t="shared" si="17"/>
        <v>42762</v>
      </c>
      <c r="O30" s="10" t="s">
        <v>24</v>
      </c>
      <c r="P30" s="25">
        <v>0</v>
      </c>
      <c r="Q30" s="25">
        <v>0</v>
      </c>
      <c r="R30" s="25">
        <v>0</v>
      </c>
      <c r="S30" s="25">
        <v>0</v>
      </c>
      <c r="T30" s="25">
        <v>0</v>
      </c>
      <c r="U30" s="25">
        <v>0</v>
      </c>
      <c r="V30" s="25">
        <v>0</v>
      </c>
      <c r="X30" s="6"/>
    </row>
    <row r="31" spans="2:24">
      <c r="B31" s="6"/>
      <c r="C31" s="12">
        <f t="shared" ca="1" si="8"/>
        <v>1</v>
      </c>
      <c r="D31" s="22">
        <f t="shared" si="16"/>
        <v>42769</v>
      </c>
      <c r="E31" s="26">
        <f t="shared" si="9"/>
        <v>1</v>
      </c>
      <c r="F31" s="26">
        <f t="shared" si="10"/>
        <v>0</v>
      </c>
      <c r="G31" s="26">
        <f t="shared" si="11"/>
        <v>0</v>
      </c>
      <c r="H31" s="26">
        <f t="shared" si="12"/>
        <v>1</v>
      </c>
      <c r="I31" s="26">
        <f t="shared" si="13"/>
        <v>0</v>
      </c>
      <c r="J31" s="26">
        <f t="shared" si="14"/>
        <v>0</v>
      </c>
      <c r="K31" s="26">
        <f t="shared" si="15"/>
        <v>1</v>
      </c>
      <c r="M31" s="6"/>
      <c r="N31" s="22">
        <f t="shared" si="17"/>
        <v>42769</v>
      </c>
      <c r="O31" s="10" t="s">
        <v>24</v>
      </c>
      <c r="P31" s="25">
        <v>0</v>
      </c>
      <c r="Q31" s="25">
        <v>10</v>
      </c>
      <c r="R31" s="25">
        <v>10</v>
      </c>
      <c r="S31" s="25">
        <v>0</v>
      </c>
      <c r="T31" s="25">
        <v>10</v>
      </c>
      <c r="U31" s="25">
        <v>10</v>
      </c>
      <c r="V31" s="25">
        <v>0</v>
      </c>
      <c r="X31" s="6"/>
    </row>
    <row r="32" spans="2:24">
      <c r="B32" s="6"/>
      <c r="C32" s="12">
        <f t="shared" ca="1" si="8"/>
        <v>1</v>
      </c>
      <c r="D32" s="22">
        <f t="shared" si="16"/>
        <v>42776</v>
      </c>
      <c r="E32" s="26">
        <f t="shared" si="9"/>
        <v>1</v>
      </c>
      <c r="F32" s="26">
        <f t="shared" si="10"/>
        <v>1</v>
      </c>
      <c r="G32" s="26">
        <f t="shared" si="11"/>
        <v>1</v>
      </c>
      <c r="H32" s="26">
        <f t="shared" si="12"/>
        <v>0</v>
      </c>
      <c r="I32" s="26">
        <f t="shared" si="13"/>
        <v>1</v>
      </c>
      <c r="J32" s="26">
        <f t="shared" si="14"/>
        <v>1</v>
      </c>
      <c r="K32" s="26">
        <f t="shared" si="15"/>
        <v>1</v>
      </c>
      <c r="M32" s="6"/>
      <c r="N32" s="22">
        <f t="shared" si="17"/>
        <v>42776</v>
      </c>
      <c r="O32" s="10" t="s">
        <v>24</v>
      </c>
      <c r="P32" s="25">
        <v>0</v>
      </c>
      <c r="Q32" s="25">
        <v>0</v>
      </c>
      <c r="R32" s="25">
        <v>0</v>
      </c>
      <c r="S32" s="25">
        <v>10</v>
      </c>
      <c r="T32" s="25">
        <v>0</v>
      </c>
      <c r="U32" s="25">
        <v>0</v>
      </c>
      <c r="V32" s="25">
        <v>0</v>
      </c>
      <c r="X32" s="6"/>
    </row>
    <row r="33" spans="2:24">
      <c r="B33" s="6"/>
      <c r="C33" s="12">
        <f t="shared" ca="1" si="8"/>
        <v>1</v>
      </c>
      <c r="D33" s="22">
        <f t="shared" si="16"/>
        <v>42783</v>
      </c>
      <c r="E33" s="26">
        <f t="shared" si="9"/>
        <v>1</v>
      </c>
      <c r="F33" s="26">
        <f t="shared" si="10"/>
        <v>1</v>
      </c>
      <c r="G33" s="26">
        <f t="shared" si="11"/>
        <v>1</v>
      </c>
      <c r="H33" s="26">
        <f t="shared" si="12"/>
        <v>0</v>
      </c>
      <c r="I33" s="26">
        <f t="shared" si="13"/>
        <v>1</v>
      </c>
      <c r="J33" s="26">
        <f t="shared" si="14"/>
        <v>1</v>
      </c>
      <c r="K33" s="26">
        <f t="shared" si="15"/>
        <v>1</v>
      </c>
      <c r="M33" s="6"/>
      <c r="N33" s="22">
        <f t="shared" si="17"/>
        <v>42783</v>
      </c>
      <c r="O33" s="10" t="s">
        <v>24</v>
      </c>
      <c r="P33" s="25">
        <v>0</v>
      </c>
      <c r="Q33" s="25">
        <v>0</v>
      </c>
      <c r="R33" s="25">
        <v>0</v>
      </c>
      <c r="S33" s="25">
        <v>10</v>
      </c>
      <c r="T33" s="25">
        <v>0</v>
      </c>
      <c r="U33" s="25">
        <v>0</v>
      </c>
      <c r="V33" s="25">
        <v>0</v>
      </c>
      <c r="X33" s="6"/>
    </row>
    <row r="34" spans="2:24">
      <c r="B34" s="6"/>
      <c r="C34" s="12">
        <f t="shared" ca="1" si="8"/>
        <v>1</v>
      </c>
      <c r="D34" s="22">
        <f t="shared" si="16"/>
        <v>42790</v>
      </c>
      <c r="E34" s="26">
        <f t="shared" si="9"/>
        <v>1</v>
      </c>
      <c r="F34" s="26">
        <f t="shared" si="10"/>
        <v>1</v>
      </c>
      <c r="G34" s="26">
        <f t="shared" si="11"/>
        <v>1</v>
      </c>
      <c r="H34" s="26">
        <f t="shared" si="12"/>
        <v>1</v>
      </c>
      <c r="I34" s="26">
        <f t="shared" si="13"/>
        <v>1</v>
      </c>
      <c r="J34" s="26">
        <f t="shared" si="14"/>
        <v>0</v>
      </c>
      <c r="K34" s="26">
        <f t="shared" si="15"/>
        <v>1</v>
      </c>
      <c r="M34" s="6"/>
      <c r="N34" s="22">
        <f t="shared" si="17"/>
        <v>42790</v>
      </c>
      <c r="O34" s="10" t="s">
        <v>24</v>
      </c>
      <c r="P34" s="25">
        <v>0</v>
      </c>
      <c r="Q34" s="25">
        <v>0</v>
      </c>
      <c r="R34" s="25">
        <v>0</v>
      </c>
      <c r="S34" s="25">
        <v>0</v>
      </c>
      <c r="T34" s="25">
        <v>0</v>
      </c>
      <c r="U34" s="25">
        <v>10</v>
      </c>
      <c r="V34" s="25">
        <v>0</v>
      </c>
      <c r="X34" s="6"/>
    </row>
    <row r="35" spans="2:24">
      <c r="B35" s="6"/>
      <c r="C35" s="12">
        <f t="shared" ca="1" si="8"/>
        <v>1</v>
      </c>
      <c r="D35" s="22">
        <f t="shared" si="16"/>
        <v>42797</v>
      </c>
      <c r="E35" s="26">
        <f t="shared" si="9"/>
        <v>1</v>
      </c>
      <c r="F35" s="26">
        <f t="shared" si="10"/>
        <v>1</v>
      </c>
      <c r="G35" s="26">
        <f t="shared" si="11"/>
        <v>1</v>
      </c>
      <c r="H35" s="26">
        <f t="shared" si="12"/>
        <v>1</v>
      </c>
      <c r="I35" s="26">
        <f t="shared" si="13"/>
        <v>1</v>
      </c>
      <c r="J35" s="26">
        <f t="shared" si="14"/>
        <v>0</v>
      </c>
      <c r="K35" s="26">
        <f t="shared" si="15"/>
        <v>1</v>
      </c>
      <c r="M35" s="6"/>
      <c r="N35" s="22">
        <f t="shared" si="17"/>
        <v>42797</v>
      </c>
      <c r="O35" s="10" t="s">
        <v>24</v>
      </c>
      <c r="P35" s="25">
        <v>0</v>
      </c>
      <c r="Q35" s="25">
        <v>0</v>
      </c>
      <c r="R35" s="25">
        <v>0</v>
      </c>
      <c r="S35" s="25">
        <v>0</v>
      </c>
      <c r="T35" s="25">
        <v>0</v>
      </c>
      <c r="U35" s="25">
        <v>10</v>
      </c>
      <c r="V35" s="25">
        <v>0</v>
      </c>
      <c r="X35" s="6"/>
    </row>
    <row r="36" spans="2:24">
      <c r="B36" s="6"/>
      <c r="C36" s="12">
        <f t="shared" ca="1" si="8"/>
        <v>1</v>
      </c>
      <c r="D36" s="22">
        <f t="shared" si="16"/>
        <v>42804</v>
      </c>
      <c r="E36" s="26">
        <f t="shared" si="9"/>
        <v>1</v>
      </c>
      <c r="F36" s="26">
        <f t="shared" si="10"/>
        <v>1</v>
      </c>
      <c r="G36" s="26">
        <f t="shared" si="11"/>
        <v>1</v>
      </c>
      <c r="H36" s="26">
        <f t="shared" si="12"/>
        <v>0</v>
      </c>
      <c r="I36" s="26">
        <f t="shared" si="13"/>
        <v>1</v>
      </c>
      <c r="J36" s="26">
        <f t="shared" si="14"/>
        <v>1</v>
      </c>
      <c r="K36" s="26">
        <f t="shared" si="15"/>
        <v>1</v>
      </c>
      <c r="M36" s="6"/>
      <c r="N36" s="22">
        <f t="shared" si="17"/>
        <v>42804</v>
      </c>
      <c r="O36" s="10" t="s">
        <v>24</v>
      </c>
      <c r="P36" s="25">
        <v>0</v>
      </c>
      <c r="Q36" s="25">
        <v>0</v>
      </c>
      <c r="R36" s="25">
        <v>0</v>
      </c>
      <c r="S36" s="25">
        <v>10</v>
      </c>
      <c r="T36" s="25">
        <v>0</v>
      </c>
      <c r="U36" s="25">
        <v>0</v>
      </c>
      <c r="V36" s="25">
        <v>0</v>
      </c>
      <c r="X36" s="6"/>
    </row>
    <row r="37" spans="2:24">
      <c r="B37" s="6"/>
      <c r="C37" s="12">
        <f t="shared" ca="1" si="8"/>
        <v>1</v>
      </c>
      <c r="D37" s="22">
        <f t="shared" si="16"/>
        <v>42811</v>
      </c>
      <c r="E37" s="26">
        <f t="shared" si="9"/>
        <v>1</v>
      </c>
      <c r="F37" s="26">
        <f t="shared" si="10"/>
        <v>1</v>
      </c>
      <c r="G37" s="26">
        <f t="shared" si="11"/>
        <v>1</v>
      </c>
      <c r="H37" s="26">
        <f t="shared" si="12"/>
        <v>1</v>
      </c>
      <c r="I37" s="26">
        <f t="shared" si="13"/>
        <v>1</v>
      </c>
      <c r="J37" s="26">
        <f t="shared" si="14"/>
        <v>1</v>
      </c>
      <c r="K37" s="26">
        <f t="shared" si="15"/>
        <v>1</v>
      </c>
      <c r="M37" s="6"/>
      <c r="N37" s="22">
        <f t="shared" si="17"/>
        <v>42811</v>
      </c>
      <c r="O37" s="10" t="s">
        <v>24</v>
      </c>
      <c r="P37" s="25">
        <v>0</v>
      </c>
      <c r="Q37" s="25">
        <v>0</v>
      </c>
      <c r="R37" s="25">
        <v>0</v>
      </c>
      <c r="S37" s="25">
        <v>0</v>
      </c>
      <c r="T37" s="25">
        <v>0</v>
      </c>
      <c r="U37" s="25">
        <v>0</v>
      </c>
      <c r="V37" s="25">
        <v>0</v>
      </c>
      <c r="X37" s="6"/>
    </row>
    <row r="38" spans="2:24">
      <c r="B38" s="6"/>
      <c r="C38" s="12">
        <f t="shared" ca="1" si="8"/>
        <v>1</v>
      </c>
      <c r="D38" s="22">
        <f t="shared" si="16"/>
        <v>42818</v>
      </c>
      <c r="E38" s="26">
        <f t="shared" si="9"/>
        <v>1</v>
      </c>
      <c r="F38" s="26">
        <f t="shared" si="10"/>
        <v>1</v>
      </c>
      <c r="G38" s="26">
        <f t="shared" si="11"/>
        <v>1</v>
      </c>
      <c r="H38" s="26">
        <f t="shared" si="12"/>
        <v>0</v>
      </c>
      <c r="I38" s="26">
        <f t="shared" si="13"/>
        <v>1</v>
      </c>
      <c r="J38" s="26">
        <f t="shared" si="14"/>
        <v>1</v>
      </c>
      <c r="K38" s="26">
        <f t="shared" si="15"/>
        <v>1</v>
      </c>
      <c r="M38" s="6"/>
      <c r="N38" s="22">
        <f t="shared" si="17"/>
        <v>42818</v>
      </c>
      <c r="O38" s="10" t="s">
        <v>24</v>
      </c>
      <c r="P38" s="25">
        <v>0</v>
      </c>
      <c r="Q38" s="25">
        <v>0</v>
      </c>
      <c r="R38" s="25">
        <v>0</v>
      </c>
      <c r="S38" s="25">
        <v>10</v>
      </c>
      <c r="T38" s="25">
        <v>0</v>
      </c>
      <c r="U38" s="25">
        <v>0</v>
      </c>
      <c r="V38" s="25">
        <v>0</v>
      </c>
      <c r="X38" s="6"/>
    </row>
    <row r="39" spans="2:24" ht="16.5" customHeight="1">
      <c r="B39" s="6"/>
      <c r="C39" s="12">
        <f t="shared" ca="1" si="8"/>
        <v>1</v>
      </c>
      <c r="D39" s="22">
        <f t="shared" si="16"/>
        <v>42825</v>
      </c>
      <c r="E39" s="26">
        <f t="shared" si="9"/>
        <v>1</v>
      </c>
      <c r="F39" s="26">
        <f t="shared" si="10"/>
        <v>0</v>
      </c>
      <c r="G39" s="26">
        <f t="shared" si="11"/>
        <v>0</v>
      </c>
      <c r="H39" s="26">
        <f t="shared" si="12"/>
        <v>0</v>
      </c>
      <c r="I39" s="26">
        <f t="shared" si="13"/>
        <v>0</v>
      </c>
      <c r="J39" s="26">
        <f t="shared" si="14"/>
        <v>1</v>
      </c>
      <c r="K39" s="26">
        <f t="shared" si="15"/>
        <v>1</v>
      </c>
      <c r="L39" s="2"/>
      <c r="M39" s="23"/>
      <c r="N39" s="22">
        <f t="shared" si="17"/>
        <v>42825</v>
      </c>
      <c r="O39" s="10" t="s">
        <v>24</v>
      </c>
      <c r="P39" s="25">
        <v>0</v>
      </c>
      <c r="Q39" s="25">
        <v>10</v>
      </c>
      <c r="R39" s="25">
        <v>10</v>
      </c>
      <c r="S39" s="25">
        <v>10</v>
      </c>
      <c r="T39" s="25">
        <v>10</v>
      </c>
      <c r="U39" s="25">
        <v>0</v>
      </c>
      <c r="V39" s="25">
        <v>0</v>
      </c>
      <c r="W39" s="2"/>
      <c r="X39" s="23"/>
    </row>
    <row r="40" spans="2:24" ht="16.5" customHeight="1">
      <c r="B40" s="6"/>
      <c r="C40" s="12">
        <f t="shared" ca="1" si="8"/>
        <v>1</v>
      </c>
      <c r="D40" s="22">
        <f t="shared" si="16"/>
        <v>42832</v>
      </c>
      <c r="E40" s="26">
        <f t="shared" si="9"/>
        <v>0</v>
      </c>
      <c r="F40" s="26">
        <f t="shared" si="10"/>
        <v>1</v>
      </c>
      <c r="G40" s="26">
        <f t="shared" si="11"/>
        <v>0</v>
      </c>
      <c r="H40" s="26">
        <f t="shared" si="12"/>
        <v>1</v>
      </c>
      <c r="I40" s="26">
        <f t="shared" si="13"/>
        <v>1</v>
      </c>
      <c r="J40" s="26">
        <f t="shared" si="14"/>
        <v>1</v>
      </c>
      <c r="K40" s="26">
        <f t="shared" si="15"/>
        <v>1</v>
      </c>
      <c r="L40" s="2"/>
      <c r="M40" s="23"/>
      <c r="N40" s="22">
        <f t="shared" si="17"/>
        <v>42832</v>
      </c>
      <c r="O40" s="10" t="s">
        <v>24</v>
      </c>
      <c r="P40" s="25">
        <v>10</v>
      </c>
      <c r="Q40" s="25">
        <v>0</v>
      </c>
      <c r="R40" s="25">
        <v>10</v>
      </c>
      <c r="S40" s="25">
        <v>0</v>
      </c>
      <c r="T40" s="25">
        <v>0</v>
      </c>
      <c r="U40" s="25">
        <v>0</v>
      </c>
      <c r="V40" s="25">
        <v>0</v>
      </c>
      <c r="W40" s="2"/>
      <c r="X40" s="23"/>
    </row>
    <row r="41" spans="2:24" ht="16.5" customHeight="1">
      <c r="B41" s="6"/>
      <c r="M41" s="6"/>
      <c r="N41" s="22">
        <v>42846</v>
      </c>
      <c r="O41" s="10" t="s">
        <v>114</v>
      </c>
      <c r="P41" s="25">
        <v>5</v>
      </c>
      <c r="Q41" s="25">
        <v>0</v>
      </c>
      <c r="R41" s="25">
        <v>0</v>
      </c>
      <c r="S41" s="25">
        <v>0</v>
      </c>
      <c r="T41" s="25">
        <v>0</v>
      </c>
      <c r="U41" s="25">
        <v>0</v>
      </c>
      <c r="V41" s="25">
        <v>0</v>
      </c>
      <c r="X41" s="6"/>
    </row>
    <row r="42" spans="2:24" ht="16.5" customHeight="1">
      <c r="B42" s="6"/>
      <c r="C42" s="12">
        <f t="shared" ref="C42:C49" ca="1" si="18">IF(D42&lt;=TODAY(),1,"")</f>
        <v>1</v>
      </c>
      <c r="D42" s="22">
        <f>D40+14</f>
        <v>42846</v>
      </c>
      <c r="E42" s="26">
        <f t="shared" ref="E42:K46" ca="1" si="19">IF(P42="","",IF(VLOOKUP($D42,$N:$V,E$22,TRUE)=0,1,0))</f>
        <v>1</v>
      </c>
      <c r="F42" s="26">
        <f t="shared" ca="1" si="19"/>
        <v>1</v>
      </c>
      <c r="G42" s="26">
        <f t="shared" ca="1" si="19"/>
        <v>0</v>
      </c>
      <c r="H42" s="26">
        <f t="shared" ca="1" si="19"/>
        <v>1</v>
      </c>
      <c r="I42" s="26">
        <f t="shared" ca="1" si="19"/>
        <v>1</v>
      </c>
      <c r="J42" s="26">
        <f t="shared" ca="1" si="19"/>
        <v>1</v>
      </c>
      <c r="K42" s="26">
        <f t="shared" ca="1" si="19"/>
        <v>1</v>
      </c>
      <c r="M42" s="6"/>
      <c r="N42" s="22">
        <f>N40+14</f>
        <v>42846</v>
      </c>
      <c r="O42" s="10" t="s">
        <v>24</v>
      </c>
      <c r="P42" s="25">
        <v>0</v>
      </c>
      <c r="Q42" s="25">
        <v>0</v>
      </c>
      <c r="R42" s="25">
        <v>10</v>
      </c>
      <c r="S42" s="25">
        <v>0</v>
      </c>
      <c r="T42" s="25">
        <v>0</v>
      </c>
      <c r="U42" s="25">
        <v>0</v>
      </c>
      <c r="V42" s="25">
        <v>0</v>
      </c>
      <c r="X42" s="6"/>
    </row>
    <row r="43" spans="2:24" ht="16.5" customHeight="1">
      <c r="B43" s="6"/>
      <c r="C43" s="12">
        <f t="shared" ca="1" si="18"/>
        <v>1</v>
      </c>
      <c r="D43" s="22">
        <f ca="1">IF(D42="","",IF(TODAY()&gt;=D42+7,D42+7,""))</f>
        <v>42853</v>
      </c>
      <c r="E43" s="26">
        <f t="shared" ca="1" si="19"/>
        <v>1</v>
      </c>
      <c r="F43" s="26">
        <f t="shared" ca="1" si="19"/>
        <v>1</v>
      </c>
      <c r="G43" s="26">
        <f t="shared" ca="1" si="19"/>
        <v>0</v>
      </c>
      <c r="H43" s="26">
        <f t="shared" ca="1" si="19"/>
        <v>1</v>
      </c>
      <c r="I43" s="26">
        <f t="shared" ca="1" si="19"/>
        <v>1</v>
      </c>
      <c r="J43" s="26">
        <f t="shared" ca="1" si="19"/>
        <v>1</v>
      </c>
      <c r="K43" s="26">
        <f t="shared" ca="1" si="19"/>
        <v>1</v>
      </c>
      <c r="M43" s="6"/>
      <c r="N43" s="22">
        <f ca="1">IF(N42="","",IF(TODAY()&gt;=N42+7,N42+7,""))</f>
        <v>42853</v>
      </c>
      <c r="O43" s="10" t="str">
        <f ca="1">IF(N43="","","Missing Penalty")</f>
        <v>Missing Penalty</v>
      </c>
      <c r="P43" s="25">
        <v>0</v>
      </c>
      <c r="Q43" s="25">
        <v>0</v>
      </c>
      <c r="R43" s="25">
        <v>10</v>
      </c>
      <c r="S43" s="25">
        <v>0</v>
      </c>
      <c r="T43" s="25">
        <v>0</v>
      </c>
      <c r="U43" s="25">
        <v>0</v>
      </c>
      <c r="V43" s="25">
        <v>0</v>
      </c>
      <c r="X43" s="6"/>
    </row>
    <row r="44" spans="2:24" ht="16.5" customHeight="1">
      <c r="B44" s="6"/>
      <c r="C44" s="12">
        <f t="shared" ca="1" si="18"/>
        <v>1</v>
      </c>
      <c r="D44" s="22">
        <f t="shared" ref="D44:D49" ca="1" si="20">IF(D43="","",IF(TODAY()&gt;=D43+7,D43+7,""))</f>
        <v>42860</v>
      </c>
      <c r="E44" s="26">
        <f t="shared" ca="1" si="19"/>
        <v>1</v>
      </c>
      <c r="F44" s="26">
        <f t="shared" ca="1" si="19"/>
        <v>1</v>
      </c>
      <c r="G44" s="26">
        <f t="shared" ca="1" si="19"/>
        <v>0</v>
      </c>
      <c r="H44" s="26">
        <f t="shared" ca="1" si="19"/>
        <v>1</v>
      </c>
      <c r="I44" s="26">
        <f t="shared" ca="1" si="19"/>
        <v>1</v>
      </c>
      <c r="J44" s="26">
        <f t="shared" ca="1" si="19"/>
        <v>1</v>
      </c>
      <c r="K44" s="26">
        <f t="shared" ca="1" si="19"/>
        <v>1</v>
      </c>
      <c r="M44" s="6"/>
      <c r="N44" s="22">
        <f t="shared" ref="N44:N49" ca="1" si="21">IF(N43="","",IF(TODAY()&gt;=N43+7,N43+7,""))</f>
        <v>42860</v>
      </c>
      <c r="O44" s="10" t="str">
        <f t="shared" ref="O44:O73" ca="1" si="22">IF(N44="","","Missing Penalty")</f>
        <v>Missing Penalty</v>
      </c>
      <c r="P44" s="25">
        <v>0</v>
      </c>
      <c r="Q44" s="25">
        <v>0</v>
      </c>
      <c r="R44" s="25">
        <v>10</v>
      </c>
      <c r="S44" s="25">
        <v>0</v>
      </c>
      <c r="T44" s="25">
        <v>0</v>
      </c>
      <c r="U44" s="25">
        <v>0</v>
      </c>
      <c r="V44" s="25">
        <v>0</v>
      </c>
      <c r="X44" s="6"/>
    </row>
    <row r="45" spans="2:24" ht="16.5" customHeight="1">
      <c r="B45" s="6"/>
      <c r="C45" s="12">
        <f t="shared" ca="1" si="18"/>
        <v>1</v>
      </c>
      <c r="D45" s="22">
        <f t="shared" ca="1" si="20"/>
        <v>42867</v>
      </c>
      <c r="E45" s="26">
        <f t="shared" ca="1" si="19"/>
        <v>1</v>
      </c>
      <c r="F45" s="26">
        <f t="shared" ca="1" si="19"/>
        <v>0</v>
      </c>
      <c r="G45" s="26">
        <f t="shared" ca="1" si="19"/>
        <v>0</v>
      </c>
      <c r="H45" s="26">
        <f t="shared" ca="1" si="19"/>
        <v>1</v>
      </c>
      <c r="I45" s="26">
        <f t="shared" ca="1" si="19"/>
        <v>1</v>
      </c>
      <c r="J45" s="26">
        <f t="shared" ca="1" si="19"/>
        <v>1</v>
      </c>
      <c r="K45" s="26">
        <f t="shared" ca="1" si="19"/>
        <v>1</v>
      </c>
      <c r="M45" s="6"/>
      <c r="N45" s="22">
        <f t="shared" ca="1" si="21"/>
        <v>42867</v>
      </c>
      <c r="O45" s="10" t="str">
        <f ca="1">IF(N45="","","Missing Penalty")</f>
        <v>Missing Penalty</v>
      </c>
      <c r="P45" s="25">
        <v>0</v>
      </c>
      <c r="Q45" s="25">
        <v>10</v>
      </c>
      <c r="R45" s="25">
        <v>10</v>
      </c>
      <c r="S45" s="25">
        <v>0</v>
      </c>
      <c r="T45" s="25">
        <v>0</v>
      </c>
      <c r="U45" s="25">
        <v>0</v>
      </c>
      <c r="V45" s="25">
        <v>0</v>
      </c>
      <c r="X45" s="6"/>
    </row>
    <row r="46" spans="2:24" ht="16.5" customHeight="1">
      <c r="B46" s="6"/>
      <c r="C46" s="12">
        <f t="shared" ca="1" si="18"/>
        <v>1</v>
      </c>
      <c r="D46" s="22">
        <f ca="1">IF(D45="","",IF(TODAY()&gt;=D45+7,D45+7,""))</f>
        <v>42874</v>
      </c>
      <c r="E46" s="26">
        <f t="shared" ca="1" si="19"/>
        <v>1</v>
      </c>
      <c r="F46" s="26">
        <f t="shared" ca="1" si="19"/>
        <v>0</v>
      </c>
      <c r="G46" s="26">
        <f t="shared" ca="1" si="19"/>
        <v>0</v>
      </c>
      <c r="H46" s="26">
        <f t="shared" ca="1" si="19"/>
        <v>0</v>
      </c>
      <c r="I46" s="26">
        <f t="shared" ca="1" si="19"/>
        <v>1</v>
      </c>
      <c r="J46" s="26">
        <f t="shared" ca="1" si="19"/>
        <v>1</v>
      </c>
      <c r="K46" s="26">
        <f t="shared" ca="1" si="19"/>
        <v>1</v>
      </c>
      <c r="M46" s="6"/>
      <c r="N46" s="22">
        <f t="shared" ca="1" si="21"/>
        <v>42874</v>
      </c>
      <c r="O46" s="10" t="str">
        <f ca="1">IF(N46="","","Missing Penalty")</f>
        <v>Missing Penalty</v>
      </c>
      <c r="P46" s="25">
        <v>0</v>
      </c>
      <c r="Q46" s="25">
        <v>10</v>
      </c>
      <c r="R46" s="25">
        <v>10</v>
      </c>
      <c r="S46" s="25">
        <v>10</v>
      </c>
      <c r="T46" s="25">
        <v>0</v>
      </c>
      <c r="U46" s="25">
        <v>0</v>
      </c>
      <c r="V46" s="25">
        <v>0</v>
      </c>
      <c r="W46" s="1">
        <v>0</v>
      </c>
      <c r="X46" s="6"/>
    </row>
    <row r="47" spans="2:24" ht="16.5" customHeight="1">
      <c r="B47" s="6"/>
      <c r="C47" s="12">
        <f t="shared" ca="1" si="18"/>
        <v>1</v>
      </c>
      <c r="D47" s="22">
        <f t="shared" ca="1" si="20"/>
        <v>42881</v>
      </c>
      <c r="E47" s="26">
        <v>1</v>
      </c>
      <c r="F47" s="26">
        <v>1</v>
      </c>
      <c r="G47" s="26">
        <v>0</v>
      </c>
      <c r="H47" s="26">
        <v>0</v>
      </c>
      <c r="I47" s="26">
        <v>1</v>
      </c>
      <c r="J47" s="26">
        <v>0</v>
      </c>
      <c r="K47" s="26">
        <v>1</v>
      </c>
      <c r="M47" s="6"/>
      <c r="N47" s="22">
        <f t="shared" ca="1" si="21"/>
        <v>42881</v>
      </c>
      <c r="O47" s="10" t="str">
        <f t="shared" ref="O47:O56" ca="1" si="23">IF(N47="","","Missing Penalty")</f>
        <v>Missing Penalty</v>
      </c>
      <c r="P47" s="25">
        <v>0</v>
      </c>
      <c r="Q47" s="25">
        <v>0</v>
      </c>
      <c r="R47" s="25">
        <v>10</v>
      </c>
      <c r="S47" s="25">
        <v>10</v>
      </c>
      <c r="T47" s="25">
        <v>0</v>
      </c>
      <c r="U47" s="25">
        <v>10</v>
      </c>
      <c r="V47" s="25">
        <v>0</v>
      </c>
      <c r="X47" s="6"/>
    </row>
    <row r="48" spans="2:24" ht="16.5" customHeight="1">
      <c r="B48" s="6"/>
      <c r="C48" s="12">
        <f t="shared" ca="1" si="18"/>
        <v>1</v>
      </c>
      <c r="D48" s="22">
        <f t="shared" ca="1" si="20"/>
        <v>42888</v>
      </c>
      <c r="E48" s="26">
        <f t="shared" ref="E48:E73" ca="1" si="24">IF(P48="","",IF(VLOOKUP($D48,$N:$V,E$22,TRUE)=0,1,0))</f>
        <v>1</v>
      </c>
      <c r="F48" s="26">
        <f t="shared" ref="F48:F73" ca="1" si="25">IF(Q48="","",IF(VLOOKUP($D48,$N:$V,F$22,TRUE)=0,1,0))</f>
        <v>1</v>
      </c>
      <c r="G48" s="26">
        <f t="shared" ref="G48:G73" ca="1" si="26">IF(R48="","",IF(VLOOKUP($D48,$N:$V,G$22,TRUE)=0,1,0))</f>
        <v>0</v>
      </c>
      <c r="H48" s="26">
        <f t="shared" ref="H48:H73" ca="1" si="27">IF(S48="","",IF(VLOOKUP($D48,$N:$V,H$22,TRUE)=0,1,0))</f>
        <v>0</v>
      </c>
      <c r="I48" s="26">
        <f t="shared" ref="I48:I73" ca="1" si="28">IF(T48="","",IF(VLOOKUP($D48,$N:$V,I$22,TRUE)=0,1,0))</f>
        <v>1</v>
      </c>
      <c r="J48" s="26">
        <f t="shared" ref="J48:J73" ca="1" si="29">IF(U48="","",IF(VLOOKUP($D48,$N:$V,J$22,TRUE)=0,1,0))</f>
        <v>0</v>
      </c>
      <c r="K48" s="26">
        <f t="shared" ref="K48:K73" ca="1" si="30">IF(V48="","",IF(VLOOKUP($D48,$N:$V,K$22,TRUE)=0,1,0))</f>
        <v>1</v>
      </c>
      <c r="M48" s="6"/>
      <c r="N48" s="22">
        <f t="shared" ca="1" si="21"/>
        <v>42888</v>
      </c>
      <c r="O48" s="10" t="str">
        <f t="shared" ca="1" si="23"/>
        <v>Missing Penalty</v>
      </c>
      <c r="P48" s="25">
        <v>0</v>
      </c>
      <c r="Q48" s="25">
        <v>0</v>
      </c>
      <c r="R48" s="25">
        <v>10</v>
      </c>
      <c r="S48" s="25">
        <v>10</v>
      </c>
      <c r="T48" s="25">
        <v>0</v>
      </c>
      <c r="U48" s="25">
        <v>10</v>
      </c>
      <c r="V48" s="25">
        <v>0</v>
      </c>
      <c r="X48" s="6"/>
    </row>
    <row r="49" spans="2:24" ht="16.5" customHeight="1">
      <c r="B49" s="6"/>
      <c r="C49" s="12">
        <f t="shared" ca="1" si="18"/>
        <v>1</v>
      </c>
      <c r="D49" s="22">
        <f t="shared" ca="1" si="20"/>
        <v>42895</v>
      </c>
      <c r="E49" s="26">
        <f t="shared" ca="1" si="24"/>
        <v>1</v>
      </c>
      <c r="F49" s="26">
        <f t="shared" ca="1" si="25"/>
        <v>0</v>
      </c>
      <c r="G49" s="26">
        <f t="shared" ca="1" si="26"/>
        <v>0</v>
      </c>
      <c r="H49" s="26">
        <f t="shared" ca="1" si="27"/>
        <v>0</v>
      </c>
      <c r="I49" s="26">
        <f t="shared" ca="1" si="28"/>
        <v>1</v>
      </c>
      <c r="J49" s="26">
        <f t="shared" ca="1" si="29"/>
        <v>0</v>
      </c>
      <c r="K49" s="26">
        <f t="shared" ca="1" si="30"/>
        <v>1</v>
      </c>
      <c r="M49" s="6"/>
      <c r="N49" s="22">
        <f t="shared" ca="1" si="21"/>
        <v>42895</v>
      </c>
      <c r="O49" s="10" t="str">
        <f t="shared" ca="1" si="23"/>
        <v>Missing Penalty</v>
      </c>
      <c r="P49" s="25">
        <v>0</v>
      </c>
      <c r="Q49" s="25">
        <v>10</v>
      </c>
      <c r="R49" s="25">
        <v>10</v>
      </c>
      <c r="S49" s="25">
        <v>10</v>
      </c>
      <c r="T49" s="25">
        <v>0</v>
      </c>
      <c r="U49" s="25">
        <v>10</v>
      </c>
      <c r="V49" s="25">
        <v>0</v>
      </c>
      <c r="X49" s="6"/>
    </row>
    <row r="50" spans="2:24" ht="16.5" customHeight="1">
      <c r="B50" s="6"/>
      <c r="C50" s="12">
        <v>1</v>
      </c>
      <c r="D50" s="22">
        <f ca="1">D49+7</f>
        <v>42902</v>
      </c>
      <c r="E50" s="26">
        <f t="shared" ca="1" si="24"/>
        <v>1</v>
      </c>
      <c r="F50" s="26">
        <f t="shared" ca="1" si="25"/>
        <v>1</v>
      </c>
      <c r="G50" s="26">
        <f t="shared" ca="1" si="26"/>
        <v>0</v>
      </c>
      <c r="H50" s="26">
        <f t="shared" ca="1" si="27"/>
        <v>1</v>
      </c>
      <c r="I50" s="26">
        <f t="shared" ca="1" si="28"/>
        <v>0</v>
      </c>
      <c r="J50" s="26">
        <f t="shared" ca="1" si="29"/>
        <v>0</v>
      </c>
      <c r="K50" s="26">
        <f t="shared" ca="1" si="30"/>
        <v>1</v>
      </c>
      <c r="M50" s="6"/>
      <c r="N50" s="22">
        <f ca="1">N49+7</f>
        <v>42902</v>
      </c>
      <c r="O50" s="10" t="str">
        <f t="shared" ca="1" si="23"/>
        <v>Missing Penalty</v>
      </c>
      <c r="P50" s="25">
        <v>0</v>
      </c>
      <c r="Q50" s="25">
        <v>0</v>
      </c>
      <c r="R50" s="25">
        <v>10</v>
      </c>
      <c r="S50" s="25">
        <v>0</v>
      </c>
      <c r="T50" s="25">
        <v>10</v>
      </c>
      <c r="U50" s="25">
        <v>10</v>
      </c>
      <c r="V50" s="25">
        <v>0</v>
      </c>
      <c r="X50" s="6"/>
    </row>
    <row r="51" spans="2:24" ht="16.5" customHeight="1">
      <c r="B51" s="6"/>
      <c r="C51" s="12">
        <f t="shared" ref="C51:C73" ca="1" si="31">IF(D51&lt;=TODAY(),1,"")</f>
        <v>1</v>
      </c>
      <c r="D51" s="22">
        <f t="shared" ref="D51:D73" ca="1" si="32">D50+7</f>
        <v>42909</v>
      </c>
      <c r="E51" s="26">
        <f t="shared" ca="1" si="24"/>
        <v>1</v>
      </c>
      <c r="F51" s="26">
        <f t="shared" ca="1" si="25"/>
        <v>0</v>
      </c>
      <c r="G51" s="26">
        <f t="shared" ca="1" si="26"/>
        <v>0</v>
      </c>
      <c r="H51" s="26">
        <f t="shared" ca="1" si="27"/>
        <v>1</v>
      </c>
      <c r="I51" s="26">
        <f t="shared" ca="1" si="28"/>
        <v>1</v>
      </c>
      <c r="J51" s="26">
        <f t="shared" ca="1" si="29"/>
        <v>0</v>
      </c>
      <c r="K51" s="26">
        <f t="shared" ca="1" si="30"/>
        <v>0</v>
      </c>
      <c r="M51" s="6"/>
      <c r="N51" s="22">
        <f t="shared" ref="N51:N73" ca="1" si="33">N50+7</f>
        <v>42909</v>
      </c>
      <c r="O51" s="10" t="str">
        <f t="shared" ca="1" si="23"/>
        <v>Missing Penalty</v>
      </c>
      <c r="P51" s="25">
        <v>0</v>
      </c>
      <c r="Q51" s="25">
        <v>10</v>
      </c>
      <c r="R51" s="25">
        <v>10</v>
      </c>
      <c r="S51" s="25">
        <v>0</v>
      </c>
      <c r="T51" s="25">
        <v>0</v>
      </c>
      <c r="U51" s="25">
        <v>10</v>
      </c>
      <c r="V51" s="25">
        <v>10</v>
      </c>
      <c r="X51" s="6"/>
    </row>
    <row r="52" spans="2:24" ht="16.5" customHeight="1">
      <c r="B52" s="6"/>
      <c r="C52" s="12">
        <f t="shared" ca="1" si="31"/>
        <v>1</v>
      </c>
      <c r="D52" s="22">
        <f t="shared" ca="1" si="32"/>
        <v>42916</v>
      </c>
      <c r="E52" s="26">
        <f t="shared" ca="1" si="24"/>
        <v>1</v>
      </c>
      <c r="F52" s="26">
        <f t="shared" ca="1" si="25"/>
        <v>1</v>
      </c>
      <c r="G52" s="26">
        <f t="shared" ca="1" si="26"/>
        <v>0</v>
      </c>
      <c r="H52" s="26">
        <f t="shared" ca="1" si="27"/>
        <v>1</v>
      </c>
      <c r="I52" s="26">
        <f t="shared" ca="1" si="28"/>
        <v>1</v>
      </c>
      <c r="J52" s="26">
        <f t="shared" ca="1" si="29"/>
        <v>1</v>
      </c>
      <c r="K52" s="26">
        <f t="shared" ca="1" si="30"/>
        <v>0</v>
      </c>
      <c r="M52" s="6"/>
      <c r="N52" s="22">
        <f t="shared" ca="1" si="33"/>
        <v>42916</v>
      </c>
      <c r="O52" s="10" t="str">
        <f t="shared" ca="1" si="23"/>
        <v>Missing Penalty</v>
      </c>
      <c r="P52" s="25">
        <v>0</v>
      </c>
      <c r="Q52" s="25">
        <v>0</v>
      </c>
      <c r="R52" s="25">
        <v>10</v>
      </c>
      <c r="S52" s="25">
        <v>0</v>
      </c>
      <c r="T52" s="25">
        <v>0</v>
      </c>
      <c r="U52" s="25">
        <v>0</v>
      </c>
      <c r="V52" s="25">
        <v>10</v>
      </c>
      <c r="X52" s="6"/>
    </row>
    <row r="53" spans="2:24" ht="16.5" customHeight="1">
      <c r="B53" s="6"/>
      <c r="C53" s="12">
        <f t="shared" ca="1" si="31"/>
        <v>1</v>
      </c>
      <c r="D53" s="22">
        <f t="shared" ca="1" si="32"/>
        <v>42923</v>
      </c>
      <c r="E53" s="26">
        <f t="shared" ca="1" si="24"/>
        <v>1</v>
      </c>
      <c r="F53" s="26">
        <f t="shared" ca="1" si="25"/>
        <v>1</v>
      </c>
      <c r="G53" s="26">
        <f t="shared" ca="1" si="26"/>
        <v>0</v>
      </c>
      <c r="H53" s="26">
        <f t="shared" ca="1" si="27"/>
        <v>1</v>
      </c>
      <c r="I53" s="26">
        <f t="shared" ca="1" si="28"/>
        <v>1</v>
      </c>
      <c r="J53" s="26">
        <f t="shared" ca="1" si="29"/>
        <v>1</v>
      </c>
      <c r="K53" s="26">
        <f t="shared" ca="1" si="30"/>
        <v>0</v>
      </c>
      <c r="M53" s="6"/>
      <c r="N53" s="22">
        <f t="shared" ca="1" si="33"/>
        <v>42923</v>
      </c>
      <c r="O53" s="10" t="str">
        <f t="shared" ca="1" si="23"/>
        <v>Missing Penalty</v>
      </c>
      <c r="P53" s="25">
        <v>0</v>
      </c>
      <c r="Q53" s="25">
        <v>0</v>
      </c>
      <c r="R53" s="25">
        <v>10</v>
      </c>
      <c r="S53" s="25">
        <v>0</v>
      </c>
      <c r="T53" s="25">
        <v>0</v>
      </c>
      <c r="U53" s="25">
        <v>0</v>
      </c>
      <c r="V53" s="25">
        <v>10</v>
      </c>
      <c r="X53" s="6"/>
    </row>
    <row r="54" spans="2:24" ht="16.5" customHeight="1">
      <c r="B54" s="6"/>
      <c r="C54" s="12">
        <f t="shared" ca="1" si="31"/>
        <v>1</v>
      </c>
      <c r="D54" s="22">
        <f t="shared" ca="1" si="32"/>
        <v>42930</v>
      </c>
      <c r="E54" s="26">
        <f t="shared" ca="1" si="24"/>
        <v>1</v>
      </c>
      <c r="F54" s="26">
        <f t="shared" ca="1" si="25"/>
        <v>1</v>
      </c>
      <c r="G54" s="26">
        <f t="shared" ca="1" si="26"/>
        <v>0</v>
      </c>
      <c r="H54" s="26">
        <f t="shared" ca="1" si="27"/>
        <v>1</v>
      </c>
      <c r="I54" s="26">
        <f t="shared" ca="1" si="28"/>
        <v>1</v>
      </c>
      <c r="J54" s="26">
        <f t="shared" ca="1" si="29"/>
        <v>1</v>
      </c>
      <c r="K54" s="26">
        <f t="shared" ca="1" si="30"/>
        <v>1</v>
      </c>
      <c r="M54" s="6"/>
      <c r="N54" s="22">
        <f t="shared" ca="1" si="33"/>
        <v>42930</v>
      </c>
      <c r="O54" s="10" t="str">
        <f t="shared" ca="1" si="23"/>
        <v>Missing Penalty</v>
      </c>
      <c r="P54" s="25">
        <v>0</v>
      </c>
      <c r="Q54" s="25">
        <v>0</v>
      </c>
      <c r="R54" s="25">
        <v>10</v>
      </c>
      <c r="S54" s="25">
        <v>0</v>
      </c>
      <c r="T54" s="25">
        <v>0</v>
      </c>
      <c r="U54" s="25">
        <v>0</v>
      </c>
      <c r="V54" s="25">
        <v>0</v>
      </c>
      <c r="X54" s="6"/>
    </row>
    <row r="55" spans="2:24" ht="16.5" customHeight="1">
      <c r="B55" s="6"/>
      <c r="C55" s="12">
        <f t="shared" ca="1" si="31"/>
        <v>1</v>
      </c>
      <c r="D55" s="22">
        <f t="shared" ca="1" si="32"/>
        <v>42937</v>
      </c>
      <c r="E55" s="26">
        <f t="shared" ca="1" si="24"/>
        <v>0</v>
      </c>
      <c r="F55" s="26">
        <f t="shared" ca="1" si="25"/>
        <v>1</v>
      </c>
      <c r="G55" s="26" t="str">
        <f t="shared" si="26"/>
        <v/>
      </c>
      <c r="H55" s="26">
        <f t="shared" ca="1" si="27"/>
        <v>1</v>
      </c>
      <c r="I55" s="26">
        <f t="shared" ca="1" si="28"/>
        <v>0</v>
      </c>
      <c r="J55" s="26">
        <f t="shared" ca="1" si="29"/>
        <v>1</v>
      </c>
      <c r="K55" s="26">
        <f t="shared" ca="1" si="30"/>
        <v>1</v>
      </c>
      <c r="M55" s="6"/>
      <c r="N55" s="22">
        <f t="shared" ca="1" si="33"/>
        <v>42937</v>
      </c>
      <c r="O55" s="10" t="str">
        <f t="shared" ca="1" si="23"/>
        <v>Missing Penalty</v>
      </c>
      <c r="P55" s="25">
        <v>10</v>
      </c>
      <c r="Q55" s="25">
        <v>0</v>
      </c>
      <c r="R55" s="25"/>
      <c r="S55" s="25">
        <v>0</v>
      </c>
      <c r="T55" s="25">
        <v>10</v>
      </c>
      <c r="U55" s="25">
        <v>0</v>
      </c>
      <c r="V55" s="25">
        <v>0</v>
      </c>
      <c r="X55" s="6"/>
    </row>
    <row r="56" spans="2:24" ht="16.5" customHeight="1">
      <c r="B56" s="6"/>
      <c r="C56" s="12">
        <f t="shared" ca="1" si="31"/>
        <v>1</v>
      </c>
      <c r="D56" s="22">
        <f t="shared" ca="1" si="32"/>
        <v>42944</v>
      </c>
      <c r="E56" s="26">
        <f t="shared" ca="1" si="24"/>
        <v>0</v>
      </c>
      <c r="F56" s="26">
        <f t="shared" ca="1" si="25"/>
        <v>1</v>
      </c>
      <c r="G56" s="26" t="str">
        <f t="shared" si="26"/>
        <v/>
      </c>
      <c r="H56" s="26">
        <f t="shared" ca="1" si="27"/>
        <v>1</v>
      </c>
      <c r="I56" s="26">
        <f t="shared" ca="1" si="28"/>
        <v>0</v>
      </c>
      <c r="J56" s="26">
        <f t="shared" ca="1" si="29"/>
        <v>1</v>
      </c>
      <c r="K56" s="26">
        <f t="shared" ca="1" si="30"/>
        <v>1</v>
      </c>
      <c r="M56" s="6"/>
      <c r="N56" s="22">
        <f t="shared" ca="1" si="33"/>
        <v>42944</v>
      </c>
      <c r="O56" s="10" t="str">
        <f t="shared" ca="1" si="23"/>
        <v>Missing Penalty</v>
      </c>
      <c r="P56" s="25">
        <v>10</v>
      </c>
      <c r="Q56" s="25">
        <v>0</v>
      </c>
      <c r="R56" s="25"/>
      <c r="S56" s="25">
        <v>0</v>
      </c>
      <c r="T56" s="25">
        <v>10</v>
      </c>
      <c r="U56" s="25">
        <v>0</v>
      </c>
      <c r="V56" s="25">
        <v>0</v>
      </c>
      <c r="X56" s="6"/>
    </row>
    <row r="57" spans="2:24" ht="16.5" customHeight="1">
      <c r="B57" s="6"/>
      <c r="C57" s="12">
        <f t="shared" ca="1" si="31"/>
        <v>1</v>
      </c>
      <c r="D57" s="22">
        <f t="shared" ca="1" si="32"/>
        <v>42951</v>
      </c>
      <c r="E57" s="26">
        <f t="shared" ca="1" si="24"/>
        <v>0</v>
      </c>
      <c r="F57" s="26">
        <f t="shared" ca="1" si="25"/>
        <v>0</v>
      </c>
      <c r="G57" s="26" t="str">
        <f t="shared" si="26"/>
        <v/>
      </c>
      <c r="H57" s="26">
        <f t="shared" ca="1" si="27"/>
        <v>1</v>
      </c>
      <c r="I57" s="26">
        <f t="shared" ca="1" si="28"/>
        <v>0</v>
      </c>
      <c r="J57" s="26">
        <f t="shared" ca="1" si="29"/>
        <v>1</v>
      </c>
      <c r="K57" s="26">
        <f t="shared" ca="1" si="30"/>
        <v>1</v>
      </c>
      <c r="M57" s="6"/>
      <c r="N57" s="22">
        <f t="shared" ca="1" si="33"/>
        <v>42951</v>
      </c>
      <c r="O57" s="10" t="str">
        <f t="shared" ca="1" si="22"/>
        <v>Missing Penalty</v>
      </c>
      <c r="P57" s="25">
        <v>10</v>
      </c>
      <c r="Q57" s="25">
        <v>10</v>
      </c>
      <c r="R57" s="25"/>
      <c r="S57" s="25">
        <v>0</v>
      </c>
      <c r="T57" s="25">
        <v>10</v>
      </c>
      <c r="U57" s="25">
        <v>0</v>
      </c>
      <c r="V57" s="25">
        <v>0</v>
      </c>
      <c r="X57" s="6"/>
    </row>
    <row r="58" spans="2:24" ht="16.5" customHeight="1">
      <c r="B58" s="6"/>
      <c r="C58" s="12">
        <f t="shared" ca="1" si="31"/>
        <v>1</v>
      </c>
      <c r="D58" s="22">
        <f t="shared" ca="1" si="32"/>
        <v>42958</v>
      </c>
      <c r="E58" s="26">
        <f t="shared" ca="1" si="24"/>
        <v>0</v>
      </c>
      <c r="F58" s="26">
        <f t="shared" ca="1" si="25"/>
        <v>1</v>
      </c>
      <c r="G58" s="26">
        <f t="shared" ca="1" si="26"/>
        <v>1</v>
      </c>
      <c r="H58" s="26">
        <f t="shared" ca="1" si="27"/>
        <v>1</v>
      </c>
      <c r="I58" s="26">
        <f t="shared" ca="1" si="28"/>
        <v>0</v>
      </c>
      <c r="J58" s="26">
        <f t="shared" ca="1" si="29"/>
        <v>1</v>
      </c>
      <c r="K58" s="26">
        <f t="shared" ca="1" si="30"/>
        <v>1</v>
      </c>
      <c r="M58" s="6"/>
      <c r="N58" s="22">
        <f t="shared" ca="1" si="33"/>
        <v>42958</v>
      </c>
      <c r="O58" s="10" t="str">
        <f t="shared" ca="1" si="22"/>
        <v>Missing Penalty</v>
      </c>
      <c r="P58" s="25">
        <v>10</v>
      </c>
      <c r="Q58" s="25">
        <v>0</v>
      </c>
      <c r="R58" s="25">
        <v>0</v>
      </c>
      <c r="S58" s="25">
        <v>0</v>
      </c>
      <c r="T58" s="25">
        <v>10</v>
      </c>
      <c r="U58" s="25">
        <v>0</v>
      </c>
      <c r="V58" s="25">
        <v>0</v>
      </c>
      <c r="X58" s="6"/>
    </row>
    <row r="59" spans="2:24" ht="16.5" customHeight="1">
      <c r="B59" s="6"/>
      <c r="C59" s="12">
        <f t="shared" ca="1" si="31"/>
        <v>1</v>
      </c>
      <c r="D59" s="22">
        <f t="shared" ca="1" si="32"/>
        <v>42965</v>
      </c>
      <c r="E59" s="26">
        <f t="shared" ca="1" si="24"/>
        <v>0</v>
      </c>
      <c r="F59" s="26">
        <f t="shared" ca="1" si="25"/>
        <v>1</v>
      </c>
      <c r="G59" s="26" t="str">
        <f t="shared" si="26"/>
        <v/>
      </c>
      <c r="H59" s="26">
        <f t="shared" ca="1" si="27"/>
        <v>0</v>
      </c>
      <c r="I59" s="26">
        <f t="shared" ca="1" si="28"/>
        <v>0</v>
      </c>
      <c r="J59" s="26">
        <f t="shared" ca="1" si="29"/>
        <v>1</v>
      </c>
      <c r="K59" s="26">
        <f t="shared" ca="1" si="30"/>
        <v>1</v>
      </c>
      <c r="M59" s="6"/>
      <c r="N59" s="22">
        <f t="shared" ca="1" si="33"/>
        <v>42965</v>
      </c>
      <c r="O59" s="10" t="str">
        <f t="shared" ca="1" si="22"/>
        <v>Missing Penalty</v>
      </c>
      <c r="P59" s="25">
        <v>10</v>
      </c>
      <c r="Q59" s="25">
        <v>0</v>
      </c>
      <c r="R59" s="25"/>
      <c r="S59" s="25">
        <v>10</v>
      </c>
      <c r="T59" s="25">
        <v>10</v>
      </c>
      <c r="U59" s="25">
        <v>0</v>
      </c>
      <c r="V59" s="25">
        <v>0</v>
      </c>
      <c r="X59" s="6"/>
    </row>
    <row r="60" spans="2:24">
      <c r="C60" s="12">
        <f t="shared" ca="1" si="31"/>
        <v>1</v>
      </c>
      <c r="D60" s="22">
        <f t="shared" ca="1" si="32"/>
        <v>42972</v>
      </c>
      <c r="E60" s="26">
        <f t="shared" ca="1" si="24"/>
        <v>1</v>
      </c>
      <c r="F60" s="26">
        <f t="shared" ca="1" si="25"/>
        <v>1</v>
      </c>
      <c r="G60" s="26" t="str">
        <f t="shared" si="26"/>
        <v/>
      </c>
      <c r="H60" s="26">
        <f t="shared" ca="1" si="27"/>
        <v>1</v>
      </c>
      <c r="I60" s="26">
        <f t="shared" ca="1" si="28"/>
        <v>1</v>
      </c>
      <c r="J60" s="26">
        <f t="shared" ca="1" si="29"/>
        <v>1</v>
      </c>
      <c r="K60" s="26">
        <f t="shared" ca="1" si="30"/>
        <v>1</v>
      </c>
      <c r="N60" s="22">
        <f t="shared" ca="1" si="33"/>
        <v>42972</v>
      </c>
      <c r="O60" s="10" t="str">
        <f t="shared" ca="1" si="22"/>
        <v>Missing Penalty</v>
      </c>
      <c r="P60" s="25">
        <v>0</v>
      </c>
      <c r="Q60" s="25">
        <v>0</v>
      </c>
      <c r="R60" s="25"/>
      <c r="S60" s="25">
        <v>0</v>
      </c>
      <c r="T60" s="25">
        <v>0</v>
      </c>
      <c r="U60" s="25">
        <v>0</v>
      </c>
      <c r="V60" s="25">
        <v>0</v>
      </c>
      <c r="X60" s="6"/>
    </row>
    <row r="61" spans="2:24">
      <c r="C61" s="12">
        <f t="shared" ca="1" si="31"/>
        <v>1</v>
      </c>
      <c r="D61" s="22">
        <f t="shared" ca="1" si="32"/>
        <v>42979</v>
      </c>
      <c r="E61" s="26">
        <f t="shared" ca="1" si="24"/>
        <v>1</v>
      </c>
      <c r="F61" s="26">
        <f t="shared" ca="1" si="25"/>
        <v>1</v>
      </c>
      <c r="G61" s="26" t="str">
        <f t="shared" si="26"/>
        <v/>
      </c>
      <c r="H61" s="26">
        <f t="shared" ca="1" si="27"/>
        <v>1</v>
      </c>
      <c r="I61" s="26">
        <f t="shared" ca="1" si="28"/>
        <v>1</v>
      </c>
      <c r="J61" s="26">
        <f t="shared" ca="1" si="29"/>
        <v>0</v>
      </c>
      <c r="K61" s="26">
        <f t="shared" ca="1" si="30"/>
        <v>1</v>
      </c>
      <c r="N61" s="22">
        <f t="shared" ca="1" si="33"/>
        <v>42979</v>
      </c>
      <c r="O61" s="10" t="str">
        <f t="shared" ca="1" si="22"/>
        <v>Missing Penalty</v>
      </c>
      <c r="P61" s="25">
        <v>0</v>
      </c>
      <c r="Q61" s="25">
        <v>0</v>
      </c>
      <c r="R61" s="25"/>
      <c r="S61" s="25">
        <v>0</v>
      </c>
      <c r="T61" s="25">
        <v>0</v>
      </c>
      <c r="U61" s="25">
        <v>10</v>
      </c>
      <c r="V61" s="25">
        <v>0</v>
      </c>
      <c r="X61" s="6"/>
    </row>
    <row r="62" spans="2:24">
      <c r="C62" s="12">
        <f t="shared" ca="1" si="31"/>
        <v>1</v>
      </c>
      <c r="D62" s="22">
        <f t="shared" ca="1" si="32"/>
        <v>42986</v>
      </c>
      <c r="E62" s="26">
        <f t="shared" ca="1" si="24"/>
        <v>1</v>
      </c>
      <c r="F62" s="26">
        <f t="shared" ca="1" si="25"/>
        <v>1</v>
      </c>
      <c r="G62" s="26" t="str">
        <f t="shared" si="26"/>
        <v/>
      </c>
      <c r="H62" s="26">
        <f t="shared" ca="1" si="27"/>
        <v>0</v>
      </c>
      <c r="I62" s="26">
        <f t="shared" ca="1" si="28"/>
        <v>1</v>
      </c>
      <c r="J62" s="26">
        <f t="shared" ca="1" si="29"/>
        <v>1</v>
      </c>
      <c r="K62" s="26">
        <f t="shared" ca="1" si="30"/>
        <v>1</v>
      </c>
      <c r="N62" s="22">
        <f t="shared" ca="1" si="33"/>
        <v>42986</v>
      </c>
      <c r="O62" s="10" t="str">
        <f t="shared" ca="1" si="22"/>
        <v>Missing Penalty</v>
      </c>
      <c r="P62" s="25">
        <v>0</v>
      </c>
      <c r="Q62" s="25">
        <v>0</v>
      </c>
      <c r="R62" s="25"/>
      <c r="S62" s="25">
        <v>10</v>
      </c>
      <c r="T62" s="25">
        <v>0</v>
      </c>
      <c r="U62" s="25">
        <v>0</v>
      </c>
      <c r="V62" s="25">
        <v>0</v>
      </c>
      <c r="X62" s="6"/>
    </row>
    <row r="63" spans="2:24">
      <c r="C63" s="12">
        <f t="shared" ca="1" si="31"/>
        <v>1</v>
      </c>
      <c r="D63" s="22">
        <f t="shared" ca="1" si="32"/>
        <v>42993</v>
      </c>
      <c r="E63" s="26">
        <f t="shared" ca="1" si="24"/>
        <v>1</v>
      </c>
      <c r="F63" s="26">
        <f t="shared" ca="1" si="25"/>
        <v>1</v>
      </c>
      <c r="G63" s="26" t="str">
        <f t="shared" si="26"/>
        <v/>
      </c>
      <c r="H63" s="26">
        <f t="shared" ca="1" si="27"/>
        <v>1</v>
      </c>
      <c r="I63" s="26">
        <f t="shared" ca="1" si="28"/>
        <v>1</v>
      </c>
      <c r="J63" s="26">
        <f t="shared" ca="1" si="29"/>
        <v>0</v>
      </c>
      <c r="K63" s="26">
        <f t="shared" ca="1" si="30"/>
        <v>1</v>
      </c>
      <c r="N63" s="22">
        <f t="shared" ca="1" si="33"/>
        <v>42993</v>
      </c>
      <c r="O63" s="10" t="str">
        <f t="shared" ca="1" si="22"/>
        <v>Missing Penalty</v>
      </c>
      <c r="P63" s="25">
        <v>0</v>
      </c>
      <c r="Q63" s="25">
        <v>0</v>
      </c>
      <c r="R63" s="25"/>
      <c r="S63" s="25">
        <v>0</v>
      </c>
      <c r="T63" s="25">
        <v>0</v>
      </c>
      <c r="U63" s="25">
        <v>10</v>
      </c>
      <c r="V63" s="25">
        <v>0</v>
      </c>
      <c r="X63" s="6"/>
    </row>
    <row r="64" spans="2:24">
      <c r="C64" s="12">
        <f t="shared" ca="1" si="31"/>
        <v>1</v>
      </c>
      <c r="D64" s="22">
        <f t="shared" ca="1" si="32"/>
        <v>43000</v>
      </c>
      <c r="E64" s="26">
        <f t="shared" ca="1" si="24"/>
        <v>1</v>
      </c>
      <c r="F64" s="26">
        <f t="shared" ca="1" si="25"/>
        <v>1</v>
      </c>
      <c r="G64" s="26" t="str">
        <f t="shared" si="26"/>
        <v/>
      </c>
      <c r="H64" s="26">
        <f t="shared" ca="1" si="27"/>
        <v>1</v>
      </c>
      <c r="I64" s="26">
        <f t="shared" ca="1" si="28"/>
        <v>1</v>
      </c>
      <c r="J64" s="26">
        <f t="shared" ca="1" si="29"/>
        <v>1</v>
      </c>
      <c r="K64" s="26">
        <f t="shared" ca="1" si="30"/>
        <v>1</v>
      </c>
      <c r="N64" s="22">
        <f t="shared" ca="1" si="33"/>
        <v>43000</v>
      </c>
      <c r="O64" s="10" t="str">
        <f t="shared" ca="1" si="22"/>
        <v>Missing Penalty</v>
      </c>
      <c r="P64" s="25">
        <v>0</v>
      </c>
      <c r="Q64" s="25">
        <v>0</v>
      </c>
      <c r="R64" s="25"/>
      <c r="S64" s="25">
        <v>0</v>
      </c>
      <c r="T64" s="25">
        <v>0</v>
      </c>
      <c r="U64" s="25">
        <v>0</v>
      </c>
      <c r="V64" s="25">
        <v>0</v>
      </c>
      <c r="X64" s="6"/>
    </row>
    <row r="65" spans="3:24">
      <c r="C65" s="12">
        <f t="shared" ca="1" si="31"/>
        <v>1</v>
      </c>
      <c r="D65" s="22">
        <f t="shared" ca="1" si="32"/>
        <v>43007</v>
      </c>
      <c r="E65" s="26">
        <f t="shared" ca="1" si="24"/>
        <v>1</v>
      </c>
      <c r="F65" s="26">
        <f t="shared" ca="1" si="25"/>
        <v>1</v>
      </c>
      <c r="G65" s="26" t="str">
        <f t="shared" si="26"/>
        <v/>
      </c>
      <c r="H65" s="26">
        <f t="shared" ca="1" si="27"/>
        <v>0</v>
      </c>
      <c r="I65" s="26">
        <f t="shared" ca="1" si="28"/>
        <v>1</v>
      </c>
      <c r="J65" s="26">
        <f t="shared" ca="1" si="29"/>
        <v>1</v>
      </c>
      <c r="K65" s="26">
        <f t="shared" ca="1" si="30"/>
        <v>1</v>
      </c>
      <c r="N65" s="22">
        <f t="shared" ca="1" si="33"/>
        <v>43007</v>
      </c>
      <c r="O65" s="10" t="str">
        <f t="shared" ca="1" si="22"/>
        <v>Missing Penalty</v>
      </c>
      <c r="P65" s="25">
        <v>0</v>
      </c>
      <c r="Q65" s="25">
        <v>0</v>
      </c>
      <c r="R65" s="25"/>
      <c r="S65" s="25">
        <v>10</v>
      </c>
      <c r="T65" s="25">
        <v>0</v>
      </c>
      <c r="U65" s="25">
        <v>0</v>
      </c>
      <c r="V65" s="25">
        <v>0</v>
      </c>
      <c r="X65" s="6"/>
    </row>
    <row r="66" spans="3:24">
      <c r="C66" s="12">
        <f t="shared" ca="1" si="31"/>
        <v>1</v>
      </c>
      <c r="D66" s="22">
        <f t="shared" ca="1" si="32"/>
        <v>43014</v>
      </c>
      <c r="E66" s="26">
        <f t="shared" ca="1" si="24"/>
        <v>1</v>
      </c>
      <c r="F66" s="26">
        <f t="shared" ca="1" si="25"/>
        <v>0</v>
      </c>
      <c r="G66" s="26" t="str">
        <f t="shared" si="26"/>
        <v/>
      </c>
      <c r="H66" s="26">
        <f t="shared" ca="1" si="27"/>
        <v>1</v>
      </c>
      <c r="I66" s="26">
        <f t="shared" ca="1" si="28"/>
        <v>1</v>
      </c>
      <c r="J66" s="26">
        <f t="shared" ca="1" si="29"/>
        <v>0</v>
      </c>
      <c r="K66" s="26">
        <f t="shared" ca="1" si="30"/>
        <v>1</v>
      </c>
      <c r="N66" s="22">
        <f t="shared" ca="1" si="33"/>
        <v>43014</v>
      </c>
      <c r="O66" s="10" t="str">
        <f t="shared" ca="1" si="22"/>
        <v>Missing Penalty</v>
      </c>
      <c r="P66" s="25">
        <v>0</v>
      </c>
      <c r="Q66" s="25">
        <v>10</v>
      </c>
      <c r="R66" s="25"/>
      <c r="S66" s="25">
        <v>0</v>
      </c>
      <c r="T66" s="25">
        <v>0</v>
      </c>
      <c r="U66" s="25">
        <v>10</v>
      </c>
      <c r="V66" s="25">
        <v>0</v>
      </c>
      <c r="X66" s="6"/>
    </row>
    <row r="67" spans="3:24">
      <c r="C67" s="12">
        <f t="shared" ca="1" si="31"/>
        <v>1</v>
      </c>
      <c r="D67" s="22">
        <f t="shared" ca="1" si="32"/>
        <v>43021</v>
      </c>
      <c r="E67" s="26">
        <f t="shared" ca="1" si="24"/>
        <v>1</v>
      </c>
      <c r="F67" s="26">
        <f t="shared" ca="1" si="25"/>
        <v>0</v>
      </c>
      <c r="G67" s="26" t="str">
        <f t="shared" si="26"/>
        <v/>
      </c>
      <c r="H67" s="26">
        <f t="shared" ca="1" si="27"/>
        <v>0</v>
      </c>
      <c r="I67" s="26">
        <f t="shared" ca="1" si="28"/>
        <v>0</v>
      </c>
      <c r="J67" s="26">
        <f t="shared" ca="1" si="29"/>
        <v>1</v>
      </c>
      <c r="K67" s="26">
        <f t="shared" ca="1" si="30"/>
        <v>1</v>
      </c>
      <c r="N67" s="22">
        <f t="shared" ca="1" si="33"/>
        <v>43021</v>
      </c>
      <c r="O67" s="10" t="str">
        <f t="shared" ca="1" si="22"/>
        <v>Missing Penalty</v>
      </c>
      <c r="P67" s="25">
        <v>0</v>
      </c>
      <c r="Q67" s="25">
        <v>10</v>
      </c>
      <c r="R67" s="25"/>
      <c r="S67" s="25">
        <v>10</v>
      </c>
      <c r="T67" s="25">
        <v>10</v>
      </c>
      <c r="U67" s="25">
        <v>0</v>
      </c>
      <c r="V67" s="25">
        <v>0</v>
      </c>
      <c r="X67" s="6"/>
    </row>
    <row r="68" spans="3:24">
      <c r="C68" s="12">
        <f t="shared" ca="1" si="31"/>
        <v>1</v>
      </c>
      <c r="D68" s="22">
        <f t="shared" ca="1" si="32"/>
        <v>43028</v>
      </c>
      <c r="E68" s="26">
        <f t="shared" ca="1" si="24"/>
        <v>1</v>
      </c>
      <c r="F68" s="26">
        <f t="shared" ca="1" si="25"/>
        <v>0</v>
      </c>
      <c r="G68" s="26" t="str">
        <f t="shared" si="26"/>
        <v/>
      </c>
      <c r="H68" s="26">
        <f t="shared" ca="1" si="27"/>
        <v>1</v>
      </c>
      <c r="I68" s="26">
        <f t="shared" ca="1" si="28"/>
        <v>1</v>
      </c>
      <c r="J68" s="26">
        <f t="shared" ca="1" si="29"/>
        <v>1</v>
      </c>
      <c r="K68" s="26">
        <f t="shared" ca="1" si="30"/>
        <v>1</v>
      </c>
      <c r="N68" s="22">
        <f t="shared" ca="1" si="33"/>
        <v>43028</v>
      </c>
      <c r="O68" s="10" t="str">
        <f t="shared" ca="1" si="22"/>
        <v>Missing Penalty</v>
      </c>
      <c r="P68" s="25">
        <v>0</v>
      </c>
      <c r="Q68" s="25">
        <v>10</v>
      </c>
      <c r="R68" s="25"/>
      <c r="S68" s="25">
        <v>0</v>
      </c>
      <c r="T68" s="25">
        <v>0</v>
      </c>
      <c r="U68" s="25">
        <v>0</v>
      </c>
      <c r="V68" s="25">
        <v>0</v>
      </c>
      <c r="X68" s="6"/>
    </row>
    <row r="69" spans="3:24">
      <c r="C69" s="12">
        <f t="shared" ca="1" si="31"/>
        <v>1</v>
      </c>
      <c r="D69" s="22">
        <f t="shared" ca="1" si="32"/>
        <v>43035</v>
      </c>
      <c r="E69" s="26">
        <f t="shared" ca="1" si="24"/>
        <v>0</v>
      </c>
      <c r="F69" s="26">
        <f t="shared" ca="1" si="25"/>
        <v>1</v>
      </c>
      <c r="G69" s="26" t="str">
        <f t="shared" si="26"/>
        <v/>
      </c>
      <c r="H69" s="26">
        <f t="shared" ca="1" si="27"/>
        <v>1</v>
      </c>
      <c r="I69" s="26">
        <f t="shared" ca="1" si="28"/>
        <v>1</v>
      </c>
      <c r="J69" s="26">
        <f t="shared" ca="1" si="29"/>
        <v>1</v>
      </c>
      <c r="K69" s="26">
        <f t="shared" ca="1" si="30"/>
        <v>0</v>
      </c>
      <c r="N69" s="22">
        <f t="shared" ca="1" si="33"/>
        <v>43035</v>
      </c>
      <c r="O69" s="10" t="str">
        <f t="shared" ca="1" si="22"/>
        <v>Missing Penalty</v>
      </c>
      <c r="P69" s="25">
        <v>10</v>
      </c>
      <c r="Q69" s="25">
        <v>0</v>
      </c>
      <c r="R69" s="25"/>
      <c r="S69" s="25">
        <v>0</v>
      </c>
      <c r="T69" s="25">
        <v>0</v>
      </c>
      <c r="U69" s="25">
        <v>0</v>
      </c>
      <c r="V69" s="25">
        <v>10</v>
      </c>
      <c r="X69" s="6"/>
    </row>
    <row r="70" spans="3:24">
      <c r="C70" s="12">
        <f t="shared" ca="1" si="31"/>
        <v>1</v>
      </c>
      <c r="D70" s="22">
        <f t="shared" ca="1" si="32"/>
        <v>43042</v>
      </c>
      <c r="E70" s="26">
        <f t="shared" ca="1" si="24"/>
        <v>1</v>
      </c>
      <c r="F70" s="26">
        <f t="shared" ca="1" si="25"/>
        <v>1</v>
      </c>
      <c r="G70" s="26" t="str">
        <f t="shared" si="26"/>
        <v/>
      </c>
      <c r="H70" s="26">
        <f t="shared" ca="1" si="27"/>
        <v>1</v>
      </c>
      <c r="I70" s="26">
        <f t="shared" ca="1" si="28"/>
        <v>0</v>
      </c>
      <c r="J70" s="26">
        <f t="shared" ca="1" si="29"/>
        <v>1</v>
      </c>
      <c r="K70" s="26">
        <f t="shared" ca="1" si="30"/>
        <v>1</v>
      </c>
      <c r="N70" s="22">
        <f t="shared" ca="1" si="33"/>
        <v>43042</v>
      </c>
      <c r="O70" s="10" t="str">
        <f t="shared" ca="1" si="22"/>
        <v>Missing Penalty</v>
      </c>
      <c r="P70" s="25">
        <v>0</v>
      </c>
      <c r="Q70" s="25">
        <v>0</v>
      </c>
      <c r="R70" s="25"/>
      <c r="S70" s="25">
        <v>0</v>
      </c>
      <c r="T70" s="25">
        <v>10</v>
      </c>
      <c r="U70" s="25">
        <v>0</v>
      </c>
      <c r="V70" s="25">
        <v>0</v>
      </c>
      <c r="X70" s="6"/>
    </row>
    <row r="71" spans="3:24">
      <c r="C71" s="12">
        <f t="shared" ca="1" si="31"/>
        <v>1</v>
      </c>
      <c r="D71" s="22">
        <f t="shared" ca="1" si="32"/>
        <v>43049</v>
      </c>
      <c r="E71" s="26">
        <f t="shared" ca="1" si="24"/>
        <v>0</v>
      </c>
      <c r="F71" s="26">
        <f t="shared" ca="1" si="25"/>
        <v>1</v>
      </c>
      <c r="G71" s="26" t="str">
        <f t="shared" si="26"/>
        <v/>
      </c>
      <c r="H71" s="26">
        <f t="shared" ca="1" si="27"/>
        <v>1</v>
      </c>
      <c r="I71" s="26">
        <f t="shared" ca="1" si="28"/>
        <v>1</v>
      </c>
      <c r="J71" s="26">
        <f t="shared" ca="1" si="29"/>
        <v>1</v>
      </c>
      <c r="K71" s="26">
        <f t="shared" ca="1" si="30"/>
        <v>1</v>
      </c>
      <c r="N71" s="22">
        <f t="shared" ca="1" si="33"/>
        <v>43049</v>
      </c>
      <c r="O71" s="10" t="str">
        <f t="shared" ca="1" si="22"/>
        <v>Missing Penalty</v>
      </c>
      <c r="P71" s="25">
        <v>10</v>
      </c>
      <c r="Q71" s="25">
        <v>0</v>
      </c>
      <c r="R71" s="25"/>
      <c r="S71" s="25">
        <v>0</v>
      </c>
      <c r="T71" s="25">
        <v>0</v>
      </c>
      <c r="U71" s="25">
        <v>0</v>
      </c>
      <c r="V71" s="25">
        <v>0</v>
      </c>
      <c r="X71" s="6"/>
    </row>
    <row r="72" spans="3:24">
      <c r="C72" s="12">
        <f t="shared" ca="1" si="31"/>
        <v>1</v>
      </c>
      <c r="D72" s="22">
        <f t="shared" ca="1" si="32"/>
        <v>43056</v>
      </c>
      <c r="E72" s="26">
        <f t="shared" ca="1" si="24"/>
        <v>0</v>
      </c>
      <c r="F72" s="26">
        <f t="shared" ca="1" si="25"/>
        <v>0</v>
      </c>
      <c r="G72" s="26" t="str">
        <f t="shared" si="26"/>
        <v/>
      </c>
      <c r="H72" s="26">
        <f t="shared" ca="1" si="27"/>
        <v>0</v>
      </c>
      <c r="I72" s="26">
        <f t="shared" ca="1" si="28"/>
        <v>0</v>
      </c>
      <c r="J72" s="26">
        <f t="shared" ca="1" si="29"/>
        <v>0</v>
      </c>
      <c r="K72" s="26">
        <f t="shared" ca="1" si="30"/>
        <v>0</v>
      </c>
      <c r="N72" s="22">
        <f t="shared" ca="1" si="33"/>
        <v>43056</v>
      </c>
      <c r="O72" s="10" t="str">
        <f t="shared" ca="1" si="22"/>
        <v>Missing Penalty</v>
      </c>
      <c r="P72" s="25">
        <v>10</v>
      </c>
      <c r="Q72" s="25">
        <v>10</v>
      </c>
      <c r="R72" s="25"/>
      <c r="S72" s="25">
        <v>10</v>
      </c>
      <c r="T72" s="25">
        <v>10</v>
      </c>
      <c r="U72" s="25">
        <v>10</v>
      </c>
      <c r="V72" s="25">
        <v>10</v>
      </c>
      <c r="X72" s="6"/>
    </row>
    <row r="73" spans="3:24">
      <c r="C73" s="12">
        <f t="shared" ca="1" si="31"/>
        <v>1</v>
      </c>
      <c r="D73" s="22">
        <f t="shared" ca="1" si="32"/>
        <v>43063</v>
      </c>
      <c r="E73" s="26">
        <f t="shared" ca="1" si="24"/>
        <v>1</v>
      </c>
      <c r="F73" s="26">
        <f t="shared" ca="1" si="25"/>
        <v>1</v>
      </c>
      <c r="G73" s="26">
        <f t="shared" ca="1" si="26"/>
        <v>1</v>
      </c>
      <c r="H73" s="26">
        <f t="shared" ca="1" si="27"/>
        <v>1</v>
      </c>
      <c r="I73" s="26">
        <f t="shared" ca="1" si="28"/>
        <v>1</v>
      </c>
      <c r="J73" s="26">
        <f t="shared" ca="1" si="29"/>
        <v>1</v>
      </c>
      <c r="K73" s="26">
        <f t="shared" ca="1" si="30"/>
        <v>1</v>
      </c>
      <c r="N73" s="22">
        <f t="shared" ca="1" si="33"/>
        <v>43063</v>
      </c>
      <c r="O73" s="10" t="str">
        <f t="shared" ca="1" si="22"/>
        <v>Missing Penalty</v>
      </c>
      <c r="P73" s="25">
        <v>0</v>
      </c>
      <c r="Q73" s="25">
        <v>0</v>
      </c>
      <c r="R73" s="25">
        <v>0</v>
      </c>
      <c r="S73" s="25">
        <v>0</v>
      </c>
      <c r="T73" s="25">
        <v>0</v>
      </c>
      <c r="U73" s="25">
        <v>0</v>
      </c>
      <c r="V73" s="25">
        <v>0</v>
      </c>
      <c r="X73" s="6"/>
    </row>
  </sheetData>
  <conditionalFormatting sqref="E25:K25">
    <cfRule type="cellIs" dxfId="6" priority="218" operator="greaterThan">
      <formula>1</formula>
    </cfRule>
  </conditionalFormatting>
  <conditionalFormatting sqref="E25:K40">
    <cfRule type="cellIs" dxfId="5" priority="7" operator="equal">
      <formula>0</formula>
    </cfRule>
  </conditionalFormatting>
  <conditionalFormatting sqref="E26:K40">
    <cfRule type="cellIs" dxfId="4" priority="8" operator="equal">
      <formula>1</formula>
    </cfRule>
  </conditionalFormatting>
  <conditionalFormatting sqref="E42:K73">
    <cfRule type="cellIs" dxfId="3" priority="215" operator="equal">
      <formula>0</formula>
    </cfRule>
    <cfRule type="cellIs" dxfId="2" priority="216" operator="equal">
      <formula>1</formula>
    </cfRule>
  </conditionalFormatting>
  <conditionalFormatting sqref="P24:V73">
    <cfRule type="cellIs" dxfId="1" priority="1" operator="equal">
      <formula>0</formula>
    </cfRule>
    <cfRule type="cellIs" dxfId="0" priority="2" operator="greaterThan">
      <formula>0</formula>
    </cfRule>
  </conditionalFormatting>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5dba4941-8b86-4e5a-8b12-62b8720636f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480765981B40D49A7A5CDAD68E19309" ma:contentTypeVersion="12" ma:contentTypeDescription="Create a new document." ma:contentTypeScope="" ma:versionID="03a23787cbab1c364b4a6febfaaf79b9">
  <xsd:schema xmlns:xsd="http://www.w3.org/2001/XMLSchema" xmlns:xs="http://www.w3.org/2001/XMLSchema" xmlns:p="http://schemas.microsoft.com/office/2006/metadata/properties" xmlns:ns3="c16ae34b-78ae-47ec-a8be-856f1f85e6de" xmlns:ns4="5dba4941-8b86-4e5a-8b12-62b8720636f8" targetNamespace="http://schemas.microsoft.com/office/2006/metadata/properties" ma:root="true" ma:fieldsID="3fc98b2f877bbb76983453a61d0cc806" ns3:_="" ns4:_="">
    <xsd:import namespace="c16ae34b-78ae-47ec-a8be-856f1f85e6de"/>
    <xsd:import namespace="5dba4941-8b86-4e5a-8b12-62b8720636f8"/>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GenerationTime" minOccurs="0"/>
                <xsd:element ref="ns4:MediaServiceEventHashCode" minOccurs="0"/>
                <xsd:element ref="ns4:_activity"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6ae34b-78ae-47ec-a8be-856f1f85e6d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dba4941-8b86-4e5a-8b12-62b8720636f8"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87608E-47B1-4D93-8093-56F867166C72}">
  <ds:schemaRefs>
    <ds:schemaRef ds:uri="http://schemas.microsoft.com/sharepoint/v3/contenttype/forms"/>
  </ds:schemaRefs>
</ds:datastoreItem>
</file>

<file path=customXml/itemProps2.xml><?xml version="1.0" encoding="utf-8"?>
<ds:datastoreItem xmlns:ds="http://schemas.openxmlformats.org/officeDocument/2006/customXml" ds:itemID="{44FF3EAF-130C-499E-8A00-F2AD978009EE}">
  <ds:schemaRefs>
    <ds:schemaRef ds:uri="5dba4941-8b86-4e5a-8b12-62b8720636f8"/>
    <ds:schemaRef ds:uri="http://schemas.microsoft.com/office/2006/documentManagement/types"/>
    <ds:schemaRef ds:uri="http://purl.org/dc/elements/1.1/"/>
    <ds:schemaRef ds:uri="http://www.w3.org/XML/1998/namespace"/>
    <ds:schemaRef ds:uri="http://purl.org/dc/terms/"/>
    <ds:schemaRef ds:uri="http://schemas.microsoft.com/office/infopath/2007/PartnerControls"/>
    <ds:schemaRef ds:uri="http://schemas.openxmlformats.org/package/2006/metadata/core-properties"/>
    <ds:schemaRef ds:uri="c16ae34b-78ae-47ec-a8be-856f1f85e6de"/>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48DF21B1-6A58-4BA8-B755-95785E8984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6ae34b-78ae-47ec-a8be-856f1f85e6de"/>
    <ds:schemaRef ds:uri="5dba4941-8b86-4e5a-8b12-62b8720636f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Graphs</vt:lpstr>
      <vt:lpstr>Stats 2026</vt:lpstr>
      <vt:lpstr>All-time DF Stats</vt:lpstr>
      <vt:lpstr>Executive Summary für dä JWU</vt:lpstr>
      <vt:lpstr>Participation</vt:lpstr>
      <vt:lpstr>CBO Behauptet</vt:lpstr>
      <vt:lpstr>Wär isch dä Bescht</vt:lpstr>
      <vt:lpstr>Stats 2025</vt:lpstr>
      <vt:lpstr>Stats 2024</vt:lpstr>
      <vt:lpstr>Stats 2023</vt:lpstr>
      <vt:lpstr>Stats 2022</vt:lpstr>
      <vt:lpstr>Stats 2021</vt:lpstr>
      <vt:lpstr>Stats 2020</vt:lpstr>
      <vt:lpstr>Stats 2019</vt:lpstr>
      <vt:lpstr>Stats 2018</vt:lpstr>
      <vt:lpstr>Stats 2017</vt:lpstr>
    </vt:vector>
  </TitlesOfParts>
  <Company>mediait.ch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Wuillemin Joel</dc:creator>
  <cp:lastModifiedBy>Matthias Storz</cp:lastModifiedBy>
  <dcterms:created xsi:type="dcterms:W3CDTF">2016-04-19T12:52:17Z</dcterms:created>
  <dcterms:modified xsi:type="dcterms:W3CDTF">2026-10-09T05:34:05Z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IQPDocumentId">
    <vt:lpwstr>f68c3597-7415-4db4-b965-892b89c8a563</vt:lpwstr>
  </property>
  <property fmtid="{D5CDD505-2E9C-101B-9397-08002B2CF9AE}" pid="3" name="_NewReviewCycle">
    <vt:lpwstr/>
  </property>
  <property fmtid="{D5CDD505-2E9C-101B-9397-08002B2CF9AE}" pid="4" name="_SIProp12DataClass+304a34c9-5b17-4e2a-bdc3-dec6a43f35e7">
    <vt:lpwstr>v=1.2&gt;I=304a34c9-5b17-4e2a-bdc3-dec6a43f35e7&amp;N=Unrestricted&amp;V=1.3&amp;U=S-1-5-21-3718294971-3193642644-4012788348-593487&amp;D=Storz%2c+Matthias+(WJPA+9)&amp;A=Associated&amp;H=False</vt:lpwstr>
  </property>
  <property fmtid="{D5CDD505-2E9C-101B-9397-08002B2CF9AE}" pid="5" name="Classification">
    <vt:lpwstr>Unrestricted</vt:lpwstr>
  </property>
  <property fmtid="{D5CDD505-2E9C-101B-9397-08002B2CF9AE}" pid="6" name="ContentTypeId">
    <vt:lpwstr>0x010100A480765981B40D49A7A5CDAD68E19309</vt:lpwstr>
  </property>
  <property fmtid="{D5CDD505-2E9C-101B-9397-08002B2CF9AE}" pid="7" name="MSIP_Label_f2e75c35-086a-43e5-9d36-8395f0217eb6_Enabled">
    <vt:lpwstr>true</vt:lpwstr>
  </property>
  <property fmtid="{D5CDD505-2E9C-101B-9397-08002B2CF9AE}" pid="8" name="MSIP_Label_f2e75c35-086a-43e5-9d36-8395f0217eb6_SetDate">
    <vt:lpwstr>2026-07-20T14:17:17Z</vt:lpwstr>
  </property>
  <property fmtid="{D5CDD505-2E9C-101B-9397-08002B2CF9AE}" pid="9" name="MSIP_Label_f2e75c35-086a-43e5-9d36-8395f0217eb6_Method">
    <vt:lpwstr>Privileged</vt:lpwstr>
  </property>
  <property fmtid="{D5CDD505-2E9C-101B-9397-08002B2CF9AE}" pid="10" name="MSIP_Label_f2e75c35-086a-43e5-9d36-8395f0217eb6_Name">
    <vt:lpwstr>f2e75c35-086a-43e5-9d36-8395f0217eb6</vt:lpwstr>
  </property>
  <property fmtid="{D5CDD505-2E9C-101B-9397-08002B2CF9AE}" pid="11" name="MSIP_Label_f2e75c35-086a-43e5-9d36-8395f0217eb6_SiteId">
    <vt:lpwstr>ce44b3bf-8688-466f-b7fe-45d4fca206fe</vt:lpwstr>
  </property>
  <property fmtid="{D5CDD505-2E9C-101B-9397-08002B2CF9AE}" pid="12" name="MSIP_Label_f2e75c35-086a-43e5-9d36-8395f0217eb6_ActionId">
    <vt:lpwstr>9e22b7b3-692f-402d-813c-ca5757094536</vt:lpwstr>
  </property>
  <property fmtid="{D5CDD505-2E9C-101B-9397-08002B2CF9AE}" pid="13" name="MSIP_Label_f2e75c35-086a-43e5-9d36-8395f0217eb6_ContentBits">
    <vt:lpwstr>0</vt:lpwstr>
  </property>
  <property fmtid="{D5CDD505-2E9C-101B-9397-08002B2CF9AE}" pid="14" name="MSIP_Label_f2e75c35-086a-43e5-9d36-8395f0217eb6_Tag">
    <vt:lpwstr>10, 0, 1, 1</vt:lpwstr>
  </property>
</Properties>
</file>