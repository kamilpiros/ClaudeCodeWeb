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G:\WSI\Team\Sascha\00 -Admin\DF\"/>
    </mc:Choice>
  </mc:AlternateContent>
  <xr:revisionPtr revIDLastSave="0" documentId="13_ncr:1_{5303982C-A774-40CE-BADC-923659305729}" xr6:coauthVersionLast="47" xr6:coauthVersionMax="47" xr10:uidLastSave="{00000000-0000-0000-0000-000000000000}"/>
  <bookViews>
    <workbookView xWindow="25490" yWindow="-110" windowWidth="25820" windowHeight="21100"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3" i="18" l="1"/>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I20" i="18" s="1"/>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S20" i="18" l="1"/>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<sst xmlns="http://schemas.openxmlformats.org/spreadsheetml/2006/main" count="1922" uniqueCount="393">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</sst>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409.00079999999991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338.00058000000001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366.00045999999998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399.00072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215.00045999999995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0.83333666666666661</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0.76666966666666669</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0.43333499999999997</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0.60000066666666663</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0.50000166666666668</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0.46666866666666668</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0.60000205555555564</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jpe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6.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7.jpeg"/><Relationship Id="rId15" Type="http://schemas.openxmlformats.org/officeDocument/2006/relationships/image" Target="../media/image18.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19.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8.png"/><Relationship Id="rId18" Type="http://schemas.openxmlformats.org/officeDocument/2006/relationships/image" Target="../media/image24.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3.png"/><Relationship Id="rId5" Type="http://schemas.openxmlformats.org/officeDocument/2006/relationships/image" Target="../media/image20.jpeg"/><Relationship Id="rId15" Type="http://schemas.openxmlformats.org/officeDocument/2006/relationships/image" Target="../media/image9.png"/><Relationship Id="rId10" Type="http://schemas.openxmlformats.org/officeDocument/2006/relationships/image" Target="../media/image22.png"/><Relationship Id="rId19" Type="http://schemas.openxmlformats.org/officeDocument/2006/relationships/image" Target="../media/image14.jpeg"/><Relationship Id="rId4" Type="http://schemas.openxmlformats.org/officeDocument/2006/relationships/image" Target="../media/image6.png"/><Relationship Id="rId9" Type="http://schemas.openxmlformats.org/officeDocument/2006/relationships/image" Target="../media/image21.jpeg"/><Relationship Id="rId14"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1.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8.png"/><Relationship Id="rId12" Type="http://schemas.openxmlformats.org/officeDocument/2006/relationships/image" Target="../media/image7.png"/><Relationship Id="rId17" Type="http://schemas.openxmlformats.org/officeDocument/2006/relationships/image" Target="../media/image13.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3.png"/><Relationship Id="rId5" Type="http://schemas.openxmlformats.org/officeDocument/2006/relationships/image" Target="../media/image25.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0.jpeg"/><Relationship Id="rId9" Type="http://schemas.openxmlformats.org/officeDocument/2006/relationships/image" Target="../media/image22.png"/><Relationship Id="rId14" Type="http://schemas.openxmlformats.org/officeDocument/2006/relationships/image" Target="../media/image12.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3.png"/><Relationship Id="rId17" Type="http://schemas.openxmlformats.org/officeDocument/2006/relationships/image" Target="../media/image28.jfif"/><Relationship Id="rId2" Type="http://schemas.openxmlformats.org/officeDocument/2006/relationships/image" Target="../media/image5.png"/><Relationship Id="rId16" Type="http://schemas.openxmlformats.org/officeDocument/2006/relationships/image" Target="../media/image27.png"/><Relationship Id="rId1" Type="http://schemas.openxmlformats.org/officeDocument/2006/relationships/image" Target="../media/image3.png"/><Relationship Id="rId6" Type="http://schemas.openxmlformats.org/officeDocument/2006/relationships/image" Target="../media/image25.jpeg"/><Relationship Id="rId11" Type="http://schemas.openxmlformats.org/officeDocument/2006/relationships/image" Target="../media/image10.png"/><Relationship Id="rId5" Type="http://schemas.openxmlformats.org/officeDocument/2006/relationships/image" Target="../media/image20.jpeg"/><Relationship Id="rId15" Type="http://schemas.openxmlformats.org/officeDocument/2006/relationships/image" Target="../media/image8.pn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 Id="rId14" Type="http://schemas.openxmlformats.org/officeDocument/2006/relationships/image" Target="../media/image12.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9.jpeg"/><Relationship Id="rId5" Type="http://schemas.openxmlformats.org/officeDocument/2006/relationships/image" Target="../media/image20.jpeg"/><Relationship Id="rId10" Type="http://schemas.openxmlformats.org/officeDocument/2006/relationships/image" Target="../media/image22.png"/><Relationship Id="rId4" Type="http://schemas.openxmlformats.org/officeDocument/2006/relationships/image" Target="../media/image26.png"/><Relationship Id="rId9" Type="http://schemas.openxmlformats.org/officeDocument/2006/relationships/image" Target="../media/image21.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2.png"/><Relationship Id="rId7" Type="http://schemas.openxmlformats.org/officeDocument/2006/relationships/image" Target="../media/image30.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0.jpeg"/><Relationship Id="rId5" Type="http://schemas.openxmlformats.org/officeDocument/2006/relationships/image" Target="../media/image26.png"/><Relationship Id="rId10" Type="http://schemas.openxmlformats.org/officeDocument/2006/relationships/image" Target="../media/image21.jpeg"/><Relationship Id="rId4" Type="http://schemas.openxmlformats.org/officeDocument/2006/relationships/image" Target="../media/image6.png"/><Relationship Id="rId9"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0.jpeg"/><Relationship Id="rId3" Type="http://schemas.openxmlformats.org/officeDocument/2006/relationships/image" Target="../media/image22.png"/><Relationship Id="rId7" Type="http://schemas.openxmlformats.org/officeDocument/2006/relationships/image" Target="../media/image26.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3.jpeg"/><Relationship Id="rId5" Type="http://schemas.openxmlformats.org/officeDocument/2006/relationships/image" Target="../media/image31.jpeg"/><Relationship Id="rId10" Type="http://schemas.openxmlformats.org/officeDocument/2006/relationships/image" Target="../media/image18.png"/><Relationship Id="rId4" Type="http://schemas.openxmlformats.org/officeDocument/2006/relationships/image" Target="../media/image6.png"/><Relationship Id="rId9" Type="http://schemas.openxmlformats.org/officeDocument/2006/relationships/image" Target="../media/image3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954242</xdr:colOff>
      <xdr:row>6</xdr:row>
      <xdr:rowOff>193339</xdr:rowOff>
    </xdr:from>
    <xdr:to>
      <xdr:col>13</xdr:col>
      <xdr:colOff>1178364</xdr:colOff>
      <xdr:row>7</xdr:row>
      <xdr:rowOff>187645</xdr:rowOff>
    </xdr:to>
    <xdr:pic>
      <xdr:nvPicPr>
        <xdr:cNvPr id="48" name="Picture 47">
          <a:extLst>
            <a:ext uri="{FF2B5EF4-FFF2-40B4-BE49-F238E27FC236}">
              <a16:creationId xmlns:a16="http://schemas.microsoft.com/office/drawing/2014/main" id="{24F5EED7-2AE5-4631-9C4B-20D9613ECF70}"/>
            </a:ext>
          </a:extLst>
        </xdr:cNvPr>
        <xdr:cNvPicPr>
          <a:picLocks noChangeAspect="1"/>
        </xdr:cNvPicPr>
      </xdr:nvPicPr>
      <xdr:blipFill>
        <a:blip xmlns:r="http://schemas.openxmlformats.org/officeDocument/2006/relationships" r:embed="rId11"/>
        <a:stretch>
          <a:fillRect/>
        </a:stretch>
      </xdr:blipFill>
      <xdr:spPr>
        <a:xfrm>
          <a:off x="7127082" y="1602079"/>
          <a:ext cx="214597" cy="202442"/>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177741</xdr:colOff>
      <xdr:row>7</xdr:row>
      <xdr:rowOff>18166</xdr:rowOff>
    </xdr:from>
    <xdr:to>
      <xdr:col>2</xdr:col>
      <xdr:colOff>351616</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3108" y="1627696"/>
          <a:ext cx="177050" cy="182881"/>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4</xdr:col>
      <xdr:colOff>704689</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22</xdr:col>
      <xdr:colOff>1130721</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14</xdr:col>
      <xdr:colOff>1154049</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14</xdr:col>
      <xdr:colOff>1149513</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796875" defaultRowHeight="16.5"/>
  <cols>
    <col min="1" max="1" width="13.7265625" style="58" hidden="1" customWidth="1"/>
    <col min="2" max="2" width="14.26953125" style="58" customWidth="1"/>
    <col min="3" max="8" width="10" style="58" customWidth="1"/>
    <col min="9" max="14" width="10" style="58" hidden="1" customWidth="1"/>
    <col min="15" max="15" width="64.36328125" style="58" customWidth="1"/>
    <col min="16" max="16" width="12.1796875" style="58" customWidth="1"/>
    <col min="17" max="23" width="10.1796875" style="58" customWidth="1"/>
    <col min="24" max="24" width="12.36328125" style="58" bestFit="1" customWidth="1"/>
    <col min="25" max="25" width="13.81640625" style="58" customWidth="1"/>
    <col min="26" max="31" width="10.1796875" style="58" customWidth="1"/>
    <col min="32" max="32" width="9.1796875" style="58"/>
    <col min="39" max="45" width="8.54296875" style="58" customWidth="1"/>
    <col min="46" max="16384" width="9.17968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70" zoomScaleNormal="70" zoomScaleSheetLayoutView="70" workbookViewId="0">
      <pane xSplit="14" ySplit="23" topLeftCell="O47" activePane="bottomRight" state="frozen"/>
      <selection pane="topRight" activeCell="P1" sqref="P1"/>
      <selection pane="bottomLeft" activeCell="A24" sqref="A24"/>
      <selection pane="bottomRight" activeCell="M54" sqref="M54"/>
    </sheetView>
  </sheetViews>
  <sheetFormatPr defaultColWidth="11.36328125" defaultRowHeight="16.5"/>
  <cols>
    <col min="1" max="1" width="4" style="1" customWidth="1"/>
    <col min="2" max="2" width="5.1796875" style="210" customWidth="1"/>
    <col min="3" max="3" width="7.26953125" style="2" customWidth="1"/>
    <col min="4" max="4" width="12.54296875" style="1" customWidth="1"/>
    <col min="5" max="5" width="10.26953125" style="1" bestFit="1" customWidth="1"/>
    <col min="6" max="6" width="7.1796875" style="1" customWidth="1"/>
    <col min="7" max="7" width="7.453125" style="1" customWidth="1"/>
    <col min="8" max="9" width="7.1796875" style="1" customWidth="1"/>
    <col min="10" max="10" width="7.632812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211"/>
      <c r="C5" s="7" t="s">
        <v>13</v>
      </c>
      <c r="D5" s="8"/>
      <c r="E5" s="8"/>
      <c r="F5" s="8"/>
      <c r="G5" s="8"/>
      <c r="H5" s="8"/>
      <c r="I5" s="9"/>
      <c r="J5" s="9"/>
      <c r="L5" s="6"/>
      <c r="M5" s="31" t="s">
        <v>14</v>
      </c>
      <c r="N5" s="8"/>
      <c r="O5" s="234" t="s">
        <v>31</v>
      </c>
      <c r="P5" s="234"/>
      <c r="Q5" s="234"/>
      <c r="R5" s="234"/>
      <c r="S5" s="235"/>
      <c r="T5" s="236">
        <f>W16</f>
        <v>6326.5</v>
      </c>
      <c r="U5" s="237"/>
      <c r="V5" s="238" t="s">
        <v>53</v>
      </c>
      <c r="W5" s="239"/>
      <c r="X5" s="238" t="s">
        <v>57</v>
      </c>
      <c r="Y5" s="239"/>
      <c r="Z5" s="238" t="s">
        <v>62</v>
      </c>
      <c r="AA5" s="239"/>
    </row>
    <row r="6" spans="2:27" ht="23.25" customHeight="1">
      <c r="B6" s="211"/>
      <c r="L6" s="6"/>
      <c r="V6" s="240"/>
      <c r="W6" s="241"/>
      <c r="X6" s="240"/>
      <c r="Y6" s="241"/>
      <c r="Z6" s="240"/>
      <c r="AA6" s="241"/>
    </row>
    <row r="7" spans="2:27" ht="17">
      <c r="B7" s="33" t="s">
        <v>332</v>
      </c>
      <c r="C7" s="33" t="s">
        <v>6</v>
      </c>
      <c r="D7" s="33" t="s">
        <v>7</v>
      </c>
      <c r="E7" s="35" t="s">
        <v>8</v>
      </c>
      <c r="F7" s="35" t="s">
        <v>9</v>
      </c>
      <c r="I7" s="11"/>
      <c r="J7" s="11"/>
      <c r="L7" s="6"/>
      <c r="N7" s="33" t="s">
        <v>6</v>
      </c>
      <c r="O7" s="68" t="s">
        <v>16</v>
      </c>
      <c r="P7" s="68" t="s">
        <v>17</v>
      </c>
      <c r="Q7" s="244" t="s">
        <v>26</v>
      </c>
      <c r="R7" s="244"/>
      <c r="S7" s="245" t="s">
        <v>27</v>
      </c>
      <c r="T7" s="245"/>
      <c r="U7" s="34"/>
      <c r="V7" s="242"/>
      <c r="W7" s="243"/>
      <c r="X7" s="242"/>
      <c r="Y7" s="243"/>
      <c r="Z7" s="242"/>
      <c r="AA7" s="243"/>
    </row>
    <row r="8" spans="2:27" ht="16.5" customHeight="1">
      <c r="B8" s="10">
        <f>RANK(G8,$G$8:$G$13,1)
 + COUNTIFS($G$8:$G$13,G8,$H$8:$H$13,"&gt;"&amp;H8)</f>
        <v>3</v>
      </c>
      <c r="C8" s="12" t="s">
        <v>0</v>
      </c>
      <c r="D8" s="12">
        <f>ROUND(HLOOKUP(C8,$E$18:$J$20,3,FALSE),0)</f>
        <v>18</v>
      </c>
      <c r="E8" s="28">
        <f ca="1">D8/$C$20</f>
        <v>0.6</v>
      </c>
      <c r="F8" s="28">
        <f ca="1">1-E8</f>
        <v>0.4</v>
      </c>
      <c r="G8" s="27">
        <f>RANK(D8,$D$8:$D$13,0)</f>
        <v>3</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4</v>
      </c>
      <c r="C9" s="12" t="s">
        <v>4</v>
      </c>
      <c r="D9" s="12">
        <f t="shared" ref="D9:D13" si="0">ROUND(HLOOKUP(C9,$E$18:$J$20,3,FALSE),0)</f>
        <v>15</v>
      </c>
      <c r="E9" s="28">
        <f t="shared" ref="E9:E10" ca="1" si="1">D9/$C$20</f>
        <v>0.5</v>
      </c>
      <c r="F9" s="28">
        <f ca="1">1-E9</f>
        <v>0.5</v>
      </c>
      <c r="G9" s="27">
        <f>RANK(D9,$D$8:$D$13,0)</f>
        <v>4</v>
      </c>
      <c r="H9" s="27">
        <f>RANK(F21,$E$21:$J$21,0)</f>
        <v>2</v>
      </c>
      <c r="J9"/>
      <c r="L9" s="6"/>
      <c r="N9" s="10" t="s">
        <v>4</v>
      </c>
      <c r="O9" s="13">
        <f>P20</f>
        <v>221.5</v>
      </c>
      <c r="P9" s="13">
        <v>0</v>
      </c>
      <c r="Q9" s="221"/>
      <c r="R9" s="221"/>
      <c r="S9" s="221" t="s">
        <v>18</v>
      </c>
      <c r="T9" s="221"/>
      <c r="V9" s="221" t="s">
        <v>50</v>
      </c>
      <c r="W9" s="221"/>
      <c r="X9" s="221" t="s">
        <v>58</v>
      </c>
      <c r="Y9" s="221"/>
      <c r="Z9" s="221" t="s">
        <v>65</v>
      </c>
      <c r="AA9" s="221"/>
    </row>
    <row r="10" spans="2:27">
      <c r="B10" s="10">
        <f t="shared" ref="B10" si="2">RANK(G10,$G$8:$G$13,1)
 + COUNTIFS($G$8:$G$13,G10,$H$8:$H$13,"&gt;"&amp;H10)</f>
        <v>6</v>
      </c>
      <c r="C10" s="12" t="s">
        <v>1</v>
      </c>
      <c r="D10" s="12">
        <f t="shared" si="0"/>
        <v>13</v>
      </c>
      <c r="E10" s="28">
        <f t="shared" ca="1" si="1"/>
        <v>0.43333333333333335</v>
      </c>
      <c r="F10" s="28">
        <f t="shared" ref="F10" ca="1" si="3">1-E10</f>
        <v>0.56666666666666665</v>
      </c>
      <c r="G10" s="27">
        <f t="shared" ref="G10" si="4">RANK(D10,$D$8:$D$13,0)</f>
        <v>6</v>
      </c>
      <c r="H10" s="27">
        <f>RANK(G21,$E$21:$J$21,0)</f>
        <v>5</v>
      </c>
      <c r="J10"/>
      <c r="L10" s="6"/>
      <c r="M10"/>
      <c r="N10" s="10" t="s">
        <v>3</v>
      </c>
      <c r="O10" s="13">
        <f>S20</f>
        <v>117.5</v>
      </c>
      <c r="P10" s="13">
        <v>0</v>
      </c>
      <c r="Q10" s="221"/>
      <c r="R10" s="221"/>
      <c r="S10" s="221" t="s">
        <v>18</v>
      </c>
      <c r="T10" s="221"/>
      <c r="V10" s="221" t="s">
        <v>49</v>
      </c>
      <c r="W10" s="221"/>
      <c r="X10" s="221" t="s">
        <v>61</v>
      </c>
      <c r="Y10" s="221"/>
      <c r="Z10" s="221" t="s">
        <v>67</v>
      </c>
      <c r="AA10" s="221"/>
    </row>
    <row r="11" spans="2:27">
      <c r="B11" s="10">
        <f>RANK(G11,$G$8:$G$13,1)
 + COUNTIFS($G$8:$G$13,G11,$H$8:$H$13,"&gt;"&amp;H11)</f>
        <v>5</v>
      </c>
      <c r="C11" s="12" t="s">
        <v>2</v>
      </c>
      <c r="D11" s="12">
        <f t="shared" si="0"/>
        <v>14</v>
      </c>
      <c r="E11" s="28">
        <f ca="1">D11/$C$20</f>
        <v>0.46666666666666667</v>
      </c>
      <c r="F11" s="28">
        <f ca="1">1-E11</f>
        <v>0.53333333333333333</v>
      </c>
      <c r="G11" s="27">
        <f>RANK(D11,$D$8:$D$13,0)</f>
        <v>5</v>
      </c>
      <c r="H11" s="27">
        <f>RANK(H21,$E$21:$J$21,0)</f>
        <v>5</v>
      </c>
      <c r="L11" s="6"/>
      <c r="N11" s="10" t="s">
        <v>1</v>
      </c>
      <c r="O11" s="13">
        <f>Q20</f>
        <v>241</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23</v>
      </c>
      <c r="E12" s="28">
        <f ca="1">D12/$C$20</f>
        <v>0.76666666666666672</v>
      </c>
      <c r="F12" s="28">
        <f ca="1">1-E12</f>
        <v>0.23333333333333328</v>
      </c>
      <c r="G12" s="27">
        <f>RANK(D12,$D$8:$D$13,0)</f>
        <v>2</v>
      </c>
      <c r="H12" s="27">
        <f>RANK(I21,$E$21:$J$21,0)</f>
        <v>2</v>
      </c>
      <c r="I12"/>
      <c r="L12" s="6"/>
      <c r="N12" s="10" t="s">
        <v>0</v>
      </c>
      <c r="O12" s="47">
        <f>O20</f>
        <v>179.25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25</v>
      </c>
      <c r="E13" s="28">
        <f ca="1">D13/$C$20</f>
        <v>0.83333333333333337</v>
      </c>
      <c r="F13" s="28">
        <f ca="1">1-E13</f>
        <v>0.16666666666666663</v>
      </c>
      <c r="G13" s="27">
        <f>RANK(D13,$D$8:$D$13,0)</f>
        <v>1</v>
      </c>
      <c r="H13" s="27">
        <f>RANK(J21,$E$21:$J$21,0)</f>
        <v>1</v>
      </c>
      <c r="L13" s="6"/>
      <c r="N13" s="10" t="s">
        <v>22</v>
      </c>
      <c r="O13" s="13">
        <f>T20</f>
        <v>101.25</v>
      </c>
      <c r="P13" s="13">
        <v>0</v>
      </c>
      <c r="Q13" s="221"/>
      <c r="R13" s="221"/>
      <c r="S13" s="221" t="s">
        <v>18</v>
      </c>
      <c r="T13" s="221"/>
      <c r="V13" s="221" t="s">
        <v>52</v>
      </c>
      <c r="W13" s="221"/>
      <c r="X13" s="230" t="s">
        <v>367</v>
      </c>
      <c r="Y13" s="230"/>
      <c r="Z13" s="221" t="s">
        <v>63</v>
      </c>
      <c r="AA13" s="221"/>
    </row>
    <row r="14" spans="2:27" ht="17" thickBot="1">
      <c r="B14" s="211"/>
      <c r="F14" s="63"/>
      <c r="L14" s="6"/>
      <c r="N14" s="29"/>
      <c r="O14" s="29"/>
      <c r="P14" s="29"/>
      <c r="Q14" s="227"/>
      <c r="R14" s="227"/>
      <c r="S14" s="227"/>
      <c r="T14" s="227"/>
      <c r="X14" s="231"/>
      <c r="Y14" s="231"/>
    </row>
    <row r="15" spans="2:27" ht="13.5" customHeight="1" thickBot="1">
      <c r="B15" s="211"/>
      <c r="L15" s="6"/>
      <c r="M15"/>
      <c r="Q15" s="1" t="s">
        <v>366</v>
      </c>
      <c r="S15" s="15">
        <v>1000</v>
      </c>
      <c r="V15" s="139" t="s">
        <v>125</v>
      </c>
      <c r="W15" s="140">
        <f>O16+S16</f>
        <v>5326.5</v>
      </c>
    </row>
    <row r="16" spans="2:27" ht="17.5" thickBot="1">
      <c r="B16" s="211"/>
      <c r="L16" s="6"/>
      <c r="N16" s="14" t="s">
        <v>19</v>
      </c>
      <c r="O16" s="15">
        <f>SUM(O8:O13)</f>
        <v>1088.5</v>
      </c>
      <c r="P16" s="87"/>
      <c r="Q16" s="228" t="s">
        <v>380</v>
      </c>
      <c r="R16" s="229"/>
      <c r="S16" s="15">
        <f>'Stats 2025'!W16-'Stats 2025'!O16-120-S15</f>
        <v>4238</v>
      </c>
      <c r="T16" s="1" t="s">
        <v>379</v>
      </c>
      <c r="V16" s="139" t="s">
        <v>70</v>
      </c>
      <c r="W16" s="140">
        <f>S16+S15+O16</f>
        <v>6326.5</v>
      </c>
    </row>
    <row r="17" spans="2:34" ht="12" customHeight="1">
      <c r="B17" s="211"/>
      <c r="E17" s="27">
        <f t="shared" ref="E17:J17" si="5">RANK(E20,$E20:$J20)</f>
        <v>3</v>
      </c>
      <c r="F17" s="27">
        <f t="shared" si="5"/>
        <v>4</v>
      </c>
      <c r="G17" s="27">
        <f t="shared" si="5"/>
        <v>6</v>
      </c>
      <c r="H17" s="27">
        <f t="shared" si="5"/>
        <v>5</v>
      </c>
      <c r="I17" s="27">
        <f t="shared" si="5"/>
        <v>2</v>
      </c>
      <c r="J17" s="27">
        <f t="shared" si="5"/>
        <v>1</v>
      </c>
      <c r="L17" s="6"/>
      <c r="V17" s="225"/>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6"/>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30</v>
      </c>
      <c r="E20" s="24">
        <f>SUM(E25:E91)+0.00002</f>
        <v>18.000019999999999</v>
      </c>
      <c r="F20" s="24">
        <f>SUM(F25:F91)+0.00005</f>
        <v>15.00005</v>
      </c>
      <c r="G20" s="24">
        <f>SUM(G25:G91)+0.00005</f>
        <v>13.00005</v>
      </c>
      <c r="H20" s="24">
        <f>SUM(H25:H91)+0.00006</f>
        <v>14.00006</v>
      </c>
      <c r="I20" s="24">
        <f>SUM(I25:I91)+0.00009</f>
        <v>23.00009</v>
      </c>
      <c r="J20" s="24">
        <f>SUM(J25:J91)+0.0001</f>
        <v>25.0001</v>
      </c>
      <c r="L20" s="6"/>
      <c r="O20" s="19">
        <f>SUM(O24:O91)</f>
        <v>179.25</v>
      </c>
      <c r="P20" s="19">
        <f t="shared" ref="P20:R20" si="6">SUM(P24:P91)</f>
        <v>221.5</v>
      </c>
      <c r="Q20" s="19">
        <f t="shared" si="6"/>
        <v>241</v>
      </c>
      <c r="R20" s="19">
        <f t="shared" si="6"/>
        <v>228</v>
      </c>
      <c r="S20" s="19">
        <f>SUM(S24:S91)</f>
        <v>117.5</v>
      </c>
      <c r="T20" s="19">
        <f>SUM(T24:T91)</f>
        <v>101.25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3.2502599999999973</v>
      </c>
      <c r="F22" s="214">
        <f t="shared" ref="F22:H22" ca="1" si="7">P20-20-(($C$20-F20)*13)</f>
        <v>6.5006500000000074</v>
      </c>
      <c r="G22" s="214">
        <f ca="1">Q20-20-(($C$20-G20)*13)</f>
        <v>6.5000000000736691E-4</v>
      </c>
      <c r="H22" s="214">
        <f t="shared" ca="1" si="7"/>
        <v>7.7999999999178726E-4</v>
      </c>
      <c r="I22" s="214">
        <f ca="1">S20-20-(($C$20-I20)*13)</f>
        <v>6.5011700000000019</v>
      </c>
      <c r="J22" s="214">
        <f ca="1">T20-20-(($C$20-J20)*13)</f>
        <v>16.251300000000001</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ht="17">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2"/>
      <c r="D25" s="223"/>
      <c r="E25" s="223"/>
      <c r="F25" s="223"/>
      <c r="G25" s="223"/>
      <c r="H25" s="223"/>
      <c r="I25" s="223"/>
      <c r="J25" s="224"/>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22"/>
      <c r="D27" s="223"/>
      <c r="E27" s="223"/>
      <c r="F27" s="223"/>
      <c r="G27" s="223"/>
      <c r="H27" s="223"/>
      <c r="I27" s="223"/>
      <c r="J27" s="224"/>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22"/>
      <c r="D30" s="223"/>
      <c r="E30" s="223"/>
      <c r="F30" s="223"/>
      <c r="G30" s="223"/>
      <c r="H30" s="223"/>
      <c r="I30" s="223"/>
      <c r="J30" s="224"/>
      <c r="M30" s="21">
        <v>46038</v>
      </c>
      <c r="N30" s="10" t="s">
        <v>47</v>
      </c>
      <c r="O30" s="25">
        <v>3.25</v>
      </c>
      <c r="P30" s="25"/>
      <c r="Q30" s="25"/>
      <c r="R30" s="25"/>
      <c r="S30" s="25"/>
      <c r="T30" s="25"/>
      <c r="U30" s="25"/>
      <c r="V30" s="182"/>
      <c r="W30" s="182"/>
      <c r="Z30" s="182"/>
      <c r="AE30" s="63"/>
      <c r="AG30" s="182"/>
      <c r="AH30" s="182"/>
    </row>
    <row r="31" spans="2:34" ht="17">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22"/>
      <c r="D32" s="223"/>
      <c r="E32" s="223"/>
      <c r="F32" s="223"/>
      <c r="G32" s="223"/>
      <c r="H32" s="223"/>
      <c r="I32" s="223"/>
      <c r="J32" s="224"/>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22"/>
      <c r="D35" s="223"/>
      <c r="E35" s="223"/>
      <c r="F35" s="223"/>
      <c r="G35" s="223"/>
      <c r="H35" s="223"/>
      <c r="I35" s="223"/>
      <c r="J35" s="224"/>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22"/>
      <c r="D38" s="223"/>
      <c r="E38" s="223"/>
      <c r="F38" s="223"/>
      <c r="G38" s="223"/>
      <c r="H38" s="223"/>
      <c r="I38" s="223"/>
      <c r="J38" s="224"/>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22"/>
      <c r="D49" s="223"/>
      <c r="E49" s="223"/>
      <c r="F49" s="223"/>
      <c r="G49" s="223"/>
      <c r="H49" s="223"/>
      <c r="I49" s="223"/>
      <c r="J49" s="224"/>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22"/>
      <c r="D51" s="223"/>
      <c r="E51" s="223"/>
      <c r="F51" s="223"/>
      <c r="G51" s="223"/>
      <c r="H51" s="223"/>
      <c r="I51" s="223"/>
      <c r="J51" s="224"/>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t="str">
        <f t="shared" ca="1" si="28"/>
        <v/>
      </c>
      <c r="D64" s="22" t="str">
        <f t="shared" si="29"/>
        <v/>
      </c>
      <c r="E64" s="26" t="str">
        <f t="shared" si="30"/>
        <v/>
      </c>
      <c r="F64" s="26" t="str">
        <f t="shared" si="31"/>
        <v/>
      </c>
      <c r="G64" s="26" t="str">
        <f t="shared" si="32"/>
        <v/>
      </c>
      <c r="H64" s="26" t="str">
        <f t="shared" si="33"/>
        <v/>
      </c>
      <c r="I64" s="26" t="str">
        <f t="shared" si="34"/>
        <v/>
      </c>
      <c r="J64" s="26" t="str">
        <f t="shared" si="35"/>
        <v/>
      </c>
      <c r="M64" s="21"/>
      <c r="N64" s="10"/>
      <c r="O64" s="25"/>
      <c r="P64" s="25"/>
      <c r="Q64" s="25"/>
      <c r="R64" s="25"/>
      <c r="S64" s="25"/>
      <c r="T64" s="25"/>
      <c r="V64" s="182"/>
      <c r="AG64" s="182"/>
      <c r="AH64" s="182"/>
    </row>
    <row r="65" spans="3:34">
      <c r="C65" s="12" t="str">
        <f t="shared" ca="1" si="28"/>
        <v/>
      </c>
      <c r="D65" s="22" t="str">
        <f t="shared" si="29"/>
        <v/>
      </c>
      <c r="E65" s="26" t="str">
        <f t="shared" si="30"/>
        <v/>
      </c>
      <c r="F65" s="26" t="str">
        <f t="shared" si="31"/>
        <v/>
      </c>
      <c r="G65" s="26" t="str">
        <f t="shared" si="32"/>
        <v/>
      </c>
      <c r="H65" s="26" t="str">
        <f t="shared" si="33"/>
        <v/>
      </c>
      <c r="I65" s="26" t="str">
        <f t="shared" si="34"/>
        <v/>
      </c>
      <c r="J65" s="26" t="str">
        <f t="shared" si="35"/>
        <v/>
      </c>
      <c r="M65" s="21"/>
      <c r="N65" s="10"/>
      <c r="O65" s="25"/>
      <c r="P65" s="25"/>
      <c r="Q65" s="25"/>
      <c r="R65" s="25"/>
      <c r="S65" s="25"/>
      <c r="T65" s="25"/>
      <c r="V65" s="182"/>
      <c r="AG65" s="182"/>
      <c r="AH65" s="182"/>
    </row>
    <row r="66" spans="3:34">
      <c r="C66" s="12" t="str">
        <f t="shared" ca="1" si="28"/>
        <v/>
      </c>
      <c r="D66" s="22" t="str">
        <f t="shared" si="29"/>
        <v/>
      </c>
      <c r="E66" s="26" t="str">
        <f t="shared" si="30"/>
        <v/>
      </c>
      <c r="F66" s="26" t="str">
        <f t="shared" si="31"/>
        <v/>
      </c>
      <c r="G66" s="26" t="str">
        <f t="shared" si="32"/>
        <v/>
      </c>
      <c r="H66" s="26" t="str">
        <f t="shared" si="33"/>
        <v/>
      </c>
      <c r="I66" s="26" t="str">
        <f t="shared" si="34"/>
        <v/>
      </c>
      <c r="J66" s="26" t="str">
        <f t="shared" si="35"/>
        <v/>
      </c>
      <c r="M66" s="21"/>
      <c r="N66" s="10"/>
      <c r="O66" s="25"/>
      <c r="P66" s="25"/>
      <c r="Q66" s="25"/>
      <c r="R66" s="25"/>
      <c r="S66" s="25"/>
      <c r="T66" s="25"/>
      <c r="V66" s="182"/>
      <c r="AG66" s="182"/>
      <c r="AH66" s="182"/>
    </row>
    <row r="67" spans="3:34">
      <c r="C67" s="12" t="str">
        <f t="shared" ca="1" si="28"/>
        <v/>
      </c>
      <c r="D67" s="22" t="str">
        <f t="shared" si="29"/>
        <v/>
      </c>
      <c r="E67" s="26" t="str">
        <f t="shared" si="30"/>
        <v/>
      </c>
      <c r="F67" s="26" t="str">
        <f t="shared" si="31"/>
        <v/>
      </c>
      <c r="G67" s="26" t="str">
        <f t="shared" si="32"/>
        <v/>
      </c>
      <c r="H67" s="26" t="str">
        <f t="shared" si="33"/>
        <v/>
      </c>
      <c r="I67" s="26" t="str">
        <f t="shared" si="34"/>
        <v/>
      </c>
      <c r="J67" s="26" t="str">
        <f t="shared" si="35"/>
        <v/>
      </c>
      <c r="M67" s="21"/>
      <c r="N67" s="10"/>
      <c r="O67" s="25"/>
      <c r="P67" s="25"/>
      <c r="Q67" s="25"/>
      <c r="R67" s="25"/>
      <c r="S67" s="25"/>
      <c r="T67" s="25"/>
      <c r="V67" s="182"/>
      <c r="AG67" s="182"/>
      <c r="AH67" s="182"/>
    </row>
    <row r="68" spans="3:34">
      <c r="C68" s="12" t="str">
        <f t="shared" ca="1" si="28"/>
        <v/>
      </c>
      <c r="D68" s="22" t="str">
        <f t="shared" si="29"/>
        <v/>
      </c>
      <c r="E68" s="26" t="str">
        <f t="shared" si="30"/>
        <v/>
      </c>
      <c r="F68" s="26" t="str">
        <f t="shared" si="31"/>
        <v/>
      </c>
      <c r="G68" s="26" t="str">
        <f t="shared" si="32"/>
        <v/>
      </c>
      <c r="H68" s="26" t="str">
        <f t="shared" si="33"/>
        <v/>
      </c>
      <c r="I68" s="26" t="str">
        <f t="shared" si="34"/>
        <v/>
      </c>
      <c r="J68" s="26" t="str">
        <f t="shared" si="35"/>
        <v/>
      </c>
      <c r="M68" s="21"/>
      <c r="N68" s="10"/>
      <c r="O68" s="25"/>
      <c r="P68" s="25"/>
      <c r="Q68" s="25"/>
      <c r="R68" s="25"/>
      <c r="S68" s="25"/>
      <c r="T68" s="25"/>
      <c r="V68" s="182"/>
      <c r="AG68" s="182"/>
      <c r="AH68" s="182"/>
    </row>
    <row r="69" spans="3:34">
      <c r="C69" s="12" t="str">
        <f t="shared" ca="1" si="28"/>
        <v/>
      </c>
      <c r="D69" s="22" t="str">
        <f t="shared" si="29"/>
        <v/>
      </c>
      <c r="E69" s="26" t="str">
        <f t="shared" si="30"/>
        <v/>
      </c>
      <c r="F69" s="26" t="str">
        <f t="shared" si="31"/>
        <v/>
      </c>
      <c r="G69" s="26" t="str">
        <f t="shared" si="32"/>
        <v/>
      </c>
      <c r="H69" s="26" t="str">
        <f t="shared" si="33"/>
        <v/>
      </c>
      <c r="I69" s="26" t="str">
        <f t="shared" si="34"/>
        <v/>
      </c>
      <c r="J69" s="26" t="str">
        <f t="shared" si="35"/>
        <v/>
      </c>
      <c r="M69" s="21"/>
      <c r="N69" s="10"/>
      <c r="O69" s="25"/>
      <c r="P69" s="25"/>
      <c r="Q69" s="25"/>
      <c r="R69" s="25"/>
      <c r="S69" s="25"/>
      <c r="T69" s="25"/>
      <c r="V69" s="182"/>
      <c r="AG69" s="182"/>
      <c r="AH69" s="182"/>
    </row>
    <row r="70" spans="3:34">
      <c r="C70" s="12" t="str">
        <f t="shared" ca="1" si="28"/>
        <v/>
      </c>
      <c r="D70" s="22" t="str">
        <f t="shared" si="29"/>
        <v/>
      </c>
      <c r="E70" s="26" t="str">
        <f t="shared" si="30"/>
        <v/>
      </c>
      <c r="F70" s="26" t="str">
        <f t="shared" si="31"/>
        <v/>
      </c>
      <c r="G70" s="26" t="str">
        <f t="shared" si="32"/>
        <v/>
      </c>
      <c r="H70" s="26" t="str">
        <f t="shared" si="33"/>
        <v/>
      </c>
      <c r="I70" s="26" t="str">
        <f t="shared" si="34"/>
        <v/>
      </c>
      <c r="J70" s="26" t="str">
        <f t="shared" si="35"/>
        <v/>
      </c>
      <c r="M70" s="21"/>
      <c r="N70" s="10"/>
      <c r="O70" s="25"/>
      <c r="P70" s="25"/>
      <c r="Q70" s="25"/>
      <c r="R70" s="25"/>
      <c r="S70" s="25"/>
      <c r="T70" s="25"/>
      <c r="V70" s="182"/>
      <c r="AG70" s="182"/>
      <c r="AH70" s="182"/>
    </row>
    <row r="71" spans="3:34">
      <c r="C71" s="12" t="str">
        <f t="shared" ca="1" si="28"/>
        <v/>
      </c>
      <c r="D71" s="22" t="str">
        <f t="shared" si="29"/>
        <v/>
      </c>
      <c r="E71" s="26" t="str">
        <f t="shared" si="30"/>
        <v/>
      </c>
      <c r="F71" s="26" t="str">
        <f t="shared" si="31"/>
        <v/>
      </c>
      <c r="G71" s="26" t="str">
        <f t="shared" si="32"/>
        <v/>
      </c>
      <c r="H71" s="26" t="str">
        <f t="shared" si="33"/>
        <v/>
      </c>
      <c r="I71" s="26" t="str">
        <f t="shared" si="34"/>
        <v/>
      </c>
      <c r="J71" s="26" t="str">
        <f t="shared" si="35"/>
        <v/>
      </c>
      <c r="M71" s="21"/>
      <c r="N71" s="10"/>
      <c r="O71" s="25"/>
      <c r="P71" s="25"/>
      <c r="Q71" s="25"/>
      <c r="R71" s="25"/>
      <c r="S71" s="25"/>
      <c r="T71" s="25"/>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P13" sqref="P13"/>
    </sheetView>
  </sheetViews>
  <sheetFormatPr defaultColWidth="9.1796875" defaultRowHeight="10.5"/>
  <cols>
    <col min="1" max="1" width="8.1796875" style="102" customWidth="1"/>
    <col min="2" max="2" width="12.36328125" style="102" customWidth="1"/>
    <col min="3" max="3" width="6.36328125" style="102" customWidth="1"/>
    <col min="4" max="4" width="17.1796875" style="102" customWidth="1"/>
    <col min="5" max="5" width="8.54296875" style="102" customWidth="1"/>
    <col min="6" max="13" width="7.7265625" style="102" customWidth="1"/>
    <col min="14" max="15" width="6.1796875" style="102" customWidth="1"/>
    <col min="16" max="16" width="8.54296875" style="102" customWidth="1"/>
    <col min="17" max="17" width="9" style="102" bestFit="1" customWidth="1"/>
    <col min="18" max="21" width="5.7265625" style="102" customWidth="1"/>
    <col min="22" max="26" width="4.81640625" style="102" customWidth="1"/>
    <col min="27" max="27" width="6.54296875" style="102" customWidth="1"/>
    <col min="28" max="36" width="6.1796875" style="102" customWidth="1"/>
    <col min="37" max="37" width="5.81640625" style="102" customWidth="1"/>
    <col min="38" max="42" width="8.26953125" style="102" customWidth="1"/>
    <col min="43" max="43" width="7.26953125" style="102" customWidth="1"/>
    <col min="44" max="44" width="7.81640625" style="102" customWidth="1"/>
    <col min="45" max="45" width="8.7265625" style="102" customWidth="1"/>
    <col min="46" max="47" width="7.36328125" style="102" customWidth="1"/>
    <col min="48" max="48" width="9.1796875" style="102" customWidth="1"/>
    <col min="49" max="50" width="7.54296875" style="102" bestFit="1" customWidth="1"/>
    <col min="51" max="51" width="6.54296875" style="102" bestFit="1" customWidth="1"/>
    <col min="52" max="52" width="9.26953125" style="102" customWidth="1"/>
    <col min="53" max="53" width="6.1796875" style="102" customWidth="1"/>
    <col min="54" max="16384" width="9.1796875" style="102"/>
  </cols>
  <sheetData>
    <row r="1" spans="1:74" s="93" customFormat="1" ht="13">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3">
      <c r="A2" s="94">
        <f t="shared" ref="A2:A8" si="0">_xlfn.RANK.EQ(C2,$C$2:$C$7)</f>
        <v>1</v>
      </c>
      <c r="B2" s="95" t="s">
        <v>32</v>
      </c>
      <c r="C2" s="96">
        <f>SUM(R2:AB2)</f>
        <v>409.00079999999991</v>
      </c>
      <c r="D2" s="96" t="s">
        <v>80</v>
      </c>
      <c r="E2" s="97">
        <f t="shared" ref="E2:E7" ca="1" si="1">C2/AN2</f>
        <v>0.79882968749999983</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8">
        <f t="shared" ca="1" si="3"/>
        <v>0.83333666666666661</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25.0001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30</v>
      </c>
      <c r="AN2" s="99">
        <f ca="1">SUM(AC2:AM2)</f>
        <v>512</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101.25</v>
      </c>
      <c r="AZ2" s="142">
        <f>SUM(AO2:AY2)</f>
        <v>1541.5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4.9999000000000002</v>
      </c>
      <c r="BN2" s="218">
        <f>SUM(S2:AB2)</f>
        <v>384.00079999999991</v>
      </c>
      <c r="BO2" s="218">
        <f>SUM(T2:AB2)</f>
        <v>343.00079999999997</v>
      </c>
      <c r="BP2" s="209">
        <f>SUM(U2:AB2)</f>
        <v>292.00079999999997</v>
      </c>
      <c r="BQ2" s="217">
        <f>SUM(V2:AB2)</f>
        <v>256.00069999999999</v>
      </c>
      <c r="BR2" s="217">
        <f>SUM(W2:AB2)</f>
        <v>196.00060000000002</v>
      </c>
      <c r="BS2" s="217">
        <f>SUM(X2:AB2)</f>
        <v>161.00050000000002</v>
      </c>
      <c r="BT2" s="217">
        <f>SUM(Y2:AB2)</f>
        <v>127.00040000000001</v>
      </c>
      <c r="BU2" s="217">
        <f>SUM(Z2:AB2)</f>
        <v>92.00030000000001</v>
      </c>
      <c r="BV2" s="217">
        <f>SUM(AA2:AB2)</f>
        <v>55.0002</v>
      </c>
    </row>
    <row r="3" spans="1:74" ht="13">
      <c r="A3" s="94">
        <f t="shared" si="0"/>
        <v>2</v>
      </c>
      <c r="B3" s="99" t="s">
        <v>3</v>
      </c>
      <c r="C3" s="103">
        <f>SUM(R3:AB3)</f>
        <v>399.00072</v>
      </c>
      <c r="D3" s="103" t="s">
        <v>80</v>
      </c>
      <c r="E3" s="98">
        <f t="shared" ca="1" si="1"/>
        <v>0.76878751445086702</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0.76666966666666669</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23.00009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30</v>
      </c>
      <c r="AN3" s="99">
        <f t="shared" ref="AN3:AN7" ca="1" si="10">SUM(AC3:AM3)</f>
        <v>519</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117.5</v>
      </c>
      <c r="AZ3" s="142">
        <f t="shared" ref="AZ3:AZ7" si="11">SUM(AO3:AY3)</f>
        <v>1647.25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6.9999099999999999</v>
      </c>
      <c r="BN3" s="209">
        <f t="shared" ref="BN3:BN7" si="12">SUM(S3:AB3)</f>
        <v>372.00072</v>
      </c>
      <c r="BO3" s="209">
        <f t="shared" ref="BO3:BO7" si="13">SUM(T3:AB3)</f>
        <v>336.00072</v>
      </c>
      <c r="BP3" s="218">
        <f t="shared" ref="BP3:BP8" si="14">SUM(U3:AB3)</f>
        <v>297.00072</v>
      </c>
      <c r="BQ3" s="219">
        <f t="shared" ref="BQ3:BQ7" si="15">SUM(V3:AB3)</f>
        <v>258.00063</v>
      </c>
      <c r="BR3" s="219">
        <f t="shared" ref="BR3:BR7" si="16">SUM(W3:AB3)</f>
        <v>204.00054</v>
      </c>
      <c r="BS3" s="219">
        <f t="shared" ref="BS3:BS7" si="17">SUM(X3:AB3)</f>
        <v>172.00045</v>
      </c>
      <c r="BT3" s="219">
        <f t="shared" ref="BT3:BT8" si="18">SUM(Y3:AB3)</f>
        <v>134.00036</v>
      </c>
      <c r="BU3" s="219">
        <f t="shared" ref="BU3:BU8" si="19">SUM(Z3:AB3)</f>
        <v>97.00027</v>
      </c>
      <c r="BV3" s="219">
        <f t="shared" ref="BV3:BV7" si="20">SUM(AA3:AB3)</f>
        <v>59.00018</v>
      </c>
    </row>
    <row r="4" spans="1:74" ht="13">
      <c r="A4" s="94">
        <f t="shared" si="0"/>
        <v>3</v>
      </c>
      <c r="B4" s="99" t="s">
        <v>0</v>
      </c>
      <c r="C4" s="103">
        <f t="shared" ref="C4:C7" si="21">SUM(R4:AB4)</f>
        <v>366.00045999999998</v>
      </c>
      <c r="D4" s="103" t="s">
        <v>103</v>
      </c>
      <c r="E4" s="98">
        <f t="shared" ca="1" si="1"/>
        <v>0.70520319845857415</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0.60000066666666663</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18.000019999999999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30</v>
      </c>
      <c r="AN4" s="99">
        <f t="shared" ca="1" si="10"/>
        <v>519</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179.25</v>
      </c>
      <c r="AZ4" s="142">
        <f t="shared" si="11"/>
        <v>2143.25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11.999980000000001</v>
      </c>
      <c r="BN4" s="209">
        <f t="shared" si="12"/>
        <v>338.00045999999998</v>
      </c>
      <c r="BO4" s="209">
        <f t="shared" si="13"/>
        <v>300.00045999999998</v>
      </c>
      <c r="BP4" s="209">
        <f t="shared" si="14"/>
        <v>255.00046</v>
      </c>
      <c r="BQ4" s="217">
        <f t="shared" si="15"/>
        <v>222.00039000000001</v>
      </c>
      <c r="BR4" s="217">
        <f t="shared" si="16"/>
        <v>167.00032000000002</v>
      </c>
      <c r="BS4" s="217">
        <f t="shared" si="17"/>
        <v>136.00025000000002</v>
      </c>
      <c r="BT4" s="217">
        <f t="shared" si="18"/>
        <v>115.00018</v>
      </c>
      <c r="BU4" s="217">
        <f t="shared" si="19"/>
        <v>94.000110000000006</v>
      </c>
      <c r="BV4" s="217">
        <f t="shared" si="20"/>
        <v>54.000039999999998</v>
      </c>
    </row>
    <row r="5" spans="1:74" ht="13">
      <c r="A5" s="94">
        <f t="shared" si="0"/>
        <v>4</v>
      </c>
      <c r="B5" s="99" t="s">
        <v>1</v>
      </c>
      <c r="C5" s="103">
        <f t="shared" si="21"/>
        <v>338.00058000000001</v>
      </c>
      <c r="D5" s="103" t="s">
        <v>80</v>
      </c>
      <c r="E5" s="98">
        <f t="shared" ca="1" si="1"/>
        <v>0.65125352601156072</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0.43333499999999997</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13.00005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30</v>
      </c>
      <c r="AN5" s="99">
        <f t="shared" ca="1" si="10"/>
        <v>519</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241</v>
      </c>
      <c r="AZ5" s="142">
        <f t="shared" si="11"/>
        <v>2414.0699999999997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16.999949999999998</v>
      </c>
      <c r="BN5" s="209">
        <f t="shared" si="12"/>
        <v>308.00057999999996</v>
      </c>
      <c r="BO5" s="209">
        <f t="shared" si="13"/>
        <v>274.00057999999996</v>
      </c>
      <c r="BP5" s="209">
        <f t="shared" si="14"/>
        <v>230.00057999999996</v>
      </c>
      <c r="BQ5" s="217">
        <f t="shared" si="15"/>
        <v>190.00049999999999</v>
      </c>
      <c r="BR5" s="217">
        <f t="shared" si="16"/>
        <v>137.00041999999999</v>
      </c>
      <c r="BS5" s="217">
        <f t="shared" si="17"/>
        <v>107.00034000000001</v>
      </c>
      <c r="BT5" s="217">
        <f t="shared" si="18"/>
        <v>82.000260000000011</v>
      </c>
      <c r="BU5" s="217">
        <f t="shared" si="19"/>
        <v>56.00018</v>
      </c>
      <c r="BV5" s="217">
        <f t="shared" si="20"/>
        <v>34.000100000000003</v>
      </c>
    </row>
    <row r="6" spans="1:74" ht="13">
      <c r="A6" s="94">
        <f t="shared" si="0"/>
        <v>5</v>
      </c>
      <c r="B6" s="99" t="s">
        <v>4</v>
      </c>
      <c r="C6" s="103">
        <f t="shared" si="21"/>
        <v>238.00041999999996</v>
      </c>
      <c r="D6" s="103" t="s">
        <v>83</v>
      </c>
      <c r="E6" s="98">
        <f t="shared" ca="1" si="1"/>
        <v>0.45857499036608856</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0.50000166666666668</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30</v>
      </c>
      <c r="AN6" s="99">
        <f t="shared" ca="1" si="10"/>
        <v>519</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221.5</v>
      </c>
      <c r="AZ6" s="142">
        <f t="shared" si="11"/>
        <v>2317</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14.99995</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3">
      <c r="A7" s="94">
        <f t="shared" si="0"/>
        <v>6</v>
      </c>
      <c r="B7" s="99" t="s">
        <v>2</v>
      </c>
      <c r="C7" s="103">
        <f t="shared" si="21"/>
        <v>215.00045999999995</v>
      </c>
      <c r="D7" s="103" t="s">
        <v>81</v>
      </c>
      <c r="E7" s="104">
        <f t="shared" ca="1" si="1"/>
        <v>0.41425907514450855</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0.46666866666666668</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14.00006</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30</v>
      </c>
      <c r="AN7" s="99">
        <f t="shared" ca="1" si="10"/>
        <v>519</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15.99994</v>
      </c>
      <c r="BN7" s="209">
        <f t="shared" si="12"/>
        <v>188.00045999999998</v>
      </c>
      <c r="BO7" s="209">
        <f t="shared" si="13"/>
        <v>152.00046</v>
      </c>
      <c r="BP7" s="209">
        <f t="shared" si="14"/>
        <v>133.00046</v>
      </c>
      <c r="BQ7" s="217">
        <f t="shared" si="15"/>
        <v>123.00041000000002</v>
      </c>
      <c r="BR7" s="217">
        <f t="shared" si="16"/>
        <v>98.000360000000015</v>
      </c>
      <c r="BS7" s="217">
        <f t="shared" si="17"/>
        <v>79.00030000000001</v>
      </c>
      <c r="BT7" s="217">
        <f t="shared" si="18"/>
        <v>72.000240000000005</v>
      </c>
      <c r="BU7" s="217">
        <f t="shared" si="19"/>
        <v>57.00018</v>
      </c>
      <c r="BV7" s="217">
        <f t="shared" si="20"/>
        <v>37.000120000000003</v>
      </c>
    </row>
    <row r="8" spans="1:74" ht="13"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3">
      <c r="A9" s="99"/>
      <c r="B9" s="99" t="s">
        <v>70</v>
      </c>
      <c r="C9" s="103">
        <f>SUM(C2:C7)</f>
        <v>1965.0034399999997</v>
      </c>
      <c r="D9" s="99"/>
      <c r="E9" s="98">
        <f ca="1">C9/AN9</f>
        <v>0.63244397811393616</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0.60000205555555564</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108.00037000000002</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180</v>
      </c>
      <c r="AN9" s="99">
        <f t="shared" ca="1" si="25"/>
        <v>3107</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1088.5</v>
      </c>
      <c r="AZ9" s="142">
        <f>SUM(AZ2:AZ7)</f>
        <v>13082.07</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2.3999876666666666</v>
      </c>
    </row>
    <row r="10" spans="1:74" ht="13">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4.9799803213322544</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6"/>
      <c r="AS12" s="169"/>
      <c r="AT12" s="169"/>
      <c r="AU12" s="169"/>
    </row>
    <row r="13" spans="1:74">
      <c r="E13" s="108"/>
      <c r="F13" s="108"/>
      <c r="G13" s="108"/>
      <c r="H13" s="108"/>
      <c r="I13" s="108"/>
      <c r="J13" s="108"/>
      <c r="K13" s="108"/>
      <c r="L13" s="108"/>
      <c r="AN13" s="213"/>
      <c r="AR13" s="246"/>
      <c r="AS13" s="169"/>
      <c r="AT13" s="169"/>
      <c r="AU13" s="169"/>
    </row>
    <row r="14" spans="1:74" ht="13">
      <c r="E14" s="108"/>
      <c r="U14" s="42"/>
      <c r="V14" s="42"/>
      <c r="W14" s="42"/>
      <c r="X14" s="42"/>
      <c r="Y14" s="42"/>
      <c r="Z14" s="42"/>
      <c r="AA14" s="42"/>
      <c r="AB14" s="42"/>
      <c r="AC14" s="42"/>
      <c r="AL14" s="107"/>
      <c r="AM14" s="107"/>
      <c r="AN14" s="107"/>
      <c r="AO14" s="107"/>
      <c r="AP14" s="107"/>
      <c r="AQ14" s="107"/>
      <c r="AR14" s="107"/>
      <c r="AS14" s="107"/>
      <c r="AT14" s="107"/>
      <c r="AU14" s="107"/>
    </row>
    <row r="15" spans="1:74" ht="13">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50">
        <v>2016</v>
      </c>
      <c r="C17" s="251"/>
      <c r="D17" s="250">
        <v>2017</v>
      </c>
      <c r="E17" s="251"/>
      <c r="F17" s="250">
        <v>2018</v>
      </c>
      <c r="G17" s="251"/>
      <c r="H17" s="250">
        <v>2019</v>
      </c>
      <c r="I17" s="251"/>
      <c r="J17" s="250">
        <v>2020</v>
      </c>
      <c r="K17" s="251"/>
      <c r="L17" s="247">
        <v>2021</v>
      </c>
      <c r="M17" s="248"/>
      <c r="N17" s="247">
        <v>2022</v>
      </c>
      <c r="O17" s="249"/>
      <c r="P17" s="247">
        <v>2023</v>
      </c>
      <c r="Q17" s="248"/>
      <c r="R17" s="247">
        <v>2024</v>
      </c>
      <c r="S17" s="248"/>
      <c r="T17" s="247">
        <v>2025</v>
      </c>
      <c r="U17" s="248"/>
      <c r="V17" s="247">
        <v>2026</v>
      </c>
      <c r="W17" s="248"/>
      <c r="AO17" s="109"/>
    </row>
    <row r="18" spans="1:41" ht="13.5"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3">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409.00079999999991</v>
      </c>
      <c r="W19" s="117">
        <v>1</v>
      </c>
      <c r="AN19" s="109"/>
    </row>
    <row r="20" spans="1:41" ht="13">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399.00072</v>
      </c>
      <c r="W20" s="120">
        <v>2</v>
      </c>
      <c r="AN20" s="109"/>
    </row>
    <row r="21" spans="1:41" ht="13">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366.00045999999998</v>
      </c>
      <c r="W21" s="120">
        <v>3</v>
      </c>
      <c r="AN21" s="109"/>
    </row>
    <row r="22" spans="1:41" ht="13">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338.00058000000001</v>
      </c>
      <c r="W22" s="120">
        <v>4</v>
      </c>
      <c r="AN22" s="109"/>
    </row>
    <row r="23" spans="1:41" ht="13">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215.00045999999995</v>
      </c>
      <c r="W24" s="123">
        <v>6</v>
      </c>
      <c r="AN24" s="109"/>
    </row>
    <row r="25" spans="1:41" ht="13">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3">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3">
      <c r="A64" s="99" t="s">
        <v>32</v>
      </c>
      <c r="B64" s="163">
        <f>SUM(C64:L64)</f>
        <v>3</v>
      </c>
      <c r="C64" s="163">
        <v>0</v>
      </c>
      <c r="D64" s="163">
        <v>0</v>
      </c>
      <c r="E64" s="163">
        <v>0</v>
      </c>
      <c r="F64" s="163">
        <v>0</v>
      </c>
      <c r="G64" s="163">
        <v>0</v>
      </c>
      <c r="H64" s="163">
        <v>0</v>
      </c>
      <c r="I64" s="163">
        <v>0</v>
      </c>
      <c r="J64" s="163">
        <v>1</v>
      </c>
      <c r="K64" s="163">
        <v>0</v>
      </c>
      <c r="L64" s="163">
        <v>2</v>
      </c>
      <c r="AO64" s="109"/>
    </row>
    <row r="65" spans="1:41" ht="13">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3">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409.00079999999991</v>
      </c>
    </row>
    <row r="67" spans="1:41" ht="13">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338.00058000000001</v>
      </c>
    </row>
    <row r="68" spans="1:41" ht="13">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366.00045999999998</v>
      </c>
    </row>
    <row r="69" spans="1:41" ht="13">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399.00072</v>
      </c>
    </row>
    <row r="70" spans="1:41" ht="13">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215.00045999999995</v>
      </c>
    </row>
    <row r="71" spans="1:41" ht="13">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3">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796875" defaultRowHeight="14"/>
  <cols>
    <col min="1" max="1" width="12.81640625" style="53" customWidth="1"/>
    <col min="2" max="2" width="18.54296875" style="53" customWidth="1"/>
    <col min="3" max="3" width="19.1796875" style="53" bestFit="1" customWidth="1"/>
    <col min="4" max="4" width="15.26953125" style="53" customWidth="1"/>
    <col min="5" max="5" width="19.7265625" style="53" customWidth="1"/>
    <col min="6" max="6" width="49.1796875" style="53" customWidth="1"/>
    <col min="7" max="7" width="20.81640625" style="53" customWidth="1"/>
    <col min="8" max="8" width="15.1796875" style="53" customWidth="1"/>
    <col min="9" max="9" width="18.81640625" style="53" customWidth="1"/>
    <col min="10" max="10" width="18.54296875" style="53" customWidth="1"/>
    <col min="11" max="11" width="17.36328125" style="53" customWidth="1"/>
    <col min="12" max="12" width="9.1796875" style="53"/>
    <col min="13" max="13" width="13.26953125" style="53" bestFit="1" customWidth="1"/>
    <col min="14" max="15" width="9.1796875" style="53"/>
    <col min="16" max="17" width="10.54296875" style="53" bestFit="1" customWidth="1"/>
    <col min="18" max="16384" width="9.17968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5">
      <c r="A2" s="45">
        <f>'All-time DF Stats'!A2</f>
        <v>1</v>
      </c>
      <c r="B2" s="38" t="str">
        <f>'All-time DF Stats'!B2</f>
        <v>MSO/MST</v>
      </c>
      <c r="C2" s="43">
        <f>'All-time DF Stats'!C2</f>
        <v>409.00079999999991</v>
      </c>
      <c r="D2" s="39">
        <f ca="1">'All-time DF Stats'!E2</f>
        <v>0.79882968749999983</v>
      </c>
      <c r="E2" s="54">
        <f>'All-time DF Stats'!Q2</f>
        <v>1440.25</v>
      </c>
      <c r="F2" s="166" t="s">
        <v>287</v>
      </c>
      <c r="G2" s="166"/>
      <c r="H2" s="79">
        <f ca="1">1/(1-(C2/'All-time DF Stats'!AN2))</f>
        <v>4.970912395436077</v>
      </c>
      <c r="I2" s="110">
        <f t="shared" ref="I2:I7" si="0">C2-C3</f>
        <v>10.000079999999912</v>
      </c>
      <c r="J2" s="133" t="s">
        <v>88</v>
      </c>
      <c r="K2" s="135" t="s">
        <v>88</v>
      </c>
      <c r="L2" s="135">
        <f ca="1">E2/('All-time DF Stats'!AN2-'All-time DF Stats'!C2)</f>
        <v>13.98311831548205</v>
      </c>
      <c r="M2" s="40">
        <f>C2/$C$9</f>
        <v>0.20814253638151389</v>
      </c>
      <c r="N2" s="110">
        <v>3</v>
      </c>
      <c r="O2" s="53" t="s">
        <v>32</v>
      </c>
      <c r="P2" s="220">
        <v>42524</v>
      </c>
      <c r="Q2" s="220">
        <f ca="1">TODAY()</f>
        <v>46237</v>
      </c>
      <c r="R2" s="53">
        <f ca="1">Q2-P2</f>
        <v>3713</v>
      </c>
      <c r="S2" s="53">
        <v>3682</v>
      </c>
    </row>
    <row r="3" spans="1:19" ht="15.5">
      <c r="A3" s="45">
        <f>'All-time DF Stats'!A3</f>
        <v>2</v>
      </c>
      <c r="B3" s="37" t="str">
        <f>'All-time DF Stats'!B3</f>
        <v>SJU</v>
      </c>
      <c r="C3" s="44">
        <f>'All-time DF Stats'!C3</f>
        <v>399.00072</v>
      </c>
      <c r="D3" s="40">
        <f ca="1">'All-time DF Stats'!E3</f>
        <v>0.76878751445086702</v>
      </c>
      <c r="E3" s="55">
        <f>'All-time DF Stats'!Q3</f>
        <v>1529.75</v>
      </c>
      <c r="F3" s="78" t="s">
        <v>385</v>
      </c>
      <c r="G3" s="78"/>
      <c r="H3" s="80">
        <f ca="1">1/(1-(C3/'All-time DF Stats'!AN3))</f>
        <v>4.3250259501557</v>
      </c>
      <c r="I3" s="110">
        <f>C3-C4</f>
        <v>33.000260000000026</v>
      </c>
      <c r="J3" s="110">
        <f>$C$2-C3</f>
        <v>10.000079999999912</v>
      </c>
      <c r="K3" s="134">
        <f>1/(C3/$C$2)</f>
        <v>1.0250628119167302</v>
      </c>
      <c r="L3" s="135">
        <f ca="1">E3/('All-time DF Stats'!AN3-'All-time DF Stats'!C3)</f>
        <v>12.747993154625595</v>
      </c>
      <c r="M3" s="40">
        <f>C3/$C$9</f>
        <v>0.20305344605401812</v>
      </c>
      <c r="N3" s="110">
        <v>1</v>
      </c>
      <c r="O3" s="53" t="s">
        <v>3</v>
      </c>
      <c r="P3" s="220">
        <v>42475</v>
      </c>
      <c r="Q3" s="220">
        <f>P3+S3</f>
        <v>46249.281273477398</v>
      </c>
      <c r="S3" s="53">
        <f>$S$2*K3</f>
        <v>3774.2812734774006</v>
      </c>
    </row>
    <row r="4" spans="1:19" ht="15.5">
      <c r="A4" s="45">
        <f>'All-time DF Stats'!A4</f>
        <v>3</v>
      </c>
      <c r="B4" s="37" t="str">
        <f>'All-time DF Stats'!B4</f>
        <v>JWU</v>
      </c>
      <c r="C4" s="44">
        <f>'All-time DF Stats'!C4</f>
        <v>366.00045999999998</v>
      </c>
      <c r="D4" s="40">
        <f ca="1">'All-time DF Stats'!E4</f>
        <v>0.70520319845857415</v>
      </c>
      <c r="E4" s="55">
        <f>'All-time DF Stats'!Q4</f>
        <v>1964</v>
      </c>
      <c r="F4" s="78" t="s">
        <v>386</v>
      </c>
      <c r="G4" s="78"/>
      <c r="H4" s="80">
        <f ca="1">1/(1-(C4/'All-time DF Stats'!AN4))</f>
        <v>3.3921670614173087</v>
      </c>
      <c r="I4" s="110">
        <f>C4-C5</f>
        <v>27.999879999999962</v>
      </c>
      <c r="J4" s="110">
        <f>$C$2-C4</f>
        <v>43.000339999999937</v>
      </c>
      <c r="K4" s="134">
        <f>1/(C4/$C$2)</f>
        <v>1.1174871200981549</v>
      </c>
      <c r="L4" s="135">
        <f ca="1">E4/('All-time DF Stats'!AN4-'All-time DF Stats'!C4)</f>
        <v>12.836639901008851</v>
      </c>
      <c r="M4" s="40">
        <f>C4/$C$9</f>
        <v>0.18625945000890179</v>
      </c>
      <c r="N4" s="110">
        <v>4</v>
      </c>
      <c r="O4" s="53" t="s">
        <v>0</v>
      </c>
      <c r="P4" s="220">
        <f t="shared" ref="P4:P7" si="1">P3</f>
        <v>42475</v>
      </c>
      <c r="Q4" s="220">
        <f>P4+S4</f>
        <v>46589.587576201404</v>
      </c>
      <c r="S4" s="53">
        <f>$S$2*K4</f>
        <v>4114.5875762014066</v>
      </c>
    </row>
    <row r="5" spans="1:19" ht="15.5">
      <c r="A5" s="45">
        <f>'All-time DF Stats'!A5</f>
        <v>4</v>
      </c>
      <c r="B5" s="37" t="str">
        <f>'All-time DF Stats'!B5</f>
        <v>PKN</v>
      </c>
      <c r="C5" s="44">
        <f>'All-time DF Stats'!C5</f>
        <v>338.00058000000001</v>
      </c>
      <c r="D5" s="40">
        <f ca="1">'All-time DF Stats'!E5</f>
        <v>0.65125352601156072</v>
      </c>
      <c r="E5" s="55">
        <f>'All-time DF Stats'!Q5</f>
        <v>2173.0699999999997</v>
      </c>
      <c r="F5" s="78" t="s">
        <v>297</v>
      </c>
      <c r="G5" s="78"/>
      <c r="H5" s="80">
        <f ca="1">1/(1-(C5/'All-time DF Stats'!AN5))</f>
        <v>2.8674125033107845</v>
      </c>
      <c r="I5" s="110">
        <f>C5-C6</f>
        <v>100.00016000000005</v>
      </c>
      <c r="J5" s="110">
        <f t="shared" ref="J5:J7" si="2">$C$2-C5</f>
        <v>71.000219999999899</v>
      </c>
      <c r="K5" s="134">
        <f>1/(C5/$C$2)</f>
        <v>1.2100594620281417</v>
      </c>
      <c r="L5" s="135">
        <f ca="1">E5/('All-time DF Stats'!AN5-'All-time DF Stats'!C5)</f>
        <v>12.005950074315155</v>
      </c>
      <c r="M5" s="40">
        <f t="shared" ref="M5" si="3">C5/$C$9</f>
        <v>0.17201017215522027</v>
      </c>
      <c r="N5" s="110">
        <v>0</v>
      </c>
      <c r="O5" s="53" t="s">
        <v>1</v>
      </c>
      <c r="P5" s="220">
        <f t="shared" si="1"/>
        <v>42475</v>
      </c>
      <c r="Q5" s="220">
        <f>P5+S5</f>
        <v>46930.438939187618</v>
      </c>
      <c r="S5" s="53">
        <f>$S$2*K5</f>
        <v>4455.4389391876175</v>
      </c>
    </row>
    <row r="6" spans="1:19" ht="15.5">
      <c r="A6" s="45">
        <f>'All-time DF Stats'!A6</f>
        <v>5</v>
      </c>
      <c r="B6" s="37" t="str">
        <f>'All-time DF Stats'!B6</f>
        <v>CBO</v>
      </c>
      <c r="C6" s="44">
        <f>'All-time DF Stats'!C6</f>
        <v>238.00041999999996</v>
      </c>
      <c r="D6" s="40">
        <f ca="1">'All-time DF Stats'!E6</f>
        <v>0.45857499036608856</v>
      </c>
      <c r="E6" s="55">
        <f>'All-time DF Stats'!Q6</f>
        <v>2095.5</v>
      </c>
      <c r="F6" s="78" t="s">
        <v>56</v>
      </c>
      <c r="G6" s="78"/>
      <c r="H6" s="80">
        <f ca="1">1/(1-(C6/'All-time DF Stats'!AN6))</f>
        <v>1.8469778495754332</v>
      </c>
      <c r="I6" s="110">
        <f t="shared" si="0"/>
        <v>22.999960000000016</v>
      </c>
      <c r="J6" s="110">
        <f t="shared" si="2"/>
        <v>171.00037999999995</v>
      </c>
      <c r="K6" s="134">
        <f>1/(C6/$C$2)</f>
        <v>1.7184877236771261</v>
      </c>
      <c r="L6" s="135">
        <f ca="1">E6/('All-time DF Stats'!AN6-'All-time DF Stats'!C6)</f>
        <v>7.457306519817573</v>
      </c>
      <c r="M6" s="40">
        <f>C6/$C$9</f>
        <v>0.12111959457943748</v>
      </c>
      <c r="N6" s="110">
        <v>1</v>
      </c>
      <c r="O6" s="53" t="s">
        <v>4</v>
      </c>
      <c r="P6" s="220">
        <f t="shared" si="1"/>
        <v>42475</v>
      </c>
      <c r="Q6" s="220">
        <f>P6+S6</f>
        <v>48802.471798579179</v>
      </c>
      <c r="S6" s="53">
        <f t="shared" ref="S6:S7" si="4">$S$2*K6</f>
        <v>6327.4717985791785</v>
      </c>
    </row>
    <row r="7" spans="1:19" ht="15.5">
      <c r="A7" s="45">
        <f>'All-time DF Stats'!A7</f>
        <v>6</v>
      </c>
      <c r="B7" s="37" t="str">
        <f>'All-time DF Stats'!B7</f>
        <v>YMI</v>
      </c>
      <c r="C7" s="44">
        <f>'All-time DF Stats'!C7</f>
        <v>215.00045999999995</v>
      </c>
      <c r="D7" s="46">
        <f ca="1">'All-time DF Stats'!E7</f>
        <v>0.41425907514450855</v>
      </c>
      <c r="E7" s="55">
        <f>'All-time DF Stats'!Q7</f>
        <v>2791</v>
      </c>
      <c r="F7" s="78" t="s">
        <v>56</v>
      </c>
      <c r="G7" s="78"/>
      <c r="H7" s="80">
        <f ca="1">1/(1-(C7/'All-time DF Stats'!AN7))</f>
        <v>1.7072394254280776</v>
      </c>
      <c r="I7" s="110">
        <f t="shared" si="0"/>
        <v>100000000000215</v>
      </c>
      <c r="J7" s="110">
        <f t="shared" si="2"/>
        <v>194.00033999999997</v>
      </c>
      <c r="K7" s="134">
        <f t="shared" ref="K7" si="5">1/(C7/$C$2)</f>
        <v>1.9023252322343869</v>
      </c>
      <c r="L7" s="135">
        <f ca="1">E7/('All-time DF Stats'!AN7-'All-time DF Stats'!C7)</f>
        <v>9.1809349448357711</v>
      </c>
      <c r="M7" s="40">
        <f>C7/$C$9</f>
        <v>0.10941480082090847</v>
      </c>
      <c r="N7" s="110">
        <v>3</v>
      </c>
      <c r="O7" s="53" t="s">
        <v>2</v>
      </c>
      <c r="P7" s="220">
        <f t="shared" si="1"/>
        <v>42475</v>
      </c>
      <c r="Q7" s="220">
        <f>P7+S7</f>
        <v>49479.361505087014</v>
      </c>
      <c r="S7" s="53">
        <f t="shared" si="4"/>
        <v>7004.3615050870121</v>
      </c>
    </row>
    <row r="8" spans="1:19" ht="15.5">
      <c r="A8" s="111" t="s">
        <v>38</v>
      </c>
      <c r="B8" s="37" t="str">
        <f>'All-time DF Stats'!B8</f>
        <v>Jinderletscht</v>
      </c>
      <c r="C8" s="148">
        <v>-100000000000000</v>
      </c>
      <c r="D8" s="112" t="s">
        <v>39</v>
      </c>
      <c r="E8" s="55" t="s">
        <v>46</v>
      </c>
      <c r="F8" s="78" t="s">
        <v>79</v>
      </c>
      <c r="G8" s="78"/>
      <c r="H8" s="78" t="s">
        <v>78</v>
      </c>
      <c r="I8" s="110"/>
      <c r="J8" s="148">
        <f>$C$2-C8</f>
        <v>100000000000409</v>
      </c>
      <c r="K8" s="135" t="s">
        <v>88</v>
      </c>
      <c r="L8" s="135" t="s">
        <v>88</v>
      </c>
    </row>
    <row r="9" spans="1:19">
      <c r="C9" s="150">
        <f>SUM(C2:C7)</f>
        <v>1965.0034399999997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6328125" defaultRowHeight="16.5"/>
  <cols>
    <col min="1" max="1" width="12.7265625" style="1" customWidth="1"/>
    <col min="2" max="7" width="7.1796875" style="131" customWidth="1"/>
    <col min="8" max="9" width="1.54296875" style="132" customWidth="1"/>
    <col min="10" max="10" width="38.54296875" style="57" customWidth="1"/>
    <col min="11" max="11" width="15" style="1" customWidth="1"/>
    <col min="12" max="18" width="11.36328125" style="128" customWidth="1"/>
    <col min="19" max="21" width="11.36328125" style="1"/>
    <col min="22" max="22" width="11.36328125" style="1" customWidth="1"/>
    <col min="23" max="16384" width="11.363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5"/>
  <cols>
    <col min="1" max="1" width="21.26953125" customWidth="1"/>
  </cols>
  <sheetData>
    <row r="1" spans="1:7" ht="15.5">
      <c r="A1" s="37"/>
      <c r="B1" s="37" t="s">
        <v>0</v>
      </c>
      <c r="C1" s="37" t="s">
        <v>4</v>
      </c>
      <c r="D1" s="37" t="s">
        <v>1</v>
      </c>
      <c r="E1" s="37" t="s">
        <v>2</v>
      </c>
      <c r="F1" s="37" t="s">
        <v>3</v>
      </c>
      <c r="G1" s="37" t="s">
        <v>21</v>
      </c>
    </row>
    <row r="2" spans="1:7" ht="15.5">
      <c r="A2" s="172">
        <v>44533</v>
      </c>
      <c r="B2" s="37">
        <v>220.00000008000001</v>
      </c>
      <c r="C2" s="37">
        <v>88.000000080000007</v>
      </c>
      <c r="D2" s="37">
        <v>220</v>
      </c>
      <c r="E2" s="37">
        <v>130</v>
      </c>
      <c r="F2" s="37">
        <v>218</v>
      </c>
      <c r="G2" s="37">
        <v>236</v>
      </c>
    </row>
    <row r="3" spans="1:7" ht="15.5">
      <c r="A3" s="172">
        <v>45128</v>
      </c>
      <c r="B3" s="37">
        <v>258.00000008000001</v>
      </c>
      <c r="C3" s="37">
        <v>146.00000008000001</v>
      </c>
      <c r="D3" s="37">
        <v>268</v>
      </c>
      <c r="E3" s="37">
        <v>148</v>
      </c>
      <c r="F3" s="37">
        <v>284</v>
      </c>
      <c r="G3" s="37">
        <v>299</v>
      </c>
    </row>
    <row r="4" spans="1:7" ht="15.5">
      <c r="A4" s="37" t="s">
        <v>330</v>
      </c>
      <c r="B4" s="37">
        <f>B3-B2</f>
        <v>38</v>
      </c>
      <c r="C4" s="37">
        <f t="shared" ref="C4:G4" si="0">C3-C2</f>
        <v>58</v>
      </c>
      <c r="D4" s="37">
        <f t="shared" si="0"/>
        <v>48</v>
      </c>
      <c r="E4" s="37">
        <f t="shared" si="0"/>
        <v>18</v>
      </c>
      <c r="F4" s="37">
        <f t="shared" si="0"/>
        <v>66</v>
      </c>
      <c r="G4" s="37">
        <f t="shared" si="0"/>
        <v>63</v>
      </c>
    </row>
    <row r="5" spans="1:7" ht="16.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5">
      <c r="A6" s="37" t="s">
        <v>332</v>
      </c>
      <c r="B6" s="37">
        <v>5</v>
      </c>
      <c r="C6" s="37">
        <v>3</v>
      </c>
      <c r="D6" s="37">
        <v>4</v>
      </c>
      <c r="E6" s="37">
        <v>6</v>
      </c>
      <c r="F6" s="37">
        <v>1</v>
      </c>
      <c r="G6" s="37">
        <v>2</v>
      </c>
    </row>
    <row r="7" spans="1:7" ht="15.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6328125" defaultRowHeight="14.5"/>
  <cols>
    <col min="1" max="1" width="12" customWidth="1"/>
    <col min="2" max="2" width="16" customWidth="1"/>
    <col min="3" max="6" width="16.36328125" customWidth="1"/>
    <col min="7" max="7" width="28.36328125" bestFit="1" customWidth="1"/>
    <col min="8" max="8" width="16.36328125" customWidth="1"/>
    <col min="9" max="9" width="17.1796875" customWidth="1"/>
    <col min="10" max="10" width="24.1796875" customWidth="1"/>
    <col min="11" max="11" width="16.363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5.8532998468462667</v>
      </c>
      <c r="G2" s="152">
        <v>3</v>
      </c>
      <c r="H2" s="152">
        <v>0.25</v>
      </c>
      <c r="I2" s="153">
        <f t="shared" ref="I2:I7" si="0">AVERAGE(B2:G2)+H2</f>
        <v>5.7255499744743785</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4.9584340177329738</v>
      </c>
      <c r="G4" s="152">
        <v>3</v>
      </c>
      <c r="H4" s="152"/>
      <c r="I4" s="153">
        <f t="shared" si="0"/>
        <v>4.9930723362888285</v>
      </c>
      <c r="J4" s="152"/>
    </row>
    <row r="5" spans="1:10">
      <c r="A5" s="157" t="s">
        <v>2</v>
      </c>
      <c r="B5" s="152">
        <v>6</v>
      </c>
      <c r="C5" s="152">
        <v>4</v>
      </c>
      <c r="D5" s="152">
        <v>6</v>
      </c>
      <c r="E5" s="152">
        <v>3</v>
      </c>
      <c r="F5" s="153">
        <f>'Executive Summary für dä JWU'!C7/'Executive Summary für dä JWU'!$C$2*6</f>
        <v>3.1540348087338703</v>
      </c>
      <c r="G5" s="152">
        <v>3</v>
      </c>
      <c r="H5" s="152"/>
      <c r="I5" s="153">
        <f t="shared" si="0"/>
        <v>4.1923391347889778</v>
      </c>
      <c r="J5" s="152"/>
    </row>
    <row r="6" spans="1:10">
      <c r="A6" s="157" t="s">
        <v>4</v>
      </c>
      <c r="B6" s="152">
        <v>6</v>
      </c>
      <c r="C6" s="152">
        <v>2</v>
      </c>
      <c r="D6" s="152">
        <v>6</v>
      </c>
      <c r="E6" s="152">
        <v>3</v>
      </c>
      <c r="F6" s="153">
        <f>'Executive Summary für dä JWU'!C6/'Executive Summary für dä JWU'!$C$2*6</f>
        <v>3.4914418749303184</v>
      </c>
      <c r="G6" s="152">
        <v>3</v>
      </c>
      <c r="H6" s="152">
        <v>0.1</v>
      </c>
      <c r="I6" s="153">
        <f t="shared" si="0"/>
        <v>4.0152403124883858</v>
      </c>
      <c r="J6" s="154" t="s">
        <v>305</v>
      </c>
    </row>
    <row r="7" spans="1:10">
      <c r="A7" s="155" t="s">
        <v>0</v>
      </c>
      <c r="B7" s="152">
        <v>6</v>
      </c>
      <c r="C7" s="152">
        <v>1</v>
      </c>
      <c r="D7" s="152">
        <v>1</v>
      </c>
      <c r="E7" s="152">
        <v>6</v>
      </c>
      <c r="F7" s="153">
        <f>'Executive Summary für dä JWU'!C4/'Executive Summary für dä JWU'!$C$2*6</f>
        <v>5.3691894001185334</v>
      </c>
      <c r="G7" s="152">
        <v>3</v>
      </c>
      <c r="H7" s="152"/>
      <c r="I7" s="153">
        <f t="shared" si="0"/>
        <v>3.7281982333530888</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6598.5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0" t="s">
        <v>367</v>
      </c>
      <c r="Y13" s="230"/>
      <c r="Z13" s="221" t="s">
        <v>63</v>
      </c>
      <c r="AA13" s="221"/>
    </row>
    <row r="14" spans="1:27" ht="17" thickBot="1">
      <c r="B14" s="6"/>
      <c r="F14" s="63"/>
      <c r="L14" s="6"/>
      <c r="N14" s="29"/>
      <c r="O14" s="29"/>
      <c r="P14" s="29"/>
      <c r="Q14" s="227"/>
      <c r="R14" s="227"/>
      <c r="S14" s="227"/>
      <c r="T14" s="227"/>
      <c r="X14" s="231"/>
      <c r="Y14" s="231"/>
    </row>
    <row r="15" spans="1:27" ht="13.5" customHeight="1" thickBot="1">
      <c r="B15" s="6"/>
      <c r="L15" s="6"/>
      <c r="M15"/>
      <c r="Q15" s="1" t="s">
        <v>366</v>
      </c>
      <c r="S15" s="15">
        <v>1000</v>
      </c>
      <c r="V15" s="139" t="s">
        <v>125</v>
      </c>
      <c r="W15" s="140">
        <f>W16-S15</f>
        <v>5598.5</v>
      </c>
    </row>
    <row r="16" spans="1:27" ht="17.5"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ht="17">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2"/>
      <c r="D35" s="223"/>
      <c r="E35" s="223"/>
      <c r="F35" s="223"/>
      <c r="G35" s="223"/>
      <c r="H35" s="223"/>
      <c r="I35" s="223"/>
      <c r="J35" s="224"/>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2"/>
      <c r="D48" s="223"/>
      <c r="E48" s="223"/>
      <c r="F48" s="223"/>
      <c r="G48" s="223"/>
      <c r="H48" s="223"/>
      <c r="I48" s="223"/>
      <c r="J48" s="224"/>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2"/>
      <c r="D59" s="223"/>
      <c r="E59" s="223"/>
      <c r="F59" s="223"/>
      <c r="G59" s="223"/>
      <c r="H59" s="223"/>
      <c r="I59" s="223"/>
      <c r="J59" s="224"/>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2"/>
      <c r="D63" s="223"/>
      <c r="E63" s="223"/>
      <c r="F63" s="223"/>
      <c r="G63" s="223"/>
      <c r="H63" s="223"/>
      <c r="I63" s="223"/>
      <c r="J63" s="224"/>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2"/>
      <c r="D65" s="223"/>
      <c r="E65" s="223"/>
      <c r="F65" s="223"/>
      <c r="G65" s="223"/>
      <c r="H65" s="223"/>
      <c r="I65" s="223"/>
      <c r="J65" s="224"/>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1:27" ht="8.25" customHeight="1"/>
    <row r="2" spans="1: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1:27" ht="8.25" customHeight="1"/>
    <row r="4" spans="1:27" ht="9.75" customHeight="1"/>
    <row r="5" spans="1:27" ht="21.75" customHeight="1">
      <c r="B5" s="6"/>
      <c r="C5" s="7" t="s">
        <v>13</v>
      </c>
      <c r="D5" s="8"/>
      <c r="E5" s="8"/>
      <c r="F5" s="8"/>
      <c r="G5" s="8"/>
      <c r="H5" s="8"/>
      <c r="I5" s="9"/>
      <c r="J5" s="9"/>
      <c r="L5" s="6"/>
      <c r="M5" s="31" t="s">
        <v>14</v>
      </c>
      <c r="N5" s="8"/>
      <c r="O5" s="234" t="s">
        <v>31</v>
      </c>
      <c r="P5" s="234"/>
      <c r="Q5" s="234"/>
      <c r="R5" s="234"/>
      <c r="S5" s="235"/>
      <c r="T5" s="236">
        <f>W16</f>
        <v>5382.5</v>
      </c>
      <c r="U5" s="237"/>
      <c r="V5" s="238" t="s">
        <v>53</v>
      </c>
      <c r="W5" s="239"/>
      <c r="X5" s="238" t="s">
        <v>57</v>
      </c>
      <c r="Y5" s="239"/>
      <c r="Z5" s="238" t="s">
        <v>62</v>
      </c>
      <c r="AA5" s="239"/>
    </row>
    <row r="6" spans="1:27" ht="23.25" customHeight="1">
      <c r="B6" s="6"/>
      <c r="L6" s="6"/>
      <c r="V6" s="240"/>
      <c r="W6" s="241"/>
      <c r="X6" s="240"/>
      <c r="Y6" s="241"/>
      <c r="Z6" s="240"/>
      <c r="AA6" s="241"/>
    </row>
    <row r="7" spans="1:27" ht="17">
      <c r="B7" s="6"/>
      <c r="D7" s="33" t="s">
        <v>6</v>
      </c>
      <c r="E7" s="35" t="s">
        <v>7</v>
      </c>
      <c r="F7" s="35" t="s">
        <v>8</v>
      </c>
      <c r="G7" s="35" t="s">
        <v>9</v>
      </c>
      <c r="I7" s="11"/>
      <c r="J7" s="11"/>
      <c r="L7" s="6"/>
      <c r="N7" s="33" t="s">
        <v>6</v>
      </c>
      <c r="O7" s="68" t="s">
        <v>16</v>
      </c>
      <c r="P7" s="68" t="s">
        <v>17</v>
      </c>
      <c r="Q7" s="244" t="s">
        <v>26</v>
      </c>
      <c r="R7" s="244"/>
      <c r="S7" s="245" t="s">
        <v>27</v>
      </c>
      <c r="T7" s="245"/>
      <c r="U7" s="34"/>
      <c r="V7" s="242"/>
      <c r="W7" s="243"/>
      <c r="X7" s="242"/>
      <c r="Y7" s="243"/>
      <c r="Z7" s="242"/>
      <c r="AA7" s="24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0" t="s">
        <v>122</v>
      </c>
      <c r="Y13" s="230"/>
      <c r="Z13" s="221" t="s">
        <v>63</v>
      </c>
      <c r="AA13" s="221"/>
    </row>
    <row r="14" spans="1:27">
      <c r="B14" s="6"/>
      <c r="F14" s="63"/>
      <c r="L14" s="6"/>
      <c r="N14" s="29"/>
      <c r="O14" s="29"/>
      <c r="P14" s="29"/>
      <c r="Q14" s="227"/>
      <c r="R14" s="227"/>
      <c r="S14" s="227"/>
      <c r="T14" s="227"/>
      <c r="X14" s="231"/>
      <c r="Y14" s="231"/>
    </row>
    <row r="15" spans="1:27" ht="13.5" customHeight="1" thickBot="1">
      <c r="B15" s="6"/>
      <c r="L15" s="6"/>
      <c r="M15"/>
    </row>
    <row r="16" spans="1:27" ht="17.5"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ht="17">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8.72656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6.26953125" style="1" customWidth="1"/>
    <col min="27" max="27" width="24.26953125" style="1" bestFit="1" customWidth="1"/>
    <col min="28" max="28" width="12.7265625" style="1" bestFit="1" customWidth="1"/>
    <col min="29" max="29" width="23" style="1" bestFit="1" customWidth="1"/>
    <col min="30" max="30" width="20" style="1" bestFit="1" customWidth="1"/>
    <col min="31"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2995.2735682739599</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6" t="s">
        <v>335</v>
      </c>
      <c r="X20" s="226"/>
      <c r="Y20" s="226"/>
      <c r="Z20" s="226"/>
    </row>
    <row r="21" spans="2:34" ht="6" customHeight="1">
      <c r="B21" s="6"/>
      <c r="E21" s="2"/>
      <c r="F21" s="2"/>
      <c r="G21" s="2"/>
      <c r="H21" s="2"/>
      <c r="I21" s="2"/>
      <c r="J21" s="2"/>
      <c r="L21" s="6"/>
      <c r="O21" s="20"/>
      <c r="P21" s="20"/>
      <c r="Q21" s="20"/>
      <c r="R21" s="20"/>
      <c r="S21" s="20"/>
      <c r="T21" s="20"/>
      <c r="U21" s="20"/>
      <c r="W21" s="226"/>
      <c r="X21" s="226"/>
      <c r="Y21" s="226"/>
      <c r="Z21" s="226"/>
    </row>
    <row r="22" spans="2:34">
      <c r="B22" s="6"/>
      <c r="E22" s="18">
        <v>3</v>
      </c>
      <c r="F22" s="18">
        <v>5</v>
      </c>
      <c r="G22" s="18">
        <v>6</v>
      </c>
      <c r="H22" s="18">
        <v>7</v>
      </c>
      <c r="I22" s="18">
        <v>8</v>
      </c>
      <c r="J22" s="18">
        <v>1</v>
      </c>
      <c r="L22" s="6"/>
      <c r="W22" s="226"/>
      <c r="X22" s="226"/>
      <c r="Y22" s="226"/>
      <c r="Z22" s="226"/>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ht="17">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ht="17">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ht="17">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2190.92</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5"/>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81640625" style="1" bestFit="1" customWidth="1"/>
    <col min="23" max="23" width="16.7265625" style="1" customWidth="1"/>
    <col min="24" max="24" width="11.7265625" style="1" bestFit="1" customWidth="1"/>
    <col min="25" max="25" width="43.54296875" style="1" customWidth="1"/>
    <col min="26" max="26" width="11.81640625" style="1" bestFit="1" customWidth="1"/>
    <col min="27" max="27" width="12.1796875" style="1" customWidth="1"/>
    <col min="28" max="16384" width="11.36328125" style="1"/>
  </cols>
  <sheetData>
    <row r="1" spans="2:27" ht="8.25" customHeight="1"/>
    <row r="2" spans="2:27" ht="40.5" customHeight="1">
      <c r="C2" s="232" t="s">
        <v>5</v>
      </c>
      <c r="D2" s="233"/>
      <c r="E2" s="233"/>
      <c r="F2" s="233"/>
      <c r="G2" s="233"/>
      <c r="H2" s="233"/>
      <c r="I2" s="233"/>
      <c r="J2" s="233"/>
      <c r="K2" s="233"/>
      <c r="L2" s="233"/>
      <c r="M2" s="233"/>
      <c r="N2" s="233"/>
      <c r="O2" s="233"/>
      <c r="P2" s="233"/>
      <c r="Q2" s="233"/>
      <c r="R2" s="233"/>
      <c r="S2" s="233"/>
      <c r="T2" s="233"/>
      <c r="U2" s="233"/>
      <c r="V2" s="233"/>
      <c r="W2" s="233"/>
      <c r="X2" s="233"/>
      <c r="Y2" s="233"/>
      <c r="Z2" s="233"/>
      <c r="AA2" s="233"/>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W16</f>
        <v>1810.68</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5"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6"/>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6328125" defaultRowHeight="16.5"/>
  <cols>
    <col min="1" max="1" width="1.7265625" style="1" customWidth="1"/>
    <col min="2" max="2" width="1.36328125" style="1" customWidth="1"/>
    <col min="3" max="3" width="3.81640625" style="2" bestFit="1" customWidth="1"/>
    <col min="4" max="4" width="12.54296875" style="1" customWidth="1"/>
    <col min="5" max="10" width="7.1796875" style="1" customWidth="1"/>
    <col min="11" max="12" width="1.36328125" style="1" customWidth="1"/>
    <col min="13" max="13" width="12.542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3" width="16.7265625" style="1" customWidth="1"/>
    <col min="24" max="24" width="11.7265625" style="1" bestFit="1" customWidth="1"/>
    <col min="25" max="25" width="43.54296875" style="1" customWidth="1"/>
    <col min="26" max="26" width="11.36328125" style="1"/>
    <col min="27" max="27" width="12.1796875" style="1" customWidth="1"/>
    <col min="28" max="16384" width="11.363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4" t="s">
        <v>31</v>
      </c>
      <c r="P5" s="234"/>
      <c r="Q5" s="234"/>
      <c r="R5" s="234"/>
      <c r="S5" s="235"/>
      <c r="T5" s="236">
        <f>O16+S16-O15</f>
        <v>1326.93</v>
      </c>
      <c r="U5" s="237"/>
      <c r="V5" s="238" t="s">
        <v>53</v>
      </c>
      <c r="W5" s="239"/>
      <c r="X5" s="238" t="s">
        <v>57</v>
      </c>
      <c r="Y5" s="239"/>
      <c r="Z5" s="238" t="s">
        <v>62</v>
      </c>
      <c r="AA5" s="239"/>
    </row>
    <row r="6" spans="2:27" ht="23.25" customHeight="1">
      <c r="B6" s="6"/>
      <c r="L6" s="6"/>
      <c r="V6" s="240"/>
      <c r="W6" s="241"/>
      <c r="X6" s="240"/>
      <c r="Y6" s="241"/>
      <c r="Z6" s="240"/>
      <c r="AA6" s="241"/>
    </row>
    <row r="7" spans="2:27" ht="17">
      <c r="B7" s="6"/>
      <c r="D7" s="33" t="s">
        <v>6</v>
      </c>
      <c r="E7" s="35" t="s">
        <v>7</v>
      </c>
      <c r="F7" s="35" t="s">
        <v>8</v>
      </c>
      <c r="G7" s="35" t="s">
        <v>9</v>
      </c>
      <c r="H7" s="11"/>
      <c r="I7" s="11"/>
      <c r="J7" s="11"/>
      <c r="L7" s="6"/>
      <c r="N7" s="33" t="s">
        <v>6</v>
      </c>
      <c r="O7" s="68" t="s">
        <v>16</v>
      </c>
      <c r="P7" s="68" t="s">
        <v>17</v>
      </c>
      <c r="Q7" s="244" t="s">
        <v>26</v>
      </c>
      <c r="R7" s="244"/>
      <c r="S7" s="245" t="s">
        <v>27</v>
      </c>
      <c r="T7" s="245"/>
      <c r="U7" s="34"/>
      <c r="V7" s="242"/>
      <c r="W7" s="243"/>
      <c r="X7" s="242"/>
      <c r="Y7" s="243"/>
      <c r="Z7" s="242"/>
      <c r="AA7" s="24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0" t="s">
        <v>122</v>
      </c>
      <c r="Y13" s="230"/>
      <c r="Z13" s="221" t="s">
        <v>63</v>
      </c>
      <c r="AA13" s="221"/>
    </row>
    <row r="14" spans="2:27">
      <c r="B14" s="6"/>
      <c r="F14" s="63"/>
      <c r="L14" s="6"/>
      <c r="N14" s="29"/>
      <c r="O14" s="29"/>
      <c r="P14" s="29"/>
      <c r="Q14" s="227"/>
      <c r="R14" s="227"/>
      <c r="S14" s="227"/>
      <c r="T14" s="227"/>
      <c r="X14" s="231"/>
      <c r="Y14" s="231"/>
    </row>
    <row r="15" spans="2:27" ht="13.5" customHeight="1" thickBot="1">
      <c r="B15" s="6"/>
      <c r="L15" s="6"/>
    </row>
    <row r="16" spans="2:27" ht="17.5"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7" width="14.36328125" style="1" customWidth="1"/>
    <col min="18" max="18" width="13.36328125" style="1" customWidth="1"/>
    <col min="19" max="19" width="14.36328125" style="1" customWidth="1"/>
    <col min="20" max="20" width="20.36328125" style="1" customWidth="1"/>
    <col min="21" max="21" width="5.36328125" style="1" hidden="1" customWidth="1"/>
    <col min="22" max="22" width="11.36328125" style="1"/>
    <col min="23" max="24" width="11.7265625" style="1" bestFit="1" customWidth="1"/>
    <col min="25" max="16384" width="11.363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4" t="s">
        <v>31</v>
      </c>
      <c r="P5" s="234"/>
      <c r="Q5" s="234"/>
      <c r="R5" s="234"/>
      <c r="S5" s="235"/>
      <c r="T5" s="236">
        <f>O16+S16</f>
        <v>1395.45</v>
      </c>
      <c r="U5" s="237"/>
    </row>
    <row r="6" spans="2:21" ht="23.25" customHeight="1">
      <c r="B6" s="6"/>
      <c r="L6" s="6"/>
    </row>
    <row r="7" spans="2:21" ht="17">
      <c r="B7" s="6"/>
      <c r="D7" s="33" t="s">
        <v>6</v>
      </c>
      <c r="E7" s="35" t="s">
        <v>7</v>
      </c>
      <c r="F7" s="35" t="s">
        <v>8</v>
      </c>
      <c r="G7" s="35" t="s">
        <v>9</v>
      </c>
      <c r="H7" s="11"/>
      <c r="I7" s="11"/>
      <c r="J7" s="11"/>
      <c r="L7" s="6"/>
      <c r="N7" s="33" t="s">
        <v>6</v>
      </c>
      <c r="O7" s="68" t="s">
        <v>16</v>
      </c>
      <c r="P7" s="68" t="s">
        <v>17</v>
      </c>
      <c r="Q7" s="244" t="s">
        <v>26</v>
      </c>
      <c r="R7" s="244"/>
      <c r="S7" s="245" t="s">
        <v>27</v>
      </c>
      <c r="T7" s="24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27"/>
      <c r="R14" s="227"/>
      <c r="S14" s="227"/>
      <c r="T14" s="227"/>
    </row>
    <row r="15" spans="2:21" ht="8.25" customHeight="1">
      <c r="B15" s="6"/>
      <c r="L15" s="6"/>
    </row>
    <row r="16" spans="2:21" ht="17">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0" width="7.1796875" style="1" customWidth="1"/>
    <col min="11" max="12" width="1.36328125" style="1" customWidth="1"/>
    <col min="13" max="13" width="12.1796875" style="29" bestFit="1" customWidth="1"/>
    <col min="14" max="14" width="26.54296875" style="1" customWidth="1"/>
    <col min="15" max="15" width="16.7265625" style="1" customWidth="1"/>
    <col min="16" max="16" width="14.36328125" style="1" hidden="1" customWidth="1"/>
    <col min="17" max="18" width="14.36328125" style="1" customWidth="1"/>
    <col min="19" max="19" width="13.36328125" style="1" customWidth="1"/>
    <col min="20" max="20" width="14.36328125" style="1" customWidth="1"/>
    <col min="21" max="21" width="17" style="1" customWidth="1"/>
    <col min="22" max="22" width="20.54296875" style="1" customWidth="1"/>
    <col min="23" max="23" width="53.26953125" style="1" customWidth="1"/>
    <col min="24" max="24" width="11.7265625" style="1" bestFit="1" customWidth="1"/>
    <col min="25" max="25" width="11.36328125" style="1"/>
    <col min="26" max="27" width="11.7265625" style="1" bestFit="1" customWidth="1"/>
    <col min="28" max="16384" width="11.363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ht="17">
      <c r="B7" s="6"/>
      <c r="D7" s="33" t="s">
        <v>6</v>
      </c>
      <c r="E7" s="35" t="s">
        <v>7</v>
      </c>
      <c r="F7" s="35" t="s">
        <v>8</v>
      </c>
      <c r="G7" s="35" t="s">
        <v>9</v>
      </c>
      <c r="H7" s="11"/>
      <c r="I7" s="11"/>
      <c r="J7" s="11"/>
      <c r="L7" s="6"/>
      <c r="N7" s="33" t="s">
        <v>6</v>
      </c>
      <c r="O7" s="68" t="s">
        <v>16</v>
      </c>
      <c r="P7" s="34"/>
      <c r="Q7" s="68" t="s">
        <v>17</v>
      </c>
      <c r="R7" s="244" t="s">
        <v>26</v>
      </c>
      <c r="S7" s="244"/>
      <c r="T7" s="245" t="s">
        <v>27</v>
      </c>
      <c r="U7" s="24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ht="17">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6328125" defaultRowHeight="16.5"/>
  <cols>
    <col min="1" max="1" width="1.7265625" style="1" customWidth="1"/>
    <col min="2" max="2" width="1.36328125" style="1" customWidth="1"/>
    <col min="3" max="3" width="3.81640625" style="2" bestFit="1" customWidth="1"/>
    <col min="4" max="4" width="12.1796875" style="1" bestFit="1" customWidth="1"/>
    <col min="5" max="11" width="7.1796875" style="1" customWidth="1"/>
    <col min="12" max="13" width="1.36328125" style="1" customWidth="1"/>
    <col min="14" max="14" width="12.1796875" style="1" bestFit="1" customWidth="1"/>
    <col min="15" max="15" width="22.1796875" style="1" bestFit="1" customWidth="1"/>
    <col min="16" max="16" width="14" style="1" bestFit="1" customWidth="1"/>
    <col min="17" max="17" width="11.7265625" style="1" bestFit="1" customWidth="1"/>
    <col min="18" max="19" width="12.7265625" style="1" bestFit="1" customWidth="1"/>
    <col min="20" max="20" width="12.1796875" style="1" customWidth="1"/>
    <col min="21" max="21" width="12.7265625" style="1" bestFit="1" customWidth="1"/>
    <col min="22" max="22" width="11.7265625" style="1" bestFit="1" customWidth="1"/>
    <col min="23" max="23" width="1.36328125" style="1" customWidth="1"/>
    <col min="24" max="24" width="4.1796875" style="1" customWidth="1"/>
    <col min="25" max="25" width="11.7265625" style="1" bestFit="1" customWidth="1"/>
    <col min="26" max="16384" width="11.363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ht="17">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3.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Jucker Sascha</cp:lastModifiedBy>
  <dcterms:created xsi:type="dcterms:W3CDTF">2016-04-19T12:52:17Z</dcterms:created>
  <dcterms:modified xsi:type="dcterms:W3CDTF">2026-08-03T06:13:36Z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