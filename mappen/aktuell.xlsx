
<file path=[Content_Types].xml><?xml version="1.0" encoding="utf-8"?>
<Types xmlns="http://schemas.openxmlformats.org/package/2006/content-types">
  <Default Extension="bin" ContentType="application/vnd.openxmlformats-officedocument.spreadsheetml.printerSettings"/>
  <Default Extension="jfif" ContentType="image/jpeg"/>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ink/ink1.xml" ContentType="application/inkml+xml"/>
  <Override PartName="/xl/ink/ink2.xml" ContentType="application/inkml+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codeName="ThisWorkbook" defaultThemeVersion="124226"/>
  <mc:AlternateContent xmlns:mc="http://schemas.openxmlformats.org/markup-compatibility/2006">
    <mc:Choice Requires="x15">
      <x15ac:absPath xmlns:x15ac="http://schemas.microsoft.com/office/spreadsheetml/2010/11/ac" url="C:\Users\Matth\Desktop\"/>
    </mc:Choice>
  </mc:AlternateContent>
  <xr:revisionPtr revIDLastSave="0" documentId="13_ncr:1_{876911E3-5F89-4592-810B-B67AE912BDF1}" xr6:coauthVersionLast="47" xr6:coauthVersionMax="47" xr10:uidLastSave="{00000000-0000-0000-0000-000000000000}"/>
  <bookViews>
    <workbookView xWindow="-103" yWindow="-103" windowWidth="27977" windowHeight="18274" tabRatio="785" firstSheet="1" activeTab="1" xr2:uid="{00000000-000D-0000-FFFF-FFFF00000000}"/>
  </bookViews>
  <sheets>
    <sheet name="Graphs" sheetId="2" state="hidden" r:id="rId1"/>
    <sheet name="Stats 2026" sheetId="18" r:id="rId2"/>
    <sheet name="All-time DF Stats" sheetId="3" r:id="rId3"/>
    <sheet name="Executive Summary für dä JWU" sheetId="4" r:id="rId4"/>
    <sheet name="Participation" sheetId="9" r:id="rId5"/>
    <sheet name="CBO Behauptet" sheetId="15" state="hidden" r:id="rId6"/>
    <sheet name="Wär isch dä Bescht" sheetId="12" r:id="rId7"/>
    <sheet name="Stats 2025" sheetId="17" r:id="rId8"/>
    <sheet name="Stats 2024" sheetId="16" r:id="rId9"/>
    <sheet name="Stats 2023" sheetId="14" r:id="rId10"/>
    <sheet name="Stats 2022" sheetId="11" r:id="rId11"/>
    <sheet name="Stats 2021" sheetId="10" r:id="rId12"/>
    <sheet name="Stats 2020" sheetId="1" r:id="rId13"/>
    <sheet name="Stats 2019" sheetId="5" r:id="rId14"/>
    <sheet name="Stats 2018" sheetId="6" r:id="rId15"/>
    <sheet name="Stats 2017" sheetId="7" r:id="rId16"/>
  </sheets>
  <definedNames>
    <definedName name="_xlnm._FilterDatabase" localSheetId="4" hidden="1">Participation!$J$1:$U$533</definedName>
    <definedName name="_tags1" localSheetId="4" hidden="1">"&lt;tags&gt;&lt;tag n=""Palette"" v=""-1"" /&gt;&lt;tag n=""ClosestPalette"" v=""1"" /&gt;&lt;/tags&gt;"</definedName>
    <definedName name="_tags1" localSheetId="15" hidden="1">"&lt;tags&gt;&lt;tag n=""Palette"" v=""-1"" /&gt;&lt;tag n=""ClosestPalette"" v=""1"" /&gt;&lt;/tags&gt;"</definedName>
    <definedName name="_tags1" localSheetId="14" hidden="1">"&lt;tags&gt;&lt;tag n=""Palette"" v=""-1"" /&gt;&lt;tag n=""ClosestPalette"" v=""1"" /&gt;&lt;/tags&gt;"</definedName>
    <definedName name="_tags1" localSheetId="13" hidden="1">"&lt;tags&gt;&lt;tag n=""Palette"" v=""-1"" /&gt;&lt;tag n=""ClosestPalette"" v=""1"" /&gt;&lt;/tags&gt;"</definedName>
    <definedName name="_tags1" localSheetId="12" hidden="1">"&lt;tags&gt;&lt;tag n=""Palette"" v=""-1"" /&gt;&lt;tag n=""ClosestPalette"" v=""1"" /&gt;&lt;/tags&gt;"</definedName>
    <definedName name="_tags1" localSheetId="11" hidden="1">"&lt;tags&gt;&lt;tag n=""Palette"" v=""-1"" /&gt;&lt;tag n=""ClosestPalette"" v=""1"" /&gt;&lt;/tags&gt;"</definedName>
    <definedName name="_tags1" localSheetId="10" hidden="1">"&lt;tags&gt;&lt;tag n=""Palette"" v=""-1"" /&gt;&lt;tag n=""ClosestPalette"" v=""1"" /&gt;&lt;/tags&gt;"</definedName>
    <definedName name="_tags1" localSheetId="9" hidden="1">"&lt;tags&gt;&lt;tag n=""Palette"" v=""-1"" /&gt;&lt;tag n=""ClosestPalette"" v=""1"" /&gt;&lt;/tags&gt;"</definedName>
    <definedName name="_tags1" localSheetId="8" hidden="1">"&lt;tags&gt;&lt;tag n=""Palette"" v=""-1"" /&gt;&lt;tag n=""ClosestPalette"" v=""1"" /&gt;&lt;/tags&gt;"</definedName>
    <definedName name="_tags1" localSheetId="7" hidden="1">"&lt;tags&gt;&lt;tag n=""Palette"" v=""-1"" /&gt;&lt;tag n=""ClosestPalette"" v=""1"" /&gt;&lt;/tags&gt;"</definedName>
    <definedName name="_tags1" localSheetId="1" hidden="1">"&lt;tags&gt;&lt;tag n=""Palette"" v=""-1"" /&gt;&lt;tag n=""ClosestPalette"" v=""1"" /&gt;&lt;/tags&gt;"</definedName>
    <definedName name="cbo_range" localSheetId="4">OFFSET(#REF!,0,3,#REF!,1)</definedName>
    <definedName name="cbo_range" localSheetId="15">OFFSET(#REF!,0,3,#REF!,1)</definedName>
    <definedName name="cbo_range" localSheetId="14">OFFSET(#REF!,0,3,#REF!,1)</definedName>
    <definedName name="cbo_range" localSheetId="13">OFFSET(#REF!,0,3,#REF!,1)</definedName>
    <definedName name="cbo_range" localSheetId="11">OFFSET(#REF!,0,3,#REF!,1)</definedName>
    <definedName name="cbo_range" localSheetId="10">OFFSET(#REF!,0,3,#REF!,1)</definedName>
    <definedName name="cbo_range" localSheetId="9">OFFSET(#REF!,0,3,#REF!,1)</definedName>
    <definedName name="cbo_range" localSheetId="8">OFFSET(#REF!,0,3,#REF!,1)</definedName>
    <definedName name="cbo_range" localSheetId="7">OFFSET(#REF!,0,3,#REF!,1)</definedName>
    <definedName name="cbo_range" localSheetId="1">OFFSET(#REF!,0,3,#REF!,1)</definedName>
    <definedName name="cbo_range">OFFSET(#REF!,0,3,#REF!,1)</definedName>
    <definedName name="date_range" localSheetId="4">OFFSET(#REF!,0,0,#REF!,1)</definedName>
    <definedName name="date_range" localSheetId="15">OFFSET(#REF!,0,0,#REF!,1)</definedName>
    <definedName name="date_range" localSheetId="14">OFFSET(#REF!,0,0,#REF!,1)</definedName>
    <definedName name="date_range" localSheetId="13">OFFSET(#REF!,0,0,#REF!,1)</definedName>
    <definedName name="date_range" localSheetId="11">OFFSET(#REF!,0,0,#REF!,1)</definedName>
    <definedName name="date_range" localSheetId="10">OFFSET(#REF!,0,0,#REF!,1)</definedName>
    <definedName name="date_range" localSheetId="9">OFFSET(#REF!,0,0,#REF!,1)</definedName>
    <definedName name="date_range" localSheetId="8">OFFSET(#REF!,0,0,#REF!,1)</definedName>
    <definedName name="date_range" localSheetId="7">OFFSET(#REF!,0,0,#REF!,1)</definedName>
    <definedName name="date_range" localSheetId="1">OFFSET(#REF!,0,0,#REF!,1)</definedName>
    <definedName name="date_range">OFFSET(#REF!,0,0,#REF!,1)</definedName>
    <definedName name="jwi_range" localSheetId="4">OFFSET(#REF!,0,2,#REF!,1)</definedName>
    <definedName name="jwi_range" localSheetId="15">OFFSET(#REF!,0,2,#REF!,1)</definedName>
    <definedName name="jwi_range" localSheetId="14">OFFSET(#REF!,0,2,#REF!,1)</definedName>
    <definedName name="jwi_range" localSheetId="13">OFFSET(#REF!,0,2,#REF!,1)</definedName>
    <definedName name="jwi_range" localSheetId="11">OFFSET(#REF!,0,2,#REF!,1)</definedName>
    <definedName name="jwi_range" localSheetId="10">OFFSET(#REF!,0,2,#REF!,1)</definedName>
    <definedName name="jwi_range" localSheetId="9">OFFSET(#REF!,0,2,#REF!,1)</definedName>
    <definedName name="jwi_range" localSheetId="8">OFFSET(#REF!,0,2,#REF!,1)</definedName>
    <definedName name="jwi_range" localSheetId="7">OFFSET(#REF!,0,2,#REF!,1)</definedName>
    <definedName name="jwi_range" localSheetId="1">OFFSET(#REF!,0,2,#REF!,1)</definedName>
    <definedName name="jwi_range">OFFSET(#REF!,0,2,#REF!,1)</definedName>
    <definedName name="jwu_range" localSheetId="4">OFFSET(#REF!,0,1,#REF!,1)</definedName>
    <definedName name="jwu_range" localSheetId="15">OFFSET(#REF!,0,1,#REF!,1)</definedName>
    <definedName name="jwu_range" localSheetId="14">OFFSET(#REF!,0,1,#REF!,1)</definedName>
    <definedName name="jwu_range" localSheetId="13">OFFSET(#REF!,0,1,#REF!,1)</definedName>
    <definedName name="jwu_range" localSheetId="11">OFFSET(#REF!,0,1,#REF!,1)</definedName>
    <definedName name="jwu_range" localSheetId="10">OFFSET(#REF!,0,1,#REF!,1)</definedName>
    <definedName name="jwu_range" localSheetId="9">OFFSET(#REF!,0,1,#REF!,1)</definedName>
    <definedName name="jwu_range" localSheetId="8">OFFSET(#REF!,0,1,#REF!,1)</definedName>
    <definedName name="jwu_range" localSheetId="7">OFFSET(#REF!,0,1,#REF!,1)</definedName>
    <definedName name="jwu_range" localSheetId="1">OFFSET(#REF!,0,1,#REF!,1)</definedName>
    <definedName name="jwu_range">OFFSET(#REF!,0,1,#REF!,1)</definedName>
    <definedName name="mst_range" localSheetId="4">OFFSET(#REF!,0,7,#REF!,1)</definedName>
    <definedName name="mst_range" localSheetId="15">OFFSET(#REF!,0,7,#REF!,1)</definedName>
    <definedName name="mst_range" localSheetId="14">OFFSET(#REF!,0,7,#REF!,1)</definedName>
    <definedName name="mst_range" localSheetId="13">OFFSET(#REF!,0,7,#REF!,1)</definedName>
    <definedName name="mst_range" localSheetId="11">OFFSET(#REF!,0,7,#REF!,1)</definedName>
    <definedName name="mst_range" localSheetId="10">OFFSET(#REF!,0,7,#REF!,1)</definedName>
    <definedName name="mst_range" localSheetId="9">OFFSET(#REF!,0,7,#REF!,1)</definedName>
    <definedName name="mst_range" localSheetId="8">OFFSET(#REF!,0,7,#REF!,1)</definedName>
    <definedName name="mst_range" localSheetId="7">OFFSET(#REF!,0,7,#REF!,1)</definedName>
    <definedName name="mst_range" localSheetId="1">OFFSET(#REF!,0,7,#REF!,1)</definedName>
    <definedName name="mst_range">OFFSET(#REF!,0,7,#REF!,1)</definedName>
    <definedName name="pivot_range" localSheetId="4">OFFSET(Participation!#REF!,0,0,Participation!#REF!,9)</definedName>
    <definedName name="pivot_range" localSheetId="15">OFFSET('Stats 2017'!$M$23,0,0,'Stats 2017'!$U$17,9)</definedName>
    <definedName name="pivot_range" localSheetId="14">OFFSET('Stats 2018'!$M$23,0,0,'Stats 2018'!$U$17,9)</definedName>
    <definedName name="pivot_range" localSheetId="13">OFFSET('Stats 2019'!$M$23,0,0,'Stats 2019'!$T$17,9)</definedName>
    <definedName name="pivot_range" localSheetId="11">OFFSET('Stats 2021'!$M$23,0,0,'Stats 2021'!$T$17,9)</definedName>
    <definedName name="pivot_range" localSheetId="10">OFFSET('Stats 2022'!$M$23,0,0,'Stats 2022'!$T$17,9)</definedName>
    <definedName name="pivot_range" localSheetId="9">OFFSET('Stats 2023'!$M$23,0,0,'Stats 2023'!$T$17,9)</definedName>
    <definedName name="pivot_range" localSheetId="8">OFFSET('Stats 2024'!$M$23,0,0,'Stats 2024'!$T$17,9)</definedName>
    <definedName name="pivot_range" localSheetId="7">OFFSET('Stats 2025'!$M$23,0,0,'Stats 2025'!$T$17,9)</definedName>
    <definedName name="pivot_range" localSheetId="1">OFFSET('Stats 2026'!$M$23,0,0,'Stats 2026'!$T$17,9)</definedName>
    <definedName name="pivot_range">OFFSET('Stats 2020'!$M$23,0,0,'Stats 2020'!$T$17,9)</definedName>
    <definedName name="pkn_range" localSheetId="4">OFFSET(#REF!,0,4,#REF!,1)</definedName>
    <definedName name="pkn_range" localSheetId="15">OFFSET(#REF!,0,4,#REF!,1)</definedName>
    <definedName name="pkn_range" localSheetId="14">OFFSET(#REF!,0,4,#REF!,1)</definedName>
    <definedName name="pkn_range" localSheetId="13">OFFSET(#REF!,0,4,#REF!,1)</definedName>
    <definedName name="pkn_range" localSheetId="11">OFFSET(#REF!,0,4,#REF!,1)</definedName>
    <definedName name="pkn_range" localSheetId="10">OFFSET(#REF!,0,4,#REF!,1)</definedName>
    <definedName name="pkn_range" localSheetId="9">OFFSET(#REF!,0,4,#REF!,1)</definedName>
    <definedName name="pkn_range" localSheetId="8">OFFSET(#REF!,0,4,#REF!,1)</definedName>
    <definedName name="pkn_range" localSheetId="7">OFFSET(#REF!,0,4,#REF!,1)</definedName>
    <definedName name="pkn_range" localSheetId="1">OFFSET(#REF!,0,4,#REF!,1)</definedName>
    <definedName name="pkn_range">OFFSET(#REF!,0,4,#REF!,1)</definedName>
    <definedName name="sju_range" localSheetId="4">OFFSET(#REF!,0,6,#REF!,1)</definedName>
    <definedName name="sju_range" localSheetId="15">OFFSET(#REF!,0,6,#REF!,1)</definedName>
    <definedName name="sju_range" localSheetId="14">OFFSET(#REF!,0,6,#REF!,1)</definedName>
    <definedName name="sju_range" localSheetId="13">OFFSET(#REF!,0,6,#REF!,1)</definedName>
    <definedName name="sju_range" localSheetId="11">OFFSET(#REF!,0,6,#REF!,1)</definedName>
    <definedName name="sju_range" localSheetId="10">OFFSET(#REF!,0,6,#REF!,1)</definedName>
    <definedName name="sju_range" localSheetId="9">OFFSET(#REF!,0,6,#REF!,1)</definedName>
    <definedName name="sju_range" localSheetId="8">OFFSET(#REF!,0,6,#REF!,1)</definedName>
    <definedName name="sju_range" localSheetId="7">OFFSET(#REF!,0,6,#REF!,1)</definedName>
    <definedName name="sju_range" localSheetId="1">OFFSET(#REF!,0,6,#REF!,1)</definedName>
    <definedName name="sju_range">OFFSET(#REF!,0,6,#REF!,1)</definedName>
    <definedName name="ymi_range" localSheetId="4">OFFSET(#REF!,0,5,#REF!,1)</definedName>
    <definedName name="ymi_range" localSheetId="15">OFFSET(#REF!,0,5,#REF!,1)</definedName>
    <definedName name="ymi_range" localSheetId="14">OFFSET(#REF!,0,5,#REF!,1)</definedName>
    <definedName name="ymi_range" localSheetId="13">OFFSET(#REF!,0,5,#REF!,1)</definedName>
    <definedName name="ymi_range" localSheetId="11">OFFSET(#REF!,0,5,#REF!,1)</definedName>
    <definedName name="ymi_range" localSheetId="10">OFFSET(#REF!,0,5,#REF!,1)</definedName>
    <definedName name="ymi_range" localSheetId="9">OFFSET(#REF!,0,5,#REF!,1)</definedName>
    <definedName name="ymi_range" localSheetId="8">OFFSET(#REF!,0,5,#REF!,1)</definedName>
    <definedName name="ymi_range" localSheetId="7">OFFSET(#REF!,0,5,#REF!,1)</definedName>
    <definedName name="ymi_range" localSheetId="1">OFFSET(#REF!,0,5,#REF!,1)</definedName>
    <definedName name="ymi_range">OFFSET(#REF!,0,5,#REF!,1)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0" i="7" l="1"/>
  <c r="O20" i="7"/>
  <c r="P20" i="7"/>
  <c r="P10" i="7" s="1"/>
  <c r="Q20" i="7"/>
  <c r="R20" i="7"/>
  <c r="S20" i="7"/>
  <c r="T20" i="7"/>
  <c r="E25" i="7"/>
  <c r="F25" i="7"/>
  <c r="G25" i="7"/>
  <c r="H25" i="7"/>
  <c r="H20" i="7" s="1"/>
  <c r="I25" i="7"/>
  <c r="E26" i="7"/>
  <c r="F26" i="7"/>
  <c r="G26" i="7"/>
  <c r="G20" i="7" s="1"/>
  <c r="H26" i="7"/>
  <c r="I26" i="7"/>
  <c r="E27" i="7"/>
  <c r="F27" i="7"/>
  <c r="F20" i="7" s="1"/>
  <c r="G27" i="7"/>
  <c r="H27" i="7"/>
  <c r="I27" i="7"/>
  <c r="E28" i="7"/>
  <c r="F28" i="7"/>
  <c r="G28" i="7"/>
  <c r="H28" i="7"/>
  <c r="I28" i="7"/>
  <c r="E29" i="7"/>
  <c r="F29" i="7"/>
  <c r="G29" i="7"/>
  <c r="H29" i="7"/>
  <c r="I29" i="7"/>
  <c r="E30" i="7"/>
  <c r="F30" i="7"/>
  <c r="G30" i="7"/>
  <c r="H30" i="7"/>
  <c r="I30" i="7"/>
  <c r="E31" i="7"/>
  <c r="F31" i="7"/>
  <c r="G31" i="7"/>
  <c r="H31" i="7"/>
  <c r="I31" i="7"/>
  <c r="E32" i="7"/>
  <c r="F32" i="7"/>
  <c r="G32" i="7"/>
  <c r="H32" i="7"/>
  <c r="I32" i="7"/>
  <c r="E33" i="7"/>
  <c r="F33" i="7"/>
  <c r="G33" i="7"/>
  <c r="H33" i="7"/>
  <c r="I33" i="7"/>
  <c r="E34" i="7"/>
  <c r="F34" i="7"/>
  <c r="G34" i="7"/>
  <c r="H34" i="7"/>
  <c r="I34" i="7"/>
  <c r="E35" i="7"/>
  <c r="F35" i="7"/>
  <c r="G35" i="7"/>
  <c r="H35" i="7"/>
  <c r="I35" i="7"/>
  <c r="E36" i="7"/>
  <c r="F36" i="7"/>
  <c r="G36" i="7"/>
  <c r="H36" i="7"/>
  <c r="I36" i="7"/>
  <c r="I20" i="7" s="1"/>
  <c r="E37" i="7"/>
  <c r="F37" i="7"/>
  <c r="G37" i="7"/>
  <c r="H37" i="7"/>
  <c r="I37" i="7"/>
  <c r="E38" i="7"/>
  <c r="F38" i="7"/>
  <c r="G38" i="7"/>
  <c r="H38" i="7"/>
  <c r="I38" i="7"/>
  <c r="E39" i="7"/>
  <c r="F39" i="7"/>
  <c r="G39" i="7"/>
  <c r="H39" i="7"/>
  <c r="I39" i="7"/>
  <c r="E40" i="7"/>
  <c r="F40" i="7"/>
  <c r="G40" i="7"/>
  <c r="H40" i="7"/>
  <c r="I40" i="7"/>
  <c r="J25" i="7"/>
  <c r="J26" i="7"/>
  <c r="J27" i="7"/>
  <c r="J28" i="7"/>
  <c r="J29" i="7"/>
  <c r="J30" i="7"/>
  <c r="J31" i="7"/>
  <c r="J32" i="7"/>
  <c r="J33" i="7"/>
  <c r="J34" i="7"/>
  <c r="J35" i="7"/>
  <c r="J36" i="7"/>
  <c r="J37" i="7"/>
  <c r="J38" i="7"/>
  <c r="J39" i="7"/>
  <c r="J40" i="7"/>
  <c r="E43" i="7"/>
  <c r="F43" i="7"/>
  <c r="G43" i="7"/>
  <c r="H43" i="7"/>
  <c r="I43" i="7"/>
  <c r="J43" i="7"/>
  <c r="E44" i="7"/>
  <c r="F44" i="7"/>
  <c r="G44" i="7"/>
  <c r="H44" i="7"/>
  <c r="I44" i="7"/>
  <c r="J44" i="7"/>
  <c r="E45" i="7"/>
  <c r="F45" i="7"/>
  <c r="G45" i="7"/>
  <c r="H45" i="7"/>
  <c r="I45" i="7"/>
  <c r="J45" i="7"/>
  <c r="E46" i="7"/>
  <c r="F46" i="7"/>
  <c r="G46" i="7"/>
  <c r="H46" i="7"/>
  <c r="I46" i="7"/>
  <c r="J46" i="7"/>
  <c r="E47" i="7"/>
  <c r="F47" i="7"/>
  <c r="G47" i="7"/>
  <c r="H47" i="7"/>
  <c r="I47" i="7"/>
  <c r="J47" i="7"/>
  <c r="E48" i="7"/>
  <c r="F48" i="7"/>
  <c r="G48" i="7"/>
  <c r="H48" i="7"/>
  <c r="I48" i="7"/>
  <c r="J48" i="7"/>
  <c r="E49" i="7"/>
  <c r="F49" i="7"/>
  <c r="G49" i="7"/>
  <c r="H49" i="7"/>
  <c r="I49" i="7"/>
  <c r="J49" i="7"/>
  <c r="E50" i="7"/>
  <c r="F50" i="7"/>
  <c r="G50" i="7"/>
  <c r="H50" i="7"/>
  <c r="I50" i="7"/>
  <c r="J50" i="7"/>
  <c r="E51" i="7"/>
  <c r="F51" i="7"/>
  <c r="G51" i="7"/>
  <c r="H51" i="7"/>
  <c r="I51" i="7"/>
  <c r="J51" i="7"/>
  <c r="E52" i="7"/>
  <c r="F52" i="7"/>
  <c r="G52" i="7"/>
  <c r="H52" i="7"/>
  <c r="I52" i="7"/>
  <c r="J52" i="7"/>
  <c r="E53" i="7"/>
  <c r="F53" i="7"/>
  <c r="G53" i="7"/>
  <c r="H53" i="7"/>
  <c r="I53" i="7"/>
  <c r="J53" i="7"/>
  <c r="E54" i="7"/>
  <c r="F54" i="7"/>
  <c r="G54" i="7"/>
  <c r="H54" i="7"/>
  <c r="I54" i="7"/>
  <c r="J54" i="7"/>
  <c r="E55" i="7"/>
  <c r="F55" i="7"/>
  <c r="G55" i="7"/>
  <c r="H55" i="7"/>
  <c r="I55" i="7"/>
  <c r="J55" i="7"/>
  <c r="E56" i="7"/>
  <c r="F56" i="7"/>
  <c r="G56" i="7"/>
  <c r="H56" i="7"/>
  <c r="I56" i="7"/>
  <c r="J56" i="7"/>
  <c r="E57" i="7"/>
  <c r="F57" i="7"/>
  <c r="G57" i="7"/>
  <c r="H57" i="7"/>
  <c r="I57" i="7"/>
  <c r="J57" i="7"/>
  <c r="E58" i="7"/>
  <c r="F58" i="7"/>
  <c r="G58" i="7"/>
  <c r="H58" i="7"/>
  <c r="I58" i="7"/>
  <c r="J58" i="7"/>
  <c r="E59" i="7"/>
  <c r="F59" i="7"/>
  <c r="G59" i="7"/>
  <c r="H59" i="7"/>
  <c r="I59" i="7"/>
  <c r="J59" i="7"/>
  <c r="E60" i="7"/>
  <c r="F60" i="7"/>
  <c r="G60" i="7"/>
  <c r="H60" i="7"/>
  <c r="I60" i="7"/>
  <c r="J60" i="7"/>
  <c r="E61" i="7"/>
  <c r="F61" i="7"/>
  <c r="G61" i="7"/>
  <c r="H61" i="7"/>
  <c r="I61" i="7"/>
  <c r="J61" i="7"/>
  <c r="E62" i="7"/>
  <c r="F62" i="7"/>
  <c r="G62" i="7"/>
  <c r="H62" i="7"/>
  <c r="I62" i="7"/>
  <c r="J62" i="7"/>
  <c r="E63" i="7"/>
  <c r="F63" i="7"/>
  <c r="G63" i="7"/>
  <c r="H63" i="7"/>
  <c r="I63" i="7"/>
  <c r="J63" i="7"/>
  <c r="E64" i="7"/>
  <c r="F64" i="7"/>
  <c r="G64" i="7"/>
  <c r="H64" i="7"/>
  <c r="I64" i="7"/>
  <c r="J64" i="7"/>
  <c r="E65" i="7"/>
  <c r="F65" i="7"/>
  <c r="G65" i="7"/>
  <c r="H65" i="7"/>
  <c r="I65" i="7"/>
  <c r="J65" i="7"/>
  <c r="E66" i="7"/>
  <c r="F66" i="7"/>
  <c r="G66" i="7"/>
  <c r="H66" i="7"/>
  <c r="I66" i="7"/>
  <c r="J66" i="7"/>
  <c r="E67" i="7"/>
  <c r="F67" i="7"/>
  <c r="G67" i="7"/>
  <c r="H67" i="7"/>
  <c r="I67" i="7"/>
  <c r="J67" i="7"/>
  <c r="E68" i="7"/>
  <c r="F68" i="7"/>
  <c r="G68" i="7"/>
  <c r="H68" i="7"/>
  <c r="I68" i="7"/>
  <c r="J68" i="7"/>
  <c r="E69" i="7"/>
  <c r="F69" i="7"/>
  <c r="G69" i="7"/>
  <c r="H69" i="7"/>
  <c r="I69" i="7"/>
  <c r="J69" i="7"/>
  <c r="E70" i="7"/>
  <c r="F70" i="7"/>
  <c r="G70" i="7"/>
  <c r="H70" i="7"/>
  <c r="I70" i="7"/>
  <c r="J70" i="7"/>
  <c r="E71" i="7"/>
  <c r="F71" i="7"/>
  <c r="G71" i="7"/>
  <c r="H71" i="7"/>
  <c r="I71" i="7"/>
  <c r="J71" i="7"/>
  <c r="E72" i="7"/>
  <c r="F72" i="7"/>
  <c r="G72" i="7"/>
  <c r="H72" i="7"/>
  <c r="I72" i="7"/>
  <c r="J72" i="7"/>
  <c r="E73" i="7"/>
  <c r="F73" i="7"/>
  <c r="G73" i="7"/>
  <c r="H73" i="7"/>
  <c r="I73" i="7"/>
  <c r="J73" i="7"/>
  <c r="F42" i="7"/>
  <c r="G42" i="7"/>
  <c r="H42" i="7"/>
  <c r="I42" i="7"/>
  <c r="J42" i="7"/>
  <c r="E42" i="7"/>
  <c r="AB10" i="3"/>
  <c r="D85" i="18"/>
  <c r="C85" i="18" s="1"/>
  <c r="D84" i="18"/>
  <c r="C84" i="18" s="1"/>
  <c r="D83" i="18"/>
  <c r="C83" i="18" s="1"/>
  <c r="D82" i="18"/>
  <c r="C82" i="18" s="1"/>
  <c r="D81" i="18"/>
  <c r="D80" i="18"/>
  <c r="C80" i="18" s="1"/>
  <c r="D79" i="18"/>
  <c r="C79" i="18" s="1"/>
  <c r="D78" i="18"/>
  <c r="D77" i="18"/>
  <c r="C77" i="18"/>
  <c r="C78" i="18"/>
  <c r="C81" i="18"/>
  <c r="C86" i="18"/>
  <c r="M507" i="9"/>
  <c r="L532" i="9"/>
  <c r="Q532" i="9"/>
  <c r="Q533" i="9" s="1"/>
  <c r="O532" i="9"/>
  <c r="O533" i="9" s="1"/>
  <c r="Q380" i="9"/>
  <c r="Q381" i="9" s="1"/>
  <c r="Q382" i="9" s="1"/>
  <c r="Q383" i="9" s="1"/>
  <c r="Q384" i="9" s="1"/>
  <c r="Q385" i="9" s="1"/>
  <c r="Q386" i="9" s="1"/>
  <c r="Q387" i="9" s="1"/>
  <c r="Q388" i="9" s="1"/>
  <c r="Q389" i="9" s="1"/>
  <c r="Q390" i="9" s="1"/>
  <c r="Q391" i="9" s="1"/>
  <c r="Q392" i="9" s="1"/>
  <c r="Q393" i="9" s="1"/>
  <c r="Q394" i="9" s="1"/>
  <c r="Q395" i="9" s="1"/>
  <c r="Q396" i="9" s="1"/>
  <c r="Q397" i="9" s="1"/>
  <c r="Q398" i="9" s="1"/>
  <c r="Q399" i="9" s="1"/>
  <c r="Q400" i="9" s="1"/>
  <c r="Q401" i="9" s="1"/>
  <c r="Q402" i="9" s="1"/>
  <c r="Q403" i="9" s="1"/>
  <c r="Q404" i="9" s="1"/>
  <c r="Q405" i="9" s="1"/>
  <c r="Q406" i="9" s="1"/>
  <c r="Q407" i="9" s="1"/>
  <c r="Q408" i="9" s="1"/>
  <c r="Q409" i="9" s="1"/>
  <c r="Q410" i="9" s="1"/>
  <c r="Q411" i="9" s="1"/>
  <c r="Q412" i="9" s="1"/>
  <c r="Q413" i="9" s="1"/>
  <c r="Q414" i="9" s="1"/>
  <c r="Q415" i="9" s="1"/>
  <c r="Q416" i="9" s="1"/>
  <c r="Q417" i="9" s="1"/>
  <c r="Q418" i="9" s="1"/>
  <c r="Q419" i="9" s="1"/>
  <c r="Q420" i="9" s="1"/>
  <c r="Q421" i="9" s="1"/>
  <c r="Q422" i="9" s="1"/>
  <c r="Q423" i="9" s="1"/>
  <c r="Q424" i="9" s="1"/>
  <c r="Q425" i="9" s="1"/>
  <c r="Q426" i="9" s="1"/>
  <c r="Q427" i="9" s="1"/>
  <c r="Q428" i="9" s="1"/>
  <c r="Q429" i="9" s="1"/>
  <c r="Q430" i="9" s="1"/>
  <c r="Q431" i="9" s="1"/>
  <c r="Q432" i="9" s="1"/>
  <c r="Q433" i="9" s="1"/>
  <c r="Q434" i="9" s="1"/>
  <c r="Q435" i="9" s="1"/>
  <c r="Q436" i="9" s="1"/>
  <c r="Q437" i="9" s="1"/>
  <c r="Q438" i="9" s="1"/>
  <c r="Q439" i="9" s="1"/>
  <c r="Q440" i="9" s="1"/>
  <c r="Q441" i="9" s="1"/>
  <c r="Q442" i="9" s="1"/>
  <c r="Q443" i="9" s="1"/>
  <c r="Q444" i="9" s="1"/>
  <c r="Q445" i="9" s="1"/>
  <c r="Q446" i="9" s="1"/>
  <c r="Q447" i="9" s="1"/>
  <c r="Q448" i="9" s="1"/>
  <c r="Q449" i="9" s="1"/>
  <c r="Q450" i="9" s="1"/>
  <c r="Q451" i="9" s="1"/>
  <c r="Q452" i="9" s="1"/>
  <c r="Q453" i="9" s="1"/>
  <c r="Q454" i="9" s="1"/>
  <c r="Q455" i="9" s="1"/>
  <c r="Q456" i="9" s="1"/>
  <c r="Q457" i="9" s="1"/>
  <c r="Q458" i="9" s="1"/>
  <c r="Q459" i="9" s="1"/>
  <c r="Q460" i="9" s="1"/>
  <c r="Q461" i="9" s="1"/>
  <c r="Q462" i="9" s="1"/>
  <c r="Q463" i="9" s="1"/>
  <c r="Q464" i="9" s="1"/>
  <c r="Q465" i="9" s="1"/>
  <c r="Q466" i="9" s="1"/>
  <c r="Q467" i="9" s="1"/>
  <c r="Q468" i="9" s="1"/>
  <c r="Q469" i="9" s="1"/>
  <c r="Q470" i="9" s="1"/>
  <c r="Q471" i="9" s="1"/>
  <c r="Q472" i="9" s="1"/>
  <c r="Q473" i="9" s="1"/>
  <c r="Q474" i="9" s="1"/>
  <c r="Q475" i="9" s="1"/>
  <c r="Q476" i="9" s="1"/>
  <c r="Q477" i="9" s="1"/>
  <c r="Q478" i="9" s="1"/>
  <c r="Q479" i="9" s="1"/>
  <c r="Q480" i="9" s="1"/>
  <c r="Q481" i="9" s="1"/>
  <c r="Q482" i="9" s="1"/>
  <c r="Q483" i="9" s="1"/>
  <c r="Q484" i="9" s="1"/>
  <c r="Q485" i="9" s="1"/>
  <c r="Q486" i="9" s="1"/>
  <c r="Q487" i="9" s="1"/>
  <c r="Q488" i="9" s="1"/>
  <c r="Q489" i="9" s="1"/>
  <c r="Q490" i="9" s="1"/>
  <c r="Q491" i="9" s="1"/>
  <c r="Q492" i="9" s="1"/>
  <c r="Q493" i="9" s="1"/>
  <c r="Q494" i="9" s="1"/>
  <c r="Q495" i="9" s="1"/>
  <c r="Q496" i="9" s="1"/>
  <c r="Q497" i="9" s="1"/>
  <c r="Q498" i="9" s="1"/>
  <c r="Q499" i="9" s="1"/>
  <c r="Q500" i="9" s="1"/>
  <c r="Q501" i="9" s="1"/>
  <c r="Q502" i="9" s="1"/>
  <c r="Q503" i="9" s="1"/>
  <c r="Q504" i="9" s="1"/>
  <c r="Q505" i="9" s="1"/>
  <c r="Q506" i="9" s="1"/>
  <c r="Q507" i="9" s="1"/>
  <c r="Q508" i="9" s="1"/>
  <c r="Q509" i="9" s="1"/>
  <c r="Q510" i="9" s="1"/>
  <c r="Q511" i="9" s="1"/>
  <c r="Q512" i="9" s="1"/>
  <c r="Q513" i="9" s="1"/>
  <c r="Q514" i="9" s="1"/>
  <c r="Q515" i="9" s="1"/>
  <c r="Q516" i="9" s="1"/>
  <c r="Q517" i="9" s="1"/>
  <c r="Q518" i="9" s="1"/>
  <c r="Q519" i="9" s="1"/>
  <c r="Q520" i="9" s="1"/>
  <c r="Q521" i="9" s="1"/>
  <c r="Q522" i="9" s="1"/>
  <c r="Q523" i="9" s="1"/>
  <c r="Q524" i="9" s="1"/>
  <c r="Q525" i="9" s="1"/>
  <c r="Q526" i="9" s="1"/>
  <c r="Q527" i="9" s="1"/>
  <c r="Q528" i="9" s="1"/>
  <c r="Q529" i="9" s="1"/>
  <c r="Q530" i="9" s="1"/>
  <c r="Q531" i="9" s="1"/>
  <c r="P380" i="9"/>
  <c r="P381" i="9" s="1"/>
  <c r="P382" i="9" s="1"/>
  <c r="P383" i="9" s="1"/>
  <c r="P384" i="9" s="1"/>
  <c r="P385" i="9" s="1"/>
  <c r="P386" i="9" s="1"/>
  <c r="P387" i="9" s="1"/>
  <c r="P388" i="9" s="1"/>
  <c r="P389" i="9" s="1"/>
  <c r="P390" i="9" s="1"/>
  <c r="P391" i="9" s="1"/>
  <c r="P392" i="9" s="1"/>
  <c r="P393" i="9" s="1"/>
  <c r="P394" i="9" s="1"/>
  <c r="P395" i="9" s="1"/>
  <c r="P396" i="9" s="1"/>
  <c r="P397" i="9" s="1"/>
  <c r="P398" i="9" s="1"/>
  <c r="P399" i="9" s="1"/>
  <c r="P400" i="9" s="1"/>
  <c r="P401" i="9" s="1"/>
  <c r="P402" i="9" s="1"/>
  <c r="P403" i="9" s="1"/>
  <c r="P404" i="9" s="1"/>
  <c r="P405" i="9" s="1"/>
  <c r="P406" i="9" s="1"/>
  <c r="P407" i="9" s="1"/>
  <c r="P408" i="9" s="1"/>
  <c r="P409" i="9" s="1"/>
  <c r="P410" i="9" s="1"/>
  <c r="P411" i="9" s="1"/>
  <c r="P412" i="9" s="1"/>
  <c r="P413" i="9" s="1"/>
  <c r="P414" i="9" s="1"/>
  <c r="P415" i="9" s="1"/>
  <c r="P416" i="9" s="1"/>
  <c r="P417" i="9" s="1"/>
  <c r="P418" i="9" s="1"/>
  <c r="P419" i="9" s="1"/>
  <c r="P420" i="9" s="1"/>
  <c r="P421" i="9" s="1"/>
  <c r="P422" i="9" s="1"/>
  <c r="P423" i="9" s="1"/>
  <c r="P424" i="9" s="1"/>
  <c r="P425" i="9" s="1"/>
  <c r="P426" i="9" s="1"/>
  <c r="P427" i="9" s="1"/>
  <c r="P428" i="9" s="1"/>
  <c r="P429" i="9" s="1"/>
  <c r="P430" i="9" s="1"/>
  <c r="P431" i="9" s="1"/>
  <c r="P432" i="9" s="1"/>
  <c r="P433" i="9" s="1"/>
  <c r="P434" i="9" s="1"/>
  <c r="P435" i="9" s="1"/>
  <c r="P436" i="9" s="1"/>
  <c r="P437" i="9" s="1"/>
  <c r="P438" i="9" s="1"/>
  <c r="P439" i="9" s="1"/>
  <c r="P440" i="9" s="1"/>
  <c r="P441" i="9" s="1"/>
  <c r="P442" i="9" s="1"/>
  <c r="P443" i="9" s="1"/>
  <c r="P444" i="9" s="1"/>
  <c r="P445" i="9" s="1"/>
  <c r="P446" i="9" s="1"/>
  <c r="P447" i="9" s="1"/>
  <c r="P448" i="9" s="1"/>
  <c r="P449" i="9" s="1"/>
  <c r="P450" i="9" s="1"/>
  <c r="P451" i="9" s="1"/>
  <c r="P452" i="9" s="1"/>
  <c r="P453" i="9" s="1"/>
  <c r="P454" i="9" s="1"/>
  <c r="P455" i="9" s="1"/>
  <c r="P456" i="9" s="1"/>
  <c r="P457" i="9" s="1"/>
  <c r="P458" i="9" s="1"/>
  <c r="P459" i="9" s="1"/>
  <c r="P460" i="9" s="1"/>
  <c r="P461" i="9" s="1"/>
  <c r="P462" i="9" s="1"/>
  <c r="P463" i="9" s="1"/>
  <c r="P464" i="9" s="1"/>
  <c r="P465" i="9" s="1"/>
  <c r="P466" i="9" s="1"/>
  <c r="P467" i="9" s="1"/>
  <c r="P468" i="9" s="1"/>
  <c r="P469" i="9" s="1"/>
  <c r="P470" i="9" s="1"/>
  <c r="P471" i="9" s="1"/>
  <c r="P472" i="9" s="1"/>
  <c r="P473" i="9" s="1"/>
  <c r="P474" i="9" s="1"/>
  <c r="P475" i="9" s="1"/>
  <c r="P476" i="9" s="1"/>
  <c r="P477" i="9" s="1"/>
  <c r="P478" i="9" s="1"/>
  <c r="P479" i="9" s="1"/>
  <c r="P480" i="9" s="1"/>
  <c r="P481" i="9" s="1"/>
  <c r="P482" i="9" s="1"/>
  <c r="P483" i="9" s="1"/>
  <c r="P484" i="9" s="1"/>
  <c r="P485" i="9" s="1"/>
  <c r="P486" i="9" s="1"/>
  <c r="P487" i="9" s="1"/>
  <c r="P488" i="9" s="1"/>
  <c r="P489" i="9" s="1"/>
  <c r="P490" i="9" s="1"/>
  <c r="P491" i="9" s="1"/>
  <c r="P492" i="9" s="1"/>
  <c r="P493" i="9" s="1"/>
  <c r="P494" i="9" s="1"/>
  <c r="P495" i="9" s="1"/>
  <c r="P496" i="9" s="1"/>
  <c r="P497" i="9" s="1"/>
  <c r="P498" i="9" s="1"/>
  <c r="P499" i="9" s="1"/>
  <c r="P500" i="9" s="1"/>
  <c r="P501" i="9" s="1"/>
  <c r="P502" i="9" s="1"/>
  <c r="P503" i="9" s="1"/>
  <c r="P504" i="9" s="1"/>
  <c r="P505" i="9" s="1"/>
  <c r="P506" i="9" s="1"/>
  <c r="P507" i="9" s="1"/>
  <c r="P508" i="9" s="1"/>
  <c r="P509" i="9" s="1"/>
  <c r="P510" i="9" s="1"/>
  <c r="P511" i="9" s="1"/>
  <c r="P512" i="9" s="1"/>
  <c r="P513" i="9" s="1"/>
  <c r="P514" i="9" s="1"/>
  <c r="P515" i="9" s="1"/>
  <c r="P516" i="9" s="1"/>
  <c r="P517" i="9" s="1"/>
  <c r="P518" i="9" s="1"/>
  <c r="P519" i="9" s="1"/>
  <c r="P520" i="9" s="1"/>
  <c r="P521" i="9" s="1"/>
  <c r="P522" i="9" s="1"/>
  <c r="P523" i="9" s="1"/>
  <c r="P524" i="9" s="1"/>
  <c r="P525" i="9" s="1"/>
  <c r="P526" i="9" s="1"/>
  <c r="P527" i="9" s="1"/>
  <c r="P528" i="9" s="1"/>
  <c r="P529" i="9" s="1"/>
  <c r="P530" i="9" s="1"/>
  <c r="P531" i="9" s="1"/>
  <c r="P532" i="9" s="1"/>
  <c r="P533" i="9" s="1"/>
  <c r="O380" i="9"/>
  <c r="O381" i="9"/>
  <c r="O382" i="9"/>
  <c r="O383" i="9"/>
  <c r="O384" i="9"/>
  <c r="O385" i="9" s="1"/>
  <c r="O386" i="9" s="1"/>
  <c r="O387" i="9" s="1"/>
  <c r="O388" i="9" s="1"/>
  <c r="O389" i="9" s="1"/>
  <c r="O390" i="9" s="1"/>
  <c r="O391" i="9" s="1"/>
  <c r="O392" i="9" s="1"/>
  <c r="O393" i="9" s="1"/>
  <c r="O394" i="9" s="1"/>
  <c r="O395" i="9" s="1"/>
  <c r="O396" i="9" s="1"/>
  <c r="O397" i="9" s="1"/>
  <c r="O398" i="9" s="1"/>
  <c r="O399" i="9" s="1"/>
  <c r="O400" i="9" s="1"/>
  <c r="O401" i="9" s="1"/>
  <c r="O402" i="9" s="1"/>
  <c r="O403" i="9" s="1"/>
  <c r="O404" i="9" s="1"/>
  <c r="O405" i="9" s="1"/>
  <c r="O406" i="9" s="1"/>
  <c r="O407" i="9" s="1"/>
  <c r="O408" i="9" s="1"/>
  <c r="O409" i="9" s="1"/>
  <c r="O410" i="9" s="1"/>
  <c r="O411" i="9" s="1"/>
  <c r="O412" i="9" s="1"/>
  <c r="O413" i="9" s="1"/>
  <c r="O414" i="9" s="1"/>
  <c r="O415" i="9" s="1"/>
  <c r="O416" i="9" s="1"/>
  <c r="O417" i="9" s="1"/>
  <c r="O418" i="9" s="1"/>
  <c r="O419" i="9" s="1"/>
  <c r="O420" i="9" s="1"/>
  <c r="O421" i="9" s="1"/>
  <c r="O422" i="9" s="1"/>
  <c r="O423" i="9" s="1"/>
  <c r="O424" i="9" s="1"/>
  <c r="O425" i="9" s="1"/>
  <c r="O426" i="9" s="1"/>
  <c r="O427" i="9" s="1"/>
  <c r="O428" i="9" s="1"/>
  <c r="O429" i="9" s="1"/>
  <c r="O430" i="9" s="1"/>
  <c r="O431" i="9" s="1"/>
  <c r="O432" i="9" s="1"/>
  <c r="O433" i="9" s="1"/>
  <c r="O434" i="9" s="1"/>
  <c r="O435" i="9" s="1"/>
  <c r="O436" i="9" s="1"/>
  <c r="O437" i="9" s="1"/>
  <c r="O438" i="9" s="1"/>
  <c r="O439" i="9" s="1"/>
  <c r="O440" i="9" s="1"/>
  <c r="O441" i="9" s="1"/>
  <c r="O442" i="9" s="1"/>
  <c r="O443" i="9" s="1"/>
  <c r="O444" i="9" s="1"/>
  <c r="O445" i="9" s="1"/>
  <c r="O446" i="9" s="1"/>
  <c r="O447" i="9" s="1"/>
  <c r="O448" i="9" s="1"/>
  <c r="O449" i="9" s="1"/>
  <c r="O450" i="9" s="1"/>
  <c r="O451" i="9" s="1"/>
  <c r="O452" i="9" s="1"/>
  <c r="O453" i="9" s="1"/>
  <c r="O454" i="9" s="1"/>
  <c r="O455" i="9" s="1"/>
  <c r="O456" i="9" s="1"/>
  <c r="O457" i="9" s="1"/>
  <c r="O458" i="9" s="1"/>
  <c r="O459" i="9" s="1"/>
  <c r="O460" i="9" s="1"/>
  <c r="O461" i="9" s="1"/>
  <c r="O462" i="9" s="1"/>
  <c r="O463" i="9" s="1"/>
  <c r="O464" i="9" s="1"/>
  <c r="O465" i="9" s="1"/>
  <c r="O466" i="9" s="1"/>
  <c r="O467" i="9" s="1"/>
  <c r="O468" i="9" s="1"/>
  <c r="O469" i="9" s="1"/>
  <c r="O470" i="9" s="1"/>
  <c r="O471" i="9" s="1"/>
  <c r="O472" i="9" s="1"/>
  <c r="O473" i="9" s="1"/>
  <c r="O474" i="9" s="1"/>
  <c r="O475" i="9" s="1"/>
  <c r="O476" i="9" s="1"/>
  <c r="O477" i="9" s="1"/>
  <c r="O478" i="9" s="1"/>
  <c r="O479" i="9" s="1"/>
  <c r="O480" i="9" s="1"/>
  <c r="O481" i="9" s="1"/>
  <c r="O482" i="9" s="1"/>
  <c r="O483" i="9" s="1"/>
  <c r="O484" i="9" s="1"/>
  <c r="O485" i="9" s="1"/>
  <c r="O486" i="9" s="1"/>
  <c r="O487" i="9" s="1"/>
  <c r="O488" i="9" s="1"/>
  <c r="O489" i="9" s="1"/>
  <c r="O490" i="9" s="1"/>
  <c r="O491" i="9" s="1"/>
  <c r="O492" i="9" s="1"/>
  <c r="O493" i="9" s="1"/>
  <c r="O494" i="9" s="1"/>
  <c r="O495" i="9" s="1"/>
  <c r="O496" i="9" s="1"/>
  <c r="O497" i="9" s="1"/>
  <c r="O498" i="9" s="1"/>
  <c r="O499" i="9" s="1"/>
  <c r="O500" i="9" s="1"/>
  <c r="O501" i="9" s="1"/>
  <c r="O502" i="9" s="1"/>
  <c r="O503" i="9" s="1"/>
  <c r="O504" i="9" s="1"/>
  <c r="O505" i="9" s="1"/>
  <c r="O506" i="9" s="1"/>
  <c r="O507" i="9" s="1"/>
  <c r="O508" i="9" s="1"/>
  <c r="O509" i="9" s="1"/>
  <c r="O510" i="9" s="1"/>
  <c r="O511" i="9" s="1"/>
  <c r="O512" i="9" s="1"/>
  <c r="O513" i="9" s="1"/>
  <c r="O514" i="9" s="1"/>
  <c r="O515" i="9" s="1"/>
  <c r="O516" i="9" s="1"/>
  <c r="O517" i="9" s="1"/>
  <c r="O518" i="9" s="1"/>
  <c r="O519" i="9" s="1"/>
  <c r="O520" i="9" s="1"/>
  <c r="O521" i="9" s="1"/>
  <c r="O522" i="9" s="1"/>
  <c r="O523" i="9" s="1"/>
  <c r="O524" i="9" s="1"/>
  <c r="O525" i="9" s="1"/>
  <c r="O526" i="9" s="1"/>
  <c r="O527" i="9" s="1"/>
  <c r="O528" i="9" s="1"/>
  <c r="O529" i="9" s="1"/>
  <c r="O530" i="9" s="1"/>
  <c r="O531" i="9" s="1"/>
  <c r="N380" i="9"/>
  <c r="N381" i="9" s="1"/>
  <c r="N382" i="9" s="1"/>
  <c r="N383" i="9" s="1"/>
  <c r="N384" i="9" s="1"/>
  <c r="N385" i="9" s="1"/>
  <c r="N386" i="9" s="1"/>
  <c r="N387" i="9" s="1"/>
  <c r="N388" i="9" s="1"/>
  <c r="N389" i="9" s="1"/>
  <c r="N390" i="9" s="1"/>
  <c r="N391" i="9" s="1"/>
  <c r="N392" i="9" s="1"/>
  <c r="N393" i="9" s="1"/>
  <c r="N394" i="9" s="1"/>
  <c r="N395" i="9" s="1"/>
  <c r="N396" i="9" s="1"/>
  <c r="N397" i="9" s="1"/>
  <c r="N398" i="9" s="1"/>
  <c r="N399" i="9" s="1"/>
  <c r="N400" i="9" s="1"/>
  <c r="N401" i="9" s="1"/>
  <c r="N402" i="9" s="1"/>
  <c r="N403" i="9" s="1"/>
  <c r="N404" i="9" s="1"/>
  <c r="N405" i="9" s="1"/>
  <c r="N406" i="9" s="1"/>
  <c r="N407" i="9" s="1"/>
  <c r="N408" i="9" s="1"/>
  <c r="N409" i="9" s="1"/>
  <c r="N410" i="9" s="1"/>
  <c r="N411" i="9" s="1"/>
  <c r="N412" i="9" s="1"/>
  <c r="N413" i="9" s="1"/>
  <c r="N414" i="9" s="1"/>
  <c r="N415" i="9" s="1"/>
  <c r="N416" i="9" s="1"/>
  <c r="N417" i="9" s="1"/>
  <c r="N418" i="9" s="1"/>
  <c r="N419" i="9" s="1"/>
  <c r="N420" i="9" s="1"/>
  <c r="N421" i="9" s="1"/>
  <c r="N422" i="9" s="1"/>
  <c r="N423" i="9" s="1"/>
  <c r="N424" i="9" s="1"/>
  <c r="N425" i="9" s="1"/>
  <c r="N426" i="9" s="1"/>
  <c r="N427" i="9" s="1"/>
  <c r="N428" i="9" s="1"/>
  <c r="N429" i="9" s="1"/>
  <c r="N430" i="9" s="1"/>
  <c r="N431" i="9" s="1"/>
  <c r="N432" i="9" s="1"/>
  <c r="N433" i="9" s="1"/>
  <c r="N434" i="9" s="1"/>
  <c r="N435" i="9" s="1"/>
  <c r="N436" i="9" s="1"/>
  <c r="N437" i="9" s="1"/>
  <c r="N438" i="9" s="1"/>
  <c r="N439" i="9" s="1"/>
  <c r="N440" i="9" s="1"/>
  <c r="N441" i="9" s="1"/>
  <c r="N442" i="9" s="1"/>
  <c r="N443" i="9" s="1"/>
  <c r="N444" i="9" s="1"/>
  <c r="N445" i="9" s="1"/>
  <c r="N446" i="9" s="1"/>
  <c r="N447" i="9" s="1"/>
  <c r="N448" i="9" s="1"/>
  <c r="N449" i="9" s="1"/>
  <c r="N450" i="9" s="1"/>
  <c r="N451" i="9" s="1"/>
  <c r="N452" i="9" s="1"/>
  <c r="N453" i="9" s="1"/>
  <c r="N454" i="9" s="1"/>
  <c r="N455" i="9" s="1"/>
  <c r="N456" i="9" s="1"/>
  <c r="N457" i="9" s="1"/>
  <c r="N458" i="9" s="1"/>
  <c r="N459" i="9" s="1"/>
  <c r="N460" i="9" s="1"/>
  <c r="N461" i="9" s="1"/>
  <c r="N462" i="9" s="1"/>
  <c r="N463" i="9" s="1"/>
  <c r="N464" i="9" s="1"/>
  <c r="N465" i="9" s="1"/>
  <c r="N466" i="9" s="1"/>
  <c r="N467" i="9" s="1"/>
  <c r="N468" i="9" s="1"/>
  <c r="N469" i="9" s="1"/>
  <c r="N470" i="9" s="1"/>
  <c r="N471" i="9" s="1"/>
  <c r="N472" i="9" s="1"/>
  <c r="N473" i="9" s="1"/>
  <c r="N474" i="9" s="1"/>
  <c r="N475" i="9" s="1"/>
  <c r="N476" i="9" s="1"/>
  <c r="N477" i="9" s="1"/>
  <c r="N478" i="9" s="1"/>
  <c r="N479" i="9" s="1"/>
  <c r="N480" i="9" s="1"/>
  <c r="N481" i="9" s="1"/>
  <c r="N482" i="9" s="1"/>
  <c r="N483" i="9" s="1"/>
  <c r="N484" i="9" s="1"/>
  <c r="N485" i="9" s="1"/>
  <c r="N486" i="9" s="1"/>
  <c r="N487" i="9" s="1"/>
  <c r="N488" i="9" s="1"/>
  <c r="N489" i="9" s="1"/>
  <c r="N490" i="9" s="1"/>
  <c r="N491" i="9" s="1"/>
  <c r="N492" i="9" s="1"/>
  <c r="N493" i="9" s="1"/>
  <c r="N494" i="9" s="1"/>
  <c r="N495" i="9" s="1"/>
  <c r="N496" i="9" s="1"/>
  <c r="N497" i="9" s="1"/>
  <c r="N498" i="9" s="1"/>
  <c r="N499" i="9" s="1"/>
  <c r="N500" i="9" s="1"/>
  <c r="N501" i="9" s="1"/>
  <c r="N502" i="9" s="1"/>
  <c r="N503" i="9" s="1"/>
  <c r="N504" i="9" s="1"/>
  <c r="N505" i="9" s="1"/>
  <c r="N506" i="9" s="1"/>
  <c r="N507" i="9" s="1"/>
  <c r="N508" i="9" s="1"/>
  <c r="N509" i="9" s="1"/>
  <c r="N510" i="9" s="1"/>
  <c r="N511" i="9" s="1"/>
  <c r="N512" i="9" s="1"/>
  <c r="N513" i="9" s="1"/>
  <c r="N514" i="9" s="1"/>
  <c r="N515" i="9" s="1"/>
  <c r="N516" i="9" s="1"/>
  <c r="N517" i="9" s="1"/>
  <c r="N518" i="9" s="1"/>
  <c r="N519" i="9" s="1"/>
  <c r="N520" i="9" s="1"/>
  <c r="N521" i="9" s="1"/>
  <c r="N522" i="9" s="1"/>
  <c r="N523" i="9" s="1"/>
  <c r="N524" i="9" s="1"/>
  <c r="N525" i="9" s="1"/>
  <c r="N526" i="9" s="1"/>
  <c r="N527" i="9" s="1"/>
  <c r="N528" i="9" s="1"/>
  <c r="N529" i="9" s="1"/>
  <c r="N530" i="9" s="1"/>
  <c r="N531" i="9" s="1"/>
  <c r="N532" i="9" s="1"/>
  <c r="N533" i="9" s="1"/>
  <c r="M380" i="9"/>
  <c r="M381" i="9" s="1"/>
  <c r="M382" i="9" s="1"/>
  <c r="M383" i="9" s="1"/>
  <c r="M384" i="9" s="1"/>
  <c r="M385" i="9" s="1"/>
  <c r="M386" i="9" s="1"/>
  <c r="M387" i="9" s="1"/>
  <c r="M388" i="9" s="1"/>
  <c r="M389" i="9" s="1"/>
  <c r="M390" i="9" s="1"/>
  <c r="M391" i="9" s="1"/>
  <c r="M392" i="9" s="1"/>
  <c r="M393" i="9" s="1"/>
  <c r="M394" i="9" s="1"/>
  <c r="M395" i="9" s="1"/>
  <c r="M396" i="9" s="1"/>
  <c r="M397" i="9" s="1"/>
  <c r="M398" i="9" s="1"/>
  <c r="M399" i="9" s="1"/>
  <c r="M400" i="9" s="1"/>
  <c r="M401" i="9" s="1"/>
  <c r="M402" i="9" s="1"/>
  <c r="M403" i="9" s="1"/>
  <c r="M404" i="9" s="1"/>
  <c r="M405" i="9" s="1"/>
  <c r="M406" i="9" s="1"/>
  <c r="M407" i="9" s="1"/>
  <c r="M408" i="9" s="1"/>
  <c r="M409" i="9" s="1"/>
  <c r="M410" i="9" s="1"/>
  <c r="M411" i="9" s="1"/>
  <c r="M412" i="9" s="1"/>
  <c r="M413" i="9" s="1"/>
  <c r="M414" i="9" s="1"/>
  <c r="M415" i="9" s="1"/>
  <c r="M416" i="9" s="1"/>
  <c r="M417" i="9" s="1"/>
  <c r="M418" i="9" s="1"/>
  <c r="M419" i="9" s="1"/>
  <c r="M420" i="9" s="1"/>
  <c r="M421" i="9" s="1"/>
  <c r="M422" i="9" s="1"/>
  <c r="M423" i="9" s="1"/>
  <c r="M424" i="9" s="1"/>
  <c r="M425" i="9" s="1"/>
  <c r="M426" i="9" s="1"/>
  <c r="M427" i="9" s="1"/>
  <c r="M428" i="9" s="1"/>
  <c r="M429" i="9" s="1"/>
  <c r="M430" i="9" s="1"/>
  <c r="M431" i="9" s="1"/>
  <c r="M432" i="9" s="1"/>
  <c r="M433" i="9" s="1"/>
  <c r="M434" i="9" s="1"/>
  <c r="M435" i="9" s="1"/>
  <c r="M436" i="9" s="1"/>
  <c r="M437" i="9" s="1"/>
  <c r="M438" i="9" s="1"/>
  <c r="M439" i="9" s="1"/>
  <c r="M440" i="9" s="1"/>
  <c r="M441" i="9" s="1"/>
  <c r="M442" i="9" s="1"/>
  <c r="M443" i="9" s="1"/>
  <c r="M444" i="9" s="1"/>
  <c r="M445" i="9" s="1"/>
  <c r="M446" i="9" s="1"/>
  <c r="M447" i="9" s="1"/>
  <c r="M448" i="9" s="1"/>
  <c r="M449" i="9" s="1"/>
  <c r="M450" i="9" s="1"/>
  <c r="M451" i="9" s="1"/>
  <c r="M452" i="9" s="1"/>
  <c r="M453" i="9" s="1"/>
  <c r="M454" i="9" s="1"/>
  <c r="M455" i="9" s="1"/>
  <c r="M456" i="9" s="1"/>
  <c r="M457" i="9" s="1"/>
  <c r="M458" i="9" s="1"/>
  <c r="M459" i="9" s="1"/>
  <c r="M460" i="9" s="1"/>
  <c r="M461" i="9" s="1"/>
  <c r="M462" i="9" s="1"/>
  <c r="M463" i="9" s="1"/>
  <c r="M464" i="9" s="1"/>
  <c r="M465" i="9" s="1"/>
  <c r="M466" i="9" s="1"/>
  <c r="M467" i="9" s="1"/>
  <c r="M468" i="9" s="1"/>
  <c r="M469" i="9" s="1"/>
  <c r="M470" i="9" s="1"/>
  <c r="M471" i="9" s="1"/>
  <c r="M472" i="9" s="1"/>
  <c r="M473" i="9" s="1"/>
  <c r="M474" i="9" s="1"/>
  <c r="M475" i="9" s="1"/>
  <c r="M476" i="9" s="1"/>
  <c r="M477" i="9" s="1"/>
  <c r="M478" i="9" s="1"/>
  <c r="M479" i="9" s="1"/>
  <c r="M480" i="9" s="1"/>
  <c r="M481" i="9" s="1"/>
  <c r="M482" i="9" s="1"/>
  <c r="M483" i="9" s="1"/>
  <c r="M484" i="9" s="1"/>
  <c r="M485" i="9" s="1"/>
  <c r="M486" i="9" s="1"/>
  <c r="M487" i="9" s="1"/>
  <c r="M488" i="9" s="1"/>
  <c r="M489" i="9" s="1"/>
  <c r="M490" i="9" s="1"/>
  <c r="M491" i="9" s="1"/>
  <c r="M492" i="9" s="1"/>
  <c r="M493" i="9" s="1"/>
  <c r="M494" i="9" s="1"/>
  <c r="M495" i="9" s="1"/>
  <c r="M496" i="9" s="1"/>
  <c r="M497" i="9" s="1"/>
  <c r="M498" i="9" s="1"/>
  <c r="M499" i="9" s="1"/>
  <c r="M500" i="9" s="1"/>
  <c r="M501" i="9" s="1"/>
  <c r="M502" i="9" s="1"/>
  <c r="M503" i="9" s="1"/>
  <c r="M504" i="9" s="1"/>
  <c r="M505" i="9" s="1"/>
  <c r="M506" i="9" s="1"/>
  <c r="M508" i="9" s="1"/>
  <c r="M509" i="9" s="1"/>
  <c r="M510" i="9" s="1"/>
  <c r="M511" i="9" s="1"/>
  <c r="M512" i="9" s="1"/>
  <c r="M513" i="9" s="1"/>
  <c r="M514" i="9" s="1"/>
  <c r="M515" i="9" s="1"/>
  <c r="M516" i="9" s="1"/>
  <c r="M517" i="9" s="1"/>
  <c r="M518" i="9" s="1"/>
  <c r="M519" i="9" s="1"/>
  <c r="M520" i="9" s="1"/>
  <c r="M521" i="9" s="1"/>
  <c r="M522" i="9" s="1"/>
  <c r="M523" i="9" s="1"/>
  <c r="M524" i="9" s="1"/>
  <c r="M525" i="9" s="1"/>
  <c r="M526" i="9" s="1"/>
  <c r="M527" i="9" s="1"/>
  <c r="M528" i="9" s="1"/>
  <c r="M529" i="9" s="1"/>
  <c r="M530" i="9" s="1"/>
  <c r="M531" i="9" s="1"/>
  <c r="L380" i="9"/>
  <c r="L381" i="9" s="1"/>
  <c r="L382" i="9" s="1"/>
  <c r="L383" i="9" s="1"/>
  <c r="L384" i="9" s="1"/>
  <c r="L385" i="9" s="1"/>
  <c r="L386" i="9" s="1"/>
  <c r="L387" i="9" s="1"/>
  <c r="L388" i="9" s="1"/>
  <c r="L389" i="9" s="1"/>
  <c r="L390" i="9" s="1"/>
  <c r="L391" i="9" s="1"/>
  <c r="L392" i="9" s="1"/>
  <c r="L393" i="9" s="1"/>
  <c r="L394" i="9" s="1"/>
  <c r="L395" i="9" s="1"/>
  <c r="L396" i="9" s="1"/>
  <c r="L397" i="9" s="1"/>
  <c r="L398" i="9" s="1"/>
  <c r="L399" i="9" s="1"/>
  <c r="L400" i="9" s="1"/>
  <c r="L401" i="9" s="1"/>
  <c r="L402" i="9" s="1"/>
  <c r="L403" i="9" s="1"/>
  <c r="L404" i="9" s="1"/>
  <c r="L405" i="9" s="1"/>
  <c r="L406" i="9" s="1"/>
  <c r="L407" i="9" s="1"/>
  <c r="L408" i="9" s="1"/>
  <c r="L409" i="9" s="1"/>
  <c r="L410" i="9" s="1"/>
  <c r="L411" i="9" s="1"/>
  <c r="L412" i="9" s="1"/>
  <c r="L413" i="9" s="1"/>
  <c r="L414" i="9" s="1"/>
  <c r="L415" i="9" s="1"/>
  <c r="L416" i="9" s="1"/>
  <c r="L417" i="9" s="1"/>
  <c r="L418" i="9" s="1"/>
  <c r="L419" i="9" s="1"/>
  <c r="L420" i="9" s="1"/>
  <c r="L421" i="9" s="1"/>
  <c r="L422" i="9" s="1"/>
  <c r="L423" i="9" s="1"/>
  <c r="L424" i="9" s="1"/>
  <c r="L425" i="9" s="1"/>
  <c r="L426" i="9" s="1"/>
  <c r="L427" i="9" s="1"/>
  <c r="L428" i="9" s="1"/>
  <c r="L429" i="9" s="1"/>
  <c r="L430" i="9" s="1"/>
  <c r="L431" i="9" s="1"/>
  <c r="L432" i="9" s="1"/>
  <c r="L433" i="9" s="1"/>
  <c r="L434" i="9" s="1"/>
  <c r="L435" i="9" s="1"/>
  <c r="L436" i="9" s="1"/>
  <c r="L437" i="9" s="1"/>
  <c r="L438" i="9" s="1"/>
  <c r="L439" i="9" s="1"/>
  <c r="L440" i="9" s="1"/>
  <c r="L441" i="9" s="1"/>
  <c r="L442" i="9" s="1"/>
  <c r="L443" i="9" s="1"/>
  <c r="L444" i="9" s="1"/>
  <c r="L445" i="9" s="1"/>
  <c r="L446" i="9" s="1"/>
  <c r="L447" i="9" s="1"/>
  <c r="L448" i="9" s="1"/>
  <c r="L449" i="9" s="1"/>
  <c r="L450" i="9" s="1"/>
  <c r="L451" i="9" s="1"/>
  <c r="L452" i="9" s="1"/>
  <c r="L453" i="9" s="1"/>
  <c r="L454" i="9" s="1"/>
  <c r="L455" i="9" s="1"/>
  <c r="L456" i="9" s="1"/>
  <c r="L457" i="9" s="1"/>
  <c r="L458" i="9" s="1"/>
  <c r="L459" i="9" s="1"/>
  <c r="L460" i="9" s="1"/>
  <c r="L461" i="9" s="1"/>
  <c r="L462" i="9" s="1"/>
  <c r="L463" i="9" s="1"/>
  <c r="L464" i="9" s="1"/>
  <c r="L465" i="9" s="1"/>
  <c r="L466" i="9" s="1"/>
  <c r="L467" i="9" s="1"/>
  <c r="L468" i="9" s="1"/>
  <c r="L469" i="9" s="1"/>
  <c r="L470" i="9" s="1"/>
  <c r="L471" i="9" s="1"/>
  <c r="L472" i="9" s="1"/>
  <c r="L473" i="9" s="1"/>
  <c r="L474" i="9" s="1"/>
  <c r="L475" i="9" s="1"/>
  <c r="L476" i="9" s="1"/>
  <c r="L477" i="9" s="1"/>
  <c r="L478" i="9" s="1"/>
  <c r="L479" i="9" s="1"/>
  <c r="L480" i="9" s="1"/>
  <c r="L481" i="9" s="1"/>
  <c r="L482" i="9" s="1"/>
  <c r="L483" i="9" s="1"/>
  <c r="L484" i="9" s="1"/>
  <c r="L485" i="9" s="1"/>
  <c r="L486" i="9" s="1"/>
  <c r="L487" i="9" s="1"/>
  <c r="L488" i="9" s="1"/>
  <c r="L489" i="9" s="1"/>
  <c r="L490" i="9" s="1"/>
  <c r="L491" i="9" s="1"/>
  <c r="L492" i="9" s="1"/>
  <c r="L493" i="9" s="1"/>
  <c r="L494" i="9" s="1"/>
  <c r="L495" i="9" s="1"/>
  <c r="L496" i="9" s="1"/>
  <c r="L497" i="9" s="1"/>
  <c r="L498" i="9" s="1"/>
  <c r="L499" i="9" s="1"/>
  <c r="L500" i="9" s="1"/>
  <c r="L501" i="9" s="1"/>
  <c r="L502" i="9" s="1"/>
  <c r="L503" i="9" s="1"/>
  <c r="L504" i="9" s="1"/>
  <c r="L505" i="9" s="1"/>
  <c r="L506" i="9" s="1"/>
  <c r="L507" i="9" s="1"/>
  <c r="L508" i="9" s="1"/>
  <c r="L509" i="9" s="1"/>
  <c r="L510" i="9" s="1"/>
  <c r="L511" i="9" s="1"/>
  <c r="L512" i="9" s="1"/>
  <c r="L513" i="9" s="1"/>
  <c r="L514" i="9" s="1"/>
  <c r="L515" i="9" s="1"/>
  <c r="L516" i="9" s="1"/>
  <c r="L517" i="9" s="1"/>
  <c r="L518" i="9" s="1"/>
  <c r="L519" i="9" s="1"/>
  <c r="L520" i="9" s="1"/>
  <c r="L521" i="9" s="1"/>
  <c r="L522" i="9" s="1"/>
  <c r="L523" i="9" s="1"/>
  <c r="L524" i="9" s="1"/>
  <c r="L525" i="9" s="1"/>
  <c r="L526" i="9" s="1"/>
  <c r="L527" i="9" s="1"/>
  <c r="L528" i="9" s="1"/>
  <c r="L529" i="9" s="1"/>
  <c r="L530" i="9" s="1"/>
  <c r="L531" i="9" s="1"/>
  <c r="L533" i="9" s="1"/>
  <c r="F109" i="18"/>
  <c r="G109" i="18"/>
  <c r="H109" i="18"/>
  <c r="I109" i="18"/>
  <c r="J109" i="18"/>
  <c r="K109" i="18"/>
  <c r="E109" i="18"/>
  <c r="J73" i="17"/>
  <c r="E54" i="3"/>
  <c r="F54" i="3" s="1"/>
  <c r="G54" i="3" s="1"/>
  <c r="H54" i="3" s="1"/>
  <c r="I54" i="3" s="1"/>
  <c r="J54" i="3" s="1"/>
  <c r="K54" i="3" s="1"/>
  <c r="L54" i="3" s="1"/>
  <c r="M54" i="3" s="1"/>
  <c r="N54" i="3" s="1"/>
  <c r="D54" i="3"/>
  <c r="U21" i="6" a="1"/>
  <c r="U21" i="6" s="1"/>
  <c r="T21" i="6" a="1"/>
  <c r="T21" i="6" s="1"/>
  <c r="S21" i="6" a="1"/>
  <c r="S21" i="6" s="1"/>
  <c r="R21" i="6" a="1"/>
  <c r="R21" i="6" s="1"/>
  <c r="Q21" i="6" a="1"/>
  <c r="Q21" i="6" s="1"/>
  <c r="P21" i="6" a="1"/>
  <c r="P21" i="6" s="1"/>
  <c r="O21" i="6" a="1"/>
  <c r="O21" i="6" s="1"/>
  <c r="T21" i="5" a="1"/>
  <c r="T21" i="5" s="1"/>
  <c r="S21" i="5" a="1"/>
  <c r="S21" i="5" s="1"/>
  <c r="R21" i="5" a="1"/>
  <c r="R21" i="5" s="1"/>
  <c r="Q21" i="5" a="1"/>
  <c r="Q21" i="5" s="1"/>
  <c r="P21" i="5" a="1"/>
  <c r="P21" i="5" s="1"/>
  <c r="O21" i="5" a="1"/>
  <c r="O21" i="5" s="1"/>
  <c r="T21" i="1" a="1"/>
  <c r="T21" i="1" s="1"/>
  <c r="S21" i="1" a="1"/>
  <c r="S21" i="1" s="1"/>
  <c r="R21" i="1" a="1"/>
  <c r="R21" i="1" s="1"/>
  <c r="Q21" i="1" a="1"/>
  <c r="Q21" i="1" s="1"/>
  <c r="P21" i="1" a="1"/>
  <c r="P21" i="1" s="1"/>
  <c r="O21" i="1" a="1"/>
  <c r="O21" i="1" s="1"/>
  <c r="T21" i="10" a="1"/>
  <c r="T21" i="10" s="1"/>
  <c r="S21" i="10" a="1"/>
  <c r="S21" i="10" s="1"/>
  <c r="R21" i="10" a="1"/>
  <c r="R21" i="10" s="1"/>
  <c r="Q21" i="10" a="1"/>
  <c r="Q21" i="10" s="1"/>
  <c r="P21" i="10" a="1"/>
  <c r="P21" i="10" s="1"/>
  <c r="O21" i="10" a="1"/>
  <c r="O21" i="10" s="1"/>
  <c r="T21" i="11" a="1"/>
  <c r="T21" i="11" s="1"/>
  <c r="S21" i="11" a="1"/>
  <c r="S21" i="11" s="1"/>
  <c r="R21" i="11" a="1"/>
  <c r="R21" i="11" s="1"/>
  <c r="Q21" i="11" a="1"/>
  <c r="Q21" i="11" s="1"/>
  <c r="P21" i="11" a="1"/>
  <c r="P21" i="11" s="1"/>
  <c r="O21" i="11" a="1"/>
  <c r="O21" i="11" s="1"/>
  <c r="T21" i="14" a="1"/>
  <c r="T21" i="14" s="1"/>
  <c r="S21" i="14" a="1"/>
  <c r="S21" i="14" s="1"/>
  <c r="R21" i="14" a="1"/>
  <c r="R21" i="14" s="1"/>
  <c r="Q21" i="14" a="1"/>
  <c r="Q21" i="14" s="1"/>
  <c r="P21" i="14" a="1"/>
  <c r="P21" i="14" s="1"/>
  <c r="O21" i="14" a="1"/>
  <c r="O21" i="14" s="1"/>
  <c r="T21" i="16" a="1"/>
  <c r="T21" i="16" s="1"/>
  <c r="S21" i="16" a="1"/>
  <c r="S21" i="16" s="1"/>
  <c r="R21" i="16" a="1"/>
  <c r="R21" i="16" s="1"/>
  <c r="Q21" i="16" a="1"/>
  <c r="Q21" i="16" s="1"/>
  <c r="P21" i="16" a="1"/>
  <c r="P21" i="16" s="1"/>
  <c r="O21" i="16" a="1"/>
  <c r="O21" i="16" s="1"/>
  <c r="O21" i="17" a="1"/>
  <c r="O21" i="17" s="1"/>
  <c r="T21" i="17" a="1"/>
  <c r="T21" i="17" s="1"/>
  <c r="S21" i="17" a="1"/>
  <c r="S21" i="17" s="1"/>
  <c r="R21" i="17" a="1"/>
  <c r="R21" i="17" s="1"/>
  <c r="Q21" i="17" a="1"/>
  <c r="Q21" i="17" s="1"/>
  <c r="P21" i="17" a="1"/>
  <c r="P21" i="17" s="1"/>
  <c r="Q21" i="18" a="1"/>
  <c r="Q21" i="18" s="1"/>
  <c r="G21" i="18" s="1"/>
  <c r="R21" i="18" a="1"/>
  <c r="R21" i="18" s="1"/>
  <c r="O7" i="4" s="1"/>
  <c r="O21" i="18" a="1"/>
  <c r="O21" i="18" s="1"/>
  <c r="E21" i="18" s="1"/>
  <c r="M66" i="18"/>
  <c r="M67" i="18" s="1"/>
  <c r="M68" i="18" s="1"/>
  <c r="M69" i="18" s="1"/>
  <c r="M70" i="18" s="1"/>
  <c r="M71" i="18" s="1"/>
  <c r="M72" i="18" s="1"/>
  <c r="M73" i="18" s="1"/>
  <c r="M74" i="18" s="1"/>
  <c r="M75" i="18" s="1"/>
  <c r="M76" i="18" s="1"/>
  <c r="E63" i="18"/>
  <c r="M533" i="9" l="1"/>
  <c r="U533" i="9" s="1"/>
  <c r="M532" i="9"/>
  <c r="O5" i="4"/>
  <c r="O4" i="4"/>
  <c r="H21" i="18"/>
  <c r="M59" i="18"/>
  <c r="M60" i="18" s="1"/>
  <c r="M61" i="18" s="1"/>
  <c r="O20" i="18"/>
  <c r="AY4" i="3" s="1"/>
  <c r="P35" i="18"/>
  <c r="S49" i="18"/>
  <c r="T51" i="18"/>
  <c r="T38" i="18"/>
  <c r="T25" i="18"/>
  <c r="P27" i="18"/>
  <c r="S32" i="18"/>
  <c r="BU8" i="3"/>
  <c r="BT8" i="3"/>
  <c r="BP8" i="3"/>
  <c r="E42" i="18"/>
  <c r="F42" i="18"/>
  <c r="G42" i="18"/>
  <c r="H42" i="18"/>
  <c r="I42" i="18"/>
  <c r="J42" i="18"/>
  <c r="E43" i="18"/>
  <c r="F43" i="18"/>
  <c r="G43" i="18"/>
  <c r="H43" i="18"/>
  <c r="I43" i="18"/>
  <c r="J43" i="18"/>
  <c r="E44" i="18"/>
  <c r="F44" i="18"/>
  <c r="G44" i="18"/>
  <c r="H44" i="18"/>
  <c r="I44" i="18"/>
  <c r="J44" i="18"/>
  <c r="E45" i="18"/>
  <c r="F45" i="18"/>
  <c r="G45" i="18"/>
  <c r="H45" i="18"/>
  <c r="I45" i="18"/>
  <c r="J45" i="18"/>
  <c r="E46" i="18"/>
  <c r="F46" i="18"/>
  <c r="G46" i="18"/>
  <c r="H46" i="18"/>
  <c r="I46" i="18"/>
  <c r="J46" i="18"/>
  <c r="E47" i="18"/>
  <c r="F47" i="18"/>
  <c r="G47" i="18"/>
  <c r="H47" i="18"/>
  <c r="I47" i="18"/>
  <c r="J47" i="18"/>
  <c r="E48" i="18"/>
  <c r="F48" i="18"/>
  <c r="G48" i="18"/>
  <c r="H48" i="18"/>
  <c r="I48" i="18"/>
  <c r="J48" i="18"/>
  <c r="E50" i="18"/>
  <c r="F50" i="18"/>
  <c r="G50" i="18"/>
  <c r="H50" i="18"/>
  <c r="I50" i="18"/>
  <c r="J50" i="18"/>
  <c r="E52" i="18"/>
  <c r="F52" i="18"/>
  <c r="G52" i="18"/>
  <c r="H52" i="18"/>
  <c r="I52" i="18"/>
  <c r="J52" i="18"/>
  <c r="E53" i="18"/>
  <c r="F53" i="18"/>
  <c r="G53" i="18"/>
  <c r="H53" i="18"/>
  <c r="I53" i="18"/>
  <c r="J53" i="18"/>
  <c r="E54" i="18"/>
  <c r="F54" i="18"/>
  <c r="G54" i="18"/>
  <c r="H54" i="18"/>
  <c r="I54" i="18"/>
  <c r="J54" i="18"/>
  <c r="E55" i="18"/>
  <c r="F55" i="18"/>
  <c r="G55" i="18"/>
  <c r="H55" i="18"/>
  <c r="I55" i="18"/>
  <c r="J55" i="18"/>
  <c r="E56" i="18"/>
  <c r="F56" i="18"/>
  <c r="G56" i="18"/>
  <c r="H56" i="18"/>
  <c r="I56" i="18"/>
  <c r="J56" i="18"/>
  <c r="E58" i="18"/>
  <c r="F58" i="18"/>
  <c r="G58" i="18"/>
  <c r="H58" i="18"/>
  <c r="I58" i="18"/>
  <c r="J58" i="18"/>
  <c r="E59" i="18"/>
  <c r="F59" i="18"/>
  <c r="G59" i="18"/>
  <c r="H59" i="18"/>
  <c r="I59" i="18"/>
  <c r="J59" i="18"/>
  <c r="E60" i="18"/>
  <c r="F60" i="18"/>
  <c r="G60" i="18"/>
  <c r="H60" i="18"/>
  <c r="I60" i="18"/>
  <c r="J60" i="18"/>
  <c r="E61" i="18"/>
  <c r="F61" i="18"/>
  <c r="G61" i="18"/>
  <c r="H61" i="18"/>
  <c r="I61" i="18"/>
  <c r="J61" i="18"/>
  <c r="E62" i="18"/>
  <c r="F62" i="18"/>
  <c r="G62" i="18"/>
  <c r="H62" i="18"/>
  <c r="I62" i="18"/>
  <c r="J62" i="18"/>
  <c r="F63" i="18"/>
  <c r="G63" i="18"/>
  <c r="H63" i="18"/>
  <c r="I63" i="18"/>
  <c r="J63" i="18"/>
  <c r="D65" i="18"/>
  <c r="C65" i="18" s="1"/>
  <c r="E65" i="18"/>
  <c r="F65" i="18"/>
  <c r="G65" i="18"/>
  <c r="H65" i="18"/>
  <c r="I65" i="18"/>
  <c r="J65" i="18"/>
  <c r="D66" i="18"/>
  <c r="C66" i="18" s="1"/>
  <c r="E66" i="18"/>
  <c r="F66" i="18"/>
  <c r="G66" i="18"/>
  <c r="H66" i="18"/>
  <c r="I66" i="18"/>
  <c r="J66" i="18"/>
  <c r="D67" i="18"/>
  <c r="C67" i="18" s="1"/>
  <c r="E67" i="18"/>
  <c r="F67" i="18"/>
  <c r="G67" i="18"/>
  <c r="H67" i="18"/>
  <c r="I67" i="18"/>
  <c r="J67" i="18"/>
  <c r="D68" i="18"/>
  <c r="C68" i="18" s="1"/>
  <c r="E68" i="18"/>
  <c r="F68" i="18"/>
  <c r="G68" i="18"/>
  <c r="H68" i="18"/>
  <c r="I68" i="18"/>
  <c r="J68" i="18"/>
  <c r="D69" i="18"/>
  <c r="C69" i="18" s="1"/>
  <c r="E69" i="18"/>
  <c r="F69" i="18"/>
  <c r="G69" i="18"/>
  <c r="H69" i="18"/>
  <c r="I69" i="18"/>
  <c r="J69" i="18"/>
  <c r="D70" i="18"/>
  <c r="C70" i="18" s="1"/>
  <c r="E70" i="18"/>
  <c r="F70" i="18"/>
  <c r="G70" i="18"/>
  <c r="H70" i="18"/>
  <c r="I70" i="18"/>
  <c r="J70" i="18"/>
  <c r="D71" i="18"/>
  <c r="C71" i="18" s="1"/>
  <c r="E71" i="18"/>
  <c r="F71" i="18"/>
  <c r="G71" i="18"/>
  <c r="H71" i="18"/>
  <c r="I71" i="18"/>
  <c r="J71" i="18"/>
  <c r="D72" i="18"/>
  <c r="C72" i="18" s="1"/>
  <c r="E72" i="18"/>
  <c r="F72" i="18"/>
  <c r="G72" i="18"/>
  <c r="H72" i="18"/>
  <c r="I72" i="18"/>
  <c r="J72" i="18"/>
  <c r="D73" i="18"/>
  <c r="C73" i="18" s="1"/>
  <c r="E73" i="18"/>
  <c r="F73" i="18"/>
  <c r="G73" i="18"/>
  <c r="H73" i="18"/>
  <c r="I73" i="18"/>
  <c r="J73" i="18"/>
  <c r="D74" i="18"/>
  <c r="C74" i="18" s="1"/>
  <c r="E74" i="18"/>
  <c r="F74" i="18"/>
  <c r="G74" i="18"/>
  <c r="H74" i="18"/>
  <c r="I74" i="18"/>
  <c r="J74" i="18"/>
  <c r="D75" i="18"/>
  <c r="C75" i="18" s="1"/>
  <c r="E75" i="18"/>
  <c r="F75" i="18"/>
  <c r="G75" i="18"/>
  <c r="H75" i="18"/>
  <c r="I75" i="18"/>
  <c r="J75" i="18"/>
  <c r="D76" i="18"/>
  <c r="C76" i="18" s="1"/>
  <c r="E76" i="18"/>
  <c r="F76" i="18"/>
  <c r="G76" i="18"/>
  <c r="H76" i="18"/>
  <c r="I76" i="18"/>
  <c r="J76" i="18"/>
  <c r="E77" i="18"/>
  <c r="F77" i="18"/>
  <c r="G77" i="18"/>
  <c r="H77" i="18"/>
  <c r="I77" i="18"/>
  <c r="J77" i="18"/>
  <c r="E78" i="18"/>
  <c r="F78" i="18"/>
  <c r="G78" i="18"/>
  <c r="H78" i="18"/>
  <c r="I78" i="18"/>
  <c r="J78" i="18"/>
  <c r="E79" i="18"/>
  <c r="F79" i="18"/>
  <c r="G79" i="18"/>
  <c r="H79" i="18"/>
  <c r="I79" i="18"/>
  <c r="J79" i="18"/>
  <c r="E80" i="18"/>
  <c r="F80" i="18"/>
  <c r="G80" i="18"/>
  <c r="H80" i="18"/>
  <c r="I80" i="18"/>
  <c r="J80" i="18"/>
  <c r="E81" i="18"/>
  <c r="F81" i="18"/>
  <c r="G81" i="18"/>
  <c r="H81" i="18"/>
  <c r="I81" i="18"/>
  <c r="J81" i="18"/>
  <c r="E82" i="18"/>
  <c r="F82" i="18"/>
  <c r="G82" i="18"/>
  <c r="H82" i="18"/>
  <c r="I82" i="18"/>
  <c r="J82" i="18"/>
  <c r="E83" i="18"/>
  <c r="F83" i="18"/>
  <c r="G83" i="18"/>
  <c r="H83" i="18"/>
  <c r="I83" i="18"/>
  <c r="J83" i="18"/>
  <c r="E84" i="18"/>
  <c r="F84" i="18"/>
  <c r="G84" i="18"/>
  <c r="H84" i="18"/>
  <c r="I84" i="18"/>
  <c r="J84" i="18"/>
  <c r="E85" i="18"/>
  <c r="F85" i="18"/>
  <c r="G85" i="18"/>
  <c r="H85" i="18"/>
  <c r="I85" i="18"/>
  <c r="J85" i="18"/>
  <c r="D86" i="18"/>
  <c r="E86" i="18"/>
  <c r="F86" i="18"/>
  <c r="G86" i="18"/>
  <c r="H86" i="18"/>
  <c r="I86" i="18"/>
  <c r="J86" i="18"/>
  <c r="D87" i="18"/>
  <c r="C87" i="18" s="1"/>
  <c r="E87" i="18"/>
  <c r="F87" i="18"/>
  <c r="G87" i="18"/>
  <c r="H87" i="18"/>
  <c r="I87" i="18"/>
  <c r="J87" i="18"/>
  <c r="D88" i="18"/>
  <c r="C88" i="18" s="1"/>
  <c r="E88" i="18"/>
  <c r="F88" i="18"/>
  <c r="G88" i="18"/>
  <c r="H88" i="18"/>
  <c r="I88" i="18"/>
  <c r="J88" i="18"/>
  <c r="D89" i="18"/>
  <c r="C89" i="18" s="1"/>
  <c r="E89" i="18"/>
  <c r="F89" i="18"/>
  <c r="G89" i="18"/>
  <c r="H89" i="18"/>
  <c r="I89" i="18"/>
  <c r="J89" i="18"/>
  <c r="D90" i="18"/>
  <c r="C90" i="18" s="1"/>
  <c r="E90" i="18"/>
  <c r="F90" i="18"/>
  <c r="G90" i="18"/>
  <c r="H90" i="18"/>
  <c r="I90" i="18"/>
  <c r="J90" i="18"/>
  <c r="D91" i="18"/>
  <c r="C91" i="18" s="1"/>
  <c r="E91" i="18"/>
  <c r="F91" i="18"/>
  <c r="G91" i="18"/>
  <c r="H91" i="18"/>
  <c r="I91" i="18"/>
  <c r="J91" i="18"/>
  <c r="E41" i="18"/>
  <c r="F41" i="18"/>
  <c r="G41" i="18"/>
  <c r="H41" i="18"/>
  <c r="I41" i="18"/>
  <c r="J41" i="18"/>
  <c r="M41" i="18"/>
  <c r="M42" i="18" s="1"/>
  <c r="M43" i="18" s="1"/>
  <c r="M44" i="18" s="1"/>
  <c r="M45" i="18" s="1"/>
  <c r="D45" i="18" s="1"/>
  <c r="C45" i="18" s="1"/>
  <c r="J39" i="18"/>
  <c r="I39" i="18"/>
  <c r="H39" i="18"/>
  <c r="G39" i="18"/>
  <c r="F39" i="18"/>
  <c r="E39" i="18"/>
  <c r="D39" i="18"/>
  <c r="C39" i="18" s="1"/>
  <c r="M36" i="18"/>
  <c r="M28" i="18"/>
  <c r="AX7" i="3"/>
  <c r="AX6" i="3"/>
  <c r="AX5" i="3"/>
  <c r="AX4" i="3"/>
  <c r="AX3" i="3"/>
  <c r="AX2" i="3"/>
  <c r="P8" i="3"/>
  <c r="J26" i="18"/>
  <c r="H26" i="18"/>
  <c r="S16" i="18"/>
  <c r="AD41" i="18"/>
  <c r="AD40" i="18"/>
  <c r="J40" i="18"/>
  <c r="I40" i="18"/>
  <c r="H40" i="18"/>
  <c r="G40" i="18"/>
  <c r="F40" i="18"/>
  <c r="E40" i="18"/>
  <c r="AD39" i="18"/>
  <c r="AD38" i="18"/>
  <c r="AD37" i="18"/>
  <c r="J37" i="18"/>
  <c r="I37" i="18"/>
  <c r="H37" i="18"/>
  <c r="G37" i="18"/>
  <c r="F37" i="18"/>
  <c r="E37" i="18"/>
  <c r="J36" i="18"/>
  <c r="I36" i="18"/>
  <c r="H36" i="18"/>
  <c r="G36" i="18"/>
  <c r="F36" i="18"/>
  <c r="E36" i="18"/>
  <c r="J34" i="18"/>
  <c r="I34" i="18"/>
  <c r="H34" i="18"/>
  <c r="G34" i="18"/>
  <c r="F34" i="18"/>
  <c r="E34" i="18"/>
  <c r="J33" i="18"/>
  <c r="I33" i="18"/>
  <c r="H33" i="18"/>
  <c r="G33" i="18"/>
  <c r="F33" i="18"/>
  <c r="E33" i="18"/>
  <c r="J31" i="18"/>
  <c r="I31" i="18"/>
  <c r="H31" i="18"/>
  <c r="G31" i="18"/>
  <c r="F31" i="18"/>
  <c r="E31" i="18"/>
  <c r="J29" i="18"/>
  <c r="I29" i="18"/>
  <c r="H29" i="18"/>
  <c r="G29" i="18"/>
  <c r="F29" i="18"/>
  <c r="E29" i="18"/>
  <c r="J28" i="18"/>
  <c r="I28" i="18"/>
  <c r="H28" i="18"/>
  <c r="G28" i="18"/>
  <c r="F28" i="18"/>
  <c r="E28" i="18"/>
  <c r="I26" i="18"/>
  <c r="G26" i="18"/>
  <c r="F26" i="18"/>
  <c r="E26" i="18"/>
  <c r="M25" i="18"/>
  <c r="M26" i="18" s="1"/>
  <c r="R20" i="18"/>
  <c r="O8" i="18" s="1"/>
  <c r="Q20" i="18"/>
  <c r="O11" i="18" s="1"/>
  <c r="R10" i="3"/>
  <c r="B77" i="3"/>
  <c r="C77" i="3" s="1"/>
  <c r="D77" i="3" s="1"/>
  <c r="E77" i="3" s="1"/>
  <c r="F77" i="3" s="1"/>
  <c r="G77" i="3" s="1"/>
  <c r="H77" i="3" s="1"/>
  <c r="I77" i="3" s="1"/>
  <c r="J77" i="3" s="1"/>
  <c r="AZ8" i="3"/>
  <c r="M73" i="17"/>
  <c r="D73" i="17"/>
  <c r="M72" i="17"/>
  <c r="M71" i="17"/>
  <c r="D71" i="17" s="1"/>
  <c r="C71" i="17" s="1"/>
  <c r="E71" i="17"/>
  <c r="F71" i="17"/>
  <c r="G71" i="17"/>
  <c r="H71" i="17"/>
  <c r="I71" i="17"/>
  <c r="J71" i="17"/>
  <c r="M69" i="17"/>
  <c r="M70" i="17" s="1"/>
  <c r="L70" i="3"/>
  <c r="D70" i="3"/>
  <c r="E70" i="3"/>
  <c r="F70" i="3"/>
  <c r="G70" i="3"/>
  <c r="H70" i="3"/>
  <c r="I70" i="3"/>
  <c r="J70" i="3"/>
  <c r="K70" i="3"/>
  <c r="C70" i="3"/>
  <c r="B65" i="3"/>
  <c r="B66" i="3"/>
  <c r="B67" i="3"/>
  <c r="B68" i="3"/>
  <c r="B69" i="3"/>
  <c r="B64" i="3"/>
  <c r="M62" i="17"/>
  <c r="M63" i="17" s="1"/>
  <c r="M64" i="17" s="1"/>
  <c r="M65" i="17" s="1"/>
  <c r="M66" i="17" s="1"/>
  <c r="M67" i="17" s="1"/>
  <c r="M68" i="17" s="1"/>
  <c r="M61" i="17"/>
  <c r="D60" i="17"/>
  <c r="M59" i="17"/>
  <c r="M53" i="17"/>
  <c r="M54" i="17" s="1"/>
  <c r="M55" i="17" s="1"/>
  <c r="M56" i="17" s="1"/>
  <c r="M57" i="17" s="1"/>
  <c r="M52" i="17"/>
  <c r="M51" i="17"/>
  <c r="M50" i="17"/>
  <c r="M42" i="17"/>
  <c r="M43" i="17" s="1"/>
  <c r="M44" i="17" s="1"/>
  <c r="M45" i="17" s="1"/>
  <c r="M46" i="17" s="1"/>
  <c r="M47" i="17" s="1"/>
  <c r="T20" i="17"/>
  <c r="O13" i="17" s="1"/>
  <c r="E29" i="17"/>
  <c r="F29" i="17"/>
  <c r="G29" i="17"/>
  <c r="H29" i="17"/>
  <c r="I29" i="17"/>
  <c r="J29" i="17"/>
  <c r="O8" i="3"/>
  <c r="J91" i="17"/>
  <c r="I91" i="17"/>
  <c r="H91" i="17"/>
  <c r="G91" i="17"/>
  <c r="F91" i="17"/>
  <c r="E91" i="17"/>
  <c r="D91" i="17"/>
  <c r="C91" i="17" s="1"/>
  <c r="J90" i="17"/>
  <c r="I90" i="17"/>
  <c r="H90" i="17"/>
  <c r="G90" i="17"/>
  <c r="F90" i="17"/>
  <c r="E90" i="17"/>
  <c r="D90" i="17"/>
  <c r="C90" i="17" s="1"/>
  <c r="J89" i="17"/>
  <c r="I89" i="17"/>
  <c r="H89" i="17"/>
  <c r="G89" i="17"/>
  <c r="F89" i="17"/>
  <c r="E89" i="17"/>
  <c r="D89" i="17"/>
  <c r="C89" i="17" s="1"/>
  <c r="J88" i="17"/>
  <c r="I88" i="17"/>
  <c r="H88" i="17"/>
  <c r="G88" i="17"/>
  <c r="F88" i="17"/>
  <c r="E88" i="17"/>
  <c r="D88" i="17"/>
  <c r="C88" i="17" s="1"/>
  <c r="J87" i="17"/>
  <c r="I87" i="17"/>
  <c r="H87" i="17"/>
  <c r="G87" i="17"/>
  <c r="F87" i="17"/>
  <c r="E87" i="17"/>
  <c r="D87" i="17"/>
  <c r="C87" i="17" s="1"/>
  <c r="J86" i="17"/>
  <c r="I86" i="17"/>
  <c r="H86" i="17"/>
  <c r="G86" i="17"/>
  <c r="F86" i="17"/>
  <c r="E86" i="17"/>
  <c r="D86" i="17"/>
  <c r="C86" i="17" s="1"/>
  <c r="J85" i="17"/>
  <c r="I85" i="17"/>
  <c r="H85" i="17"/>
  <c r="G85" i="17"/>
  <c r="F85" i="17"/>
  <c r="E85" i="17"/>
  <c r="D85" i="17"/>
  <c r="C85" i="17" s="1"/>
  <c r="J84" i="17"/>
  <c r="I84" i="17"/>
  <c r="H84" i="17"/>
  <c r="G84" i="17"/>
  <c r="F84" i="17"/>
  <c r="E84" i="17"/>
  <c r="D84" i="17"/>
  <c r="C84" i="17" s="1"/>
  <c r="J83" i="17"/>
  <c r="I83" i="17"/>
  <c r="H83" i="17"/>
  <c r="G83" i="17"/>
  <c r="F83" i="17"/>
  <c r="E83" i="17"/>
  <c r="D83" i="17"/>
  <c r="C83" i="17" s="1"/>
  <c r="J82" i="17"/>
  <c r="I82" i="17"/>
  <c r="H82" i="17"/>
  <c r="G82" i="17"/>
  <c r="F82" i="17"/>
  <c r="E82" i="17"/>
  <c r="D82" i="17"/>
  <c r="C82" i="17" s="1"/>
  <c r="J81" i="17"/>
  <c r="I81" i="17"/>
  <c r="H81" i="17"/>
  <c r="G81" i="17"/>
  <c r="F81" i="17"/>
  <c r="E81" i="17"/>
  <c r="D81" i="17"/>
  <c r="C81" i="17" s="1"/>
  <c r="J80" i="17"/>
  <c r="I80" i="17"/>
  <c r="H80" i="17"/>
  <c r="G80" i="17"/>
  <c r="F80" i="17"/>
  <c r="E80" i="17"/>
  <c r="D80" i="17"/>
  <c r="C80" i="17" s="1"/>
  <c r="J79" i="17"/>
  <c r="I79" i="17"/>
  <c r="H79" i="17"/>
  <c r="G79" i="17"/>
  <c r="F79" i="17"/>
  <c r="E79" i="17"/>
  <c r="D79" i="17"/>
  <c r="C79" i="17" s="1"/>
  <c r="J78" i="17"/>
  <c r="I78" i="17"/>
  <c r="H78" i="17"/>
  <c r="G78" i="17"/>
  <c r="F78" i="17"/>
  <c r="E78" i="17"/>
  <c r="D78" i="17"/>
  <c r="C78" i="17" s="1"/>
  <c r="J77" i="17"/>
  <c r="I77" i="17"/>
  <c r="H77" i="17"/>
  <c r="G77" i="17"/>
  <c r="F77" i="17"/>
  <c r="E77" i="17"/>
  <c r="D77" i="17"/>
  <c r="C77" i="17" s="1"/>
  <c r="J76" i="17"/>
  <c r="I76" i="17"/>
  <c r="H76" i="17"/>
  <c r="G76" i="17"/>
  <c r="F76" i="17"/>
  <c r="E76" i="17"/>
  <c r="D76" i="17"/>
  <c r="C76" i="17" s="1"/>
  <c r="J75" i="17"/>
  <c r="I75" i="17"/>
  <c r="H75" i="17"/>
  <c r="G75" i="17"/>
  <c r="F75" i="17"/>
  <c r="E75" i="17"/>
  <c r="D75" i="17"/>
  <c r="C75" i="17" s="1"/>
  <c r="J74" i="17"/>
  <c r="I74" i="17"/>
  <c r="H74" i="17"/>
  <c r="G74" i="17"/>
  <c r="F74" i="17"/>
  <c r="E74" i="17"/>
  <c r="D74" i="17"/>
  <c r="C74" i="17" s="1"/>
  <c r="I73" i="17"/>
  <c r="H73" i="17"/>
  <c r="G73" i="17"/>
  <c r="F73" i="17"/>
  <c r="E73" i="17"/>
  <c r="J72" i="17"/>
  <c r="I72" i="17"/>
  <c r="H72" i="17"/>
  <c r="G72" i="17"/>
  <c r="F72" i="17"/>
  <c r="E72" i="17"/>
  <c r="J70" i="17"/>
  <c r="I70" i="17"/>
  <c r="H70" i="17"/>
  <c r="G70" i="17"/>
  <c r="F70" i="17"/>
  <c r="E70" i="17"/>
  <c r="J69" i="17"/>
  <c r="I69" i="17"/>
  <c r="H69" i="17"/>
  <c r="G69" i="17"/>
  <c r="F69" i="17"/>
  <c r="E69" i="17"/>
  <c r="J68" i="17"/>
  <c r="I68" i="17"/>
  <c r="H68" i="17"/>
  <c r="G68" i="17"/>
  <c r="F68" i="17"/>
  <c r="E68" i="17"/>
  <c r="J67" i="17"/>
  <c r="I67" i="17"/>
  <c r="H67" i="17"/>
  <c r="G67" i="17"/>
  <c r="F67" i="17"/>
  <c r="E67" i="17"/>
  <c r="J66" i="17"/>
  <c r="I66" i="17"/>
  <c r="H66" i="17"/>
  <c r="G66" i="17"/>
  <c r="F66" i="17"/>
  <c r="E66" i="17"/>
  <c r="J64" i="17"/>
  <c r="I64" i="17"/>
  <c r="H64" i="17"/>
  <c r="G64" i="17"/>
  <c r="F64" i="17"/>
  <c r="E64" i="17"/>
  <c r="J62" i="17"/>
  <c r="I62" i="17"/>
  <c r="H62" i="17"/>
  <c r="G62" i="17"/>
  <c r="F62" i="17"/>
  <c r="E62" i="17"/>
  <c r="J61" i="17"/>
  <c r="I61" i="17"/>
  <c r="H61" i="17"/>
  <c r="G61" i="17"/>
  <c r="F61" i="17"/>
  <c r="E61" i="17"/>
  <c r="J60" i="17"/>
  <c r="I60" i="17"/>
  <c r="H60" i="17"/>
  <c r="G60" i="17"/>
  <c r="F60" i="17"/>
  <c r="E60" i="17"/>
  <c r="J58" i="17"/>
  <c r="I58" i="17"/>
  <c r="H58" i="17"/>
  <c r="G58" i="17"/>
  <c r="F58" i="17"/>
  <c r="E58" i="17"/>
  <c r="J57" i="17"/>
  <c r="I57" i="17"/>
  <c r="H57" i="17"/>
  <c r="G57" i="17"/>
  <c r="F57" i="17"/>
  <c r="E57" i="17"/>
  <c r="J56" i="17"/>
  <c r="I56" i="17"/>
  <c r="H56" i="17"/>
  <c r="G56" i="17"/>
  <c r="F56" i="17"/>
  <c r="E56" i="17"/>
  <c r="J55" i="17"/>
  <c r="I55" i="17"/>
  <c r="H55" i="17"/>
  <c r="G55" i="17"/>
  <c r="F55" i="17"/>
  <c r="E55" i="17"/>
  <c r="J54" i="17"/>
  <c r="I54" i="17"/>
  <c r="H54" i="17"/>
  <c r="G54" i="17"/>
  <c r="F54" i="17"/>
  <c r="E54" i="17"/>
  <c r="J53" i="17"/>
  <c r="I53" i="17"/>
  <c r="H53" i="17"/>
  <c r="G53" i="17"/>
  <c r="F53" i="17"/>
  <c r="E53" i="17"/>
  <c r="J52" i="17"/>
  <c r="I52" i="17"/>
  <c r="H52" i="17"/>
  <c r="G52" i="17"/>
  <c r="F52" i="17"/>
  <c r="E52" i="17"/>
  <c r="J51" i="17"/>
  <c r="I51" i="17"/>
  <c r="H51" i="17"/>
  <c r="G51" i="17"/>
  <c r="F51" i="17"/>
  <c r="E51" i="17"/>
  <c r="J50" i="17"/>
  <c r="I50" i="17"/>
  <c r="H50" i="17"/>
  <c r="G50" i="17"/>
  <c r="F50" i="17"/>
  <c r="E50" i="17"/>
  <c r="J49" i="17"/>
  <c r="I49" i="17"/>
  <c r="H49" i="17"/>
  <c r="G49" i="17"/>
  <c r="F49" i="17"/>
  <c r="E49" i="17"/>
  <c r="J47" i="17"/>
  <c r="I47" i="17"/>
  <c r="H47" i="17"/>
  <c r="G47" i="17"/>
  <c r="F47" i="17"/>
  <c r="E47" i="17"/>
  <c r="J46" i="17"/>
  <c r="I46" i="17"/>
  <c r="H46" i="17"/>
  <c r="G46" i="17"/>
  <c r="F46" i="17"/>
  <c r="E46" i="17"/>
  <c r="J45" i="17"/>
  <c r="I45" i="17"/>
  <c r="H45" i="17"/>
  <c r="G45" i="17"/>
  <c r="F45" i="17"/>
  <c r="E45" i="17"/>
  <c r="J44" i="17"/>
  <c r="I44" i="17"/>
  <c r="H44" i="17"/>
  <c r="G44" i="17"/>
  <c r="F44" i="17"/>
  <c r="E44" i="17"/>
  <c r="J43" i="17"/>
  <c r="I43" i="17"/>
  <c r="H43" i="17"/>
  <c r="G43" i="17"/>
  <c r="F43" i="17"/>
  <c r="E43" i="17"/>
  <c r="J42" i="17"/>
  <c r="I42" i="17"/>
  <c r="H42" i="17"/>
  <c r="G42" i="17"/>
  <c r="F42" i="17"/>
  <c r="E42" i="17"/>
  <c r="AD41" i="17"/>
  <c r="AD40" i="17"/>
  <c r="J40" i="17"/>
  <c r="I40" i="17"/>
  <c r="H40" i="17"/>
  <c r="G40" i="17"/>
  <c r="F40" i="17"/>
  <c r="E40" i="17"/>
  <c r="AD39" i="17"/>
  <c r="J39" i="17"/>
  <c r="I39" i="17"/>
  <c r="H39" i="17"/>
  <c r="G39" i="17"/>
  <c r="F39" i="17"/>
  <c r="E39" i="17"/>
  <c r="AD38" i="17"/>
  <c r="J38" i="17"/>
  <c r="I38" i="17"/>
  <c r="H38" i="17"/>
  <c r="G38" i="17"/>
  <c r="F38" i="17"/>
  <c r="E38" i="17"/>
  <c r="AD37" i="17"/>
  <c r="J37" i="17"/>
  <c r="I37" i="17"/>
  <c r="H37" i="17"/>
  <c r="G37" i="17"/>
  <c r="F37" i="17"/>
  <c r="E37" i="17"/>
  <c r="J36" i="17"/>
  <c r="I36" i="17"/>
  <c r="H36" i="17"/>
  <c r="G36" i="17"/>
  <c r="F36" i="17"/>
  <c r="E36" i="17"/>
  <c r="J34" i="17"/>
  <c r="I34" i="17"/>
  <c r="H34" i="17"/>
  <c r="G34" i="17"/>
  <c r="F34" i="17"/>
  <c r="E34" i="17"/>
  <c r="J33" i="17"/>
  <c r="I33" i="17"/>
  <c r="H33" i="17"/>
  <c r="G33" i="17"/>
  <c r="F33" i="17"/>
  <c r="E33" i="17"/>
  <c r="J32" i="17"/>
  <c r="I32" i="17"/>
  <c r="H32" i="17"/>
  <c r="G32" i="17"/>
  <c r="F32" i="17"/>
  <c r="E32" i="17"/>
  <c r="J31" i="17"/>
  <c r="I31" i="17"/>
  <c r="H31" i="17"/>
  <c r="G31" i="17"/>
  <c r="F31" i="17"/>
  <c r="E31" i="17"/>
  <c r="J30" i="17"/>
  <c r="I30" i="17"/>
  <c r="H30" i="17"/>
  <c r="G30" i="17"/>
  <c r="F30" i="17"/>
  <c r="E30" i="17"/>
  <c r="J28" i="17"/>
  <c r="I28" i="17"/>
  <c r="H28" i="17"/>
  <c r="G28" i="17"/>
  <c r="F28" i="17"/>
  <c r="E28" i="17"/>
  <c r="J27" i="17"/>
  <c r="I27" i="17"/>
  <c r="H27" i="17"/>
  <c r="G27" i="17"/>
  <c r="F27" i="17"/>
  <c r="E27" i="17"/>
  <c r="J26" i="17"/>
  <c r="I26" i="17"/>
  <c r="H26" i="17"/>
  <c r="G26" i="17"/>
  <c r="F26" i="17"/>
  <c r="E26" i="17"/>
  <c r="M25" i="17"/>
  <c r="D25" i="17" s="1"/>
  <c r="J25" i="17"/>
  <c r="I25" i="17"/>
  <c r="H25" i="17"/>
  <c r="G25" i="17"/>
  <c r="F25" i="17"/>
  <c r="E25" i="17"/>
  <c r="S20" i="17"/>
  <c r="O10" i="17" s="1"/>
  <c r="R20" i="17"/>
  <c r="O8" i="17" s="1"/>
  <c r="Q20" i="17"/>
  <c r="O11" i="17" s="1"/>
  <c r="P20" i="17"/>
  <c r="O9" i="17" s="1"/>
  <c r="O20" i="17"/>
  <c r="O12" i="17" s="1"/>
  <c r="C13" i="17"/>
  <c r="C12" i="17"/>
  <c r="C11" i="17"/>
  <c r="C10" i="17"/>
  <c r="C9" i="17"/>
  <c r="C8" i="17"/>
  <c r="E76" i="16"/>
  <c r="M73" i="16"/>
  <c r="B5" i="4"/>
  <c r="M51" i="16"/>
  <c r="M52" i="16" s="1"/>
  <c r="D50" i="16"/>
  <c r="C50" i="16" s="1"/>
  <c r="M46" i="16"/>
  <c r="M47" i="16" s="1"/>
  <c r="S10" i="3"/>
  <c r="M41" i="16"/>
  <c r="M42" i="16" s="1"/>
  <c r="E39" i="16"/>
  <c r="F39" i="16"/>
  <c r="G39" i="16"/>
  <c r="H39" i="16"/>
  <c r="I39" i="16"/>
  <c r="J39" i="16"/>
  <c r="M25" i="16"/>
  <c r="M32" i="16"/>
  <c r="M33" i="16" s="1"/>
  <c r="D46" i="16"/>
  <c r="C46" i="16" s="1"/>
  <c r="E46" i="16"/>
  <c r="F46" i="16"/>
  <c r="G46" i="16"/>
  <c r="H46" i="16"/>
  <c r="I46" i="16"/>
  <c r="J46" i="16"/>
  <c r="E47" i="16"/>
  <c r="F47" i="16"/>
  <c r="G47" i="16"/>
  <c r="H47" i="16"/>
  <c r="I47" i="16"/>
  <c r="J47" i="16"/>
  <c r="E48" i="16"/>
  <c r="F48" i="16"/>
  <c r="G48" i="16"/>
  <c r="H48" i="16"/>
  <c r="I48" i="16"/>
  <c r="J48" i="16"/>
  <c r="E50" i="16"/>
  <c r="F50" i="16"/>
  <c r="G50" i="16"/>
  <c r="H50" i="16"/>
  <c r="I50" i="16"/>
  <c r="J50" i="16"/>
  <c r="E51" i="16"/>
  <c r="F51" i="16"/>
  <c r="G51" i="16"/>
  <c r="H51" i="16"/>
  <c r="I51" i="16"/>
  <c r="J51" i="16"/>
  <c r="E52" i="16"/>
  <c r="F52" i="16"/>
  <c r="G52" i="16"/>
  <c r="H52" i="16"/>
  <c r="I52" i="16"/>
  <c r="J52" i="16"/>
  <c r="E53" i="16"/>
  <c r="F53" i="16"/>
  <c r="G53" i="16"/>
  <c r="H53" i="16"/>
  <c r="I53" i="16"/>
  <c r="J53" i="16"/>
  <c r="E54" i="16"/>
  <c r="F54" i="16"/>
  <c r="G54" i="16"/>
  <c r="H54" i="16"/>
  <c r="I54" i="16"/>
  <c r="J54" i="16"/>
  <c r="E55" i="16"/>
  <c r="F55" i="16"/>
  <c r="G55" i="16"/>
  <c r="H55" i="16"/>
  <c r="I55" i="16"/>
  <c r="J55" i="16"/>
  <c r="E56" i="16"/>
  <c r="F56" i="16"/>
  <c r="G56" i="16"/>
  <c r="H56" i="16"/>
  <c r="I56" i="16"/>
  <c r="J56" i="16"/>
  <c r="E57" i="16"/>
  <c r="F57" i="16"/>
  <c r="G57" i="16"/>
  <c r="H57" i="16"/>
  <c r="I57" i="16"/>
  <c r="J57" i="16"/>
  <c r="E58" i="16"/>
  <c r="F58" i="16"/>
  <c r="G58" i="16"/>
  <c r="H58" i="16"/>
  <c r="I58" i="16"/>
  <c r="J58" i="16"/>
  <c r="E59" i="16"/>
  <c r="F59" i="16"/>
  <c r="G59" i="16"/>
  <c r="H59" i="16"/>
  <c r="I59" i="16"/>
  <c r="J59" i="16"/>
  <c r="E61" i="16"/>
  <c r="F61" i="16"/>
  <c r="G61" i="16"/>
  <c r="H61" i="16"/>
  <c r="I61" i="16"/>
  <c r="J61" i="16"/>
  <c r="E62" i="16"/>
  <c r="F62" i="16"/>
  <c r="G62" i="16"/>
  <c r="H62" i="16"/>
  <c r="I62" i="16"/>
  <c r="J62" i="16"/>
  <c r="E63" i="16"/>
  <c r="F63" i="16"/>
  <c r="G63" i="16"/>
  <c r="H63" i="16"/>
  <c r="I63" i="16"/>
  <c r="J63" i="16"/>
  <c r="E64" i="16"/>
  <c r="F64" i="16"/>
  <c r="G64" i="16"/>
  <c r="H64" i="16"/>
  <c r="I64" i="16"/>
  <c r="J64" i="16"/>
  <c r="E65" i="16"/>
  <c r="F65" i="16"/>
  <c r="G65" i="16"/>
  <c r="H65" i="16"/>
  <c r="I65" i="16"/>
  <c r="J65" i="16"/>
  <c r="E66" i="16"/>
  <c r="F66" i="16"/>
  <c r="G66" i="16"/>
  <c r="H66" i="16"/>
  <c r="I66" i="16"/>
  <c r="J66" i="16"/>
  <c r="E67" i="16"/>
  <c r="F67" i="16"/>
  <c r="G67" i="16"/>
  <c r="H67" i="16"/>
  <c r="I67" i="16"/>
  <c r="J67" i="16"/>
  <c r="E68" i="16"/>
  <c r="F68" i="16"/>
  <c r="G68" i="16"/>
  <c r="H68" i="16"/>
  <c r="I68" i="16"/>
  <c r="J68" i="16"/>
  <c r="E69" i="16"/>
  <c r="F69" i="16"/>
  <c r="G69" i="16"/>
  <c r="H69" i="16"/>
  <c r="I69" i="16"/>
  <c r="J69" i="16"/>
  <c r="E70" i="16"/>
  <c r="F70" i="16"/>
  <c r="G70" i="16"/>
  <c r="H70" i="16"/>
  <c r="I70" i="16"/>
  <c r="J70" i="16"/>
  <c r="E71" i="16"/>
  <c r="F71" i="16"/>
  <c r="G71" i="16"/>
  <c r="H71" i="16"/>
  <c r="I71" i="16"/>
  <c r="J71" i="16"/>
  <c r="E72" i="16"/>
  <c r="F72" i="16"/>
  <c r="G72" i="16"/>
  <c r="H72" i="16"/>
  <c r="I72" i="16"/>
  <c r="J72" i="16"/>
  <c r="E74" i="16"/>
  <c r="F74" i="16"/>
  <c r="G74" i="16"/>
  <c r="H74" i="16"/>
  <c r="I74" i="16"/>
  <c r="J74" i="16"/>
  <c r="E75" i="16"/>
  <c r="F75" i="16"/>
  <c r="G75" i="16"/>
  <c r="H75" i="16"/>
  <c r="I75" i="16"/>
  <c r="J75" i="16"/>
  <c r="F76" i="16"/>
  <c r="G76" i="16"/>
  <c r="H76" i="16"/>
  <c r="I76" i="16"/>
  <c r="J76" i="16"/>
  <c r="E77" i="16"/>
  <c r="F77" i="16"/>
  <c r="G77" i="16"/>
  <c r="H77" i="16"/>
  <c r="I77" i="16"/>
  <c r="J77" i="16"/>
  <c r="E78" i="16"/>
  <c r="F78" i="16"/>
  <c r="G78" i="16"/>
  <c r="H78" i="16"/>
  <c r="I78" i="16"/>
  <c r="J78" i="16"/>
  <c r="D79" i="16"/>
  <c r="C79" i="16" s="1"/>
  <c r="E79" i="16"/>
  <c r="F79" i="16"/>
  <c r="G79" i="16"/>
  <c r="H79" i="16"/>
  <c r="I79" i="16"/>
  <c r="J79" i="16"/>
  <c r="D80" i="16"/>
  <c r="C80" i="16" s="1"/>
  <c r="E80" i="16"/>
  <c r="F80" i="16"/>
  <c r="G80" i="16"/>
  <c r="H80" i="16"/>
  <c r="I80" i="16"/>
  <c r="J80" i="16"/>
  <c r="D81" i="16"/>
  <c r="C81" i="16" s="1"/>
  <c r="E81" i="16"/>
  <c r="F81" i="16"/>
  <c r="G81" i="16"/>
  <c r="H81" i="16"/>
  <c r="I81" i="16"/>
  <c r="J81" i="16"/>
  <c r="D82" i="16"/>
  <c r="C82" i="16" s="1"/>
  <c r="E82" i="16"/>
  <c r="F82" i="16"/>
  <c r="G82" i="16"/>
  <c r="H82" i="16"/>
  <c r="I82" i="16"/>
  <c r="J82" i="16"/>
  <c r="D83" i="16"/>
  <c r="C83" i="16" s="1"/>
  <c r="E83" i="16"/>
  <c r="F83" i="16"/>
  <c r="G83" i="16"/>
  <c r="H83" i="16"/>
  <c r="I83" i="16"/>
  <c r="J83" i="16"/>
  <c r="D84" i="16"/>
  <c r="C84" i="16" s="1"/>
  <c r="E84" i="16"/>
  <c r="F84" i="16"/>
  <c r="G84" i="16"/>
  <c r="H84" i="16"/>
  <c r="I84" i="16"/>
  <c r="J84" i="16"/>
  <c r="D85" i="16"/>
  <c r="C85" i="16" s="1"/>
  <c r="E85" i="16"/>
  <c r="F85" i="16"/>
  <c r="G85" i="16"/>
  <c r="H85" i="16"/>
  <c r="I85" i="16"/>
  <c r="J85" i="16"/>
  <c r="D86" i="16"/>
  <c r="C86" i="16" s="1"/>
  <c r="E86" i="16"/>
  <c r="F86" i="16"/>
  <c r="G86" i="16"/>
  <c r="H86" i="16"/>
  <c r="I86" i="16"/>
  <c r="J86" i="16"/>
  <c r="D87" i="16"/>
  <c r="C87" i="16" s="1"/>
  <c r="E87" i="16"/>
  <c r="F87" i="16"/>
  <c r="G87" i="16"/>
  <c r="H87" i="16"/>
  <c r="I87" i="16"/>
  <c r="J87" i="16"/>
  <c r="D88" i="16"/>
  <c r="C88" i="16" s="1"/>
  <c r="E88" i="16"/>
  <c r="F88" i="16"/>
  <c r="G88" i="16"/>
  <c r="H88" i="16"/>
  <c r="I88" i="16"/>
  <c r="J88" i="16"/>
  <c r="D89" i="16"/>
  <c r="C89" i="16" s="1"/>
  <c r="E89" i="16"/>
  <c r="F89" i="16"/>
  <c r="G89" i="16"/>
  <c r="H89" i="16"/>
  <c r="I89" i="16"/>
  <c r="J89" i="16"/>
  <c r="D90" i="16"/>
  <c r="C90" i="16" s="1"/>
  <c r="E90" i="16"/>
  <c r="F90" i="16"/>
  <c r="G90" i="16"/>
  <c r="H90" i="16"/>
  <c r="I90" i="16"/>
  <c r="J90" i="16"/>
  <c r="D91" i="16"/>
  <c r="C91" i="16" s="1"/>
  <c r="E91" i="16"/>
  <c r="F91" i="16"/>
  <c r="G91" i="16"/>
  <c r="H91" i="16"/>
  <c r="I91" i="16"/>
  <c r="J91" i="16"/>
  <c r="D92" i="16"/>
  <c r="C92" i="16" s="1"/>
  <c r="E92" i="16"/>
  <c r="F92" i="16"/>
  <c r="G92" i="16"/>
  <c r="H92" i="16"/>
  <c r="I92" i="16"/>
  <c r="J92" i="16"/>
  <c r="E27" i="16"/>
  <c r="F27" i="16"/>
  <c r="G27" i="16"/>
  <c r="H27" i="16"/>
  <c r="I27" i="16"/>
  <c r="J27" i="16"/>
  <c r="E28" i="16"/>
  <c r="F28" i="16"/>
  <c r="G28" i="16"/>
  <c r="H28" i="16"/>
  <c r="I28" i="16"/>
  <c r="J28" i="16"/>
  <c r="E29" i="16"/>
  <c r="F29" i="16"/>
  <c r="G29" i="16"/>
  <c r="H29" i="16"/>
  <c r="I29" i="16"/>
  <c r="J29" i="16"/>
  <c r="E30" i="16"/>
  <c r="F30" i="16"/>
  <c r="G30" i="16"/>
  <c r="H30" i="16"/>
  <c r="I30" i="16"/>
  <c r="J30" i="16"/>
  <c r="E31" i="16"/>
  <c r="F31" i="16"/>
  <c r="G31" i="16"/>
  <c r="H31" i="16"/>
  <c r="I31" i="16"/>
  <c r="J31" i="16"/>
  <c r="E32" i="16"/>
  <c r="F32" i="16"/>
  <c r="G32" i="16"/>
  <c r="H32" i="16"/>
  <c r="I32" i="16"/>
  <c r="J32" i="16"/>
  <c r="E33" i="16"/>
  <c r="F33" i="16"/>
  <c r="G33" i="16"/>
  <c r="H33" i="16"/>
  <c r="I33" i="16"/>
  <c r="J33" i="16"/>
  <c r="E34" i="16"/>
  <c r="F34" i="16"/>
  <c r="G34" i="16"/>
  <c r="H34" i="16"/>
  <c r="I34" i="16"/>
  <c r="J34" i="16"/>
  <c r="E35" i="16"/>
  <c r="F35" i="16"/>
  <c r="G35" i="16"/>
  <c r="H35" i="16"/>
  <c r="I35" i="16"/>
  <c r="J35" i="16"/>
  <c r="E36" i="16"/>
  <c r="F36" i="16"/>
  <c r="G36" i="16"/>
  <c r="H36" i="16"/>
  <c r="I36" i="16"/>
  <c r="J36" i="16"/>
  <c r="E37" i="16"/>
  <c r="F37" i="16"/>
  <c r="G37" i="16"/>
  <c r="H37" i="16"/>
  <c r="I37" i="16"/>
  <c r="J37" i="16"/>
  <c r="D39" i="16"/>
  <c r="C39" i="16" s="1"/>
  <c r="D40" i="16"/>
  <c r="C40" i="16" s="1"/>
  <c r="E40" i="16"/>
  <c r="F40" i="16"/>
  <c r="G40" i="16"/>
  <c r="H40" i="16"/>
  <c r="I40" i="16"/>
  <c r="J40" i="16"/>
  <c r="E41" i="16"/>
  <c r="F41" i="16"/>
  <c r="G41" i="16"/>
  <c r="H41" i="16"/>
  <c r="I41" i="16"/>
  <c r="J41" i="16"/>
  <c r="E42" i="16"/>
  <c r="F42" i="16"/>
  <c r="G42" i="16"/>
  <c r="H42" i="16"/>
  <c r="I42" i="16"/>
  <c r="J42" i="16"/>
  <c r="E43" i="16"/>
  <c r="F43" i="16"/>
  <c r="G43" i="16"/>
  <c r="H43" i="16"/>
  <c r="I43" i="16"/>
  <c r="J43" i="16"/>
  <c r="E45" i="16"/>
  <c r="F45" i="16"/>
  <c r="G45" i="16"/>
  <c r="H45" i="16"/>
  <c r="I45" i="16"/>
  <c r="J45" i="16"/>
  <c r="AC26" i="16"/>
  <c r="AC27" i="16"/>
  <c r="AC28" i="16"/>
  <c r="AC29" i="16"/>
  <c r="AC30" i="16"/>
  <c r="AC25" i="16"/>
  <c r="AB32" i="16"/>
  <c r="AW7" i="3"/>
  <c r="AV5" i="3"/>
  <c r="AA31" i="16"/>
  <c r="AC31" i="16" s="1"/>
  <c r="E25" i="16"/>
  <c r="F25" i="16"/>
  <c r="G25" i="16"/>
  <c r="H25" i="16"/>
  <c r="J26" i="16"/>
  <c r="J96" i="16"/>
  <c r="I96" i="16"/>
  <c r="H96" i="16"/>
  <c r="G96" i="16"/>
  <c r="F96" i="16"/>
  <c r="E96" i="16"/>
  <c r="D96" i="16"/>
  <c r="C96" i="16"/>
  <c r="J95" i="16"/>
  <c r="I95" i="16"/>
  <c r="H95" i="16"/>
  <c r="G95" i="16"/>
  <c r="F95" i="16"/>
  <c r="E95" i="16"/>
  <c r="D95" i="16"/>
  <c r="C95" i="16"/>
  <c r="J94" i="16"/>
  <c r="I94" i="16"/>
  <c r="H94" i="16"/>
  <c r="G94" i="16"/>
  <c r="F94" i="16"/>
  <c r="E94" i="16"/>
  <c r="D94" i="16"/>
  <c r="C94" i="16"/>
  <c r="J93" i="16"/>
  <c r="I93" i="16"/>
  <c r="H93" i="16"/>
  <c r="G93" i="16"/>
  <c r="F93" i="16"/>
  <c r="E93" i="16"/>
  <c r="D93" i="16"/>
  <c r="C93" i="16"/>
  <c r="AD42" i="16"/>
  <c r="AD41" i="16"/>
  <c r="AD40" i="16"/>
  <c r="AD39" i="16"/>
  <c r="AD38" i="16"/>
  <c r="AD37" i="16"/>
  <c r="I26" i="16"/>
  <c r="H26" i="16"/>
  <c r="G26" i="16"/>
  <c r="F26" i="16"/>
  <c r="E26" i="16"/>
  <c r="D25" i="16"/>
  <c r="J25" i="16"/>
  <c r="I25" i="16"/>
  <c r="T20" i="16"/>
  <c r="O13" i="16" s="1"/>
  <c r="S20" i="16"/>
  <c r="O10" i="16" s="1"/>
  <c r="R20" i="16"/>
  <c r="O8" i="16" s="1"/>
  <c r="Q20" i="16"/>
  <c r="O11" i="16" s="1"/>
  <c r="P20" i="16"/>
  <c r="O9" i="16" s="1"/>
  <c r="O20" i="16"/>
  <c r="O12" i="16" s="1"/>
  <c r="C13" i="16"/>
  <c r="C12" i="16"/>
  <c r="C11" i="16"/>
  <c r="C10" i="16"/>
  <c r="C9" i="16"/>
  <c r="C8" i="16"/>
  <c r="T20" i="14"/>
  <c r="S20" i="14"/>
  <c r="R20" i="14"/>
  <c r="Q20" i="14"/>
  <c r="P20" i="14"/>
  <c r="O20" i="14"/>
  <c r="T20" i="18" l="1"/>
  <c r="O13" i="18" s="1"/>
  <c r="S21" i="18" a="1"/>
  <c r="S21" i="18" s="1"/>
  <c r="O3" i="4" s="1"/>
  <c r="T21" i="18" a="1"/>
  <c r="T21" i="18" s="1"/>
  <c r="J21" i="18" s="1"/>
  <c r="P20" i="18"/>
  <c r="O9" i="18" s="1"/>
  <c r="P21" i="18" a="1"/>
  <c r="P21" i="18" s="1"/>
  <c r="M46" i="18"/>
  <c r="D61" i="18"/>
  <c r="C61" i="18" s="1"/>
  <c r="M62" i="18"/>
  <c r="I20" i="18"/>
  <c r="D9" i="18" s="1"/>
  <c r="S20" i="18"/>
  <c r="O10" i="18" s="1"/>
  <c r="D44" i="18"/>
  <c r="C44" i="18" s="1"/>
  <c r="D41" i="18"/>
  <c r="C41" i="18" s="1"/>
  <c r="D43" i="18"/>
  <c r="C43" i="18" s="1"/>
  <c r="D42" i="18"/>
  <c r="C42" i="18" s="1"/>
  <c r="O12" i="18"/>
  <c r="AY2" i="3"/>
  <c r="E20" i="18"/>
  <c r="D10" i="18" s="1"/>
  <c r="AY5" i="3"/>
  <c r="AY6" i="3"/>
  <c r="AY7" i="3"/>
  <c r="F20" i="18"/>
  <c r="G20" i="18"/>
  <c r="AB5" i="3" s="1"/>
  <c r="H20" i="18"/>
  <c r="J20" i="18"/>
  <c r="D28" i="18"/>
  <c r="C28" i="18" s="1"/>
  <c r="D26" i="18"/>
  <c r="C26" i="18" s="1"/>
  <c r="E20" i="17"/>
  <c r="B70" i="3"/>
  <c r="D47" i="17"/>
  <c r="C47" i="17" s="1"/>
  <c r="M48" i="17"/>
  <c r="M26" i="17"/>
  <c r="M27" i="17" s="1"/>
  <c r="M28" i="17" s="1"/>
  <c r="M29" i="17" s="1"/>
  <c r="O16" i="17"/>
  <c r="W16" i="17" s="1"/>
  <c r="W15" i="17" s="1"/>
  <c r="G20" i="17"/>
  <c r="AA5" i="3" s="1"/>
  <c r="F20" i="17"/>
  <c r="AA6" i="3" s="1"/>
  <c r="AA4" i="3"/>
  <c r="D28" i="17"/>
  <c r="C28" i="17" s="1"/>
  <c r="H20" i="17"/>
  <c r="AA7" i="3" s="1"/>
  <c r="I20" i="17"/>
  <c r="AA3" i="3" s="1"/>
  <c r="J20" i="17"/>
  <c r="AA2" i="3" s="1"/>
  <c r="D49" i="17"/>
  <c r="C49" i="17" s="1"/>
  <c r="D43" i="17"/>
  <c r="C43" i="17" s="1"/>
  <c r="D42" i="17"/>
  <c r="C42" i="17" s="1"/>
  <c r="D45" i="17"/>
  <c r="C45" i="17" s="1"/>
  <c r="D44" i="17"/>
  <c r="C44" i="17" s="1"/>
  <c r="D47" i="16"/>
  <c r="C47" i="16" s="1"/>
  <c r="M48" i="16"/>
  <c r="D52" i="16"/>
  <c r="C52" i="16" s="1"/>
  <c r="M53" i="16"/>
  <c r="M43" i="16"/>
  <c r="D43" i="16" s="1"/>
  <c r="C43" i="16" s="1"/>
  <c r="D42" i="16"/>
  <c r="C42" i="16" s="1"/>
  <c r="D41" i="16"/>
  <c r="C41" i="16" s="1"/>
  <c r="D51" i="16"/>
  <c r="C51" i="16" s="1"/>
  <c r="D33" i="16"/>
  <c r="C33" i="16" s="1"/>
  <c r="M34" i="16"/>
  <c r="AA32" i="16"/>
  <c r="H20" i="16"/>
  <c r="Z7" i="3" s="1"/>
  <c r="G20" i="16"/>
  <c r="Z5" i="3" s="1"/>
  <c r="E20" i="16"/>
  <c r="Z4" i="3" s="1"/>
  <c r="M26" i="16"/>
  <c r="M27" i="16" s="1"/>
  <c r="I20" i="16"/>
  <c r="Z3" i="3" s="1"/>
  <c r="F20" i="16"/>
  <c r="Z6" i="3" s="1"/>
  <c r="AW2" i="3"/>
  <c r="AW3" i="3"/>
  <c r="AW5" i="3"/>
  <c r="AW6" i="3"/>
  <c r="AW4" i="3"/>
  <c r="J20" i="16"/>
  <c r="Z2" i="3" s="1"/>
  <c r="O16" i="16"/>
  <c r="S16" i="14"/>
  <c r="D87" i="14"/>
  <c r="D88" i="14"/>
  <c r="D89" i="14"/>
  <c r="D90" i="14"/>
  <c r="D91" i="14"/>
  <c r="D92" i="14"/>
  <c r="D93" i="14"/>
  <c r="D94" i="14"/>
  <c r="E87" i="14"/>
  <c r="E88" i="14"/>
  <c r="E89" i="14"/>
  <c r="E83" i="14"/>
  <c r="AD31" i="14"/>
  <c r="AD39" i="14"/>
  <c r="AA37" i="14"/>
  <c r="AA39" i="14"/>
  <c r="AD40" i="14"/>
  <c r="AA40" i="14" s="1"/>
  <c r="AD41" i="14"/>
  <c r="AA41" i="14" s="1"/>
  <c r="AD42" i="14"/>
  <c r="AA42" i="14" s="1"/>
  <c r="AD37" i="14"/>
  <c r="AD38" i="14"/>
  <c r="AA38" i="14" s="1"/>
  <c r="I21" i="18" l="1"/>
  <c r="O2" i="4"/>
  <c r="F21" i="18"/>
  <c r="H8" i="18" s="1"/>
  <c r="O6" i="4"/>
  <c r="E17" i="18"/>
  <c r="M63" i="18"/>
  <c r="D63" i="18" s="1"/>
  <c r="C63" i="18" s="1"/>
  <c r="D62" i="18"/>
  <c r="C62" i="18" s="1"/>
  <c r="D46" i="18"/>
  <c r="C46" i="18" s="1"/>
  <c r="M47" i="18"/>
  <c r="D58" i="18"/>
  <c r="C58" i="18" s="1"/>
  <c r="AY3" i="3"/>
  <c r="AY9" i="3" s="1"/>
  <c r="O16" i="18"/>
  <c r="W16" i="18" s="1"/>
  <c r="T5" i="18" s="1"/>
  <c r="BT5" i="3"/>
  <c r="BO5" i="3"/>
  <c r="BU5" i="3"/>
  <c r="BP5" i="3"/>
  <c r="BV5" i="3"/>
  <c r="BQ5" i="3"/>
  <c r="BR5" i="3"/>
  <c r="BN5" i="3"/>
  <c r="BS5" i="3"/>
  <c r="AB3" i="3"/>
  <c r="D11" i="18"/>
  <c r="AB2" i="3"/>
  <c r="AB7" i="3"/>
  <c r="D12" i="18"/>
  <c r="AB6" i="3"/>
  <c r="D13" i="18"/>
  <c r="AB4" i="3"/>
  <c r="D8" i="18"/>
  <c r="F17" i="18"/>
  <c r="I17" i="18"/>
  <c r="H17" i="18"/>
  <c r="G17" i="18"/>
  <c r="J17" i="18"/>
  <c r="D29" i="18"/>
  <c r="C29" i="18" s="1"/>
  <c r="M30" i="17"/>
  <c r="D29" i="17"/>
  <c r="C29" i="17" s="1"/>
  <c r="AA10" i="3"/>
  <c r="AX9" i="3"/>
  <c r="AA9" i="3"/>
  <c r="J17" i="17"/>
  <c r="I17" i="17"/>
  <c r="G17" i="17"/>
  <c r="T5" i="17"/>
  <c r="F17" i="17"/>
  <c r="E17" i="17"/>
  <c r="H17" i="17"/>
  <c r="D50" i="17"/>
  <c r="C50" i="17" s="1"/>
  <c r="D26" i="17"/>
  <c r="C26" i="17" s="1"/>
  <c r="D46" i="17"/>
  <c r="C46" i="17" s="1"/>
  <c r="D53" i="16"/>
  <c r="C53" i="16" s="1"/>
  <c r="M54" i="16"/>
  <c r="M45" i="16"/>
  <c r="D45" i="16" s="1"/>
  <c r="C45" i="16" s="1"/>
  <c r="M49" i="16"/>
  <c r="D48" i="16"/>
  <c r="C48" i="16" s="1"/>
  <c r="Z10" i="3"/>
  <c r="D26" i="16"/>
  <c r="C26" i="16" s="1"/>
  <c r="M35" i="16"/>
  <c r="D34" i="16"/>
  <c r="C34" i="16" s="1"/>
  <c r="AW9" i="3"/>
  <c r="E17" i="16"/>
  <c r="M28" i="16"/>
  <c r="D27" i="16"/>
  <c r="C27" i="16" s="1"/>
  <c r="F17" i="16"/>
  <c r="Z9" i="3"/>
  <c r="H17" i="16"/>
  <c r="I17" i="16"/>
  <c r="J17" i="16"/>
  <c r="G17" i="16"/>
  <c r="W16" i="16"/>
  <c r="T5" i="16" s="1"/>
  <c r="B397" i="9"/>
  <c r="AD25" i="14"/>
  <c r="AE26" i="14"/>
  <c r="AE27" i="14"/>
  <c r="AE28" i="14"/>
  <c r="AE29" i="14"/>
  <c r="AE30" i="14"/>
  <c r="AE25" i="14"/>
  <c r="AD27" i="14"/>
  <c r="AB26" i="14"/>
  <c r="AB27" i="14" s="1"/>
  <c r="AB28" i="14" s="1"/>
  <c r="AB29" i="14" s="1"/>
  <c r="AB30" i="14" s="1"/>
  <c r="C387" i="9"/>
  <c r="E82" i="14"/>
  <c r="B393" i="9" s="1"/>
  <c r="F82" i="14"/>
  <c r="C393" i="9" s="1"/>
  <c r="G82" i="14"/>
  <c r="D393" i="9" s="1"/>
  <c r="H82" i="14"/>
  <c r="E393" i="9" s="1"/>
  <c r="I82" i="14"/>
  <c r="F393" i="9" s="1"/>
  <c r="J82" i="14"/>
  <c r="G393" i="9" s="1"/>
  <c r="B394" i="9"/>
  <c r="F83" i="14"/>
  <c r="C394" i="9" s="1"/>
  <c r="G83" i="14"/>
  <c r="D394" i="9" s="1"/>
  <c r="H83" i="14"/>
  <c r="E394" i="9" s="1"/>
  <c r="I83" i="14"/>
  <c r="F394" i="9" s="1"/>
  <c r="J83" i="14"/>
  <c r="G394" i="9" s="1"/>
  <c r="E84" i="14"/>
  <c r="B395" i="9" s="1"/>
  <c r="F84" i="14"/>
  <c r="C395" i="9" s="1"/>
  <c r="G84" i="14"/>
  <c r="D395" i="9" s="1"/>
  <c r="H84" i="14"/>
  <c r="E395" i="9" s="1"/>
  <c r="I84" i="14"/>
  <c r="F395" i="9" s="1"/>
  <c r="J84" i="14"/>
  <c r="G395" i="9" s="1"/>
  <c r="E85" i="14"/>
  <c r="B396" i="9" s="1"/>
  <c r="F85" i="14"/>
  <c r="C396" i="9" s="1"/>
  <c r="G85" i="14"/>
  <c r="D396" i="9" s="1"/>
  <c r="H85" i="14"/>
  <c r="E396" i="9" s="1"/>
  <c r="I85" i="14"/>
  <c r="F396" i="9" s="1"/>
  <c r="J85" i="14"/>
  <c r="G396" i="9" s="1"/>
  <c r="F87" i="14"/>
  <c r="G87" i="14"/>
  <c r="H87" i="14"/>
  <c r="I87" i="14"/>
  <c r="J87" i="14"/>
  <c r="F88" i="14"/>
  <c r="G88" i="14"/>
  <c r="H88" i="14"/>
  <c r="I88" i="14"/>
  <c r="J88" i="14"/>
  <c r="C89" i="14"/>
  <c r="B398" i="9"/>
  <c r="F89" i="14"/>
  <c r="C398" i="9" s="1"/>
  <c r="G89" i="14"/>
  <c r="D398" i="9" s="1"/>
  <c r="H89" i="14"/>
  <c r="E398" i="9" s="1"/>
  <c r="I89" i="14"/>
  <c r="F398" i="9" s="1"/>
  <c r="J89" i="14"/>
  <c r="G398" i="9" s="1"/>
  <c r="C90" i="14"/>
  <c r="E90" i="14"/>
  <c r="F90" i="14"/>
  <c r="C399" i="9" s="1"/>
  <c r="G90" i="14"/>
  <c r="D399" i="9" s="1"/>
  <c r="H90" i="14"/>
  <c r="E399" i="9" s="1"/>
  <c r="I90" i="14"/>
  <c r="F399" i="9" s="1"/>
  <c r="J90" i="14"/>
  <c r="G399" i="9" s="1"/>
  <c r="C91" i="14"/>
  <c r="E91" i="14"/>
  <c r="F91" i="14"/>
  <c r="G91" i="14"/>
  <c r="H91" i="14"/>
  <c r="I91" i="14"/>
  <c r="J91" i="14"/>
  <c r="C92" i="14"/>
  <c r="E92" i="14"/>
  <c r="F92" i="14"/>
  <c r="G92" i="14"/>
  <c r="H92" i="14"/>
  <c r="I92" i="14"/>
  <c r="J92" i="14"/>
  <c r="C93" i="14"/>
  <c r="E93" i="14"/>
  <c r="F93" i="14"/>
  <c r="G93" i="14"/>
  <c r="H93" i="14"/>
  <c r="I93" i="14"/>
  <c r="J93" i="14"/>
  <c r="C94" i="14"/>
  <c r="E94" i="14"/>
  <c r="F94" i="14"/>
  <c r="G94" i="14"/>
  <c r="H94" i="14"/>
  <c r="I94" i="14"/>
  <c r="J94" i="14"/>
  <c r="M72" i="14"/>
  <c r="M73" i="14" s="1"/>
  <c r="R9" i="3"/>
  <c r="M57" i="14"/>
  <c r="M58" i="14" s="1"/>
  <c r="D58" i="14" s="1"/>
  <c r="C58" i="14" s="1"/>
  <c r="C5" i="15"/>
  <c r="D5" i="15"/>
  <c r="E5" i="15"/>
  <c r="F5" i="15"/>
  <c r="G5" i="15"/>
  <c r="B5" i="15"/>
  <c r="C4" i="15"/>
  <c r="D4" i="15"/>
  <c r="E4" i="15"/>
  <c r="F4" i="15"/>
  <c r="G4" i="15"/>
  <c r="B4" i="15"/>
  <c r="AV4" i="3"/>
  <c r="O9" i="14"/>
  <c r="O11" i="14"/>
  <c r="AV7" i="3"/>
  <c r="O13" i="14"/>
  <c r="O10" i="14"/>
  <c r="V25" i="10"/>
  <c r="V26" i="10"/>
  <c r="V27" i="10"/>
  <c r="V28" i="10"/>
  <c r="V29"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6" i="10"/>
  <c r="V67" i="10"/>
  <c r="V68" i="10"/>
  <c r="V69" i="10"/>
  <c r="V70" i="10"/>
  <c r="V71" i="10"/>
  <c r="V24" i="10"/>
  <c r="M43" i="14"/>
  <c r="M44" i="14" s="1"/>
  <c r="D44" i="14" s="1"/>
  <c r="M38" i="14"/>
  <c r="M39" i="14" s="1"/>
  <c r="AD26" i="14"/>
  <c r="AD28" i="14"/>
  <c r="AD29" i="14"/>
  <c r="AD30" i="14"/>
  <c r="E74" i="14"/>
  <c r="B387" i="9" s="1"/>
  <c r="F74" i="14"/>
  <c r="G74" i="14"/>
  <c r="D387" i="9" s="1"/>
  <c r="H74" i="14"/>
  <c r="E387" i="9" s="1"/>
  <c r="I74" i="14"/>
  <c r="F387" i="9" s="1"/>
  <c r="J74" i="14"/>
  <c r="G387" i="9" s="1"/>
  <c r="E75" i="14"/>
  <c r="B388" i="9" s="1"/>
  <c r="F75" i="14"/>
  <c r="C388" i="9" s="1"/>
  <c r="G75" i="14"/>
  <c r="D388" i="9" s="1"/>
  <c r="H75" i="14"/>
  <c r="E388" i="9" s="1"/>
  <c r="I75" i="14"/>
  <c r="F388" i="9" s="1"/>
  <c r="J75" i="14"/>
  <c r="G388" i="9" s="1"/>
  <c r="E76" i="14"/>
  <c r="B389" i="9" s="1"/>
  <c r="F76" i="14"/>
  <c r="C389" i="9" s="1"/>
  <c r="G76" i="14"/>
  <c r="D389" i="9" s="1"/>
  <c r="H76" i="14"/>
  <c r="E389" i="9" s="1"/>
  <c r="I76" i="14"/>
  <c r="F389" i="9" s="1"/>
  <c r="J76" i="14"/>
  <c r="G389" i="9" s="1"/>
  <c r="E78" i="14"/>
  <c r="B390" i="9" s="1"/>
  <c r="F78" i="14"/>
  <c r="C390" i="9" s="1"/>
  <c r="G78" i="14"/>
  <c r="D390" i="9" s="1"/>
  <c r="H78" i="14"/>
  <c r="E390" i="9" s="1"/>
  <c r="I78" i="14"/>
  <c r="F390" i="9" s="1"/>
  <c r="J78" i="14"/>
  <c r="G390" i="9" s="1"/>
  <c r="E79" i="14"/>
  <c r="B391" i="9" s="1"/>
  <c r="F79" i="14"/>
  <c r="C391" i="9" s="1"/>
  <c r="G79" i="14"/>
  <c r="D391" i="9" s="1"/>
  <c r="H79" i="14"/>
  <c r="E391" i="9" s="1"/>
  <c r="I79" i="14"/>
  <c r="F391" i="9" s="1"/>
  <c r="J79" i="14"/>
  <c r="G391" i="9" s="1"/>
  <c r="E80" i="14"/>
  <c r="B392" i="9" s="1"/>
  <c r="F80" i="14"/>
  <c r="C392" i="9" s="1"/>
  <c r="G80" i="14"/>
  <c r="D392" i="9" s="1"/>
  <c r="H80" i="14"/>
  <c r="E392" i="9" s="1"/>
  <c r="I80" i="14"/>
  <c r="F392" i="9" s="1"/>
  <c r="J80" i="14"/>
  <c r="G392" i="9" s="1"/>
  <c r="E27" i="14"/>
  <c r="F27" i="14"/>
  <c r="G27" i="14"/>
  <c r="H27" i="14"/>
  <c r="I27" i="14"/>
  <c r="J27" i="14"/>
  <c r="E28" i="14"/>
  <c r="F28" i="14"/>
  <c r="G28" i="14"/>
  <c r="H28" i="14"/>
  <c r="I28" i="14"/>
  <c r="J28" i="14"/>
  <c r="E29" i="14"/>
  <c r="F29" i="14"/>
  <c r="G29" i="14"/>
  <c r="H29" i="14"/>
  <c r="I29" i="14"/>
  <c r="J29" i="14"/>
  <c r="D31" i="14"/>
  <c r="C31" i="14" s="1"/>
  <c r="E31" i="14"/>
  <c r="F31" i="14"/>
  <c r="G31" i="14"/>
  <c r="H31" i="14"/>
  <c r="I31" i="14"/>
  <c r="J31" i="14"/>
  <c r="D32" i="14"/>
  <c r="C32" i="14" s="1"/>
  <c r="E32" i="14"/>
  <c r="F32" i="14"/>
  <c r="G32" i="14"/>
  <c r="H32" i="14"/>
  <c r="I32" i="14"/>
  <c r="J32" i="14"/>
  <c r="D33" i="14"/>
  <c r="C33" i="14" s="1"/>
  <c r="E33" i="14"/>
  <c r="F33" i="14"/>
  <c r="G33" i="14"/>
  <c r="H33" i="14"/>
  <c r="I33" i="14"/>
  <c r="J33" i="14"/>
  <c r="D34" i="14"/>
  <c r="C34" i="14" s="1"/>
  <c r="E34" i="14"/>
  <c r="F34" i="14"/>
  <c r="G34" i="14"/>
  <c r="H34" i="14"/>
  <c r="I34" i="14"/>
  <c r="J34" i="14"/>
  <c r="D36" i="14"/>
  <c r="C36" i="14" s="1"/>
  <c r="E36" i="14"/>
  <c r="F36" i="14"/>
  <c r="G36" i="14"/>
  <c r="H36" i="14"/>
  <c r="I36" i="14"/>
  <c r="J36" i="14"/>
  <c r="E38" i="14"/>
  <c r="F38" i="14"/>
  <c r="G38" i="14"/>
  <c r="H38" i="14"/>
  <c r="I38" i="14"/>
  <c r="J38" i="14"/>
  <c r="E39" i="14"/>
  <c r="F39" i="14"/>
  <c r="G39" i="14"/>
  <c r="H39" i="14"/>
  <c r="I39" i="14"/>
  <c r="J39" i="14"/>
  <c r="E40" i="14"/>
  <c r="F40" i="14"/>
  <c r="G40" i="14"/>
  <c r="H40" i="14"/>
  <c r="I40" i="14"/>
  <c r="J40" i="14"/>
  <c r="D42" i="14"/>
  <c r="C42" i="14" s="1"/>
  <c r="E42" i="14"/>
  <c r="B362" i="9" s="1"/>
  <c r="F42" i="14"/>
  <c r="C362" i="9" s="1"/>
  <c r="G42" i="14"/>
  <c r="D362" i="9" s="1"/>
  <c r="H42" i="14"/>
  <c r="E362" i="9" s="1"/>
  <c r="I42" i="14"/>
  <c r="F362" i="9" s="1"/>
  <c r="J42" i="14"/>
  <c r="G362" i="9" s="1"/>
  <c r="E44" i="14"/>
  <c r="B363" i="9" s="1"/>
  <c r="F44" i="14"/>
  <c r="C363" i="9" s="1"/>
  <c r="G44" i="14"/>
  <c r="D363" i="9" s="1"/>
  <c r="H44" i="14"/>
  <c r="E363" i="9" s="1"/>
  <c r="I44" i="14"/>
  <c r="F363" i="9" s="1"/>
  <c r="J44" i="14"/>
  <c r="G363" i="9" s="1"/>
  <c r="E45" i="14"/>
  <c r="B364" i="9" s="1"/>
  <c r="F45" i="14"/>
  <c r="C364" i="9" s="1"/>
  <c r="G45" i="14"/>
  <c r="D364" i="9" s="1"/>
  <c r="H45" i="14"/>
  <c r="E364" i="9" s="1"/>
  <c r="I45" i="14"/>
  <c r="F364" i="9" s="1"/>
  <c r="J45" i="14"/>
  <c r="G364" i="9" s="1"/>
  <c r="E46" i="14"/>
  <c r="B365" i="9" s="1"/>
  <c r="F46" i="14"/>
  <c r="C365" i="9" s="1"/>
  <c r="G46" i="14"/>
  <c r="D365" i="9" s="1"/>
  <c r="H46" i="14"/>
  <c r="E365" i="9" s="1"/>
  <c r="I46" i="14"/>
  <c r="F365" i="9" s="1"/>
  <c r="J46" i="14"/>
  <c r="G365" i="9" s="1"/>
  <c r="E47" i="14"/>
  <c r="B366" i="9" s="1"/>
  <c r="F47" i="14"/>
  <c r="C366" i="9" s="1"/>
  <c r="G47" i="14"/>
  <c r="D366" i="9" s="1"/>
  <c r="H47" i="14"/>
  <c r="E366" i="9" s="1"/>
  <c r="I47" i="14"/>
  <c r="F366" i="9" s="1"/>
  <c r="J47" i="14"/>
  <c r="G366" i="9" s="1"/>
  <c r="E48" i="14"/>
  <c r="B367" i="9" s="1"/>
  <c r="F48" i="14"/>
  <c r="C367" i="9" s="1"/>
  <c r="G48" i="14"/>
  <c r="D367" i="9" s="1"/>
  <c r="H48" i="14"/>
  <c r="E367" i="9" s="1"/>
  <c r="I48" i="14"/>
  <c r="F367" i="9" s="1"/>
  <c r="J48" i="14"/>
  <c r="G367" i="9" s="1"/>
  <c r="E49" i="14"/>
  <c r="B368" i="9" s="1"/>
  <c r="F49" i="14"/>
  <c r="C368" i="9" s="1"/>
  <c r="G49" i="14"/>
  <c r="D368" i="9" s="1"/>
  <c r="H49" i="14"/>
  <c r="E368" i="9" s="1"/>
  <c r="I49" i="14"/>
  <c r="F368" i="9" s="1"/>
  <c r="J49" i="14"/>
  <c r="G368" i="9" s="1"/>
  <c r="E50" i="14"/>
  <c r="B369" i="9" s="1"/>
  <c r="F50" i="14"/>
  <c r="C369" i="9" s="1"/>
  <c r="G50" i="14"/>
  <c r="D369" i="9" s="1"/>
  <c r="H50" i="14"/>
  <c r="E369" i="9" s="1"/>
  <c r="I50" i="14"/>
  <c r="F369" i="9" s="1"/>
  <c r="J50" i="14"/>
  <c r="G369" i="9" s="1"/>
  <c r="E51" i="14"/>
  <c r="F51" i="14"/>
  <c r="C370" i="9" s="1"/>
  <c r="G51" i="14"/>
  <c r="D370" i="9" s="1"/>
  <c r="H51" i="14"/>
  <c r="E370" i="9" s="1"/>
  <c r="I51" i="14"/>
  <c r="F370" i="9" s="1"/>
  <c r="J51" i="14"/>
  <c r="G370" i="9" s="1"/>
  <c r="E52" i="14"/>
  <c r="B371" i="9" s="1"/>
  <c r="F52" i="14"/>
  <c r="C371" i="9" s="1"/>
  <c r="G52" i="14"/>
  <c r="D371" i="9" s="1"/>
  <c r="H52" i="14"/>
  <c r="E371" i="9" s="1"/>
  <c r="I52" i="14"/>
  <c r="F371" i="9" s="1"/>
  <c r="J52" i="14"/>
  <c r="G371" i="9" s="1"/>
  <c r="E53" i="14"/>
  <c r="B372" i="9" s="1"/>
  <c r="F53" i="14"/>
  <c r="C372" i="9" s="1"/>
  <c r="G53" i="14"/>
  <c r="D372" i="9" s="1"/>
  <c r="H53" i="14"/>
  <c r="E372" i="9" s="1"/>
  <c r="I53" i="14"/>
  <c r="F372" i="9" s="1"/>
  <c r="J53" i="14"/>
  <c r="G372" i="9" s="1"/>
  <c r="E54" i="14"/>
  <c r="B373" i="9" s="1"/>
  <c r="F54" i="14"/>
  <c r="C373" i="9" s="1"/>
  <c r="G54" i="14"/>
  <c r="D373" i="9" s="1"/>
  <c r="H54" i="14"/>
  <c r="E373" i="9" s="1"/>
  <c r="I54" i="14"/>
  <c r="F373" i="9" s="1"/>
  <c r="J54" i="14"/>
  <c r="G373" i="9" s="1"/>
  <c r="E55" i="14"/>
  <c r="B374" i="9" s="1"/>
  <c r="F55" i="14"/>
  <c r="C374" i="9" s="1"/>
  <c r="G55" i="14"/>
  <c r="D374" i="9" s="1"/>
  <c r="H55" i="14"/>
  <c r="E374" i="9" s="1"/>
  <c r="I55" i="14"/>
  <c r="F374" i="9" s="1"/>
  <c r="J55" i="14"/>
  <c r="G374" i="9" s="1"/>
  <c r="D56" i="14"/>
  <c r="C56" i="14" s="1"/>
  <c r="E56" i="14"/>
  <c r="F56" i="14"/>
  <c r="G56" i="14"/>
  <c r="H56" i="14"/>
  <c r="I56" i="14"/>
  <c r="J56" i="14"/>
  <c r="E58" i="14"/>
  <c r="B375" i="9" s="1"/>
  <c r="F58" i="14"/>
  <c r="C375" i="9" s="1"/>
  <c r="G58" i="14"/>
  <c r="D375" i="9" s="1"/>
  <c r="H58" i="14"/>
  <c r="E375" i="9" s="1"/>
  <c r="I58" i="14"/>
  <c r="F375" i="9" s="1"/>
  <c r="J58" i="14"/>
  <c r="G375" i="9" s="1"/>
  <c r="E59" i="14"/>
  <c r="B376" i="9" s="1"/>
  <c r="F59" i="14"/>
  <c r="C376" i="9" s="1"/>
  <c r="G59" i="14"/>
  <c r="D376" i="9" s="1"/>
  <c r="H59" i="14"/>
  <c r="E376" i="9" s="1"/>
  <c r="I59" i="14"/>
  <c r="F376" i="9" s="1"/>
  <c r="J59" i="14"/>
  <c r="G376" i="9" s="1"/>
  <c r="E60" i="14"/>
  <c r="B377" i="9" s="1"/>
  <c r="F60" i="14"/>
  <c r="C377" i="9" s="1"/>
  <c r="G60" i="14"/>
  <c r="D377" i="9" s="1"/>
  <c r="H60" i="14"/>
  <c r="E377" i="9" s="1"/>
  <c r="I60" i="14"/>
  <c r="F377" i="9" s="1"/>
  <c r="J60" i="14"/>
  <c r="G377" i="9" s="1"/>
  <c r="E61" i="14"/>
  <c r="B378" i="9" s="1"/>
  <c r="F61" i="14"/>
  <c r="C378" i="9" s="1"/>
  <c r="G61" i="14"/>
  <c r="D378" i="9" s="1"/>
  <c r="H61" i="14"/>
  <c r="E378" i="9" s="1"/>
  <c r="I61" i="14"/>
  <c r="F378" i="9" s="1"/>
  <c r="J61" i="14"/>
  <c r="G378" i="9" s="1"/>
  <c r="E62" i="14"/>
  <c r="B379" i="9" s="1"/>
  <c r="F62" i="14"/>
  <c r="C379" i="9" s="1"/>
  <c r="G62" i="14"/>
  <c r="D379" i="9" s="1"/>
  <c r="H62" i="14"/>
  <c r="E379" i="9" s="1"/>
  <c r="I62" i="14"/>
  <c r="F379" i="9" s="1"/>
  <c r="J62" i="14"/>
  <c r="G379" i="9" s="1"/>
  <c r="E64" i="14"/>
  <c r="B380" i="9" s="1"/>
  <c r="F64" i="14"/>
  <c r="C380" i="9" s="1"/>
  <c r="G64" i="14"/>
  <c r="D380" i="9" s="1"/>
  <c r="H64" i="14"/>
  <c r="E380" i="9" s="1"/>
  <c r="I64" i="14"/>
  <c r="F380" i="9" s="1"/>
  <c r="J64" i="14"/>
  <c r="G380" i="9" s="1"/>
  <c r="E66" i="14"/>
  <c r="B381" i="9" s="1"/>
  <c r="F66" i="14"/>
  <c r="C381" i="9" s="1"/>
  <c r="G66" i="14"/>
  <c r="D381" i="9" s="1"/>
  <c r="H66" i="14"/>
  <c r="E381" i="9" s="1"/>
  <c r="I66" i="14"/>
  <c r="F381" i="9" s="1"/>
  <c r="J66" i="14"/>
  <c r="G381" i="9" s="1"/>
  <c r="E67" i="14"/>
  <c r="B382" i="9" s="1"/>
  <c r="F67" i="14"/>
  <c r="C382" i="9" s="1"/>
  <c r="G67" i="14"/>
  <c r="D382" i="9" s="1"/>
  <c r="H67" i="14"/>
  <c r="E382" i="9" s="1"/>
  <c r="I67" i="14"/>
  <c r="F382" i="9" s="1"/>
  <c r="J67" i="14"/>
  <c r="G382" i="9" s="1"/>
  <c r="E68" i="14"/>
  <c r="B383" i="9" s="1"/>
  <c r="F68" i="14"/>
  <c r="C383" i="9" s="1"/>
  <c r="G68" i="14"/>
  <c r="D383" i="9" s="1"/>
  <c r="H68" i="14"/>
  <c r="E383" i="9" s="1"/>
  <c r="I68" i="14"/>
  <c r="F383" i="9" s="1"/>
  <c r="J68" i="14"/>
  <c r="G383" i="9" s="1"/>
  <c r="E69" i="14"/>
  <c r="B384" i="9" s="1"/>
  <c r="F69" i="14"/>
  <c r="C384" i="9" s="1"/>
  <c r="G69" i="14"/>
  <c r="D384" i="9" s="1"/>
  <c r="H69" i="14"/>
  <c r="E384" i="9" s="1"/>
  <c r="I69" i="14"/>
  <c r="F384" i="9" s="1"/>
  <c r="J69" i="14"/>
  <c r="G384" i="9" s="1"/>
  <c r="E70" i="14"/>
  <c r="B385" i="9" s="1"/>
  <c r="F70" i="14"/>
  <c r="C385" i="9" s="1"/>
  <c r="G70" i="14"/>
  <c r="D385" i="9" s="1"/>
  <c r="H70" i="14"/>
  <c r="E385" i="9" s="1"/>
  <c r="I70" i="14"/>
  <c r="F385" i="9" s="1"/>
  <c r="J70" i="14"/>
  <c r="G385" i="9" s="1"/>
  <c r="D72" i="14"/>
  <c r="C72" i="14" s="1"/>
  <c r="E72" i="14"/>
  <c r="B386" i="9" s="1"/>
  <c r="F72" i="14"/>
  <c r="C386" i="9" s="1"/>
  <c r="G72" i="14"/>
  <c r="D386" i="9" s="1"/>
  <c r="H72" i="14"/>
  <c r="E386" i="9" s="1"/>
  <c r="I72" i="14"/>
  <c r="F386" i="9" s="1"/>
  <c r="J72" i="14"/>
  <c r="G386" i="9" s="1"/>
  <c r="J26" i="14"/>
  <c r="I26" i="14"/>
  <c r="H26" i="14"/>
  <c r="G26" i="14"/>
  <c r="F26" i="14"/>
  <c r="E26" i="14"/>
  <c r="M25" i="14"/>
  <c r="M26" i="14" s="1"/>
  <c r="D26" i="14" s="1"/>
  <c r="C26" i="14" s="1"/>
  <c r="J25" i="14"/>
  <c r="I25" i="14"/>
  <c r="H25" i="14"/>
  <c r="G25" i="14"/>
  <c r="F25" i="14"/>
  <c r="E25" i="14"/>
  <c r="C13" i="14"/>
  <c r="C12" i="14"/>
  <c r="C11" i="14"/>
  <c r="C10" i="14"/>
  <c r="C9" i="14"/>
  <c r="C8" i="14"/>
  <c r="A347" i="9"/>
  <c r="B347" i="9"/>
  <c r="C347" i="9"/>
  <c r="D347" i="9"/>
  <c r="F347" i="9"/>
  <c r="G347" i="9"/>
  <c r="A348" i="9"/>
  <c r="B348" i="9"/>
  <c r="C348" i="9"/>
  <c r="D348" i="9"/>
  <c r="F348" i="9"/>
  <c r="G348" i="9"/>
  <c r="M79" i="11"/>
  <c r="M78" i="11"/>
  <c r="M77" i="11"/>
  <c r="J80" i="11"/>
  <c r="M76" i="11"/>
  <c r="M75" i="11"/>
  <c r="G73" i="11"/>
  <c r="C9" i="11"/>
  <c r="F8" i="3"/>
  <c r="AD9" i="3"/>
  <c r="AE9" i="3"/>
  <c r="S9" i="3"/>
  <c r="AD65" i="3"/>
  <c r="AE65" i="3" s="1"/>
  <c r="AF65" i="3" s="1"/>
  <c r="AG65" i="3" s="1"/>
  <c r="AH65" i="3" s="1"/>
  <c r="AI65" i="3" s="1"/>
  <c r="AJ65" i="3" s="1"/>
  <c r="AK65" i="3" s="1"/>
  <c r="I68" i="11"/>
  <c r="G68" i="11"/>
  <c r="I66" i="11"/>
  <c r="G66" i="11"/>
  <c r="F63" i="11"/>
  <c r="C335" i="9" s="1"/>
  <c r="I61" i="11"/>
  <c r="G61" i="11"/>
  <c r="E61" i="11"/>
  <c r="I59" i="11"/>
  <c r="G59" i="11"/>
  <c r="G57" i="11"/>
  <c r="I57" i="11"/>
  <c r="I3" i="12"/>
  <c r="O20" i="11"/>
  <c r="H52" i="11"/>
  <c r="H53" i="11"/>
  <c r="H51" i="11"/>
  <c r="H50" i="11"/>
  <c r="H49" i="11"/>
  <c r="H48" i="11"/>
  <c r="H47" i="11"/>
  <c r="M46" i="11"/>
  <c r="M47" i="11" s="1"/>
  <c r="M48" i="11" s="1"/>
  <c r="M49" i="11" s="1"/>
  <c r="M50" i="11" s="1"/>
  <c r="M51" i="11" s="1"/>
  <c r="M52" i="11" s="1"/>
  <c r="M53" i="11" s="1"/>
  <c r="M54" i="11" s="1"/>
  <c r="M55" i="11" s="1"/>
  <c r="M56" i="11" s="1"/>
  <c r="M58" i="11" s="1"/>
  <c r="M60" i="11" s="1"/>
  <c r="M59" i="11" s="1"/>
  <c r="O8" i="4" l="1"/>
  <c r="G8" i="18"/>
  <c r="G11" i="18"/>
  <c r="D47" i="18"/>
  <c r="C47" i="18" s="1"/>
  <c r="M48" i="18"/>
  <c r="D60" i="18"/>
  <c r="C60" i="18" s="1"/>
  <c r="D59" i="18"/>
  <c r="C59" i="18" s="1"/>
  <c r="W15" i="18"/>
  <c r="BN7" i="3"/>
  <c r="BS7" i="3"/>
  <c r="BT7" i="3"/>
  <c r="BO7" i="3"/>
  <c r="BV7" i="3"/>
  <c r="BU7" i="3"/>
  <c r="BP7" i="3"/>
  <c r="BR7" i="3"/>
  <c r="BQ7" i="3"/>
  <c r="BQ2" i="3"/>
  <c r="BS2" i="3"/>
  <c r="BR2" i="3"/>
  <c r="BN2" i="3"/>
  <c r="BV2" i="3"/>
  <c r="BT2" i="3"/>
  <c r="BO2" i="3"/>
  <c r="BU2" i="3"/>
  <c r="BP2" i="3"/>
  <c r="BV3" i="3"/>
  <c r="BP3" i="3"/>
  <c r="BQ3" i="3"/>
  <c r="BN3" i="3"/>
  <c r="BU3" i="3"/>
  <c r="BR3" i="3"/>
  <c r="BS3" i="3"/>
  <c r="BT3" i="3"/>
  <c r="BO3" i="3"/>
  <c r="BU4" i="3"/>
  <c r="BP4" i="3"/>
  <c r="BV4" i="3"/>
  <c r="BR4" i="3"/>
  <c r="BO4" i="3"/>
  <c r="BQ4" i="3"/>
  <c r="BT4" i="3"/>
  <c r="BN4" i="3"/>
  <c r="BS4" i="3"/>
  <c r="BS6" i="3"/>
  <c r="BT6" i="3"/>
  <c r="BO6" i="3"/>
  <c r="BU6" i="3"/>
  <c r="BP6" i="3"/>
  <c r="BV6" i="3"/>
  <c r="BQ6" i="3"/>
  <c r="BR6" i="3"/>
  <c r="BN6" i="3"/>
  <c r="G9" i="18"/>
  <c r="AB9" i="3"/>
  <c r="G10" i="18"/>
  <c r="G12" i="18"/>
  <c r="G13" i="18"/>
  <c r="D30" i="17"/>
  <c r="M31" i="17"/>
  <c r="D10" i="17"/>
  <c r="E10" i="17" s="1"/>
  <c r="D13" i="17"/>
  <c r="E13" i="17" s="1"/>
  <c r="D9" i="17"/>
  <c r="E9" i="17" s="1"/>
  <c r="D11" i="17"/>
  <c r="E11" i="17" s="1"/>
  <c r="D8" i="17"/>
  <c r="E8" i="17" s="1"/>
  <c r="D12" i="17"/>
  <c r="E12" i="17" s="1"/>
  <c r="D51" i="17"/>
  <c r="C51" i="17" s="1"/>
  <c r="D27" i="17"/>
  <c r="C27" i="17" s="1"/>
  <c r="D54" i="16"/>
  <c r="C54" i="16" s="1"/>
  <c r="M55" i="16"/>
  <c r="D35" i="16"/>
  <c r="C35" i="16" s="1"/>
  <c r="M36" i="16"/>
  <c r="D12" i="16"/>
  <c r="E12" i="16" s="1"/>
  <c r="D8" i="16"/>
  <c r="E8" i="16" s="1"/>
  <c r="M29" i="16"/>
  <c r="D28" i="16"/>
  <c r="C28" i="16" s="1"/>
  <c r="D32" i="16"/>
  <c r="C32" i="16" s="1"/>
  <c r="D11" i="16"/>
  <c r="E11" i="16" s="1"/>
  <c r="D13" i="16"/>
  <c r="E13" i="16" s="1"/>
  <c r="D9" i="16"/>
  <c r="E9" i="16" s="1"/>
  <c r="D10" i="16"/>
  <c r="E10" i="16" s="1"/>
  <c r="B399" i="9"/>
  <c r="E20" i="14"/>
  <c r="G397" i="9"/>
  <c r="J20" i="14"/>
  <c r="Y2" i="3" s="1"/>
  <c r="F397" i="9"/>
  <c r="I20" i="14"/>
  <c r="Y3" i="3" s="1"/>
  <c r="E397" i="9"/>
  <c r="H20" i="14"/>
  <c r="Y7" i="3" s="1"/>
  <c r="D397" i="9"/>
  <c r="G20" i="14"/>
  <c r="C397" i="9"/>
  <c r="F20" i="14"/>
  <c r="Y6" i="3" s="1"/>
  <c r="A375" i="9"/>
  <c r="M74" i="14"/>
  <c r="M75" i="14" s="1"/>
  <c r="D75" i="14" s="1"/>
  <c r="C75" i="14" s="1"/>
  <c r="A398" i="9"/>
  <c r="A399" i="9"/>
  <c r="Y4" i="3"/>
  <c r="A386" i="9"/>
  <c r="D38" i="14"/>
  <c r="C38" i="14" s="1"/>
  <c r="M40" i="14"/>
  <c r="M41" i="14" s="1"/>
  <c r="D39" i="14"/>
  <c r="C39" i="14" s="1"/>
  <c r="A362" i="9"/>
  <c r="M59" i="14"/>
  <c r="M60" i="14" s="1"/>
  <c r="M61" i="14" s="1"/>
  <c r="M62" i="14" s="1"/>
  <c r="M63" i="14" s="1"/>
  <c r="M64" i="14" s="1"/>
  <c r="C44" i="14"/>
  <c r="A363" i="9"/>
  <c r="M45" i="14"/>
  <c r="B370" i="9"/>
  <c r="M27" i="14"/>
  <c r="AV6" i="3"/>
  <c r="AV2" i="3"/>
  <c r="AV3" i="3"/>
  <c r="O8" i="14"/>
  <c r="D25" i="14"/>
  <c r="O12" i="14"/>
  <c r="O16" i="14" s="1"/>
  <c r="W16" i="14" s="1"/>
  <c r="M62" i="11"/>
  <c r="M61" i="11" s="1"/>
  <c r="M63" i="11" s="1"/>
  <c r="M64" i="11" s="1"/>
  <c r="M65" i="11" s="1"/>
  <c r="M66" i="11" s="1"/>
  <c r="M67" i="11" s="1"/>
  <c r="M68" i="11" s="1"/>
  <c r="M69" i="11" s="1"/>
  <c r="M70" i="11" s="1"/>
  <c r="M71" i="11" s="1"/>
  <c r="M72" i="11" s="1"/>
  <c r="M74" i="11" s="1"/>
  <c r="G9" i="3"/>
  <c r="M57" i="11"/>
  <c r="I44" i="11"/>
  <c r="G44" i="11"/>
  <c r="I40" i="11"/>
  <c r="G40" i="11"/>
  <c r="H33" i="11"/>
  <c r="E310" i="9" s="1"/>
  <c r="M49" i="18" l="1"/>
  <c r="M50" i="18" s="1"/>
  <c r="D48" i="18"/>
  <c r="C48" i="18" s="1"/>
  <c r="D31" i="18"/>
  <c r="C31" i="18" s="1"/>
  <c r="M32" i="17"/>
  <c r="D31" i="17"/>
  <c r="C31" i="17" s="1"/>
  <c r="D52" i="17"/>
  <c r="C52" i="17" s="1"/>
  <c r="D55" i="16"/>
  <c r="C55" i="16" s="1"/>
  <c r="M56" i="16"/>
  <c r="D36" i="16"/>
  <c r="C36" i="16" s="1"/>
  <c r="M37" i="16"/>
  <c r="D37" i="16" s="1"/>
  <c r="C37" i="16" s="1"/>
  <c r="M30" i="16"/>
  <c r="D29" i="16"/>
  <c r="C29" i="16" s="1"/>
  <c r="M76" i="14"/>
  <c r="D74" i="14"/>
  <c r="A388" i="9"/>
  <c r="AE31" i="14"/>
  <c r="D40" i="14"/>
  <c r="C40" i="14" s="1"/>
  <c r="C74" i="14"/>
  <c r="A387" i="9"/>
  <c r="D76" i="14"/>
  <c r="M78" i="14"/>
  <c r="M77" i="14" s="1"/>
  <c r="M65" i="14"/>
  <c r="M66" i="14" s="1"/>
  <c r="D64" i="14"/>
  <c r="D60" i="14"/>
  <c r="D59" i="14"/>
  <c r="M46" i="14"/>
  <c r="D45" i="14"/>
  <c r="D62" i="14"/>
  <c r="D61" i="14"/>
  <c r="D27" i="14"/>
  <c r="C27" i="14" s="1"/>
  <c r="M28" i="14"/>
  <c r="G17" i="14"/>
  <c r="Y5" i="3"/>
  <c r="Y9" i="3" s="1"/>
  <c r="AV9" i="3"/>
  <c r="F17" i="14"/>
  <c r="H17" i="14"/>
  <c r="E17" i="14"/>
  <c r="J17" i="14"/>
  <c r="I17" i="14"/>
  <c r="I28" i="11"/>
  <c r="G28" i="11"/>
  <c r="L8" i="3"/>
  <c r="D42" i="11"/>
  <c r="D43" i="11"/>
  <c r="D45" i="11"/>
  <c r="D46" i="11"/>
  <c r="D47" i="11"/>
  <c r="D48" i="11"/>
  <c r="D49" i="11"/>
  <c r="D50" i="11"/>
  <c r="D51" i="11"/>
  <c r="D52" i="11"/>
  <c r="D53" i="11"/>
  <c r="D54" i="11"/>
  <c r="D55" i="11"/>
  <c r="D56" i="11"/>
  <c r="D58" i="11"/>
  <c r="A332" i="9" s="1"/>
  <c r="D60" i="11"/>
  <c r="A333" i="9" s="1"/>
  <c r="D62" i="11"/>
  <c r="A334" i="9" s="1"/>
  <c r="D63" i="11"/>
  <c r="A335" i="9" s="1"/>
  <c r="D64" i="11"/>
  <c r="A336" i="9" s="1"/>
  <c r="D65" i="11"/>
  <c r="A337" i="9" s="1"/>
  <c r="D67" i="11"/>
  <c r="A338" i="9" s="1"/>
  <c r="D69" i="11"/>
  <c r="A339" i="9" s="1"/>
  <c r="D70" i="11"/>
  <c r="A340" i="9" s="1"/>
  <c r="D71" i="11"/>
  <c r="A341" i="9" s="1"/>
  <c r="D72" i="11"/>
  <c r="D74" i="11"/>
  <c r="C74" i="11" s="1"/>
  <c r="D75" i="11"/>
  <c r="D76" i="11"/>
  <c r="D77" i="11"/>
  <c r="C77" i="11" s="1"/>
  <c r="D78" i="11"/>
  <c r="C78" i="11" s="1"/>
  <c r="D79" i="11"/>
  <c r="C79" i="11" s="1"/>
  <c r="D80" i="11"/>
  <c r="C80" i="11" s="1"/>
  <c r="D81" i="11"/>
  <c r="C81" i="11" s="1"/>
  <c r="C52" i="10"/>
  <c r="D56" i="10"/>
  <c r="E30" i="11"/>
  <c r="B307" i="9" s="1"/>
  <c r="F30" i="11"/>
  <c r="C307" i="9" s="1"/>
  <c r="G30" i="11"/>
  <c r="D307" i="9" s="1"/>
  <c r="H30" i="11"/>
  <c r="E307" i="9" s="1"/>
  <c r="I30" i="11"/>
  <c r="F307" i="9" s="1"/>
  <c r="J30" i="11"/>
  <c r="G307" i="9" s="1"/>
  <c r="E31" i="11"/>
  <c r="B308" i="9" s="1"/>
  <c r="F31" i="11"/>
  <c r="C308" i="9" s="1"/>
  <c r="G31" i="11"/>
  <c r="D308" i="9" s="1"/>
  <c r="H31" i="11"/>
  <c r="E308" i="9" s="1"/>
  <c r="I31" i="11"/>
  <c r="F308" i="9" s="1"/>
  <c r="J31" i="11"/>
  <c r="G308" i="9" s="1"/>
  <c r="E32" i="11"/>
  <c r="B309" i="9" s="1"/>
  <c r="F32" i="11"/>
  <c r="C309" i="9" s="1"/>
  <c r="G32" i="11"/>
  <c r="D309" i="9" s="1"/>
  <c r="H32" i="11"/>
  <c r="E309" i="9" s="1"/>
  <c r="I32" i="11"/>
  <c r="F309" i="9" s="1"/>
  <c r="J32" i="11"/>
  <c r="G309" i="9" s="1"/>
  <c r="E33" i="11"/>
  <c r="B310" i="9" s="1"/>
  <c r="F33" i="11"/>
  <c r="C310" i="9" s="1"/>
  <c r="G33" i="11"/>
  <c r="D310" i="9" s="1"/>
  <c r="I33" i="11"/>
  <c r="F310" i="9" s="1"/>
  <c r="J33" i="11"/>
  <c r="G310" i="9" s="1"/>
  <c r="E34" i="11"/>
  <c r="B311" i="9" s="1"/>
  <c r="F34" i="11"/>
  <c r="C311" i="9" s="1"/>
  <c r="G34" i="11"/>
  <c r="D311" i="9" s="1"/>
  <c r="H34" i="11"/>
  <c r="E311" i="9" s="1"/>
  <c r="I34" i="11"/>
  <c r="F311" i="9" s="1"/>
  <c r="J34" i="11"/>
  <c r="G311" i="9" s="1"/>
  <c r="E35" i="11"/>
  <c r="B312" i="9" s="1"/>
  <c r="F35" i="11"/>
  <c r="C312" i="9" s="1"/>
  <c r="G35" i="11"/>
  <c r="D312" i="9" s="1"/>
  <c r="H35" i="11"/>
  <c r="E312" i="9" s="1"/>
  <c r="I35" i="11"/>
  <c r="F312" i="9" s="1"/>
  <c r="J35" i="11"/>
  <c r="G312" i="9" s="1"/>
  <c r="E36" i="11"/>
  <c r="B313" i="9" s="1"/>
  <c r="F36" i="11"/>
  <c r="C313" i="9" s="1"/>
  <c r="G36" i="11"/>
  <c r="D313" i="9" s="1"/>
  <c r="H36" i="11"/>
  <c r="E313" i="9" s="1"/>
  <c r="I36" i="11"/>
  <c r="F313" i="9" s="1"/>
  <c r="J36" i="11"/>
  <c r="G313" i="9" s="1"/>
  <c r="E37" i="11"/>
  <c r="B314" i="9" s="1"/>
  <c r="F37" i="11"/>
  <c r="C314" i="9" s="1"/>
  <c r="G37" i="11"/>
  <c r="D314" i="9" s="1"/>
  <c r="H37" i="11"/>
  <c r="E314" i="9" s="1"/>
  <c r="I37" i="11"/>
  <c r="F314" i="9" s="1"/>
  <c r="J37" i="11"/>
  <c r="G314" i="9" s="1"/>
  <c r="E38" i="11"/>
  <c r="B315" i="9" s="1"/>
  <c r="F38" i="11"/>
  <c r="C315" i="9" s="1"/>
  <c r="G38" i="11"/>
  <c r="D315" i="9" s="1"/>
  <c r="H38" i="11"/>
  <c r="E315" i="9" s="1"/>
  <c r="I38" i="11"/>
  <c r="F315" i="9" s="1"/>
  <c r="J38" i="11"/>
  <c r="G315" i="9" s="1"/>
  <c r="E39" i="11"/>
  <c r="B316" i="9" s="1"/>
  <c r="F39" i="11"/>
  <c r="C316" i="9" s="1"/>
  <c r="G39" i="11"/>
  <c r="D316" i="9" s="1"/>
  <c r="H39" i="11"/>
  <c r="E316" i="9" s="1"/>
  <c r="I39" i="11"/>
  <c r="F316" i="9" s="1"/>
  <c r="J39" i="11"/>
  <c r="G316" i="9" s="1"/>
  <c r="E41" i="11"/>
  <c r="B317" i="9" s="1"/>
  <c r="F41" i="11"/>
  <c r="C317" i="9" s="1"/>
  <c r="G41" i="11"/>
  <c r="D317" i="9" s="1"/>
  <c r="H41" i="11"/>
  <c r="E317" i="9" s="1"/>
  <c r="I41" i="11"/>
  <c r="F317" i="9" s="1"/>
  <c r="J41" i="11"/>
  <c r="G317" i="9" s="1"/>
  <c r="E42" i="11"/>
  <c r="B318" i="9" s="1"/>
  <c r="F42" i="11"/>
  <c r="C318" i="9" s="1"/>
  <c r="G42" i="11"/>
  <c r="D318" i="9" s="1"/>
  <c r="H42" i="11"/>
  <c r="E318" i="9" s="1"/>
  <c r="I42" i="11"/>
  <c r="F318" i="9" s="1"/>
  <c r="J42" i="11"/>
  <c r="G318" i="9" s="1"/>
  <c r="E43" i="11"/>
  <c r="B319" i="9" s="1"/>
  <c r="F43" i="11"/>
  <c r="C319" i="9" s="1"/>
  <c r="G43" i="11"/>
  <c r="D319" i="9" s="1"/>
  <c r="H43" i="11"/>
  <c r="E319" i="9" s="1"/>
  <c r="I43" i="11"/>
  <c r="F319" i="9" s="1"/>
  <c r="J43" i="11"/>
  <c r="G319" i="9" s="1"/>
  <c r="E45" i="11"/>
  <c r="B320" i="9" s="1"/>
  <c r="F45" i="11"/>
  <c r="C320" i="9" s="1"/>
  <c r="G45" i="11"/>
  <c r="D320" i="9" s="1"/>
  <c r="H45" i="11"/>
  <c r="E320" i="9" s="1"/>
  <c r="I45" i="11"/>
  <c r="F320" i="9" s="1"/>
  <c r="J45" i="11"/>
  <c r="G320" i="9" s="1"/>
  <c r="E46" i="11"/>
  <c r="B321" i="9" s="1"/>
  <c r="F46" i="11"/>
  <c r="C321" i="9" s="1"/>
  <c r="G46" i="11"/>
  <c r="D321" i="9" s="1"/>
  <c r="H46" i="11"/>
  <c r="E321" i="9" s="1"/>
  <c r="I46" i="11"/>
  <c r="F321" i="9" s="1"/>
  <c r="J46" i="11"/>
  <c r="G321" i="9" s="1"/>
  <c r="E47" i="11"/>
  <c r="B322" i="9" s="1"/>
  <c r="F47" i="11"/>
  <c r="C322" i="9" s="1"/>
  <c r="G47" i="11"/>
  <c r="D322" i="9" s="1"/>
  <c r="I47" i="11"/>
  <c r="F322" i="9" s="1"/>
  <c r="J47" i="11"/>
  <c r="G322" i="9" s="1"/>
  <c r="E48" i="11"/>
  <c r="B323" i="9" s="1"/>
  <c r="F48" i="11"/>
  <c r="C323" i="9" s="1"/>
  <c r="G48" i="11"/>
  <c r="D323" i="9" s="1"/>
  <c r="I48" i="11"/>
  <c r="F323" i="9" s="1"/>
  <c r="J48" i="11"/>
  <c r="G323" i="9" s="1"/>
  <c r="E49" i="11"/>
  <c r="B324" i="9" s="1"/>
  <c r="F49" i="11"/>
  <c r="C324" i="9" s="1"/>
  <c r="G49" i="11"/>
  <c r="D324" i="9" s="1"/>
  <c r="I49" i="11"/>
  <c r="F324" i="9" s="1"/>
  <c r="J49" i="11"/>
  <c r="G324" i="9" s="1"/>
  <c r="E50" i="11"/>
  <c r="B325" i="9" s="1"/>
  <c r="F50" i="11"/>
  <c r="C325" i="9" s="1"/>
  <c r="G50" i="11"/>
  <c r="D325" i="9" s="1"/>
  <c r="I50" i="11"/>
  <c r="F325" i="9" s="1"/>
  <c r="J50" i="11"/>
  <c r="G325" i="9" s="1"/>
  <c r="E51" i="11"/>
  <c r="B326" i="9" s="1"/>
  <c r="F51" i="11"/>
  <c r="C326" i="9" s="1"/>
  <c r="G51" i="11"/>
  <c r="D326" i="9" s="1"/>
  <c r="I51" i="11"/>
  <c r="F326" i="9" s="1"/>
  <c r="J51" i="11"/>
  <c r="G326" i="9" s="1"/>
  <c r="E52" i="11"/>
  <c r="B327" i="9" s="1"/>
  <c r="F52" i="11"/>
  <c r="C327" i="9" s="1"/>
  <c r="G52" i="11"/>
  <c r="D327" i="9" s="1"/>
  <c r="I52" i="11"/>
  <c r="F327" i="9" s="1"/>
  <c r="J52" i="11"/>
  <c r="G327" i="9" s="1"/>
  <c r="E53" i="11"/>
  <c r="B328" i="9" s="1"/>
  <c r="F53" i="11"/>
  <c r="C328" i="9" s="1"/>
  <c r="G53" i="11"/>
  <c r="D328" i="9" s="1"/>
  <c r="I53" i="11"/>
  <c r="F328" i="9" s="1"/>
  <c r="J53" i="11"/>
  <c r="G328" i="9" s="1"/>
  <c r="E54" i="11"/>
  <c r="B329" i="9" s="1"/>
  <c r="F54" i="11"/>
  <c r="C329" i="9" s="1"/>
  <c r="G54" i="11"/>
  <c r="D329" i="9" s="1"/>
  <c r="H54" i="11"/>
  <c r="I54" i="11"/>
  <c r="F329" i="9" s="1"/>
  <c r="J54" i="11"/>
  <c r="G329" i="9" s="1"/>
  <c r="E55" i="11"/>
  <c r="B330" i="9" s="1"/>
  <c r="F55" i="11"/>
  <c r="C330" i="9" s="1"/>
  <c r="G55" i="11"/>
  <c r="D330" i="9" s="1"/>
  <c r="H55" i="11"/>
  <c r="I55" i="11"/>
  <c r="F330" i="9" s="1"/>
  <c r="J55" i="11"/>
  <c r="G330" i="9" s="1"/>
  <c r="E56" i="11"/>
  <c r="B331" i="9" s="1"/>
  <c r="F56" i="11"/>
  <c r="C331" i="9" s="1"/>
  <c r="G56" i="11"/>
  <c r="D331" i="9" s="1"/>
  <c r="H56" i="11"/>
  <c r="I56" i="11"/>
  <c r="F331" i="9" s="1"/>
  <c r="J56" i="11"/>
  <c r="G331" i="9" s="1"/>
  <c r="E58" i="11"/>
  <c r="B332" i="9" s="1"/>
  <c r="F58" i="11"/>
  <c r="C332" i="9" s="1"/>
  <c r="G58" i="11"/>
  <c r="D332" i="9" s="1"/>
  <c r="H58" i="11"/>
  <c r="I58" i="11"/>
  <c r="F332" i="9" s="1"/>
  <c r="J58" i="11"/>
  <c r="G332" i="9" s="1"/>
  <c r="E60" i="11"/>
  <c r="B333" i="9" s="1"/>
  <c r="F60" i="11"/>
  <c r="C333" i="9" s="1"/>
  <c r="G60" i="11"/>
  <c r="H60" i="11"/>
  <c r="I60" i="11"/>
  <c r="F333" i="9" s="1"/>
  <c r="J60" i="11"/>
  <c r="G333" i="9" s="1"/>
  <c r="E62" i="11"/>
  <c r="B334" i="9" s="1"/>
  <c r="F62" i="11"/>
  <c r="C334" i="9" s="1"/>
  <c r="G62" i="11"/>
  <c r="D334" i="9" s="1"/>
  <c r="H62" i="11"/>
  <c r="I62" i="11"/>
  <c r="F334" i="9" s="1"/>
  <c r="J62" i="11"/>
  <c r="G334" i="9" s="1"/>
  <c r="E63" i="11"/>
  <c r="B335" i="9" s="1"/>
  <c r="G63" i="11"/>
  <c r="D335" i="9" s="1"/>
  <c r="H63" i="11"/>
  <c r="I63" i="11"/>
  <c r="F335" i="9" s="1"/>
  <c r="J63" i="11"/>
  <c r="G335" i="9" s="1"/>
  <c r="E64" i="11"/>
  <c r="B336" i="9" s="1"/>
  <c r="F64" i="11"/>
  <c r="C336" i="9" s="1"/>
  <c r="G64" i="11"/>
  <c r="D336" i="9" s="1"/>
  <c r="H64" i="11"/>
  <c r="I64" i="11"/>
  <c r="F336" i="9" s="1"/>
  <c r="J64" i="11"/>
  <c r="G336" i="9" s="1"/>
  <c r="E65" i="11"/>
  <c r="B337" i="9" s="1"/>
  <c r="F65" i="11"/>
  <c r="C337" i="9" s="1"/>
  <c r="G65" i="11"/>
  <c r="D337" i="9" s="1"/>
  <c r="H65" i="11"/>
  <c r="I65" i="11"/>
  <c r="F337" i="9" s="1"/>
  <c r="J65" i="11"/>
  <c r="G337" i="9" s="1"/>
  <c r="E67" i="11"/>
  <c r="B338" i="9" s="1"/>
  <c r="F67" i="11"/>
  <c r="C338" i="9" s="1"/>
  <c r="G67" i="11"/>
  <c r="D338" i="9" s="1"/>
  <c r="H67" i="11"/>
  <c r="I67" i="11"/>
  <c r="F338" i="9" s="1"/>
  <c r="J67" i="11"/>
  <c r="G338" i="9" s="1"/>
  <c r="E69" i="11"/>
  <c r="B339" i="9" s="1"/>
  <c r="F69" i="11"/>
  <c r="C339" i="9" s="1"/>
  <c r="G69" i="11"/>
  <c r="D339" i="9" s="1"/>
  <c r="H69" i="11"/>
  <c r="I69" i="11"/>
  <c r="F339" i="9" s="1"/>
  <c r="J69" i="11"/>
  <c r="G339" i="9" s="1"/>
  <c r="E70" i="11"/>
  <c r="B340" i="9" s="1"/>
  <c r="F70" i="11"/>
  <c r="C340" i="9" s="1"/>
  <c r="G70" i="11"/>
  <c r="D340" i="9" s="1"/>
  <c r="H70" i="11"/>
  <c r="I70" i="11"/>
  <c r="F340" i="9" s="1"/>
  <c r="J70" i="11"/>
  <c r="G340" i="9" s="1"/>
  <c r="E71" i="11"/>
  <c r="B341" i="9" s="1"/>
  <c r="F71" i="11"/>
  <c r="C341" i="9" s="1"/>
  <c r="G71" i="11"/>
  <c r="D341" i="9" s="1"/>
  <c r="H71" i="11"/>
  <c r="I71" i="11"/>
  <c r="F341" i="9" s="1"/>
  <c r="J71" i="11"/>
  <c r="G341" i="9" s="1"/>
  <c r="E72" i="11"/>
  <c r="B342" i="9" s="1"/>
  <c r="F72" i="11"/>
  <c r="C342" i="9" s="1"/>
  <c r="G72" i="11"/>
  <c r="D342" i="9" s="1"/>
  <c r="H72" i="11"/>
  <c r="I72" i="11"/>
  <c r="F342" i="9" s="1"/>
  <c r="J72" i="11"/>
  <c r="G342" i="9" s="1"/>
  <c r="E74" i="11"/>
  <c r="B343" i="9" s="1"/>
  <c r="F74" i="11"/>
  <c r="C343" i="9" s="1"/>
  <c r="G74" i="11"/>
  <c r="D343" i="9" s="1"/>
  <c r="H74" i="11"/>
  <c r="I74" i="11"/>
  <c r="F343" i="9" s="1"/>
  <c r="J74" i="11"/>
  <c r="G343" i="9" s="1"/>
  <c r="E75" i="11"/>
  <c r="B344" i="9" s="1"/>
  <c r="F75" i="11"/>
  <c r="C344" i="9" s="1"/>
  <c r="G75" i="11"/>
  <c r="D344" i="9" s="1"/>
  <c r="H75" i="11"/>
  <c r="I75" i="11"/>
  <c r="F344" i="9" s="1"/>
  <c r="J75" i="11"/>
  <c r="G344" i="9" s="1"/>
  <c r="E76" i="11"/>
  <c r="B345" i="9" s="1"/>
  <c r="F76" i="11"/>
  <c r="C345" i="9" s="1"/>
  <c r="G76" i="11"/>
  <c r="D345" i="9" s="1"/>
  <c r="H76" i="11"/>
  <c r="I76" i="11"/>
  <c r="F345" i="9" s="1"/>
  <c r="J76" i="11"/>
  <c r="G345" i="9" s="1"/>
  <c r="E77" i="11"/>
  <c r="B346" i="9" s="1"/>
  <c r="F77" i="11"/>
  <c r="C346" i="9" s="1"/>
  <c r="G77" i="11"/>
  <c r="D346" i="9" s="1"/>
  <c r="H77" i="11"/>
  <c r="I77" i="11"/>
  <c r="F346" i="9" s="1"/>
  <c r="J77" i="11"/>
  <c r="G346" i="9" s="1"/>
  <c r="E78" i="11"/>
  <c r="F78" i="11"/>
  <c r="G78" i="11"/>
  <c r="H78" i="11"/>
  <c r="I78" i="11"/>
  <c r="J78" i="11"/>
  <c r="E79" i="11"/>
  <c r="F79" i="11"/>
  <c r="G79" i="11"/>
  <c r="H79" i="11"/>
  <c r="I79" i="11"/>
  <c r="J79" i="11"/>
  <c r="E80" i="11"/>
  <c r="F80" i="11"/>
  <c r="G80" i="11"/>
  <c r="H80" i="11"/>
  <c r="I80" i="11"/>
  <c r="E81" i="11"/>
  <c r="F81" i="11"/>
  <c r="G81" i="11"/>
  <c r="H81" i="11"/>
  <c r="I81" i="11"/>
  <c r="J81" i="11"/>
  <c r="E27" i="11"/>
  <c r="B305" i="9" s="1"/>
  <c r="F27" i="11"/>
  <c r="C305" i="9" s="1"/>
  <c r="G27" i="11"/>
  <c r="D305" i="9" s="1"/>
  <c r="H27" i="11"/>
  <c r="E305" i="9" s="1"/>
  <c r="I27" i="11"/>
  <c r="F305" i="9" s="1"/>
  <c r="J27" i="11"/>
  <c r="G305" i="9" s="1"/>
  <c r="E29" i="11"/>
  <c r="B306" i="9" s="1"/>
  <c r="F29" i="11"/>
  <c r="C306" i="9" s="1"/>
  <c r="G29" i="11"/>
  <c r="D306" i="9" s="1"/>
  <c r="H29" i="11"/>
  <c r="E306" i="9" s="1"/>
  <c r="I29" i="11"/>
  <c r="F306" i="9" s="1"/>
  <c r="J29" i="11"/>
  <c r="G306" i="9" s="1"/>
  <c r="E26" i="11"/>
  <c r="B304" i="9" s="1"/>
  <c r="F26" i="11"/>
  <c r="C304" i="9" s="1"/>
  <c r="G26" i="11"/>
  <c r="D304" i="9" s="1"/>
  <c r="H26" i="11"/>
  <c r="E304" i="9" s="1"/>
  <c r="I26" i="11"/>
  <c r="F304" i="9" s="1"/>
  <c r="J26" i="11"/>
  <c r="G304" i="9" s="1"/>
  <c r="J92" i="11"/>
  <c r="I92" i="11"/>
  <c r="H92" i="11"/>
  <c r="G92" i="11"/>
  <c r="F92" i="11"/>
  <c r="E92" i="11"/>
  <c r="D92" i="11"/>
  <c r="C92" i="11" s="1"/>
  <c r="J91" i="11"/>
  <c r="I91" i="11"/>
  <c r="H91" i="11"/>
  <c r="G91" i="11"/>
  <c r="E91" i="11"/>
  <c r="D91" i="11"/>
  <c r="C91" i="11" s="1"/>
  <c r="J90" i="11"/>
  <c r="I90" i="11"/>
  <c r="H90" i="11"/>
  <c r="G90" i="11"/>
  <c r="F90" i="11"/>
  <c r="E90" i="11"/>
  <c r="D90" i="11"/>
  <c r="C90" i="11" s="1"/>
  <c r="J89" i="11"/>
  <c r="I89" i="11"/>
  <c r="H89" i="11"/>
  <c r="G89" i="11"/>
  <c r="F89" i="11"/>
  <c r="E89" i="11"/>
  <c r="D89" i="11"/>
  <c r="C89" i="11" s="1"/>
  <c r="J88" i="11"/>
  <c r="I88" i="11"/>
  <c r="H88" i="11"/>
  <c r="G88" i="11"/>
  <c r="F88" i="11"/>
  <c r="E88" i="11"/>
  <c r="D88" i="11"/>
  <c r="C88" i="11" s="1"/>
  <c r="M25" i="11"/>
  <c r="M26" i="11" s="1"/>
  <c r="M27" i="11" s="1"/>
  <c r="J25" i="11"/>
  <c r="G303" i="9" s="1"/>
  <c r="I25" i="11"/>
  <c r="F303" i="9" s="1"/>
  <c r="H25" i="11"/>
  <c r="E303" i="9" s="1"/>
  <c r="G25" i="11"/>
  <c r="D303" i="9" s="1"/>
  <c r="F25" i="11"/>
  <c r="C303" i="9" s="1"/>
  <c r="E25" i="11"/>
  <c r="B303" i="9" s="1"/>
  <c r="T20" i="11"/>
  <c r="O13" i="11" s="1"/>
  <c r="S20" i="11"/>
  <c r="O10" i="11" s="1"/>
  <c r="Q20" i="11"/>
  <c r="O11" i="11" s="1"/>
  <c r="P20" i="11"/>
  <c r="AU6" i="3" s="1"/>
  <c r="O12" i="11"/>
  <c r="C13" i="11"/>
  <c r="C12" i="11"/>
  <c r="C11" i="11"/>
  <c r="C10" i="11"/>
  <c r="C8" i="11"/>
  <c r="A301" i="9"/>
  <c r="B301" i="9"/>
  <c r="C301" i="9"/>
  <c r="D301" i="9"/>
  <c r="E301" i="9"/>
  <c r="F301" i="9"/>
  <c r="G301" i="9"/>
  <c r="A302" i="9"/>
  <c r="B302" i="9"/>
  <c r="C302" i="9"/>
  <c r="D302" i="9"/>
  <c r="E302" i="9"/>
  <c r="F302" i="9"/>
  <c r="G302" i="9"/>
  <c r="E70" i="10"/>
  <c r="M70" i="10"/>
  <c r="M71" i="10" s="1"/>
  <c r="A300" i="9"/>
  <c r="B300" i="9"/>
  <c r="C300" i="9"/>
  <c r="D300" i="9"/>
  <c r="E300" i="9"/>
  <c r="F300" i="9"/>
  <c r="G300" i="9"/>
  <c r="M69" i="10"/>
  <c r="A299" i="9"/>
  <c r="B299" i="9"/>
  <c r="C299" i="9"/>
  <c r="D299" i="9"/>
  <c r="E299" i="9"/>
  <c r="F299" i="9"/>
  <c r="G299" i="9"/>
  <c r="M68" i="10"/>
  <c r="A298" i="9"/>
  <c r="B298" i="9"/>
  <c r="C298" i="9"/>
  <c r="D298" i="9"/>
  <c r="E298" i="9"/>
  <c r="F298" i="9"/>
  <c r="G298" i="9"/>
  <c r="M67" i="10"/>
  <c r="A297" i="9"/>
  <c r="B297" i="9"/>
  <c r="C297" i="9"/>
  <c r="D297" i="9"/>
  <c r="E297" i="9"/>
  <c r="F297" i="9"/>
  <c r="G297" i="9"/>
  <c r="M66" i="10"/>
  <c r="A294" i="9"/>
  <c r="B294" i="9"/>
  <c r="C294" i="9"/>
  <c r="D294" i="9"/>
  <c r="E294" i="9"/>
  <c r="F294" i="9"/>
  <c r="G294" i="9"/>
  <c r="A295" i="9"/>
  <c r="B295" i="9"/>
  <c r="C295" i="9"/>
  <c r="D295" i="9"/>
  <c r="E295" i="9"/>
  <c r="F295" i="9"/>
  <c r="G295" i="9"/>
  <c r="A296" i="9"/>
  <c r="B296" i="9"/>
  <c r="C296" i="9"/>
  <c r="D296" i="9"/>
  <c r="E296" i="9"/>
  <c r="F296" i="9"/>
  <c r="G296" i="9"/>
  <c r="M65" i="10"/>
  <c r="M64" i="10"/>
  <c r="I64" i="10"/>
  <c r="G64" i="10"/>
  <c r="M63" i="10"/>
  <c r="M62" i="10"/>
  <c r="E61" i="10"/>
  <c r="F61" i="10"/>
  <c r="G61" i="10"/>
  <c r="H61" i="10"/>
  <c r="I61" i="10"/>
  <c r="J61" i="10"/>
  <c r="M61" i="10"/>
  <c r="M60" i="10"/>
  <c r="M59" i="10"/>
  <c r="M58" i="10"/>
  <c r="M57" i="10"/>
  <c r="D50" i="18" l="1"/>
  <c r="C50" i="18" s="1"/>
  <c r="M51" i="18"/>
  <c r="M52" i="18" s="1"/>
  <c r="D32" i="17"/>
  <c r="C32" i="17" s="1"/>
  <c r="M33" i="17"/>
  <c r="D53" i="17"/>
  <c r="C53" i="17" s="1"/>
  <c r="C30" i="17"/>
  <c r="M57" i="16"/>
  <c r="D56" i="16"/>
  <c r="C56" i="16" s="1"/>
  <c r="Y10" i="3"/>
  <c r="D31" i="16"/>
  <c r="C31" i="16" s="1"/>
  <c r="D30" i="16"/>
  <c r="C30" i="16" s="1"/>
  <c r="C60" i="14"/>
  <c r="A377" i="9"/>
  <c r="C64" i="14"/>
  <c r="A380" i="9"/>
  <c r="C59" i="14"/>
  <c r="A376" i="9"/>
  <c r="C61" i="14"/>
  <c r="A378" i="9"/>
  <c r="C62" i="14"/>
  <c r="A379" i="9"/>
  <c r="C76" i="14"/>
  <c r="A389" i="9"/>
  <c r="M79" i="14"/>
  <c r="D78" i="14"/>
  <c r="D66" i="14"/>
  <c r="M67" i="14"/>
  <c r="C45" i="14"/>
  <c r="A364" i="9"/>
  <c r="M47" i="14"/>
  <c r="D46" i="14"/>
  <c r="M29" i="14"/>
  <c r="D28" i="14"/>
  <c r="C28" i="14" s="1"/>
  <c r="T5" i="14"/>
  <c r="D11" i="14"/>
  <c r="E11" i="14" s="1"/>
  <c r="D13" i="14"/>
  <c r="E13" i="14" s="1"/>
  <c r="D10" i="14"/>
  <c r="E10" i="14" s="1"/>
  <c r="D9" i="14"/>
  <c r="E9" i="14" s="1"/>
  <c r="D8" i="14"/>
  <c r="E8" i="14" s="1"/>
  <c r="D12" i="14"/>
  <c r="E12" i="14" s="1"/>
  <c r="A346" i="9"/>
  <c r="C76" i="11"/>
  <c r="A345" i="9"/>
  <c r="C75" i="11"/>
  <c r="A344" i="9"/>
  <c r="A343" i="9"/>
  <c r="C72" i="11"/>
  <c r="A342" i="9"/>
  <c r="C56" i="11"/>
  <c r="A331" i="9"/>
  <c r="C65" i="11"/>
  <c r="C54" i="11"/>
  <c r="A329" i="9"/>
  <c r="C46" i="11"/>
  <c r="A321" i="9"/>
  <c r="C64" i="11"/>
  <c r="C53" i="11"/>
  <c r="A328" i="9"/>
  <c r="C45" i="11"/>
  <c r="A320" i="9"/>
  <c r="C63" i="11"/>
  <c r="C52" i="11"/>
  <c r="A327" i="9"/>
  <c r="C43" i="11"/>
  <c r="A319" i="9"/>
  <c r="C62" i="11"/>
  <c r="C51" i="11"/>
  <c r="A326" i="9"/>
  <c r="C42" i="11"/>
  <c r="A318" i="9"/>
  <c r="C71" i="11"/>
  <c r="C60" i="11"/>
  <c r="C50" i="11"/>
  <c r="A325" i="9"/>
  <c r="C70" i="11"/>
  <c r="C58" i="11"/>
  <c r="C49" i="11"/>
  <c r="A324" i="9"/>
  <c r="C69" i="11"/>
  <c r="C48" i="11"/>
  <c r="A323" i="9"/>
  <c r="C67" i="11"/>
  <c r="C55" i="11"/>
  <c r="A330" i="9"/>
  <c r="C47" i="11"/>
  <c r="A322" i="9"/>
  <c r="R20" i="11"/>
  <c r="O8" i="11" s="1"/>
  <c r="O9" i="11"/>
  <c r="D25" i="11"/>
  <c r="A303" i="9" s="1"/>
  <c r="M29" i="11"/>
  <c r="M30" i="11" s="1"/>
  <c r="D27" i="11"/>
  <c r="D26" i="11"/>
  <c r="AU5" i="3"/>
  <c r="AU2" i="3"/>
  <c r="AU3" i="3"/>
  <c r="AU4" i="3"/>
  <c r="H20" i="11"/>
  <c r="X7" i="3" s="1"/>
  <c r="I20" i="11"/>
  <c r="X3" i="3" s="1"/>
  <c r="E20" i="11"/>
  <c r="X4" i="3" s="1"/>
  <c r="G20" i="11"/>
  <c r="X5" i="3" s="1"/>
  <c r="J20" i="11"/>
  <c r="X2" i="3" s="1"/>
  <c r="F20" i="11"/>
  <c r="X6" i="3" s="1"/>
  <c r="R20" i="10"/>
  <c r="I45" i="10"/>
  <c r="G45" i="10"/>
  <c r="M53" i="18" l="1"/>
  <c r="D52" i="18"/>
  <c r="C52" i="18" s="1"/>
  <c r="D33" i="18"/>
  <c r="C33" i="18" s="1"/>
  <c r="M34" i="17"/>
  <c r="D33" i="17"/>
  <c r="C33" i="17" s="1"/>
  <c r="D54" i="17"/>
  <c r="C54" i="17" s="1"/>
  <c r="M58" i="16"/>
  <c r="D57" i="16"/>
  <c r="C57" i="16" s="1"/>
  <c r="X10" i="3"/>
  <c r="C78" i="14"/>
  <c r="A390" i="9"/>
  <c r="C66" i="14"/>
  <c r="A381" i="9"/>
  <c r="D79" i="14"/>
  <c r="M80" i="14"/>
  <c r="M68" i="14"/>
  <c r="D67" i="14"/>
  <c r="C46" i="14"/>
  <c r="A365" i="9"/>
  <c r="D47" i="14"/>
  <c r="M48" i="14"/>
  <c r="D29" i="14"/>
  <c r="C29" i="14" s="1"/>
  <c r="M30" i="14"/>
  <c r="O16" i="11"/>
  <c r="W16" i="11" s="1"/>
  <c r="T5" i="11" s="1"/>
  <c r="C26" i="11"/>
  <c r="A304" i="9"/>
  <c r="C27" i="11"/>
  <c r="A305" i="9"/>
  <c r="X9" i="3"/>
  <c r="AU7" i="3"/>
  <c r="AU9" i="3" s="1"/>
  <c r="M31" i="11"/>
  <c r="D30" i="11"/>
  <c r="D29" i="11"/>
  <c r="M28" i="11"/>
  <c r="J17" i="11"/>
  <c r="H17" i="11"/>
  <c r="G17" i="11"/>
  <c r="F17" i="11"/>
  <c r="I17" i="11"/>
  <c r="E17" i="11"/>
  <c r="I43" i="10"/>
  <c r="G43" i="10"/>
  <c r="F43" i="10"/>
  <c r="M54" i="18" l="1"/>
  <c r="D53" i="18"/>
  <c r="C53" i="18" s="1"/>
  <c r="D34" i="18"/>
  <c r="C34" i="18" s="1"/>
  <c r="M35" i="17"/>
  <c r="M36" i="17" s="1"/>
  <c r="D34" i="17"/>
  <c r="C34" i="17" s="1"/>
  <c r="D55" i="17"/>
  <c r="C55" i="17" s="1"/>
  <c r="M59" i="16"/>
  <c r="D58" i="16"/>
  <c r="C58" i="16" s="1"/>
  <c r="C67" i="14"/>
  <c r="A382" i="9"/>
  <c r="C79" i="14"/>
  <c r="A391" i="9"/>
  <c r="M82" i="14"/>
  <c r="D80" i="14"/>
  <c r="M69" i="14"/>
  <c r="D68" i="14"/>
  <c r="C47" i="14"/>
  <c r="A366" i="9"/>
  <c r="M49" i="14"/>
  <c r="D48" i="14"/>
  <c r="C30" i="11"/>
  <c r="A307" i="9"/>
  <c r="C29" i="11"/>
  <c r="A306" i="9"/>
  <c r="D31" i="11"/>
  <c r="M32" i="11"/>
  <c r="D11" i="11"/>
  <c r="E11" i="11" s="1"/>
  <c r="D13" i="11"/>
  <c r="E13" i="11" s="1"/>
  <c r="D12" i="11"/>
  <c r="E12" i="11" s="1"/>
  <c r="D8" i="11"/>
  <c r="E8" i="11" s="1"/>
  <c r="D10" i="11"/>
  <c r="E10" i="11" s="1"/>
  <c r="D9" i="11"/>
  <c r="E9" i="11" s="1"/>
  <c r="E42" i="10"/>
  <c r="F42" i="10"/>
  <c r="G42" i="10"/>
  <c r="H42" i="10"/>
  <c r="I42" i="10"/>
  <c r="J42" i="10"/>
  <c r="M55" i="18" l="1"/>
  <c r="D54" i="18"/>
  <c r="C54" i="18" s="1"/>
  <c r="D36" i="18"/>
  <c r="C36" i="18" s="1"/>
  <c r="M37" i="17"/>
  <c r="D36" i="17"/>
  <c r="C36" i="17" s="1"/>
  <c r="D56" i="17"/>
  <c r="C56" i="17" s="1"/>
  <c r="M60" i="16"/>
  <c r="M61" i="16" s="1"/>
  <c r="D59" i="16"/>
  <c r="C59" i="16" s="1"/>
  <c r="C80" i="14"/>
  <c r="A392" i="9"/>
  <c r="C68" i="14"/>
  <c r="A383" i="9"/>
  <c r="D82" i="14"/>
  <c r="M83" i="14"/>
  <c r="D69" i="14"/>
  <c r="M70" i="14"/>
  <c r="D70" i="14" s="1"/>
  <c r="M50" i="14"/>
  <c r="D49" i="14"/>
  <c r="A367" i="9"/>
  <c r="C48" i="14"/>
  <c r="C31" i="11"/>
  <c r="A308" i="9"/>
  <c r="M33" i="11"/>
  <c r="D32" i="11"/>
  <c r="E37" i="10"/>
  <c r="I36" i="10"/>
  <c r="G36" i="10"/>
  <c r="F36" i="10"/>
  <c r="D55" i="18" l="1"/>
  <c r="C55" i="18" s="1"/>
  <c r="M56" i="18"/>
  <c r="D56" i="18" s="1"/>
  <c r="C56" i="18" s="1"/>
  <c r="D37" i="18"/>
  <c r="C37" i="18" s="1"/>
  <c r="M38" i="17"/>
  <c r="D37" i="17"/>
  <c r="C37" i="17" s="1"/>
  <c r="D57" i="17"/>
  <c r="C57" i="17" s="1"/>
  <c r="D61" i="16"/>
  <c r="C61" i="16" s="1"/>
  <c r="M62" i="16"/>
  <c r="C69" i="14"/>
  <c r="A384" i="9"/>
  <c r="C82" i="14"/>
  <c r="A393" i="9"/>
  <c r="C70" i="14"/>
  <c r="A385" i="9"/>
  <c r="M84" i="14"/>
  <c r="D83" i="14"/>
  <c r="C49" i="14"/>
  <c r="A368" i="9"/>
  <c r="D50" i="14"/>
  <c r="M51" i="14"/>
  <c r="C32" i="11"/>
  <c r="A309" i="9"/>
  <c r="M34" i="11"/>
  <c r="D33" i="11"/>
  <c r="E33" i="10"/>
  <c r="F33" i="10"/>
  <c r="M39" i="17" l="1"/>
  <c r="D38" i="17"/>
  <c r="C38" i="17" s="1"/>
  <c r="D58" i="17"/>
  <c r="C58" i="17" s="1"/>
  <c r="M63" i="16"/>
  <c r="D62" i="16"/>
  <c r="C62" i="16" s="1"/>
  <c r="C83" i="14"/>
  <c r="A394" i="9"/>
  <c r="D84" i="14"/>
  <c r="M85" i="14"/>
  <c r="D51" i="14"/>
  <c r="M52" i="14"/>
  <c r="C50" i="14"/>
  <c r="A369" i="9"/>
  <c r="C33" i="11"/>
  <c r="A310" i="9"/>
  <c r="M35" i="11"/>
  <c r="D34" i="11"/>
  <c r="J30" i="10"/>
  <c r="I30" i="10"/>
  <c r="G30" i="10"/>
  <c r="F30" i="10"/>
  <c r="D40" i="18" l="1"/>
  <c r="C40" i="18" s="1"/>
  <c r="C20" i="18" s="1"/>
  <c r="E9" i="18" s="1"/>
  <c r="M40" i="17"/>
  <c r="D40" i="17" s="1"/>
  <c r="C40" i="17" s="1"/>
  <c r="D39" i="17"/>
  <c r="C39" i="17" s="1"/>
  <c r="D63" i="16"/>
  <c r="C63" i="16" s="1"/>
  <c r="M64" i="16"/>
  <c r="C84" i="14"/>
  <c r="A395" i="9"/>
  <c r="D85" i="14"/>
  <c r="D52" i="14"/>
  <c r="M53" i="14"/>
  <c r="C51" i="14"/>
  <c r="A370" i="9"/>
  <c r="C34" i="11"/>
  <c r="A311" i="9"/>
  <c r="M36" i="11"/>
  <c r="D35" i="11"/>
  <c r="AA243" i="9"/>
  <c r="AB243" i="9" s="1"/>
  <c r="C60" i="17" l="1"/>
  <c r="M65" i="16"/>
  <c r="D64" i="16"/>
  <c r="C64" i="16" s="1"/>
  <c r="C85" i="14"/>
  <c r="A396" i="9"/>
  <c r="D53" i="14"/>
  <c r="M54" i="14"/>
  <c r="C52" i="14"/>
  <c r="A371" i="9"/>
  <c r="C35" i="11"/>
  <c r="A312" i="9"/>
  <c r="M37" i="11"/>
  <c r="D36" i="11"/>
  <c r="S16" i="1"/>
  <c r="AM2" i="3" l="1"/>
  <c r="E8" i="18"/>
  <c r="F8" i="18" s="1"/>
  <c r="E13" i="18"/>
  <c r="E12" i="18"/>
  <c r="E10" i="18"/>
  <c r="E11" i="18"/>
  <c r="D61" i="17"/>
  <c r="C61" i="17" s="1"/>
  <c r="D65" i="16"/>
  <c r="C65" i="16" s="1"/>
  <c r="M66" i="16"/>
  <c r="C53" i="14"/>
  <c r="A372" i="9"/>
  <c r="M55" i="14"/>
  <c r="D55" i="14" s="1"/>
  <c r="D54" i="14"/>
  <c r="C36" i="11"/>
  <c r="A313" i="9"/>
  <c r="M38" i="11"/>
  <c r="D37" i="11"/>
  <c r="A261" i="9"/>
  <c r="B23" i="3"/>
  <c r="D23" i="3" s="1"/>
  <c r="B24" i="3"/>
  <c r="D24" i="3" s="1"/>
  <c r="B20" i="3"/>
  <c r="D20" i="3" s="1"/>
  <c r="B21" i="3"/>
  <c r="D21" i="3" s="1"/>
  <c r="B22" i="3"/>
  <c r="D22" i="3" s="1"/>
  <c r="B19" i="3"/>
  <c r="D19" i="3" s="1"/>
  <c r="P2" i="3" l="1"/>
  <c r="BK2" i="3"/>
  <c r="H9" i="18"/>
  <c r="H13" i="18"/>
  <c r="AM3" i="3"/>
  <c r="H12" i="18"/>
  <c r="H11" i="18"/>
  <c r="H10" i="18"/>
  <c r="F9" i="18"/>
  <c r="F11" i="18"/>
  <c r="F12" i="18"/>
  <c r="F10" i="18"/>
  <c r="F13" i="18"/>
  <c r="D62" i="17"/>
  <c r="C62" i="17" s="1"/>
  <c r="M67" i="16"/>
  <c r="D66" i="16"/>
  <c r="C66" i="16" s="1"/>
  <c r="C88" i="14"/>
  <c r="C87" i="14"/>
  <c r="A397" i="9"/>
  <c r="C54" i="14"/>
  <c r="A373" i="9"/>
  <c r="C55" i="14"/>
  <c r="A374" i="9"/>
  <c r="C37" i="11"/>
  <c r="A314" i="9"/>
  <c r="M39" i="11"/>
  <c r="D38" i="11"/>
  <c r="B271" i="9"/>
  <c r="H25" i="10"/>
  <c r="E261" i="9" s="1"/>
  <c r="P20" i="10"/>
  <c r="O9" i="10" s="1"/>
  <c r="Q20" i="10"/>
  <c r="O11" i="10" s="1"/>
  <c r="O8" i="10"/>
  <c r="M25" i="10"/>
  <c r="M26" i="10" s="1"/>
  <c r="M27" i="10" s="1"/>
  <c r="M28" i="10" s="1"/>
  <c r="M29" i="10" s="1"/>
  <c r="M31" i="10" s="1"/>
  <c r="C259" i="9"/>
  <c r="J93" i="10"/>
  <c r="I93" i="10"/>
  <c r="H93" i="10"/>
  <c r="G93" i="10"/>
  <c r="F93" i="10"/>
  <c r="E93" i="10"/>
  <c r="J92" i="10"/>
  <c r="I92" i="10"/>
  <c r="H92" i="10"/>
  <c r="G92" i="10"/>
  <c r="E92" i="10"/>
  <c r="J91" i="10"/>
  <c r="I91" i="10"/>
  <c r="H91" i="10"/>
  <c r="G91" i="10"/>
  <c r="F91" i="10"/>
  <c r="E91" i="10"/>
  <c r="J90" i="10"/>
  <c r="I90" i="10"/>
  <c r="H90" i="10"/>
  <c r="G90" i="10"/>
  <c r="F90" i="10"/>
  <c r="E90" i="10"/>
  <c r="J89" i="10"/>
  <c r="I89" i="10"/>
  <c r="H89" i="10"/>
  <c r="G89" i="10"/>
  <c r="F89" i="10"/>
  <c r="E89" i="10"/>
  <c r="J88" i="10"/>
  <c r="I88" i="10"/>
  <c r="H88" i="10"/>
  <c r="G88" i="10"/>
  <c r="F88" i="10"/>
  <c r="E88" i="10"/>
  <c r="J87" i="10"/>
  <c r="I87" i="10"/>
  <c r="H87" i="10"/>
  <c r="G87" i="10"/>
  <c r="F87" i="10"/>
  <c r="E87" i="10"/>
  <c r="J86" i="10"/>
  <c r="I86" i="10"/>
  <c r="H86" i="10"/>
  <c r="G86" i="10"/>
  <c r="F86" i="10"/>
  <c r="E86" i="10"/>
  <c r="J85" i="10"/>
  <c r="I85" i="10"/>
  <c r="H85" i="10"/>
  <c r="G85" i="10"/>
  <c r="F85" i="10"/>
  <c r="E85" i="10"/>
  <c r="J84" i="10"/>
  <c r="I84" i="10"/>
  <c r="H84" i="10"/>
  <c r="G84" i="10"/>
  <c r="F84" i="10"/>
  <c r="E84" i="10"/>
  <c r="J83" i="10"/>
  <c r="I83" i="10"/>
  <c r="H83" i="10"/>
  <c r="G83" i="10"/>
  <c r="F83" i="10"/>
  <c r="E83" i="10"/>
  <c r="J82" i="10"/>
  <c r="I82" i="10"/>
  <c r="H82" i="10"/>
  <c r="G82" i="10"/>
  <c r="F82" i="10"/>
  <c r="E82" i="10"/>
  <c r="J81" i="10"/>
  <c r="I81" i="10"/>
  <c r="H81" i="10"/>
  <c r="G81" i="10"/>
  <c r="F81" i="10"/>
  <c r="E81" i="10"/>
  <c r="J80" i="10"/>
  <c r="I80" i="10"/>
  <c r="H80" i="10"/>
  <c r="G80" i="10"/>
  <c r="F80" i="10"/>
  <c r="E80" i="10"/>
  <c r="J79" i="10"/>
  <c r="I79" i="10"/>
  <c r="H79" i="10"/>
  <c r="G79" i="10"/>
  <c r="F79" i="10"/>
  <c r="E79" i="10"/>
  <c r="J78" i="10"/>
  <c r="I78" i="10"/>
  <c r="H78" i="10"/>
  <c r="G78" i="10"/>
  <c r="F78" i="10"/>
  <c r="E78" i="10"/>
  <c r="J77" i="10"/>
  <c r="I77" i="10"/>
  <c r="H77" i="10"/>
  <c r="G77" i="10"/>
  <c r="F77" i="10"/>
  <c r="E77" i="10"/>
  <c r="J76" i="10"/>
  <c r="I76" i="10"/>
  <c r="H76" i="10"/>
  <c r="G76" i="10"/>
  <c r="F76" i="10"/>
  <c r="E76" i="10"/>
  <c r="J75" i="10"/>
  <c r="I75" i="10"/>
  <c r="H75" i="10"/>
  <c r="G75" i="10"/>
  <c r="F75" i="10"/>
  <c r="E75" i="10"/>
  <c r="D75" i="10"/>
  <c r="C75" i="10" s="1"/>
  <c r="J74" i="10"/>
  <c r="I74" i="10"/>
  <c r="H74" i="10"/>
  <c r="G74" i="10"/>
  <c r="F74" i="10"/>
  <c r="E74" i="10"/>
  <c r="J73" i="10"/>
  <c r="I73" i="10"/>
  <c r="H73" i="10"/>
  <c r="G73" i="10"/>
  <c r="F73" i="10"/>
  <c r="E73" i="10"/>
  <c r="J72" i="10"/>
  <c r="I72" i="10"/>
  <c r="H72" i="10"/>
  <c r="G72" i="10"/>
  <c r="F72" i="10"/>
  <c r="E72" i="10"/>
  <c r="J71" i="10"/>
  <c r="I71" i="10"/>
  <c r="H71" i="10"/>
  <c r="G71" i="10"/>
  <c r="F71" i="10"/>
  <c r="E71" i="10"/>
  <c r="J70" i="10"/>
  <c r="I70" i="10"/>
  <c r="H70" i="10"/>
  <c r="G70" i="10"/>
  <c r="F70" i="10"/>
  <c r="J69" i="10"/>
  <c r="I69" i="10"/>
  <c r="H69" i="10"/>
  <c r="G69" i="10"/>
  <c r="F69" i="10"/>
  <c r="E69" i="10"/>
  <c r="J68" i="10"/>
  <c r="I68" i="10"/>
  <c r="H68" i="10"/>
  <c r="G68" i="10"/>
  <c r="F68" i="10"/>
  <c r="E68" i="10"/>
  <c r="J67" i="10"/>
  <c r="I67" i="10"/>
  <c r="H67" i="10"/>
  <c r="G67" i="10"/>
  <c r="F67" i="10"/>
  <c r="E67" i="10"/>
  <c r="J66" i="10"/>
  <c r="I66" i="10"/>
  <c r="H66" i="10"/>
  <c r="G66" i="10"/>
  <c r="F66" i="10"/>
  <c r="E66" i="10"/>
  <c r="J65" i="10"/>
  <c r="I65" i="10"/>
  <c r="H65" i="10"/>
  <c r="G65" i="10"/>
  <c r="F65" i="10"/>
  <c r="E65" i="10"/>
  <c r="J63" i="10"/>
  <c r="I63" i="10"/>
  <c r="H63" i="10"/>
  <c r="G63" i="10"/>
  <c r="F63" i="10"/>
  <c r="E63" i="10"/>
  <c r="J62" i="10"/>
  <c r="I62" i="10"/>
  <c r="H62" i="10"/>
  <c r="G62" i="10"/>
  <c r="F62" i="10"/>
  <c r="E62" i="10"/>
  <c r="G293" i="9"/>
  <c r="F293" i="9"/>
  <c r="E293" i="9"/>
  <c r="D293" i="9"/>
  <c r="C293" i="9"/>
  <c r="B293" i="9"/>
  <c r="J60" i="10"/>
  <c r="G292" i="9" s="1"/>
  <c r="I60" i="10"/>
  <c r="F292" i="9" s="1"/>
  <c r="H60" i="10"/>
  <c r="E292" i="9" s="1"/>
  <c r="G60" i="10"/>
  <c r="D292" i="9" s="1"/>
  <c r="F60" i="10"/>
  <c r="C292" i="9" s="1"/>
  <c r="E60" i="10"/>
  <c r="B292" i="9" s="1"/>
  <c r="J59" i="10"/>
  <c r="G291" i="9" s="1"/>
  <c r="I59" i="10"/>
  <c r="H59" i="10"/>
  <c r="E291" i="9" s="1"/>
  <c r="G59" i="10"/>
  <c r="D291" i="9" s="1"/>
  <c r="F59" i="10"/>
  <c r="C291" i="9" s="1"/>
  <c r="E59" i="10"/>
  <c r="B291" i="9" s="1"/>
  <c r="J58" i="10"/>
  <c r="G290" i="9" s="1"/>
  <c r="I58" i="10"/>
  <c r="F290" i="9" s="1"/>
  <c r="H58" i="10"/>
  <c r="E290" i="9" s="1"/>
  <c r="G58" i="10"/>
  <c r="D290" i="9" s="1"/>
  <c r="F58" i="10"/>
  <c r="C290" i="9" s="1"/>
  <c r="E58" i="10"/>
  <c r="B290" i="9" s="1"/>
  <c r="J57" i="10"/>
  <c r="G289" i="9" s="1"/>
  <c r="I57" i="10"/>
  <c r="F289" i="9" s="1"/>
  <c r="H57" i="10"/>
  <c r="E289" i="9" s="1"/>
  <c r="G57" i="10"/>
  <c r="D289" i="9" s="1"/>
  <c r="F57" i="10"/>
  <c r="C289" i="9" s="1"/>
  <c r="E57" i="10"/>
  <c r="B289" i="9" s="1"/>
  <c r="J56" i="10"/>
  <c r="G288" i="9" s="1"/>
  <c r="I56" i="10"/>
  <c r="F288" i="9" s="1"/>
  <c r="H56" i="10"/>
  <c r="E288" i="9" s="1"/>
  <c r="G56" i="10"/>
  <c r="D288" i="9" s="1"/>
  <c r="F56" i="10"/>
  <c r="C288" i="9" s="1"/>
  <c r="E56" i="10"/>
  <c r="B288" i="9" s="1"/>
  <c r="J55" i="10"/>
  <c r="G287" i="9" s="1"/>
  <c r="I55" i="10"/>
  <c r="F287" i="9" s="1"/>
  <c r="H55" i="10"/>
  <c r="E287" i="9" s="1"/>
  <c r="G55" i="10"/>
  <c r="D287" i="9" s="1"/>
  <c r="F55" i="10"/>
  <c r="C287" i="9" s="1"/>
  <c r="E55" i="10"/>
  <c r="B287" i="9" s="1"/>
  <c r="J54" i="10"/>
  <c r="G286" i="9" s="1"/>
  <c r="I54" i="10"/>
  <c r="F286" i="9" s="1"/>
  <c r="H54" i="10"/>
  <c r="E286" i="9" s="1"/>
  <c r="G54" i="10"/>
  <c r="D286" i="9" s="1"/>
  <c r="F54" i="10"/>
  <c r="C286" i="9" s="1"/>
  <c r="E54" i="10"/>
  <c r="B286" i="9" s="1"/>
  <c r="J53" i="10"/>
  <c r="G285" i="9" s="1"/>
  <c r="I53" i="10"/>
  <c r="F285" i="9" s="1"/>
  <c r="H53" i="10"/>
  <c r="E285" i="9" s="1"/>
  <c r="G53" i="10"/>
  <c r="D285" i="9" s="1"/>
  <c r="F53" i="10"/>
  <c r="C285" i="9" s="1"/>
  <c r="E53" i="10"/>
  <c r="B285" i="9" s="1"/>
  <c r="J52" i="10"/>
  <c r="G284" i="9" s="1"/>
  <c r="I52" i="10"/>
  <c r="F284" i="9" s="1"/>
  <c r="H52" i="10"/>
  <c r="E284" i="9" s="1"/>
  <c r="G52" i="10"/>
  <c r="D284" i="9" s="1"/>
  <c r="F52" i="10"/>
  <c r="C284" i="9" s="1"/>
  <c r="E52" i="10"/>
  <c r="B284" i="9" s="1"/>
  <c r="J51" i="10"/>
  <c r="G283" i="9" s="1"/>
  <c r="I51" i="10"/>
  <c r="F283" i="9" s="1"/>
  <c r="H51" i="10"/>
  <c r="E283" i="9" s="1"/>
  <c r="G51" i="10"/>
  <c r="D283" i="9" s="1"/>
  <c r="F51" i="10"/>
  <c r="C283" i="9" s="1"/>
  <c r="E51" i="10"/>
  <c r="B283" i="9" s="1"/>
  <c r="J50" i="10"/>
  <c r="G282" i="9" s="1"/>
  <c r="I50" i="10"/>
  <c r="F282" i="9" s="1"/>
  <c r="H50" i="10"/>
  <c r="E282" i="9" s="1"/>
  <c r="G50" i="10"/>
  <c r="D282" i="9" s="1"/>
  <c r="F50" i="10"/>
  <c r="C282" i="9" s="1"/>
  <c r="E50" i="10"/>
  <c r="B282" i="9" s="1"/>
  <c r="J49" i="10"/>
  <c r="G281" i="9" s="1"/>
  <c r="I49" i="10"/>
  <c r="F281" i="9" s="1"/>
  <c r="H49" i="10"/>
  <c r="E281" i="9" s="1"/>
  <c r="G49" i="10"/>
  <c r="D281" i="9" s="1"/>
  <c r="F49" i="10"/>
  <c r="C281" i="9" s="1"/>
  <c r="E49" i="10"/>
  <c r="B281" i="9" s="1"/>
  <c r="J48" i="10"/>
  <c r="G280" i="9" s="1"/>
  <c r="I48" i="10"/>
  <c r="F280" i="9" s="1"/>
  <c r="H48" i="10"/>
  <c r="E280" i="9" s="1"/>
  <c r="G48" i="10"/>
  <c r="D280" i="9" s="1"/>
  <c r="F48" i="10"/>
  <c r="C280" i="9" s="1"/>
  <c r="E48" i="10"/>
  <c r="B280" i="9" s="1"/>
  <c r="J47" i="10"/>
  <c r="G279" i="9" s="1"/>
  <c r="I47" i="10"/>
  <c r="F279" i="9" s="1"/>
  <c r="H47" i="10"/>
  <c r="E279" i="9" s="1"/>
  <c r="G47" i="10"/>
  <c r="D279" i="9" s="1"/>
  <c r="F47" i="10"/>
  <c r="E47" i="10"/>
  <c r="B279" i="9" s="1"/>
  <c r="J46" i="10"/>
  <c r="G278" i="9" s="1"/>
  <c r="I46" i="10"/>
  <c r="F278" i="9" s="1"/>
  <c r="H46" i="10"/>
  <c r="E278" i="9" s="1"/>
  <c r="G46" i="10"/>
  <c r="D278" i="9" s="1"/>
  <c r="F46" i="10"/>
  <c r="C278" i="9" s="1"/>
  <c r="E46" i="10"/>
  <c r="B278" i="9" s="1"/>
  <c r="J44" i="10"/>
  <c r="G277" i="9" s="1"/>
  <c r="I44" i="10"/>
  <c r="F277" i="9" s="1"/>
  <c r="H44" i="10"/>
  <c r="E277" i="9" s="1"/>
  <c r="G44" i="10"/>
  <c r="D277" i="9" s="1"/>
  <c r="F44" i="10"/>
  <c r="C277" i="9" s="1"/>
  <c r="E44" i="10"/>
  <c r="B277" i="9" s="1"/>
  <c r="G276" i="9"/>
  <c r="F276" i="9"/>
  <c r="E276" i="9"/>
  <c r="D276" i="9"/>
  <c r="C276" i="9"/>
  <c r="B276" i="9"/>
  <c r="J41" i="10"/>
  <c r="G275" i="9" s="1"/>
  <c r="I41" i="10"/>
  <c r="F275" i="9" s="1"/>
  <c r="H41" i="10"/>
  <c r="E275" i="9" s="1"/>
  <c r="G41" i="10"/>
  <c r="D275" i="9" s="1"/>
  <c r="F41" i="10"/>
  <c r="C275" i="9" s="1"/>
  <c r="E41" i="10"/>
  <c r="B275" i="9" s="1"/>
  <c r="J40" i="10"/>
  <c r="G274" i="9" s="1"/>
  <c r="I40" i="10"/>
  <c r="F274" i="9" s="1"/>
  <c r="H40" i="10"/>
  <c r="E274" i="9" s="1"/>
  <c r="G40" i="10"/>
  <c r="D274" i="9" s="1"/>
  <c r="F40" i="10"/>
  <c r="C274" i="9" s="1"/>
  <c r="E40" i="10"/>
  <c r="B274" i="9" s="1"/>
  <c r="J39" i="10"/>
  <c r="G273" i="9" s="1"/>
  <c r="I39" i="10"/>
  <c r="F273" i="9" s="1"/>
  <c r="H39" i="10"/>
  <c r="E273" i="9" s="1"/>
  <c r="G39" i="10"/>
  <c r="D273" i="9" s="1"/>
  <c r="F39" i="10"/>
  <c r="C273" i="9" s="1"/>
  <c r="E39" i="10"/>
  <c r="B273" i="9" s="1"/>
  <c r="J38" i="10"/>
  <c r="G272" i="9" s="1"/>
  <c r="I38" i="10"/>
  <c r="F272" i="9" s="1"/>
  <c r="H38" i="10"/>
  <c r="E272" i="9" s="1"/>
  <c r="G38" i="10"/>
  <c r="D272" i="9" s="1"/>
  <c r="F38" i="10"/>
  <c r="C272" i="9" s="1"/>
  <c r="E38" i="10"/>
  <c r="B272" i="9" s="1"/>
  <c r="J37" i="10"/>
  <c r="G271" i="9" s="1"/>
  <c r="I37" i="10"/>
  <c r="F271" i="9" s="1"/>
  <c r="H37" i="10"/>
  <c r="E271" i="9" s="1"/>
  <c r="G37" i="10"/>
  <c r="D271" i="9" s="1"/>
  <c r="F37" i="10"/>
  <c r="C271" i="9" s="1"/>
  <c r="J35" i="10"/>
  <c r="G270" i="9" s="1"/>
  <c r="I35" i="10"/>
  <c r="F270" i="9" s="1"/>
  <c r="H35" i="10"/>
  <c r="E270" i="9" s="1"/>
  <c r="G35" i="10"/>
  <c r="D270" i="9" s="1"/>
  <c r="F35" i="10"/>
  <c r="C270" i="9" s="1"/>
  <c r="E35" i="10"/>
  <c r="B270" i="9" s="1"/>
  <c r="J34" i="10"/>
  <c r="G269" i="9" s="1"/>
  <c r="I34" i="10"/>
  <c r="F269" i="9" s="1"/>
  <c r="H34" i="10"/>
  <c r="E269" i="9" s="1"/>
  <c r="G34" i="10"/>
  <c r="D269" i="9" s="1"/>
  <c r="F34" i="10"/>
  <c r="C269" i="9" s="1"/>
  <c r="E34" i="10"/>
  <c r="B269" i="9" s="1"/>
  <c r="J33" i="10"/>
  <c r="G268" i="9" s="1"/>
  <c r="I33" i="10"/>
  <c r="F268" i="9" s="1"/>
  <c r="H33" i="10"/>
  <c r="E268" i="9" s="1"/>
  <c r="G33" i="10"/>
  <c r="D268" i="9" s="1"/>
  <c r="C268" i="9"/>
  <c r="B268" i="9"/>
  <c r="J32" i="10"/>
  <c r="G267" i="9" s="1"/>
  <c r="I32" i="10"/>
  <c r="F267" i="9" s="1"/>
  <c r="H32" i="10"/>
  <c r="E267" i="9" s="1"/>
  <c r="G32" i="10"/>
  <c r="D267" i="9" s="1"/>
  <c r="F32" i="10"/>
  <c r="C267" i="9" s="1"/>
  <c r="E32" i="10"/>
  <c r="B267" i="9" s="1"/>
  <c r="J31" i="10"/>
  <c r="G266" i="9" s="1"/>
  <c r="I31" i="10"/>
  <c r="F266" i="9" s="1"/>
  <c r="H31" i="10"/>
  <c r="E266" i="9" s="1"/>
  <c r="G31" i="10"/>
  <c r="D266" i="9" s="1"/>
  <c r="F31" i="10"/>
  <c r="C266" i="9" s="1"/>
  <c r="E31" i="10"/>
  <c r="B266" i="9" s="1"/>
  <c r="J29" i="10"/>
  <c r="G265" i="9" s="1"/>
  <c r="I29" i="10"/>
  <c r="F265" i="9" s="1"/>
  <c r="H29" i="10"/>
  <c r="E265" i="9" s="1"/>
  <c r="G29" i="10"/>
  <c r="D265" i="9" s="1"/>
  <c r="F29" i="10"/>
  <c r="C265" i="9" s="1"/>
  <c r="E29" i="10"/>
  <c r="B265" i="9" s="1"/>
  <c r="J28" i="10"/>
  <c r="G264" i="9" s="1"/>
  <c r="I28" i="10"/>
  <c r="F264" i="9" s="1"/>
  <c r="H28" i="10"/>
  <c r="E264" i="9" s="1"/>
  <c r="G28" i="10"/>
  <c r="D264" i="9" s="1"/>
  <c r="F28" i="10"/>
  <c r="C264" i="9" s="1"/>
  <c r="E28" i="10"/>
  <c r="B264" i="9" s="1"/>
  <c r="J27" i="10"/>
  <c r="G263" i="9" s="1"/>
  <c r="I27" i="10"/>
  <c r="F263" i="9" s="1"/>
  <c r="H27" i="10"/>
  <c r="E263" i="9" s="1"/>
  <c r="G27" i="10"/>
  <c r="D263" i="9" s="1"/>
  <c r="F27" i="10"/>
  <c r="C263" i="9" s="1"/>
  <c r="E27" i="10"/>
  <c r="B263" i="9" s="1"/>
  <c r="J26" i="10"/>
  <c r="I26" i="10"/>
  <c r="F262" i="9" s="1"/>
  <c r="H26" i="10"/>
  <c r="G26" i="10"/>
  <c r="D262" i="9" s="1"/>
  <c r="F26" i="10"/>
  <c r="E26" i="10"/>
  <c r="B262" i="9" s="1"/>
  <c r="J25" i="10"/>
  <c r="G261" i="9" s="1"/>
  <c r="I25" i="10"/>
  <c r="F261" i="9" s="1"/>
  <c r="G25" i="10"/>
  <c r="D261" i="9" s="1"/>
  <c r="F25" i="10"/>
  <c r="C261" i="9" s="1"/>
  <c r="E25" i="10"/>
  <c r="B261" i="9" s="1"/>
  <c r="T20" i="10"/>
  <c r="AT2" i="3" s="1"/>
  <c r="S20" i="10"/>
  <c r="O10" i="10" s="1"/>
  <c r="O20" i="10"/>
  <c r="O12" i="10" s="1"/>
  <c r="C13" i="10"/>
  <c r="C12" i="10"/>
  <c r="C11" i="10"/>
  <c r="C10" i="10"/>
  <c r="C9" i="10"/>
  <c r="C8" i="10"/>
  <c r="B8" i="18" l="1"/>
  <c r="B10" i="18"/>
  <c r="AM4" i="3"/>
  <c r="BK4" i="3" s="1"/>
  <c r="BK3" i="3"/>
  <c r="B13" i="18"/>
  <c r="P3" i="3"/>
  <c r="B11" i="18"/>
  <c r="B12" i="18"/>
  <c r="B9" i="18"/>
  <c r="D67" i="16"/>
  <c r="C67" i="16" s="1"/>
  <c r="M68" i="16"/>
  <c r="C20" i="14"/>
  <c r="C38" i="11"/>
  <c r="A315" i="9"/>
  <c r="M40" i="11"/>
  <c r="M41" i="11" s="1"/>
  <c r="D41" i="11" s="1"/>
  <c r="D39" i="11"/>
  <c r="F291" i="9"/>
  <c r="I20" i="10"/>
  <c r="W3" i="3" s="1"/>
  <c r="C279" i="9"/>
  <c r="F20" i="10"/>
  <c r="W6" i="3" s="1"/>
  <c r="M32" i="10"/>
  <c r="M30" i="10"/>
  <c r="AT5" i="3"/>
  <c r="O13" i="10"/>
  <c r="O16" i="10" s="1"/>
  <c r="W16" i="10" s="1"/>
  <c r="J20" i="10"/>
  <c r="W2" i="3" s="1"/>
  <c r="G262" i="9"/>
  <c r="AT3" i="3"/>
  <c r="AT7" i="3"/>
  <c r="E262" i="9"/>
  <c r="H20" i="10"/>
  <c r="W7" i="3" s="1"/>
  <c r="AT6" i="3"/>
  <c r="C262" i="9"/>
  <c r="AT4" i="3"/>
  <c r="G20" i="10"/>
  <c r="W5" i="3" s="1"/>
  <c r="D26" i="10"/>
  <c r="D28" i="10"/>
  <c r="D27" i="10"/>
  <c r="D57" i="10"/>
  <c r="D77" i="10"/>
  <c r="C77" i="10" s="1"/>
  <c r="E20" i="10"/>
  <c r="W4" i="3" s="1"/>
  <c r="D76" i="10"/>
  <c r="C76" i="10" s="1"/>
  <c r="T20" i="1"/>
  <c r="AS2" i="3" s="1"/>
  <c r="Q20" i="1"/>
  <c r="AS5" i="3" s="1"/>
  <c r="G105" i="1"/>
  <c r="H105" i="1"/>
  <c r="E260" i="9" s="1"/>
  <c r="I105" i="1"/>
  <c r="F260" i="9" s="1"/>
  <c r="J105" i="1"/>
  <c r="F105" i="1"/>
  <c r="F101" i="1"/>
  <c r="C257" i="9" s="1"/>
  <c r="E105" i="1"/>
  <c r="AM5" i="3" l="1"/>
  <c r="BK5" i="3" s="1"/>
  <c r="P4" i="3"/>
  <c r="W10" i="3"/>
  <c r="D64" i="17"/>
  <c r="C64" i="17" s="1"/>
  <c r="D68" i="16"/>
  <c r="C68" i="16" s="1"/>
  <c r="M69" i="16"/>
  <c r="F8" i="14"/>
  <c r="F10" i="14"/>
  <c r="C41" i="11"/>
  <c r="A317" i="9"/>
  <c r="C39" i="11"/>
  <c r="A316" i="9"/>
  <c r="W9" i="3"/>
  <c r="D32" i="10"/>
  <c r="M33" i="10"/>
  <c r="O11" i="1"/>
  <c r="G260" i="9"/>
  <c r="D260" i="9"/>
  <c r="B260" i="9"/>
  <c r="C57" i="10"/>
  <c r="A289" i="9"/>
  <c r="C260" i="9"/>
  <c r="C28" i="10"/>
  <c r="A264" i="9"/>
  <c r="C27" i="10"/>
  <c r="A263" i="9"/>
  <c r="AT9" i="3"/>
  <c r="C26" i="10"/>
  <c r="A262" i="9"/>
  <c r="H17" i="10"/>
  <c r="E17" i="10"/>
  <c r="G17" i="10"/>
  <c r="D78" i="10"/>
  <c r="C78" i="10" s="1"/>
  <c r="D58" i="10"/>
  <c r="J17" i="10"/>
  <c r="F17" i="10"/>
  <c r="I17" i="10"/>
  <c r="D31" i="10"/>
  <c r="D29" i="10"/>
  <c r="O13" i="1"/>
  <c r="I103" i="1"/>
  <c r="F259" i="9" s="1"/>
  <c r="E103" i="1"/>
  <c r="B259" i="9" s="1"/>
  <c r="G103" i="1"/>
  <c r="D259" i="9" s="1"/>
  <c r="H103" i="1"/>
  <c r="J103" i="1"/>
  <c r="G259" i="9" s="1"/>
  <c r="J104" i="1"/>
  <c r="I104" i="1"/>
  <c r="G104" i="1"/>
  <c r="F104" i="1"/>
  <c r="P5" i="3" l="1"/>
  <c r="AM6" i="3"/>
  <c r="BK6" i="3" s="1"/>
  <c r="D69" i="16"/>
  <c r="C69" i="16" s="1"/>
  <c r="M70" i="16"/>
  <c r="M34" i="10"/>
  <c r="D33" i="10"/>
  <c r="C32" i="10"/>
  <c r="A267" i="9"/>
  <c r="C58" i="10"/>
  <c r="A290" i="9"/>
  <c r="A266" i="9"/>
  <c r="C29" i="10"/>
  <c r="A265" i="9"/>
  <c r="D10" i="10"/>
  <c r="E10" i="10" s="1"/>
  <c r="D9" i="10"/>
  <c r="E9" i="10" s="1"/>
  <c r="D12" i="10"/>
  <c r="E12" i="10" s="1"/>
  <c r="D11" i="10"/>
  <c r="E11" i="10" s="1"/>
  <c r="D79" i="10"/>
  <c r="C79" i="10" s="1"/>
  <c r="D59" i="10"/>
  <c r="D8" i="10"/>
  <c r="E8" i="10" s="1"/>
  <c r="D13" i="10"/>
  <c r="E13" i="10" s="1"/>
  <c r="P6" i="3" l="1"/>
  <c r="AM7" i="3"/>
  <c r="BK7" i="3" s="1"/>
  <c r="BK9" i="3" s="1"/>
  <c r="D66" i="17"/>
  <c r="C66" i="17" s="1"/>
  <c r="D70" i="16"/>
  <c r="C70" i="16" s="1"/>
  <c r="M71" i="16"/>
  <c r="A268" i="9"/>
  <c r="C33" i="10"/>
  <c r="M35" i="10"/>
  <c r="D35" i="10" s="1"/>
  <c r="A270" i="9" s="1"/>
  <c r="D34" i="10"/>
  <c r="C59" i="10"/>
  <c r="A291" i="9"/>
  <c r="D60" i="10"/>
  <c r="D80" i="10"/>
  <c r="C80" i="10" s="1"/>
  <c r="T5" i="10"/>
  <c r="AM9" i="3" l="1"/>
  <c r="P9" i="3" s="1"/>
  <c r="P7" i="3"/>
  <c r="D67" i="17"/>
  <c r="C67" i="17" s="1"/>
  <c r="M72" i="16"/>
  <c r="D71" i="16"/>
  <c r="C71" i="16" s="1"/>
  <c r="C35" i="10"/>
  <c r="C34" i="10"/>
  <c r="A269" i="9"/>
  <c r="C60" i="10"/>
  <c r="A292" i="9"/>
  <c r="D81" i="10"/>
  <c r="C81" i="10" s="1"/>
  <c r="D61" i="10"/>
  <c r="D68" i="17" l="1"/>
  <c r="C68" i="17" s="1"/>
  <c r="M74" i="16"/>
  <c r="D72" i="16"/>
  <c r="C72" i="16" s="1"/>
  <c r="C61" i="10"/>
  <c r="A293" i="9"/>
  <c r="D62" i="10"/>
  <c r="C62" i="10" s="1"/>
  <c r="D82" i="10"/>
  <c r="C82" i="10" s="1"/>
  <c r="D69" i="17" l="1"/>
  <c r="C69" i="17" s="1"/>
  <c r="D74" i="16"/>
  <c r="C74" i="16" s="1"/>
  <c r="M75" i="16"/>
  <c r="D63" i="10"/>
  <c r="C63" i="10" s="1"/>
  <c r="D83" i="10"/>
  <c r="C83" i="10" s="1"/>
  <c r="D70" i="17" l="1"/>
  <c r="C70" i="17" s="1"/>
  <c r="D75" i="16"/>
  <c r="C75" i="16" s="1"/>
  <c r="M76" i="16"/>
  <c r="D84" i="10"/>
  <c r="C84" i="10" s="1"/>
  <c r="E96" i="1"/>
  <c r="B252" i="9" s="1"/>
  <c r="F96" i="1"/>
  <c r="G96" i="1"/>
  <c r="D252" i="9" s="1"/>
  <c r="H96" i="1"/>
  <c r="E252" i="9" s="1"/>
  <c r="I96" i="1"/>
  <c r="F252" i="9" s="1"/>
  <c r="J96" i="1"/>
  <c r="G252" i="9" s="1"/>
  <c r="E97" i="1"/>
  <c r="B253" i="9" s="1"/>
  <c r="F97" i="1"/>
  <c r="C253" i="9" s="1"/>
  <c r="G97" i="1"/>
  <c r="D253" i="9" s="1"/>
  <c r="H97" i="1"/>
  <c r="I97" i="1"/>
  <c r="F253" i="9" s="1"/>
  <c r="J97" i="1"/>
  <c r="G253" i="9" s="1"/>
  <c r="M77" i="16" l="1"/>
  <c r="D76" i="16"/>
  <c r="C76" i="16" s="1"/>
  <c r="D85" i="10"/>
  <c r="C85" i="10" s="1"/>
  <c r="D65" i="10"/>
  <c r="C65" i="10" s="1"/>
  <c r="E99" i="1"/>
  <c r="B255" i="9" s="1"/>
  <c r="F99" i="1"/>
  <c r="C255" i="9" s="1"/>
  <c r="G99" i="1"/>
  <c r="D255" i="9" s="1"/>
  <c r="H99" i="1"/>
  <c r="E255" i="9" s="1"/>
  <c r="I99" i="1"/>
  <c r="F255" i="9" s="1"/>
  <c r="J99" i="1"/>
  <c r="G255" i="9" s="1"/>
  <c r="E100" i="1"/>
  <c r="B256" i="9" s="1"/>
  <c r="F100" i="1"/>
  <c r="C256" i="9" s="1"/>
  <c r="G100" i="1"/>
  <c r="D256" i="9" s="1"/>
  <c r="H100" i="1"/>
  <c r="I100" i="1"/>
  <c r="F256" i="9" s="1"/>
  <c r="J100" i="1"/>
  <c r="G256" i="9" s="1"/>
  <c r="E101" i="1"/>
  <c r="B257" i="9" s="1"/>
  <c r="G101" i="1"/>
  <c r="D257" i="9" s="1"/>
  <c r="H101" i="1"/>
  <c r="I101" i="1"/>
  <c r="F257" i="9" s="1"/>
  <c r="J101" i="1"/>
  <c r="G257" i="9" s="1"/>
  <c r="E102" i="1"/>
  <c r="B258" i="9" s="1"/>
  <c r="F102" i="1"/>
  <c r="C258" i="9" s="1"/>
  <c r="G102" i="1"/>
  <c r="D258" i="9" s="1"/>
  <c r="H102" i="1"/>
  <c r="I102" i="1"/>
  <c r="F258" i="9" s="1"/>
  <c r="J102" i="1"/>
  <c r="G258" i="9" s="1"/>
  <c r="C73" i="17" l="1"/>
  <c r="D72" i="17"/>
  <c r="C72" i="17" s="1"/>
  <c r="M78" i="16"/>
  <c r="D78" i="16" s="1"/>
  <c r="C78" i="16" s="1"/>
  <c r="D77" i="16"/>
  <c r="C77" i="16" s="1"/>
  <c r="D66" i="10"/>
  <c r="C66" i="10" s="1"/>
  <c r="D86" i="10"/>
  <c r="C86" i="10" s="1"/>
  <c r="P78" i="2"/>
  <c r="E93" i="1"/>
  <c r="B249" i="9" s="1"/>
  <c r="F93" i="1"/>
  <c r="C249" i="9" s="1"/>
  <c r="G93" i="1"/>
  <c r="D249" i="9" s="1"/>
  <c r="H93" i="1"/>
  <c r="E249" i="9" s="1"/>
  <c r="I93" i="1"/>
  <c r="F249" i="9" s="1"/>
  <c r="J93" i="1"/>
  <c r="G249" i="9" s="1"/>
  <c r="E88" i="1"/>
  <c r="B244" i="9" s="1"/>
  <c r="C20" i="17" l="1"/>
  <c r="C20" i="16"/>
  <c r="F8" i="16" s="1"/>
  <c r="G8" i="16" s="1"/>
  <c r="D67" i="10"/>
  <c r="C67" i="10" s="1"/>
  <c r="D87" i="10"/>
  <c r="C87" i="10" s="1"/>
  <c r="E94" i="1"/>
  <c r="B250" i="9" s="1"/>
  <c r="F94" i="1"/>
  <c r="C250" i="9" s="1"/>
  <c r="G94" i="1"/>
  <c r="D250" i="9" s="1"/>
  <c r="H94" i="1"/>
  <c r="I94" i="1"/>
  <c r="F250" i="9" s="1"/>
  <c r="J94" i="1"/>
  <c r="G250" i="9" s="1"/>
  <c r="E95" i="1"/>
  <c r="B251" i="9" s="1"/>
  <c r="F95" i="1"/>
  <c r="C251" i="9" s="1"/>
  <c r="G95" i="1"/>
  <c r="D251" i="9" s="1"/>
  <c r="H95" i="1"/>
  <c r="E251" i="9" s="1"/>
  <c r="I95" i="1"/>
  <c r="F251" i="9" s="1"/>
  <c r="J95" i="1"/>
  <c r="G251" i="9" s="1"/>
  <c r="E98" i="1"/>
  <c r="F98" i="1"/>
  <c r="G98" i="1"/>
  <c r="H98" i="1"/>
  <c r="I98" i="1"/>
  <c r="J98" i="1"/>
  <c r="G254" i="9" s="1"/>
  <c r="F8" i="17" l="1"/>
  <c r="G8" i="17" s="1"/>
  <c r="AL2" i="3"/>
  <c r="F13" i="17"/>
  <c r="G13" i="17" s="1"/>
  <c r="F9" i="17"/>
  <c r="G9" i="17" s="1"/>
  <c r="F10" i="17"/>
  <c r="G10" i="17" s="1"/>
  <c r="F12" i="17"/>
  <c r="G12" i="17" s="1"/>
  <c r="F11" i="17"/>
  <c r="G11" i="17" s="1"/>
  <c r="AK2" i="3"/>
  <c r="BI2" i="3" s="1"/>
  <c r="F11" i="16"/>
  <c r="G11" i="16" s="1"/>
  <c r="F10" i="16"/>
  <c r="G10" i="16" s="1"/>
  <c r="F12" i="16"/>
  <c r="G12" i="16" s="1"/>
  <c r="F9" i="16"/>
  <c r="G9" i="16" s="1"/>
  <c r="F13" i="16"/>
  <c r="G13" i="16" s="1"/>
  <c r="F254" i="9"/>
  <c r="E254" i="9"/>
  <c r="D254" i="9"/>
  <c r="C254" i="9"/>
  <c r="B254" i="9"/>
  <c r="D88" i="10"/>
  <c r="C88" i="10" s="1"/>
  <c r="D68" i="10"/>
  <c r="C68" i="10" s="1"/>
  <c r="E89" i="1"/>
  <c r="B245" i="9" s="1"/>
  <c r="F89" i="1"/>
  <c r="G89" i="1"/>
  <c r="D245" i="9" s="1"/>
  <c r="H89" i="1"/>
  <c r="I89" i="1"/>
  <c r="F245" i="9" s="1"/>
  <c r="J89" i="1"/>
  <c r="G245" i="9" s="1"/>
  <c r="O2" i="3" l="1"/>
  <c r="BJ2" i="3"/>
  <c r="AL3" i="3"/>
  <c r="BJ3" i="3" s="1"/>
  <c r="AK3" i="3"/>
  <c r="N2" i="3"/>
  <c r="D69" i="10"/>
  <c r="C69" i="10" s="1"/>
  <c r="D89" i="10"/>
  <c r="C89" i="10" s="1"/>
  <c r="E90" i="1"/>
  <c r="B246" i="9" s="1"/>
  <c r="F90" i="1"/>
  <c r="C246" i="9" s="1"/>
  <c r="G90" i="1"/>
  <c r="D246" i="9" s="1"/>
  <c r="H90" i="1"/>
  <c r="E246" i="9" s="1"/>
  <c r="I90" i="1"/>
  <c r="F246" i="9" s="1"/>
  <c r="J90" i="1"/>
  <c r="G246" i="9" s="1"/>
  <c r="E91" i="1"/>
  <c r="B247" i="9" s="1"/>
  <c r="F91" i="1"/>
  <c r="C247" i="9" s="1"/>
  <c r="G91" i="1"/>
  <c r="D247" i="9" s="1"/>
  <c r="H91" i="1"/>
  <c r="I91" i="1"/>
  <c r="F247" i="9" s="1"/>
  <c r="J91" i="1"/>
  <c r="G247" i="9" s="1"/>
  <c r="E92" i="1"/>
  <c r="B248" i="9" s="1"/>
  <c r="F92" i="1"/>
  <c r="C248" i="9" s="1"/>
  <c r="G92" i="1"/>
  <c r="D248" i="9" s="1"/>
  <c r="H92" i="1"/>
  <c r="I92" i="1"/>
  <c r="F248" i="9" s="1"/>
  <c r="J92" i="1"/>
  <c r="G248" i="9" s="1"/>
  <c r="I87" i="1"/>
  <c r="G87" i="1"/>
  <c r="M86" i="1"/>
  <c r="M87" i="1" s="1"/>
  <c r="M88" i="1" s="1"/>
  <c r="M89" i="1" s="1"/>
  <c r="N3" i="3" l="1"/>
  <c r="BI3" i="3"/>
  <c r="AL4" i="3"/>
  <c r="BJ4" i="3" s="1"/>
  <c r="O3" i="3"/>
  <c r="AK5" i="3"/>
  <c r="D70" i="10"/>
  <c r="C70" i="10" s="1"/>
  <c r="D90" i="10"/>
  <c r="C90" i="10" s="1"/>
  <c r="D89" i="1"/>
  <c r="A245" i="9" s="1"/>
  <c r="M90" i="1"/>
  <c r="J83" i="1"/>
  <c r="I83" i="1"/>
  <c r="G83" i="1"/>
  <c r="F83" i="1"/>
  <c r="N5" i="3" l="1"/>
  <c r="BI5" i="3"/>
  <c r="AL5" i="3"/>
  <c r="O4" i="3"/>
  <c r="AK4" i="3"/>
  <c r="F13" i="14"/>
  <c r="G13" i="14" s="1"/>
  <c r="AJ2" i="3"/>
  <c r="G10" i="14"/>
  <c r="F12" i="14"/>
  <c r="G12" i="14" s="1"/>
  <c r="F11" i="14"/>
  <c r="G11" i="14" s="1"/>
  <c r="F9" i="14"/>
  <c r="G9" i="14" s="1"/>
  <c r="G8" i="14"/>
  <c r="D71" i="10"/>
  <c r="C71" i="10" s="1"/>
  <c r="D91" i="10"/>
  <c r="C91" i="10" s="1"/>
  <c r="M91" i="1"/>
  <c r="D90" i="1"/>
  <c r="J81" i="1"/>
  <c r="I81" i="1"/>
  <c r="H81" i="1"/>
  <c r="G81" i="1"/>
  <c r="F81" i="1"/>
  <c r="BJ5" i="3" l="1"/>
  <c r="M2" i="3"/>
  <c r="BH2" i="3"/>
  <c r="N4" i="3"/>
  <c r="BI4" i="3"/>
  <c r="AL6" i="3"/>
  <c r="BJ6" i="3" s="1"/>
  <c r="O5" i="3"/>
  <c r="AK6" i="3"/>
  <c r="AJ3" i="3"/>
  <c r="BH3" i="3" s="1"/>
  <c r="C90" i="1"/>
  <c r="A246" i="9"/>
  <c r="D93" i="10"/>
  <c r="C93" i="10" s="1"/>
  <c r="D92" i="10"/>
  <c r="C92" i="10" s="1"/>
  <c r="D72" i="10"/>
  <c r="C72" i="10" s="1"/>
  <c r="M92" i="1"/>
  <c r="D91" i="1"/>
  <c r="J70" i="1"/>
  <c r="I70" i="1"/>
  <c r="H70" i="1"/>
  <c r="G70" i="1"/>
  <c r="F70" i="1"/>
  <c r="J73" i="1"/>
  <c r="I73" i="1"/>
  <c r="H73" i="1"/>
  <c r="G73" i="1"/>
  <c r="F73" i="1"/>
  <c r="N6" i="3" l="1"/>
  <c r="BI6" i="3"/>
  <c r="AL7" i="3"/>
  <c r="O6" i="3"/>
  <c r="AK7" i="3"/>
  <c r="M3" i="3"/>
  <c r="AJ5" i="3"/>
  <c r="C91" i="1"/>
  <c r="A247" i="9"/>
  <c r="D74" i="10"/>
  <c r="C74" i="10" s="1"/>
  <c r="D73" i="10"/>
  <c r="C73" i="10" s="1"/>
  <c r="D92" i="1"/>
  <c r="M93" i="1"/>
  <c r="J67" i="1"/>
  <c r="I67" i="1"/>
  <c r="H67" i="1"/>
  <c r="G67" i="1"/>
  <c r="F67" i="1"/>
  <c r="AK9" i="3" l="1"/>
  <c r="N9" i="3" s="1"/>
  <c r="BI7" i="3"/>
  <c r="BI9" i="3" s="1"/>
  <c r="O7" i="3"/>
  <c r="BJ7" i="3"/>
  <c r="BJ9" i="3" s="1"/>
  <c r="BH5" i="3"/>
  <c r="AL9" i="3"/>
  <c r="O9" i="3" s="1"/>
  <c r="N7" i="3"/>
  <c r="AK8" i="3"/>
  <c r="N8" i="3" s="1"/>
  <c r="AJ4" i="3"/>
  <c r="BH4" i="3" s="1"/>
  <c r="M5" i="3"/>
  <c r="C92" i="1"/>
  <c r="A248" i="9"/>
  <c r="M94" i="1"/>
  <c r="D93" i="1"/>
  <c r="BA5" i="3"/>
  <c r="BB5" i="3"/>
  <c r="BA4" i="3"/>
  <c r="BB4" i="3"/>
  <c r="BA3" i="3"/>
  <c r="BB3" i="3"/>
  <c r="BA7" i="3"/>
  <c r="BB7" i="3"/>
  <c r="BA6" i="3"/>
  <c r="BB6" i="3"/>
  <c r="BB2" i="3"/>
  <c r="BB9" i="3" l="1"/>
  <c r="AJ7" i="3"/>
  <c r="BH7" i="3" s="1"/>
  <c r="M4" i="3"/>
  <c r="C93" i="1"/>
  <c r="A249" i="9"/>
  <c r="M95" i="1"/>
  <c r="D94" i="1"/>
  <c r="J63" i="1"/>
  <c r="I63" i="1"/>
  <c r="H63" i="1"/>
  <c r="G63" i="1"/>
  <c r="F63" i="1"/>
  <c r="AJ6" i="3" l="1"/>
  <c r="M7" i="3"/>
  <c r="C94" i="1"/>
  <c r="A250" i="9"/>
  <c r="D95" i="1"/>
  <c r="M96" i="1"/>
  <c r="B206" i="9"/>
  <c r="M6" i="3" l="1"/>
  <c r="BH6" i="3"/>
  <c r="BH9" i="3" s="1"/>
  <c r="AJ9" i="3"/>
  <c r="M9" i="3" s="1"/>
  <c r="C20" i="11"/>
  <c r="F12" i="11" s="1"/>
  <c r="M97" i="1"/>
  <c r="D96" i="1"/>
  <c r="C95" i="1"/>
  <c r="A251" i="9"/>
  <c r="M2" i="9"/>
  <c r="O2" i="9"/>
  <c r="P2" i="9"/>
  <c r="Q2" i="9"/>
  <c r="L2" i="9"/>
  <c r="C3" i="9"/>
  <c r="C4" i="9" s="1"/>
  <c r="E3" i="9"/>
  <c r="E4" i="9" s="1"/>
  <c r="F3" i="9"/>
  <c r="F4" i="9" s="1"/>
  <c r="B3" i="9"/>
  <c r="B4" i="9" s="1"/>
  <c r="G9" i="9"/>
  <c r="G10" i="9" s="1"/>
  <c r="G11" i="9" s="1"/>
  <c r="G12" i="9" s="1"/>
  <c r="G13" i="9" s="1"/>
  <c r="G14" i="9" s="1"/>
  <c r="G15" i="9" s="1"/>
  <c r="G16" i="9" s="1"/>
  <c r="G17" i="9" s="1"/>
  <c r="G18" i="9" s="1"/>
  <c r="G19" i="9" s="1"/>
  <c r="G20" i="9" s="1"/>
  <c r="G21" i="9" s="1"/>
  <c r="G22" i="9" s="1"/>
  <c r="G23" i="9" s="1"/>
  <c r="G24" i="9" s="1"/>
  <c r="G25" i="9" s="1"/>
  <c r="G26" i="9" s="1"/>
  <c r="G27" i="9" s="1"/>
  <c r="G28" i="9" s="1"/>
  <c r="G29" i="9" s="1"/>
  <c r="G30" i="9" s="1"/>
  <c r="G31" i="9" s="1"/>
  <c r="G32" i="9" s="1"/>
  <c r="G33" i="9" s="1"/>
  <c r="G34" i="9" s="1"/>
  <c r="G35" i="9" s="1"/>
  <c r="G36" i="9" s="1"/>
  <c r="G37" i="9" s="1"/>
  <c r="D2" i="9"/>
  <c r="D3" i="9" s="1"/>
  <c r="D4" i="9" s="1"/>
  <c r="A37" i="9"/>
  <c r="W2" i="9" l="1"/>
  <c r="X2" i="9"/>
  <c r="F9" i="11"/>
  <c r="G9" i="11" s="1"/>
  <c r="F10" i="11"/>
  <c r="G10" i="11" s="1"/>
  <c r="F8" i="11"/>
  <c r="G8" i="11" s="1"/>
  <c r="Q3" i="9"/>
  <c r="AI2" i="3"/>
  <c r="BG2" i="3" s="1"/>
  <c r="F13" i="11"/>
  <c r="G13" i="11" s="1"/>
  <c r="G12" i="11"/>
  <c r="F11" i="11"/>
  <c r="G11" i="11" s="1"/>
  <c r="C96" i="1"/>
  <c r="A252" i="9"/>
  <c r="D97" i="1"/>
  <c r="M98" i="1"/>
  <c r="D5" i="9"/>
  <c r="D6" i="9" s="1"/>
  <c r="D7" i="9" s="1"/>
  <c r="D8" i="9" s="1"/>
  <c r="E5" i="9"/>
  <c r="C5" i="9"/>
  <c r="B5" i="9"/>
  <c r="B6" i="9" s="1"/>
  <c r="A36" i="9"/>
  <c r="F5" i="9"/>
  <c r="F6" i="9" s="1"/>
  <c r="O3" i="9"/>
  <c r="O4" i="9" s="1"/>
  <c r="L3" i="9"/>
  <c r="M3" i="9"/>
  <c r="N2" i="9"/>
  <c r="N3" i="9" s="1"/>
  <c r="N4" i="9" s="1"/>
  <c r="P3" i="9"/>
  <c r="P4" i="9" s="1"/>
  <c r="M26" i="7"/>
  <c r="M27" i="7" s="1"/>
  <c r="M28" i="7" s="1"/>
  <c r="M29" i="7" s="1"/>
  <c r="M30" i="7" s="1"/>
  <c r="M31" i="7" s="1"/>
  <c r="M32" i="7" s="1"/>
  <c r="M33" i="7" s="1"/>
  <c r="M34" i="7" s="1"/>
  <c r="M35" i="7" s="1"/>
  <c r="M36" i="7" s="1"/>
  <c r="M37" i="7" s="1"/>
  <c r="M38" i="7" s="1"/>
  <c r="M39" i="7" s="1"/>
  <c r="M40" i="7" s="1"/>
  <c r="M42" i="7" s="1"/>
  <c r="M43" i="7" s="1"/>
  <c r="D26" i="7"/>
  <c r="D27" i="7" s="1"/>
  <c r="C27" i="7" s="1"/>
  <c r="C25" i="7"/>
  <c r="P13" i="7"/>
  <c r="P11" i="7"/>
  <c r="P8" i="7"/>
  <c r="P12" i="7"/>
  <c r="P9" i="7"/>
  <c r="P16" i="7" l="1"/>
  <c r="W3" i="9"/>
  <c r="T3" i="9"/>
  <c r="T2" i="9"/>
  <c r="M4" i="9"/>
  <c r="X4" i="9" s="1"/>
  <c r="X3" i="9"/>
  <c r="R2" i="9"/>
  <c r="Q4" i="9"/>
  <c r="R3" i="9"/>
  <c r="L2" i="3"/>
  <c r="AI5" i="3"/>
  <c r="L4" i="9"/>
  <c r="L5" i="9" s="1"/>
  <c r="U3" i="9"/>
  <c r="U2" i="9"/>
  <c r="M99" i="1"/>
  <c r="D98" i="1"/>
  <c r="P5" i="9"/>
  <c r="P6" i="9" s="1"/>
  <c r="C97" i="1"/>
  <c r="A253" i="9"/>
  <c r="N5" i="9"/>
  <c r="N6" i="9" s="1"/>
  <c r="N7" i="9" s="1"/>
  <c r="N8" i="9" s="1"/>
  <c r="F7" i="9"/>
  <c r="F8" i="9" s="1"/>
  <c r="F9" i="9" s="1"/>
  <c r="F10" i="9" s="1"/>
  <c r="F11" i="9" s="1"/>
  <c r="F12" i="9" s="1"/>
  <c r="F13" i="9" s="1"/>
  <c r="F14" i="9" s="1"/>
  <c r="F15" i="9" s="1"/>
  <c r="F16" i="9" s="1"/>
  <c r="F17" i="9" s="1"/>
  <c r="F18" i="9" s="1"/>
  <c r="F19" i="9" s="1"/>
  <c r="F20" i="9" s="1"/>
  <c r="F21" i="9" s="1"/>
  <c r="F22" i="9" s="1"/>
  <c r="F23" i="9" s="1"/>
  <c r="F24" i="9" s="1"/>
  <c r="F25" i="9" s="1"/>
  <c r="F26" i="9" s="1"/>
  <c r="F27" i="9" s="1"/>
  <c r="F28" i="9" s="1"/>
  <c r="F29" i="9" s="1"/>
  <c r="F30" i="9" s="1"/>
  <c r="F31" i="9" s="1"/>
  <c r="F32" i="9" s="1"/>
  <c r="F33" i="9" s="1"/>
  <c r="F34" i="9" s="1"/>
  <c r="F35" i="9" s="1"/>
  <c r="F36" i="9" s="1"/>
  <c r="F37" i="9" s="1"/>
  <c r="B7" i="9"/>
  <c r="B8" i="9" s="1"/>
  <c r="B9" i="9" s="1"/>
  <c r="B10" i="9" s="1"/>
  <c r="E6" i="9"/>
  <c r="E7" i="9" s="1"/>
  <c r="E8" i="9" s="1"/>
  <c r="E9" i="9" s="1"/>
  <c r="O5" i="9"/>
  <c r="A35" i="9"/>
  <c r="C6" i="9"/>
  <c r="C7" i="9" s="1"/>
  <c r="C8" i="9" s="1"/>
  <c r="C9" i="9" s="1"/>
  <c r="C10" i="9" s="1"/>
  <c r="C11" i="9" s="1"/>
  <c r="C12" i="9" s="1"/>
  <c r="C13" i="9" s="1"/>
  <c r="C14" i="9" s="1"/>
  <c r="C15" i="9" s="1"/>
  <c r="C16" i="9" s="1"/>
  <c r="C17" i="9" s="1"/>
  <c r="C18" i="9" s="1"/>
  <c r="C19" i="9" s="1"/>
  <c r="C20" i="9" s="1"/>
  <c r="C21" i="9" s="1"/>
  <c r="C22" i="9" s="1"/>
  <c r="C23" i="9" s="1"/>
  <c r="C24" i="9" s="1"/>
  <c r="C25" i="9" s="1"/>
  <c r="C26" i="9" s="1"/>
  <c r="C27" i="9" s="1"/>
  <c r="C28" i="9" s="1"/>
  <c r="C29" i="9" s="1"/>
  <c r="C30" i="9" s="1"/>
  <c r="C31" i="9" s="1"/>
  <c r="C32" i="9" s="1"/>
  <c r="C33" i="9" s="1"/>
  <c r="C34" i="9" s="1"/>
  <c r="C35" i="9" s="1"/>
  <c r="C36" i="9" s="1"/>
  <c r="C37" i="9" s="1"/>
  <c r="D9" i="9"/>
  <c r="D10" i="9" s="1"/>
  <c r="D11" i="9" s="1"/>
  <c r="D12" i="9" s="1"/>
  <c r="C26" i="7"/>
  <c r="D28" i="7"/>
  <c r="N43" i="7"/>
  <c r="M44" i="7"/>
  <c r="W4" i="9" l="1"/>
  <c r="T4" i="9"/>
  <c r="M5" i="9"/>
  <c r="M6" i="9" s="1"/>
  <c r="AI4" i="3"/>
  <c r="BG4" i="3" s="1"/>
  <c r="BG5" i="3"/>
  <c r="U4" i="9"/>
  <c r="Q5" i="9"/>
  <c r="T5" i="9" s="1"/>
  <c r="R4" i="9"/>
  <c r="L5" i="3"/>
  <c r="L6" i="9"/>
  <c r="L7" i="9" s="1"/>
  <c r="A254" i="9"/>
  <c r="C98" i="1"/>
  <c r="M100" i="1"/>
  <c r="D99" i="1"/>
  <c r="E10" i="9"/>
  <c r="E11" i="9" s="1"/>
  <c r="E12" i="9" s="1"/>
  <c r="E13" i="9" s="1"/>
  <c r="N9" i="9"/>
  <c r="N10" i="9" s="1"/>
  <c r="N11" i="9" s="1"/>
  <c r="N12" i="9" s="1"/>
  <c r="D13" i="9"/>
  <c r="D14" i="9" s="1"/>
  <c r="D15" i="9" s="1"/>
  <c r="D16" i="9" s="1"/>
  <c r="A34" i="9"/>
  <c r="B11" i="9"/>
  <c r="B12" i="9" s="1"/>
  <c r="B13" i="9" s="1"/>
  <c r="B14" i="9" s="1"/>
  <c r="O6" i="9"/>
  <c r="O7" i="9" s="1"/>
  <c r="O8" i="9" s="1"/>
  <c r="O9" i="9" s="1"/>
  <c r="P7" i="9"/>
  <c r="P8" i="9" s="1"/>
  <c r="P9" i="9" s="1"/>
  <c r="P10" i="9" s="1"/>
  <c r="P11" i="9" s="1"/>
  <c r="P12" i="9" s="1"/>
  <c r="P13" i="9" s="1"/>
  <c r="P14" i="9" s="1"/>
  <c r="P15" i="9" s="1"/>
  <c r="P16" i="9" s="1"/>
  <c r="P17" i="9" s="1"/>
  <c r="P18" i="9" s="1"/>
  <c r="P19" i="9" s="1"/>
  <c r="P20" i="9" s="1"/>
  <c r="P21" i="9" s="1"/>
  <c r="P22" i="9" s="1"/>
  <c r="P23" i="9" s="1"/>
  <c r="P24" i="9" s="1"/>
  <c r="P25" i="9" s="1"/>
  <c r="P26" i="9" s="1"/>
  <c r="P27" i="9" s="1"/>
  <c r="P28" i="9" s="1"/>
  <c r="P29" i="9" s="1"/>
  <c r="P30" i="9" s="1"/>
  <c r="P31" i="9" s="1"/>
  <c r="P32" i="9" s="1"/>
  <c r="P33" i="9" s="1"/>
  <c r="P34" i="9" s="1"/>
  <c r="P35" i="9" s="1"/>
  <c r="P36" i="9" s="1"/>
  <c r="P37" i="9" s="1"/>
  <c r="P38" i="9" s="1"/>
  <c r="P39" i="9" s="1"/>
  <c r="P40" i="9" s="1"/>
  <c r="P41" i="9" s="1"/>
  <c r="P42" i="9" s="1"/>
  <c r="P43" i="9" s="1"/>
  <c r="P44" i="9" s="1"/>
  <c r="P45" i="9" s="1"/>
  <c r="P46" i="9" s="1"/>
  <c r="P47" i="9" s="1"/>
  <c r="P48" i="9" s="1"/>
  <c r="P49" i="9" s="1"/>
  <c r="P50" i="9" s="1"/>
  <c r="P51" i="9" s="1"/>
  <c r="P52" i="9" s="1"/>
  <c r="P53" i="9" s="1"/>
  <c r="P54" i="9" s="1"/>
  <c r="P55" i="9" s="1"/>
  <c r="P56" i="9" s="1"/>
  <c r="P57" i="9" s="1"/>
  <c r="P58" i="9" s="1"/>
  <c r="P59" i="9" s="1"/>
  <c r="P60" i="9" s="1"/>
  <c r="P61" i="9" s="1"/>
  <c r="P62" i="9" s="1"/>
  <c r="P63" i="9" s="1"/>
  <c r="P64" i="9" s="1"/>
  <c r="P65" i="9" s="1"/>
  <c r="P66" i="9" s="1"/>
  <c r="P67" i="9" s="1"/>
  <c r="P68" i="9" s="1"/>
  <c r="P69" i="9" s="1"/>
  <c r="P70" i="9" s="1"/>
  <c r="P71" i="9" s="1"/>
  <c r="P72" i="9" s="1"/>
  <c r="P73" i="9" s="1"/>
  <c r="P74" i="9" s="1"/>
  <c r="P75" i="9" s="1"/>
  <c r="P76" i="9" s="1"/>
  <c r="P77" i="9" s="1"/>
  <c r="P78" i="9" s="1"/>
  <c r="P79" i="9" s="1"/>
  <c r="P80" i="9" s="1"/>
  <c r="P81" i="9" s="1"/>
  <c r="P82" i="9" s="1"/>
  <c r="P83" i="9" s="1"/>
  <c r="P84" i="9" s="1"/>
  <c r="P85" i="9" s="1"/>
  <c r="P86" i="9" s="1"/>
  <c r="P87" i="9" s="1"/>
  <c r="P88" i="9" s="1"/>
  <c r="P89" i="9" s="1"/>
  <c r="P90" i="9" s="1"/>
  <c r="P91" i="9" s="1"/>
  <c r="P92" i="9" s="1"/>
  <c r="P93" i="9" s="1"/>
  <c r="P94" i="9" s="1"/>
  <c r="P95" i="9" s="1"/>
  <c r="P96" i="9" s="1"/>
  <c r="P97" i="9" s="1"/>
  <c r="P98" i="9" s="1"/>
  <c r="P99" i="9" s="1"/>
  <c r="P100" i="9" s="1"/>
  <c r="P101" i="9" s="1"/>
  <c r="P102" i="9" s="1"/>
  <c r="P103" i="9" s="1"/>
  <c r="P104" i="9" s="1"/>
  <c r="P105" i="9" s="1"/>
  <c r="P106" i="9" s="1"/>
  <c r="P107" i="9" s="1"/>
  <c r="P108" i="9" s="1"/>
  <c r="P109" i="9" s="1"/>
  <c r="P110" i="9" s="1"/>
  <c r="P111" i="9" s="1"/>
  <c r="P112" i="9" s="1"/>
  <c r="P113" i="9" s="1"/>
  <c r="P114" i="9" s="1"/>
  <c r="P115" i="9" s="1"/>
  <c r="P116" i="9" s="1"/>
  <c r="P117" i="9" s="1"/>
  <c r="P118" i="9" s="1"/>
  <c r="P119" i="9" s="1"/>
  <c r="P120" i="9" s="1"/>
  <c r="P121" i="9" s="1"/>
  <c r="P122" i="9" s="1"/>
  <c r="P123" i="9" s="1"/>
  <c r="P124" i="9" s="1"/>
  <c r="P125" i="9" s="1"/>
  <c r="P126" i="9" s="1"/>
  <c r="P127" i="9" s="1"/>
  <c r="P128" i="9" s="1"/>
  <c r="P129" i="9" s="1"/>
  <c r="P130" i="9" s="1"/>
  <c r="P131" i="9" s="1"/>
  <c r="P132" i="9" s="1"/>
  <c r="P133" i="9" s="1"/>
  <c r="P134" i="9" s="1"/>
  <c r="P135" i="9" s="1"/>
  <c r="P136" i="9" s="1"/>
  <c r="P137" i="9" s="1"/>
  <c r="P138" i="9" s="1"/>
  <c r="P139" i="9" s="1"/>
  <c r="P140" i="9" s="1"/>
  <c r="P141" i="9" s="1"/>
  <c r="P142" i="9" s="1"/>
  <c r="P143" i="9" s="1"/>
  <c r="P144" i="9" s="1"/>
  <c r="P145" i="9" s="1"/>
  <c r="P146" i="9" s="1"/>
  <c r="P147" i="9" s="1"/>
  <c r="P148" i="9" s="1"/>
  <c r="P149" i="9" s="1"/>
  <c r="P150" i="9" s="1"/>
  <c r="P151" i="9" s="1"/>
  <c r="P152" i="9" s="1"/>
  <c r="P153" i="9" s="1"/>
  <c r="P154" i="9" s="1"/>
  <c r="P155" i="9" s="1"/>
  <c r="P156" i="9" s="1"/>
  <c r="P157" i="9" s="1"/>
  <c r="P158" i="9" s="1"/>
  <c r="P159" i="9" s="1"/>
  <c r="P160" i="9" s="1"/>
  <c r="P161" i="9" s="1"/>
  <c r="P162" i="9" s="1"/>
  <c r="P163" i="9" s="1"/>
  <c r="P164" i="9" s="1"/>
  <c r="P165" i="9" s="1"/>
  <c r="P166" i="9" s="1"/>
  <c r="P167" i="9" s="1"/>
  <c r="P168" i="9" s="1"/>
  <c r="P169" i="9" s="1"/>
  <c r="P170" i="9" s="1"/>
  <c r="P171" i="9" s="1"/>
  <c r="P172" i="9" s="1"/>
  <c r="P173" i="9" s="1"/>
  <c r="P174" i="9" s="1"/>
  <c r="P175" i="9" s="1"/>
  <c r="P176" i="9" s="1"/>
  <c r="P177" i="9" s="1"/>
  <c r="P178" i="9" s="1"/>
  <c r="P179" i="9" s="1"/>
  <c r="P180" i="9" s="1"/>
  <c r="P181" i="9" s="1"/>
  <c r="P182" i="9" s="1"/>
  <c r="P183" i="9" s="1"/>
  <c r="P184" i="9" s="1"/>
  <c r="P185" i="9" s="1"/>
  <c r="P186" i="9" s="1"/>
  <c r="P187" i="9" s="1"/>
  <c r="P188" i="9" s="1"/>
  <c r="P189" i="9" s="1"/>
  <c r="P190" i="9" s="1"/>
  <c r="P191" i="9" s="1"/>
  <c r="P192" i="9" s="1"/>
  <c r="P193" i="9" s="1"/>
  <c r="P194" i="9" s="1"/>
  <c r="N44" i="7"/>
  <c r="M45" i="7"/>
  <c r="C28" i="7"/>
  <c r="D29" i="7"/>
  <c r="X5" i="9" l="1"/>
  <c r="U5" i="9"/>
  <c r="W5" i="9"/>
  <c r="M7" i="9"/>
  <c r="X6" i="9"/>
  <c r="L4" i="3"/>
  <c r="AI3" i="3"/>
  <c r="O10" i="9"/>
  <c r="O11" i="9" s="1"/>
  <c r="O12" i="9" s="1"/>
  <c r="O13" i="9" s="1"/>
  <c r="Q6" i="9"/>
  <c r="T6" i="9" s="1"/>
  <c r="R5" i="9"/>
  <c r="L8" i="9"/>
  <c r="C99" i="1"/>
  <c r="A255" i="9"/>
  <c r="M101" i="1"/>
  <c r="D100" i="1"/>
  <c r="N13" i="9"/>
  <c r="N14" i="9" s="1"/>
  <c r="N15" i="9" s="1"/>
  <c r="N16" i="9" s="1"/>
  <c r="B15" i="9"/>
  <c r="B16" i="9" s="1"/>
  <c r="B17" i="9" s="1"/>
  <c r="B18" i="9" s="1"/>
  <c r="D17" i="9"/>
  <c r="D18" i="9" s="1"/>
  <c r="D19" i="9" s="1"/>
  <c r="D20" i="9" s="1"/>
  <c r="E14" i="9"/>
  <c r="E15" i="9" s="1"/>
  <c r="E16" i="9" s="1"/>
  <c r="E17" i="9" s="1"/>
  <c r="A33" i="9"/>
  <c r="M46" i="7"/>
  <c r="N45" i="7"/>
  <c r="C29" i="7"/>
  <c r="D30" i="7"/>
  <c r="BG3" i="3" l="1"/>
  <c r="M8" i="9"/>
  <c r="X7" i="9"/>
  <c r="U6" i="9"/>
  <c r="W6" i="9"/>
  <c r="L3" i="3"/>
  <c r="AI7" i="3"/>
  <c r="AI6" i="3" s="1"/>
  <c r="BG6" i="3" s="1"/>
  <c r="Q7" i="9"/>
  <c r="R6" i="9"/>
  <c r="L9" i="9"/>
  <c r="C100" i="1"/>
  <c r="A256" i="9"/>
  <c r="M102" i="1"/>
  <c r="D101" i="1"/>
  <c r="O14" i="9"/>
  <c r="O15" i="9" s="1"/>
  <c r="O16" i="9" s="1"/>
  <c r="O17" i="9" s="1"/>
  <c r="N17" i="9"/>
  <c r="N18" i="9" s="1"/>
  <c r="N19" i="9" s="1"/>
  <c r="N20" i="9" s="1"/>
  <c r="A32" i="9"/>
  <c r="D21" i="9"/>
  <c r="D22" i="9" s="1"/>
  <c r="D23" i="9" s="1"/>
  <c r="D24" i="9" s="1"/>
  <c r="E18" i="9"/>
  <c r="E19" i="9" s="1"/>
  <c r="E20" i="9" s="1"/>
  <c r="E21" i="9" s="1"/>
  <c r="B19" i="9"/>
  <c r="B20" i="9" s="1"/>
  <c r="B21" i="9" s="1"/>
  <c r="B22" i="9" s="1"/>
  <c r="C30" i="7"/>
  <c r="D31" i="7"/>
  <c r="M47" i="7"/>
  <c r="N46" i="7"/>
  <c r="W7" i="9" l="1"/>
  <c r="T7" i="9"/>
  <c r="M9" i="9"/>
  <c r="X8" i="9"/>
  <c r="L7" i="3"/>
  <c r="BG7" i="3"/>
  <c r="BG9" i="3" s="1"/>
  <c r="L6" i="3"/>
  <c r="AI9" i="3"/>
  <c r="L9" i="3" s="1"/>
  <c r="Q8" i="9"/>
  <c r="R7" i="9"/>
  <c r="U7" i="9"/>
  <c r="L10" i="9"/>
  <c r="M103" i="1"/>
  <c r="D102" i="1"/>
  <c r="C101" i="1"/>
  <c r="A257" i="9"/>
  <c r="O18" i="9"/>
  <c r="O19" i="9" s="1"/>
  <c r="O20" i="9" s="1"/>
  <c r="O21" i="9" s="1"/>
  <c r="B23" i="9"/>
  <c r="B24" i="9" s="1"/>
  <c r="B25" i="9" s="1"/>
  <c r="B26" i="9" s="1"/>
  <c r="N21" i="9"/>
  <c r="N22" i="9" s="1"/>
  <c r="N23" i="9" s="1"/>
  <c r="N24" i="9" s="1"/>
  <c r="D25" i="9"/>
  <c r="D26" i="9" s="1"/>
  <c r="D27" i="9" s="1"/>
  <c r="D28" i="9" s="1"/>
  <c r="E22" i="9"/>
  <c r="E23" i="9" s="1"/>
  <c r="E24" i="9" s="1"/>
  <c r="E25" i="9" s="1"/>
  <c r="A31" i="9"/>
  <c r="N47" i="7"/>
  <c r="M48" i="7"/>
  <c r="D32" i="7"/>
  <c r="C31" i="7"/>
  <c r="W8" i="9" l="1"/>
  <c r="T8" i="9"/>
  <c r="M10" i="9"/>
  <c r="X9" i="9"/>
  <c r="R8" i="9"/>
  <c r="Q9" i="9"/>
  <c r="U8" i="9"/>
  <c r="L11" i="9"/>
  <c r="C102" i="1"/>
  <c r="A258" i="9"/>
  <c r="M105" i="1"/>
  <c r="D105" i="1" s="1"/>
  <c r="M104" i="1"/>
  <c r="D103" i="1"/>
  <c r="E26" i="9"/>
  <c r="E27" i="9" s="1"/>
  <c r="E28" i="9" s="1"/>
  <c r="E29" i="9" s="1"/>
  <c r="A30" i="9"/>
  <c r="D29" i="9"/>
  <c r="D30" i="9" s="1"/>
  <c r="D31" i="9" s="1"/>
  <c r="D32" i="9" s="1"/>
  <c r="B27" i="9"/>
  <c r="B28" i="9" s="1"/>
  <c r="B29" i="9" s="1"/>
  <c r="B30" i="9" s="1"/>
  <c r="O22" i="9"/>
  <c r="O23" i="9" s="1"/>
  <c r="O24" i="9" s="1"/>
  <c r="O25" i="9" s="1"/>
  <c r="N25" i="9"/>
  <c r="N26" i="9" s="1"/>
  <c r="N27" i="9" s="1"/>
  <c r="N28" i="9" s="1"/>
  <c r="C32" i="7"/>
  <c r="D33" i="7"/>
  <c r="M49" i="7"/>
  <c r="N48" i="7"/>
  <c r="W9" i="9" l="1"/>
  <c r="T9" i="9"/>
  <c r="M11" i="9"/>
  <c r="X10" i="9"/>
  <c r="Q10" i="9"/>
  <c r="R9" i="9"/>
  <c r="U9" i="9"/>
  <c r="L12" i="9"/>
  <c r="A260" i="9"/>
  <c r="C105" i="1"/>
  <c r="C103" i="1"/>
  <c r="A259" i="9"/>
  <c r="N29" i="9"/>
  <c r="N30" i="9" s="1"/>
  <c r="N31" i="9" s="1"/>
  <c r="N32" i="9" s="1"/>
  <c r="O26" i="9"/>
  <c r="O27" i="9" s="1"/>
  <c r="O28" i="9" s="1"/>
  <c r="O29" i="9" s="1"/>
  <c r="D33" i="9"/>
  <c r="D34" i="9" s="1"/>
  <c r="D35" i="9" s="1"/>
  <c r="D36" i="9" s="1"/>
  <c r="B31" i="9"/>
  <c r="B32" i="9" s="1"/>
  <c r="B33" i="9" s="1"/>
  <c r="B34" i="9" s="1"/>
  <c r="A29" i="9"/>
  <c r="E30" i="9"/>
  <c r="E31" i="9" s="1"/>
  <c r="E32" i="9" s="1"/>
  <c r="E33" i="9" s="1"/>
  <c r="M50" i="7"/>
  <c r="N49" i="7"/>
  <c r="D34" i="7"/>
  <c r="C33" i="7"/>
  <c r="W10" i="9" l="1"/>
  <c r="T10" i="9"/>
  <c r="M12" i="9"/>
  <c r="X11" i="9"/>
  <c r="Q11" i="9"/>
  <c r="R10" i="9"/>
  <c r="U10" i="9"/>
  <c r="L13" i="9"/>
  <c r="N33" i="9"/>
  <c r="N34" i="9" s="1"/>
  <c r="N35" i="9" s="1"/>
  <c r="N36" i="9" s="1"/>
  <c r="O30" i="9"/>
  <c r="O31" i="9" s="1"/>
  <c r="O32" i="9" s="1"/>
  <c r="O33" i="9" s="1"/>
  <c r="D37" i="9"/>
  <c r="E34" i="9"/>
  <c r="E35" i="9" s="1"/>
  <c r="E36" i="9" s="1"/>
  <c r="E37" i="9" s="1"/>
  <c r="B35" i="9"/>
  <c r="B36" i="9" s="1"/>
  <c r="B37" i="9" s="1"/>
  <c r="A28" i="9"/>
  <c r="C34" i="7"/>
  <c r="D35" i="7"/>
  <c r="N50" i="7"/>
  <c r="M51" i="7"/>
  <c r="W11" i="9" l="1"/>
  <c r="T11" i="9"/>
  <c r="M13" i="9"/>
  <c r="X12" i="9"/>
  <c r="Q12" i="9"/>
  <c r="R11" i="9"/>
  <c r="U11" i="9"/>
  <c r="L14" i="9"/>
  <c r="N37" i="9"/>
  <c r="N38" i="9" s="1"/>
  <c r="N39" i="9" s="1"/>
  <c r="N40" i="9" s="1"/>
  <c r="N41" i="9" s="1"/>
  <c r="N42" i="9" s="1"/>
  <c r="N43" i="9" s="1"/>
  <c r="N44" i="9" s="1"/>
  <c r="N45" i="9" s="1"/>
  <c r="N46" i="9" s="1"/>
  <c r="N47" i="9" s="1"/>
  <c r="N48" i="9" s="1"/>
  <c r="N49" i="9" s="1"/>
  <c r="N50" i="9" s="1"/>
  <c r="N51" i="9" s="1"/>
  <c r="N52" i="9" s="1"/>
  <c r="N53" i="9" s="1"/>
  <c r="N54" i="9" s="1"/>
  <c r="N55" i="9" s="1"/>
  <c r="N56" i="9" s="1"/>
  <c r="N57" i="9" s="1"/>
  <c r="N58" i="9" s="1"/>
  <c r="N59" i="9" s="1"/>
  <c r="N60" i="9" s="1"/>
  <c r="N61" i="9" s="1"/>
  <c r="N62" i="9" s="1"/>
  <c r="N63" i="9" s="1"/>
  <c r="N64" i="9" s="1"/>
  <c r="N65" i="9" s="1"/>
  <c r="N66" i="9" s="1"/>
  <c r="N67" i="9" s="1"/>
  <c r="N68" i="9" s="1"/>
  <c r="N69" i="9" s="1"/>
  <c r="N70" i="9" s="1"/>
  <c r="N71" i="9" s="1"/>
  <c r="N72" i="9" s="1"/>
  <c r="N73" i="9" s="1"/>
  <c r="N74" i="9" s="1"/>
  <c r="N75" i="9" s="1"/>
  <c r="N76" i="9" s="1"/>
  <c r="N77" i="9" s="1"/>
  <c r="N78" i="9" s="1"/>
  <c r="N79" i="9" s="1"/>
  <c r="N80" i="9" s="1"/>
  <c r="N81" i="9" s="1"/>
  <c r="N82" i="9" s="1"/>
  <c r="N83" i="9" s="1"/>
  <c r="N84" i="9" s="1"/>
  <c r="N85" i="9" s="1"/>
  <c r="N86" i="9" s="1"/>
  <c r="N87" i="9" s="1"/>
  <c r="N88" i="9" s="1"/>
  <c r="N89" i="9" s="1"/>
  <c r="N90" i="9" s="1"/>
  <c r="N91" i="9" s="1"/>
  <c r="N92" i="9" s="1"/>
  <c r="N93" i="9" s="1"/>
  <c r="N94" i="9" s="1"/>
  <c r="N95" i="9" s="1"/>
  <c r="N96" i="9" s="1"/>
  <c r="N97" i="9" s="1"/>
  <c r="N98" i="9" s="1"/>
  <c r="N99" i="9" s="1"/>
  <c r="N100" i="9" s="1"/>
  <c r="N101" i="9" s="1"/>
  <c r="N102" i="9" s="1"/>
  <c r="N103" i="9" s="1"/>
  <c r="N104" i="9" s="1"/>
  <c r="N105" i="9" s="1"/>
  <c r="N106" i="9" s="1"/>
  <c r="N107" i="9" s="1"/>
  <c r="N108" i="9" s="1"/>
  <c r="N109" i="9" s="1"/>
  <c r="N110" i="9" s="1"/>
  <c r="N111" i="9" s="1"/>
  <c r="N112" i="9" s="1"/>
  <c r="N113" i="9" s="1"/>
  <c r="N114" i="9" s="1"/>
  <c r="N115" i="9" s="1"/>
  <c r="N116" i="9" s="1"/>
  <c r="N117" i="9" s="1"/>
  <c r="N118" i="9" s="1"/>
  <c r="N119" i="9" s="1"/>
  <c r="N120" i="9" s="1"/>
  <c r="N121" i="9" s="1"/>
  <c r="N122" i="9" s="1"/>
  <c r="N123" i="9" s="1"/>
  <c r="N124" i="9" s="1"/>
  <c r="N125" i="9" s="1"/>
  <c r="N126" i="9" s="1"/>
  <c r="N127" i="9" s="1"/>
  <c r="N128" i="9" s="1"/>
  <c r="N129" i="9" s="1"/>
  <c r="N130" i="9" s="1"/>
  <c r="N131" i="9" s="1"/>
  <c r="N132" i="9" s="1"/>
  <c r="N133" i="9" s="1"/>
  <c r="N134" i="9" s="1"/>
  <c r="N135" i="9" s="1"/>
  <c r="N136" i="9" s="1"/>
  <c r="N137" i="9" s="1"/>
  <c r="N138" i="9" s="1"/>
  <c r="N139" i="9" s="1"/>
  <c r="N140" i="9" s="1"/>
  <c r="N141" i="9" s="1"/>
  <c r="N142" i="9" s="1"/>
  <c r="N143" i="9" s="1"/>
  <c r="N144" i="9" s="1"/>
  <c r="N145" i="9" s="1"/>
  <c r="N146" i="9" s="1"/>
  <c r="N147" i="9" s="1"/>
  <c r="N148" i="9" s="1"/>
  <c r="N149" i="9" s="1"/>
  <c r="N150" i="9" s="1"/>
  <c r="N151" i="9" s="1"/>
  <c r="N152" i="9" s="1"/>
  <c r="N153" i="9" s="1"/>
  <c r="N154" i="9" s="1"/>
  <c r="N155" i="9" s="1"/>
  <c r="N156" i="9" s="1"/>
  <c r="N157" i="9" s="1"/>
  <c r="N158" i="9" s="1"/>
  <c r="N159" i="9" s="1"/>
  <c r="N160" i="9" s="1"/>
  <c r="N161" i="9" s="1"/>
  <c r="N162" i="9" s="1"/>
  <c r="N163" i="9" s="1"/>
  <c r="N164" i="9" s="1"/>
  <c r="N165" i="9" s="1"/>
  <c r="N166" i="9" s="1"/>
  <c r="N167" i="9" s="1"/>
  <c r="N168" i="9" s="1"/>
  <c r="N169" i="9" s="1"/>
  <c r="N170" i="9" s="1"/>
  <c r="N171" i="9" s="1"/>
  <c r="N172" i="9" s="1"/>
  <c r="N173" i="9" s="1"/>
  <c r="N174" i="9" s="1"/>
  <c r="N175" i="9" s="1"/>
  <c r="N176" i="9" s="1"/>
  <c r="N177" i="9" s="1"/>
  <c r="N178" i="9" s="1"/>
  <c r="N179" i="9" s="1"/>
  <c r="N180" i="9" s="1"/>
  <c r="N181" i="9" s="1"/>
  <c r="N182" i="9" s="1"/>
  <c r="N183" i="9" s="1"/>
  <c r="N184" i="9" s="1"/>
  <c r="N185" i="9" s="1"/>
  <c r="N186" i="9" s="1"/>
  <c r="N187" i="9" s="1"/>
  <c r="N188" i="9" s="1"/>
  <c r="N189" i="9" s="1"/>
  <c r="N190" i="9" s="1"/>
  <c r="N191" i="9" s="1"/>
  <c r="N192" i="9" s="1"/>
  <c r="N193" i="9" s="1"/>
  <c r="N194" i="9" s="1"/>
  <c r="O34" i="9"/>
  <c r="O35" i="9" s="1"/>
  <c r="O36" i="9" s="1"/>
  <c r="O37" i="9" s="1"/>
  <c r="O38" i="9" s="1"/>
  <c r="O39" i="9" s="1"/>
  <c r="O40" i="9" s="1"/>
  <c r="O41" i="9" s="1"/>
  <c r="O42" i="9" s="1"/>
  <c r="O43" i="9" s="1"/>
  <c r="O44" i="9" s="1"/>
  <c r="O45" i="9" s="1"/>
  <c r="O46" i="9" s="1"/>
  <c r="O47" i="9" s="1"/>
  <c r="O48" i="9" s="1"/>
  <c r="O49" i="9" s="1"/>
  <c r="O50" i="9" s="1"/>
  <c r="O51" i="9" s="1"/>
  <c r="O52" i="9" s="1"/>
  <c r="O53" i="9" s="1"/>
  <c r="O54" i="9" s="1"/>
  <c r="O55" i="9" s="1"/>
  <c r="O56" i="9" s="1"/>
  <c r="O57" i="9" s="1"/>
  <c r="O58" i="9" s="1"/>
  <c r="O59" i="9" s="1"/>
  <c r="O60" i="9" s="1"/>
  <c r="O61" i="9" s="1"/>
  <c r="O62" i="9" s="1"/>
  <c r="O63" i="9" s="1"/>
  <c r="O64" i="9" s="1"/>
  <c r="O65" i="9" s="1"/>
  <c r="O66" i="9" s="1"/>
  <c r="O67" i="9" s="1"/>
  <c r="O68" i="9" s="1"/>
  <c r="O69" i="9" s="1"/>
  <c r="O70" i="9" s="1"/>
  <c r="O71" i="9" s="1"/>
  <c r="O72" i="9" s="1"/>
  <c r="O73" i="9" s="1"/>
  <c r="O74" i="9" s="1"/>
  <c r="O75" i="9" s="1"/>
  <c r="O76" i="9" s="1"/>
  <c r="O77" i="9" s="1"/>
  <c r="O78" i="9" s="1"/>
  <c r="O79" i="9" s="1"/>
  <c r="O80" i="9" s="1"/>
  <c r="O81" i="9" s="1"/>
  <c r="O82" i="9" s="1"/>
  <c r="O83" i="9" s="1"/>
  <c r="O84" i="9" s="1"/>
  <c r="O85" i="9" s="1"/>
  <c r="O86" i="9" s="1"/>
  <c r="O87" i="9" s="1"/>
  <c r="O88" i="9" s="1"/>
  <c r="O89" i="9" s="1"/>
  <c r="O90" i="9" s="1"/>
  <c r="O91" i="9" s="1"/>
  <c r="O92" i="9" s="1"/>
  <c r="O93" i="9" s="1"/>
  <c r="O94" i="9" s="1"/>
  <c r="O95" i="9" s="1"/>
  <c r="O96" i="9" s="1"/>
  <c r="O97" i="9" s="1"/>
  <c r="O98" i="9" s="1"/>
  <c r="O99" i="9" s="1"/>
  <c r="O100" i="9" s="1"/>
  <c r="O101" i="9" s="1"/>
  <c r="O102" i="9" s="1"/>
  <c r="O103" i="9" s="1"/>
  <c r="O104" i="9" s="1"/>
  <c r="O105" i="9" s="1"/>
  <c r="O106" i="9" s="1"/>
  <c r="O107" i="9" s="1"/>
  <c r="O108" i="9" s="1"/>
  <c r="O109" i="9" s="1"/>
  <c r="O110" i="9" s="1"/>
  <c r="O111" i="9" s="1"/>
  <c r="O112" i="9" s="1"/>
  <c r="O113" i="9" s="1"/>
  <c r="O114" i="9" s="1"/>
  <c r="O115" i="9" s="1"/>
  <c r="O116" i="9" s="1"/>
  <c r="O117" i="9" s="1"/>
  <c r="O118" i="9" s="1"/>
  <c r="O119" i="9" s="1"/>
  <c r="O120" i="9" s="1"/>
  <c r="O121" i="9" s="1"/>
  <c r="O122" i="9" s="1"/>
  <c r="O123" i="9" s="1"/>
  <c r="O124" i="9" s="1"/>
  <c r="O125" i="9" s="1"/>
  <c r="O126" i="9" s="1"/>
  <c r="O127" i="9" s="1"/>
  <c r="O128" i="9" s="1"/>
  <c r="O129" i="9" s="1"/>
  <c r="O130" i="9" s="1"/>
  <c r="O131" i="9" s="1"/>
  <c r="O132" i="9" s="1"/>
  <c r="O133" i="9" s="1"/>
  <c r="O134" i="9" s="1"/>
  <c r="O135" i="9" s="1"/>
  <c r="O136" i="9" s="1"/>
  <c r="O137" i="9" s="1"/>
  <c r="O138" i="9" s="1"/>
  <c r="O139" i="9" s="1"/>
  <c r="O140" i="9" s="1"/>
  <c r="O141" i="9" s="1"/>
  <c r="O142" i="9" s="1"/>
  <c r="O143" i="9" s="1"/>
  <c r="O144" i="9" s="1"/>
  <c r="O145" i="9" s="1"/>
  <c r="O146" i="9" s="1"/>
  <c r="O147" i="9" s="1"/>
  <c r="O148" i="9" s="1"/>
  <c r="O149" i="9" s="1"/>
  <c r="O150" i="9" s="1"/>
  <c r="O151" i="9" s="1"/>
  <c r="O152" i="9" s="1"/>
  <c r="O153" i="9" s="1"/>
  <c r="O154" i="9" s="1"/>
  <c r="O155" i="9" s="1"/>
  <c r="O156" i="9" s="1"/>
  <c r="O157" i="9" s="1"/>
  <c r="O158" i="9" s="1"/>
  <c r="O159" i="9" s="1"/>
  <c r="O160" i="9" s="1"/>
  <c r="O161" i="9" s="1"/>
  <c r="O162" i="9" s="1"/>
  <c r="O163" i="9" s="1"/>
  <c r="O164" i="9" s="1"/>
  <c r="O165" i="9" s="1"/>
  <c r="O166" i="9" s="1"/>
  <c r="O167" i="9" s="1"/>
  <c r="O168" i="9" s="1"/>
  <c r="O169" i="9" s="1"/>
  <c r="O170" i="9" s="1"/>
  <c r="O171" i="9" s="1"/>
  <c r="O172" i="9" s="1"/>
  <c r="O173" i="9" s="1"/>
  <c r="O174" i="9" s="1"/>
  <c r="O175" i="9" s="1"/>
  <c r="O176" i="9" s="1"/>
  <c r="O177" i="9" s="1"/>
  <c r="O178" i="9" s="1"/>
  <c r="O179" i="9" s="1"/>
  <c r="O180" i="9" s="1"/>
  <c r="O181" i="9" s="1"/>
  <c r="O182" i="9" s="1"/>
  <c r="O183" i="9" s="1"/>
  <c r="O184" i="9" s="1"/>
  <c r="O185" i="9" s="1"/>
  <c r="O186" i="9" s="1"/>
  <c r="O187" i="9" s="1"/>
  <c r="O188" i="9" s="1"/>
  <c r="O189" i="9" s="1"/>
  <c r="O190" i="9" s="1"/>
  <c r="O191" i="9" s="1"/>
  <c r="O192" i="9" s="1"/>
  <c r="O193" i="9" s="1"/>
  <c r="O194" i="9" s="1"/>
  <c r="O195" i="9" s="1"/>
  <c r="O196" i="9" s="1"/>
  <c r="O197" i="9" s="1"/>
  <c r="O198" i="9" s="1"/>
  <c r="O199" i="9" s="1"/>
  <c r="O200" i="9" s="1"/>
  <c r="O201" i="9" s="1"/>
  <c r="O202" i="9" s="1"/>
  <c r="A27" i="9"/>
  <c r="N51" i="7"/>
  <c r="M52" i="7"/>
  <c r="C35" i="7"/>
  <c r="D36" i="7"/>
  <c r="W12" i="9" l="1"/>
  <c r="T12" i="9"/>
  <c r="M14" i="9"/>
  <c r="X13" i="9"/>
  <c r="Q13" i="9"/>
  <c r="R12" i="9"/>
  <c r="U12" i="9"/>
  <c r="L15" i="9"/>
  <c r="A26" i="9"/>
  <c r="M53" i="7"/>
  <c r="N52" i="7"/>
  <c r="C36" i="7"/>
  <c r="D37" i="7"/>
  <c r="W13" i="9" l="1"/>
  <c r="T13" i="9"/>
  <c r="M15" i="9"/>
  <c r="X14" i="9"/>
  <c r="Q14" i="9"/>
  <c r="R13" i="9"/>
  <c r="U13" i="9"/>
  <c r="L16" i="9"/>
  <c r="A25" i="9"/>
  <c r="D38" i="7"/>
  <c r="C37" i="7"/>
  <c r="M54" i="7"/>
  <c r="N53" i="7"/>
  <c r="W14" i="9" l="1"/>
  <c r="T14" i="9"/>
  <c r="M16" i="9"/>
  <c r="X15" i="9"/>
  <c r="Q15" i="9"/>
  <c r="R14" i="9"/>
  <c r="U14" i="9"/>
  <c r="L17" i="9"/>
  <c r="A24" i="9"/>
  <c r="C38" i="7"/>
  <c r="D39" i="7"/>
  <c r="N54" i="7"/>
  <c r="M55" i="7"/>
  <c r="W15" i="9" l="1"/>
  <c r="T15" i="9"/>
  <c r="M17" i="9"/>
  <c r="X16" i="9"/>
  <c r="Q16" i="9"/>
  <c r="R15" i="9"/>
  <c r="U15" i="9"/>
  <c r="L18" i="9"/>
  <c r="A23" i="9"/>
  <c r="N55" i="7"/>
  <c r="M56" i="7"/>
  <c r="D40" i="7"/>
  <c r="C39" i="7"/>
  <c r="W16" i="9" l="1"/>
  <c r="T16" i="9"/>
  <c r="M18" i="9"/>
  <c r="X17" i="9"/>
  <c r="Q17" i="9"/>
  <c r="R16" i="9"/>
  <c r="U16" i="9"/>
  <c r="L19" i="9"/>
  <c r="A22" i="9"/>
  <c r="D42" i="7"/>
  <c r="C40" i="7"/>
  <c r="M57" i="7"/>
  <c r="N56" i="7"/>
  <c r="W17" i="9" l="1"/>
  <c r="T17" i="9"/>
  <c r="M19" i="9"/>
  <c r="X18" i="9"/>
  <c r="Q18" i="9"/>
  <c r="R17" i="9"/>
  <c r="U17" i="9"/>
  <c r="L20" i="9"/>
  <c r="A21" i="9"/>
  <c r="M58" i="7"/>
  <c r="N57" i="7"/>
  <c r="D43" i="7"/>
  <c r="C42" i="7"/>
  <c r="W18" i="9" l="1"/>
  <c r="T18" i="9"/>
  <c r="M20" i="9"/>
  <c r="X19" i="9"/>
  <c r="Q19" i="9"/>
  <c r="R18" i="9"/>
  <c r="U18" i="9"/>
  <c r="L21" i="9"/>
  <c r="A20" i="9"/>
  <c r="D44" i="7"/>
  <c r="C43" i="7"/>
  <c r="N58" i="7"/>
  <c r="M59" i="7"/>
  <c r="W19" i="9" l="1"/>
  <c r="T19" i="9"/>
  <c r="M21" i="9"/>
  <c r="X20" i="9"/>
  <c r="Q20" i="9"/>
  <c r="R19" i="9"/>
  <c r="U19" i="9"/>
  <c r="L22" i="9"/>
  <c r="A19" i="9"/>
  <c r="N59" i="7"/>
  <c r="M60" i="7"/>
  <c r="C44" i="7"/>
  <c r="D45" i="7"/>
  <c r="W20" i="9" l="1"/>
  <c r="T20" i="9"/>
  <c r="M22" i="9"/>
  <c r="X21" i="9"/>
  <c r="Q21" i="9"/>
  <c r="R20" i="9"/>
  <c r="U20" i="9"/>
  <c r="L23" i="9"/>
  <c r="A18" i="9"/>
  <c r="M61" i="7"/>
  <c r="N60" i="7"/>
  <c r="C45" i="7"/>
  <c r="D46" i="7"/>
  <c r="W21" i="9" l="1"/>
  <c r="T21" i="9"/>
  <c r="M23" i="9"/>
  <c r="X22" i="9"/>
  <c r="Q22" i="9"/>
  <c r="R21" i="9"/>
  <c r="U21" i="9"/>
  <c r="L24" i="9"/>
  <c r="A17" i="9"/>
  <c r="D47" i="7"/>
  <c r="C46" i="7"/>
  <c r="M62" i="7"/>
  <c r="N61" i="7"/>
  <c r="W22" i="9" l="1"/>
  <c r="T22" i="9"/>
  <c r="M24" i="9"/>
  <c r="X23" i="9"/>
  <c r="Q23" i="9"/>
  <c r="R22" i="9"/>
  <c r="U22" i="9"/>
  <c r="L25" i="9"/>
  <c r="A16" i="9"/>
  <c r="N62" i="7"/>
  <c r="M63" i="7"/>
  <c r="D48" i="7"/>
  <c r="C47" i="7"/>
  <c r="W23" i="9" l="1"/>
  <c r="T23" i="9"/>
  <c r="M25" i="9"/>
  <c r="X24" i="9"/>
  <c r="Q24" i="9"/>
  <c r="R23" i="9"/>
  <c r="U23" i="9"/>
  <c r="L26" i="9"/>
  <c r="A15" i="9"/>
  <c r="D49" i="7"/>
  <c r="C48" i="7"/>
  <c r="N63" i="7"/>
  <c r="M64" i="7"/>
  <c r="W24" i="9" l="1"/>
  <c r="T24" i="9"/>
  <c r="M26" i="9"/>
  <c r="X25" i="9"/>
  <c r="Q25" i="9"/>
  <c r="R24" i="9"/>
  <c r="U24" i="9"/>
  <c r="L27" i="9"/>
  <c r="A14" i="9"/>
  <c r="M65" i="7"/>
  <c r="N64" i="7"/>
  <c r="C49" i="7"/>
  <c r="D50" i="7"/>
  <c r="W25" i="9" l="1"/>
  <c r="T25" i="9"/>
  <c r="M27" i="9"/>
  <c r="X26" i="9"/>
  <c r="Q26" i="9"/>
  <c r="R25" i="9"/>
  <c r="U25" i="9"/>
  <c r="L28" i="9"/>
  <c r="A13" i="9"/>
  <c r="D51" i="7"/>
  <c r="M66" i="7"/>
  <c r="N65" i="7"/>
  <c r="W26" i="9" l="1"/>
  <c r="T26" i="9"/>
  <c r="M28" i="9"/>
  <c r="X27" i="9"/>
  <c r="Q27" i="9"/>
  <c r="R26" i="9"/>
  <c r="U26" i="9"/>
  <c r="L29" i="9"/>
  <c r="A12" i="9"/>
  <c r="N66" i="7"/>
  <c r="M67" i="7"/>
  <c r="D52" i="7"/>
  <c r="C51" i="7"/>
  <c r="W27" i="9" l="1"/>
  <c r="T27" i="9"/>
  <c r="M29" i="9"/>
  <c r="X28" i="9"/>
  <c r="Q28" i="9"/>
  <c r="R27" i="9"/>
  <c r="U27" i="9"/>
  <c r="L30" i="9"/>
  <c r="A11" i="9"/>
  <c r="C52" i="7"/>
  <c r="D53" i="7"/>
  <c r="N67" i="7"/>
  <c r="M68" i="7"/>
  <c r="W28" i="9" l="1"/>
  <c r="T28" i="9"/>
  <c r="M30" i="9"/>
  <c r="X29" i="9"/>
  <c r="Q29" i="9"/>
  <c r="R28" i="9"/>
  <c r="U28" i="9"/>
  <c r="L31" i="9"/>
  <c r="A10" i="9"/>
  <c r="M69" i="7"/>
  <c r="N68" i="7"/>
  <c r="D54" i="7"/>
  <c r="C53" i="7"/>
  <c r="W29" i="9" l="1"/>
  <c r="T29" i="9"/>
  <c r="M31" i="9"/>
  <c r="X30" i="9"/>
  <c r="Q30" i="9"/>
  <c r="R29" i="9"/>
  <c r="U29" i="9"/>
  <c r="L32" i="9"/>
  <c r="A9" i="9"/>
  <c r="D55" i="7"/>
  <c r="C54" i="7"/>
  <c r="M70" i="7"/>
  <c r="N69" i="7"/>
  <c r="W30" i="9" l="1"/>
  <c r="T30" i="9"/>
  <c r="M32" i="9"/>
  <c r="X31" i="9"/>
  <c r="Q31" i="9"/>
  <c r="R30" i="9"/>
  <c r="U30" i="9"/>
  <c r="L33" i="9"/>
  <c r="A8" i="9"/>
  <c r="N70" i="7"/>
  <c r="M71" i="7"/>
  <c r="D56" i="7"/>
  <c r="C55" i="7"/>
  <c r="W31" i="9" l="1"/>
  <c r="T31" i="9"/>
  <c r="M33" i="9"/>
  <c r="X32" i="9"/>
  <c r="Q32" i="9"/>
  <c r="R31" i="9"/>
  <c r="U31" i="9"/>
  <c r="L34" i="9"/>
  <c r="A7" i="9"/>
  <c r="C56" i="7"/>
  <c r="D57" i="7"/>
  <c r="N71" i="7"/>
  <c r="M72" i="7"/>
  <c r="W32" i="9" l="1"/>
  <c r="T32" i="9"/>
  <c r="M34" i="9"/>
  <c r="X33" i="9"/>
  <c r="Q33" i="9"/>
  <c r="R32" i="9"/>
  <c r="U32" i="9"/>
  <c r="L35" i="9"/>
  <c r="A6" i="9"/>
  <c r="C57" i="7"/>
  <c r="D58" i="7"/>
  <c r="M73" i="7"/>
  <c r="N72" i="7"/>
  <c r="W33" i="9" l="1"/>
  <c r="T33" i="9"/>
  <c r="M35" i="9"/>
  <c r="X34" i="9"/>
  <c r="Q34" i="9"/>
  <c r="R33" i="9"/>
  <c r="U33" i="9"/>
  <c r="L36" i="9"/>
  <c r="A5" i="9"/>
  <c r="D59" i="7"/>
  <c r="C58" i="7"/>
  <c r="N73" i="7"/>
  <c r="W34" i="9" l="1"/>
  <c r="T34" i="9"/>
  <c r="M36" i="9"/>
  <c r="X35" i="9"/>
  <c r="Q35" i="9"/>
  <c r="R34" i="9"/>
  <c r="U34" i="9"/>
  <c r="L37" i="9"/>
  <c r="A4" i="9"/>
  <c r="D60" i="7"/>
  <c r="C59" i="7"/>
  <c r="W35" i="9" l="1"/>
  <c r="T35" i="9"/>
  <c r="M37" i="9"/>
  <c r="X36" i="9"/>
  <c r="Q36" i="9"/>
  <c r="R35" i="9"/>
  <c r="U35" i="9"/>
  <c r="L38" i="9"/>
  <c r="A3" i="9"/>
  <c r="D61" i="7"/>
  <c r="C60" i="7"/>
  <c r="W36" i="9" l="1"/>
  <c r="T36" i="9"/>
  <c r="M38" i="9"/>
  <c r="X37" i="9"/>
  <c r="Q37" i="9"/>
  <c r="R36" i="9"/>
  <c r="U36" i="9"/>
  <c r="L39" i="9"/>
  <c r="A2" i="9"/>
  <c r="C61" i="7"/>
  <c r="D62" i="7"/>
  <c r="W37" i="9" l="1"/>
  <c r="T37" i="9"/>
  <c r="M39" i="9"/>
  <c r="X38" i="9"/>
  <c r="Q38" i="9"/>
  <c r="R37" i="9"/>
  <c r="U37" i="9"/>
  <c r="L40" i="9"/>
  <c r="D63" i="7"/>
  <c r="C62" i="7"/>
  <c r="W38" i="9" l="1"/>
  <c r="T38" i="9"/>
  <c r="M40" i="9"/>
  <c r="X39" i="9"/>
  <c r="Q39" i="9"/>
  <c r="R38" i="9"/>
  <c r="U38" i="9"/>
  <c r="L41" i="9"/>
  <c r="D64" i="7"/>
  <c r="C63" i="7"/>
  <c r="W39" i="9" l="1"/>
  <c r="T39" i="9"/>
  <c r="M41" i="9"/>
  <c r="X40" i="9"/>
  <c r="Q40" i="9"/>
  <c r="R39" i="9"/>
  <c r="U39" i="9"/>
  <c r="L42" i="9"/>
  <c r="D65" i="7"/>
  <c r="C64" i="7"/>
  <c r="W40" i="9" l="1"/>
  <c r="T40" i="9"/>
  <c r="M42" i="9"/>
  <c r="X41" i="9"/>
  <c r="Q41" i="9"/>
  <c r="R40" i="9"/>
  <c r="U40" i="9"/>
  <c r="L43" i="9"/>
  <c r="C65" i="7"/>
  <c r="D66" i="7"/>
  <c r="W41" i="9" l="1"/>
  <c r="T41" i="9"/>
  <c r="M43" i="9"/>
  <c r="X42" i="9"/>
  <c r="Q42" i="9"/>
  <c r="R41" i="9"/>
  <c r="U41" i="9"/>
  <c r="L44" i="9"/>
  <c r="D67" i="7"/>
  <c r="C66" i="7"/>
  <c r="W42" i="9" l="1"/>
  <c r="T42" i="9"/>
  <c r="M44" i="9"/>
  <c r="X43" i="9"/>
  <c r="Q43" i="9"/>
  <c r="R42" i="9"/>
  <c r="U42" i="9"/>
  <c r="L45" i="9"/>
  <c r="D68" i="7"/>
  <c r="C67" i="7"/>
  <c r="W43" i="9" l="1"/>
  <c r="T43" i="9"/>
  <c r="M45" i="9"/>
  <c r="X44" i="9"/>
  <c r="Q44" i="9"/>
  <c r="R43" i="9"/>
  <c r="U43" i="9"/>
  <c r="L46" i="9"/>
  <c r="D69" i="7"/>
  <c r="C68" i="7"/>
  <c r="W44" i="9" l="1"/>
  <c r="T44" i="9"/>
  <c r="M46" i="9"/>
  <c r="X45" i="9"/>
  <c r="Q45" i="9"/>
  <c r="R44" i="9"/>
  <c r="U44" i="9"/>
  <c r="L47" i="9"/>
  <c r="D70" i="7"/>
  <c r="C69" i="7"/>
  <c r="W45" i="9" l="1"/>
  <c r="T45" i="9"/>
  <c r="M47" i="9"/>
  <c r="X46" i="9"/>
  <c r="Q46" i="9"/>
  <c r="R45" i="9"/>
  <c r="U45" i="9"/>
  <c r="L48" i="9"/>
  <c r="D71" i="7"/>
  <c r="C70" i="7"/>
  <c r="W46" i="9" l="1"/>
  <c r="T46" i="9"/>
  <c r="M48" i="9"/>
  <c r="X47" i="9"/>
  <c r="Q47" i="9"/>
  <c r="R46" i="9"/>
  <c r="U46" i="9"/>
  <c r="L49" i="9"/>
  <c r="D72" i="7"/>
  <c r="C71" i="7"/>
  <c r="W47" i="9" l="1"/>
  <c r="T47" i="9"/>
  <c r="M49" i="9"/>
  <c r="X48" i="9"/>
  <c r="Q48" i="9"/>
  <c r="R47" i="9"/>
  <c r="U47" i="9"/>
  <c r="L50" i="9"/>
  <c r="D73" i="7"/>
  <c r="C72" i="7"/>
  <c r="W48" i="9" l="1"/>
  <c r="T48" i="9"/>
  <c r="M50" i="9"/>
  <c r="X49" i="9"/>
  <c r="Q49" i="9"/>
  <c r="R48" i="9"/>
  <c r="U48" i="9"/>
  <c r="L51" i="9"/>
  <c r="E20" i="7"/>
  <c r="C73" i="7"/>
  <c r="W49" i="9" l="1"/>
  <c r="T49" i="9"/>
  <c r="M51" i="9"/>
  <c r="X50" i="9"/>
  <c r="Q50" i="9"/>
  <c r="R49" i="9"/>
  <c r="U49" i="9"/>
  <c r="L52" i="9"/>
  <c r="F17" i="7"/>
  <c r="H17" i="7"/>
  <c r="I17" i="7"/>
  <c r="K17" i="7"/>
  <c r="E17" i="7"/>
  <c r="J17" i="7"/>
  <c r="G17" i="7"/>
  <c r="W50" i="9" l="1"/>
  <c r="T50" i="9"/>
  <c r="M52" i="9"/>
  <c r="X51" i="9"/>
  <c r="Q51" i="9"/>
  <c r="R50" i="9"/>
  <c r="U50" i="9"/>
  <c r="L53" i="9"/>
  <c r="W51" i="9" l="1"/>
  <c r="T51" i="9"/>
  <c r="M53" i="9"/>
  <c r="X52" i="9"/>
  <c r="Q52" i="9"/>
  <c r="R51" i="9"/>
  <c r="U51" i="9"/>
  <c r="L54" i="9"/>
  <c r="C20" i="7"/>
  <c r="W52" i="9" l="1"/>
  <c r="T52" i="9"/>
  <c r="M54" i="9"/>
  <c r="X53" i="9"/>
  <c r="Q53" i="9"/>
  <c r="R52" i="9"/>
  <c r="U52" i="9"/>
  <c r="L55" i="9"/>
  <c r="W53" i="9" l="1"/>
  <c r="T53" i="9"/>
  <c r="M55" i="9"/>
  <c r="X54" i="9"/>
  <c r="Q54" i="9"/>
  <c r="R53" i="9"/>
  <c r="U53" i="9"/>
  <c r="L56" i="9"/>
  <c r="F1" i="2"/>
  <c r="G1" i="2"/>
  <c r="C1" i="2"/>
  <c r="D1" i="2"/>
  <c r="W54" i="9" l="1"/>
  <c r="T54" i="9"/>
  <c r="M56" i="9"/>
  <c r="X55" i="9"/>
  <c r="Q55" i="9"/>
  <c r="R54" i="9"/>
  <c r="U54" i="9"/>
  <c r="L57" i="9"/>
  <c r="E64" i="1"/>
  <c r="B226" i="9" s="1"/>
  <c r="G64" i="1"/>
  <c r="D226" i="9" s="1"/>
  <c r="I64" i="1"/>
  <c r="F226" i="9" s="1"/>
  <c r="J64" i="1"/>
  <c r="G226" i="9" s="1"/>
  <c r="W55" i="9" l="1"/>
  <c r="T55" i="9"/>
  <c r="M57" i="9"/>
  <c r="X56" i="9"/>
  <c r="Q56" i="9"/>
  <c r="R55" i="9"/>
  <c r="U55" i="9"/>
  <c r="L58" i="9"/>
  <c r="M61" i="1"/>
  <c r="M62" i="1" s="1"/>
  <c r="W56" i="9" l="1"/>
  <c r="T56" i="9"/>
  <c r="M58" i="9"/>
  <c r="X57" i="9"/>
  <c r="Q57" i="9"/>
  <c r="R56" i="9"/>
  <c r="U56" i="9"/>
  <c r="L59" i="9"/>
  <c r="M63" i="1"/>
  <c r="M64" i="1"/>
  <c r="M65" i="1" s="1"/>
  <c r="M66" i="1" s="1"/>
  <c r="M67" i="1" s="1"/>
  <c r="M68" i="1" s="1"/>
  <c r="J59" i="1"/>
  <c r="I59" i="1"/>
  <c r="H59" i="1"/>
  <c r="G59" i="1"/>
  <c r="F59" i="1"/>
  <c r="W57" i="9" l="1"/>
  <c r="T57" i="9"/>
  <c r="M59" i="9"/>
  <c r="X58" i="9"/>
  <c r="Q58" i="9"/>
  <c r="R57" i="9"/>
  <c r="U57" i="9"/>
  <c r="L60" i="9"/>
  <c r="D68" i="1"/>
  <c r="M69" i="1"/>
  <c r="M71" i="1" s="1"/>
  <c r="D66" i="1"/>
  <c r="A228" i="9" s="1"/>
  <c r="D65" i="1"/>
  <c r="D64" i="1"/>
  <c r="D62" i="1"/>
  <c r="D61" i="1"/>
  <c r="A224" i="9" s="1"/>
  <c r="D60" i="1"/>
  <c r="A223" i="9" s="1"/>
  <c r="E68" i="1"/>
  <c r="B229" i="9" s="1"/>
  <c r="F68" i="1"/>
  <c r="G68" i="1"/>
  <c r="D229" i="9" s="1"/>
  <c r="H68" i="1"/>
  <c r="I68" i="1"/>
  <c r="F229" i="9" s="1"/>
  <c r="J68" i="1"/>
  <c r="G229" i="9" s="1"/>
  <c r="E69" i="1"/>
  <c r="B230" i="9" s="1"/>
  <c r="F69" i="1"/>
  <c r="G69" i="1"/>
  <c r="D230" i="9" s="1"/>
  <c r="H69" i="1"/>
  <c r="I69" i="1"/>
  <c r="F230" i="9" s="1"/>
  <c r="J69" i="1"/>
  <c r="G230" i="9" s="1"/>
  <c r="D71" i="1"/>
  <c r="E71" i="1"/>
  <c r="B231" i="9" s="1"/>
  <c r="F71" i="1"/>
  <c r="G71" i="1"/>
  <c r="D231" i="9" s="1"/>
  <c r="H71" i="1"/>
  <c r="I71" i="1"/>
  <c r="F231" i="9" s="1"/>
  <c r="J71" i="1"/>
  <c r="G231" i="9" s="1"/>
  <c r="E72" i="1"/>
  <c r="B232" i="9" s="1"/>
  <c r="F72" i="1"/>
  <c r="G72" i="1"/>
  <c r="D232" i="9" s="1"/>
  <c r="H72" i="1"/>
  <c r="I72" i="1"/>
  <c r="F232" i="9" s="1"/>
  <c r="J72" i="1"/>
  <c r="G232" i="9" s="1"/>
  <c r="E74" i="1"/>
  <c r="B233" i="9" s="1"/>
  <c r="F74" i="1"/>
  <c r="C233" i="9" s="1"/>
  <c r="G74" i="1"/>
  <c r="D233" i="9" s="1"/>
  <c r="H74" i="1"/>
  <c r="I74" i="1"/>
  <c r="F233" i="9" s="1"/>
  <c r="J74" i="1"/>
  <c r="G233" i="9" s="1"/>
  <c r="E75" i="1"/>
  <c r="B234" i="9" s="1"/>
  <c r="F75" i="1"/>
  <c r="C234" i="9" s="1"/>
  <c r="G75" i="1"/>
  <c r="D234" i="9" s="1"/>
  <c r="H75" i="1"/>
  <c r="E234" i="9" s="1"/>
  <c r="I75" i="1"/>
  <c r="F234" i="9" s="1"/>
  <c r="J75" i="1"/>
  <c r="G234" i="9" s="1"/>
  <c r="E76" i="1"/>
  <c r="B235" i="9" s="1"/>
  <c r="F76" i="1"/>
  <c r="C235" i="9" s="1"/>
  <c r="G76" i="1"/>
  <c r="D235" i="9" s="1"/>
  <c r="H76" i="1"/>
  <c r="I76" i="1"/>
  <c r="F235" i="9" s="1"/>
  <c r="J76" i="1"/>
  <c r="G235" i="9" s="1"/>
  <c r="C60" i="1"/>
  <c r="E60" i="1"/>
  <c r="B223" i="9" s="1"/>
  <c r="F60" i="1"/>
  <c r="C223" i="9" s="1"/>
  <c r="G60" i="1"/>
  <c r="D223" i="9" s="1"/>
  <c r="H60" i="1"/>
  <c r="I60" i="1"/>
  <c r="F223" i="9" s="1"/>
  <c r="J60" i="1"/>
  <c r="G223" i="9" s="1"/>
  <c r="C61" i="1"/>
  <c r="E61" i="1"/>
  <c r="B224" i="9" s="1"/>
  <c r="F61" i="1"/>
  <c r="G61" i="1"/>
  <c r="D224" i="9" s="1"/>
  <c r="H61" i="1"/>
  <c r="E224" i="9" s="1"/>
  <c r="I61" i="1"/>
  <c r="F224" i="9" s="1"/>
  <c r="J61" i="1"/>
  <c r="G224" i="9" s="1"/>
  <c r="E62" i="1"/>
  <c r="B225" i="9" s="1"/>
  <c r="F62" i="1"/>
  <c r="G62" i="1"/>
  <c r="D225" i="9" s="1"/>
  <c r="H62" i="1"/>
  <c r="E225" i="9" s="1"/>
  <c r="I62" i="1"/>
  <c r="F225" i="9" s="1"/>
  <c r="J62" i="1"/>
  <c r="G225" i="9" s="1"/>
  <c r="F64" i="1"/>
  <c r="H64" i="1"/>
  <c r="E65" i="1"/>
  <c r="B227" i="9" s="1"/>
  <c r="F65" i="1"/>
  <c r="G65" i="1"/>
  <c r="D227" i="9" s="1"/>
  <c r="H65" i="1"/>
  <c r="I65" i="1"/>
  <c r="F227" i="9" s="1"/>
  <c r="J65" i="1"/>
  <c r="G227" i="9" s="1"/>
  <c r="E66" i="1"/>
  <c r="B228" i="9" s="1"/>
  <c r="F66" i="1"/>
  <c r="G66" i="1"/>
  <c r="D228" i="9" s="1"/>
  <c r="H66" i="1"/>
  <c r="E228" i="9" s="1"/>
  <c r="I66" i="1"/>
  <c r="F228" i="9" s="1"/>
  <c r="J66" i="1"/>
  <c r="G228" i="9" s="1"/>
  <c r="W58" i="9" l="1"/>
  <c r="T58" i="9"/>
  <c r="M60" i="9"/>
  <c r="X59" i="9"/>
  <c r="Q59" i="9"/>
  <c r="R58" i="9"/>
  <c r="U58" i="9"/>
  <c r="C66" i="1"/>
  <c r="L61" i="9"/>
  <c r="D69" i="1"/>
  <c r="A230" i="9" s="1"/>
  <c r="M72" i="1"/>
  <c r="M70" i="1"/>
  <c r="A227" i="9"/>
  <c r="C65" i="1"/>
  <c r="C62" i="1"/>
  <c r="A225" i="9"/>
  <c r="A226" i="9"/>
  <c r="C64" i="1"/>
  <c r="C71" i="1"/>
  <c r="A231" i="9"/>
  <c r="A229" i="9"/>
  <c r="C69" i="1"/>
  <c r="M54" i="1"/>
  <c r="M55" i="1" s="1"/>
  <c r="M56" i="1" s="1"/>
  <c r="M57" i="1" s="1"/>
  <c r="M58" i="1" s="1"/>
  <c r="W59" i="9" l="1"/>
  <c r="T59" i="9"/>
  <c r="M61" i="9"/>
  <c r="X60" i="9"/>
  <c r="Q60" i="9"/>
  <c r="R59" i="9"/>
  <c r="U59" i="9"/>
  <c r="L62" i="9"/>
  <c r="M74" i="1"/>
  <c r="M75" i="1" s="1"/>
  <c r="D72" i="1"/>
  <c r="M59" i="1"/>
  <c r="D58" i="1"/>
  <c r="A222" i="9" s="1"/>
  <c r="C90" i="6"/>
  <c r="C89" i="6"/>
  <c r="C88" i="6"/>
  <c r="C87" i="6"/>
  <c r="C86" i="6"/>
  <c r="C85" i="6"/>
  <c r="C84" i="6"/>
  <c r="C82" i="6"/>
  <c r="C81" i="6"/>
  <c r="C80" i="6"/>
  <c r="C79" i="6"/>
  <c r="C78" i="6"/>
  <c r="C77" i="6"/>
  <c r="C76" i="6"/>
  <c r="C75" i="6"/>
  <c r="C74" i="6"/>
  <c r="C73" i="6"/>
  <c r="C72" i="6"/>
  <c r="C71" i="6"/>
  <c r="C70" i="6"/>
  <c r="C69" i="6"/>
  <c r="C68" i="6"/>
  <c r="C67" i="6"/>
  <c r="C66" i="6"/>
  <c r="C65"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4" i="6"/>
  <c r="C33" i="6"/>
  <c r="C32" i="6"/>
  <c r="C31" i="6"/>
  <c r="C30" i="6"/>
  <c r="C29" i="6"/>
  <c r="C27" i="6"/>
  <c r="I20" i="6"/>
  <c r="E20" i="6"/>
  <c r="C26" i="6"/>
  <c r="C25" i="6"/>
  <c r="U20" i="6"/>
  <c r="O13" i="6" s="1"/>
  <c r="AQ2" i="3" s="1"/>
  <c r="T20" i="6"/>
  <c r="O10" i="6" s="1"/>
  <c r="AQ3" i="3" s="1"/>
  <c r="R20" i="6"/>
  <c r="O11" i="6" s="1"/>
  <c r="AQ5" i="3" s="1"/>
  <c r="O20" i="6"/>
  <c r="O12" i="6" s="1"/>
  <c r="AQ4" i="3" s="1"/>
  <c r="J20" i="6"/>
  <c r="H20" i="6"/>
  <c r="G20" i="6"/>
  <c r="F20" i="6"/>
  <c r="C8" i="6"/>
  <c r="W60" i="9" l="1"/>
  <c r="T60" i="9"/>
  <c r="M62" i="9"/>
  <c r="X61" i="9"/>
  <c r="Q61" i="9"/>
  <c r="R60" i="9"/>
  <c r="U60" i="9"/>
  <c r="L63" i="9"/>
  <c r="A232" i="9"/>
  <c r="C72" i="1"/>
  <c r="M76" i="1"/>
  <c r="D75" i="1"/>
  <c r="O9" i="6"/>
  <c r="Q20" i="6" s="1"/>
  <c r="H17" i="6"/>
  <c r="I17" i="6"/>
  <c r="C20" i="6"/>
  <c r="F17" i="6"/>
  <c r="G17" i="6"/>
  <c r="J17" i="6"/>
  <c r="E17" i="6"/>
  <c r="W61" i="9" l="1"/>
  <c r="T61" i="9"/>
  <c r="M63" i="9"/>
  <c r="X62" i="9"/>
  <c r="Q62" i="9"/>
  <c r="R61" i="9"/>
  <c r="U61" i="9"/>
  <c r="L64" i="9"/>
  <c r="A234" i="9"/>
  <c r="C75" i="1"/>
  <c r="M77" i="1"/>
  <c r="M78" i="1" s="1"/>
  <c r="M79" i="1" s="1"/>
  <c r="M80" i="1" s="1"/>
  <c r="M81" i="1" s="1"/>
  <c r="M82" i="1" s="1"/>
  <c r="D76" i="1"/>
  <c r="O8" i="6"/>
  <c r="AQ7" i="3" s="1"/>
  <c r="D12" i="6"/>
  <c r="E12" i="6" s="1"/>
  <c r="T7" i="3" s="1"/>
  <c r="D10" i="6"/>
  <c r="E10" i="6" s="1"/>
  <c r="T5" i="3" s="1"/>
  <c r="D8" i="6"/>
  <c r="E8" i="6" s="1"/>
  <c r="D11" i="6"/>
  <c r="E11" i="6" s="1"/>
  <c r="D9" i="6"/>
  <c r="E9" i="6" s="1"/>
  <c r="T4" i="3" s="1"/>
  <c r="D13" i="6"/>
  <c r="E13" i="6" s="1"/>
  <c r="T6" i="3" s="1"/>
  <c r="O16" i="6"/>
  <c r="W62" i="9" l="1"/>
  <c r="T62" i="9"/>
  <c r="M64" i="9"/>
  <c r="X63" i="9"/>
  <c r="Q63" i="9"/>
  <c r="R62" i="9"/>
  <c r="U62" i="9"/>
  <c r="AQ6" i="3"/>
  <c r="L65" i="9"/>
  <c r="S20" i="6"/>
  <c r="F22" i="3"/>
  <c r="F23" i="3"/>
  <c r="F21" i="3"/>
  <c r="F24" i="3"/>
  <c r="BC6" i="3"/>
  <c r="A235" i="9"/>
  <c r="C76" i="1"/>
  <c r="BC5" i="3"/>
  <c r="M83" i="1"/>
  <c r="M84" i="1" s="1"/>
  <c r="D82" i="1"/>
  <c r="A240" i="9" s="1"/>
  <c r="BC7" i="3"/>
  <c r="BC4" i="3"/>
  <c r="F8" i="6"/>
  <c r="G8" i="6" s="1"/>
  <c r="T2" i="3"/>
  <c r="F11" i="6"/>
  <c r="G11" i="6" s="1"/>
  <c r="C11" i="6"/>
  <c r="C10" i="6"/>
  <c r="F10" i="6"/>
  <c r="G10" i="6" s="1"/>
  <c r="F13" i="6"/>
  <c r="G13" i="6" s="1"/>
  <c r="C13" i="6"/>
  <c r="F9" i="6"/>
  <c r="G9" i="6" s="1"/>
  <c r="C9" i="6"/>
  <c r="C12" i="6"/>
  <c r="F12" i="6"/>
  <c r="G12" i="6" s="1"/>
  <c r="W63" i="9" l="1"/>
  <c r="T63" i="9"/>
  <c r="M65" i="9"/>
  <c r="X64" i="9"/>
  <c r="Q64" i="9"/>
  <c r="R63" i="9"/>
  <c r="U63" i="9"/>
  <c r="L66" i="9"/>
  <c r="F19" i="3"/>
  <c r="BC2" i="3"/>
  <c r="J45" i="1"/>
  <c r="G212" i="9" s="1"/>
  <c r="I45" i="1"/>
  <c r="F212" i="9" s="1"/>
  <c r="H45" i="1"/>
  <c r="G45" i="1"/>
  <c r="D212" i="9" s="1"/>
  <c r="F45" i="1"/>
  <c r="E45" i="1"/>
  <c r="B212" i="9" s="1"/>
  <c r="W64" i="9" l="1"/>
  <c r="T64" i="9"/>
  <c r="M66" i="9"/>
  <c r="X65" i="9"/>
  <c r="Q65" i="9"/>
  <c r="R64" i="9"/>
  <c r="U64" i="9"/>
  <c r="L67" i="9"/>
  <c r="E43" i="1"/>
  <c r="B211" i="9" s="1"/>
  <c r="F43" i="1"/>
  <c r="G43" i="1"/>
  <c r="D211" i="9" s="1"/>
  <c r="H43" i="1"/>
  <c r="I43" i="1"/>
  <c r="F211" i="9" s="1"/>
  <c r="J43" i="1"/>
  <c r="G211" i="9" s="1"/>
  <c r="W65" i="9" l="1"/>
  <c r="T65" i="9"/>
  <c r="M67" i="9"/>
  <c r="X66" i="9"/>
  <c r="Q66" i="9"/>
  <c r="R65" i="9"/>
  <c r="U65" i="9"/>
  <c r="L68" i="9"/>
  <c r="E46" i="1"/>
  <c r="B213" i="9" s="1"/>
  <c r="F46" i="1"/>
  <c r="G46" i="1"/>
  <c r="D213" i="9" s="1"/>
  <c r="H46" i="1"/>
  <c r="I46" i="1"/>
  <c r="F213" i="9" s="1"/>
  <c r="J46" i="1"/>
  <c r="G213" i="9" s="1"/>
  <c r="E47" i="1"/>
  <c r="B214" i="9" s="1"/>
  <c r="F47" i="1"/>
  <c r="G47" i="1"/>
  <c r="D214" i="9" s="1"/>
  <c r="H47" i="1"/>
  <c r="E214" i="9" s="1"/>
  <c r="I47" i="1"/>
  <c r="F214" i="9" s="1"/>
  <c r="J47" i="1"/>
  <c r="G214" i="9" s="1"/>
  <c r="W66" i="9" l="1"/>
  <c r="T66" i="9"/>
  <c r="M68" i="9"/>
  <c r="X67" i="9"/>
  <c r="Q67" i="9"/>
  <c r="R66" i="9"/>
  <c r="U66" i="9"/>
  <c r="L69" i="9"/>
  <c r="H1" i="2"/>
  <c r="W67" i="9" l="1"/>
  <c r="T67" i="9"/>
  <c r="M69" i="9"/>
  <c r="X68" i="9"/>
  <c r="Q68" i="9"/>
  <c r="R67" i="9"/>
  <c r="U67" i="9"/>
  <c r="L70" i="9"/>
  <c r="C9" i="1"/>
  <c r="C10" i="1"/>
  <c r="C11" i="1"/>
  <c r="C12" i="1"/>
  <c r="C13" i="1"/>
  <c r="W68" i="9" l="1"/>
  <c r="T68" i="9"/>
  <c r="M70" i="9"/>
  <c r="X69" i="9"/>
  <c r="Q69" i="9"/>
  <c r="R68" i="9"/>
  <c r="U68" i="9"/>
  <c r="L71" i="9"/>
  <c r="F36" i="1"/>
  <c r="C204" i="9" s="1"/>
  <c r="W69" i="9" l="1"/>
  <c r="T69" i="9"/>
  <c r="M71" i="9"/>
  <c r="X70" i="9"/>
  <c r="Q70" i="9"/>
  <c r="R69" i="9"/>
  <c r="U69" i="9"/>
  <c r="L72" i="9"/>
  <c r="M32" i="1"/>
  <c r="M33" i="1" s="1"/>
  <c r="M34" i="1" s="1"/>
  <c r="M35" i="1" s="1"/>
  <c r="M36" i="1" s="1"/>
  <c r="M37" i="1" s="1"/>
  <c r="M38" i="1" s="1"/>
  <c r="M39" i="1" s="1"/>
  <c r="S31" i="1"/>
  <c r="S20" i="1" s="1"/>
  <c r="O31" i="1"/>
  <c r="O20" i="1" s="1"/>
  <c r="W70" i="9" l="1"/>
  <c r="T70" i="9"/>
  <c r="M72" i="9"/>
  <c r="X71" i="9"/>
  <c r="Q71" i="9"/>
  <c r="R70" i="9"/>
  <c r="U70" i="9"/>
  <c r="L73" i="9"/>
  <c r="O10" i="1"/>
  <c r="AS3" i="3"/>
  <c r="AS4" i="3"/>
  <c r="O12" i="1"/>
  <c r="O8" i="1" s="1"/>
  <c r="M40" i="1"/>
  <c r="M41" i="1" s="1"/>
  <c r="M42" i="1" s="1"/>
  <c r="M43" i="1" s="1"/>
  <c r="M44" i="1" s="1"/>
  <c r="M45" i="1" s="1"/>
  <c r="M46" i="1" s="1"/>
  <c r="I30" i="1"/>
  <c r="F200" i="9" s="1"/>
  <c r="E30" i="1"/>
  <c r="B200" i="9" s="1"/>
  <c r="W71" i="9" l="1"/>
  <c r="T71" i="9"/>
  <c r="M73" i="9"/>
  <c r="X72" i="9"/>
  <c r="Q72" i="9"/>
  <c r="R71" i="9"/>
  <c r="U71" i="9"/>
  <c r="L74" i="9"/>
  <c r="O9" i="1"/>
  <c r="P20" i="1" s="1"/>
  <c r="AS6" i="3" s="1"/>
  <c r="R20" i="1"/>
  <c r="AS7" i="3" s="1"/>
  <c r="D45" i="1"/>
  <c r="C45" i="1" s="1"/>
  <c r="M47" i="1"/>
  <c r="D46" i="1"/>
  <c r="AL1" i="2"/>
  <c r="X2" i="2"/>
  <c r="A2" i="2"/>
  <c r="F29" i="1"/>
  <c r="E29" i="1"/>
  <c r="B199" i="9" s="1"/>
  <c r="G29" i="1"/>
  <c r="D199" i="9" s="1"/>
  <c r="H29" i="1"/>
  <c r="I29" i="1"/>
  <c r="F199" i="9" s="1"/>
  <c r="J29" i="1"/>
  <c r="G199" i="9" s="1"/>
  <c r="W72" i="9" l="1"/>
  <c r="T72" i="9"/>
  <c r="M74" i="9"/>
  <c r="X73" i="9"/>
  <c r="Q73" i="9"/>
  <c r="R72" i="9"/>
  <c r="U72" i="9"/>
  <c r="L75" i="9"/>
  <c r="O16" i="1"/>
  <c r="W16" i="1" s="1"/>
  <c r="A212" i="9"/>
  <c r="C46" i="1"/>
  <c r="A213" i="9"/>
  <c r="M49" i="1"/>
  <c r="D47" i="1"/>
  <c r="A1" i="4"/>
  <c r="P2" i="2"/>
  <c r="W73" i="9" l="1"/>
  <c r="T73" i="9"/>
  <c r="M75" i="9"/>
  <c r="X74" i="9"/>
  <c r="Q74" i="9"/>
  <c r="R73" i="9"/>
  <c r="U73" i="9"/>
  <c r="L76" i="9"/>
  <c r="M50" i="1"/>
  <c r="C47" i="1"/>
  <c r="A214" i="9"/>
  <c r="E26" i="1"/>
  <c r="B196" i="9" s="1"/>
  <c r="G26" i="1"/>
  <c r="D196" i="9" s="1"/>
  <c r="I26" i="1"/>
  <c r="F196" i="9" s="1"/>
  <c r="W74" i="9" l="1"/>
  <c r="T74" i="9"/>
  <c r="M76" i="9"/>
  <c r="X75" i="9"/>
  <c r="Q75" i="9"/>
  <c r="R74" i="9"/>
  <c r="U74" i="9"/>
  <c r="L77" i="9"/>
  <c r="M51" i="1"/>
  <c r="M25" i="1"/>
  <c r="M76" i="5"/>
  <c r="C76" i="5" s="1"/>
  <c r="C75" i="5"/>
  <c r="M71" i="5"/>
  <c r="M72" i="5" s="1"/>
  <c r="M73" i="5" s="1"/>
  <c r="C70" i="5"/>
  <c r="M69" i="5"/>
  <c r="C69" i="5" s="1"/>
  <c r="C68" i="5"/>
  <c r="M65" i="5"/>
  <c r="C65" i="5" s="1"/>
  <c r="M64" i="5"/>
  <c r="M66" i="5" s="1"/>
  <c r="M67" i="5" s="1"/>
  <c r="C63" i="5"/>
  <c r="M59" i="5"/>
  <c r="M60" i="5" s="1"/>
  <c r="M50" i="5"/>
  <c r="M51" i="5" s="1"/>
  <c r="C49" i="5"/>
  <c r="C48" i="5"/>
  <c r="C47" i="5"/>
  <c r="M36" i="5"/>
  <c r="M37" i="5" s="1"/>
  <c r="C35" i="5"/>
  <c r="C34" i="5"/>
  <c r="M28" i="5"/>
  <c r="M29" i="5" s="1"/>
  <c r="C27" i="5"/>
  <c r="C26" i="5"/>
  <c r="T20" i="5"/>
  <c r="AR2" i="3" s="1"/>
  <c r="AZ2" i="3" s="1"/>
  <c r="S20" i="5"/>
  <c r="AR3" i="3" s="1"/>
  <c r="AZ3" i="3" s="1"/>
  <c r="Q20" i="5"/>
  <c r="O11" i="5" s="1"/>
  <c r="O20" i="5"/>
  <c r="AR4" i="3" s="1"/>
  <c r="AZ4" i="3" s="1"/>
  <c r="O13" i="5"/>
  <c r="C8" i="5"/>
  <c r="W75" i="9" l="1"/>
  <c r="T75" i="9"/>
  <c r="Q2" i="3"/>
  <c r="Q3" i="3"/>
  <c r="Q4" i="3"/>
  <c r="M77" i="9"/>
  <c r="X76" i="9"/>
  <c r="Q76" i="9"/>
  <c r="R75" i="9"/>
  <c r="U75" i="9"/>
  <c r="L78" i="9"/>
  <c r="O12" i="5"/>
  <c r="M52" i="1"/>
  <c r="J20" i="5"/>
  <c r="U2" i="3" s="1"/>
  <c r="H20" i="5"/>
  <c r="U7" i="3" s="1"/>
  <c r="O10" i="5"/>
  <c r="E20" i="5"/>
  <c r="U4" i="3" s="1"/>
  <c r="I20" i="5"/>
  <c r="U3" i="3" s="1"/>
  <c r="F20" i="5"/>
  <c r="U6" i="3" s="1"/>
  <c r="C28" i="5"/>
  <c r="M26" i="1"/>
  <c r="M27" i="1" s="1"/>
  <c r="M28" i="1" s="1"/>
  <c r="M29" i="1" s="1"/>
  <c r="M30" i="5"/>
  <c r="M31" i="5" s="1"/>
  <c r="M32" i="5" s="1"/>
  <c r="C29" i="5"/>
  <c r="AR5" i="3"/>
  <c r="AZ5" i="3" s="1"/>
  <c r="C50" i="5"/>
  <c r="C71" i="5"/>
  <c r="G20" i="5"/>
  <c r="C59" i="5"/>
  <c r="M38" i="5"/>
  <c r="C37" i="5"/>
  <c r="M74" i="5"/>
  <c r="C74" i="5" s="1"/>
  <c r="C73" i="5"/>
  <c r="M52" i="5"/>
  <c r="C51" i="5"/>
  <c r="M61" i="5"/>
  <c r="C60" i="5"/>
  <c r="C36" i="5"/>
  <c r="C66" i="5"/>
  <c r="C72" i="5"/>
  <c r="W76" i="9" l="1"/>
  <c r="T76" i="9"/>
  <c r="Q5" i="3"/>
  <c r="E5" i="4" s="1"/>
  <c r="M78" i="9"/>
  <c r="X77" i="9"/>
  <c r="Q77" i="9"/>
  <c r="R76" i="9"/>
  <c r="U76" i="9"/>
  <c r="E2" i="4"/>
  <c r="L79" i="9"/>
  <c r="O9" i="5"/>
  <c r="P20" i="5" s="1"/>
  <c r="AR6" i="3" s="1"/>
  <c r="AZ6" i="3" s="1"/>
  <c r="H23" i="3"/>
  <c r="H24" i="3"/>
  <c r="H19" i="3"/>
  <c r="H21" i="3"/>
  <c r="C31" i="5"/>
  <c r="H17" i="5"/>
  <c r="C30" i="5"/>
  <c r="I17" i="5"/>
  <c r="J17" i="5"/>
  <c r="D29" i="1"/>
  <c r="M30" i="1"/>
  <c r="G17" i="5"/>
  <c r="U5" i="3"/>
  <c r="E17" i="5"/>
  <c r="O8" i="5"/>
  <c r="R20" i="5" s="1"/>
  <c r="AR7" i="3" s="1"/>
  <c r="AZ7" i="3" s="1"/>
  <c r="F17" i="5"/>
  <c r="M53" i="5"/>
  <c r="C52" i="5"/>
  <c r="M62" i="5"/>
  <c r="C62" i="5" s="1"/>
  <c r="C61" i="5"/>
  <c r="M33" i="5"/>
  <c r="C33" i="5" s="1"/>
  <c r="C32" i="5"/>
  <c r="O16" i="5"/>
  <c r="T5" i="5" s="1"/>
  <c r="M39" i="5"/>
  <c r="C38" i="5"/>
  <c r="W77" i="9" l="1"/>
  <c r="T77" i="9"/>
  <c r="Q6" i="3"/>
  <c r="U10" i="3"/>
  <c r="Q7" i="3"/>
  <c r="U9" i="3"/>
  <c r="M79" i="9"/>
  <c r="X78" i="9"/>
  <c r="Q78" i="9"/>
  <c r="R77" i="9"/>
  <c r="U77" i="9"/>
  <c r="AR9" i="3"/>
  <c r="L80" i="9"/>
  <c r="H22" i="3"/>
  <c r="C29" i="1"/>
  <c r="A199" i="9"/>
  <c r="D8" i="5"/>
  <c r="E8" i="5" s="1"/>
  <c r="D10" i="5"/>
  <c r="E10" i="5" s="1"/>
  <c r="D13" i="5"/>
  <c r="E13" i="5" s="1"/>
  <c r="D11" i="5"/>
  <c r="E11" i="5" s="1"/>
  <c r="D12" i="5"/>
  <c r="E12" i="5" s="1"/>
  <c r="D9" i="5"/>
  <c r="E9" i="5" s="1"/>
  <c r="T3" i="3" s="1"/>
  <c r="C39" i="5"/>
  <c r="M40" i="5"/>
  <c r="M54" i="5"/>
  <c r="C53" i="5"/>
  <c r="B3" i="4"/>
  <c r="B4" i="4"/>
  <c r="J1" i="2"/>
  <c r="E1" i="2"/>
  <c r="K1" i="2" s="1"/>
  <c r="L1" i="2"/>
  <c r="M1" i="2"/>
  <c r="N1" i="2"/>
  <c r="I1" i="2"/>
  <c r="W78" i="9" l="1"/>
  <c r="T78" i="9"/>
  <c r="AZ9" i="3"/>
  <c r="T10" i="3"/>
  <c r="M80" i="9"/>
  <c r="X79" i="9"/>
  <c r="T9" i="3"/>
  <c r="H9" i="3" s="1"/>
  <c r="Q79" i="9"/>
  <c r="R78" i="9"/>
  <c r="U78" i="9"/>
  <c r="L81" i="9"/>
  <c r="F20" i="3"/>
  <c r="H20" i="3" s="1"/>
  <c r="BC3" i="3"/>
  <c r="BC9" i="3" s="1"/>
  <c r="C12" i="5"/>
  <c r="C9" i="5"/>
  <c r="C11" i="5"/>
  <c r="J2" i="2"/>
  <c r="L2" i="2"/>
  <c r="N2" i="2"/>
  <c r="M2" i="2"/>
  <c r="I2" i="2"/>
  <c r="K2" i="2"/>
  <c r="C10" i="5"/>
  <c r="C13" i="5"/>
  <c r="M55" i="5"/>
  <c r="C54" i="5"/>
  <c r="M41" i="5"/>
  <c r="C40" i="5"/>
  <c r="R1" i="2"/>
  <c r="U1" i="2"/>
  <c r="T1" i="2"/>
  <c r="Q1" i="2"/>
  <c r="S1" i="2"/>
  <c r="W79" i="9" l="1"/>
  <c r="T79" i="9"/>
  <c r="M81" i="9"/>
  <c r="X80" i="9"/>
  <c r="Q80" i="9"/>
  <c r="R79" i="9"/>
  <c r="U79" i="9"/>
  <c r="L82" i="9"/>
  <c r="Z1" i="2"/>
  <c r="AG1" i="2" s="1"/>
  <c r="AC1" i="2"/>
  <c r="AJ1" i="2" s="1"/>
  <c r="AA1" i="2"/>
  <c r="AH1" i="2" s="1"/>
  <c r="Y1" i="2"/>
  <c r="AD1" i="2"/>
  <c r="AK1" i="2" s="1"/>
  <c r="AB1" i="2"/>
  <c r="AI1" i="2" s="1"/>
  <c r="M42" i="5"/>
  <c r="C41" i="5"/>
  <c r="C55" i="5"/>
  <c r="M56" i="5"/>
  <c r="W80" i="9" l="1"/>
  <c r="T80" i="9"/>
  <c r="M82" i="9"/>
  <c r="X81" i="9"/>
  <c r="Q81" i="9"/>
  <c r="R80" i="9"/>
  <c r="U80" i="9"/>
  <c r="L83" i="9"/>
  <c r="AL2" i="2"/>
  <c r="AK2" i="2"/>
  <c r="AJ2" i="2"/>
  <c r="AI2" i="2"/>
  <c r="AH2" i="2"/>
  <c r="AG2" i="2"/>
  <c r="AF1" i="2"/>
  <c r="AF2" i="2" s="1"/>
  <c r="M57" i="5"/>
  <c r="C58" i="5" s="1"/>
  <c r="C56" i="5"/>
  <c r="M43" i="5"/>
  <c r="C42" i="5"/>
  <c r="W81" i="9" l="1"/>
  <c r="T81" i="9"/>
  <c r="M83" i="9"/>
  <c r="X82" i="9"/>
  <c r="Q82" i="9"/>
  <c r="R81" i="9"/>
  <c r="U81" i="9"/>
  <c r="L84" i="9"/>
  <c r="M44" i="5"/>
  <c r="C43" i="5"/>
  <c r="W82" i="9" l="1"/>
  <c r="T82" i="9"/>
  <c r="M84" i="9"/>
  <c r="X83" i="9"/>
  <c r="Q83" i="9"/>
  <c r="R82" i="9"/>
  <c r="U82" i="9"/>
  <c r="L85" i="9"/>
  <c r="M45" i="5"/>
  <c r="C44" i="5"/>
  <c r="C20" i="5" s="1"/>
  <c r="AF2" i="3" s="1"/>
  <c r="W83" i="9" l="1"/>
  <c r="T83" i="9"/>
  <c r="M85" i="9"/>
  <c r="X84" i="9"/>
  <c r="Q84" i="9"/>
  <c r="R83" i="9"/>
  <c r="U83" i="9"/>
  <c r="L86" i="9"/>
  <c r="I2" i="3"/>
  <c r="F11" i="5"/>
  <c r="G11" i="5" s="1"/>
  <c r="F12" i="5"/>
  <c r="G12" i="5" s="1"/>
  <c r="F13" i="5"/>
  <c r="G13" i="5" s="1"/>
  <c r="F8" i="5"/>
  <c r="G8" i="5" s="1"/>
  <c r="F9" i="5"/>
  <c r="G9" i="5" s="1"/>
  <c r="F10" i="5"/>
  <c r="G10" i="5" s="1"/>
  <c r="B2" i="4"/>
  <c r="B7" i="4"/>
  <c r="B6" i="4"/>
  <c r="B1" i="4"/>
  <c r="D1" i="4"/>
  <c r="W84" i="9" l="1"/>
  <c r="T84" i="9"/>
  <c r="M86" i="9"/>
  <c r="X85" i="9"/>
  <c r="Q85" i="9"/>
  <c r="R84" i="9"/>
  <c r="U84" i="9"/>
  <c r="L87" i="9"/>
  <c r="D52" i="1"/>
  <c r="F34" i="1"/>
  <c r="W85" i="9" l="1"/>
  <c r="T85" i="9"/>
  <c r="M87" i="9"/>
  <c r="X86" i="9"/>
  <c r="Q86" i="9"/>
  <c r="R85" i="9"/>
  <c r="U85" i="9"/>
  <c r="L88" i="9"/>
  <c r="C52" i="1"/>
  <c r="A217" i="9"/>
  <c r="J41" i="1"/>
  <c r="G209" i="9" s="1"/>
  <c r="W86" i="9" l="1"/>
  <c r="T86" i="9"/>
  <c r="M88" i="9"/>
  <c r="X87" i="9"/>
  <c r="Q87" i="9"/>
  <c r="R86" i="9"/>
  <c r="U86" i="9"/>
  <c r="L89" i="9"/>
  <c r="D43" i="1"/>
  <c r="A211" i="9" s="1"/>
  <c r="W87" i="9" l="1"/>
  <c r="T87" i="9"/>
  <c r="M89" i="9"/>
  <c r="X88" i="9"/>
  <c r="Q88" i="9"/>
  <c r="R87" i="9"/>
  <c r="U87" i="9"/>
  <c r="L90" i="9"/>
  <c r="AP9" i="3"/>
  <c r="W88" i="9" l="1"/>
  <c r="T88" i="9"/>
  <c r="M90" i="9"/>
  <c r="X89" i="9"/>
  <c r="Q89" i="9"/>
  <c r="R88" i="9"/>
  <c r="U88" i="9"/>
  <c r="L91" i="9"/>
  <c r="AQ9" i="3"/>
  <c r="W89" i="9" l="1"/>
  <c r="T89" i="9"/>
  <c r="M91" i="9"/>
  <c r="X90" i="9"/>
  <c r="Q90" i="9"/>
  <c r="R89" i="9"/>
  <c r="U89" i="9"/>
  <c r="L92" i="9"/>
  <c r="AC2" i="3"/>
  <c r="W90" i="9" l="1"/>
  <c r="T90" i="9"/>
  <c r="M92" i="9"/>
  <c r="X91" i="9"/>
  <c r="Q91" i="9"/>
  <c r="R90" i="9"/>
  <c r="U90" i="9"/>
  <c r="BA2" i="3"/>
  <c r="BA9" i="3" s="1"/>
  <c r="AC9" i="3"/>
  <c r="F9" i="3" s="1"/>
  <c r="L93" i="9"/>
  <c r="AO9" i="3"/>
  <c r="C8" i="3"/>
  <c r="W91" i="9" l="1"/>
  <c r="T91" i="9"/>
  <c r="M93" i="9"/>
  <c r="X92" i="9"/>
  <c r="Q92" i="9"/>
  <c r="R91" i="9"/>
  <c r="U91" i="9"/>
  <c r="L94" i="9"/>
  <c r="F7" i="3"/>
  <c r="Q8" i="3"/>
  <c r="Q9" i="3" s="1"/>
  <c r="W92" i="9" l="1"/>
  <c r="T92" i="9"/>
  <c r="M94" i="9"/>
  <c r="X93" i="9"/>
  <c r="Q93" i="9"/>
  <c r="R92" i="9"/>
  <c r="U92" i="9"/>
  <c r="L95" i="9"/>
  <c r="F2" i="3"/>
  <c r="F4" i="3"/>
  <c r="F3" i="3"/>
  <c r="D28" i="1"/>
  <c r="A198" i="9" s="1"/>
  <c r="W93" i="9" l="1"/>
  <c r="T93" i="9"/>
  <c r="M95" i="9"/>
  <c r="X94" i="9"/>
  <c r="Q94" i="9"/>
  <c r="R93" i="9"/>
  <c r="U93" i="9"/>
  <c r="L96" i="9"/>
  <c r="F5" i="3"/>
  <c r="F6" i="3"/>
  <c r="W94" i="9" l="1"/>
  <c r="T94" i="9"/>
  <c r="M96" i="9"/>
  <c r="X95" i="9"/>
  <c r="Q95" i="9"/>
  <c r="R94" i="9"/>
  <c r="U94" i="9"/>
  <c r="L97" i="9"/>
  <c r="B3" i="2"/>
  <c r="F26" i="1"/>
  <c r="H26" i="1"/>
  <c r="J26" i="1"/>
  <c r="G196" i="9" s="1"/>
  <c r="C8" i="1"/>
  <c r="W95" i="9" l="1"/>
  <c r="T95" i="9"/>
  <c r="M97" i="9"/>
  <c r="X96" i="9"/>
  <c r="Q96" i="9"/>
  <c r="R95" i="9"/>
  <c r="U95" i="9"/>
  <c r="L98" i="9"/>
  <c r="P3" i="2"/>
  <c r="A3" i="2"/>
  <c r="AK3" i="2" s="1"/>
  <c r="X3" i="2"/>
  <c r="B4" i="2"/>
  <c r="W96" i="9" l="1"/>
  <c r="T96" i="9"/>
  <c r="M98" i="9"/>
  <c r="X97" i="9"/>
  <c r="Q97" i="9"/>
  <c r="R96" i="9"/>
  <c r="U96" i="9"/>
  <c r="L99" i="9"/>
  <c r="P4" i="2"/>
  <c r="AI3" i="2"/>
  <c r="AG3" i="2"/>
  <c r="L3" i="2"/>
  <c r="AJ3" i="2"/>
  <c r="M3" i="2"/>
  <c r="N3" i="2"/>
  <c r="AL3" i="2"/>
  <c r="AF3" i="2"/>
  <c r="J3" i="2"/>
  <c r="AH3" i="2"/>
  <c r="K3" i="2"/>
  <c r="I3" i="2"/>
  <c r="A4" i="2"/>
  <c r="AG4" i="2" s="1"/>
  <c r="X4" i="2"/>
  <c r="B5" i="2"/>
  <c r="W97" i="9" l="1"/>
  <c r="T97" i="9"/>
  <c r="M99" i="9"/>
  <c r="X98" i="9"/>
  <c r="Q98" i="9"/>
  <c r="R97" i="9"/>
  <c r="U97" i="9"/>
  <c r="L100" i="9"/>
  <c r="P5" i="2"/>
  <c r="AJ4" i="2"/>
  <c r="J4" i="2"/>
  <c r="AL4" i="2"/>
  <c r="K4" i="2"/>
  <c r="M4" i="2"/>
  <c r="AH4" i="2"/>
  <c r="I4" i="2"/>
  <c r="AF4" i="2"/>
  <c r="AK4" i="2"/>
  <c r="A5" i="2"/>
  <c r="AH5" i="2" s="1"/>
  <c r="X5" i="2"/>
  <c r="N4" i="2"/>
  <c r="L4" i="2"/>
  <c r="AI4" i="2"/>
  <c r="B6" i="2"/>
  <c r="W98" i="9" l="1"/>
  <c r="T98" i="9"/>
  <c r="M100" i="9"/>
  <c r="X99" i="9"/>
  <c r="Q99" i="9"/>
  <c r="R98" i="9"/>
  <c r="U98" i="9"/>
  <c r="L101" i="9"/>
  <c r="P6" i="2"/>
  <c r="M5" i="2"/>
  <c r="AJ5" i="2"/>
  <c r="L5" i="2"/>
  <c r="N5" i="2"/>
  <c r="AG5" i="2"/>
  <c r="AI5" i="2"/>
  <c r="K5" i="2"/>
  <c r="I5" i="2"/>
  <c r="AF5" i="2"/>
  <c r="J5" i="2"/>
  <c r="AK5" i="2"/>
  <c r="AL5" i="2"/>
  <c r="A6" i="2"/>
  <c r="AG6" i="2" s="1"/>
  <c r="X6" i="2"/>
  <c r="B7" i="2"/>
  <c r="W99" i="9" l="1"/>
  <c r="T99" i="9"/>
  <c r="M101" i="9"/>
  <c r="X100" i="9"/>
  <c r="Q100" i="9"/>
  <c r="R99" i="9"/>
  <c r="U99" i="9"/>
  <c r="L102" i="9"/>
  <c r="P7" i="2"/>
  <c r="M6" i="2"/>
  <c r="K6" i="2"/>
  <c r="AF6" i="2"/>
  <c r="N6" i="2"/>
  <c r="AH6" i="2"/>
  <c r="I6" i="2"/>
  <c r="AJ6" i="2"/>
  <c r="AL6" i="2"/>
  <c r="AK6" i="2"/>
  <c r="AI6" i="2"/>
  <c r="A7" i="2"/>
  <c r="X7" i="2"/>
  <c r="L6" i="2"/>
  <c r="J6" i="2"/>
  <c r="B8" i="2"/>
  <c r="W100" i="9" l="1"/>
  <c r="T100" i="9"/>
  <c r="M102" i="9"/>
  <c r="X101" i="9"/>
  <c r="Q101" i="9"/>
  <c r="R100" i="9"/>
  <c r="U100" i="9"/>
  <c r="L103" i="9"/>
  <c r="P8" i="2"/>
  <c r="M7" i="2"/>
  <c r="K7" i="2"/>
  <c r="N7" i="2"/>
  <c r="I7" i="2"/>
  <c r="A8" i="2"/>
  <c r="X8" i="2"/>
  <c r="L7" i="2"/>
  <c r="J7" i="2"/>
  <c r="B9" i="2"/>
  <c r="W101" i="9" l="1"/>
  <c r="T101" i="9"/>
  <c r="M103" i="9"/>
  <c r="X102" i="9"/>
  <c r="Q102" i="9"/>
  <c r="R101" i="9"/>
  <c r="U101" i="9"/>
  <c r="L104" i="9"/>
  <c r="P9" i="2"/>
  <c r="K8" i="2"/>
  <c r="M8" i="2"/>
  <c r="I8" i="2"/>
  <c r="A9" i="2"/>
  <c r="X9" i="2"/>
  <c r="J8" i="2"/>
  <c r="N8" i="2"/>
  <c r="L8" i="2"/>
  <c r="B10" i="2"/>
  <c r="W102" i="9" l="1"/>
  <c r="T102" i="9"/>
  <c r="M104" i="9"/>
  <c r="X103" i="9"/>
  <c r="Q103" i="9"/>
  <c r="R102" i="9"/>
  <c r="U102" i="9"/>
  <c r="L105" i="9"/>
  <c r="B11" i="2"/>
  <c r="P10" i="2"/>
  <c r="K9" i="2"/>
  <c r="N9" i="2"/>
  <c r="A10" i="2"/>
  <c r="X10" i="2"/>
  <c r="I9" i="2"/>
  <c r="B12" i="2"/>
  <c r="W103" i="9" l="1"/>
  <c r="T103" i="9"/>
  <c r="M105" i="9"/>
  <c r="X104" i="9"/>
  <c r="Q104" i="9"/>
  <c r="R103" i="9"/>
  <c r="U103" i="9"/>
  <c r="L106" i="9"/>
  <c r="X11" i="2"/>
  <c r="A11" i="2"/>
  <c r="AI11" i="2" s="1"/>
  <c r="P12" i="2"/>
  <c r="P11" i="2"/>
  <c r="N10" i="2"/>
  <c r="K10" i="2"/>
  <c r="M10" i="2"/>
  <c r="B13" i="2"/>
  <c r="P13" i="2" s="1"/>
  <c r="A12" i="2"/>
  <c r="X12" i="2"/>
  <c r="L10" i="2"/>
  <c r="J10" i="2"/>
  <c r="I10" i="2"/>
  <c r="W104" i="9" l="1"/>
  <c r="T104" i="9"/>
  <c r="M106" i="9"/>
  <c r="X105" i="9"/>
  <c r="Q105" i="9"/>
  <c r="R104" i="9"/>
  <c r="U104" i="9"/>
  <c r="L107" i="9"/>
  <c r="I11" i="2"/>
  <c r="J11" i="2"/>
  <c r="AL11" i="2"/>
  <c r="AG11" i="2"/>
  <c r="AJ11" i="2"/>
  <c r="AF11" i="2"/>
  <c r="M11" i="2"/>
  <c r="N11" i="2"/>
  <c r="K11" i="2"/>
  <c r="AH11" i="2"/>
  <c r="L11" i="2"/>
  <c r="AK11" i="2"/>
  <c r="I12" i="2"/>
  <c r="X13" i="2"/>
  <c r="A13" i="2"/>
  <c r="M12" i="2"/>
  <c r="N12" i="2"/>
  <c r="K12" i="2"/>
  <c r="L12" i="2"/>
  <c r="J12" i="2"/>
  <c r="B14" i="2"/>
  <c r="W105" i="9" l="1"/>
  <c r="T105" i="9"/>
  <c r="M107" i="9"/>
  <c r="X106" i="9"/>
  <c r="Q106" i="9"/>
  <c r="R105" i="9"/>
  <c r="U105" i="9"/>
  <c r="L108" i="9"/>
  <c r="P14" i="2"/>
  <c r="J13" i="2"/>
  <c r="N13" i="2"/>
  <c r="AF13" i="2"/>
  <c r="AJ13" i="2"/>
  <c r="L13" i="2"/>
  <c r="AH13" i="2"/>
  <c r="K13" i="2"/>
  <c r="AG13" i="2"/>
  <c r="AK13" i="2"/>
  <c r="AL13" i="2"/>
  <c r="I13" i="2"/>
  <c r="M13" i="2"/>
  <c r="AI13" i="2"/>
  <c r="A14" i="2"/>
  <c r="X14" i="2"/>
  <c r="B15" i="2"/>
  <c r="W106" i="9" l="1"/>
  <c r="T106" i="9"/>
  <c r="M108" i="9"/>
  <c r="X107" i="9"/>
  <c r="Q107" i="9"/>
  <c r="R106" i="9"/>
  <c r="U106" i="9"/>
  <c r="L109" i="9"/>
  <c r="P15" i="2"/>
  <c r="K14" i="2"/>
  <c r="B16" i="2"/>
  <c r="A15" i="2"/>
  <c r="M14" i="2"/>
  <c r="N14" i="2"/>
  <c r="X15" i="2"/>
  <c r="J14" i="2"/>
  <c r="L14" i="2"/>
  <c r="I14" i="2"/>
  <c r="W107" i="9" l="1"/>
  <c r="T107" i="9"/>
  <c r="M109" i="9"/>
  <c r="X108" i="9"/>
  <c r="Q108" i="9"/>
  <c r="R107" i="9"/>
  <c r="U107" i="9"/>
  <c r="L110" i="9"/>
  <c r="P16" i="2"/>
  <c r="N15" i="2"/>
  <c r="B17" i="2"/>
  <c r="A16" i="2"/>
  <c r="K15" i="2"/>
  <c r="M15" i="2"/>
  <c r="L15" i="2"/>
  <c r="J15" i="2"/>
  <c r="I15" i="2"/>
  <c r="W108" i="9" l="1"/>
  <c r="T108" i="9"/>
  <c r="M110" i="9"/>
  <c r="X109" i="9"/>
  <c r="Q109" i="9"/>
  <c r="R108" i="9"/>
  <c r="U108" i="9"/>
  <c r="L111" i="9"/>
  <c r="P17" i="2"/>
  <c r="B18" i="2"/>
  <c r="A17" i="2"/>
  <c r="E27" i="1"/>
  <c r="B197" i="9" s="1"/>
  <c r="F27" i="1"/>
  <c r="G27" i="1"/>
  <c r="D197" i="9" s="1"/>
  <c r="H27" i="1"/>
  <c r="I27" i="1"/>
  <c r="F197" i="9" s="1"/>
  <c r="J27" i="1"/>
  <c r="G197" i="9" s="1"/>
  <c r="E28" i="1"/>
  <c r="B198" i="9" s="1"/>
  <c r="F28" i="1"/>
  <c r="G28" i="1"/>
  <c r="D198" i="9" s="1"/>
  <c r="H28" i="1"/>
  <c r="I28" i="1"/>
  <c r="F198" i="9" s="1"/>
  <c r="J28" i="1"/>
  <c r="G198" i="9" s="1"/>
  <c r="F30" i="1"/>
  <c r="G30" i="1"/>
  <c r="D200" i="9" s="1"/>
  <c r="H30" i="1"/>
  <c r="J30" i="1"/>
  <c r="G200" i="9" s="1"/>
  <c r="E32" i="1"/>
  <c r="B201" i="9" s="1"/>
  <c r="F32" i="1"/>
  <c r="G32" i="1"/>
  <c r="D201" i="9" s="1"/>
  <c r="H32" i="1"/>
  <c r="I32" i="1"/>
  <c r="F201" i="9" s="1"/>
  <c r="J32" i="1"/>
  <c r="G201" i="9" s="1"/>
  <c r="E34" i="1"/>
  <c r="B202" i="9" s="1"/>
  <c r="G34" i="1"/>
  <c r="D202" i="9" s="1"/>
  <c r="H34" i="1"/>
  <c r="I34" i="1"/>
  <c r="F202" i="9" s="1"/>
  <c r="J34" i="1"/>
  <c r="G202" i="9" s="1"/>
  <c r="E35" i="1"/>
  <c r="B203" i="9" s="1"/>
  <c r="F35" i="1"/>
  <c r="G35" i="1"/>
  <c r="D203" i="9" s="1"/>
  <c r="H35" i="1"/>
  <c r="E203" i="9" s="1"/>
  <c r="O203" i="9" s="1"/>
  <c r="I35" i="1"/>
  <c r="F203" i="9" s="1"/>
  <c r="J35" i="1"/>
  <c r="G203" i="9" s="1"/>
  <c r="E36" i="1"/>
  <c r="B204" i="9" s="1"/>
  <c r="G36" i="1"/>
  <c r="D204" i="9" s="1"/>
  <c r="H36" i="1"/>
  <c r="E204" i="9" s="1"/>
  <c r="I36" i="1"/>
  <c r="F204" i="9" s="1"/>
  <c r="J36" i="1"/>
  <c r="G204" i="9" s="1"/>
  <c r="E37" i="1"/>
  <c r="B205" i="9" s="1"/>
  <c r="F37" i="1"/>
  <c r="G37" i="1"/>
  <c r="D205" i="9" s="1"/>
  <c r="H37" i="1"/>
  <c r="E205" i="9" s="1"/>
  <c r="I37" i="1"/>
  <c r="F205" i="9" s="1"/>
  <c r="J37" i="1"/>
  <c r="G205" i="9" s="1"/>
  <c r="F38" i="1"/>
  <c r="G38" i="1"/>
  <c r="D206" i="9" s="1"/>
  <c r="H38" i="1"/>
  <c r="I38" i="1"/>
  <c r="F206" i="9" s="1"/>
  <c r="J38" i="1"/>
  <c r="G206" i="9" s="1"/>
  <c r="E39" i="1"/>
  <c r="B207" i="9" s="1"/>
  <c r="F39" i="1"/>
  <c r="G39" i="1"/>
  <c r="D207" i="9" s="1"/>
  <c r="H39" i="1"/>
  <c r="E207" i="9" s="1"/>
  <c r="I39" i="1"/>
  <c r="F207" i="9" s="1"/>
  <c r="J39" i="1"/>
  <c r="G207" i="9" s="1"/>
  <c r="E40" i="1"/>
  <c r="B208" i="9" s="1"/>
  <c r="F40" i="1"/>
  <c r="G40" i="1"/>
  <c r="D208" i="9" s="1"/>
  <c r="H40" i="1"/>
  <c r="E208" i="9" s="1"/>
  <c r="I40" i="1"/>
  <c r="F208" i="9" s="1"/>
  <c r="J40" i="1"/>
  <c r="G208" i="9" s="1"/>
  <c r="E41" i="1"/>
  <c r="B209" i="9" s="1"/>
  <c r="F41" i="1"/>
  <c r="G41" i="1"/>
  <c r="D209" i="9" s="1"/>
  <c r="H41" i="1"/>
  <c r="I41" i="1"/>
  <c r="F209" i="9" s="1"/>
  <c r="E42" i="1"/>
  <c r="B210" i="9" s="1"/>
  <c r="F42" i="1"/>
  <c r="G42" i="1"/>
  <c r="D210" i="9" s="1"/>
  <c r="H42" i="1"/>
  <c r="I42" i="1"/>
  <c r="F210" i="9" s="1"/>
  <c r="J42" i="1"/>
  <c r="G210" i="9" s="1"/>
  <c r="E49" i="1"/>
  <c r="B215" i="9" s="1"/>
  <c r="F49" i="1"/>
  <c r="G49" i="1"/>
  <c r="D215" i="9" s="1"/>
  <c r="H49" i="1"/>
  <c r="E215" i="9" s="1"/>
  <c r="I49" i="1"/>
  <c r="F215" i="9" s="1"/>
  <c r="J49" i="1"/>
  <c r="G215" i="9" s="1"/>
  <c r="E50" i="1"/>
  <c r="B216" i="9" s="1"/>
  <c r="F50" i="1"/>
  <c r="G50" i="1"/>
  <c r="D216" i="9" s="1"/>
  <c r="H50" i="1"/>
  <c r="I50" i="1"/>
  <c r="F216" i="9" s="1"/>
  <c r="J50" i="1"/>
  <c r="G216" i="9" s="1"/>
  <c r="E52" i="1"/>
  <c r="B217" i="9" s="1"/>
  <c r="F52" i="1"/>
  <c r="G52" i="1"/>
  <c r="D217" i="9" s="1"/>
  <c r="H52" i="1"/>
  <c r="I52" i="1"/>
  <c r="F217" i="9" s="1"/>
  <c r="J52" i="1"/>
  <c r="G217" i="9" s="1"/>
  <c r="F53" i="1"/>
  <c r="G53" i="1"/>
  <c r="H53" i="1"/>
  <c r="I53" i="1"/>
  <c r="J53" i="1"/>
  <c r="E54" i="1"/>
  <c r="B218" i="9" s="1"/>
  <c r="F54" i="1"/>
  <c r="G54" i="1"/>
  <c r="D218" i="9" s="1"/>
  <c r="H54" i="1"/>
  <c r="I54" i="1"/>
  <c r="F218" i="9" s="1"/>
  <c r="J54" i="1"/>
  <c r="G218" i="9" s="1"/>
  <c r="E55" i="1"/>
  <c r="B219" i="9" s="1"/>
  <c r="F55" i="1"/>
  <c r="G55" i="1"/>
  <c r="D219" i="9" s="1"/>
  <c r="H55" i="1"/>
  <c r="I55" i="1"/>
  <c r="F219" i="9" s="1"/>
  <c r="J55" i="1"/>
  <c r="G219" i="9" s="1"/>
  <c r="E56" i="1"/>
  <c r="B220" i="9" s="1"/>
  <c r="F56" i="1"/>
  <c r="C220" i="9" s="1"/>
  <c r="G56" i="1"/>
  <c r="D220" i="9" s="1"/>
  <c r="H56" i="1"/>
  <c r="E220" i="9" s="1"/>
  <c r="I56" i="1"/>
  <c r="F220" i="9" s="1"/>
  <c r="J56" i="1"/>
  <c r="G220" i="9" s="1"/>
  <c r="E57" i="1"/>
  <c r="B221" i="9" s="1"/>
  <c r="F57" i="1"/>
  <c r="G57" i="1"/>
  <c r="D221" i="9" s="1"/>
  <c r="H57" i="1"/>
  <c r="I57" i="1"/>
  <c r="F221" i="9" s="1"/>
  <c r="J57" i="1"/>
  <c r="G221" i="9" s="1"/>
  <c r="E58" i="1"/>
  <c r="B222" i="9" s="1"/>
  <c r="F58" i="1"/>
  <c r="G58" i="1"/>
  <c r="D222" i="9" s="1"/>
  <c r="H58" i="1"/>
  <c r="I58" i="1"/>
  <c r="F222" i="9" s="1"/>
  <c r="J58" i="1"/>
  <c r="G222" i="9" s="1"/>
  <c r="E77" i="1"/>
  <c r="B236" i="9" s="1"/>
  <c r="F77" i="1"/>
  <c r="C236" i="9" s="1"/>
  <c r="G77" i="1"/>
  <c r="D236" i="9" s="1"/>
  <c r="H77" i="1"/>
  <c r="I77" i="1"/>
  <c r="F236" i="9" s="1"/>
  <c r="J77" i="1"/>
  <c r="G236" i="9" s="1"/>
  <c r="E78" i="1"/>
  <c r="B237" i="9" s="1"/>
  <c r="F78" i="1"/>
  <c r="C237" i="9" s="1"/>
  <c r="G78" i="1"/>
  <c r="D237" i="9" s="1"/>
  <c r="H78" i="1"/>
  <c r="E237" i="9" s="1"/>
  <c r="I78" i="1"/>
  <c r="F237" i="9" s="1"/>
  <c r="J78" i="1"/>
  <c r="G237" i="9" s="1"/>
  <c r="E79" i="1"/>
  <c r="B238" i="9" s="1"/>
  <c r="F79" i="1"/>
  <c r="G79" i="1"/>
  <c r="D238" i="9" s="1"/>
  <c r="H79" i="1"/>
  <c r="E238" i="9" s="1"/>
  <c r="I79" i="1"/>
  <c r="F238" i="9" s="1"/>
  <c r="J79" i="1"/>
  <c r="G238" i="9" s="1"/>
  <c r="E80" i="1"/>
  <c r="B239" i="9" s="1"/>
  <c r="F80" i="1"/>
  <c r="C239" i="9" s="1"/>
  <c r="G80" i="1"/>
  <c r="D239" i="9" s="1"/>
  <c r="H80" i="1"/>
  <c r="I80" i="1"/>
  <c r="F239" i="9" s="1"/>
  <c r="J80" i="1"/>
  <c r="G239" i="9" s="1"/>
  <c r="E82" i="1"/>
  <c r="B240" i="9" s="1"/>
  <c r="F82" i="1"/>
  <c r="C240" i="9" s="1"/>
  <c r="G82" i="1"/>
  <c r="D240" i="9" s="1"/>
  <c r="H82" i="1"/>
  <c r="I82" i="1"/>
  <c r="F240" i="9" s="1"/>
  <c r="J82" i="1"/>
  <c r="G240" i="9" s="1"/>
  <c r="E84" i="1"/>
  <c r="B241" i="9" s="1"/>
  <c r="F84" i="1"/>
  <c r="C241" i="9" s="1"/>
  <c r="G84" i="1"/>
  <c r="D241" i="9" s="1"/>
  <c r="H84" i="1"/>
  <c r="E241" i="9" s="1"/>
  <c r="I84" i="1"/>
  <c r="F241" i="9" s="1"/>
  <c r="J84" i="1"/>
  <c r="G241" i="9" s="1"/>
  <c r="E85" i="1"/>
  <c r="B242" i="9" s="1"/>
  <c r="F85" i="1"/>
  <c r="G85" i="1"/>
  <c r="D242" i="9" s="1"/>
  <c r="H85" i="1"/>
  <c r="I85" i="1"/>
  <c r="F242" i="9" s="1"/>
  <c r="J85" i="1"/>
  <c r="G242" i="9" s="1"/>
  <c r="E86" i="1"/>
  <c r="B243" i="9" s="1"/>
  <c r="F86" i="1"/>
  <c r="C243" i="9" s="1"/>
  <c r="G86" i="1"/>
  <c r="D243" i="9" s="1"/>
  <c r="H86" i="1"/>
  <c r="E243" i="9" s="1"/>
  <c r="I86" i="1"/>
  <c r="F243" i="9" s="1"/>
  <c r="J86" i="1"/>
  <c r="G243" i="9" s="1"/>
  <c r="F88" i="1"/>
  <c r="C244" i="9" s="1"/>
  <c r="G88" i="1"/>
  <c r="D244" i="9" s="1"/>
  <c r="H88" i="1"/>
  <c r="E244" i="9" s="1"/>
  <c r="I88" i="1"/>
  <c r="F244" i="9" s="1"/>
  <c r="J88" i="1"/>
  <c r="G244" i="9" s="1"/>
  <c r="F25" i="1"/>
  <c r="H25" i="1"/>
  <c r="D26" i="1"/>
  <c r="A196" i="9" s="1"/>
  <c r="D27" i="1"/>
  <c r="A197" i="9" s="1"/>
  <c r="D30" i="1"/>
  <c r="A200" i="9" s="1"/>
  <c r="D32" i="1"/>
  <c r="D34" i="1"/>
  <c r="A202" i="9" s="1"/>
  <c r="D35" i="1"/>
  <c r="A203" i="9" s="1"/>
  <c r="D36" i="1"/>
  <c r="A204" i="9" s="1"/>
  <c r="D37" i="1"/>
  <c r="A205" i="9" s="1"/>
  <c r="D38" i="1"/>
  <c r="A206" i="9" s="1"/>
  <c r="D39" i="1"/>
  <c r="A207" i="9" s="1"/>
  <c r="D40" i="1"/>
  <c r="D41" i="1"/>
  <c r="A209" i="9" s="1"/>
  <c r="D42" i="1"/>
  <c r="A210" i="9" s="1"/>
  <c r="D49" i="1"/>
  <c r="A215" i="9" s="1"/>
  <c r="D50" i="1"/>
  <c r="A216" i="9" s="1"/>
  <c r="D54" i="1"/>
  <c r="A218" i="9" s="1"/>
  <c r="D55" i="1"/>
  <c r="A219" i="9" s="1"/>
  <c r="D56" i="1"/>
  <c r="D57" i="1"/>
  <c r="A221" i="9" s="1"/>
  <c r="D77" i="1"/>
  <c r="A236" i="9" s="1"/>
  <c r="D78" i="1"/>
  <c r="A237" i="9" s="1"/>
  <c r="D79" i="1"/>
  <c r="A238" i="9" s="1"/>
  <c r="D80" i="1"/>
  <c r="A239" i="9" s="1"/>
  <c r="D84" i="1"/>
  <c r="D85" i="1"/>
  <c r="A242" i="9" s="1"/>
  <c r="D86" i="1"/>
  <c r="A243" i="9" s="1"/>
  <c r="D88" i="1"/>
  <c r="A244" i="9" s="1"/>
  <c r="D25" i="1"/>
  <c r="E25" i="1"/>
  <c r="J25" i="1"/>
  <c r="I25" i="1"/>
  <c r="G25" i="1"/>
  <c r="W109" i="9" l="1"/>
  <c r="T109" i="9"/>
  <c r="M111" i="9"/>
  <c r="X110" i="9"/>
  <c r="Q110" i="9"/>
  <c r="R109" i="9"/>
  <c r="U109" i="9"/>
  <c r="L112" i="9"/>
  <c r="S3" i="2"/>
  <c r="T3" i="2"/>
  <c r="U3" i="2"/>
  <c r="V3" i="2"/>
  <c r="Q3" i="2"/>
  <c r="R3" i="2"/>
  <c r="U4" i="2"/>
  <c r="V4" i="2"/>
  <c r="T4" i="2"/>
  <c r="Q4" i="2"/>
  <c r="R4" i="2"/>
  <c r="S4" i="2"/>
  <c r="V5" i="2"/>
  <c r="Q5" i="2"/>
  <c r="R5" i="2"/>
  <c r="S5" i="2"/>
  <c r="T5" i="2"/>
  <c r="U5" i="2"/>
  <c r="Q6" i="2"/>
  <c r="R6" i="2"/>
  <c r="S6" i="2"/>
  <c r="T6" i="2"/>
  <c r="U6" i="2"/>
  <c r="V6" i="2"/>
  <c r="S7" i="2"/>
  <c r="R7" i="2"/>
  <c r="T7" i="2"/>
  <c r="U7" i="2"/>
  <c r="V7" i="2"/>
  <c r="Q7" i="2"/>
  <c r="U8" i="2"/>
  <c r="V8" i="2"/>
  <c r="Q8" i="2"/>
  <c r="T8" i="2"/>
  <c r="R8" i="2"/>
  <c r="S8" i="2"/>
  <c r="Q9" i="2"/>
  <c r="V9" i="2"/>
  <c r="R9" i="2"/>
  <c r="S9" i="2"/>
  <c r="T9" i="2"/>
  <c r="U9" i="2"/>
  <c r="Q10" i="2"/>
  <c r="R10" i="2"/>
  <c r="S10" i="2"/>
  <c r="U10" i="2"/>
  <c r="V10" i="2"/>
  <c r="T10" i="2"/>
  <c r="U12" i="2"/>
  <c r="U11" i="2"/>
  <c r="V12" i="2"/>
  <c r="V11" i="2"/>
  <c r="S11" i="2"/>
  <c r="Q12" i="2"/>
  <c r="R11" i="2"/>
  <c r="R12" i="2"/>
  <c r="Q11" i="2"/>
  <c r="T11" i="2"/>
  <c r="S12" i="2"/>
  <c r="T12" i="2"/>
  <c r="R14" i="2"/>
  <c r="S14" i="2"/>
  <c r="Q14" i="2"/>
  <c r="T14" i="2"/>
  <c r="U14" i="2"/>
  <c r="V14" i="2"/>
  <c r="Q15" i="2"/>
  <c r="R15" i="2"/>
  <c r="S15" i="2"/>
  <c r="T15" i="2"/>
  <c r="U15" i="2"/>
  <c r="V15" i="2"/>
  <c r="S16" i="2"/>
  <c r="T16" i="2"/>
  <c r="U16" i="2"/>
  <c r="V16" i="2"/>
  <c r="Q16" i="2"/>
  <c r="R16" i="2"/>
  <c r="Q18" i="2"/>
  <c r="R18" i="2"/>
  <c r="S18" i="2"/>
  <c r="T18" i="2"/>
  <c r="U18" i="2"/>
  <c r="V18" i="2"/>
  <c r="S17" i="2"/>
  <c r="C84" i="1"/>
  <c r="A241" i="9"/>
  <c r="H20" i="1"/>
  <c r="V7" i="3" s="1"/>
  <c r="C7" i="3" s="1"/>
  <c r="R17" i="2"/>
  <c r="B195" i="9"/>
  <c r="E20" i="1"/>
  <c r="V4" i="3" s="1"/>
  <c r="C4" i="3" s="1"/>
  <c r="D195" i="9"/>
  <c r="N195" i="9" s="1"/>
  <c r="N196" i="9" s="1"/>
  <c r="N197" i="9" s="1"/>
  <c r="N198" i="9" s="1"/>
  <c r="N199" i="9" s="1"/>
  <c r="N200" i="9" s="1"/>
  <c r="N201" i="9" s="1"/>
  <c r="N202" i="9" s="1"/>
  <c r="N203" i="9" s="1"/>
  <c r="N204" i="9" s="1"/>
  <c r="N205" i="9" s="1"/>
  <c r="N206" i="9" s="1"/>
  <c r="N207" i="9" s="1"/>
  <c r="N208" i="9" s="1"/>
  <c r="N209" i="9" s="1"/>
  <c r="N210" i="9" s="1"/>
  <c r="N211" i="9" s="1"/>
  <c r="N212" i="9" s="1"/>
  <c r="N213" i="9" s="1"/>
  <c r="N214" i="9" s="1"/>
  <c r="N215" i="9" s="1"/>
  <c r="N216" i="9" s="1"/>
  <c r="N217" i="9" s="1"/>
  <c r="N218" i="9" s="1"/>
  <c r="N219" i="9" s="1"/>
  <c r="N220" i="9" s="1"/>
  <c r="N221" i="9" s="1"/>
  <c r="N222" i="9" s="1"/>
  <c r="N223" i="9" s="1"/>
  <c r="N224" i="9" s="1"/>
  <c r="N225" i="9" s="1"/>
  <c r="N226" i="9" s="1"/>
  <c r="N227" i="9" s="1"/>
  <c r="N228" i="9" s="1"/>
  <c r="N229" i="9" s="1"/>
  <c r="N230" i="9" s="1"/>
  <c r="N231" i="9" s="1"/>
  <c r="N232" i="9" s="1"/>
  <c r="N233" i="9" s="1"/>
  <c r="N234" i="9" s="1"/>
  <c r="N235" i="9" s="1"/>
  <c r="N236" i="9" s="1"/>
  <c r="N237" i="9" s="1"/>
  <c r="N238" i="9" s="1"/>
  <c r="N239" i="9" s="1"/>
  <c r="N240" i="9" s="1"/>
  <c r="N241" i="9" s="1"/>
  <c r="N242" i="9" s="1"/>
  <c r="N243" i="9" s="1"/>
  <c r="N244" i="9" s="1"/>
  <c r="N245" i="9" s="1"/>
  <c r="N246" i="9" s="1"/>
  <c r="N247" i="9" s="1"/>
  <c r="N248" i="9" s="1"/>
  <c r="N249" i="9" s="1"/>
  <c r="N250" i="9" s="1"/>
  <c r="N251" i="9" s="1"/>
  <c r="N252" i="9" s="1"/>
  <c r="N253" i="9" s="1"/>
  <c r="N254" i="9" s="1"/>
  <c r="N255" i="9" s="1"/>
  <c r="N256" i="9" s="1"/>
  <c r="N257" i="9" s="1"/>
  <c r="N258" i="9" s="1"/>
  <c r="N259" i="9" s="1"/>
  <c r="N260" i="9" s="1"/>
  <c r="N261" i="9" s="1"/>
  <c r="N262" i="9" s="1"/>
  <c r="N263" i="9" s="1"/>
  <c r="N264" i="9" s="1"/>
  <c r="N265" i="9" s="1"/>
  <c r="N266" i="9" s="1"/>
  <c r="N267" i="9" s="1"/>
  <c r="N268" i="9" s="1"/>
  <c r="N269" i="9" s="1"/>
  <c r="N270" i="9" s="1"/>
  <c r="N271" i="9" s="1"/>
  <c r="N272" i="9" s="1"/>
  <c r="N273" i="9" s="1"/>
  <c r="N274" i="9" s="1"/>
  <c r="N275" i="9" s="1"/>
  <c r="N276" i="9" s="1"/>
  <c r="N277" i="9" s="1"/>
  <c r="N278" i="9" s="1"/>
  <c r="N279" i="9" s="1"/>
  <c r="N280" i="9" s="1"/>
  <c r="N281" i="9" s="1"/>
  <c r="N282" i="9" s="1"/>
  <c r="G20" i="1"/>
  <c r="V5" i="3" s="1"/>
  <c r="C5" i="3" s="1"/>
  <c r="F195" i="9"/>
  <c r="P195" i="9" s="1"/>
  <c r="P196" i="9" s="1"/>
  <c r="P197" i="9" s="1"/>
  <c r="P198" i="9" s="1"/>
  <c r="P199" i="9" s="1"/>
  <c r="P200" i="9" s="1"/>
  <c r="P201" i="9" s="1"/>
  <c r="P202" i="9" s="1"/>
  <c r="P203" i="9" s="1"/>
  <c r="P204" i="9" s="1"/>
  <c r="P205" i="9" s="1"/>
  <c r="P206" i="9" s="1"/>
  <c r="P207" i="9" s="1"/>
  <c r="P208" i="9" s="1"/>
  <c r="P209" i="9" s="1"/>
  <c r="P210" i="9" s="1"/>
  <c r="P211" i="9" s="1"/>
  <c r="P212" i="9" s="1"/>
  <c r="P213" i="9" s="1"/>
  <c r="P214" i="9" s="1"/>
  <c r="P215" i="9" s="1"/>
  <c r="P216" i="9" s="1"/>
  <c r="P217" i="9" s="1"/>
  <c r="P218" i="9" s="1"/>
  <c r="P219" i="9" s="1"/>
  <c r="P220" i="9" s="1"/>
  <c r="P221" i="9" s="1"/>
  <c r="P222" i="9" s="1"/>
  <c r="P223" i="9" s="1"/>
  <c r="P224" i="9" s="1"/>
  <c r="P225" i="9" s="1"/>
  <c r="P226" i="9" s="1"/>
  <c r="P227" i="9" s="1"/>
  <c r="P228" i="9" s="1"/>
  <c r="P229" i="9" s="1"/>
  <c r="P230" i="9" s="1"/>
  <c r="P231" i="9" s="1"/>
  <c r="P232" i="9" s="1"/>
  <c r="P233" i="9" s="1"/>
  <c r="P234" i="9" s="1"/>
  <c r="P235" i="9" s="1"/>
  <c r="P236" i="9" s="1"/>
  <c r="P237" i="9" s="1"/>
  <c r="P238" i="9" s="1"/>
  <c r="P239" i="9" s="1"/>
  <c r="P240" i="9" s="1"/>
  <c r="P241" i="9" s="1"/>
  <c r="P242" i="9" s="1"/>
  <c r="P243" i="9" s="1"/>
  <c r="P244" i="9" s="1"/>
  <c r="P245" i="9" s="1"/>
  <c r="P246" i="9" s="1"/>
  <c r="P247" i="9" s="1"/>
  <c r="P248" i="9" s="1"/>
  <c r="P249" i="9" s="1"/>
  <c r="P250" i="9" s="1"/>
  <c r="P251" i="9" s="1"/>
  <c r="P252" i="9" s="1"/>
  <c r="P253" i="9" s="1"/>
  <c r="P254" i="9" s="1"/>
  <c r="P255" i="9" s="1"/>
  <c r="P256" i="9" s="1"/>
  <c r="P257" i="9" s="1"/>
  <c r="P258" i="9" s="1"/>
  <c r="P259" i="9" s="1"/>
  <c r="P260" i="9" s="1"/>
  <c r="P261" i="9" s="1"/>
  <c r="P262" i="9" s="1"/>
  <c r="P263" i="9" s="1"/>
  <c r="P264" i="9" s="1"/>
  <c r="P265" i="9" s="1"/>
  <c r="P266" i="9" s="1"/>
  <c r="P267" i="9" s="1"/>
  <c r="P268" i="9" s="1"/>
  <c r="P269" i="9" s="1"/>
  <c r="P270" i="9" s="1"/>
  <c r="P271" i="9" s="1"/>
  <c r="P272" i="9" s="1"/>
  <c r="P273" i="9" s="1"/>
  <c r="P274" i="9" s="1"/>
  <c r="P275" i="9" s="1"/>
  <c r="P276" i="9" s="1"/>
  <c r="P277" i="9" s="1"/>
  <c r="P278" i="9" s="1"/>
  <c r="P279" i="9" s="1"/>
  <c r="P280" i="9" s="1"/>
  <c r="P281" i="9" s="1"/>
  <c r="P282" i="9" s="1"/>
  <c r="P283" i="9" s="1"/>
  <c r="P284" i="9" s="1"/>
  <c r="P285" i="9" s="1"/>
  <c r="P286" i="9" s="1"/>
  <c r="P287" i="9" s="1"/>
  <c r="P288" i="9" s="1"/>
  <c r="P289" i="9" s="1"/>
  <c r="P290" i="9" s="1"/>
  <c r="P291" i="9" s="1"/>
  <c r="P292" i="9" s="1"/>
  <c r="P293" i="9" s="1"/>
  <c r="P294" i="9" s="1"/>
  <c r="P295" i="9" s="1"/>
  <c r="P296" i="9" s="1"/>
  <c r="P297" i="9" s="1"/>
  <c r="P298" i="9" s="1"/>
  <c r="P299" i="9" s="1"/>
  <c r="P300" i="9" s="1"/>
  <c r="P301" i="9" s="1"/>
  <c r="P302" i="9" s="1"/>
  <c r="P303" i="9" s="1"/>
  <c r="P304" i="9" s="1"/>
  <c r="P305" i="9" s="1"/>
  <c r="P306" i="9" s="1"/>
  <c r="P307" i="9" s="1"/>
  <c r="P308" i="9" s="1"/>
  <c r="P309" i="9" s="1"/>
  <c r="P310" i="9" s="1"/>
  <c r="P311" i="9" s="1"/>
  <c r="P312" i="9" s="1"/>
  <c r="P313" i="9" s="1"/>
  <c r="P314" i="9" s="1"/>
  <c r="P315" i="9" s="1"/>
  <c r="P316" i="9" s="1"/>
  <c r="P317" i="9" s="1"/>
  <c r="P318" i="9" s="1"/>
  <c r="P319" i="9" s="1"/>
  <c r="P320" i="9" s="1"/>
  <c r="P321" i="9" s="1"/>
  <c r="P322" i="9" s="1"/>
  <c r="P323" i="9" s="1"/>
  <c r="P324" i="9" s="1"/>
  <c r="P325" i="9" s="1"/>
  <c r="P326" i="9" s="1"/>
  <c r="P327" i="9" s="1"/>
  <c r="P328" i="9" s="1"/>
  <c r="P329" i="9" s="1"/>
  <c r="P330" i="9" s="1"/>
  <c r="I20" i="1"/>
  <c r="V3" i="3" s="1"/>
  <c r="C3" i="3" s="1"/>
  <c r="F20" i="1"/>
  <c r="V6" i="3" s="1"/>
  <c r="C6" i="3" s="1"/>
  <c r="Q17" i="2"/>
  <c r="G195" i="9"/>
  <c r="J20" i="1"/>
  <c r="V2" i="3" s="1"/>
  <c r="T17" i="2"/>
  <c r="V17" i="2"/>
  <c r="U17" i="2"/>
  <c r="P18" i="2"/>
  <c r="A195" i="9"/>
  <c r="V2" i="2"/>
  <c r="T2" i="2"/>
  <c r="Q2" i="2"/>
  <c r="R2" i="2"/>
  <c r="S2" i="2"/>
  <c r="U2" i="2"/>
  <c r="C56" i="1"/>
  <c r="A220" i="9"/>
  <c r="C32" i="1"/>
  <c r="A201" i="9"/>
  <c r="C40" i="1"/>
  <c r="A208" i="9"/>
  <c r="O204" i="9"/>
  <c r="O205" i="9" s="1"/>
  <c r="O206" i="9" s="1"/>
  <c r="O207" i="9" s="1"/>
  <c r="O208" i="9" s="1"/>
  <c r="O209" i="9" s="1"/>
  <c r="O210" i="9" s="1"/>
  <c r="O211" i="9" s="1"/>
  <c r="O212" i="9" s="1"/>
  <c r="O213" i="9" s="1"/>
  <c r="O214" i="9" s="1"/>
  <c r="O215" i="9" s="1"/>
  <c r="O216" i="9" s="1"/>
  <c r="O217" i="9" s="1"/>
  <c r="O218" i="9" s="1"/>
  <c r="O219" i="9" s="1"/>
  <c r="O220" i="9" s="1"/>
  <c r="O221" i="9" s="1"/>
  <c r="O222" i="9" s="1"/>
  <c r="O223" i="9" s="1"/>
  <c r="O224" i="9" s="1"/>
  <c r="O225" i="9" s="1"/>
  <c r="O226" i="9" s="1"/>
  <c r="O227" i="9" s="1"/>
  <c r="O228" i="9" s="1"/>
  <c r="O229" i="9" s="1"/>
  <c r="O230" i="9" s="1"/>
  <c r="O231" i="9" s="1"/>
  <c r="O232" i="9" s="1"/>
  <c r="O233" i="9" s="1"/>
  <c r="O234" i="9" s="1"/>
  <c r="O235" i="9" s="1"/>
  <c r="O236" i="9" s="1"/>
  <c r="O237" i="9" s="1"/>
  <c r="O238" i="9" s="1"/>
  <c r="O239" i="9" s="1"/>
  <c r="O240" i="9" s="1"/>
  <c r="O241" i="9" s="1"/>
  <c r="O242" i="9" s="1"/>
  <c r="O243" i="9" s="1"/>
  <c r="O244" i="9" s="1"/>
  <c r="O245" i="9" s="1"/>
  <c r="O246" i="9" s="1"/>
  <c r="O247" i="9" s="1"/>
  <c r="O248" i="9" s="1"/>
  <c r="O249" i="9" s="1"/>
  <c r="O250" i="9" s="1"/>
  <c r="O251" i="9" s="1"/>
  <c r="O252" i="9" s="1"/>
  <c r="O253" i="9" s="1"/>
  <c r="O254" i="9" s="1"/>
  <c r="O255" i="9" s="1"/>
  <c r="O256" i="9" s="1"/>
  <c r="O257" i="9" s="1"/>
  <c r="O258" i="9" s="1"/>
  <c r="O259" i="9" s="1"/>
  <c r="O260" i="9" s="1"/>
  <c r="O261" i="9" s="1"/>
  <c r="O262" i="9" s="1"/>
  <c r="O263" i="9" s="1"/>
  <c r="O264" i="9" s="1"/>
  <c r="O265" i="9" s="1"/>
  <c r="O266" i="9" s="1"/>
  <c r="O267" i="9" s="1"/>
  <c r="O268" i="9" s="1"/>
  <c r="O269" i="9" s="1"/>
  <c r="O270" i="9" s="1"/>
  <c r="O271" i="9" s="1"/>
  <c r="O272" i="9" s="1"/>
  <c r="O273" i="9" s="1"/>
  <c r="O274" i="9" s="1"/>
  <c r="O275" i="9" s="1"/>
  <c r="O276" i="9" s="1"/>
  <c r="O277" i="9" s="1"/>
  <c r="O278" i="9" s="1"/>
  <c r="O279" i="9" s="1"/>
  <c r="O280" i="9" s="1"/>
  <c r="O281" i="9" s="1"/>
  <c r="O282" i="9" s="1"/>
  <c r="O283" i="9" s="1"/>
  <c r="O284" i="9" s="1"/>
  <c r="O285" i="9" s="1"/>
  <c r="O286" i="9" s="1"/>
  <c r="O287" i="9" s="1"/>
  <c r="O288" i="9" s="1"/>
  <c r="O289" i="9" s="1"/>
  <c r="O290" i="9" s="1"/>
  <c r="O291" i="9" s="1"/>
  <c r="O292" i="9" s="1"/>
  <c r="O293" i="9" s="1"/>
  <c r="O294" i="9" s="1"/>
  <c r="O295" i="9" s="1"/>
  <c r="O296" i="9" s="1"/>
  <c r="O297" i="9" s="1"/>
  <c r="O298" i="9" s="1"/>
  <c r="O299" i="9" s="1"/>
  <c r="O300" i="9" s="1"/>
  <c r="O301" i="9" s="1"/>
  <c r="O302" i="9" s="1"/>
  <c r="O303" i="9" s="1"/>
  <c r="O304" i="9" s="1"/>
  <c r="O305" i="9" s="1"/>
  <c r="O306" i="9" s="1"/>
  <c r="O307" i="9" s="1"/>
  <c r="O308" i="9" s="1"/>
  <c r="O309" i="9" s="1"/>
  <c r="O310" i="9" s="1"/>
  <c r="O311" i="9" s="1"/>
  <c r="O312" i="9" s="1"/>
  <c r="O313" i="9" s="1"/>
  <c r="O314" i="9" s="1"/>
  <c r="O315" i="9" s="1"/>
  <c r="O316" i="9" s="1"/>
  <c r="O317" i="9" s="1"/>
  <c r="O318" i="9" s="1"/>
  <c r="O319" i="9" s="1"/>
  <c r="O320" i="9" s="1"/>
  <c r="O321" i="9" s="1"/>
  <c r="O322" i="9" s="1"/>
  <c r="O323" i="9" s="1"/>
  <c r="O324" i="9" s="1"/>
  <c r="O325" i="9" s="1"/>
  <c r="O326" i="9" s="1"/>
  <c r="O327" i="9" s="1"/>
  <c r="O328" i="9" s="1"/>
  <c r="O329" i="9" s="1"/>
  <c r="O330" i="9" s="1"/>
  <c r="O331" i="9" s="1"/>
  <c r="O332" i="9" s="1"/>
  <c r="O333" i="9" s="1"/>
  <c r="O334" i="9" s="1"/>
  <c r="O335" i="9" s="1"/>
  <c r="O336" i="9" s="1"/>
  <c r="O337" i="9" s="1"/>
  <c r="O338" i="9" s="1"/>
  <c r="O339" i="9" s="1"/>
  <c r="O340" i="9" s="1"/>
  <c r="O341" i="9" s="1"/>
  <c r="O342" i="9" s="1"/>
  <c r="O343" i="9" s="1"/>
  <c r="O344" i="9" s="1"/>
  <c r="O345" i="9" s="1"/>
  <c r="O346" i="9" s="1"/>
  <c r="O347" i="9" s="1"/>
  <c r="O348" i="9" s="1"/>
  <c r="O349" i="9" s="1"/>
  <c r="O350" i="9" s="1"/>
  <c r="O351" i="9" s="1"/>
  <c r="O352" i="9" s="1"/>
  <c r="O353" i="9" s="1"/>
  <c r="O354" i="9" s="1"/>
  <c r="O355" i="9" s="1"/>
  <c r="O356" i="9" s="1"/>
  <c r="O357" i="9" s="1"/>
  <c r="O358" i="9" s="1"/>
  <c r="O359" i="9" s="1"/>
  <c r="O360" i="9" s="1"/>
  <c r="O361" i="9" s="1"/>
  <c r="O362" i="9" s="1"/>
  <c r="O363" i="9" s="1"/>
  <c r="O364" i="9" s="1"/>
  <c r="O365" i="9" s="1"/>
  <c r="O366" i="9" s="1"/>
  <c r="O367" i="9" s="1"/>
  <c r="O368" i="9" s="1"/>
  <c r="O369" i="9" s="1"/>
  <c r="O370" i="9" s="1"/>
  <c r="O371" i="9" s="1"/>
  <c r="O372" i="9" s="1"/>
  <c r="O373" i="9" s="1"/>
  <c r="O374" i="9" s="1"/>
  <c r="O375" i="9" s="1"/>
  <c r="O376" i="9" s="1"/>
  <c r="O377" i="9" s="1"/>
  <c r="O378" i="9" s="1"/>
  <c r="O379" i="9" s="1"/>
  <c r="B19" i="2"/>
  <c r="A18" i="2"/>
  <c r="W110" i="9" l="1"/>
  <c r="T110" i="9"/>
  <c r="C2" i="3"/>
  <c r="C2" i="4" s="1"/>
  <c r="C5" i="4"/>
  <c r="V10" i="3"/>
  <c r="C6" i="4"/>
  <c r="M112" i="9"/>
  <c r="X111" i="9"/>
  <c r="P331" i="9"/>
  <c r="P332" i="9" s="1"/>
  <c r="P333" i="9" s="1"/>
  <c r="P334" i="9" s="1"/>
  <c r="P335" i="9" s="1"/>
  <c r="P336" i="9" s="1"/>
  <c r="P337" i="9" s="1"/>
  <c r="P338" i="9" s="1"/>
  <c r="P339" i="9" s="1"/>
  <c r="P340" i="9" s="1"/>
  <c r="P341" i="9" s="1"/>
  <c r="P342" i="9" s="1"/>
  <c r="P343" i="9" s="1"/>
  <c r="P344" i="9" s="1"/>
  <c r="P345" i="9" s="1"/>
  <c r="P346" i="9" s="1"/>
  <c r="P347" i="9" s="1"/>
  <c r="P348" i="9" s="1"/>
  <c r="P349" i="9" s="1"/>
  <c r="P350" i="9" s="1"/>
  <c r="P351" i="9" s="1"/>
  <c r="P352" i="9" s="1"/>
  <c r="P353" i="9" s="1"/>
  <c r="P354" i="9" s="1"/>
  <c r="P355" i="9" s="1"/>
  <c r="P356" i="9" s="1"/>
  <c r="P357" i="9" s="1"/>
  <c r="P358" i="9" s="1"/>
  <c r="P359" i="9" s="1"/>
  <c r="P360" i="9" s="1"/>
  <c r="P361" i="9" s="1"/>
  <c r="P362" i="9" s="1"/>
  <c r="P363" i="9" s="1"/>
  <c r="P364" i="9" s="1"/>
  <c r="P365" i="9" s="1"/>
  <c r="P366" i="9" s="1"/>
  <c r="P367" i="9" s="1"/>
  <c r="P368" i="9" s="1"/>
  <c r="P369" i="9" s="1"/>
  <c r="P370" i="9" s="1"/>
  <c r="P371" i="9" s="1"/>
  <c r="P372" i="9" s="1"/>
  <c r="P373" i="9" s="1"/>
  <c r="P374" i="9" s="1"/>
  <c r="P375" i="9" s="1"/>
  <c r="P376" i="9" s="1"/>
  <c r="P377" i="9" s="1"/>
  <c r="P378" i="9" s="1"/>
  <c r="P379" i="9" s="1"/>
  <c r="R110" i="9"/>
  <c r="Q111" i="9"/>
  <c r="U110" i="9"/>
  <c r="S110" i="9"/>
  <c r="J22" i="3"/>
  <c r="L22" i="3" s="1"/>
  <c r="N22" i="3" s="1"/>
  <c r="P22" i="3" s="1"/>
  <c r="R22" i="3" s="1"/>
  <c r="T22" i="3" s="1"/>
  <c r="V9" i="3"/>
  <c r="J19" i="3"/>
  <c r="L19" i="3" s="1"/>
  <c r="N19" i="3" s="1"/>
  <c r="P19" i="3" s="1"/>
  <c r="R19" i="3" s="1"/>
  <c r="N283" i="9"/>
  <c r="N284" i="9" s="1"/>
  <c r="L113" i="9"/>
  <c r="C7" i="4"/>
  <c r="J24" i="3"/>
  <c r="L24" i="3" s="1"/>
  <c r="N24" i="3" s="1"/>
  <c r="P24" i="3" s="1"/>
  <c r="R24" i="3" s="1"/>
  <c r="C4" i="4"/>
  <c r="J21" i="3"/>
  <c r="L21" i="3" s="1"/>
  <c r="N21" i="3" s="1"/>
  <c r="P21" i="3" s="1"/>
  <c r="R21" i="3" s="1"/>
  <c r="T21" i="3" s="1"/>
  <c r="Q19" i="2"/>
  <c r="R19" i="2"/>
  <c r="S19" i="2"/>
  <c r="T19" i="2"/>
  <c r="U19" i="2"/>
  <c r="V19" i="2"/>
  <c r="J23" i="3"/>
  <c r="L23" i="3" s="1"/>
  <c r="N23" i="3" s="1"/>
  <c r="P23" i="3" s="1"/>
  <c r="R23" i="3" s="1"/>
  <c r="T23" i="3" s="1"/>
  <c r="C3" i="4"/>
  <c r="J20" i="3"/>
  <c r="L20" i="3" s="1"/>
  <c r="N20" i="3" s="1"/>
  <c r="P20" i="3" s="1"/>
  <c r="Y13" i="2"/>
  <c r="Y14" i="2"/>
  <c r="AC14" i="2"/>
  <c r="AC17" i="2"/>
  <c r="AC16" i="2"/>
  <c r="AC15" i="2"/>
  <c r="AC18" i="2"/>
  <c r="Z16" i="2"/>
  <c r="Z17" i="2"/>
  <c r="Z15" i="2"/>
  <c r="Z18" i="2"/>
  <c r="Z14" i="2"/>
  <c r="Y15" i="2"/>
  <c r="Y16" i="2"/>
  <c r="Y18" i="2"/>
  <c r="Y17" i="2"/>
  <c r="AD14" i="2"/>
  <c r="AD15" i="2"/>
  <c r="AD18" i="2"/>
  <c r="AD16" i="2"/>
  <c r="AD17" i="2"/>
  <c r="AB17" i="2"/>
  <c r="AB18" i="2"/>
  <c r="AB14" i="2"/>
  <c r="AB16" i="2"/>
  <c r="AB15" i="2"/>
  <c r="A19" i="2"/>
  <c r="P19" i="2"/>
  <c r="Y19" i="2" s="1"/>
  <c r="AA14" i="2"/>
  <c r="AA16" i="2"/>
  <c r="AA18" i="2"/>
  <c r="AA15" i="2"/>
  <c r="AA17" i="2"/>
  <c r="AC11" i="2"/>
  <c r="AB11" i="2"/>
  <c r="Z11" i="2"/>
  <c r="Y11" i="2"/>
  <c r="AA11" i="2"/>
  <c r="AD11" i="2"/>
  <c r="AB2" i="2"/>
  <c r="AB13" i="2"/>
  <c r="Z2" i="2"/>
  <c r="Z13" i="2"/>
  <c r="AA2" i="2"/>
  <c r="AA13" i="2"/>
  <c r="AC2" i="2"/>
  <c r="AC13" i="2"/>
  <c r="AD2" i="2"/>
  <c r="AD13" i="2"/>
  <c r="Y2" i="2"/>
  <c r="AB3" i="2"/>
  <c r="AB5" i="2"/>
  <c r="AB6" i="2"/>
  <c r="AA3" i="2"/>
  <c r="AA4" i="2"/>
  <c r="AA5" i="2"/>
  <c r="AA6" i="2"/>
  <c r="AC3" i="2"/>
  <c r="AC4" i="2"/>
  <c r="AC5" i="2"/>
  <c r="AC6" i="2"/>
  <c r="AB4" i="2"/>
  <c r="Z3" i="2"/>
  <c r="Z4" i="2"/>
  <c r="Z5" i="2"/>
  <c r="Z6" i="2"/>
  <c r="AD3" i="2"/>
  <c r="AD4" i="2"/>
  <c r="AD5" i="2"/>
  <c r="AD6" i="2"/>
  <c r="AB7" i="2"/>
  <c r="AI7" i="2" s="1"/>
  <c r="AB8" i="2"/>
  <c r="AI8" i="2" s="1"/>
  <c r="AB9" i="2"/>
  <c r="AI9" i="2" s="1"/>
  <c r="AB10" i="2"/>
  <c r="AI10" i="2" s="1"/>
  <c r="AB12" i="2"/>
  <c r="AI12" i="2" s="1"/>
  <c r="AI14" i="2"/>
  <c r="AI15" i="2"/>
  <c r="Z7" i="2"/>
  <c r="AG7" i="2" s="1"/>
  <c r="Z8" i="2"/>
  <c r="AG8" i="2" s="1"/>
  <c r="Z9" i="2"/>
  <c r="AG9" i="2" s="1"/>
  <c r="Z10" i="2"/>
  <c r="AG10" i="2" s="1"/>
  <c r="Z12" i="2"/>
  <c r="AG12" i="2" s="1"/>
  <c r="AG14" i="2"/>
  <c r="AG15" i="2"/>
  <c r="AC7" i="2"/>
  <c r="AJ7" i="2" s="1"/>
  <c r="AC8" i="2"/>
  <c r="AJ8" i="2" s="1"/>
  <c r="AC9" i="2"/>
  <c r="AJ9" i="2" s="1"/>
  <c r="AC10" i="2"/>
  <c r="AJ10" i="2" s="1"/>
  <c r="AC12" i="2"/>
  <c r="AJ12" i="2" s="1"/>
  <c r="AJ14" i="2"/>
  <c r="AJ15" i="2"/>
  <c r="AD7" i="2"/>
  <c r="AK7" i="2" s="1"/>
  <c r="AD8" i="2"/>
  <c r="AK8" i="2" s="1"/>
  <c r="AD9" i="2"/>
  <c r="AK9" i="2" s="1"/>
  <c r="AD10" i="2"/>
  <c r="AK10" i="2" s="1"/>
  <c r="AD12" i="2"/>
  <c r="AK12" i="2" s="1"/>
  <c r="AK14" i="2"/>
  <c r="AK15" i="2"/>
  <c r="AA7" i="2"/>
  <c r="AH7" i="2" s="1"/>
  <c r="AA8" i="2"/>
  <c r="AH8" i="2" s="1"/>
  <c r="AA9" i="2"/>
  <c r="AH9" i="2" s="1"/>
  <c r="AA10" i="2"/>
  <c r="AH10" i="2" s="1"/>
  <c r="AA12" i="2"/>
  <c r="AH12" i="2" s="1"/>
  <c r="AH14" i="2"/>
  <c r="AH15" i="2"/>
  <c r="E17" i="1"/>
  <c r="C85" i="1"/>
  <c r="W111" i="9" l="1"/>
  <c r="T111" i="9"/>
  <c r="T19" i="3"/>
  <c r="V19" i="3" s="1"/>
  <c r="AN66" i="3" s="1"/>
  <c r="AM68" i="3"/>
  <c r="V21" i="3"/>
  <c r="AN68" i="3" s="1"/>
  <c r="AM67" i="3"/>
  <c r="V22" i="3"/>
  <c r="AN67" i="3" s="1"/>
  <c r="AM71" i="3"/>
  <c r="V23" i="3"/>
  <c r="AN71" i="3" s="1"/>
  <c r="T24" i="3"/>
  <c r="AL71" i="3"/>
  <c r="I5" i="4"/>
  <c r="I4" i="4"/>
  <c r="I3" i="4"/>
  <c r="AK69" i="3"/>
  <c r="AL69" i="3" s="1"/>
  <c r="R20" i="3"/>
  <c r="T20" i="3" s="1"/>
  <c r="AK70" i="3"/>
  <c r="AL70" i="3" s="1"/>
  <c r="AK71" i="3"/>
  <c r="AK66" i="3"/>
  <c r="AL66" i="3" s="1"/>
  <c r="AK68" i="3"/>
  <c r="AL68" i="3" s="1"/>
  <c r="AK67" i="3"/>
  <c r="AL67" i="3" s="1"/>
  <c r="I6" i="4"/>
  <c r="C9" i="3"/>
  <c r="M113" i="9"/>
  <c r="X112" i="9"/>
  <c r="R111" i="9"/>
  <c r="S111" i="9"/>
  <c r="Q112" i="9"/>
  <c r="U111" i="9"/>
  <c r="A5" i="3"/>
  <c r="A5" i="4" s="1"/>
  <c r="A4" i="3"/>
  <c r="A4" i="4" s="1"/>
  <c r="A8" i="3"/>
  <c r="A3" i="3"/>
  <c r="A3" i="4" s="1"/>
  <c r="A7" i="3"/>
  <c r="A7" i="4" s="1"/>
  <c r="A6" i="3"/>
  <c r="A6" i="4" s="1"/>
  <c r="A2" i="3"/>
  <c r="A2" i="4" s="1"/>
  <c r="N285" i="9"/>
  <c r="N286" i="9" s="1"/>
  <c r="N287" i="9" s="1"/>
  <c r="N288" i="9" s="1"/>
  <c r="N289" i="9" s="1"/>
  <c r="L114" i="9"/>
  <c r="AE18" i="2"/>
  <c r="AE17" i="2"/>
  <c r="AE16" i="2"/>
  <c r="AC19" i="2"/>
  <c r="AE14" i="2"/>
  <c r="Z19" i="2"/>
  <c r="AA19" i="2"/>
  <c r="AB19" i="2"/>
  <c r="AD19" i="2"/>
  <c r="AE15" i="2"/>
  <c r="AE11" i="2"/>
  <c r="AE13" i="2"/>
  <c r="W112" i="9" l="1"/>
  <c r="T112" i="9"/>
  <c r="AM69" i="3"/>
  <c r="V20" i="3"/>
  <c r="AN69" i="3" s="1"/>
  <c r="AM70" i="3"/>
  <c r="V24" i="3"/>
  <c r="AN70" i="3" s="1"/>
  <c r="AM66" i="3"/>
  <c r="J4" i="4"/>
  <c r="K5" i="4"/>
  <c r="I2" i="4"/>
  <c r="J5" i="4"/>
  <c r="K7" i="4"/>
  <c r="J6" i="4"/>
  <c r="J7" i="4"/>
  <c r="J3" i="4"/>
  <c r="M114" i="9"/>
  <c r="X113" i="9"/>
  <c r="F5" i="12"/>
  <c r="I5" i="12" s="1"/>
  <c r="R112" i="9"/>
  <c r="Q113" i="9"/>
  <c r="U112" i="9"/>
  <c r="S112" i="9"/>
  <c r="F6" i="12"/>
  <c r="I6" i="12" s="1"/>
  <c r="F7" i="12"/>
  <c r="I7" i="12" s="1"/>
  <c r="F2" i="12"/>
  <c r="I2" i="12" s="1"/>
  <c r="F4" i="12"/>
  <c r="I4" i="12" s="1"/>
  <c r="C8" i="4"/>
  <c r="M2" i="4" s="1"/>
  <c r="N290" i="9"/>
  <c r="N291" i="9" s="1"/>
  <c r="N292" i="9" s="1"/>
  <c r="N293" i="9" s="1"/>
  <c r="N294" i="9" s="1"/>
  <c r="N295" i="9" s="1"/>
  <c r="N296" i="9" s="1"/>
  <c r="N297" i="9" s="1"/>
  <c r="N298" i="9" s="1"/>
  <c r="N299" i="9" s="1"/>
  <c r="N300" i="9" s="1"/>
  <c r="N301" i="9" s="1"/>
  <c r="N302" i="9" s="1"/>
  <c r="N303" i="9" s="1"/>
  <c r="N304" i="9" s="1"/>
  <c r="N305" i="9" s="1"/>
  <c r="N306" i="9" s="1"/>
  <c r="L115" i="9"/>
  <c r="AE19" i="2"/>
  <c r="K3" i="4"/>
  <c r="K6" i="4"/>
  <c r="K4" i="4"/>
  <c r="C77" i="1"/>
  <c r="C78" i="1"/>
  <c r="C79" i="1"/>
  <c r="C80" i="1"/>
  <c r="C82" i="1"/>
  <c r="C86" i="1"/>
  <c r="C88" i="1"/>
  <c r="W113" i="9" l="1"/>
  <c r="T113" i="9"/>
  <c r="M5" i="4"/>
  <c r="M115" i="9"/>
  <c r="X114" i="9"/>
  <c r="M6" i="4"/>
  <c r="M3" i="4"/>
  <c r="N307" i="9"/>
  <c r="N308" i="9" s="1"/>
  <c r="N309" i="9" s="1"/>
  <c r="N310" i="9" s="1"/>
  <c r="N311" i="9" s="1"/>
  <c r="N312" i="9" s="1"/>
  <c r="N313" i="9" s="1"/>
  <c r="R113" i="9"/>
  <c r="Q114" i="9"/>
  <c r="S113" i="9"/>
  <c r="U113" i="9"/>
  <c r="M7" i="4"/>
  <c r="M4" i="4"/>
  <c r="L116" i="9"/>
  <c r="C54" i="1"/>
  <c r="C55" i="1"/>
  <c r="C57" i="1"/>
  <c r="C58" i="1"/>
  <c r="C35" i="1"/>
  <c r="W114" i="9" l="1"/>
  <c r="T114" i="9"/>
  <c r="M116" i="9"/>
  <c r="X115" i="9"/>
  <c r="N314" i="9"/>
  <c r="N315" i="9" s="1"/>
  <c r="N316" i="9" s="1"/>
  <c r="N317" i="9" s="1"/>
  <c r="N318" i="9" s="1"/>
  <c r="N319" i="9" s="1"/>
  <c r="N320" i="9" s="1"/>
  <c r="N321" i="9" s="1"/>
  <c r="N322" i="9" s="1"/>
  <c r="N323" i="9" s="1"/>
  <c r="N324" i="9" s="1"/>
  <c r="N325" i="9" s="1"/>
  <c r="N326" i="9" s="1"/>
  <c r="N327" i="9" s="1"/>
  <c r="N328" i="9" s="1"/>
  <c r="N329" i="9" s="1"/>
  <c r="N330" i="9" s="1"/>
  <c r="N331" i="9" s="1"/>
  <c r="R114" i="9"/>
  <c r="Q115" i="9"/>
  <c r="U114" i="9"/>
  <c r="S114" i="9"/>
  <c r="L117" i="9"/>
  <c r="C28" i="1"/>
  <c r="W115" i="9" l="1"/>
  <c r="T115" i="9"/>
  <c r="M117" i="9"/>
  <c r="X116" i="9"/>
  <c r="N332" i="9"/>
  <c r="N333" i="9" s="1"/>
  <c r="R115" i="9"/>
  <c r="Q116" i="9"/>
  <c r="U115" i="9"/>
  <c r="S115" i="9"/>
  <c r="L118" i="9"/>
  <c r="W116" i="9" l="1"/>
  <c r="T116" i="9"/>
  <c r="M118" i="9"/>
  <c r="X117" i="9"/>
  <c r="N334" i="9"/>
  <c r="N335" i="9" s="1"/>
  <c r="N336" i="9" s="1"/>
  <c r="N337" i="9" s="1"/>
  <c r="N338" i="9" s="1"/>
  <c r="N339" i="9" s="1"/>
  <c r="R116" i="9"/>
  <c r="Q117" i="9"/>
  <c r="S116" i="9"/>
  <c r="U116" i="9"/>
  <c r="L119" i="9"/>
  <c r="E4" i="4"/>
  <c r="W117" i="9" l="1"/>
  <c r="T117" i="9"/>
  <c r="M119" i="9"/>
  <c r="X118" i="9"/>
  <c r="N340" i="9"/>
  <c r="R117" i="9"/>
  <c r="Q118" i="9"/>
  <c r="U117" i="9"/>
  <c r="S117" i="9"/>
  <c r="L120" i="9"/>
  <c r="E3" i="4"/>
  <c r="W118" i="9" l="1"/>
  <c r="T118" i="9"/>
  <c r="M120" i="9"/>
  <c r="X119" i="9"/>
  <c r="N341" i="9"/>
  <c r="R118" i="9"/>
  <c r="Q119" i="9"/>
  <c r="S118" i="9"/>
  <c r="U118" i="9"/>
  <c r="L121" i="9"/>
  <c r="W119" i="9" l="1"/>
  <c r="T119" i="9"/>
  <c r="M121" i="9"/>
  <c r="X120" i="9"/>
  <c r="N342" i="9"/>
  <c r="R119" i="9"/>
  <c r="Q120" i="9"/>
  <c r="U119" i="9"/>
  <c r="S119" i="9"/>
  <c r="L122" i="9"/>
  <c r="C27" i="1"/>
  <c r="C26" i="1"/>
  <c r="W120" i="9" l="1"/>
  <c r="T120" i="9"/>
  <c r="M122" i="9"/>
  <c r="X121" i="9"/>
  <c r="N343" i="9"/>
  <c r="N344" i="9" s="1"/>
  <c r="N345" i="9" s="1"/>
  <c r="N346" i="9" s="1"/>
  <c r="N347" i="9" s="1"/>
  <c r="N348" i="9" s="1"/>
  <c r="N349" i="9" s="1"/>
  <c r="N350" i="9" s="1"/>
  <c r="N351" i="9" s="1"/>
  <c r="N352" i="9" s="1"/>
  <c r="N353" i="9" s="1"/>
  <c r="N354" i="9" s="1"/>
  <c r="N355" i="9" s="1"/>
  <c r="N356" i="9" s="1"/>
  <c r="N357" i="9" s="1"/>
  <c r="N358" i="9" s="1"/>
  <c r="N359" i="9" s="1"/>
  <c r="N360" i="9" s="1"/>
  <c r="N361" i="9" s="1"/>
  <c r="N362" i="9" s="1"/>
  <c r="N363" i="9" s="1"/>
  <c r="N364" i="9" s="1"/>
  <c r="N365" i="9" s="1"/>
  <c r="R120" i="9"/>
  <c r="Q121" i="9"/>
  <c r="S120" i="9"/>
  <c r="U120" i="9"/>
  <c r="L123" i="9"/>
  <c r="C30" i="1"/>
  <c r="W121" i="9" l="1"/>
  <c r="T121" i="9"/>
  <c r="N366" i="9"/>
  <c r="N367" i="9" s="1"/>
  <c r="N368" i="9" s="1"/>
  <c r="N369" i="9" s="1"/>
  <c r="N370" i="9" s="1"/>
  <c r="N371" i="9" s="1"/>
  <c r="N372" i="9" s="1"/>
  <c r="N373" i="9" s="1"/>
  <c r="N374" i="9" s="1"/>
  <c r="N375" i="9" s="1"/>
  <c r="N376" i="9" s="1"/>
  <c r="N377" i="9" s="1"/>
  <c r="N378" i="9" s="1"/>
  <c r="N379" i="9" s="1"/>
  <c r="M123" i="9"/>
  <c r="X122" i="9"/>
  <c r="R121" i="9"/>
  <c r="Q122" i="9"/>
  <c r="S121" i="9"/>
  <c r="U121" i="9"/>
  <c r="L124" i="9"/>
  <c r="C34" i="1"/>
  <c r="W122" i="9" l="1"/>
  <c r="T122" i="9"/>
  <c r="M124" i="9"/>
  <c r="X123" i="9"/>
  <c r="R122" i="9"/>
  <c r="Q123" i="9"/>
  <c r="S122" i="9"/>
  <c r="U122" i="9"/>
  <c r="L125" i="9"/>
  <c r="T5" i="1"/>
  <c r="C36" i="1"/>
  <c r="W123" i="9" l="1"/>
  <c r="T123" i="9"/>
  <c r="M125" i="9"/>
  <c r="X124" i="9"/>
  <c r="R123" i="9"/>
  <c r="Q124" i="9"/>
  <c r="U123" i="9"/>
  <c r="S123" i="9"/>
  <c r="L126" i="9"/>
  <c r="C37" i="1"/>
  <c r="W124" i="9" l="1"/>
  <c r="T124" i="9"/>
  <c r="M126" i="9"/>
  <c r="X125" i="9"/>
  <c r="R124" i="9"/>
  <c r="Q125" i="9"/>
  <c r="S124" i="9"/>
  <c r="U124" i="9"/>
  <c r="L127" i="9"/>
  <c r="C38" i="1"/>
  <c r="W125" i="9" l="1"/>
  <c r="T125" i="9"/>
  <c r="M127" i="9"/>
  <c r="X126" i="9"/>
  <c r="R125" i="9"/>
  <c r="Q126" i="9"/>
  <c r="S125" i="9"/>
  <c r="U125" i="9"/>
  <c r="L128" i="9"/>
  <c r="C39" i="1"/>
  <c r="W126" i="9" l="1"/>
  <c r="T126" i="9"/>
  <c r="M128" i="9"/>
  <c r="X127" i="9"/>
  <c r="R126" i="9"/>
  <c r="Q127" i="9"/>
  <c r="S126" i="9"/>
  <c r="U126" i="9"/>
  <c r="L129" i="9"/>
  <c r="C42" i="1"/>
  <c r="C41" i="1"/>
  <c r="W127" i="9" l="1"/>
  <c r="T127" i="9"/>
  <c r="M129" i="9"/>
  <c r="X128" i="9"/>
  <c r="R127" i="9"/>
  <c r="Q128" i="9"/>
  <c r="U127" i="9"/>
  <c r="S127" i="9"/>
  <c r="L130" i="9"/>
  <c r="C43" i="1"/>
  <c r="W128" i="9" l="1"/>
  <c r="T128" i="9"/>
  <c r="M130" i="9"/>
  <c r="X129" i="9"/>
  <c r="R128" i="9"/>
  <c r="Q129" i="9"/>
  <c r="S128" i="9"/>
  <c r="U128" i="9"/>
  <c r="L131" i="9"/>
  <c r="C49" i="1"/>
  <c r="W129" i="9" l="1"/>
  <c r="T129" i="9"/>
  <c r="M131" i="9"/>
  <c r="X130" i="9"/>
  <c r="R129" i="9"/>
  <c r="Q130" i="9"/>
  <c r="U129" i="9"/>
  <c r="S129" i="9"/>
  <c r="L132" i="9"/>
  <c r="C50" i="1"/>
  <c r="W130" i="9" l="1"/>
  <c r="T130" i="9"/>
  <c r="M132" i="9"/>
  <c r="X131" i="9"/>
  <c r="R130" i="9"/>
  <c r="Q131" i="9"/>
  <c r="S130" i="9"/>
  <c r="U130" i="9"/>
  <c r="L133" i="9"/>
  <c r="AE2" i="2"/>
  <c r="Y6" i="2"/>
  <c r="Y10" i="2"/>
  <c r="F17" i="1"/>
  <c r="H17" i="1"/>
  <c r="G17" i="1"/>
  <c r="J17" i="1"/>
  <c r="I17" i="1"/>
  <c r="W131" i="9" l="1"/>
  <c r="T131" i="9"/>
  <c r="M133" i="9"/>
  <c r="X132" i="9"/>
  <c r="R131" i="9"/>
  <c r="Q132" i="9"/>
  <c r="U131" i="9"/>
  <c r="S131" i="9"/>
  <c r="L134" i="9"/>
  <c r="AL15" i="2"/>
  <c r="AF15" i="2"/>
  <c r="AE10" i="2"/>
  <c r="AL10" i="2" s="1"/>
  <c r="AF10" i="2"/>
  <c r="AE6" i="2"/>
  <c r="Y9" i="2"/>
  <c r="Y5" i="2"/>
  <c r="AE5" i="2" s="1"/>
  <c r="Y8" i="2"/>
  <c r="Y4" i="2"/>
  <c r="AE4" i="2" s="1"/>
  <c r="Y12" i="2"/>
  <c r="Y7" i="2"/>
  <c r="Y3" i="2"/>
  <c r="AE3" i="2" s="1"/>
  <c r="D9" i="1"/>
  <c r="E9" i="1" s="1"/>
  <c r="D12" i="1"/>
  <c r="E12" i="1" s="1"/>
  <c r="D11" i="1"/>
  <c r="E11" i="1" s="1"/>
  <c r="D8" i="1"/>
  <c r="E8" i="1" s="1"/>
  <c r="D13" i="1"/>
  <c r="E13" i="1" s="1"/>
  <c r="D10" i="1"/>
  <c r="E10" i="1" s="1"/>
  <c r="W132" i="9" l="1"/>
  <c r="T132" i="9"/>
  <c r="M134" i="9"/>
  <c r="X133" i="9"/>
  <c r="R132" i="9"/>
  <c r="Q133" i="9"/>
  <c r="S132" i="9"/>
  <c r="U132" i="9"/>
  <c r="L135" i="9"/>
  <c r="AL14" i="2"/>
  <c r="AF14" i="2"/>
  <c r="AE12" i="2"/>
  <c r="AL12" i="2" s="1"/>
  <c r="AF12" i="2"/>
  <c r="AE9" i="2"/>
  <c r="AL9" i="2" s="1"/>
  <c r="AF9" i="2"/>
  <c r="AE8" i="2"/>
  <c r="AL8" i="2" s="1"/>
  <c r="AF8" i="2"/>
  <c r="AE7" i="2"/>
  <c r="AL7" i="2" s="1"/>
  <c r="AF7" i="2"/>
  <c r="AF5" i="3"/>
  <c r="BD9" i="3" s="1"/>
  <c r="W133" i="9" l="1"/>
  <c r="T133" i="9"/>
  <c r="M135" i="9"/>
  <c r="X134" i="9"/>
  <c r="R133" i="9"/>
  <c r="Q134" i="9"/>
  <c r="U133" i="9"/>
  <c r="S133" i="9"/>
  <c r="L136" i="9"/>
  <c r="AF4" i="3"/>
  <c r="I5" i="3"/>
  <c r="W134" i="9" l="1"/>
  <c r="T134" i="9"/>
  <c r="M136" i="9"/>
  <c r="X135" i="9"/>
  <c r="R134" i="9"/>
  <c r="Q135" i="9"/>
  <c r="S134" i="9"/>
  <c r="U134" i="9"/>
  <c r="L137" i="9"/>
  <c r="AF3" i="3"/>
  <c r="I4" i="3"/>
  <c r="W135" i="9" l="1"/>
  <c r="T135" i="9"/>
  <c r="M137" i="9"/>
  <c r="X136" i="9"/>
  <c r="R135" i="9"/>
  <c r="Q136" i="9"/>
  <c r="U135" i="9"/>
  <c r="S135" i="9"/>
  <c r="AF7" i="3"/>
  <c r="L138" i="9"/>
  <c r="I3" i="3"/>
  <c r="W136" i="9" l="1"/>
  <c r="T136" i="9"/>
  <c r="AF6" i="3"/>
  <c r="M138" i="9"/>
  <c r="X137" i="9"/>
  <c r="R136" i="9"/>
  <c r="Q137" i="9"/>
  <c r="S136" i="9"/>
  <c r="U136" i="9"/>
  <c r="L139" i="9"/>
  <c r="I7" i="3"/>
  <c r="W137" i="9" l="1"/>
  <c r="T137" i="9"/>
  <c r="AF9" i="3"/>
  <c r="I9" i="3" s="1"/>
  <c r="M139" i="9"/>
  <c r="X138" i="9"/>
  <c r="R137" i="9"/>
  <c r="Q138" i="9"/>
  <c r="S137" i="9"/>
  <c r="U137" i="9"/>
  <c r="L140" i="9"/>
  <c r="AF8" i="3"/>
  <c r="E8" i="3" s="1"/>
  <c r="I6" i="3"/>
  <c r="W138" i="9" l="1"/>
  <c r="T138" i="9"/>
  <c r="M140" i="9"/>
  <c r="X139" i="9"/>
  <c r="R138" i="9"/>
  <c r="Q139" i="9"/>
  <c r="S138" i="9"/>
  <c r="U138" i="9"/>
  <c r="L141" i="9"/>
  <c r="E6" i="4"/>
  <c r="W139" i="9" l="1"/>
  <c r="T139" i="9"/>
  <c r="M141" i="9"/>
  <c r="X140" i="9"/>
  <c r="R139" i="9"/>
  <c r="Q140" i="9"/>
  <c r="U139" i="9"/>
  <c r="S139" i="9"/>
  <c r="L142" i="9"/>
  <c r="E7" i="4"/>
  <c r="AS9" i="3"/>
  <c r="W140" i="9" l="1"/>
  <c r="T140" i="9"/>
  <c r="M142" i="9"/>
  <c r="X141" i="9"/>
  <c r="R140" i="9"/>
  <c r="Q141" i="9"/>
  <c r="U140" i="9"/>
  <c r="S140" i="9"/>
  <c r="L143" i="9"/>
  <c r="W141" i="9" l="1"/>
  <c r="T141" i="9"/>
  <c r="M143" i="9"/>
  <c r="X142" i="9"/>
  <c r="R141" i="9"/>
  <c r="Q142" i="9"/>
  <c r="U141" i="9"/>
  <c r="S141" i="9"/>
  <c r="L144" i="9"/>
  <c r="J9" i="2"/>
  <c r="L9" i="2"/>
  <c r="M9" i="2"/>
  <c r="W142" i="9" l="1"/>
  <c r="T142" i="9"/>
  <c r="M144" i="9"/>
  <c r="X143" i="9"/>
  <c r="R142" i="9"/>
  <c r="Q143" i="9"/>
  <c r="U142" i="9"/>
  <c r="S142" i="9"/>
  <c r="L145" i="9"/>
  <c r="I16" i="2"/>
  <c r="X16" i="2"/>
  <c r="M16" i="2"/>
  <c r="W143" i="9" l="1"/>
  <c r="T143" i="9"/>
  <c r="M145" i="9"/>
  <c r="X144" i="9"/>
  <c r="R143" i="9"/>
  <c r="Q144" i="9"/>
  <c r="S143" i="9"/>
  <c r="U143" i="9"/>
  <c r="L146" i="9"/>
  <c r="K16" i="2"/>
  <c r="J16" i="2"/>
  <c r="L16" i="2"/>
  <c r="AF16" i="2"/>
  <c r="AH16" i="2"/>
  <c r="AJ16" i="2"/>
  <c r="AI16" i="2"/>
  <c r="AK16" i="2"/>
  <c r="X17" i="2"/>
  <c r="AG16" i="2"/>
  <c r="W144" i="9" l="1"/>
  <c r="T144" i="9"/>
  <c r="M146" i="9"/>
  <c r="X145" i="9"/>
  <c r="R144" i="9"/>
  <c r="Q145" i="9"/>
  <c r="U144" i="9"/>
  <c r="S144" i="9"/>
  <c r="L147" i="9"/>
  <c r="M17" i="2"/>
  <c r="I17" i="2"/>
  <c r="L17" i="2"/>
  <c r="N17" i="2"/>
  <c r="J17" i="2"/>
  <c r="K17" i="2"/>
  <c r="AH17" i="2"/>
  <c r="AL16" i="2"/>
  <c r="AI17" i="2"/>
  <c r="AK17" i="2"/>
  <c r="AF17" i="2"/>
  <c r="X18" i="2"/>
  <c r="AG17" i="2"/>
  <c r="AJ17" i="2"/>
  <c r="W145" i="9" l="1"/>
  <c r="T145" i="9"/>
  <c r="M147" i="9"/>
  <c r="X146" i="9"/>
  <c r="R145" i="9"/>
  <c r="Q146" i="9"/>
  <c r="U145" i="9"/>
  <c r="S145" i="9"/>
  <c r="L148" i="9"/>
  <c r="L18" i="2"/>
  <c r="AK18" i="2"/>
  <c r="AL17" i="2"/>
  <c r="M18" i="2"/>
  <c r="AJ18" i="2"/>
  <c r="N18" i="2"/>
  <c r="I18" i="2"/>
  <c r="J18" i="2"/>
  <c r="K18" i="2"/>
  <c r="AI18" i="2"/>
  <c r="X19" i="2"/>
  <c r="B20" i="2"/>
  <c r="AH18" i="2"/>
  <c r="AF18" i="2"/>
  <c r="AG18" i="2"/>
  <c r="W146" i="9" l="1"/>
  <c r="T146" i="9"/>
  <c r="M148" i="9"/>
  <c r="X147" i="9"/>
  <c r="R146" i="9"/>
  <c r="Q147" i="9"/>
  <c r="S146" i="9"/>
  <c r="U146" i="9"/>
  <c r="L149" i="9"/>
  <c r="S20" i="2"/>
  <c r="T20" i="2"/>
  <c r="U20" i="2"/>
  <c r="R20" i="2"/>
  <c r="V20" i="2"/>
  <c r="Q20" i="2"/>
  <c r="P20" i="2"/>
  <c r="A20" i="2"/>
  <c r="J19" i="2"/>
  <c r="L19" i="2"/>
  <c r="AG19" i="2"/>
  <c r="AL18" i="2"/>
  <c r="AK19" i="2"/>
  <c r="AJ19" i="2"/>
  <c r="N19" i="2"/>
  <c r="I19" i="2"/>
  <c r="AH19" i="2"/>
  <c r="M19" i="2"/>
  <c r="K19" i="2"/>
  <c r="AI19" i="2"/>
  <c r="X20" i="2"/>
  <c r="B21" i="2"/>
  <c r="W147" i="9" l="1"/>
  <c r="T147" i="9"/>
  <c r="M149" i="9"/>
  <c r="X148" i="9"/>
  <c r="R147" i="9"/>
  <c r="Q148" i="9"/>
  <c r="U147" i="9"/>
  <c r="S147" i="9"/>
  <c r="L150" i="9"/>
  <c r="U21" i="2"/>
  <c r="V21" i="2"/>
  <c r="Q21" i="2"/>
  <c r="T21" i="2"/>
  <c r="R21" i="2"/>
  <c r="S21" i="2"/>
  <c r="Z20" i="2"/>
  <c r="AA20" i="2"/>
  <c r="AC20" i="2"/>
  <c r="A21" i="2"/>
  <c r="P21" i="2"/>
  <c r="AC21" i="2" s="1"/>
  <c r="AB20" i="2"/>
  <c r="Y20" i="2"/>
  <c r="AD20" i="2"/>
  <c r="J20" i="2"/>
  <c r="AL19" i="2"/>
  <c r="AF19" i="2"/>
  <c r="AJ20" i="2"/>
  <c r="AK20" i="2"/>
  <c r="AI20" i="2"/>
  <c r="M20" i="2"/>
  <c r="N20" i="2"/>
  <c r="AH20" i="2"/>
  <c r="AF20" i="2"/>
  <c r="K20" i="2"/>
  <c r="L20" i="2"/>
  <c r="I20" i="2"/>
  <c r="X21" i="2"/>
  <c r="B22" i="2"/>
  <c r="AG20" i="2"/>
  <c r="W148" i="9" l="1"/>
  <c r="T148" i="9"/>
  <c r="M150" i="9"/>
  <c r="X149" i="9"/>
  <c r="R148" i="9"/>
  <c r="Q149" i="9"/>
  <c r="S148" i="9"/>
  <c r="U148" i="9"/>
  <c r="L151" i="9"/>
  <c r="Y21" i="2"/>
  <c r="Q22" i="2"/>
  <c r="R22" i="2"/>
  <c r="S22" i="2"/>
  <c r="T22" i="2"/>
  <c r="U22" i="2"/>
  <c r="V22" i="2"/>
  <c r="AD21" i="2"/>
  <c r="AB21" i="2"/>
  <c r="AE20" i="2"/>
  <c r="A22" i="2"/>
  <c r="P22" i="2"/>
  <c r="Z22" i="2" s="1"/>
  <c r="AA21" i="2"/>
  <c r="Z21" i="2"/>
  <c r="J21" i="2"/>
  <c r="L21" i="2"/>
  <c r="AF21" i="2"/>
  <c r="AL20" i="2"/>
  <c r="AI21" i="2"/>
  <c r="AK21" i="2"/>
  <c r="X22" i="2"/>
  <c r="B23" i="2"/>
  <c r="AJ21" i="2"/>
  <c r="N21" i="2"/>
  <c r="AH21" i="2"/>
  <c r="K21" i="2"/>
  <c r="I21" i="2"/>
  <c r="M21" i="2"/>
  <c r="AG21" i="2"/>
  <c r="W149" i="9" l="1"/>
  <c r="T149" i="9"/>
  <c r="M151" i="9"/>
  <c r="X150" i="9"/>
  <c r="R149" i="9"/>
  <c r="Q150" i="9"/>
  <c r="U149" i="9"/>
  <c r="S149" i="9"/>
  <c r="L152" i="9"/>
  <c r="Q23" i="2"/>
  <c r="R23" i="2"/>
  <c r="S23" i="2"/>
  <c r="T23" i="2"/>
  <c r="U23" i="2"/>
  <c r="V23" i="2"/>
  <c r="AE21" i="2"/>
  <c r="Y22" i="2"/>
  <c r="AA22" i="2"/>
  <c r="AD22" i="2"/>
  <c r="AB22" i="2"/>
  <c r="A23" i="2"/>
  <c r="P23" i="2"/>
  <c r="AC22" i="2"/>
  <c r="J22" i="2"/>
  <c r="AJ22" i="2"/>
  <c r="AL21" i="2"/>
  <c r="X23" i="2"/>
  <c r="B24" i="2"/>
  <c r="I22" i="2"/>
  <c r="K22" i="2"/>
  <c r="L22" i="2"/>
  <c r="N22" i="2"/>
  <c r="M22" i="2"/>
  <c r="AG22" i="2"/>
  <c r="AK22" i="2"/>
  <c r="AH22" i="2"/>
  <c r="AI22" i="2"/>
  <c r="W150" i="9" l="1"/>
  <c r="T150" i="9"/>
  <c r="M152" i="9"/>
  <c r="X151" i="9"/>
  <c r="R150" i="9"/>
  <c r="Q151" i="9"/>
  <c r="S150" i="9"/>
  <c r="U150" i="9"/>
  <c r="L153" i="9"/>
  <c r="S24" i="2"/>
  <c r="T24" i="2"/>
  <c r="U24" i="2"/>
  <c r="R24" i="2"/>
  <c r="V24" i="2"/>
  <c r="Q24" i="2"/>
  <c r="Z23" i="2"/>
  <c r="AE22" i="2"/>
  <c r="AD23" i="2"/>
  <c r="A24" i="2"/>
  <c r="P24" i="2"/>
  <c r="Z25" i="2" s="1"/>
  <c r="AB23" i="2"/>
  <c r="Y23" i="2"/>
  <c r="AC23" i="2"/>
  <c r="AD25" i="2"/>
  <c r="AA23" i="2"/>
  <c r="J23" i="2"/>
  <c r="L23" i="2"/>
  <c r="AL22" i="2"/>
  <c r="AF22" i="2"/>
  <c r="X24" i="2"/>
  <c r="B25" i="2"/>
  <c r="AJ23" i="2"/>
  <c r="AH23" i="2"/>
  <c r="AK23" i="2"/>
  <c r="AF23" i="2"/>
  <c r="K23" i="2"/>
  <c r="AG23" i="2"/>
  <c r="AI23" i="2"/>
  <c r="I23" i="2"/>
  <c r="N23" i="2"/>
  <c r="M23" i="2"/>
  <c r="W151" i="9" l="1"/>
  <c r="T151" i="9"/>
  <c r="M153" i="9"/>
  <c r="X152" i="9"/>
  <c r="R151" i="9"/>
  <c r="Q152" i="9"/>
  <c r="S151" i="9"/>
  <c r="U151" i="9"/>
  <c r="AD24" i="2"/>
  <c r="AB24" i="2"/>
  <c r="L154" i="9"/>
  <c r="Y25" i="2"/>
  <c r="U25" i="2"/>
  <c r="V25" i="2"/>
  <c r="T25" i="2"/>
  <c r="Q25" i="2"/>
  <c r="R25" i="2"/>
  <c r="S25" i="2"/>
  <c r="AA25" i="2"/>
  <c r="A25" i="2"/>
  <c r="P25" i="2"/>
  <c r="AA24" i="2"/>
  <c r="AC25" i="2"/>
  <c r="AB25" i="2"/>
  <c r="Y24" i="2"/>
  <c r="AE23" i="2"/>
  <c r="AC24" i="2"/>
  <c r="Z24" i="2"/>
  <c r="AL23" i="2"/>
  <c r="X25" i="2"/>
  <c r="B26" i="2"/>
  <c r="J24" i="2"/>
  <c r="N24" i="2"/>
  <c r="L24" i="2"/>
  <c r="K24" i="2"/>
  <c r="M24" i="2"/>
  <c r="I24" i="2"/>
  <c r="AH24" i="2"/>
  <c r="AF24" i="2"/>
  <c r="AI24" i="2"/>
  <c r="AJ24" i="2"/>
  <c r="AK24" i="2"/>
  <c r="AG24" i="2"/>
  <c r="W152" i="9" l="1"/>
  <c r="T152" i="9"/>
  <c r="M154" i="9"/>
  <c r="X153" i="9"/>
  <c r="R152" i="9"/>
  <c r="Q153" i="9"/>
  <c r="U152" i="9"/>
  <c r="S152" i="9"/>
  <c r="L155" i="9"/>
  <c r="Q26" i="2"/>
  <c r="R26" i="2"/>
  <c r="S26" i="2"/>
  <c r="T26" i="2"/>
  <c r="V26" i="2"/>
  <c r="AD26" i="2" s="1"/>
  <c r="U26" i="2"/>
  <c r="AE25" i="2"/>
  <c r="A26" i="2"/>
  <c r="P26" i="2"/>
  <c r="AA26" i="2"/>
  <c r="AB26" i="2"/>
  <c r="AE24" i="2"/>
  <c r="AL24" i="2"/>
  <c r="X26" i="2"/>
  <c r="B27" i="2"/>
  <c r="AJ25" i="2"/>
  <c r="AH25" i="2"/>
  <c r="AG25" i="2"/>
  <c r="L25" i="2"/>
  <c r="J25" i="2"/>
  <c r="AF25" i="2"/>
  <c r="AI25" i="2"/>
  <c r="M25" i="2"/>
  <c r="AK25" i="2"/>
  <c r="I25" i="2"/>
  <c r="N25" i="2"/>
  <c r="K25" i="2"/>
  <c r="W153" i="9" l="1"/>
  <c r="T153" i="9"/>
  <c r="M155" i="9"/>
  <c r="X154" i="9"/>
  <c r="R153" i="9"/>
  <c r="Q154" i="9"/>
  <c r="U153" i="9"/>
  <c r="S153" i="9"/>
  <c r="L156" i="9"/>
  <c r="Q27" i="2"/>
  <c r="R27" i="2"/>
  <c r="S27" i="2"/>
  <c r="T27" i="2"/>
  <c r="U27" i="2"/>
  <c r="V27" i="2"/>
  <c r="Z26" i="2"/>
  <c r="AC26" i="2"/>
  <c r="Y26" i="2"/>
  <c r="A27" i="2"/>
  <c r="P27" i="2"/>
  <c r="AC27" i="2"/>
  <c r="J26" i="2"/>
  <c r="L26" i="2"/>
  <c r="AL25" i="2"/>
  <c r="X27" i="2"/>
  <c r="B28" i="2"/>
  <c r="I26" i="2"/>
  <c r="K26" i="2"/>
  <c r="M26" i="2"/>
  <c r="N26" i="2"/>
  <c r="AK26" i="2"/>
  <c r="AJ26" i="2"/>
  <c r="AG26" i="2"/>
  <c r="AH26" i="2"/>
  <c r="AI26" i="2"/>
  <c r="W154" i="9" l="1"/>
  <c r="T154" i="9"/>
  <c r="M156" i="9"/>
  <c r="X155" i="9"/>
  <c r="R154" i="9"/>
  <c r="Q155" i="9"/>
  <c r="U154" i="9"/>
  <c r="S154" i="9"/>
  <c r="AD27" i="2"/>
  <c r="AB27" i="2"/>
  <c r="Y27" i="2"/>
  <c r="L157" i="9"/>
  <c r="Z27" i="2"/>
  <c r="AA27" i="2"/>
  <c r="S28" i="2"/>
  <c r="T28" i="2"/>
  <c r="U28" i="2"/>
  <c r="V28" i="2"/>
  <c r="Q28" i="2"/>
  <c r="R28" i="2"/>
  <c r="AE26" i="2"/>
  <c r="A28" i="2"/>
  <c r="P28" i="2"/>
  <c r="AD28" i="2" s="1"/>
  <c r="AC28" i="2"/>
  <c r="AE27" i="2"/>
  <c r="AL26" i="2"/>
  <c r="AF26" i="2"/>
  <c r="X28" i="2"/>
  <c r="B29" i="2"/>
  <c r="K27" i="2"/>
  <c r="J27" i="2"/>
  <c r="L27" i="2"/>
  <c r="I27" i="2"/>
  <c r="N27" i="2"/>
  <c r="AK27" i="2"/>
  <c r="M27" i="2"/>
  <c r="AJ27" i="2"/>
  <c r="AI27" i="2"/>
  <c r="AF27" i="2"/>
  <c r="AH27" i="2"/>
  <c r="AG27" i="2"/>
  <c r="W155" i="9" l="1"/>
  <c r="T155" i="9"/>
  <c r="M157" i="9"/>
  <c r="X156" i="9"/>
  <c r="R155" i="9"/>
  <c r="Q156" i="9"/>
  <c r="U155" i="9"/>
  <c r="S155" i="9"/>
  <c r="Z28" i="2"/>
  <c r="AB28" i="2"/>
  <c r="Y28" i="2"/>
  <c r="L158" i="9"/>
  <c r="AA28" i="2"/>
  <c r="U29" i="2"/>
  <c r="V29" i="2"/>
  <c r="T29" i="2"/>
  <c r="Q29" i="2"/>
  <c r="R29" i="2"/>
  <c r="S29" i="2"/>
  <c r="AE28" i="2"/>
  <c r="A29" i="2"/>
  <c r="P29" i="2"/>
  <c r="AC29" i="2"/>
  <c r="AL27" i="2"/>
  <c r="X29" i="2"/>
  <c r="B30" i="2"/>
  <c r="L28" i="2"/>
  <c r="I28" i="2"/>
  <c r="J28" i="2"/>
  <c r="M28" i="2"/>
  <c r="N28" i="2"/>
  <c r="K28" i="2"/>
  <c r="AK28" i="2"/>
  <c r="AJ28" i="2"/>
  <c r="AI28" i="2"/>
  <c r="AH28" i="2"/>
  <c r="AG28" i="2"/>
  <c r="W156" i="9" l="1"/>
  <c r="T156" i="9"/>
  <c r="M158" i="9"/>
  <c r="X157" i="9"/>
  <c r="R156" i="9"/>
  <c r="Q157" i="9"/>
  <c r="U156" i="9"/>
  <c r="S156" i="9"/>
  <c r="L159" i="9"/>
  <c r="Q30" i="2"/>
  <c r="V30" i="2"/>
  <c r="R30" i="2"/>
  <c r="S30" i="2"/>
  <c r="T30" i="2"/>
  <c r="U30" i="2"/>
  <c r="A30" i="2"/>
  <c r="P30" i="2"/>
  <c r="Z30" i="2" s="1"/>
  <c r="Y29" i="2"/>
  <c r="AA29" i="2"/>
  <c r="AD29" i="2"/>
  <c r="Z29" i="2"/>
  <c r="AB29" i="2"/>
  <c r="AL28" i="2"/>
  <c r="AF28" i="2"/>
  <c r="X30" i="2"/>
  <c r="B31" i="2"/>
  <c r="N29" i="2"/>
  <c r="K29" i="2"/>
  <c r="I29" i="2"/>
  <c r="M29" i="2"/>
  <c r="J29" i="2"/>
  <c r="L29" i="2"/>
  <c r="AF29" i="2"/>
  <c r="AK29" i="2"/>
  <c r="AJ29" i="2"/>
  <c r="AH29" i="2"/>
  <c r="AI29" i="2"/>
  <c r="AG29" i="2"/>
  <c r="W157" i="9" l="1"/>
  <c r="T157" i="9"/>
  <c r="M159" i="9"/>
  <c r="X158" i="9"/>
  <c r="R157" i="9"/>
  <c r="Q158" i="9"/>
  <c r="U157" i="9"/>
  <c r="S157" i="9"/>
  <c r="AB30" i="2"/>
  <c r="L160" i="9"/>
  <c r="Q31" i="2"/>
  <c r="R31" i="2"/>
  <c r="S31" i="2"/>
  <c r="T31" i="2"/>
  <c r="U31" i="2"/>
  <c r="V31" i="2"/>
  <c r="AA30" i="2"/>
  <c r="AC30" i="2"/>
  <c r="Y30" i="2"/>
  <c r="A31" i="2"/>
  <c r="P31" i="2"/>
  <c r="Z31" i="2" s="1"/>
  <c r="AE29" i="2"/>
  <c r="AD30" i="2"/>
  <c r="AL29" i="2"/>
  <c r="X31" i="2"/>
  <c r="B32" i="2"/>
  <c r="AF30" i="2"/>
  <c r="AK30" i="2"/>
  <c r="AI30" i="2"/>
  <c r="AG30" i="2"/>
  <c r="N30" i="2"/>
  <c r="AJ30" i="2"/>
  <c r="I30" i="2"/>
  <c r="AH30" i="2"/>
  <c r="M30" i="2"/>
  <c r="L30" i="2"/>
  <c r="K30" i="2"/>
  <c r="J30" i="2"/>
  <c r="W158" i="9" l="1"/>
  <c r="T158" i="9"/>
  <c r="M160" i="9"/>
  <c r="X159" i="9"/>
  <c r="R158" i="9"/>
  <c r="Q159" i="9"/>
  <c r="U158" i="9"/>
  <c r="S158" i="9"/>
  <c r="AA31" i="2"/>
  <c r="AD31" i="2"/>
  <c r="L161" i="9"/>
  <c r="AC31" i="2"/>
  <c r="AB31" i="2"/>
  <c r="Y31" i="2"/>
  <c r="S32" i="2"/>
  <c r="T32" i="2"/>
  <c r="U32" i="2"/>
  <c r="V32" i="2"/>
  <c r="R32" i="2"/>
  <c r="Q32" i="2"/>
  <c r="A32" i="2"/>
  <c r="P32" i="2"/>
  <c r="AB32" i="2" s="1"/>
  <c r="AE30" i="2"/>
  <c r="AE31" i="2"/>
  <c r="J31" i="2"/>
  <c r="AL30" i="2"/>
  <c r="X32" i="2"/>
  <c r="B33" i="2"/>
  <c r="AJ31" i="2"/>
  <c r="AI31" i="2"/>
  <c r="AK31" i="2"/>
  <c r="AG31" i="2"/>
  <c r="K31" i="2"/>
  <c r="M31" i="2"/>
  <c r="AF31" i="2"/>
  <c r="L31" i="2"/>
  <c r="AH31" i="2"/>
  <c r="N31" i="2"/>
  <c r="I31" i="2"/>
  <c r="W159" i="9" l="1"/>
  <c r="T159" i="9"/>
  <c r="M161" i="9"/>
  <c r="X160" i="9"/>
  <c r="R159" i="9"/>
  <c r="Q160" i="9"/>
  <c r="S159" i="9"/>
  <c r="U159" i="9"/>
  <c r="L162" i="9"/>
  <c r="AD32" i="2"/>
  <c r="AC32" i="2"/>
  <c r="Y32" i="2"/>
  <c r="Z32" i="2"/>
  <c r="AA32" i="2"/>
  <c r="AE32" i="2" s="1"/>
  <c r="U33" i="2"/>
  <c r="V33" i="2"/>
  <c r="Q33" i="2"/>
  <c r="R33" i="2"/>
  <c r="S33" i="2"/>
  <c r="T33" i="2"/>
  <c r="A33" i="2"/>
  <c r="P33" i="2"/>
  <c r="AD33" i="2" s="1"/>
  <c r="Z33" i="2"/>
  <c r="L32" i="2"/>
  <c r="J32" i="2"/>
  <c r="AL31" i="2"/>
  <c r="AK32" i="2"/>
  <c r="AH32" i="2"/>
  <c r="I32" i="2"/>
  <c r="N32" i="2"/>
  <c r="AJ32" i="2"/>
  <c r="M32" i="2"/>
  <c r="AI32" i="2"/>
  <c r="K32" i="2"/>
  <c r="AG32" i="2"/>
  <c r="X33" i="2"/>
  <c r="B34" i="2"/>
  <c r="W160" i="9" l="1"/>
  <c r="T160" i="9"/>
  <c r="M162" i="9"/>
  <c r="X161" i="9"/>
  <c r="R160" i="9"/>
  <c r="Q161" i="9"/>
  <c r="S160" i="9"/>
  <c r="U160" i="9"/>
  <c r="AC33" i="2"/>
  <c r="L163" i="9"/>
  <c r="AA33" i="2"/>
  <c r="Y33" i="2"/>
  <c r="AB33" i="2"/>
  <c r="Q34" i="2"/>
  <c r="V34" i="2"/>
  <c r="R34" i="2"/>
  <c r="S34" i="2"/>
  <c r="T34" i="2"/>
  <c r="U34" i="2"/>
  <c r="A34" i="2"/>
  <c r="P34" i="2"/>
  <c r="AE33" i="2"/>
  <c r="AL32" i="2"/>
  <c r="AF32" i="2"/>
  <c r="AJ33" i="2"/>
  <c r="AK33" i="2"/>
  <c r="AG33" i="2"/>
  <c r="X34" i="2"/>
  <c r="B35" i="2"/>
  <c r="AH33" i="2"/>
  <c r="N33" i="2"/>
  <c r="K33" i="2"/>
  <c r="AI33" i="2"/>
  <c r="M33" i="2"/>
  <c r="I33" i="2"/>
  <c r="W161" i="9" l="1"/>
  <c r="T161" i="9"/>
  <c r="M163" i="9"/>
  <c r="X162" i="9"/>
  <c r="R161" i="9"/>
  <c r="Q162" i="9"/>
  <c r="U161" i="9"/>
  <c r="S161" i="9"/>
  <c r="AD34" i="2"/>
  <c r="L164" i="9"/>
  <c r="AB34" i="2"/>
  <c r="AA34" i="2"/>
  <c r="Z34" i="2"/>
  <c r="AC34" i="2"/>
  <c r="Q35" i="2"/>
  <c r="R35" i="2"/>
  <c r="S35" i="2"/>
  <c r="T35" i="2"/>
  <c r="U35" i="2"/>
  <c r="V35" i="2"/>
  <c r="A35" i="2"/>
  <c r="P35" i="2"/>
  <c r="Y34" i="2"/>
  <c r="AL33" i="2"/>
  <c r="AF33" i="2"/>
  <c r="AJ34" i="2"/>
  <c r="AH34" i="2"/>
  <c r="AI34" i="2"/>
  <c r="X35" i="2"/>
  <c r="B36" i="2"/>
  <c r="N34" i="2"/>
  <c r="AG34" i="2"/>
  <c r="AK34" i="2"/>
  <c r="AF34" i="2"/>
  <c r="M34" i="2"/>
  <c r="K34" i="2"/>
  <c r="I34" i="2"/>
  <c r="W162" i="9" l="1"/>
  <c r="T162" i="9"/>
  <c r="M164" i="9"/>
  <c r="X163" i="9"/>
  <c r="R162" i="9"/>
  <c r="Q163" i="9"/>
  <c r="U162" i="9"/>
  <c r="S162" i="9"/>
  <c r="L165" i="9"/>
  <c r="AA35" i="2"/>
  <c r="AC35" i="2"/>
  <c r="AE34" i="2"/>
  <c r="AD35" i="2"/>
  <c r="Z35" i="2"/>
  <c r="AB35" i="2"/>
  <c r="Y35" i="2"/>
  <c r="S36" i="2"/>
  <c r="T36" i="2"/>
  <c r="U36" i="2"/>
  <c r="V36" i="2"/>
  <c r="R36" i="2"/>
  <c r="Q36" i="2"/>
  <c r="A36" i="2"/>
  <c r="P36" i="2"/>
  <c r="AL34" i="2"/>
  <c r="AH35" i="2"/>
  <c r="AJ35" i="2"/>
  <c r="AI35" i="2"/>
  <c r="AG35" i="2"/>
  <c r="X36" i="2"/>
  <c r="B37" i="2"/>
  <c r="AF35" i="2"/>
  <c r="K35" i="2"/>
  <c r="M35" i="2"/>
  <c r="N35" i="2"/>
  <c r="I35" i="2"/>
  <c r="L35" i="2"/>
  <c r="J35" i="2"/>
  <c r="AK35" i="2"/>
  <c r="W163" i="9" l="1"/>
  <c r="T163" i="9"/>
  <c r="M165" i="9"/>
  <c r="X164" i="9"/>
  <c r="R163" i="9"/>
  <c r="Q164" i="9"/>
  <c r="S163" i="9"/>
  <c r="U163" i="9"/>
  <c r="AE35" i="2"/>
  <c r="L166" i="9"/>
  <c r="U37" i="2"/>
  <c r="V37" i="2"/>
  <c r="Q37" i="2"/>
  <c r="R37" i="2"/>
  <c r="T37" i="2"/>
  <c r="S37" i="2"/>
  <c r="AC36" i="2"/>
  <c r="AC37" i="2"/>
  <c r="AB36" i="2"/>
  <c r="AB37" i="2"/>
  <c r="Y37" i="2"/>
  <c r="Y36" i="2"/>
  <c r="AA37" i="2"/>
  <c r="AA36" i="2"/>
  <c r="AD37" i="2"/>
  <c r="AD36" i="2"/>
  <c r="A37" i="2"/>
  <c r="P37" i="2"/>
  <c r="Z36" i="2"/>
  <c r="Z37" i="2"/>
  <c r="AL35" i="2"/>
  <c r="X37" i="2"/>
  <c r="B38" i="2"/>
  <c r="N36" i="2"/>
  <c r="I36" i="2"/>
  <c r="M36" i="2"/>
  <c r="K36" i="2"/>
  <c r="AI36" i="2"/>
  <c r="AF36" i="2"/>
  <c r="AK36" i="2"/>
  <c r="AJ36" i="2"/>
  <c r="AH36" i="2"/>
  <c r="AG36" i="2"/>
  <c r="W164" i="9" l="1"/>
  <c r="T164" i="9"/>
  <c r="M166" i="9"/>
  <c r="X165" i="9"/>
  <c r="R164" i="9"/>
  <c r="Q165" i="9"/>
  <c r="U164" i="9"/>
  <c r="S164" i="9"/>
  <c r="L167" i="9"/>
  <c r="V38" i="2"/>
  <c r="Q38" i="2"/>
  <c r="R38" i="2"/>
  <c r="S38" i="2"/>
  <c r="T38" i="2"/>
  <c r="U38" i="2"/>
  <c r="A38" i="2"/>
  <c r="P38" i="2"/>
  <c r="AE36" i="2"/>
  <c r="AE37" i="2"/>
  <c r="AL36" i="2"/>
  <c r="X38" i="2"/>
  <c r="B39" i="2"/>
  <c r="N37" i="2"/>
  <c r="M37" i="2"/>
  <c r="I37" i="2"/>
  <c r="K37" i="2"/>
  <c r="J37" i="2"/>
  <c r="AF37" i="2"/>
  <c r="AJ37" i="2"/>
  <c r="AI37" i="2"/>
  <c r="AK37" i="2"/>
  <c r="AH37" i="2"/>
  <c r="AG37" i="2"/>
  <c r="W165" i="9" l="1"/>
  <c r="T165" i="9"/>
  <c r="M167" i="9"/>
  <c r="X166" i="9"/>
  <c r="R165" i="9"/>
  <c r="Q166" i="9"/>
  <c r="S165" i="9"/>
  <c r="U165" i="9"/>
  <c r="AB38" i="2"/>
  <c r="L168" i="9"/>
  <c r="Q39" i="2"/>
  <c r="R39" i="2"/>
  <c r="S39" i="2"/>
  <c r="AA39" i="2" s="1"/>
  <c r="T39" i="2"/>
  <c r="U39" i="2"/>
  <c r="V39" i="2"/>
  <c r="Z38" i="2"/>
  <c r="AC38" i="2"/>
  <c r="AA38" i="2"/>
  <c r="Y38" i="2"/>
  <c r="A39" i="2"/>
  <c r="P39" i="2"/>
  <c r="Y39" i="2" s="1"/>
  <c r="Z39" i="2"/>
  <c r="AD38" i="2"/>
  <c r="AL37" i="2"/>
  <c r="X39" i="2"/>
  <c r="B40" i="2"/>
  <c r="I38" i="2"/>
  <c r="J38" i="2"/>
  <c r="M38" i="2"/>
  <c r="K38" i="2"/>
  <c r="N38" i="2"/>
  <c r="L38" i="2"/>
  <c r="AI38" i="2"/>
  <c r="AH38" i="2"/>
  <c r="AJ38" i="2"/>
  <c r="AK38" i="2"/>
  <c r="AF38" i="2"/>
  <c r="AG38" i="2"/>
  <c r="W166" i="9" l="1"/>
  <c r="T166" i="9"/>
  <c r="M168" i="9"/>
  <c r="X167" i="9"/>
  <c r="R166" i="9"/>
  <c r="Q167" i="9"/>
  <c r="S166" i="9"/>
  <c r="U166" i="9"/>
  <c r="AD39" i="2"/>
  <c r="AB39" i="2"/>
  <c r="AC39" i="2"/>
  <c r="L169" i="9"/>
  <c r="S40" i="2"/>
  <c r="T40" i="2"/>
  <c r="AB40" i="2" s="1"/>
  <c r="U40" i="2"/>
  <c r="R40" i="2"/>
  <c r="V40" i="2"/>
  <c r="Q40" i="2"/>
  <c r="AE39" i="2"/>
  <c r="A40" i="2"/>
  <c r="P40" i="2"/>
  <c r="AE38" i="2"/>
  <c r="AL38" i="2"/>
  <c r="X40" i="2"/>
  <c r="B41" i="2"/>
  <c r="K39" i="2"/>
  <c r="L39" i="2"/>
  <c r="I39" i="2"/>
  <c r="J39" i="2"/>
  <c r="M39" i="2"/>
  <c r="N39" i="2"/>
  <c r="AH39" i="2"/>
  <c r="AI39" i="2"/>
  <c r="AK39" i="2"/>
  <c r="AJ39" i="2"/>
  <c r="AF39" i="2"/>
  <c r="AG39" i="2"/>
  <c r="W167" i="9" l="1"/>
  <c r="T167" i="9"/>
  <c r="M169" i="9"/>
  <c r="X168" i="9"/>
  <c r="R167" i="9"/>
  <c r="Q168" i="9"/>
  <c r="U167" i="9"/>
  <c r="S167" i="9"/>
  <c r="AC40" i="2"/>
  <c r="AD40" i="2"/>
  <c r="L170" i="9"/>
  <c r="Z40" i="2"/>
  <c r="Y40" i="2"/>
  <c r="AE40" i="2" s="1"/>
  <c r="AA40" i="2"/>
  <c r="A41" i="2"/>
  <c r="P41" i="2"/>
  <c r="AL39" i="2"/>
  <c r="X41" i="2"/>
  <c r="B42" i="2"/>
  <c r="N40" i="2"/>
  <c r="I40" i="2"/>
  <c r="L40" i="2"/>
  <c r="M40" i="2"/>
  <c r="K40" i="2"/>
  <c r="AH40" i="2"/>
  <c r="AK40" i="2"/>
  <c r="AG40" i="2"/>
  <c r="AF40" i="2"/>
  <c r="AI40" i="2"/>
  <c r="AJ40" i="2"/>
  <c r="W168" i="9" l="1"/>
  <c r="T168" i="9"/>
  <c r="M170" i="9"/>
  <c r="X169" i="9"/>
  <c r="R168" i="9"/>
  <c r="Q169" i="9"/>
  <c r="S168" i="9"/>
  <c r="U168" i="9"/>
  <c r="L171" i="9"/>
  <c r="P42" i="2"/>
  <c r="A42" i="2"/>
  <c r="AL40" i="2"/>
  <c r="X42" i="2"/>
  <c r="B43" i="2"/>
  <c r="W169" i="9" l="1"/>
  <c r="T169" i="9"/>
  <c r="M171" i="9"/>
  <c r="X170" i="9"/>
  <c r="R169" i="9"/>
  <c r="Q170" i="9"/>
  <c r="U169" i="9"/>
  <c r="S169" i="9"/>
  <c r="L172" i="9"/>
  <c r="P43" i="2"/>
  <c r="A43" i="2"/>
  <c r="X43" i="2"/>
  <c r="B44" i="2"/>
  <c r="N42" i="2"/>
  <c r="M42" i="2"/>
  <c r="I42" i="2"/>
  <c r="K42" i="2"/>
  <c r="W170" i="9" l="1"/>
  <c r="T170" i="9"/>
  <c r="M172" i="9"/>
  <c r="X171" i="9"/>
  <c r="R170" i="9"/>
  <c r="Q171" i="9"/>
  <c r="S170" i="9"/>
  <c r="U170" i="9"/>
  <c r="L173" i="9"/>
  <c r="P44" i="2"/>
  <c r="A44" i="2"/>
  <c r="M43" i="2"/>
  <c r="I43" i="2"/>
  <c r="K43" i="2"/>
  <c r="N43" i="2"/>
  <c r="L43" i="2"/>
  <c r="X44" i="2"/>
  <c r="B45" i="2"/>
  <c r="W171" i="9" l="1"/>
  <c r="T171" i="9"/>
  <c r="M173" i="9"/>
  <c r="X172" i="9"/>
  <c r="R171" i="9"/>
  <c r="Q172" i="9"/>
  <c r="U171" i="9"/>
  <c r="S171" i="9"/>
  <c r="L174" i="9"/>
  <c r="P45" i="2"/>
  <c r="A45" i="2"/>
  <c r="X45" i="2"/>
  <c r="B46" i="2"/>
  <c r="J44" i="2"/>
  <c r="I44" i="2"/>
  <c r="K44" i="2"/>
  <c r="N44" i="2"/>
  <c r="L44" i="2"/>
  <c r="M44" i="2"/>
  <c r="W172" i="9" l="1"/>
  <c r="T172" i="9"/>
  <c r="M174" i="9"/>
  <c r="X173" i="9"/>
  <c r="R172" i="9"/>
  <c r="Q173" i="9"/>
  <c r="S172" i="9"/>
  <c r="U172" i="9"/>
  <c r="L175" i="9"/>
  <c r="P46" i="2"/>
  <c r="A46" i="2"/>
  <c r="X46" i="2"/>
  <c r="B47" i="2"/>
  <c r="K45" i="2"/>
  <c r="N45" i="2"/>
  <c r="I45" i="2"/>
  <c r="M45" i="2"/>
  <c r="W173" i="9" l="1"/>
  <c r="T173" i="9"/>
  <c r="M175" i="9"/>
  <c r="X174" i="9"/>
  <c r="R173" i="9"/>
  <c r="Q174" i="9"/>
  <c r="U173" i="9"/>
  <c r="S173" i="9"/>
  <c r="L176" i="9"/>
  <c r="P47" i="2"/>
  <c r="A47" i="2"/>
  <c r="N46" i="2"/>
  <c r="K46" i="2"/>
  <c r="M46" i="2"/>
  <c r="J46" i="2"/>
  <c r="I46" i="2"/>
  <c r="X47" i="2"/>
  <c r="B48" i="2"/>
  <c r="W174" i="9" l="1"/>
  <c r="T174" i="9"/>
  <c r="M176" i="9"/>
  <c r="X175" i="9"/>
  <c r="R174" i="9"/>
  <c r="Q175" i="9"/>
  <c r="U174" i="9"/>
  <c r="S174" i="9"/>
  <c r="L177" i="9"/>
  <c r="P48" i="2"/>
  <c r="A48" i="2"/>
  <c r="X48" i="2"/>
  <c r="B49" i="2"/>
  <c r="N47" i="2"/>
  <c r="I47" i="2"/>
  <c r="K47" i="2"/>
  <c r="M47" i="2"/>
  <c r="W175" i="9" l="1"/>
  <c r="T175" i="9"/>
  <c r="M177" i="9"/>
  <c r="X176" i="9"/>
  <c r="R175" i="9"/>
  <c r="Q176" i="9"/>
  <c r="U175" i="9"/>
  <c r="S175" i="9"/>
  <c r="L178" i="9"/>
  <c r="P49" i="2"/>
  <c r="A49" i="2"/>
  <c r="X49" i="2"/>
  <c r="B50" i="2"/>
  <c r="P50" i="2" s="1"/>
  <c r="J48" i="2"/>
  <c r="K48" i="2"/>
  <c r="I48" i="2"/>
  <c r="N48" i="2"/>
  <c r="M48" i="2"/>
  <c r="W176" i="9" l="1"/>
  <c r="T176" i="9"/>
  <c r="M178" i="9"/>
  <c r="X177" i="9"/>
  <c r="R176" i="9"/>
  <c r="Q177" i="9"/>
  <c r="U176" i="9"/>
  <c r="S176" i="9"/>
  <c r="L179" i="9"/>
  <c r="K49" i="2"/>
  <c r="I49" i="2"/>
  <c r="N49" i="2"/>
  <c r="M49" i="2"/>
  <c r="X50" i="2"/>
  <c r="A50" i="2"/>
  <c r="B51" i="2"/>
  <c r="P51" i="2" s="1"/>
  <c r="W177" i="9" l="1"/>
  <c r="T177" i="9"/>
  <c r="M179" i="9"/>
  <c r="X178" i="9"/>
  <c r="R177" i="9"/>
  <c r="Q178" i="9"/>
  <c r="S177" i="9"/>
  <c r="U177" i="9"/>
  <c r="L180" i="9"/>
  <c r="X51" i="2"/>
  <c r="A51" i="2"/>
  <c r="B52" i="2"/>
  <c r="AK50" i="2"/>
  <c r="AF50" i="2"/>
  <c r="AG50" i="2"/>
  <c r="L50" i="2"/>
  <c r="AJ50" i="2"/>
  <c r="I50" i="2"/>
  <c r="J50" i="2"/>
  <c r="N50" i="2"/>
  <c r="AI50" i="2"/>
  <c r="AL50" i="2"/>
  <c r="M50" i="2"/>
  <c r="AH50" i="2"/>
  <c r="K50" i="2"/>
  <c r="W178" i="9" l="1"/>
  <c r="T178" i="9"/>
  <c r="M180" i="9"/>
  <c r="X179" i="9"/>
  <c r="R178" i="9"/>
  <c r="Q179" i="9"/>
  <c r="U178" i="9"/>
  <c r="S178" i="9"/>
  <c r="L181" i="9"/>
  <c r="P52" i="2"/>
  <c r="X52" i="2"/>
  <c r="A52" i="2"/>
  <c r="B53" i="2"/>
  <c r="AG51" i="2"/>
  <c r="AK51" i="2"/>
  <c r="AH51" i="2"/>
  <c r="N51" i="2"/>
  <c r="AL51" i="2"/>
  <c r="AI51" i="2"/>
  <c r="M51" i="2"/>
  <c r="I51" i="2"/>
  <c r="AF51" i="2"/>
  <c r="AJ51" i="2"/>
  <c r="K51" i="2"/>
  <c r="J51" i="2"/>
  <c r="L51" i="2"/>
  <c r="W179" i="9" l="1"/>
  <c r="T179" i="9"/>
  <c r="M181" i="9"/>
  <c r="X180" i="9"/>
  <c r="R179" i="9"/>
  <c r="Q180" i="9"/>
  <c r="U179" i="9"/>
  <c r="S179" i="9"/>
  <c r="L182" i="9"/>
  <c r="P53" i="2"/>
  <c r="X53" i="2"/>
  <c r="A53" i="2"/>
  <c r="B54" i="2"/>
  <c r="AJ52" i="2"/>
  <c r="AG52" i="2"/>
  <c r="AI52" i="2"/>
  <c r="K52" i="2"/>
  <c r="N52" i="2"/>
  <c r="J52" i="2"/>
  <c r="L52" i="2"/>
  <c r="M52" i="2"/>
  <c r="AK52" i="2"/>
  <c r="AH52" i="2"/>
  <c r="AL52" i="2"/>
  <c r="I52" i="2"/>
  <c r="AF52" i="2"/>
  <c r="W180" i="9" l="1"/>
  <c r="T180" i="9"/>
  <c r="M182" i="9"/>
  <c r="X181" i="9"/>
  <c r="R180" i="9"/>
  <c r="Q181" i="9"/>
  <c r="S180" i="9"/>
  <c r="U180" i="9"/>
  <c r="L183" i="9"/>
  <c r="P54" i="2"/>
  <c r="A54" i="2"/>
  <c r="X54" i="2"/>
  <c r="B55" i="2"/>
  <c r="K53" i="2"/>
  <c r="N53" i="2"/>
  <c r="I53" i="2"/>
  <c r="M53" i="2"/>
  <c r="J53" i="2"/>
  <c r="W181" i="9" l="1"/>
  <c r="T181" i="9"/>
  <c r="M183" i="9"/>
  <c r="X182" i="9"/>
  <c r="R181" i="9"/>
  <c r="Q182" i="9"/>
  <c r="S181" i="9"/>
  <c r="U181" i="9"/>
  <c r="L184" i="9"/>
  <c r="P55" i="2"/>
  <c r="A55" i="2"/>
  <c r="X55" i="2"/>
  <c r="B56" i="2"/>
  <c r="I54" i="2"/>
  <c r="L54" i="2"/>
  <c r="K54" i="2"/>
  <c r="N54" i="2"/>
  <c r="J54" i="2"/>
  <c r="M54" i="2"/>
  <c r="W182" i="9" l="1"/>
  <c r="T182" i="9"/>
  <c r="M184" i="9"/>
  <c r="X183" i="9"/>
  <c r="R182" i="9"/>
  <c r="Q183" i="9"/>
  <c r="U182" i="9"/>
  <c r="S182" i="9"/>
  <c r="L185" i="9"/>
  <c r="P56" i="2"/>
  <c r="X56" i="2"/>
  <c r="A56" i="2"/>
  <c r="B57" i="2"/>
  <c r="W183" i="9" l="1"/>
  <c r="T183" i="9"/>
  <c r="M185" i="9"/>
  <c r="X184" i="9"/>
  <c r="R183" i="9"/>
  <c r="Q184" i="9"/>
  <c r="S183" i="9"/>
  <c r="U183" i="9"/>
  <c r="L186" i="9"/>
  <c r="P57" i="2"/>
  <c r="A57" i="2"/>
  <c r="X57" i="2"/>
  <c r="B58" i="2"/>
  <c r="M56" i="2"/>
  <c r="L56" i="2"/>
  <c r="N56" i="2"/>
  <c r="K56" i="2"/>
  <c r="I56" i="2"/>
  <c r="J56" i="2"/>
  <c r="W184" i="9" l="1"/>
  <c r="T184" i="9"/>
  <c r="M186" i="9"/>
  <c r="X185" i="9"/>
  <c r="R184" i="9"/>
  <c r="Q185" i="9"/>
  <c r="S184" i="9"/>
  <c r="U184" i="9"/>
  <c r="L187" i="9"/>
  <c r="P58" i="2"/>
  <c r="X58" i="2"/>
  <c r="A58" i="2"/>
  <c r="B59" i="2"/>
  <c r="K57" i="2"/>
  <c r="AF57" i="2"/>
  <c r="AK57" i="2"/>
  <c r="AJ57" i="2"/>
  <c r="AL57" i="2"/>
  <c r="AG57" i="2"/>
  <c r="M57" i="2"/>
  <c r="I57" i="2"/>
  <c r="AH57" i="2"/>
  <c r="L57" i="2"/>
  <c r="AI57" i="2"/>
  <c r="J57" i="2"/>
  <c r="N57" i="2"/>
  <c r="W185" i="9" l="1"/>
  <c r="T185" i="9"/>
  <c r="M187" i="9"/>
  <c r="X186" i="9"/>
  <c r="R185" i="9"/>
  <c r="Q186" i="9"/>
  <c r="U185" i="9"/>
  <c r="S185" i="9"/>
  <c r="L188" i="9"/>
  <c r="P59" i="2"/>
  <c r="B60" i="2"/>
  <c r="AJ58" i="2"/>
  <c r="AF58" i="2"/>
  <c r="L58" i="2"/>
  <c r="M58" i="2"/>
  <c r="AH58" i="2"/>
  <c r="N58" i="2"/>
  <c r="K58" i="2"/>
  <c r="AG58" i="2"/>
  <c r="I58" i="2"/>
  <c r="AK58" i="2"/>
  <c r="AI58" i="2"/>
  <c r="AL58" i="2"/>
  <c r="X59" i="2"/>
  <c r="A59" i="2"/>
  <c r="W186" i="9" l="1"/>
  <c r="T186" i="9"/>
  <c r="M188" i="9"/>
  <c r="X187" i="9"/>
  <c r="R186" i="9"/>
  <c r="Q187" i="9"/>
  <c r="U186" i="9"/>
  <c r="S186" i="9"/>
  <c r="L189" i="9"/>
  <c r="B61" i="2"/>
  <c r="A60" i="2"/>
  <c r="G60" i="2"/>
  <c r="X60" i="2"/>
  <c r="J40" i="2"/>
  <c r="L37" i="2"/>
  <c r="J36" i="2"/>
  <c r="L36" i="2"/>
  <c r="L34" i="2"/>
  <c r="J34" i="2"/>
  <c r="L33" i="2"/>
  <c r="J33" i="2"/>
  <c r="N16" i="2"/>
  <c r="M73" i="1"/>
  <c r="H60" i="2" s="1"/>
  <c r="D74" i="1"/>
  <c r="R60" i="2" s="1"/>
  <c r="W187" i="9" l="1"/>
  <c r="T187" i="9"/>
  <c r="M189" i="9"/>
  <c r="X188" i="9"/>
  <c r="R187" i="9"/>
  <c r="Q188" i="9"/>
  <c r="S187" i="9"/>
  <c r="U187" i="9"/>
  <c r="L190" i="9"/>
  <c r="U60" i="2"/>
  <c r="C74" i="1"/>
  <c r="C20" i="1" s="1"/>
  <c r="AG2" i="3" s="1"/>
  <c r="T60" i="2"/>
  <c r="S60" i="2"/>
  <c r="U41" i="2"/>
  <c r="AC41" i="2" s="1"/>
  <c r="V41" i="2"/>
  <c r="Q41" i="2"/>
  <c r="R41" i="2"/>
  <c r="S41" i="2"/>
  <c r="AA41" i="2" s="1"/>
  <c r="T41" i="2"/>
  <c r="V42" i="2"/>
  <c r="Q42" i="2"/>
  <c r="Y42" i="2" s="1"/>
  <c r="R42" i="2"/>
  <c r="U42" i="2"/>
  <c r="S42" i="2"/>
  <c r="T42" i="2"/>
  <c r="Q43" i="2"/>
  <c r="R43" i="2"/>
  <c r="S43" i="2"/>
  <c r="V43" i="2"/>
  <c r="T43" i="2"/>
  <c r="AB43" i="2" s="1"/>
  <c r="U43" i="2"/>
  <c r="S44" i="2"/>
  <c r="T44" i="2"/>
  <c r="Q44" i="2"/>
  <c r="U44" i="2"/>
  <c r="V44" i="2"/>
  <c r="R44" i="2"/>
  <c r="U45" i="2"/>
  <c r="V45" i="2"/>
  <c r="S45" i="2"/>
  <c r="T45" i="2"/>
  <c r="R45" i="2"/>
  <c r="Q45" i="2"/>
  <c r="Q46" i="2"/>
  <c r="U46" i="2"/>
  <c r="R46" i="2"/>
  <c r="V46" i="2"/>
  <c r="T46" i="2"/>
  <c r="S46" i="2"/>
  <c r="Q47" i="2"/>
  <c r="V47" i="2"/>
  <c r="R47" i="2"/>
  <c r="S47" i="2"/>
  <c r="T47" i="2"/>
  <c r="U47" i="2"/>
  <c r="S48" i="2"/>
  <c r="R48" i="2"/>
  <c r="T48" i="2"/>
  <c r="Q48" i="2"/>
  <c r="U48" i="2"/>
  <c r="V48" i="2"/>
  <c r="U49" i="2"/>
  <c r="V49" i="2"/>
  <c r="T49" i="2"/>
  <c r="Q49" i="2"/>
  <c r="R49" i="2"/>
  <c r="S49" i="2"/>
  <c r="V52" i="2"/>
  <c r="Q52" i="2"/>
  <c r="R52" i="2"/>
  <c r="S52" i="2"/>
  <c r="T52" i="2"/>
  <c r="U52" i="2"/>
  <c r="Q53" i="2"/>
  <c r="S53" i="2"/>
  <c r="U53" i="2"/>
  <c r="R53" i="2"/>
  <c r="T53" i="2"/>
  <c r="V53" i="2"/>
  <c r="S54" i="2"/>
  <c r="T54" i="2"/>
  <c r="U54" i="2"/>
  <c r="R54" i="2"/>
  <c r="V54" i="2"/>
  <c r="Q54" i="2"/>
  <c r="U55" i="2"/>
  <c r="V55" i="2"/>
  <c r="Q55" i="2"/>
  <c r="T55" i="2"/>
  <c r="R55" i="2"/>
  <c r="S55" i="2"/>
  <c r="Q56" i="2"/>
  <c r="U56" i="2"/>
  <c r="R56" i="2"/>
  <c r="V56" i="2"/>
  <c r="S56" i="2"/>
  <c r="T56" i="2"/>
  <c r="Q57" i="2"/>
  <c r="R57" i="2"/>
  <c r="U57" i="2"/>
  <c r="S57" i="2"/>
  <c r="V57" i="2"/>
  <c r="T57" i="2"/>
  <c r="S58" i="2"/>
  <c r="V58" i="2"/>
  <c r="R58" i="2"/>
  <c r="T58" i="2"/>
  <c r="U58" i="2"/>
  <c r="Q58" i="2"/>
  <c r="U59" i="2"/>
  <c r="V59" i="2"/>
  <c r="Q59" i="2"/>
  <c r="R59" i="2"/>
  <c r="T59" i="2"/>
  <c r="S59" i="2"/>
  <c r="V60" i="2"/>
  <c r="Q61" i="2"/>
  <c r="R61" i="2"/>
  <c r="S61" i="2"/>
  <c r="T61" i="2"/>
  <c r="C61" i="2"/>
  <c r="U61" i="2"/>
  <c r="E61" i="2"/>
  <c r="V61" i="2"/>
  <c r="G61" i="2"/>
  <c r="H61" i="2"/>
  <c r="B62" i="2"/>
  <c r="Q60" i="2"/>
  <c r="C3" i="2"/>
  <c r="E60" i="2"/>
  <c r="X61" i="2"/>
  <c r="P60" i="2"/>
  <c r="A61" i="2"/>
  <c r="G41" i="2"/>
  <c r="M41" i="2" s="1"/>
  <c r="C60" i="2"/>
  <c r="A233" i="9"/>
  <c r="V78" i="2"/>
  <c r="R78" i="2"/>
  <c r="U78" i="2"/>
  <c r="T78" i="2"/>
  <c r="S78" i="2"/>
  <c r="Q78" i="2"/>
  <c r="AD41" i="2"/>
  <c r="Y41" i="2"/>
  <c r="Z41" i="2"/>
  <c r="AB41" i="2"/>
  <c r="AL60" i="2"/>
  <c r="AH60" i="2"/>
  <c r="J60" i="2"/>
  <c r="K60" i="2"/>
  <c r="N60" i="2"/>
  <c r="AK60" i="2"/>
  <c r="AF60" i="2"/>
  <c r="AI60" i="2"/>
  <c r="I60" i="2"/>
  <c r="AG60" i="2"/>
  <c r="L60" i="2"/>
  <c r="M60" i="2"/>
  <c r="AJ60" i="2"/>
  <c r="C56" i="2"/>
  <c r="G56" i="2"/>
  <c r="E56" i="2"/>
  <c r="H56" i="2"/>
  <c r="H57" i="2"/>
  <c r="C57" i="2"/>
  <c r="E57" i="2"/>
  <c r="G57" i="2"/>
  <c r="E58" i="2"/>
  <c r="H58" i="2"/>
  <c r="C58" i="2"/>
  <c r="G58" i="2"/>
  <c r="G59" i="2"/>
  <c r="M59" i="2" s="1"/>
  <c r="C59" i="2"/>
  <c r="H59" i="2"/>
  <c r="N59" i="2" s="1"/>
  <c r="E59" i="2"/>
  <c r="K59" i="2" s="1"/>
  <c r="AJ41" i="2"/>
  <c r="C9" i="2"/>
  <c r="G42" i="2"/>
  <c r="E42" i="2"/>
  <c r="C42" i="2"/>
  <c r="H42" i="2"/>
  <c r="H43" i="2"/>
  <c r="C43" i="2"/>
  <c r="G43" i="2"/>
  <c r="E43" i="2"/>
  <c r="H44" i="2"/>
  <c r="G44" i="2"/>
  <c r="E44" i="2"/>
  <c r="C44" i="2"/>
  <c r="H45" i="2"/>
  <c r="G45" i="2"/>
  <c r="C45" i="2"/>
  <c r="E45" i="2"/>
  <c r="H46" i="2"/>
  <c r="C46" i="2"/>
  <c r="E46" i="2"/>
  <c r="G46" i="2"/>
  <c r="E47" i="2"/>
  <c r="C47" i="2"/>
  <c r="G47" i="2"/>
  <c r="H47" i="2"/>
  <c r="H48" i="2"/>
  <c r="G48" i="2"/>
  <c r="C48" i="2"/>
  <c r="E48" i="2"/>
  <c r="H49" i="2"/>
  <c r="G49" i="2"/>
  <c r="C49" i="2"/>
  <c r="E49" i="2"/>
  <c r="G50" i="2"/>
  <c r="C50" i="2"/>
  <c r="H50" i="2"/>
  <c r="E50" i="2"/>
  <c r="G51" i="2"/>
  <c r="C51" i="2"/>
  <c r="H51" i="2"/>
  <c r="E51" i="2"/>
  <c r="G52" i="2"/>
  <c r="C52" i="2"/>
  <c r="H52" i="2"/>
  <c r="E52" i="2"/>
  <c r="C53" i="2"/>
  <c r="E53" i="2"/>
  <c r="G53" i="2"/>
  <c r="H53" i="2"/>
  <c r="C54" i="2"/>
  <c r="H54" i="2"/>
  <c r="G54" i="2"/>
  <c r="E54" i="2"/>
  <c r="H55" i="2"/>
  <c r="N55" i="2" s="1"/>
  <c r="E55" i="2"/>
  <c r="K55" i="2" s="1"/>
  <c r="G55" i="2"/>
  <c r="M55" i="2" s="1"/>
  <c r="C55" i="2"/>
  <c r="C41" i="2"/>
  <c r="I41" i="2" s="1"/>
  <c r="C7" i="2"/>
  <c r="E38" i="2"/>
  <c r="H30" i="2"/>
  <c r="H22" i="2"/>
  <c r="E14" i="2"/>
  <c r="E6" i="2"/>
  <c r="G35" i="2"/>
  <c r="G38" i="2"/>
  <c r="E21" i="2"/>
  <c r="H5" i="2"/>
  <c r="H33" i="2"/>
  <c r="H25" i="2"/>
  <c r="E10" i="2"/>
  <c r="H34" i="2"/>
  <c r="H18" i="2"/>
  <c r="H2" i="2"/>
  <c r="G17" i="2"/>
  <c r="H8" i="2"/>
  <c r="G27" i="2"/>
  <c r="H31" i="2"/>
  <c r="G10" i="2"/>
  <c r="H37" i="2"/>
  <c r="H21" i="2"/>
  <c r="E5" i="2"/>
  <c r="G14" i="2"/>
  <c r="G39" i="2"/>
  <c r="E27" i="2"/>
  <c r="G29" i="2"/>
  <c r="H40" i="2"/>
  <c r="H24" i="2"/>
  <c r="C38" i="2"/>
  <c r="C30" i="2"/>
  <c r="C22" i="2"/>
  <c r="C12" i="2"/>
  <c r="C4" i="2"/>
  <c r="E41" i="2"/>
  <c r="K41" i="2" s="1"/>
  <c r="E36" i="2"/>
  <c r="E28" i="2"/>
  <c r="H20" i="2"/>
  <c r="H12" i="2"/>
  <c r="E4" i="2"/>
  <c r="G32" i="2"/>
  <c r="G2" i="2"/>
  <c r="H17" i="2"/>
  <c r="H39" i="2"/>
  <c r="E31" i="2"/>
  <c r="E23" i="2"/>
  <c r="H7" i="2"/>
  <c r="E30" i="2"/>
  <c r="H14" i="2"/>
  <c r="G5" i="2"/>
  <c r="G37" i="2"/>
  <c r="H4" i="2"/>
  <c r="G30" i="2"/>
  <c r="H23" i="2"/>
  <c r="G18" i="2"/>
  <c r="E33" i="2"/>
  <c r="E17" i="2"/>
  <c r="G9" i="2"/>
  <c r="G26" i="2"/>
  <c r="E12" i="2"/>
  <c r="E19" i="2"/>
  <c r="G13" i="2"/>
  <c r="H36" i="2"/>
  <c r="E20" i="2"/>
  <c r="C40" i="2"/>
  <c r="C32" i="2"/>
  <c r="C24" i="2"/>
  <c r="C16" i="2"/>
  <c r="C14" i="2"/>
  <c r="C6" i="2"/>
  <c r="H41" i="2"/>
  <c r="N41" i="2" s="1"/>
  <c r="E34" i="2"/>
  <c r="E26" i="2"/>
  <c r="E18" i="2"/>
  <c r="H11" i="2"/>
  <c r="E2" i="2"/>
  <c r="G7" i="2"/>
  <c r="G25" i="2"/>
  <c r="E13" i="2"/>
  <c r="E37" i="2"/>
  <c r="H29" i="2"/>
  <c r="H19" i="2"/>
  <c r="H3" i="2"/>
  <c r="H26" i="2"/>
  <c r="H10" i="2"/>
  <c r="G16" i="2"/>
  <c r="G24" i="2"/>
  <c r="G4" i="2"/>
  <c r="G20" i="2"/>
  <c r="E15" i="2"/>
  <c r="G6" i="2"/>
  <c r="E29" i="2"/>
  <c r="H13" i="2"/>
  <c r="G28" i="2"/>
  <c r="G31" i="2"/>
  <c r="G23" i="2"/>
  <c r="E11" i="2"/>
  <c r="G8" i="2"/>
  <c r="H32" i="2"/>
  <c r="H16" i="2"/>
  <c r="C34" i="2"/>
  <c r="C26" i="2"/>
  <c r="C18" i="2"/>
  <c r="C8" i="2"/>
  <c r="E40" i="2"/>
  <c r="E32" i="2"/>
  <c r="E24" i="2"/>
  <c r="E16" i="2"/>
  <c r="E8" i="2"/>
  <c r="G21" i="2"/>
  <c r="G3" i="2"/>
  <c r="G33" i="2"/>
  <c r="H9" i="2"/>
  <c r="E35" i="2"/>
  <c r="H27" i="2"/>
  <c r="H15" i="2"/>
  <c r="H38" i="2"/>
  <c r="E22" i="2"/>
  <c r="H6" i="2"/>
  <c r="G36" i="2"/>
  <c r="G19" i="2"/>
  <c r="G12" i="2"/>
  <c r="E39" i="2"/>
  <c r="E7" i="2"/>
  <c r="G15" i="2"/>
  <c r="E25" i="2"/>
  <c r="E9" i="2"/>
  <c r="G11" i="2"/>
  <c r="G22" i="2"/>
  <c r="H35" i="2"/>
  <c r="E3" i="2"/>
  <c r="G40" i="2"/>
  <c r="H28" i="2"/>
  <c r="G34" i="2"/>
  <c r="C36" i="2"/>
  <c r="C28" i="2"/>
  <c r="C20" i="2"/>
  <c r="C10" i="2"/>
  <c r="C2" i="2"/>
  <c r="C5" i="2"/>
  <c r="C23" i="2"/>
  <c r="C31" i="2"/>
  <c r="C39" i="2"/>
  <c r="C15" i="2"/>
  <c r="C21" i="2"/>
  <c r="C29" i="2"/>
  <c r="C37" i="2"/>
  <c r="C13" i="2"/>
  <c r="C19" i="2"/>
  <c r="C27" i="2"/>
  <c r="C35" i="2"/>
  <c r="C11" i="2"/>
  <c r="C17" i="2"/>
  <c r="C25" i="2"/>
  <c r="C33" i="2"/>
  <c r="W188" i="9" l="1"/>
  <c r="T188" i="9"/>
  <c r="M190" i="9"/>
  <c r="X189" i="9"/>
  <c r="R188" i="9"/>
  <c r="Q189" i="9"/>
  <c r="U188" i="9"/>
  <c r="S188" i="9"/>
  <c r="AG5" i="3"/>
  <c r="AG3" i="3"/>
  <c r="BE2" i="3"/>
  <c r="AA42" i="2"/>
  <c r="L191" i="9"/>
  <c r="F10" i="1"/>
  <c r="G10" i="1" s="1"/>
  <c r="J2" i="3"/>
  <c r="F9" i="1"/>
  <c r="G9" i="1" s="1"/>
  <c r="F11" i="1"/>
  <c r="G11" i="1" s="1"/>
  <c r="F12" i="1"/>
  <c r="G12" i="1" s="1"/>
  <c r="F13" i="1"/>
  <c r="G13" i="1" s="1"/>
  <c r="F8" i="1"/>
  <c r="G8" i="1" s="1"/>
  <c r="Z60" i="2"/>
  <c r="AB61" i="2"/>
  <c r="Z61" i="2"/>
  <c r="D61" i="2"/>
  <c r="Z57" i="2"/>
  <c r="Z56" i="2"/>
  <c r="Z53" i="2"/>
  <c r="Z52" i="2"/>
  <c r="AC51" i="2"/>
  <c r="AC50" i="2"/>
  <c r="Y59" i="2"/>
  <c r="Y58" i="2"/>
  <c r="AC56" i="2"/>
  <c r="AC57" i="2"/>
  <c r="Y55" i="2"/>
  <c r="Y54" i="2"/>
  <c r="Y52" i="2"/>
  <c r="Y53" i="2"/>
  <c r="AA61" i="2"/>
  <c r="AA60" i="2"/>
  <c r="AD60" i="2"/>
  <c r="AD61" i="2"/>
  <c r="AC59" i="2"/>
  <c r="AC58" i="2"/>
  <c r="Y57" i="2"/>
  <c r="Y56" i="2"/>
  <c r="AD54" i="2"/>
  <c r="AD55" i="2"/>
  <c r="AD52" i="2"/>
  <c r="AD53" i="2"/>
  <c r="AB60" i="2"/>
  <c r="AB59" i="2"/>
  <c r="AB58" i="2"/>
  <c r="Z54" i="2"/>
  <c r="Z55" i="2"/>
  <c r="AA50" i="2"/>
  <c r="AA51" i="2"/>
  <c r="Y61" i="2"/>
  <c r="Y60" i="2"/>
  <c r="Z58" i="2"/>
  <c r="Z59" i="2"/>
  <c r="AC55" i="2"/>
  <c r="AC54" i="2"/>
  <c r="Z51" i="2"/>
  <c r="Z50" i="2"/>
  <c r="AC61" i="2"/>
  <c r="F61" i="2"/>
  <c r="AD59" i="2"/>
  <c r="AD58" i="2"/>
  <c r="AB57" i="2"/>
  <c r="AB56" i="2"/>
  <c r="AB55" i="2"/>
  <c r="AB54" i="2"/>
  <c r="AC53" i="2"/>
  <c r="AC52" i="2"/>
  <c r="Y50" i="2"/>
  <c r="Y51" i="2"/>
  <c r="AC60" i="2"/>
  <c r="AA58" i="2"/>
  <c r="AA59" i="2"/>
  <c r="AA57" i="2"/>
  <c r="AA56" i="2"/>
  <c r="AA54" i="2"/>
  <c r="AA55" i="2"/>
  <c r="AB53" i="2"/>
  <c r="AB52" i="2"/>
  <c r="AB51" i="2"/>
  <c r="AB50" i="2"/>
  <c r="E62" i="2"/>
  <c r="S62" i="2"/>
  <c r="C62" i="2"/>
  <c r="T62" i="2"/>
  <c r="G62" i="2"/>
  <c r="R62" i="2"/>
  <c r="U62" i="2"/>
  <c r="H62" i="2"/>
  <c r="V62" i="2"/>
  <c r="B63" i="2"/>
  <c r="Q62" i="2"/>
  <c r="AD57" i="2"/>
  <c r="AD56" i="2"/>
  <c r="AA53" i="2"/>
  <c r="AA52" i="2"/>
  <c r="AD51" i="2"/>
  <c r="AD50" i="2"/>
  <c r="AG7" i="3"/>
  <c r="AG6" i="3"/>
  <c r="AG4" i="3"/>
  <c r="D60" i="2"/>
  <c r="J61" i="2"/>
  <c r="N61" i="2"/>
  <c r="K61" i="2"/>
  <c r="L61" i="2"/>
  <c r="I61" i="2"/>
  <c r="M61" i="2"/>
  <c r="AB42" i="2"/>
  <c r="AD42" i="2"/>
  <c r="AD44" i="2"/>
  <c r="AD43" i="2"/>
  <c r="Z42" i="2"/>
  <c r="AB46" i="2"/>
  <c r="AC44" i="2"/>
  <c r="AC43" i="2"/>
  <c r="AB45" i="2"/>
  <c r="Z47" i="2"/>
  <c r="AC47" i="2"/>
  <c r="AD45" i="2"/>
  <c r="Y45" i="2"/>
  <c r="Z43" i="2"/>
  <c r="AA49" i="2"/>
  <c r="AA48" i="2"/>
  <c r="X62" i="2"/>
  <c r="A62" i="2"/>
  <c r="AB48" i="2"/>
  <c r="AB49" i="2"/>
  <c r="Y47" i="2"/>
  <c r="AA47" i="2"/>
  <c r="AC46" i="2"/>
  <c r="Z45" i="2"/>
  <c r="AA45" i="2"/>
  <c r="AB44" i="2"/>
  <c r="Y43" i="2"/>
  <c r="AA43" i="2"/>
  <c r="AC42" i="2"/>
  <c r="AG61" i="2"/>
  <c r="AH61" i="2"/>
  <c r="AI61" i="2"/>
  <c r="AK61" i="2"/>
  <c r="AL61" i="2"/>
  <c r="AF61" i="2"/>
  <c r="AJ61" i="2"/>
  <c r="Z49" i="2"/>
  <c r="Z48" i="2"/>
  <c r="Y48" i="2"/>
  <c r="Y49" i="2"/>
  <c r="AD47" i="2"/>
  <c r="AD46" i="2"/>
  <c r="AA46" i="2"/>
  <c r="Z44" i="2"/>
  <c r="Y44" i="2"/>
  <c r="F60" i="2"/>
  <c r="AC49" i="2"/>
  <c r="AC48" i="2"/>
  <c r="AD48" i="2"/>
  <c r="AD49" i="2"/>
  <c r="AB47" i="2"/>
  <c r="Z46" i="2"/>
  <c r="Y46" i="2"/>
  <c r="AC45" i="2"/>
  <c r="AA44" i="2"/>
  <c r="AE41" i="2"/>
  <c r="D3" i="2"/>
  <c r="D58" i="2"/>
  <c r="J58" i="2" s="1"/>
  <c r="F58" i="2"/>
  <c r="F59" i="2"/>
  <c r="L59" i="2" s="1"/>
  <c r="D59" i="2"/>
  <c r="J59" i="2" s="1"/>
  <c r="I59" i="2"/>
  <c r="D57" i="2"/>
  <c r="F57" i="2"/>
  <c r="D56" i="2"/>
  <c r="F56" i="2"/>
  <c r="D52" i="2"/>
  <c r="F52" i="2"/>
  <c r="F51" i="2"/>
  <c r="D51" i="2"/>
  <c r="F50" i="2"/>
  <c r="D50" i="2"/>
  <c r="D47" i="2"/>
  <c r="J47" i="2" s="1"/>
  <c r="F47" i="2"/>
  <c r="L47" i="2" s="1"/>
  <c r="F46" i="2"/>
  <c r="L46" i="2" s="1"/>
  <c r="D46" i="2"/>
  <c r="F43" i="2"/>
  <c r="D43" i="2"/>
  <c r="J43" i="2" s="1"/>
  <c r="D54" i="2"/>
  <c r="F54" i="2"/>
  <c r="D53" i="2"/>
  <c r="F53" i="2"/>
  <c r="L53" i="2" s="1"/>
  <c r="F55" i="2"/>
  <c r="L55" i="2" s="1"/>
  <c r="D55" i="2"/>
  <c r="J55" i="2" s="1"/>
  <c r="I55" i="2"/>
  <c r="F44" i="2"/>
  <c r="D44" i="2"/>
  <c r="D49" i="2"/>
  <c r="J49" i="2" s="1"/>
  <c r="F49" i="2"/>
  <c r="L49" i="2" s="1"/>
  <c r="F48" i="2"/>
  <c r="L48" i="2" s="1"/>
  <c r="D48" i="2"/>
  <c r="D45" i="2"/>
  <c r="J45" i="2" s="1"/>
  <c r="F45" i="2"/>
  <c r="L45" i="2" s="1"/>
  <c r="F42" i="2"/>
  <c r="L42" i="2" s="1"/>
  <c r="D42" i="2"/>
  <c r="J42" i="2" s="1"/>
  <c r="AJ53" i="2"/>
  <c r="AJ56" i="2"/>
  <c r="AJ46" i="2"/>
  <c r="F9" i="2"/>
  <c r="AJ43" i="2"/>
  <c r="AJ44" i="2"/>
  <c r="F41" i="2"/>
  <c r="L41" i="2" s="1"/>
  <c r="AJ55" i="2"/>
  <c r="D41" i="2"/>
  <c r="J41" i="2" s="1"/>
  <c r="AJ59" i="2"/>
  <c r="D7" i="2"/>
  <c r="AJ45" i="2"/>
  <c r="AJ48" i="2"/>
  <c r="D9" i="2"/>
  <c r="AJ47" i="2"/>
  <c r="AJ54" i="2"/>
  <c r="AJ42" i="2"/>
  <c r="AJ49" i="2"/>
  <c r="F25" i="2"/>
  <c r="D25" i="2"/>
  <c r="F27" i="2"/>
  <c r="D27" i="2"/>
  <c r="D15" i="2"/>
  <c r="F15" i="2"/>
  <c r="AH55" i="2"/>
  <c r="AH42" i="2"/>
  <c r="AH53" i="2"/>
  <c r="AH48" i="2"/>
  <c r="AH54" i="2"/>
  <c r="AH49" i="2"/>
  <c r="AH44" i="2"/>
  <c r="AH47" i="2"/>
  <c r="AH45" i="2"/>
  <c r="AH56" i="2"/>
  <c r="AH59" i="2"/>
  <c r="AH43" i="2"/>
  <c r="AH46" i="2"/>
  <c r="AH41" i="2"/>
  <c r="F10" i="2"/>
  <c r="D10" i="2"/>
  <c r="F26" i="2"/>
  <c r="D26" i="2"/>
  <c r="F6" i="2"/>
  <c r="D6" i="2"/>
  <c r="F32" i="2"/>
  <c r="D32" i="2"/>
  <c r="F4" i="2"/>
  <c r="D4" i="2"/>
  <c r="F38" i="2"/>
  <c r="D38" i="2"/>
  <c r="F17" i="2"/>
  <c r="D17" i="2"/>
  <c r="F19" i="2"/>
  <c r="D19" i="2"/>
  <c r="F37" i="2"/>
  <c r="D37" i="2"/>
  <c r="F39" i="2"/>
  <c r="D39" i="2"/>
  <c r="D20" i="2"/>
  <c r="F20" i="2"/>
  <c r="F34" i="2"/>
  <c r="D34" i="2"/>
  <c r="D14" i="2"/>
  <c r="F14" i="2"/>
  <c r="F40" i="2"/>
  <c r="D40" i="2"/>
  <c r="F12" i="2"/>
  <c r="D12" i="2"/>
  <c r="AK49" i="2"/>
  <c r="AK48" i="2"/>
  <c r="AK42" i="2"/>
  <c r="AK41" i="2"/>
  <c r="AK45" i="2"/>
  <c r="AK44" i="2"/>
  <c r="AK47" i="2"/>
  <c r="AK54" i="2"/>
  <c r="AK56" i="2"/>
  <c r="AK59" i="2"/>
  <c r="AK43" i="2"/>
  <c r="AK53" i="2"/>
  <c r="AK55" i="2"/>
  <c r="AK46" i="2"/>
  <c r="AI48" i="2"/>
  <c r="AI54" i="2"/>
  <c r="AI49" i="2"/>
  <c r="AI44" i="2"/>
  <c r="AI47" i="2"/>
  <c r="AI45" i="2"/>
  <c r="AI56" i="2"/>
  <c r="AI59" i="2"/>
  <c r="AI43" i="2"/>
  <c r="AI46" i="2"/>
  <c r="AI55" i="2"/>
  <c r="AI42" i="2"/>
  <c r="AI53" i="2"/>
  <c r="AI41" i="2"/>
  <c r="F13" i="2"/>
  <c r="D13" i="2"/>
  <c r="D29" i="2"/>
  <c r="F29" i="2"/>
  <c r="D31" i="2"/>
  <c r="F31" i="2"/>
  <c r="F5" i="2"/>
  <c r="D5" i="2"/>
  <c r="D28" i="2"/>
  <c r="F28" i="2"/>
  <c r="D8" i="2"/>
  <c r="F8" i="2"/>
  <c r="F16" i="2"/>
  <c r="D16" i="2"/>
  <c r="F22" i="2"/>
  <c r="D22" i="2"/>
  <c r="F7" i="2"/>
  <c r="F11" i="2"/>
  <c r="D11" i="2"/>
  <c r="AF41" i="2"/>
  <c r="F33" i="2"/>
  <c r="D33" i="2"/>
  <c r="D35" i="2"/>
  <c r="F35" i="2"/>
  <c r="D21" i="2"/>
  <c r="F21" i="2"/>
  <c r="D23" i="2"/>
  <c r="F23" i="2"/>
  <c r="D2" i="2"/>
  <c r="F2" i="2"/>
  <c r="D36" i="2"/>
  <c r="F36" i="2"/>
  <c r="D18" i="2"/>
  <c r="F18" i="2"/>
  <c r="F24" i="2"/>
  <c r="D24" i="2"/>
  <c r="D30" i="2"/>
  <c r="F30" i="2"/>
  <c r="AG55" i="2"/>
  <c r="AG42" i="2"/>
  <c r="AG45" i="2"/>
  <c r="AG48" i="2"/>
  <c r="AG54" i="2"/>
  <c r="AG44" i="2"/>
  <c r="AG41" i="2"/>
  <c r="AG47" i="2"/>
  <c r="AG53" i="2"/>
  <c r="AG56" i="2"/>
  <c r="AG59" i="2"/>
  <c r="AG43" i="2"/>
  <c r="AG46" i="2"/>
  <c r="AG49" i="2"/>
  <c r="F3" i="2"/>
  <c r="W189" i="9" l="1"/>
  <c r="T189" i="9"/>
  <c r="M191" i="9"/>
  <c r="X190" i="9"/>
  <c r="R189" i="9"/>
  <c r="Q190" i="9"/>
  <c r="U189" i="9"/>
  <c r="S189" i="9"/>
  <c r="AG9" i="3"/>
  <c r="J9" i="3" s="1"/>
  <c r="L192" i="9"/>
  <c r="AE58" i="2"/>
  <c r="AE57" i="2"/>
  <c r="D62" i="2"/>
  <c r="F62" i="2"/>
  <c r="AE59" i="2"/>
  <c r="AE56" i="2"/>
  <c r="AE53" i="2"/>
  <c r="AE51" i="2"/>
  <c r="AE52" i="2"/>
  <c r="AE50" i="2"/>
  <c r="AE54" i="2"/>
  <c r="AE60" i="2"/>
  <c r="AE55" i="2"/>
  <c r="U63" i="2"/>
  <c r="T63" i="2"/>
  <c r="V63" i="2"/>
  <c r="Q63" i="2"/>
  <c r="C63" i="2"/>
  <c r="R63" i="2"/>
  <c r="G63" i="2"/>
  <c r="S63" i="2"/>
  <c r="B64" i="2"/>
  <c r="E63" i="2"/>
  <c r="H63" i="2"/>
  <c r="AE61" i="2"/>
  <c r="J6" i="3"/>
  <c r="J7" i="3"/>
  <c r="J3" i="3"/>
  <c r="J4" i="3"/>
  <c r="J5" i="3"/>
  <c r="AE42" i="2"/>
  <c r="I62" i="2"/>
  <c r="M62" i="2"/>
  <c r="K62" i="2"/>
  <c r="J62" i="2"/>
  <c r="N62" i="2"/>
  <c r="L62" i="2"/>
  <c r="AE43" i="2"/>
  <c r="AE45" i="2"/>
  <c r="AE46" i="2"/>
  <c r="AE44" i="2"/>
  <c r="AG62" i="2"/>
  <c r="AK62" i="2"/>
  <c r="AI62" i="2"/>
  <c r="AL62" i="2"/>
  <c r="AF62" i="2"/>
  <c r="AH62" i="2"/>
  <c r="AJ62" i="2"/>
  <c r="A63" i="2"/>
  <c r="X63" i="2"/>
  <c r="P62" i="2"/>
  <c r="AB62" i="2" s="1"/>
  <c r="AE49" i="2"/>
  <c r="AE47" i="2"/>
  <c r="AE48" i="2"/>
  <c r="AL59" i="2"/>
  <c r="AF59" i="2"/>
  <c r="AL56" i="2"/>
  <c r="AF56" i="2"/>
  <c r="AL55" i="2"/>
  <c r="AF55" i="2"/>
  <c r="AL54" i="2"/>
  <c r="AF54" i="2"/>
  <c r="AL53" i="2"/>
  <c r="AF53" i="2"/>
  <c r="AL49" i="2"/>
  <c r="AF49" i="2"/>
  <c r="AL48" i="2"/>
  <c r="AF48" i="2"/>
  <c r="AL47" i="2"/>
  <c r="AF47" i="2"/>
  <c r="AL46" i="2"/>
  <c r="AF46" i="2"/>
  <c r="AL45" i="2"/>
  <c r="AF45" i="2"/>
  <c r="AL44" i="2"/>
  <c r="AF44" i="2"/>
  <c r="AL43" i="2"/>
  <c r="AF43" i="2"/>
  <c r="AL42" i="2"/>
  <c r="AF42" i="2"/>
  <c r="BE4" i="3"/>
  <c r="BE5" i="3"/>
  <c r="BE7" i="3"/>
  <c r="AL41" i="2"/>
  <c r="W190" i="9" l="1"/>
  <c r="T190" i="9"/>
  <c r="M192" i="9"/>
  <c r="X191" i="9"/>
  <c r="R190" i="9"/>
  <c r="Q191" i="9"/>
  <c r="U190" i="9"/>
  <c r="S190" i="9"/>
  <c r="L193" i="9"/>
  <c r="AD63" i="2"/>
  <c r="AA63" i="2"/>
  <c r="AB63" i="2"/>
  <c r="F63" i="2"/>
  <c r="D63" i="2"/>
  <c r="AA62" i="2"/>
  <c r="Y63" i="2"/>
  <c r="Y62" i="2"/>
  <c r="AC62" i="2"/>
  <c r="AC63" i="2"/>
  <c r="Z63" i="2"/>
  <c r="Z62" i="2"/>
  <c r="AD62" i="2"/>
  <c r="C64" i="2"/>
  <c r="P63" i="2"/>
  <c r="AB64" i="2" s="1"/>
  <c r="B65" i="2"/>
  <c r="H64" i="2"/>
  <c r="E64" i="2"/>
  <c r="G64" i="2"/>
  <c r="L63" i="2"/>
  <c r="J63" i="2"/>
  <c r="N63" i="2"/>
  <c r="I63" i="2"/>
  <c r="M63" i="2"/>
  <c r="K63" i="2"/>
  <c r="X64" i="2"/>
  <c r="A64" i="2"/>
  <c r="AJ63" i="2"/>
  <c r="AI63" i="2"/>
  <c r="AK63" i="2"/>
  <c r="AF63" i="2"/>
  <c r="AG63" i="2"/>
  <c r="AH63" i="2"/>
  <c r="AL63" i="2"/>
  <c r="BE6" i="3"/>
  <c r="BE3" i="3"/>
  <c r="W191" i="9" l="1"/>
  <c r="T191" i="9"/>
  <c r="BE9" i="3"/>
  <c r="M193" i="9"/>
  <c r="X192" i="9"/>
  <c r="R191" i="9"/>
  <c r="Q192" i="9"/>
  <c r="S191" i="9"/>
  <c r="U191" i="9"/>
  <c r="L194" i="9"/>
  <c r="AD64" i="2"/>
  <c r="D64" i="2"/>
  <c r="B66" i="2"/>
  <c r="E65" i="2"/>
  <c r="G65" i="2"/>
  <c r="H65" i="2"/>
  <c r="C65" i="2"/>
  <c r="Q65" i="2"/>
  <c r="S65" i="2"/>
  <c r="R65" i="2"/>
  <c r="V65" i="2"/>
  <c r="T65" i="2"/>
  <c r="U65" i="2"/>
  <c r="AA64" i="2"/>
  <c r="F64" i="2"/>
  <c r="Y64" i="2"/>
  <c r="AE62" i="2"/>
  <c r="AC64" i="2"/>
  <c r="AE63" i="2"/>
  <c r="Z64" i="2"/>
  <c r="K64" i="2"/>
  <c r="I64" i="2"/>
  <c r="M64" i="2"/>
  <c r="L64" i="2"/>
  <c r="J64" i="2"/>
  <c r="N64" i="2"/>
  <c r="AH64" i="2"/>
  <c r="AG64" i="2"/>
  <c r="AL64" i="2"/>
  <c r="AI64" i="2"/>
  <c r="AK64" i="2"/>
  <c r="AJ64" i="2"/>
  <c r="AF64" i="2"/>
  <c r="A65" i="2"/>
  <c r="X65" i="2"/>
  <c r="W192" i="9" l="1"/>
  <c r="T192" i="9"/>
  <c r="M194" i="9"/>
  <c r="X193" i="9"/>
  <c r="R192" i="9"/>
  <c r="Q193" i="9"/>
  <c r="U192" i="9"/>
  <c r="S192" i="9"/>
  <c r="L195" i="9"/>
  <c r="F65" i="2"/>
  <c r="D65" i="2"/>
  <c r="AE64" i="2"/>
  <c r="G66" i="2"/>
  <c r="B67" i="2"/>
  <c r="H66" i="2"/>
  <c r="C66" i="2"/>
  <c r="E66" i="2"/>
  <c r="J65" i="2"/>
  <c r="N65" i="2"/>
  <c r="L65" i="2"/>
  <c r="K65" i="2"/>
  <c r="I65" i="2"/>
  <c r="M65" i="2"/>
  <c r="AB65" i="2"/>
  <c r="AA65" i="2"/>
  <c r="AG65" i="2"/>
  <c r="AH65" i="2"/>
  <c r="AI65" i="2"/>
  <c r="AF65" i="2"/>
  <c r="AK65" i="2"/>
  <c r="AL65" i="2"/>
  <c r="AJ65" i="2"/>
  <c r="AC65" i="2"/>
  <c r="Y65" i="2"/>
  <c r="AD65" i="2"/>
  <c r="Z65" i="2"/>
  <c r="A66" i="2"/>
  <c r="X66" i="2"/>
  <c r="W193" i="9" l="1"/>
  <c r="T193" i="9"/>
  <c r="M195" i="9"/>
  <c r="X194" i="9"/>
  <c r="R193" i="9"/>
  <c r="Q194" i="9"/>
  <c r="U193" i="9"/>
  <c r="S193" i="9"/>
  <c r="L196" i="9"/>
  <c r="F66" i="2"/>
  <c r="D66" i="2"/>
  <c r="G67" i="2"/>
  <c r="B68" i="2"/>
  <c r="H67" i="2"/>
  <c r="E67" i="2"/>
  <c r="C67" i="2"/>
  <c r="AE65" i="2"/>
  <c r="I66" i="2"/>
  <c r="M66" i="2"/>
  <c r="K66" i="2"/>
  <c r="J66" i="2"/>
  <c r="N66" i="2"/>
  <c r="L66" i="2"/>
  <c r="S66" i="2"/>
  <c r="X67" i="2"/>
  <c r="R66" i="2"/>
  <c r="T66" i="2"/>
  <c r="A67" i="2"/>
  <c r="U66" i="2"/>
  <c r="P66" i="2"/>
  <c r="V66" i="2"/>
  <c r="Q66" i="2"/>
  <c r="AH66" i="2"/>
  <c r="AJ66" i="2"/>
  <c r="AG66" i="2"/>
  <c r="AI66" i="2"/>
  <c r="AF66" i="2"/>
  <c r="AK66" i="2"/>
  <c r="AL66" i="2"/>
  <c r="W194" i="9" l="1"/>
  <c r="T194" i="9"/>
  <c r="M196" i="9"/>
  <c r="X195" i="9"/>
  <c r="R194" i="9"/>
  <c r="Q195" i="9"/>
  <c r="S194" i="9"/>
  <c r="U194" i="9"/>
  <c r="L197" i="9"/>
  <c r="F67" i="2"/>
  <c r="D67" i="2"/>
  <c r="G68" i="2"/>
  <c r="E68" i="2"/>
  <c r="H68" i="2"/>
  <c r="C68" i="2"/>
  <c r="L67" i="2"/>
  <c r="J67" i="2"/>
  <c r="N67" i="2"/>
  <c r="I67" i="2"/>
  <c r="M67" i="2"/>
  <c r="K67" i="2"/>
  <c r="AC67" i="2"/>
  <c r="AC66" i="2"/>
  <c r="Z67" i="2"/>
  <c r="Z66" i="2"/>
  <c r="Y67" i="2"/>
  <c r="AE67" i="2" s="1"/>
  <c r="Y66" i="2"/>
  <c r="AE66" i="2" s="1"/>
  <c r="B69" i="2"/>
  <c r="A68" i="2"/>
  <c r="X68" i="2"/>
  <c r="AD67" i="2"/>
  <c r="AD66" i="2"/>
  <c r="AH67" i="2"/>
  <c r="AF67" i="2"/>
  <c r="AL67" i="2"/>
  <c r="AI67" i="2"/>
  <c r="AJ67" i="2"/>
  <c r="AG67" i="2"/>
  <c r="AK67" i="2"/>
  <c r="AB67" i="2"/>
  <c r="AB66" i="2"/>
  <c r="AA67" i="2"/>
  <c r="AA66" i="2"/>
  <c r="W195" i="9" l="1"/>
  <c r="T195" i="9"/>
  <c r="M197" i="9"/>
  <c r="X196" i="9"/>
  <c r="Q196" i="9"/>
  <c r="R195" i="9"/>
  <c r="S195" i="9"/>
  <c r="U195" i="9"/>
  <c r="L198" i="9"/>
  <c r="D68" i="2"/>
  <c r="F68" i="2"/>
  <c r="K68" i="2"/>
  <c r="I68" i="2"/>
  <c r="M68" i="2"/>
  <c r="L68" i="2"/>
  <c r="J68" i="2"/>
  <c r="N68" i="2"/>
  <c r="V68" i="2"/>
  <c r="C69" i="2"/>
  <c r="X69" i="2"/>
  <c r="U68" i="2"/>
  <c r="S68" i="2"/>
  <c r="Q68" i="2"/>
  <c r="A69" i="2"/>
  <c r="H69" i="2"/>
  <c r="B70" i="2"/>
  <c r="E69" i="2"/>
  <c r="T68" i="2"/>
  <c r="P68" i="2"/>
  <c r="G69" i="2"/>
  <c r="R68" i="2"/>
  <c r="AI68" i="2"/>
  <c r="AF68" i="2"/>
  <c r="AG68" i="2"/>
  <c r="AK68" i="2"/>
  <c r="AJ68" i="2"/>
  <c r="AL68" i="2"/>
  <c r="AH68" i="2"/>
  <c r="W196" i="9" l="1"/>
  <c r="T196" i="9"/>
  <c r="M198" i="9"/>
  <c r="X197" i="9"/>
  <c r="R196" i="9"/>
  <c r="Q197" i="9"/>
  <c r="U196" i="9"/>
  <c r="S196" i="9"/>
  <c r="L199" i="9"/>
  <c r="F69" i="2"/>
  <c r="D69" i="2"/>
  <c r="AC69" i="2"/>
  <c r="AC68" i="2"/>
  <c r="Z68" i="2"/>
  <c r="Z69" i="2"/>
  <c r="AH69" i="2"/>
  <c r="J69" i="2"/>
  <c r="AF69" i="2"/>
  <c r="AI69" i="2"/>
  <c r="AL69" i="2"/>
  <c r="AJ69" i="2"/>
  <c r="I69" i="2"/>
  <c r="N69" i="2"/>
  <c r="K69" i="2"/>
  <c r="AK69" i="2"/>
  <c r="M69" i="2"/>
  <c r="AG69" i="2"/>
  <c r="L69" i="2"/>
  <c r="AB68" i="2"/>
  <c r="AB69" i="2"/>
  <c r="Y69" i="2"/>
  <c r="AE69" i="2" s="1"/>
  <c r="Y68" i="2"/>
  <c r="AE68" i="2" s="1"/>
  <c r="H70" i="2"/>
  <c r="X70" i="2"/>
  <c r="A70" i="2"/>
  <c r="B71" i="2"/>
  <c r="C70" i="2"/>
  <c r="G70" i="2"/>
  <c r="E70" i="2"/>
  <c r="AA69" i="2"/>
  <c r="AA68" i="2"/>
  <c r="AD68" i="2"/>
  <c r="AD69" i="2"/>
  <c r="W197" i="9" l="1"/>
  <c r="T197" i="9"/>
  <c r="M199" i="9"/>
  <c r="X198" i="9"/>
  <c r="R197" i="9"/>
  <c r="Q198" i="9"/>
  <c r="S197" i="9"/>
  <c r="U197" i="9"/>
  <c r="L200" i="9"/>
  <c r="D70" i="2"/>
  <c r="F70" i="2"/>
  <c r="AI70" i="2"/>
  <c r="N70" i="2"/>
  <c r="AK70" i="2"/>
  <c r="M70" i="2"/>
  <c r="AG70" i="2"/>
  <c r="J70" i="2"/>
  <c r="L70" i="2"/>
  <c r="AF70" i="2"/>
  <c r="AH70" i="2"/>
  <c r="AL70" i="2"/>
  <c r="K70" i="2"/>
  <c r="AJ70" i="2"/>
  <c r="I70" i="2"/>
  <c r="R70" i="2"/>
  <c r="S70" i="2"/>
  <c r="B72" i="2"/>
  <c r="V70" i="2"/>
  <c r="T70" i="2"/>
  <c r="U70" i="2"/>
  <c r="A71" i="2"/>
  <c r="C71" i="2"/>
  <c r="G71" i="2"/>
  <c r="H71" i="2"/>
  <c r="Q70" i="2"/>
  <c r="E71" i="2"/>
  <c r="P70" i="2"/>
  <c r="X71" i="2"/>
  <c r="W198" i="9" l="1"/>
  <c r="T198" i="9"/>
  <c r="M200" i="9"/>
  <c r="X199" i="9"/>
  <c r="Q199" i="9"/>
  <c r="R198" i="9"/>
  <c r="S198" i="9"/>
  <c r="U198" i="9"/>
  <c r="L201" i="9"/>
  <c r="F71" i="2"/>
  <c r="D71" i="2"/>
  <c r="AA71" i="2"/>
  <c r="AA70" i="2"/>
  <c r="AB70" i="2"/>
  <c r="AB71" i="2"/>
  <c r="AD71" i="2"/>
  <c r="AD70" i="2"/>
  <c r="Z70" i="2"/>
  <c r="Z71" i="2"/>
  <c r="Y71" i="2"/>
  <c r="AE71" i="2" s="1"/>
  <c r="Y70" i="2"/>
  <c r="AE70" i="2" s="1"/>
  <c r="AL71" i="2"/>
  <c r="K71" i="2"/>
  <c r="AF71" i="2"/>
  <c r="I71" i="2"/>
  <c r="J71" i="2"/>
  <c r="AJ71" i="2"/>
  <c r="AG71" i="2"/>
  <c r="M71" i="2"/>
  <c r="N71" i="2"/>
  <c r="L71" i="2"/>
  <c r="AH71" i="2"/>
  <c r="AI71" i="2"/>
  <c r="AK71" i="2"/>
  <c r="AC70" i="2"/>
  <c r="AC71" i="2"/>
  <c r="X72" i="2"/>
  <c r="H72" i="2"/>
  <c r="B73" i="2"/>
  <c r="A72" i="2"/>
  <c r="G72" i="2"/>
  <c r="E72" i="2"/>
  <c r="C72" i="2"/>
  <c r="W199" i="9" l="1"/>
  <c r="T199" i="9"/>
  <c r="M201" i="9"/>
  <c r="X200" i="9"/>
  <c r="R199" i="9"/>
  <c r="Q200" i="9"/>
  <c r="S199" i="9"/>
  <c r="U199" i="9"/>
  <c r="L202" i="9"/>
  <c r="F72" i="2"/>
  <c r="D72" i="2"/>
  <c r="L72" i="2"/>
  <c r="M72" i="2"/>
  <c r="J72" i="2"/>
  <c r="AG72" i="2"/>
  <c r="AH72" i="2"/>
  <c r="AI72" i="2"/>
  <c r="AJ72" i="2"/>
  <c r="AL72" i="2"/>
  <c r="N72" i="2"/>
  <c r="K72" i="2"/>
  <c r="I72" i="2"/>
  <c r="AF72" i="2"/>
  <c r="AK72" i="2"/>
  <c r="H73" i="2"/>
  <c r="E73" i="2"/>
  <c r="B74" i="2"/>
  <c r="Q72" i="2"/>
  <c r="R72" i="2"/>
  <c r="C73" i="2"/>
  <c r="T72" i="2"/>
  <c r="U72" i="2"/>
  <c r="V72" i="2"/>
  <c r="P72" i="2"/>
  <c r="G73" i="2"/>
  <c r="A73" i="2"/>
  <c r="S72" i="2"/>
  <c r="X73" i="2"/>
  <c r="W200" i="9" l="1"/>
  <c r="T200" i="9"/>
  <c r="M202" i="9"/>
  <c r="X201" i="9"/>
  <c r="R200" i="9"/>
  <c r="Q201" i="9"/>
  <c r="U200" i="9"/>
  <c r="S200" i="9"/>
  <c r="L203" i="9"/>
  <c r="D73" i="2"/>
  <c r="F73" i="2"/>
  <c r="AA73" i="2"/>
  <c r="AA72" i="2"/>
  <c r="AD73" i="2"/>
  <c r="AD72" i="2"/>
  <c r="Z73" i="2"/>
  <c r="Z72" i="2"/>
  <c r="AC73" i="2"/>
  <c r="AC72" i="2"/>
  <c r="Y73" i="2"/>
  <c r="AE73" i="2" s="1"/>
  <c r="Y72" i="2"/>
  <c r="AE72" i="2" s="1"/>
  <c r="I73" i="2"/>
  <c r="AJ73" i="2"/>
  <c r="J73" i="2"/>
  <c r="L73" i="2"/>
  <c r="M73" i="2"/>
  <c r="N73" i="2"/>
  <c r="K73" i="2"/>
  <c r="AG73" i="2"/>
  <c r="AH73" i="2"/>
  <c r="AI73" i="2"/>
  <c r="AK73" i="2"/>
  <c r="AL73" i="2"/>
  <c r="AF73" i="2"/>
  <c r="AB72" i="2"/>
  <c r="AB73" i="2"/>
  <c r="X74" i="2"/>
  <c r="E74" i="2"/>
  <c r="H74" i="2"/>
  <c r="B75" i="2"/>
  <c r="A74" i="2"/>
  <c r="G74" i="2"/>
  <c r="C74" i="2"/>
  <c r="W201" i="9" l="1"/>
  <c r="T201" i="9"/>
  <c r="M203" i="9"/>
  <c r="X202" i="9"/>
  <c r="R201" i="9"/>
  <c r="Q202" i="9"/>
  <c r="U201" i="9"/>
  <c r="S201" i="9"/>
  <c r="L204" i="9"/>
  <c r="F74" i="2"/>
  <c r="D74" i="2"/>
  <c r="L74" i="2"/>
  <c r="K74" i="2"/>
  <c r="AK74" i="2"/>
  <c r="AG74" i="2"/>
  <c r="AH74" i="2"/>
  <c r="AI74" i="2"/>
  <c r="M74" i="2"/>
  <c r="AL74" i="2"/>
  <c r="I74" i="2"/>
  <c r="AJ74" i="2"/>
  <c r="J74" i="2"/>
  <c r="AF74" i="2"/>
  <c r="N74" i="2"/>
  <c r="H75" i="2"/>
  <c r="E75" i="2"/>
  <c r="P74" i="2"/>
  <c r="B76" i="2"/>
  <c r="Q74" i="2"/>
  <c r="R74" i="2"/>
  <c r="X75" i="2"/>
  <c r="A75" i="2"/>
  <c r="U74" i="2"/>
  <c r="G75" i="2"/>
  <c r="S74" i="2"/>
  <c r="V74" i="2"/>
  <c r="T74" i="2"/>
  <c r="C75" i="2"/>
  <c r="W202" i="9" l="1"/>
  <c r="T202" i="9"/>
  <c r="X203" i="9"/>
  <c r="M204" i="9"/>
  <c r="R202" i="9"/>
  <c r="Q203" i="9"/>
  <c r="U202" i="9"/>
  <c r="S202" i="9"/>
  <c r="L205" i="9"/>
  <c r="F75" i="2"/>
  <c r="D75" i="2"/>
  <c r="AB75" i="2"/>
  <c r="AB74" i="2"/>
  <c r="Z75" i="2"/>
  <c r="Z74" i="2"/>
  <c r="AC74" i="2"/>
  <c r="AC75" i="2"/>
  <c r="Y75" i="2"/>
  <c r="AE75" i="2" s="1"/>
  <c r="Y74" i="2"/>
  <c r="AE74" i="2" s="1"/>
  <c r="AA75" i="2"/>
  <c r="AA74" i="2"/>
  <c r="AD75" i="2"/>
  <c r="AD74" i="2"/>
  <c r="L75" i="2"/>
  <c r="AF75" i="2"/>
  <c r="N75" i="2"/>
  <c r="K75" i="2"/>
  <c r="AG75" i="2"/>
  <c r="AK75" i="2"/>
  <c r="AH75" i="2"/>
  <c r="AI75" i="2"/>
  <c r="J75" i="2"/>
  <c r="AL75" i="2"/>
  <c r="M75" i="2"/>
  <c r="I75" i="2"/>
  <c r="AJ75" i="2"/>
  <c r="X76" i="2"/>
  <c r="A76" i="2"/>
  <c r="H76" i="2"/>
  <c r="B77" i="2"/>
  <c r="C76" i="2"/>
  <c r="E76" i="2"/>
  <c r="G76" i="2"/>
  <c r="W203" i="9" l="1"/>
  <c r="T203" i="9"/>
  <c r="M205" i="9"/>
  <c r="X204" i="9"/>
  <c r="R203" i="9"/>
  <c r="Q204" i="9"/>
  <c r="U203" i="9"/>
  <c r="S203" i="9"/>
  <c r="L206" i="9"/>
  <c r="D76" i="2"/>
  <c r="F76" i="2"/>
  <c r="AG76" i="2"/>
  <c r="AH76" i="2"/>
  <c r="AF76" i="2"/>
  <c r="I76" i="2"/>
  <c r="AK76" i="2"/>
  <c r="AL76" i="2"/>
  <c r="AJ76" i="2"/>
  <c r="M76" i="2"/>
  <c r="AI76" i="2"/>
  <c r="J76" i="2"/>
  <c r="K76" i="2"/>
  <c r="L76" i="2"/>
  <c r="N76" i="2"/>
  <c r="T76" i="2"/>
  <c r="B78" i="2"/>
  <c r="S76" i="2"/>
  <c r="V76" i="2"/>
  <c r="C77" i="2"/>
  <c r="E77" i="2"/>
  <c r="H77" i="2"/>
  <c r="A77" i="2"/>
  <c r="G77" i="2"/>
  <c r="Q76" i="2"/>
  <c r="R76" i="2"/>
  <c r="P76" i="2"/>
  <c r="X77" i="2"/>
  <c r="U76" i="2"/>
  <c r="W204" i="9" l="1"/>
  <c r="T204" i="9"/>
  <c r="M206" i="9"/>
  <c r="X205" i="9"/>
  <c r="R204" i="9"/>
  <c r="Q205" i="9"/>
  <c r="U204" i="9"/>
  <c r="S204" i="9"/>
  <c r="L207" i="9"/>
  <c r="F77" i="2"/>
  <c r="D77" i="2"/>
  <c r="Y77" i="2"/>
  <c r="AE77" i="2" s="1"/>
  <c r="Y76" i="2"/>
  <c r="AE76" i="2" s="1"/>
  <c r="X78" i="2"/>
  <c r="H78" i="2"/>
  <c r="C78" i="2"/>
  <c r="E78" i="2"/>
  <c r="G78" i="2"/>
  <c r="A78" i="2"/>
  <c r="M77" i="2"/>
  <c r="I77" i="2"/>
  <c r="AH77" i="2"/>
  <c r="N77" i="2"/>
  <c r="K77" i="2"/>
  <c r="L77" i="2"/>
  <c r="AL77" i="2"/>
  <c r="AF77" i="2"/>
  <c r="AG77" i="2"/>
  <c r="J77" i="2"/>
  <c r="AJ77" i="2"/>
  <c r="AK77" i="2"/>
  <c r="AI77" i="2"/>
  <c r="AD77" i="2"/>
  <c r="AD76" i="2"/>
  <c r="AB76" i="2"/>
  <c r="AB77" i="2"/>
  <c r="AC77" i="2"/>
  <c r="AC76" i="2"/>
  <c r="AC78" i="2"/>
  <c r="AD78" i="2"/>
  <c r="AA78" i="2"/>
  <c r="Y78" i="2"/>
  <c r="AE78" i="2" s="1"/>
  <c r="Z78" i="2"/>
  <c r="AB78" i="2"/>
  <c r="Z76" i="2"/>
  <c r="Z77" i="2"/>
  <c r="AA76" i="2"/>
  <c r="AA77" i="2"/>
  <c r="W205" i="9" l="1"/>
  <c r="T205" i="9"/>
  <c r="M207" i="9"/>
  <c r="X206" i="9"/>
  <c r="R205" i="9"/>
  <c r="Q206" i="9"/>
  <c r="S205" i="9"/>
  <c r="U205" i="9"/>
  <c r="L208" i="9"/>
  <c r="F78" i="2"/>
  <c r="D78" i="2"/>
  <c r="AH78" i="2"/>
  <c r="AF78" i="2"/>
  <c r="AK78" i="2"/>
  <c r="AI78" i="2"/>
  <c r="AL78" i="2"/>
  <c r="AJ78" i="2"/>
  <c r="L78" i="2"/>
  <c r="J78" i="2"/>
  <c r="K78" i="2"/>
  <c r="I78" i="2"/>
  <c r="N78" i="2"/>
  <c r="AG78" i="2"/>
  <c r="M78" i="2"/>
  <c r="M37" i="10"/>
  <c r="W206" i="9" l="1"/>
  <c r="T206" i="9"/>
  <c r="M208" i="9"/>
  <c r="X207" i="9"/>
  <c r="R206" i="9"/>
  <c r="Q207" i="9"/>
  <c r="S206" i="9"/>
  <c r="U206" i="9"/>
  <c r="L209" i="9"/>
  <c r="D37" i="10"/>
  <c r="C37" i="10" s="1"/>
  <c r="M38" i="10"/>
  <c r="W207" i="9" l="1"/>
  <c r="T207" i="9"/>
  <c r="M209" i="9"/>
  <c r="X208" i="9"/>
  <c r="R207" i="9"/>
  <c r="Q208" i="9"/>
  <c r="S207" i="9"/>
  <c r="U207" i="9"/>
  <c r="A271" i="9"/>
  <c r="L210" i="9"/>
  <c r="M39" i="10"/>
  <c r="D38" i="10"/>
  <c r="W208" i="9" l="1"/>
  <c r="T208" i="9"/>
  <c r="M210" i="9"/>
  <c r="X209" i="9"/>
  <c r="R208" i="9"/>
  <c r="Q209" i="9"/>
  <c r="S208" i="9"/>
  <c r="U208" i="9"/>
  <c r="L211" i="9"/>
  <c r="C38" i="10"/>
  <c r="A272" i="9"/>
  <c r="M40" i="10"/>
  <c r="D39" i="10"/>
  <c r="W209" i="9" l="1"/>
  <c r="T209" i="9"/>
  <c r="M211" i="9"/>
  <c r="X210" i="9"/>
  <c r="R209" i="9"/>
  <c r="Q210" i="9"/>
  <c r="S209" i="9"/>
  <c r="U209" i="9"/>
  <c r="L212" i="9"/>
  <c r="A273" i="9"/>
  <c r="C39" i="10"/>
  <c r="M41" i="10"/>
  <c r="D40" i="10"/>
  <c r="W210" i="9" l="1"/>
  <c r="T210" i="9"/>
  <c r="M212" i="9"/>
  <c r="X211" i="9"/>
  <c r="R210" i="9"/>
  <c r="Q211" i="9"/>
  <c r="U210" i="9"/>
  <c r="S210" i="9"/>
  <c r="D41" i="10"/>
  <c r="M42" i="10"/>
  <c r="L213" i="9"/>
  <c r="C40" i="10"/>
  <c r="A274" i="9"/>
  <c r="C41" i="10"/>
  <c r="A275" i="9"/>
  <c r="W211" i="9" l="1"/>
  <c r="T211" i="9"/>
  <c r="M213" i="9"/>
  <c r="X212" i="9"/>
  <c r="R211" i="9"/>
  <c r="Q212" i="9"/>
  <c r="S211" i="9"/>
  <c r="U211" i="9"/>
  <c r="L214" i="9"/>
  <c r="D42" i="10"/>
  <c r="M44" i="10"/>
  <c r="W212" i="9" l="1"/>
  <c r="T212" i="9"/>
  <c r="M214" i="9"/>
  <c r="X213" i="9"/>
  <c r="R212" i="9"/>
  <c r="Q213" i="9"/>
  <c r="S212" i="9"/>
  <c r="U212" i="9"/>
  <c r="C42" i="10"/>
  <c r="A276" i="9"/>
  <c r="M46" i="10"/>
  <c r="M43" i="10"/>
  <c r="D44" i="10"/>
  <c r="L215" i="9"/>
  <c r="W213" i="9" l="1"/>
  <c r="T213" i="9"/>
  <c r="M215" i="9"/>
  <c r="X214" i="9"/>
  <c r="R213" i="9"/>
  <c r="Q214" i="9"/>
  <c r="S213" i="9"/>
  <c r="U213" i="9"/>
  <c r="L216" i="9"/>
  <c r="D46" i="10"/>
  <c r="M47" i="10"/>
  <c r="M45" i="10"/>
  <c r="C44" i="10"/>
  <c r="A277" i="9"/>
  <c r="W214" i="9" l="1"/>
  <c r="T214" i="9"/>
  <c r="M216" i="9"/>
  <c r="X215" i="9"/>
  <c r="R214" i="9"/>
  <c r="Q215" i="9"/>
  <c r="U214" i="9"/>
  <c r="S214" i="9"/>
  <c r="C46" i="10"/>
  <c r="A278" i="9"/>
  <c r="M48" i="10"/>
  <c r="D47" i="10"/>
  <c r="L217" i="9"/>
  <c r="W215" i="9" l="1"/>
  <c r="T215" i="9"/>
  <c r="M217" i="9"/>
  <c r="X216" i="9"/>
  <c r="R215" i="9"/>
  <c r="Q216" i="9"/>
  <c r="U215" i="9"/>
  <c r="S215" i="9"/>
  <c r="C47" i="10"/>
  <c r="A279" i="9"/>
  <c r="M49" i="10"/>
  <c r="D48" i="10"/>
  <c r="L218" i="9"/>
  <c r="W216" i="9" l="1"/>
  <c r="T216" i="9"/>
  <c r="M218" i="9"/>
  <c r="X217" i="9"/>
  <c r="R216" i="9"/>
  <c r="Q217" i="9"/>
  <c r="S216" i="9"/>
  <c r="U216" i="9"/>
  <c r="D49" i="10"/>
  <c r="M50" i="10"/>
  <c r="C48" i="10"/>
  <c r="A280" i="9"/>
  <c r="C49" i="10"/>
  <c r="A281" i="9"/>
  <c r="L219" i="9"/>
  <c r="W217" i="9" l="1"/>
  <c r="T217" i="9"/>
  <c r="M219" i="9"/>
  <c r="X218" i="9"/>
  <c r="R217" i="9"/>
  <c r="Q218" i="9"/>
  <c r="S217" i="9"/>
  <c r="U217" i="9"/>
  <c r="M51" i="10"/>
  <c r="D50" i="10"/>
  <c r="L220" i="9"/>
  <c r="W218" i="9" l="1"/>
  <c r="T218" i="9"/>
  <c r="X219" i="9"/>
  <c r="M220" i="9"/>
  <c r="R218" i="9"/>
  <c r="Q219" i="9"/>
  <c r="S218" i="9"/>
  <c r="U218" i="9"/>
  <c r="C50" i="10"/>
  <c r="A282" i="9"/>
  <c r="M52" i="10"/>
  <c r="D51" i="10"/>
  <c r="L221" i="9"/>
  <c r="W219" i="9" l="1"/>
  <c r="T219" i="9"/>
  <c r="M221" i="9"/>
  <c r="X220" i="9"/>
  <c r="R219" i="9"/>
  <c r="Q220" i="9"/>
  <c r="S219" i="9"/>
  <c r="U219" i="9"/>
  <c r="M53" i="10"/>
  <c r="D52" i="10"/>
  <c r="A283" i="9"/>
  <c r="C51" i="10"/>
  <c r="L222" i="9"/>
  <c r="W220" i="9" l="1"/>
  <c r="T220" i="9"/>
  <c r="M222" i="9"/>
  <c r="X221" i="9"/>
  <c r="R220" i="9"/>
  <c r="Q221" i="9"/>
  <c r="U220" i="9"/>
  <c r="S220" i="9"/>
  <c r="A284" i="9"/>
  <c r="M54" i="10"/>
  <c r="D53" i="10"/>
  <c r="L223" i="9"/>
  <c r="W221" i="9" l="1"/>
  <c r="T221" i="9"/>
  <c r="M223" i="9"/>
  <c r="X222" i="9"/>
  <c r="R221" i="9"/>
  <c r="Q222" i="9"/>
  <c r="S221" i="9"/>
  <c r="U221" i="9"/>
  <c r="M55" i="10"/>
  <c r="D54" i="10"/>
  <c r="C53" i="10"/>
  <c r="A285" i="9"/>
  <c r="L224" i="9"/>
  <c r="W222" i="9" l="1"/>
  <c r="T222" i="9"/>
  <c r="M224" i="9"/>
  <c r="X223" i="9"/>
  <c r="R222" i="9"/>
  <c r="Q223" i="9"/>
  <c r="U222" i="9"/>
  <c r="S222" i="9"/>
  <c r="C54" i="10"/>
  <c r="A286" i="9"/>
  <c r="M56" i="10"/>
  <c r="D55" i="10"/>
  <c r="L225" i="9"/>
  <c r="W223" i="9" l="1"/>
  <c r="T223" i="9"/>
  <c r="M225" i="9"/>
  <c r="X224" i="9"/>
  <c r="R223" i="9"/>
  <c r="Q224" i="9"/>
  <c r="U223" i="9"/>
  <c r="S223" i="9"/>
  <c r="C55" i="10"/>
  <c r="A287" i="9"/>
  <c r="C56" i="10"/>
  <c r="A288" i="9"/>
  <c r="L226" i="9"/>
  <c r="W224" i="9" l="1"/>
  <c r="T224" i="9"/>
  <c r="M226" i="9"/>
  <c r="X225" i="9"/>
  <c r="R224" i="9"/>
  <c r="Q225" i="9"/>
  <c r="U224" i="9"/>
  <c r="S224" i="9"/>
  <c r="C20" i="10"/>
  <c r="F13" i="10" s="1"/>
  <c r="G13" i="10" s="1"/>
  <c r="L227" i="9"/>
  <c r="W225" i="9" l="1"/>
  <c r="T225" i="9"/>
  <c r="M227" i="9"/>
  <c r="X226" i="9"/>
  <c r="R225" i="9"/>
  <c r="Q226" i="9"/>
  <c r="U225" i="9"/>
  <c r="S225" i="9"/>
  <c r="F9" i="10"/>
  <c r="G9" i="10" s="1"/>
  <c r="F11" i="10"/>
  <c r="G11" i="10" s="1"/>
  <c r="F10" i="10"/>
  <c r="G10" i="10" s="1"/>
  <c r="F12" i="10"/>
  <c r="G12" i="10" s="1"/>
  <c r="AH2" i="3"/>
  <c r="O9" i="4" s="1"/>
  <c r="F8" i="10"/>
  <c r="G8" i="10" s="1"/>
  <c r="L228" i="9"/>
  <c r="W226" i="9" l="1"/>
  <c r="T226" i="9"/>
  <c r="AN2" i="3"/>
  <c r="M228" i="9"/>
  <c r="X227" i="9"/>
  <c r="R226" i="9"/>
  <c r="Q227" i="9"/>
  <c r="U226" i="9"/>
  <c r="S226" i="9"/>
  <c r="K2" i="3"/>
  <c r="AH5" i="3"/>
  <c r="BF2" i="3"/>
  <c r="L229" i="9"/>
  <c r="W227" i="9" l="1"/>
  <c r="T227" i="9"/>
  <c r="AN5" i="3"/>
  <c r="E5" i="3" s="1"/>
  <c r="D5" i="4" s="1"/>
  <c r="E2" i="3"/>
  <c r="M229" i="9"/>
  <c r="X228" i="9"/>
  <c r="R227" i="9"/>
  <c r="Q228" i="9"/>
  <c r="U227" i="9"/>
  <c r="S227" i="9"/>
  <c r="L2" i="4"/>
  <c r="H2" i="4"/>
  <c r="AH4" i="3"/>
  <c r="K5" i="3"/>
  <c r="BF5" i="3"/>
  <c r="L230" i="9"/>
  <c r="W228" i="9" l="1"/>
  <c r="T228" i="9"/>
  <c r="H5" i="4"/>
  <c r="L5" i="4"/>
  <c r="AN4" i="3"/>
  <c r="E4" i="3" s="1"/>
  <c r="D4" i="4" s="1"/>
  <c r="D2" i="4"/>
  <c r="M230" i="9"/>
  <c r="X229" i="9"/>
  <c r="R228" i="9"/>
  <c r="Q229" i="9"/>
  <c r="U228" i="9"/>
  <c r="S228" i="9"/>
  <c r="BF4" i="3"/>
  <c r="AH3" i="3"/>
  <c r="AN3" i="3" s="1"/>
  <c r="K4" i="3"/>
  <c r="L231" i="9"/>
  <c r="W229" i="9" l="1"/>
  <c r="T229" i="9"/>
  <c r="H3" i="4"/>
  <c r="M231" i="9"/>
  <c r="X230" i="9"/>
  <c r="R229" i="9"/>
  <c r="Q230" i="9"/>
  <c r="S229" i="9"/>
  <c r="U229" i="9"/>
  <c r="K3" i="3"/>
  <c r="AH7" i="3"/>
  <c r="BF3" i="3"/>
  <c r="H4" i="4"/>
  <c r="L4" i="4"/>
  <c r="L232" i="9"/>
  <c r="W230" i="9" l="1"/>
  <c r="T230" i="9"/>
  <c r="AN7" i="3"/>
  <c r="M232" i="9"/>
  <c r="X231" i="9"/>
  <c r="E3" i="3"/>
  <c r="R230" i="9"/>
  <c r="Q231" i="9"/>
  <c r="U230" i="9"/>
  <c r="S230" i="9"/>
  <c r="BF7" i="3"/>
  <c r="AH6" i="3"/>
  <c r="K7" i="3"/>
  <c r="L3" i="4"/>
  <c r="L233" i="9"/>
  <c r="W231" i="9" l="1"/>
  <c r="T231" i="9"/>
  <c r="AN6" i="3"/>
  <c r="L6" i="4" s="1"/>
  <c r="M233" i="9"/>
  <c r="X232" i="9"/>
  <c r="D3" i="4"/>
  <c r="R231" i="9"/>
  <c r="Q232" i="9"/>
  <c r="S231" i="9"/>
  <c r="U231" i="9"/>
  <c r="H7" i="4"/>
  <c r="E7" i="3"/>
  <c r="D7" i="4" s="1"/>
  <c r="AH9" i="3"/>
  <c r="K9" i="3" s="1"/>
  <c r="BF6" i="3"/>
  <c r="BF9" i="3" s="1"/>
  <c r="K6" i="3"/>
  <c r="L7" i="4"/>
  <c r="L234" i="9"/>
  <c r="W232" i="9" l="1"/>
  <c r="T232" i="9"/>
  <c r="M234" i="9"/>
  <c r="X233" i="9"/>
  <c r="R232" i="9"/>
  <c r="Q233" i="9"/>
  <c r="U232" i="9"/>
  <c r="S232" i="9"/>
  <c r="AN9" i="3"/>
  <c r="E6" i="3"/>
  <c r="H6" i="4"/>
  <c r="L235" i="9"/>
  <c r="W233" i="9" l="1"/>
  <c r="T233" i="9"/>
  <c r="E9" i="3"/>
  <c r="M235" i="9"/>
  <c r="X234" i="9"/>
  <c r="D6" i="4"/>
  <c r="R233" i="9"/>
  <c r="Q234" i="9"/>
  <c r="U233" i="9"/>
  <c r="S233" i="9"/>
  <c r="L236" i="9"/>
  <c r="W234" i="9" l="1"/>
  <c r="T234" i="9"/>
  <c r="X235" i="9"/>
  <c r="M236" i="9"/>
  <c r="R234" i="9"/>
  <c r="Q235" i="9"/>
  <c r="U234" i="9"/>
  <c r="S234" i="9"/>
  <c r="L237" i="9"/>
  <c r="W235" i="9" l="1"/>
  <c r="T235" i="9"/>
  <c r="M237" i="9"/>
  <c r="X236" i="9"/>
  <c r="R235" i="9"/>
  <c r="Q236" i="9"/>
  <c r="U235" i="9"/>
  <c r="S235" i="9"/>
  <c r="L238" i="9"/>
  <c r="W236" i="9" l="1"/>
  <c r="T236" i="9"/>
  <c r="M238" i="9"/>
  <c r="X237" i="9"/>
  <c r="R236" i="9"/>
  <c r="Q237" i="9"/>
  <c r="U236" i="9"/>
  <c r="S236" i="9"/>
  <c r="L239" i="9"/>
  <c r="W237" i="9" l="1"/>
  <c r="T237" i="9"/>
  <c r="M239" i="9"/>
  <c r="X238" i="9"/>
  <c r="R237" i="9"/>
  <c r="Q238" i="9"/>
  <c r="U237" i="9"/>
  <c r="S237" i="9"/>
  <c r="L240" i="9"/>
  <c r="W238" i="9" l="1"/>
  <c r="T238" i="9"/>
  <c r="M240" i="9"/>
  <c r="X239" i="9"/>
  <c r="R238" i="9"/>
  <c r="Q239" i="9"/>
  <c r="U238" i="9"/>
  <c r="S238" i="9"/>
  <c r="L241" i="9"/>
  <c r="W239" i="9" l="1"/>
  <c r="T239" i="9"/>
  <c r="M241" i="9"/>
  <c r="X240" i="9"/>
  <c r="R239" i="9"/>
  <c r="Q240" i="9"/>
  <c r="U239" i="9"/>
  <c r="S239" i="9"/>
  <c r="L242" i="9"/>
  <c r="W240" i="9" l="1"/>
  <c r="T240" i="9"/>
  <c r="M242" i="9"/>
  <c r="X241" i="9"/>
  <c r="Q241" i="9"/>
  <c r="R240" i="9"/>
  <c r="U240" i="9"/>
  <c r="S240" i="9"/>
  <c r="L243" i="9"/>
  <c r="W241" i="9" l="1"/>
  <c r="T241" i="9"/>
  <c r="M243" i="9"/>
  <c r="X242" i="9"/>
  <c r="Q242" i="9"/>
  <c r="R241" i="9"/>
  <c r="U241" i="9"/>
  <c r="S241" i="9"/>
  <c r="L244" i="9"/>
  <c r="W242" i="9" l="1"/>
  <c r="T242" i="9"/>
  <c r="M244" i="9"/>
  <c r="X243" i="9"/>
  <c r="Q243" i="9"/>
  <c r="R242" i="9"/>
  <c r="U242" i="9"/>
  <c r="S242" i="9"/>
  <c r="L245" i="9"/>
  <c r="W243" i="9" l="1"/>
  <c r="T243" i="9"/>
  <c r="M245" i="9"/>
  <c r="X244" i="9"/>
  <c r="Q244" i="9"/>
  <c r="R243" i="9"/>
  <c r="U243" i="9"/>
  <c r="S243" i="9"/>
  <c r="L246" i="9"/>
  <c r="W244" i="9" l="1"/>
  <c r="T244" i="9"/>
  <c r="M246" i="9"/>
  <c r="X245" i="9"/>
  <c r="Q245" i="9"/>
  <c r="R244" i="9"/>
  <c r="S244" i="9"/>
  <c r="U244" i="9"/>
  <c r="L247" i="9"/>
  <c r="W245" i="9" l="1"/>
  <c r="T245" i="9"/>
  <c r="M247" i="9"/>
  <c r="X246" i="9"/>
  <c r="Q246" i="9"/>
  <c r="R245" i="9"/>
  <c r="S245" i="9"/>
  <c r="U245" i="9"/>
  <c r="L248" i="9"/>
  <c r="W246" i="9" l="1"/>
  <c r="T246" i="9"/>
  <c r="M248" i="9"/>
  <c r="X247" i="9"/>
  <c r="Q247" i="9"/>
  <c r="R246" i="9"/>
  <c r="S246" i="9"/>
  <c r="U246" i="9"/>
  <c r="L249" i="9"/>
  <c r="W247" i="9" l="1"/>
  <c r="T247" i="9"/>
  <c r="M249" i="9"/>
  <c r="X248" i="9"/>
  <c r="Q248" i="9"/>
  <c r="R247" i="9"/>
  <c r="U247" i="9"/>
  <c r="S247" i="9"/>
  <c r="L250" i="9"/>
  <c r="W248" i="9" l="1"/>
  <c r="T248" i="9"/>
  <c r="M250" i="9"/>
  <c r="X249" i="9"/>
  <c r="Q249" i="9"/>
  <c r="R248" i="9"/>
  <c r="U248" i="9"/>
  <c r="S248" i="9"/>
  <c r="L251" i="9"/>
  <c r="W249" i="9" l="1"/>
  <c r="T249" i="9"/>
  <c r="M251" i="9"/>
  <c r="X250" i="9"/>
  <c r="Q250" i="9"/>
  <c r="R249" i="9"/>
  <c r="S249" i="9"/>
  <c r="U249" i="9"/>
  <c r="L252" i="9"/>
  <c r="W250" i="9" l="1"/>
  <c r="T250" i="9"/>
  <c r="M252" i="9"/>
  <c r="X251" i="9"/>
  <c r="Q251" i="9"/>
  <c r="R250" i="9"/>
  <c r="U250" i="9"/>
  <c r="S250" i="9"/>
  <c r="L253" i="9"/>
  <c r="W251" i="9" l="1"/>
  <c r="T251" i="9"/>
  <c r="M253" i="9"/>
  <c r="X252" i="9"/>
  <c r="Q252" i="9"/>
  <c r="R251" i="9"/>
  <c r="S251" i="9"/>
  <c r="U251" i="9"/>
  <c r="L254" i="9"/>
  <c r="W252" i="9" l="1"/>
  <c r="T252" i="9"/>
  <c r="M254" i="9"/>
  <c r="X253" i="9"/>
  <c r="Q253" i="9"/>
  <c r="R252" i="9"/>
  <c r="U252" i="9"/>
  <c r="S252" i="9"/>
  <c r="L255" i="9"/>
  <c r="W253" i="9" l="1"/>
  <c r="T253" i="9"/>
  <c r="M255" i="9"/>
  <c r="X254" i="9"/>
  <c r="Q254" i="9"/>
  <c r="R253" i="9"/>
  <c r="U253" i="9"/>
  <c r="S253" i="9"/>
  <c r="L256" i="9"/>
  <c r="W254" i="9" l="1"/>
  <c r="T254" i="9"/>
  <c r="M256" i="9"/>
  <c r="X255" i="9"/>
  <c r="Q255" i="9"/>
  <c r="R254" i="9"/>
  <c r="S254" i="9"/>
  <c r="U254" i="9"/>
  <c r="L257" i="9"/>
  <c r="W255" i="9" l="1"/>
  <c r="T255" i="9"/>
  <c r="M257" i="9"/>
  <c r="X256" i="9"/>
  <c r="Q256" i="9"/>
  <c r="R255" i="9"/>
  <c r="U255" i="9"/>
  <c r="S255" i="9"/>
  <c r="L258" i="9"/>
  <c r="W256" i="9" l="1"/>
  <c r="T256" i="9"/>
  <c r="M258" i="9"/>
  <c r="X257" i="9"/>
  <c r="Q257" i="9"/>
  <c r="R256" i="9"/>
  <c r="S256" i="9"/>
  <c r="U256" i="9"/>
  <c r="L259" i="9"/>
  <c r="W257" i="9" l="1"/>
  <c r="T257" i="9"/>
  <c r="M259" i="9"/>
  <c r="X258" i="9"/>
  <c r="Q258" i="9"/>
  <c r="R257" i="9"/>
  <c r="U257" i="9"/>
  <c r="S257" i="9"/>
  <c r="L260" i="9"/>
  <c r="W258" i="9" l="1"/>
  <c r="T258" i="9"/>
  <c r="M260" i="9"/>
  <c r="X259" i="9"/>
  <c r="Q259" i="9"/>
  <c r="R258" i="9"/>
  <c r="S258" i="9"/>
  <c r="U258" i="9"/>
  <c r="L261" i="9"/>
  <c r="W259" i="9" l="1"/>
  <c r="T259" i="9"/>
  <c r="M261" i="9"/>
  <c r="X260" i="9"/>
  <c r="Q260" i="9"/>
  <c r="R259" i="9"/>
  <c r="U259" i="9"/>
  <c r="S259" i="9"/>
  <c r="L262" i="9"/>
  <c r="W260" i="9" l="1"/>
  <c r="T260" i="9"/>
  <c r="M262" i="9"/>
  <c r="X261" i="9"/>
  <c r="Q261" i="9"/>
  <c r="R260" i="9"/>
  <c r="U260" i="9"/>
  <c r="S260" i="9"/>
  <c r="L263" i="9"/>
  <c r="W261" i="9" l="1"/>
  <c r="T261" i="9"/>
  <c r="M263" i="9"/>
  <c r="X262" i="9"/>
  <c r="Q262" i="9"/>
  <c r="R261" i="9"/>
  <c r="U261" i="9"/>
  <c r="S261" i="9"/>
  <c r="L264" i="9"/>
  <c r="W262" i="9" l="1"/>
  <c r="T262" i="9"/>
  <c r="M264" i="9"/>
  <c r="X263" i="9"/>
  <c r="R262" i="9"/>
  <c r="Q263" i="9"/>
  <c r="U262" i="9"/>
  <c r="S262" i="9"/>
  <c r="L265" i="9"/>
  <c r="W263" i="9" l="1"/>
  <c r="T263" i="9"/>
  <c r="M265" i="9"/>
  <c r="X264" i="9"/>
  <c r="R263" i="9"/>
  <c r="Q264" i="9"/>
  <c r="S263" i="9"/>
  <c r="U263" i="9"/>
  <c r="L266" i="9"/>
  <c r="W264" i="9" l="1"/>
  <c r="T264" i="9"/>
  <c r="M266" i="9"/>
  <c r="X265" i="9"/>
  <c r="R264" i="9"/>
  <c r="Q265" i="9"/>
  <c r="S264" i="9"/>
  <c r="U264" i="9"/>
  <c r="L267" i="9"/>
  <c r="W265" i="9" l="1"/>
  <c r="T265" i="9"/>
  <c r="M267" i="9"/>
  <c r="X266" i="9"/>
  <c r="R265" i="9"/>
  <c r="Q266" i="9"/>
  <c r="U265" i="9"/>
  <c r="S265" i="9"/>
  <c r="L268" i="9"/>
  <c r="W266" i="9" l="1"/>
  <c r="T266" i="9"/>
  <c r="M268" i="9"/>
  <c r="X267" i="9"/>
  <c r="R266" i="9"/>
  <c r="Q267" i="9"/>
  <c r="U266" i="9"/>
  <c r="S266" i="9"/>
  <c r="L269" i="9"/>
  <c r="W267" i="9" l="1"/>
  <c r="T267" i="9"/>
  <c r="M269" i="9"/>
  <c r="X268" i="9"/>
  <c r="R267" i="9"/>
  <c r="Q268" i="9"/>
  <c r="U267" i="9"/>
  <c r="S267" i="9"/>
  <c r="L270" i="9"/>
  <c r="W268" i="9" l="1"/>
  <c r="T268" i="9"/>
  <c r="M270" i="9"/>
  <c r="X269" i="9"/>
  <c r="R268" i="9"/>
  <c r="Q269" i="9"/>
  <c r="U268" i="9"/>
  <c r="S268" i="9"/>
  <c r="L271" i="9"/>
  <c r="W269" i="9" l="1"/>
  <c r="T269" i="9"/>
  <c r="M271" i="9"/>
  <c r="X270" i="9"/>
  <c r="R269" i="9"/>
  <c r="Q270" i="9"/>
  <c r="U269" i="9"/>
  <c r="S269" i="9"/>
  <c r="L272" i="9"/>
  <c r="W270" i="9" l="1"/>
  <c r="T270" i="9"/>
  <c r="M272" i="9"/>
  <c r="X271" i="9"/>
  <c r="R270" i="9"/>
  <c r="Q271" i="9"/>
  <c r="S270" i="9"/>
  <c r="U270" i="9"/>
  <c r="L273" i="9"/>
  <c r="W271" i="9" l="1"/>
  <c r="T271" i="9"/>
  <c r="M273" i="9"/>
  <c r="X272" i="9"/>
  <c r="R271" i="9"/>
  <c r="Q272" i="9"/>
  <c r="U271" i="9"/>
  <c r="S271" i="9"/>
  <c r="L274" i="9"/>
  <c r="W272" i="9" l="1"/>
  <c r="T272" i="9"/>
  <c r="M274" i="9"/>
  <c r="X273" i="9"/>
  <c r="R272" i="9"/>
  <c r="Q273" i="9"/>
  <c r="S272" i="9"/>
  <c r="U272" i="9"/>
  <c r="L275" i="9"/>
  <c r="W273" i="9" l="1"/>
  <c r="T273" i="9"/>
  <c r="M275" i="9"/>
  <c r="X274" i="9"/>
  <c r="R273" i="9"/>
  <c r="Q274" i="9"/>
  <c r="U273" i="9"/>
  <c r="S273" i="9"/>
  <c r="L276" i="9"/>
  <c r="W274" i="9" l="1"/>
  <c r="T274" i="9"/>
  <c r="M276" i="9"/>
  <c r="X275" i="9"/>
  <c r="R274" i="9"/>
  <c r="Q275" i="9"/>
  <c r="S274" i="9"/>
  <c r="U274" i="9"/>
  <c r="L277" i="9"/>
  <c r="W275" i="9" l="1"/>
  <c r="T275" i="9"/>
  <c r="M277" i="9"/>
  <c r="X276" i="9"/>
  <c r="R275" i="9"/>
  <c r="Q276" i="9"/>
  <c r="U275" i="9"/>
  <c r="S275" i="9"/>
  <c r="L278" i="9"/>
  <c r="W276" i="9" l="1"/>
  <c r="T276" i="9"/>
  <c r="M278" i="9"/>
  <c r="X277" i="9"/>
  <c r="R276" i="9"/>
  <c r="Q277" i="9"/>
  <c r="U276" i="9"/>
  <c r="S276" i="9"/>
  <c r="L279" i="9"/>
  <c r="W277" i="9" l="1"/>
  <c r="T277" i="9"/>
  <c r="M279" i="9"/>
  <c r="X278" i="9"/>
  <c r="R277" i="9"/>
  <c r="Q278" i="9"/>
  <c r="U277" i="9"/>
  <c r="S277" i="9"/>
  <c r="L280" i="9"/>
  <c r="W278" i="9" l="1"/>
  <c r="T278" i="9"/>
  <c r="M280" i="9"/>
  <c r="X279" i="9"/>
  <c r="R278" i="9"/>
  <c r="Q279" i="9"/>
  <c r="U278" i="9"/>
  <c r="S278" i="9"/>
  <c r="L281" i="9"/>
  <c r="W279" i="9" l="1"/>
  <c r="T279" i="9"/>
  <c r="M281" i="9"/>
  <c r="X280" i="9"/>
  <c r="L282" i="9"/>
  <c r="R279" i="9"/>
  <c r="Q280" i="9"/>
  <c r="U279" i="9"/>
  <c r="S279" i="9"/>
  <c r="W280" i="9" l="1"/>
  <c r="T280" i="9"/>
  <c r="L283" i="9"/>
  <c r="L284" i="9" s="1"/>
  <c r="M282" i="9"/>
  <c r="X281" i="9"/>
  <c r="R280" i="9"/>
  <c r="Q281" i="9"/>
  <c r="U280" i="9"/>
  <c r="S280" i="9"/>
  <c r="W281" i="9" l="1"/>
  <c r="T281" i="9"/>
  <c r="M283" i="9"/>
  <c r="X282" i="9"/>
  <c r="Q282" i="9"/>
  <c r="R281" i="9"/>
  <c r="U281" i="9"/>
  <c r="S281" i="9"/>
  <c r="L285" i="9"/>
  <c r="W282" i="9" l="1"/>
  <c r="T282" i="9"/>
  <c r="M284" i="9"/>
  <c r="X283" i="9"/>
  <c r="R282" i="9"/>
  <c r="Q283" i="9"/>
  <c r="S282" i="9"/>
  <c r="U282" i="9"/>
  <c r="L286" i="9"/>
  <c r="W283" i="9" l="1"/>
  <c r="T283" i="9"/>
  <c r="M285" i="9"/>
  <c r="X284" i="9"/>
  <c r="R283" i="9"/>
  <c r="Q284" i="9"/>
  <c r="U283" i="9"/>
  <c r="S283" i="9"/>
  <c r="L287" i="9"/>
  <c r="W284" i="9" l="1"/>
  <c r="T284" i="9"/>
  <c r="M286" i="9"/>
  <c r="X285" i="9"/>
  <c r="R284" i="9"/>
  <c r="Q285" i="9"/>
  <c r="U284" i="9"/>
  <c r="S284" i="9"/>
  <c r="L288" i="9"/>
  <c r="W285" i="9" l="1"/>
  <c r="T285" i="9"/>
  <c r="M287" i="9"/>
  <c r="X286" i="9"/>
  <c r="L289" i="9"/>
  <c r="R285" i="9"/>
  <c r="Q286" i="9"/>
  <c r="U285" i="9"/>
  <c r="S285" i="9"/>
  <c r="W286" i="9" l="1"/>
  <c r="T286" i="9"/>
  <c r="M288" i="9"/>
  <c r="X287" i="9"/>
  <c r="L290" i="9"/>
  <c r="L291" i="9" s="1"/>
  <c r="R286" i="9"/>
  <c r="Q287" i="9"/>
  <c r="U286" i="9"/>
  <c r="S286" i="9"/>
  <c r="W287" i="9" l="1"/>
  <c r="T287" i="9"/>
  <c r="M289" i="9"/>
  <c r="X288" i="9"/>
  <c r="R287" i="9"/>
  <c r="Q288" i="9"/>
  <c r="U287" i="9"/>
  <c r="S287" i="9"/>
  <c r="L292" i="9"/>
  <c r="W288" i="9" l="1"/>
  <c r="T288" i="9"/>
  <c r="M290" i="9"/>
  <c r="X289" i="9"/>
  <c r="Q289" i="9"/>
  <c r="R288" i="9"/>
  <c r="U288" i="9"/>
  <c r="S288" i="9"/>
  <c r="L293" i="9"/>
  <c r="W289" i="9" l="1"/>
  <c r="T289" i="9"/>
  <c r="M291" i="9"/>
  <c r="X290" i="9"/>
  <c r="L294" i="9"/>
  <c r="R289" i="9"/>
  <c r="Q290" i="9"/>
  <c r="S289" i="9"/>
  <c r="U289" i="9"/>
  <c r="W290" i="9" l="1"/>
  <c r="T290" i="9"/>
  <c r="M292" i="9"/>
  <c r="X291" i="9"/>
  <c r="R290" i="9"/>
  <c r="Q291" i="9"/>
  <c r="U290" i="9"/>
  <c r="S290" i="9"/>
  <c r="L295" i="9"/>
  <c r="W291" i="9" l="1"/>
  <c r="T291" i="9"/>
  <c r="M293" i="9"/>
  <c r="X292" i="9"/>
  <c r="L296" i="9"/>
  <c r="R291" i="9"/>
  <c r="Q292" i="9"/>
  <c r="U291" i="9"/>
  <c r="S291" i="9"/>
  <c r="W292" i="9" l="1"/>
  <c r="T292" i="9"/>
  <c r="M294" i="9"/>
  <c r="X293" i="9"/>
  <c r="R292" i="9"/>
  <c r="Q293" i="9"/>
  <c r="U292" i="9"/>
  <c r="S292" i="9"/>
  <c r="L297" i="9"/>
  <c r="W293" i="9" l="1"/>
  <c r="T293" i="9"/>
  <c r="M295" i="9"/>
  <c r="X294" i="9"/>
  <c r="L298" i="9"/>
  <c r="R293" i="9"/>
  <c r="Q294" i="9"/>
  <c r="U293" i="9"/>
  <c r="S293" i="9"/>
  <c r="W294" i="9" l="1"/>
  <c r="T294" i="9"/>
  <c r="X295" i="9"/>
  <c r="M296" i="9"/>
  <c r="R294" i="9"/>
  <c r="S294" i="9"/>
  <c r="Q295" i="9"/>
  <c r="U294" i="9"/>
  <c r="L299" i="9"/>
  <c r="W295" i="9" l="1"/>
  <c r="T295" i="9"/>
  <c r="M297" i="9"/>
  <c r="X296" i="9"/>
  <c r="L300" i="9"/>
  <c r="S295" i="9"/>
  <c r="R295" i="9"/>
  <c r="Q296" i="9"/>
  <c r="U295" i="9"/>
  <c r="W296" i="9" l="1"/>
  <c r="T296" i="9"/>
  <c r="M298" i="9"/>
  <c r="X297" i="9"/>
  <c r="S296" i="9"/>
  <c r="R296" i="9"/>
  <c r="Q297" i="9"/>
  <c r="U296" i="9"/>
  <c r="L301" i="9"/>
  <c r="W297" i="9" l="1"/>
  <c r="T297" i="9"/>
  <c r="M299" i="9"/>
  <c r="X298" i="9"/>
  <c r="L302" i="9"/>
  <c r="R297" i="9"/>
  <c r="Q298" i="9"/>
  <c r="S297" i="9"/>
  <c r="U297" i="9"/>
  <c r="W298" i="9" l="1"/>
  <c r="T298" i="9"/>
  <c r="M300" i="9"/>
  <c r="X299" i="9"/>
  <c r="Q299" i="9"/>
  <c r="S298" i="9"/>
  <c r="R298" i="9"/>
  <c r="U298" i="9"/>
  <c r="L303" i="9"/>
  <c r="W299" i="9" l="1"/>
  <c r="T299" i="9"/>
  <c r="M301" i="9"/>
  <c r="X300" i="9"/>
  <c r="L304" i="9"/>
  <c r="S299" i="9"/>
  <c r="R299" i="9"/>
  <c r="Q300" i="9"/>
  <c r="U299" i="9"/>
  <c r="W300" i="9" l="1"/>
  <c r="T300" i="9"/>
  <c r="M302" i="9"/>
  <c r="X301" i="9"/>
  <c r="R300" i="9"/>
  <c r="Q301" i="9"/>
  <c r="S300" i="9"/>
  <c r="U300" i="9"/>
  <c r="L305" i="9"/>
  <c r="L306" i="9" s="1"/>
  <c r="W301" i="9" l="1"/>
  <c r="T301" i="9"/>
  <c r="M303" i="9"/>
  <c r="X302" i="9"/>
  <c r="L307" i="9"/>
  <c r="R301" i="9"/>
  <c r="S301" i="9"/>
  <c r="Q302" i="9"/>
  <c r="U301" i="9"/>
  <c r="W302" i="9" l="1"/>
  <c r="T302" i="9"/>
  <c r="M304" i="9"/>
  <c r="X303" i="9"/>
  <c r="L308" i="9"/>
  <c r="S302" i="9"/>
  <c r="Q303" i="9"/>
  <c r="R302" i="9"/>
  <c r="U302" i="9"/>
  <c r="W303" i="9" l="1"/>
  <c r="T303" i="9"/>
  <c r="M305" i="9"/>
  <c r="X304" i="9"/>
  <c r="L309" i="9"/>
  <c r="S303" i="9"/>
  <c r="R303" i="9"/>
  <c r="Q304" i="9"/>
  <c r="U303" i="9"/>
  <c r="W304" i="9" l="1"/>
  <c r="T304" i="9"/>
  <c r="M306" i="9"/>
  <c r="X305" i="9"/>
  <c r="L310" i="9"/>
  <c r="S304" i="9"/>
  <c r="Q305" i="9"/>
  <c r="T305" i="9" s="1"/>
  <c r="R304" i="9"/>
  <c r="U304" i="9"/>
  <c r="Q306" i="9" l="1"/>
  <c r="W305" i="9"/>
  <c r="M307" i="9"/>
  <c r="X306" i="9"/>
  <c r="U306" i="9"/>
  <c r="L311" i="9"/>
  <c r="R305" i="9"/>
  <c r="S305" i="9"/>
  <c r="U305" i="9"/>
  <c r="W306" i="9" l="1"/>
  <c r="T306" i="9"/>
  <c r="Q307" i="9"/>
  <c r="U307" i="9" s="1"/>
  <c r="S306" i="9"/>
  <c r="R306" i="9"/>
  <c r="M308" i="9"/>
  <c r="X307" i="9"/>
  <c r="L312" i="9"/>
  <c r="W307" i="9" l="1"/>
  <c r="T307" i="9"/>
  <c r="R307" i="9"/>
  <c r="S307" i="9"/>
  <c r="Q308" i="9"/>
  <c r="U308" i="9" s="1"/>
  <c r="M309" i="9"/>
  <c r="X308" i="9"/>
  <c r="S308" i="9"/>
  <c r="L313" i="9"/>
  <c r="W308" i="9" l="1"/>
  <c r="T308" i="9"/>
  <c r="R308" i="9"/>
  <c r="Q309" i="9"/>
  <c r="M310" i="9"/>
  <c r="X309" i="9"/>
  <c r="L314" i="9"/>
  <c r="Q310" i="9"/>
  <c r="W310" i="9" l="1"/>
  <c r="T310" i="9"/>
  <c r="W309" i="9"/>
  <c r="T309" i="9"/>
  <c r="U309" i="9"/>
  <c r="S309" i="9"/>
  <c r="R309" i="9"/>
  <c r="M311" i="9"/>
  <c r="X310" i="9"/>
  <c r="S310" i="9"/>
  <c r="Q311" i="9"/>
  <c r="R310" i="9"/>
  <c r="U310" i="9"/>
  <c r="L315" i="9"/>
  <c r="W311" i="9" l="1"/>
  <c r="T311" i="9"/>
  <c r="M312" i="9"/>
  <c r="X311" i="9"/>
  <c r="L316" i="9"/>
  <c r="S311" i="9"/>
  <c r="Q312" i="9"/>
  <c r="R311" i="9"/>
  <c r="U311" i="9"/>
  <c r="W312" i="9" l="1"/>
  <c r="T312" i="9"/>
  <c r="M313" i="9"/>
  <c r="X312" i="9"/>
  <c r="S312" i="9"/>
  <c r="Q313" i="9"/>
  <c r="R312" i="9"/>
  <c r="U312" i="9"/>
  <c r="L317" i="9"/>
  <c r="W313" i="9" l="1"/>
  <c r="T313" i="9"/>
  <c r="M314" i="9"/>
  <c r="X313" i="9"/>
  <c r="L318" i="9"/>
  <c r="S313" i="9"/>
  <c r="Q314" i="9"/>
  <c r="R313" i="9"/>
  <c r="U313" i="9"/>
  <c r="W314" i="9" l="1"/>
  <c r="T314" i="9"/>
  <c r="M315" i="9"/>
  <c r="X314" i="9"/>
  <c r="S314" i="9"/>
  <c r="Q315" i="9"/>
  <c r="R314" i="9"/>
  <c r="U314" i="9"/>
  <c r="L319" i="9"/>
  <c r="W315" i="9" l="1"/>
  <c r="T315" i="9"/>
  <c r="M316" i="9"/>
  <c r="X315" i="9"/>
  <c r="L320" i="9"/>
  <c r="S315" i="9"/>
  <c r="R315" i="9"/>
  <c r="Q316" i="9"/>
  <c r="U315" i="9"/>
  <c r="W316" i="9" l="1"/>
  <c r="T316" i="9"/>
  <c r="M317" i="9"/>
  <c r="X316" i="9"/>
  <c r="Q317" i="9"/>
  <c r="S316" i="9"/>
  <c r="R316" i="9"/>
  <c r="U316" i="9"/>
  <c r="L321" i="9"/>
  <c r="W317" i="9" l="1"/>
  <c r="T317" i="9"/>
  <c r="M318" i="9"/>
  <c r="X317" i="9"/>
  <c r="L322" i="9"/>
  <c r="R317" i="9"/>
  <c r="S317" i="9"/>
  <c r="Q318" i="9"/>
  <c r="U317" i="9"/>
  <c r="W318" i="9" l="1"/>
  <c r="T318" i="9"/>
  <c r="M319" i="9"/>
  <c r="X318" i="9"/>
  <c r="S318" i="9"/>
  <c r="Q319" i="9"/>
  <c r="R318" i="9"/>
  <c r="U318" i="9"/>
  <c r="L323" i="9"/>
  <c r="W319" i="9" l="1"/>
  <c r="T319" i="9"/>
  <c r="M320" i="9"/>
  <c r="X319" i="9"/>
  <c r="L324" i="9"/>
  <c r="S319" i="9"/>
  <c r="Q320" i="9"/>
  <c r="R319" i="9"/>
  <c r="U319" i="9"/>
  <c r="W320" i="9" l="1"/>
  <c r="T320" i="9"/>
  <c r="M321" i="9"/>
  <c r="X320" i="9"/>
  <c r="R320" i="9"/>
  <c r="Q321" i="9"/>
  <c r="S320" i="9"/>
  <c r="U320" i="9"/>
  <c r="L325" i="9"/>
  <c r="W321" i="9" l="1"/>
  <c r="T321" i="9"/>
  <c r="M322" i="9"/>
  <c r="X321" i="9"/>
  <c r="L326" i="9"/>
  <c r="S321" i="9"/>
  <c r="Q322" i="9"/>
  <c r="R321" i="9"/>
  <c r="U321" i="9"/>
  <c r="W322" i="9" l="1"/>
  <c r="T322" i="9"/>
  <c r="M323" i="9"/>
  <c r="X322" i="9"/>
  <c r="R322" i="9"/>
  <c r="S322" i="9"/>
  <c r="Q323" i="9"/>
  <c r="U322" i="9"/>
  <c r="L327" i="9"/>
  <c r="W323" i="9" l="1"/>
  <c r="T323" i="9"/>
  <c r="M324" i="9"/>
  <c r="X323" i="9"/>
  <c r="L328" i="9"/>
  <c r="S323" i="9"/>
  <c r="R323" i="9"/>
  <c r="Q324" i="9"/>
  <c r="U323" i="9"/>
  <c r="W324" i="9" l="1"/>
  <c r="T324" i="9"/>
  <c r="M325" i="9"/>
  <c r="X324" i="9"/>
  <c r="Q325" i="9"/>
  <c r="S324" i="9"/>
  <c r="R324" i="9"/>
  <c r="U324" i="9"/>
  <c r="L329" i="9"/>
  <c r="W325" i="9" l="1"/>
  <c r="T325" i="9"/>
  <c r="M326" i="9"/>
  <c r="X325" i="9"/>
  <c r="L330" i="9"/>
  <c r="L331" i="9" s="1"/>
  <c r="R325" i="9"/>
  <c r="Q326" i="9"/>
  <c r="S325" i="9"/>
  <c r="U325" i="9"/>
  <c r="W326" i="9" l="1"/>
  <c r="T326" i="9"/>
  <c r="M327" i="9"/>
  <c r="X326" i="9"/>
  <c r="L332" i="9"/>
  <c r="L333" i="9" s="1"/>
  <c r="Q327" i="9"/>
  <c r="S326" i="9"/>
  <c r="R326" i="9"/>
  <c r="U326" i="9"/>
  <c r="W327" i="9" l="1"/>
  <c r="T327" i="9"/>
  <c r="M328" i="9"/>
  <c r="X327" i="9"/>
  <c r="L334" i="9"/>
  <c r="Q328" i="9"/>
  <c r="R327" i="9"/>
  <c r="S327" i="9"/>
  <c r="U327" i="9"/>
  <c r="W328" i="9" l="1"/>
  <c r="T328" i="9"/>
  <c r="M329" i="9"/>
  <c r="X328" i="9"/>
  <c r="L335" i="9"/>
  <c r="S328" i="9"/>
  <c r="Q329" i="9"/>
  <c r="R328" i="9"/>
  <c r="U328" i="9"/>
  <c r="W329" i="9" l="1"/>
  <c r="T329" i="9"/>
  <c r="M330" i="9"/>
  <c r="X329" i="9"/>
  <c r="L336" i="9"/>
  <c r="Q330" i="9"/>
  <c r="T330" i="9" s="1"/>
  <c r="R329" i="9"/>
  <c r="S329" i="9"/>
  <c r="U329" i="9"/>
  <c r="Q331" i="9" l="1"/>
  <c r="W330" i="9"/>
  <c r="M331" i="9"/>
  <c r="X330" i="9"/>
  <c r="L337" i="9"/>
  <c r="R330" i="9"/>
  <c r="S330" i="9"/>
  <c r="U330" i="9"/>
  <c r="W331" i="9" l="1"/>
  <c r="T331" i="9"/>
  <c r="R331" i="9"/>
  <c r="Q332" i="9"/>
  <c r="S332" i="9" s="1"/>
  <c r="S331" i="9"/>
  <c r="M332" i="9"/>
  <c r="R332" i="9" s="1"/>
  <c r="X331" i="9"/>
  <c r="U331" i="9"/>
  <c r="L338" i="9"/>
  <c r="L339" i="9" s="1"/>
  <c r="U332" i="9" l="1"/>
  <c r="T332" i="9"/>
  <c r="W332" i="9"/>
  <c r="Q333" i="9"/>
  <c r="S333" i="9"/>
  <c r="Q334" i="9"/>
  <c r="M333" i="9"/>
  <c r="X332" i="9"/>
  <c r="L340" i="9"/>
  <c r="W334" i="9" l="1"/>
  <c r="W333" i="9"/>
  <c r="T333" i="9"/>
  <c r="S334" i="9"/>
  <c r="Q335" i="9"/>
  <c r="M334" i="9"/>
  <c r="T334" i="9" s="1"/>
  <c r="X333" i="9"/>
  <c r="U333" i="9"/>
  <c r="R333" i="9"/>
  <c r="L341" i="9"/>
  <c r="W335" i="9" l="1"/>
  <c r="Q336" i="9"/>
  <c r="S336" i="9" s="1"/>
  <c r="S335" i="9"/>
  <c r="M335" i="9"/>
  <c r="T335" i="9" s="1"/>
  <c r="X334" i="9"/>
  <c r="R334" i="9"/>
  <c r="U334" i="9"/>
  <c r="L342" i="9"/>
  <c r="W336" i="9" l="1"/>
  <c r="Q337" i="9"/>
  <c r="M336" i="9"/>
  <c r="T336" i="9" s="1"/>
  <c r="X335" i="9"/>
  <c r="U335" i="9"/>
  <c r="R335" i="9"/>
  <c r="L343" i="9"/>
  <c r="L344" i="9" s="1"/>
  <c r="W337" i="9" l="1"/>
  <c r="Q338" i="9"/>
  <c r="S337" i="9"/>
  <c r="Q339" i="9"/>
  <c r="W338" i="9"/>
  <c r="L345" i="9"/>
  <c r="M337" i="9"/>
  <c r="T337" i="9" s="1"/>
  <c r="X336" i="9"/>
  <c r="U336" i="9"/>
  <c r="R336" i="9"/>
  <c r="S338" i="9"/>
  <c r="W339" i="9" l="1"/>
  <c r="S339" i="9"/>
  <c r="Q340" i="9"/>
  <c r="L346" i="9"/>
  <c r="M338" i="9"/>
  <c r="T338" i="9" s="1"/>
  <c r="X337" i="9"/>
  <c r="U337" i="9"/>
  <c r="R337" i="9"/>
  <c r="W340" i="9" l="1"/>
  <c r="Q341" i="9"/>
  <c r="S340" i="9"/>
  <c r="M339" i="9"/>
  <c r="T339" i="9" s="1"/>
  <c r="X338" i="9"/>
  <c r="R338" i="9"/>
  <c r="U338" i="9"/>
  <c r="L347" i="9"/>
  <c r="W341" i="9" l="1"/>
  <c r="Q342" i="9"/>
  <c r="Q343" i="9" s="1"/>
  <c r="S341" i="9"/>
  <c r="L348" i="9"/>
  <c r="L349" i="9" s="1"/>
  <c r="M340" i="9"/>
  <c r="T340" i="9" s="1"/>
  <c r="X339" i="9"/>
  <c r="U339" i="9"/>
  <c r="R339" i="9"/>
  <c r="W342" i="9" l="1"/>
  <c r="S342" i="9"/>
  <c r="L350" i="9"/>
  <c r="M341" i="9"/>
  <c r="T341" i="9" s="1"/>
  <c r="X340" i="9"/>
  <c r="R340" i="9"/>
  <c r="U340" i="9"/>
  <c r="W343" i="9"/>
  <c r="Q344" i="9"/>
  <c r="S343" i="9"/>
  <c r="L351" i="9" l="1"/>
  <c r="W344" i="9"/>
  <c r="S344" i="9"/>
  <c r="Q345" i="9"/>
  <c r="M342" i="9"/>
  <c r="T342" i="9" s="1"/>
  <c r="X341" i="9"/>
  <c r="R341" i="9"/>
  <c r="U341" i="9"/>
  <c r="L352" i="9" l="1"/>
  <c r="Q346" i="9"/>
  <c r="W345" i="9"/>
  <c r="S345" i="9"/>
  <c r="M343" i="9"/>
  <c r="T343" i="9" s="1"/>
  <c r="X342" i="9"/>
  <c r="R342" i="9"/>
  <c r="U342" i="9"/>
  <c r="L353" i="9" l="1"/>
  <c r="X343" i="9"/>
  <c r="M344" i="9"/>
  <c r="T344" i="9" s="1"/>
  <c r="U343" i="9"/>
  <c r="R343" i="9"/>
  <c r="W346" i="9"/>
  <c r="Q347" i="9"/>
  <c r="S346" i="9"/>
  <c r="L354" i="9" l="1"/>
  <c r="W347" i="9"/>
  <c r="Q348" i="9"/>
  <c r="S347" i="9"/>
  <c r="X344" i="9"/>
  <c r="M345" i="9"/>
  <c r="T345" i="9" s="1"/>
  <c r="U344" i="9"/>
  <c r="R344" i="9"/>
  <c r="Q349" i="9" l="1"/>
  <c r="Q350" i="9" s="1"/>
  <c r="W349" i="9"/>
  <c r="S349" i="9"/>
  <c r="L355" i="9"/>
  <c r="W348" i="9"/>
  <c r="S348" i="9"/>
  <c r="M346" i="9"/>
  <c r="T346" i="9" s="1"/>
  <c r="X345" i="9"/>
  <c r="U345" i="9"/>
  <c r="R345" i="9"/>
  <c r="L356" i="9" l="1"/>
  <c r="W350" i="9"/>
  <c r="Q351" i="9"/>
  <c r="S350" i="9"/>
  <c r="X346" i="9"/>
  <c r="M347" i="9"/>
  <c r="T347" i="9" s="1"/>
  <c r="U346" i="9"/>
  <c r="R346" i="9"/>
  <c r="W351" i="9" l="1"/>
  <c r="Q352" i="9"/>
  <c r="S351" i="9"/>
  <c r="L357" i="9"/>
  <c r="X347" i="9"/>
  <c r="M348" i="9"/>
  <c r="U347" i="9"/>
  <c r="R347" i="9"/>
  <c r="M349" i="9" l="1"/>
  <c r="T349" i="9" s="1"/>
  <c r="T348" i="9"/>
  <c r="W352" i="9"/>
  <c r="Q353" i="9"/>
  <c r="S352" i="9"/>
  <c r="L358" i="9"/>
  <c r="U349" i="9"/>
  <c r="X348" i="9"/>
  <c r="U348" i="9"/>
  <c r="R348" i="9"/>
  <c r="X349" i="9" l="1"/>
  <c r="M350" i="9"/>
  <c r="T350" i="9" s="1"/>
  <c r="R349" i="9"/>
  <c r="L359" i="9"/>
  <c r="Q354" i="9"/>
  <c r="W353" i="9"/>
  <c r="S353" i="9"/>
  <c r="M351" i="9"/>
  <c r="T351" i="9" s="1"/>
  <c r="R350" i="9"/>
  <c r="U350" i="9" l="1"/>
  <c r="X350" i="9"/>
  <c r="Q355" i="9"/>
  <c r="S354" i="9"/>
  <c r="W354" i="9"/>
  <c r="M352" i="9"/>
  <c r="T352" i="9" s="1"/>
  <c r="X351" i="9"/>
  <c r="U351" i="9"/>
  <c r="R351" i="9"/>
  <c r="L360" i="9"/>
  <c r="L361" i="9" s="1"/>
  <c r="L362" i="9" s="1"/>
  <c r="L363" i="9" l="1"/>
  <c r="X352" i="9"/>
  <c r="M353" i="9"/>
  <c r="T353" i="9" s="1"/>
  <c r="U352" i="9"/>
  <c r="R352" i="9"/>
  <c r="W355" i="9"/>
  <c r="Q356" i="9"/>
  <c r="S355" i="9"/>
  <c r="L364" i="9" l="1"/>
  <c r="W356" i="9"/>
  <c r="Q357" i="9"/>
  <c r="S356" i="9"/>
  <c r="X353" i="9"/>
  <c r="M354" i="9"/>
  <c r="T354" i="9" s="1"/>
  <c r="U353" i="9"/>
  <c r="R353" i="9"/>
  <c r="L365" i="9" l="1"/>
  <c r="Q358" i="9"/>
  <c r="W357" i="9"/>
  <c r="S357" i="9"/>
  <c r="M355" i="9"/>
  <c r="T355" i="9" s="1"/>
  <c r="X354" i="9"/>
  <c r="U354" i="9"/>
  <c r="R354" i="9"/>
  <c r="L366" i="9" l="1"/>
  <c r="M356" i="9"/>
  <c r="T356" i="9" s="1"/>
  <c r="X355" i="9"/>
  <c r="U355" i="9"/>
  <c r="R355" i="9"/>
  <c r="S358" i="9"/>
  <c r="Q359" i="9"/>
  <c r="W358" i="9"/>
  <c r="L367" i="9" l="1"/>
  <c r="W359" i="9"/>
  <c r="Q360" i="9"/>
  <c r="S359" i="9"/>
  <c r="X356" i="9"/>
  <c r="M357" i="9"/>
  <c r="T357" i="9" s="1"/>
  <c r="U356" i="9"/>
  <c r="R356" i="9"/>
  <c r="L368" i="9" l="1"/>
  <c r="X357" i="9"/>
  <c r="M358" i="9"/>
  <c r="T358" i="9" s="1"/>
  <c r="U357" i="9"/>
  <c r="R357" i="9"/>
  <c r="W360" i="9"/>
  <c r="Q361" i="9"/>
  <c r="S360" i="9"/>
  <c r="Q362" i="9" l="1"/>
  <c r="W362" i="9"/>
  <c r="S362" i="9"/>
  <c r="Q363" i="9"/>
  <c r="L369" i="9"/>
  <c r="W361" i="9"/>
  <c r="S361" i="9"/>
  <c r="M359" i="9"/>
  <c r="T359" i="9" s="1"/>
  <c r="X358" i="9"/>
  <c r="U358" i="9"/>
  <c r="R358" i="9"/>
  <c r="L370" i="9" l="1"/>
  <c r="W363" i="9"/>
  <c r="Q364" i="9"/>
  <c r="S363" i="9"/>
  <c r="M360" i="9"/>
  <c r="T360" i="9" s="1"/>
  <c r="X359" i="9"/>
  <c r="U359" i="9"/>
  <c r="R359" i="9"/>
  <c r="Q365" i="9" l="1"/>
  <c r="S364" i="9"/>
  <c r="W364" i="9"/>
  <c r="L371" i="9"/>
  <c r="L372" i="9" s="1"/>
  <c r="M361" i="9"/>
  <c r="X360" i="9"/>
  <c r="U360" i="9"/>
  <c r="R360" i="9"/>
  <c r="M362" i="9" l="1"/>
  <c r="T362" i="9" s="1"/>
  <c r="T361" i="9"/>
  <c r="L373" i="9"/>
  <c r="M363" i="9"/>
  <c r="T363" i="9" s="1"/>
  <c r="X362" i="9"/>
  <c r="U362" i="9"/>
  <c r="R362" i="9"/>
  <c r="S365" i="9"/>
  <c r="Q366" i="9"/>
  <c r="W365" i="9"/>
  <c r="X361" i="9"/>
  <c r="U361" i="9"/>
  <c r="R361" i="9"/>
  <c r="L374" i="9" l="1"/>
  <c r="Q367" i="9"/>
  <c r="S366" i="9"/>
  <c r="W366" i="9"/>
  <c r="M364" i="9"/>
  <c r="T364" i="9" s="1"/>
  <c r="X363" i="9"/>
  <c r="U363" i="9"/>
  <c r="R363" i="9"/>
  <c r="L375" i="9" l="1"/>
  <c r="M365" i="9"/>
  <c r="T365" i="9" s="1"/>
  <c r="X364" i="9"/>
  <c r="U364" i="9"/>
  <c r="R364" i="9"/>
  <c r="Q368" i="9"/>
  <c r="S367" i="9"/>
  <c r="W367" i="9"/>
  <c r="L376" i="9" l="1"/>
  <c r="W368" i="9"/>
  <c r="Q369" i="9"/>
  <c r="S368" i="9"/>
  <c r="M366" i="9"/>
  <c r="T366" i="9" s="1"/>
  <c r="X365" i="9"/>
  <c r="U365" i="9"/>
  <c r="R365" i="9"/>
  <c r="L377" i="9" l="1"/>
  <c r="X366" i="9"/>
  <c r="M367" i="9"/>
  <c r="T367" i="9" s="1"/>
  <c r="U366" i="9"/>
  <c r="R366" i="9"/>
  <c r="S369" i="9"/>
  <c r="Q370" i="9"/>
  <c r="W369" i="9"/>
  <c r="L378" i="9" l="1"/>
  <c r="Q371" i="9"/>
  <c r="S370" i="9"/>
  <c r="W370" i="9"/>
  <c r="X367" i="9"/>
  <c r="M368" i="9"/>
  <c r="T368" i="9" s="1"/>
  <c r="U367" i="9"/>
  <c r="R367" i="9"/>
  <c r="Q372" i="9" l="1"/>
  <c r="L379" i="9"/>
  <c r="X368" i="9"/>
  <c r="M369" i="9"/>
  <c r="T369" i="9" s="1"/>
  <c r="U368" i="9"/>
  <c r="R368" i="9"/>
  <c r="W371" i="9"/>
  <c r="S371" i="9"/>
  <c r="S372" i="9" l="1"/>
  <c r="W372" i="9"/>
  <c r="Q373" i="9"/>
  <c r="M370" i="9"/>
  <c r="T370" i="9" s="1"/>
  <c r="X369" i="9"/>
  <c r="U369" i="9"/>
  <c r="R369" i="9"/>
  <c r="S373" i="9" l="1"/>
  <c r="W373" i="9"/>
  <c r="Q374" i="9"/>
  <c r="M371" i="9"/>
  <c r="X370" i="9"/>
  <c r="U370" i="9"/>
  <c r="R370" i="9"/>
  <c r="M372" i="9" l="1"/>
  <c r="T371" i="9"/>
  <c r="S374" i="9"/>
  <c r="W374" i="9"/>
  <c r="Q375" i="9"/>
  <c r="X371" i="9"/>
  <c r="U371" i="9"/>
  <c r="R371" i="9"/>
  <c r="W375" i="9" l="1"/>
  <c r="Q376" i="9"/>
  <c r="S375" i="9"/>
  <c r="M373" i="9"/>
  <c r="X372" i="9"/>
  <c r="U372" i="9"/>
  <c r="T372" i="9"/>
  <c r="R372" i="9"/>
  <c r="M374" i="9" l="1"/>
  <c r="X373" i="9"/>
  <c r="U373" i="9"/>
  <c r="T373" i="9"/>
  <c r="R373" i="9"/>
  <c r="S376" i="9"/>
  <c r="W376" i="9"/>
  <c r="Q377" i="9"/>
  <c r="Q378" i="9" l="1"/>
  <c r="S377" i="9"/>
  <c r="W377" i="9"/>
  <c r="M375" i="9"/>
  <c r="X374" i="9"/>
  <c r="U374" i="9"/>
  <c r="R374" i="9"/>
  <c r="T374" i="9"/>
  <c r="X375" i="9" l="1"/>
  <c r="M376" i="9"/>
  <c r="U375" i="9"/>
  <c r="T375" i="9"/>
  <c r="R375" i="9"/>
  <c r="W378" i="9"/>
  <c r="Q379" i="9"/>
  <c r="S378" i="9"/>
  <c r="S379" i="9" l="1"/>
  <c r="W379" i="9"/>
  <c r="M377" i="9"/>
  <c r="X376" i="9"/>
  <c r="U376" i="9"/>
  <c r="T376" i="9"/>
  <c r="R376" i="9"/>
  <c r="M378" i="9" l="1"/>
  <c r="X377" i="9"/>
  <c r="U377" i="9"/>
  <c r="T377" i="9"/>
  <c r="R377" i="9"/>
  <c r="X378" i="9" l="1"/>
  <c r="M379" i="9"/>
  <c r="U378" i="9"/>
  <c r="T378" i="9"/>
  <c r="R378" i="9"/>
  <c r="W380" i="9"/>
  <c r="S380" i="9"/>
  <c r="S381" i="9" l="1"/>
  <c r="W381" i="9"/>
  <c r="X379" i="9"/>
  <c r="U379" i="9"/>
  <c r="T379" i="9"/>
  <c r="R379" i="9"/>
  <c r="W382" i="9" l="1"/>
  <c r="S382" i="9"/>
  <c r="X380" i="9" l="1"/>
  <c r="U380" i="9"/>
  <c r="R380" i="9"/>
  <c r="T380" i="9"/>
  <c r="S383" i="9"/>
  <c r="W383" i="9"/>
  <c r="S384" i="9" l="1"/>
  <c r="W384" i="9"/>
  <c r="X381" i="9"/>
  <c r="U381" i="9"/>
  <c r="T381" i="9"/>
  <c r="R381" i="9"/>
  <c r="W385" i="9" l="1"/>
  <c r="S385" i="9"/>
  <c r="X382" i="9"/>
  <c r="U382" i="9"/>
  <c r="T382" i="9"/>
  <c r="R382" i="9"/>
  <c r="X383" i="9" l="1"/>
  <c r="U383" i="9"/>
  <c r="R383" i="9"/>
  <c r="T383" i="9"/>
  <c r="S386" i="9"/>
  <c r="W386" i="9"/>
  <c r="S387" i="9" l="1"/>
  <c r="W387" i="9"/>
  <c r="X384" i="9"/>
  <c r="U384" i="9"/>
  <c r="T384" i="9"/>
  <c r="R384" i="9"/>
  <c r="X385" i="9" l="1"/>
  <c r="U385" i="9"/>
  <c r="T385" i="9"/>
  <c r="R385" i="9"/>
  <c r="W388" i="9"/>
  <c r="S388" i="9"/>
  <c r="X386" i="9" l="1"/>
  <c r="U386" i="9"/>
  <c r="T386" i="9"/>
  <c r="R386" i="9"/>
  <c r="S389" i="9"/>
  <c r="W389" i="9"/>
  <c r="W390" i="9" l="1"/>
  <c r="S390" i="9"/>
  <c r="X387" i="9"/>
  <c r="U387" i="9"/>
  <c r="T387" i="9"/>
  <c r="R387" i="9"/>
  <c r="S391" i="9" l="1"/>
  <c r="W391" i="9"/>
  <c r="X388" i="9"/>
  <c r="U388" i="9"/>
  <c r="T388" i="9"/>
  <c r="R388" i="9"/>
  <c r="X389" i="9" l="1"/>
  <c r="U389" i="9"/>
  <c r="R389" i="9"/>
  <c r="T389" i="9"/>
  <c r="S392" i="9"/>
  <c r="W392" i="9"/>
  <c r="X390" i="9" l="1"/>
  <c r="U390" i="9"/>
  <c r="T390" i="9"/>
  <c r="R390" i="9"/>
  <c r="W393" i="9"/>
  <c r="S393" i="9"/>
  <c r="S394" i="9" l="1"/>
  <c r="W394" i="9"/>
  <c r="X391" i="9"/>
  <c r="U391" i="9"/>
  <c r="T391" i="9"/>
  <c r="R391" i="9"/>
  <c r="S395" i="9" l="1"/>
  <c r="W395" i="9"/>
  <c r="X392" i="9"/>
  <c r="U392" i="9"/>
  <c r="R392" i="9"/>
  <c r="T392" i="9"/>
  <c r="S396" i="9" l="1"/>
  <c r="W396" i="9"/>
  <c r="X393" i="9"/>
  <c r="U393" i="9"/>
  <c r="R393" i="9"/>
  <c r="T393" i="9"/>
  <c r="X394" i="9" l="1"/>
  <c r="U394" i="9"/>
  <c r="T394" i="9"/>
  <c r="R394" i="9"/>
  <c r="W397" i="9" l="1"/>
  <c r="S397" i="9"/>
  <c r="X395" i="9"/>
  <c r="U395" i="9"/>
  <c r="T395" i="9"/>
  <c r="R395" i="9"/>
  <c r="W398" i="9" l="1"/>
  <c r="S398" i="9"/>
  <c r="X396" i="9"/>
  <c r="U396" i="9"/>
  <c r="T396" i="9"/>
  <c r="R396" i="9"/>
  <c r="W399" i="9" l="1"/>
  <c r="S399" i="9"/>
  <c r="W400" i="9" l="1"/>
  <c r="S400" i="9"/>
  <c r="X397" i="9"/>
  <c r="U397" i="9"/>
  <c r="T397" i="9"/>
  <c r="R397" i="9"/>
  <c r="S401" i="9" l="1"/>
  <c r="W401" i="9"/>
  <c r="X398" i="9"/>
  <c r="U398" i="9"/>
  <c r="T398" i="9"/>
  <c r="R398" i="9"/>
  <c r="X399" i="9" l="1"/>
  <c r="U399" i="9"/>
  <c r="R399" i="9"/>
  <c r="T399" i="9"/>
  <c r="W402" i="9"/>
  <c r="S402" i="9"/>
  <c r="W403" i="9" l="1"/>
  <c r="S403" i="9"/>
  <c r="X400" i="9"/>
  <c r="U400" i="9"/>
  <c r="T400" i="9"/>
  <c r="R400" i="9"/>
  <c r="S404" i="9" l="1"/>
  <c r="W404" i="9"/>
  <c r="X401" i="9"/>
  <c r="U401" i="9"/>
  <c r="T401" i="9"/>
  <c r="R401" i="9"/>
  <c r="W405" i="9" l="1"/>
  <c r="S405" i="9"/>
  <c r="X402" i="9"/>
  <c r="U402" i="9"/>
  <c r="T402" i="9"/>
  <c r="R402" i="9"/>
  <c r="X403" i="9" l="1"/>
  <c r="U403" i="9"/>
  <c r="T403" i="9"/>
  <c r="R403" i="9"/>
  <c r="S406" i="9"/>
  <c r="W406" i="9"/>
  <c r="W407" i="9" l="1"/>
  <c r="S407" i="9"/>
  <c r="X404" i="9"/>
  <c r="U404" i="9"/>
  <c r="T404" i="9"/>
  <c r="R404" i="9"/>
  <c r="S408" i="9" l="1"/>
  <c r="W408" i="9"/>
  <c r="X405" i="9"/>
  <c r="U405" i="9"/>
  <c r="T405" i="9"/>
  <c r="R405" i="9"/>
  <c r="S409" i="9" l="1"/>
  <c r="W409" i="9"/>
  <c r="X406" i="9"/>
  <c r="U406" i="9"/>
  <c r="R406" i="9"/>
  <c r="T406" i="9"/>
  <c r="X407" i="9" l="1"/>
  <c r="U407" i="9"/>
  <c r="T407" i="9"/>
  <c r="R407" i="9"/>
  <c r="S410" i="9"/>
  <c r="W410" i="9"/>
  <c r="W411" i="9" l="1"/>
  <c r="S411" i="9"/>
  <c r="X408" i="9"/>
  <c r="U408" i="9"/>
  <c r="T408" i="9"/>
  <c r="R408" i="9"/>
  <c r="W412" i="9" l="1"/>
  <c r="S412" i="9"/>
  <c r="X409" i="9"/>
  <c r="U409" i="9"/>
  <c r="T409" i="9"/>
  <c r="R409" i="9"/>
  <c r="S413" i="9" l="1"/>
  <c r="W413" i="9"/>
  <c r="X410" i="9"/>
  <c r="U410" i="9"/>
  <c r="R410" i="9"/>
  <c r="T410" i="9"/>
  <c r="X411" i="9" l="1"/>
  <c r="U411" i="9"/>
  <c r="T411" i="9"/>
  <c r="R411" i="9"/>
  <c r="S414" i="9"/>
  <c r="W414" i="9"/>
  <c r="X412" i="9" l="1"/>
  <c r="U412" i="9"/>
  <c r="T412" i="9"/>
  <c r="R412" i="9"/>
  <c r="S415" i="9"/>
  <c r="W415" i="9"/>
  <c r="S416" i="9" l="1"/>
  <c r="W416" i="9"/>
  <c r="X413" i="9"/>
  <c r="U413" i="9"/>
  <c r="T413" i="9"/>
  <c r="R413" i="9"/>
  <c r="X414" i="9" l="1"/>
  <c r="U414" i="9"/>
  <c r="T414" i="9"/>
  <c r="R414" i="9"/>
  <c r="W417" i="9"/>
  <c r="S417" i="9"/>
  <c r="X415" i="9" l="1"/>
  <c r="U415" i="9"/>
  <c r="R415" i="9"/>
  <c r="T415" i="9"/>
  <c r="S418" i="9"/>
  <c r="W418" i="9"/>
  <c r="W419" i="9" l="1"/>
  <c r="S419" i="9"/>
  <c r="X416" i="9"/>
  <c r="U416" i="9"/>
  <c r="T416" i="9"/>
  <c r="R416" i="9"/>
  <c r="S420" i="9" l="1"/>
  <c r="W420" i="9"/>
  <c r="X417" i="9"/>
  <c r="U417" i="9"/>
  <c r="R417" i="9"/>
  <c r="T417" i="9"/>
  <c r="X418" i="9" l="1"/>
  <c r="U418" i="9"/>
  <c r="R418" i="9"/>
  <c r="T418" i="9"/>
  <c r="S421" i="9"/>
  <c r="W421" i="9"/>
  <c r="S422" i="9" l="1"/>
  <c r="W422" i="9"/>
  <c r="X419" i="9"/>
  <c r="U419" i="9"/>
  <c r="T419" i="9"/>
  <c r="R419" i="9"/>
  <c r="X420" i="9" l="1"/>
  <c r="U420" i="9"/>
  <c r="T420" i="9"/>
  <c r="R420" i="9"/>
  <c r="W423" i="9"/>
  <c r="S423" i="9"/>
  <c r="S424" i="9" l="1"/>
  <c r="W424" i="9"/>
  <c r="X421" i="9"/>
  <c r="U421" i="9"/>
  <c r="R421" i="9"/>
  <c r="T421" i="9"/>
  <c r="W425" i="9" l="1"/>
  <c r="S425" i="9"/>
  <c r="X422" i="9"/>
  <c r="U422" i="9"/>
  <c r="T422" i="9"/>
  <c r="R422" i="9"/>
  <c r="X423" i="9" l="1"/>
  <c r="T423" i="9"/>
  <c r="R423" i="9"/>
  <c r="U423" i="9"/>
  <c r="S426" i="9"/>
  <c r="W426" i="9"/>
  <c r="S427" i="9" l="1"/>
  <c r="W427" i="9"/>
  <c r="X424" i="9"/>
  <c r="U424" i="9"/>
  <c r="T424" i="9"/>
  <c r="R424" i="9"/>
  <c r="X425" i="9" l="1"/>
  <c r="U425" i="9"/>
  <c r="T425" i="9"/>
  <c r="R425" i="9"/>
  <c r="W428" i="9"/>
  <c r="S428" i="9"/>
  <c r="W429" i="9" l="1"/>
  <c r="S429" i="9"/>
  <c r="X426" i="9"/>
  <c r="U426" i="9"/>
  <c r="R426" i="9"/>
  <c r="T426" i="9"/>
  <c r="X427" i="9" l="1"/>
  <c r="U427" i="9"/>
  <c r="T427" i="9"/>
  <c r="R427" i="9"/>
  <c r="W430" i="9"/>
  <c r="S430" i="9"/>
  <c r="W431" i="9" l="1"/>
  <c r="S431" i="9"/>
  <c r="X428" i="9"/>
  <c r="U428" i="9"/>
  <c r="R428" i="9"/>
  <c r="T428" i="9"/>
  <c r="X429" i="9" l="1"/>
  <c r="U429" i="9"/>
  <c r="T429" i="9"/>
  <c r="R429" i="9"/>
  <c r="S432" i="9"/>
  <c r="W432" i="9"/>
  <c r="S433" i="9" l="1"/>
  <c r="W433" i="9"/>
  <c r="X430" i="9"/>
  <c r="U430" i="9"/>
  <c r="R430" i="9"/>
  <c r="T430" i="9"/>
  <c r="X431" i="9" l="1"/>
  <c r="U431" i="9"/>
  <c r="T431" i="9"/>
  <c r="R431" i="9"/>
  <c r="S434" i="9"/>
  <c r="W434" i="9"/>
  <c r="W435" i="9" l="1"/>
  <c r="S435" i="9"/>
  <c r="X432" i="9"/>
  <c r="U432" i="9"/>
  <c r="R432" i="9"/>
  <c r="T432" i="9"/>
  <c r="W436" i="9" l="1"/>
  <c r="S436" i="9"/>
  <c r="X433" i="9"/>
  <c r="U433" i="9"/>
  <c r="T433" i="9"/>
  <c r="R433" i="9"/>
  <c r="W437" i="9" l="1"/>
  <c r="S437" i="9"/>
  <c r="X434" i="9"/>
  <c r="U434" i="9"/>
  <c r="T434" i="9"/>
  <c r="R434" i="9"/>
  <c r="S438" i="9" l="1"/>
  <c r="W438" i="9"/>
  <c r="X435" i="9"/>
  <c r="U435" i="9"/>
  <c r="T435" i="9"/>
  <c r="R435" i="9"/>
  <c r="W439" i="9" l="1"/>
  <c r="S439" i="9"/>
  <c r="X436" i="9"/>
  <c r="U436" i="9"/>
  <c r="T436" i="9"/>
  <c r="R436" i="9"/>
  <c r="X437" i="9" l="1"/>
  <c r="U437" i="9"/>
  <c r="T437" i="9"/>
  <c r="R437" i="9"/>
  <c r="S440" i="9"/>
  <c r="W440" i="9"/>
  <c r="W441" i="9" l="1"/>
  <c r="S441" i="9"/>
  <c r="X438" i="9"/>
  <c r="U438" i="9"/>
  <c r="T438" i="9"/>
  <c r="R438" i="9"/>
  <c r="X439" i="9" l="1"/>
  <c r="U439" i="9"/>
  <c r="T439" i="9"/>
  <c r="R439" i="9"/>
  <c r="W442" i="9"/>
  <c r="S442" i="9"/>
  <c r="S443" i="9" l="1"/>
  <c r="W443" i="9"/>
  <c r="X440" i="9"/>
  <c r="U440" i="9"/>
  <c r="T440" i="9"/>
  <c r="R440" i="9"/>
  <c r="X441" i="9" l="1"/>
  <c r="U441" i="9"/>
  <c r="T441" i="9"/>
  <c r="R441" i="9"/>
  <c r="W444" i="9"/>
  <c r="S444" i="9"/>
  <c r="X442" i="9" l="1"/>
  <c r="U442" i="9"/>
  <c r="R442" i="9"/>
  <c r="T442" i="9"/>
  <c r="S445" i="9"/>
  <c r="W445" i="9"/>
  <c r="X443" i="9" l="1"/>
  <c r="U443" i="9"/>
  <c r="R443" i="9"/>
  <c r="T443" i="9"/>
  <c r="S446" i="9"/>
  <c r="W446" i="9"/>
  <c r="X444" i="9" l="1"/>
  <c r="U444" i="9"/>
  <c r="R444" i="9"/>
  <c r="T444" i="9"/>
  <c r="W447" i="9"/>
  <c r="S447" i="9"/>
  <c r="S448" i="9" l="1"/>
  <c r="W448" i="9"/>
  <c r="X445" i="9"/>
  <c r="U445" i="9"/>
  <c r="T445" i="9"/>
  <c r="R445" i="9"/>
  <c r="X446" i="9" l="1"/>
  <c r="U446" i="9"/>
  <c r="R446" i="9"/>
  <c r="T446" i="9"/>
  <c r="S449" i="9"/>
  <c r="W449" i="9"/>
  <c r="X447" i="9" l="1"/>
  <c r="U447" i="9"/>
  <c r="T447" i="9"/>
  <c r="R447" i="9"/>
  <c r="S450" i="9"/>
  <c r="W450" i="9"/>
  <c r="S451" i="9" l="1"/>
  <c r="W451" i="9"/>
  <c r="X448" i="9"/>
  <c r="U448" i="9"/>
  <c r="T448" i="9"/>
  <c r="R448" i="9"/>
  <c r="S452" i="9" l="1"/>
  <c r="W452" i="9"/>
  <c r="X449" i="9"/>
  <c r="U449" i="9"/>
  <c r="R449" i="9"/>
  <c r="T449" i="9"/>
  <c r="X450" i="9" l="1"/>
  <c r="U450" i="9"/>
  <c r="R450" i="9"/>
  <c r="T450" i="9"/>
  <c r="S453" i="9"/>
  <c r="W453" i="9"/>
  <c r="S454" i="9" l="1"/>
  <c r="W454" i="9"/>
  <c r="X451" i="9"/>
  <c r="U451" i="9"/>
  <c r="T451" i="9"/>
  <c r="R451" i="9"/>
  <c r="X452" i="9" l="1"/>
  <c r="U452" i="9"/>
  <c r="T452" i="9"/>
  <c r="R452" i="9"/>
  <c r="S455" i="9"/>
  <c r="W455" i="9"/>
  <c r="W456" i="9" l="1"/>
  <c r="S456" i="9"/>
  <c r="X453" i="9"/>
  <c r="U453" i="9"/>
  <c r="R453" i="9"/>
  <c r="T453" i="9"/>
  <c r="X454" i="9" l="1"/>
  <c r="U454" i="9"/>
  <c r="T454" i="9"/>
  <c r="R454" i="9"/>
  <c r="W457" i="9"/>
  <c r="S457" i="9"/>
  <c r="W458" i="9" l="1"/>
  <c r="S458" i="9"/>
  <c r="X455" i="9"/>
  <c r="U455" i="9"/>
  <c r="R455" i="9"/>
  <c r="T455" i="9"/>
  <c r="W459" i="9" l="1"/>
  <c r="S459" i="9"/>
  <c r="X456" i="9"/>
  <c r="U456" i="9"/>
  <c r="T456" i="9"/>
  <c r="R456" i="9"/>
  <c r="W460" i="9" l="1"/>
  <c r="S460" i="9"/>
  <c r="X457" i="9"/>
  <c r="U457" i="9"/>
  <c r="R457" i="9"/>
  <c r="T457" i="9"/>
  <c r="X458" i="9" l="1"/>
  <c r="U458" i="9"/>
  <c r="T458" i="9"/>
  <c r="R458" i="9"/>
  <c r="S461" i="9"/>
  <c r="W461" i="9"/>
  <c r="X459" i="9" l="1"/>
  <c r="U459" i="9"/>
  <c r="T459" i="9"/>
  <c r="R459" i="9"/>
  <c r="W462" i="9"/>
  <c r="S462" i="9"/>
  <c r="X460" i="9" l="1"/>
  <c r="U460" i="9"/>
  <c r="T460" i="9"/>
  <c r="R460" i="9"/>
  <c r="W463" i="9"/>
  <c r="S463" i="9"/>
  <c r="S464" i="9" l="1"/>
  <c r="W464" i="9"/>
  <c r="X461" i="9"/>
  <c r="U461" i="9"/>
  <c r="T461" i="9"/>
  <c r="R461" i="9"/>
  <c r="S465" i="9" l="1"/>
  <c r="W465" i="9"/>
  <c r="X462" i="9"/>
  <c r="U462" i="9"/>
  <c r="R462" i="9"/>
  <c r="T462" i="9"/>
  <c r="W466" i="9" l="1"/>
  <c r="S466" i="9"/>
  <c r="X463" i="9"/>
  <c r="U463" i="9"/>
  <c r="R463" i="9"/>
  <c r="T463" i="9"/>
  <c r="X464" i="9" l="1"/>
  <c r="U464" i="9"/>
  <c r="T464" i="9"/>
  <c r="R464" i="9"/>
  <c r="W467" i="9"/>
  <c r="S467" i="9"/>
  <c r="W468" i="9" l="1"/>
  <c r="S468" i="9"/>
  <c r="X465" i="9"/>
  <c r="U465" i="9"/>
  <c r="T465" i="9"/>
  <c r="R465" i="9"/>
  <c r="S469" i="9" l="1"/>
  <c r="W469" i="9"/>
  <c r="X466" i="9"/>
  <c r="U466" i="9"/>
  <c r="T466" i="9"/>
  <c r="R466" i="9"/>
  <c r="X467" i="9" l="1"/>
  <c r="T467" i="9"/>
  <c r="R467" i="9"/>
  <c r="U467" i="9"/>
  <c r="W470" i="9"/>
  <c r="S470" i="9"/>
  <c r="S471" i="9" l="1"/>
  <c r="W471" i="9"/>
  <c r="X468" i="9"/>
  <c r="U468" i="9"/>
  <c r="T468" i="9"/>
  <c r="R468" i="9"/>
  <c r="X469" i="9" l="1"/>
  <c r="U469" i="9"/>
  <c r="T469" i="9"/>
  <c r="R469" i="9"/>
  <c r="S472" i="9"/>
  <c r="W472" i="9"/>
  <c r="W473" i="9" l="1"/>
  <c r="S473" i="9"/>
  <c r="X470" i="9"/>
  <c r="U470" i="9"/>
  <c r="R470" i="9"/>
  <c r="T470" i="9"/>
  <c r="W474" i="9" l="1"/>
  <c r="S474" i="9"/>
  <c r="X471" i="9"/>
  <c r="U471" i="9"/>
  <c r="T471" i="9"/>
  <c r="R471" i="9"/>
  <c r="X472" i="9" l="1"/>
  <c r="U472" i="9"/>
  <c r="R472" i="9"/>
  <c r="T472" i="9"/>
  <c r="S475" i="9"/>
  <c r="W475" i="9"/>
  <c r="W476" i="9" l="1"/>
  <c r="S476" i="9"/>
  <c r="X473" i="9"/>
  <c r="U473" i="9"/>
  <c r="T473" i="9"/>
  <c r="R473" i="9"/>
  <c r="W477" i="9" l="1"/>
  <c r="S477" i="9"/>
  <c r="X474" i="9"/>
  <c r="U474" i="9"/>
  <c r="T474" i="9"/>
  <c r="R474" i="9"/>
  <c r="X475" i="9" l="1"/>
  <c r="U475" i="9"/>
  <c r="R475" i="9"/>
  <c r="T475" i="9"/>
  <c r="S478" i="9"/>
  <c r="W478" i="9"/>
  <c r="W479" i="9" l="1"/>
  <c r="S479" i="9"/>
  <c r="X476" i="9"/>
  <c r="U476" i="9"/>
  <c r="T476" i="9"/>
  <c r="R476" i="9"/>
  <c r="W480" i="9" l="1"/>
  <c r="S480" i="9"/>
  <c r="X477" i="9"/>
  <c r="U477" i="9"/>
  <c r="T477" i="9"/>
  <c r="R477" i="9"/>
  <c r="W481" i="9" l="1"/>
  <c r="S481" i="9"/>
  <c r="X478" i="9"/>
  <c r="U478" i="9"/>
  <c r="R478" i="9"/>
  <c r="T478" i="9"/>
  <c r="X479" i="9" l="1"/>
  <c r="U479" i="9"/>
  <c r="T479" i="9"/>
  <c r="R479" i="9"/>
  <c r="W482" i="9"/>
  <c r="S482" i="9"/>
  <c r="S483" i="9" l="1"/>
  <c r="W483" i="9"/>
  <c r="X480" i="9"/>
  <c r="U480" i="9"/>
  <c r="T480" i="9"/>
  <c r="R480" i="9"/>
  <c r="S484" i="9" l="1"/>
  <c r="W484" i="9"/>
  <c r="X481" i="9"/>
  <c r="U481" i="9"/>
  <c r="T481" i="9"/>
  <c r="R481" i="9"/>
  <c r="W485" i="9" l="1"/>
  <c r="S485" i="9"/>
  <c r="X482" i="9"/>
  <c r="U482" i="9"/>
  <c r="R482" i="9"/>
  <c r="T482" i="9"/>
  <c r="S486" i="9" l="1"/>
  <c r="W486" i="9"/>
  <c r="X483" i="9"/>
  <c r="U483" i="9"/>
  <c r="T483" i="9"/>
  <c r="R483" i="9"/>
  <c r="X484" i="9" l="1"/>
  <c r="U484" i="9"/>
  <c r="T484" i="9"/>
  <c r="R484" i="9"/>
  <c r="S487" i="9"/>
  <c r="W487" i="9"/>
  <c r="X485" i="9" l="1"/>
  <c r="U485" i="9"/>
  <c r="T485" i="9"/>
  <c r="R485" i="9"/>
  <c r="S488" i="9"/>
  <c r="W488" i="9"/>
  <c r="X486" i="9" l="1"/>
  <c r="U486" i="9"/>
  <c r="T486" i="9"/>
  <c r="R486" i="9"/>
  <c r="S489" i="9"/>
  <c r="W489" i="9"/>
  <c r="W490" i="9" l="1"/>
  <c r="S490" i="9"/>
  <c r="X487" i="9"/>
  <c r="U487" i="9"/>
  <c r="T487" i="9"/>
  <c r="R487" i="9"/>
  <c r="X488" i="9" l="1"/>
  <c r="U488" i="9"/>
  <c r="R488" i="9"/>
  <c r="T488" i="9"/>
  <c r="W491" i="9"/>
  <c r="S491" i="9"/>
  <c r="X489" i="9" l="1"/>
  <c r="U489" i="9"/>
  <c r="R489" i="9"/>
  <c r="T489" i="9"/>
  <c r="S492" i="9"/>
  <c r="W492" i="9"/>
  <c r="W493" i="9" l="1"/>
  <c r="S493" i="9"/>
  <c r="X490" i="9"/>
  <c r="U490" i="9"/>
  <c r="T490" i="9"/>
  <c r="R490" i="9"/>
  <c r="X491" i="9" l="1"/>
  <c r="U491" i="9"/>
  <c r="R491" i="9"/>
  <c r="T491" i="9"/>
  <c r="S494" i="9"/>
  <c r="W494" i="9"/>
  <c r="W495" i="9" l="1"/>
  <c r="S495" i="9"/>
  <c r="X492" i="9"/>
  <c r="U492" i="9"/>
  <c r="T492" i="9"/>
  <c r="R492" i="9"/>
  <c r="X493" i="9" l="1"/>
  <c r="U493" i="9"/>
  <c r="T493" i="9"/>
  <c r="R493" i="9"/>
  <c r="W496" i="9"/>
  <c r="S496" i="9"/>
  <c r="S497" i="9" l="1"/>
  <c r="W497" i="9"/>
  <c r="X494" i="9"/>
  <c r="U494" i="9"/>
  <c r="R494" i="9"/>
  <c r="T494" i="9"/>
  <c r="W498" i="9" l="1"/>
  <c r="S498" i="9"/>
  <c r="X495" i="9"/>
  <c r="U495" i="9"/>
  <c r="T495" i="9"/>
  <c r="R495" i="9"/>
  <c r="S499" i="9" l="1"/>
  <c r="W499" i="9"/>
  <c r="X496" i="9"/>
  <c r="U496" i="9"/>
  <c r="T496" i="9"/>
  <c r="R496" i="9"/>
  <c r="X497" i="9" l="1"/>
  <c r="U497" i="9"/>
  <c r="T497" i="9"/>
  <c r="R497" i="9"/>
  <c r="S500" i="9"/>
  <c r="W500" i="9"/>
  <c r="S501" i="9" l="1"/>
  <c r="W501" i="9"/>
  <c r="X498" i="9"/>
  <c r="U498" i="9"/>
  <c r="T498" i="9"/>
  <c r="R498" i="9"/>
  <c r="W502" i="9" l="1"/>
  <c r="S502" i="9"/>
  <c r="X499" i="9"/>
  <c r="U499" i="9"/>
  <c r="T499" i="9"/>
  <c r="R499" i="9"/>
  <c r="X500" i="9" l="1"/>
  <c r="U500" i="9"/>
  <c r="R500" i="9"/>
  <c r="T500" i="9"/>
  <c r="S503" i="9"/>
  <c r="W503" i="9"/>
  <c r="W504" i="9" l="1"/>
  <c r="S504" i="9"/>
  <c r="X501" i="9"/>
  <c r="U501" i="9"/>
  <c r="T501" i="9"/>
  <c r="R501" i="9"/>
  <c r="X502" i="9" l="1"/>
  <c r="U502" i="9"/>
  <c r="R502" i="9"/>
  <c r="T502" i="9"/>
  <c r="W505" i="9"/>
  <c r="S505" i="9"/>
  <c r="W506" i="9" l="1"/>
  <c r="S506" i="9"/>
  <c r="X503" i="9"/>
  <c r="U503" i="9"/>
  <c r="R503" i="9"/>
  <c r="T503" i="9"/>
  <c r="S507" i="9" l="1"/>
  <c r="W507" i="9"/>
  <c r="X504" i="9"/>
  <c r="U504" i="9"/>
  <c r="T504" i="9"/>
  <c r="R504" i="9"/>
  <c r="X505" i="9" l="1"/>
  <c r="U505" i="9"/>
  <c r="T505" i="9"/>
  <c r="R505" i="9"/>
  <c r="S508" i="9"/>
  <c r="W508" i="9"/>
  <c r="X506" i="9" l="1"/>
  <c r="U506" i="9"/>
  <c r="T506" i="9"/>
  <c r="R506" i="9"/>
  <c r="W509" i="9"/>
  <c r="S509" i="9"/>
  <c r="W510" i="9" l="1"/>
  <c r="S510" i="9"/>
  <c r="X507" i="9"/>
  <c r="U507" i="9"/>
  <c r="T507" i="9"/>
  <c r="R507" i="9"/>
  <c r="W511" i="9" l="1"/>
  <c r="S511" i="9"/>
  <c r="X508" i="9"/>
  <c r="U508" i="9"/>
  <c r="R508" i="9"/>
  <c r="T508" i="9"/>
  <c r="X509" i="9" l="1"/>
  <c r="U509" i="9"/>
  <c r="R509" i="9"/>
  <c r="T509" i="9"/>
  <c r="W512" i="9"/>
  <c r="S512" i="9"/>
  <c r="S513" i="9" l="1"/>
  <c r="W513" i="9"/>
  <c r="X510" i="9"/>
  <c r="U510" i="9"/>
  <c r="T510" i="9"/>
  <c r="R510" i="9"/>
  <c r="X511" i="9" l="1"/>
  <c r="U511" i="9"/>
  <c r="T511" i="9"/>
  <c r="R511" i="9"/>
  <c r="W514" i="9"/>
  <c r="S514" i="9"/>
  <c r="X512" i="9" l="1"/>
  <c r="U512" i="9"/>
  <c r="R512" i="9"/>
  <c r="T512" i="9"/>
  <c r="S515" i="9"/>
  <c r="W515" i="9"/>
  <c r="S516" i="9" l="1"/>
  <c r="W516" i="9"/>
  <c r="X513" i="9"/>
  <c r="U513" i="9"/>
  <c r="T513" i="9"/>
  <c r="R513" i="9"/>
  <c r="X514" i="9" l="1"/>
  <c r="U514" i="9"/>
  <c r="R514" i="9"/>
  <c r="T514" i="9"/>
  <c r="S517" i="9"/>
  <c r="W517" i="9"/>
  <c r="S518" i="9" l="1"/>
  <c r="W518" i="9"/>
  <c r="X515" i="9"/>
  <c r="U515" i="9"/>
  <c r="T515" i="9"/>
  <c r="R515" i="9"/>
  <c r="X516" i="9" l="1"/>
  <c r="U516" i="9"/>
  <c r="T516" i="9"/>
  <c r="R516" i="9"/>
  <c r="W519" i="9"/>
  <c r="S519" i="9"/>
  <c r="S520" i="9" l="1"/>
  <c r="W520" i="9"/>
  <c r="X517" i="9"/>
  <c r="U517" i="9"/>
  <c r="T517" i="9"/>
  <c r="R517" i="9"/>
  <c r="X518" i="9" l="1"/>
  <c r="U518" i="9"/>
  <c r="T518" i="9"/>
  <c r="R518" i="9"/>
  <c r="W521" i="9"/>
  <c r="S521" i="9"/>
  <c r="S522" i="9" l="1"/>
  <c r="W522" i="9"/>
  <c r="X519" i="9"/>
  <c r="R519" i="9"/>
  <c r="T519" i="9"/>
  <c r="U519" i="9"/>
  <c r="X520" i="9" l="1"/>
  <c r="U520" i="9"/>
  <c r="T520" i="9"/>
  <c r="R520" i="9"/>
  <c r="S523" i="9"/>
  <c r="W523" i="9"/>
  <c r="S524" i="9" l="1"/>
  <c r="W524" i="9"/>
  <c r="X521" i="9"/>
  <c r="U521" i="9"/>
  <c r="R521" i="9"/>
  <c r="T521" i="9"/>
  <c r="X522" i="9" l="1"/>
  <c r="U522" i="9"/>
  <c r="T522" i="9"/>
  <c r="R522" i="9"/>
  <c r="W525" i="9"/>
  <c r="S525" i="9"/>
  <c r="W526" i="9" l="1"/>
  <c r="S526" i="9"/>
  <c r="X523" i="9"/>
  <c r="U523" i="9"/>
  <c r="R523" i="9"/>
  <c r="T523" i="9"/>
  <c r="X524" i="9" l="1"/>
  <c r="U524" i="9"/>
  <c r="T524" i="9"/>
  <c r="R524" i="9"/>
  <c r="W527" i="9"/>
  <c r="S527" i="9"/>
  <c r="W528" i="9" l="1"/>
  <c r="S528" i="9"/>
  <c r="X525" i="9"/>
  <c r="U525" i="9"/>
  <c r="R525" i="9"/>
  <c r="T525" i="9"/>
  <c r="X526" i="9" l="1"/>
  <c r="U526" i="9"/>
  <c r="T526" i="9"/>
  <c r="R526" i="9"/>
  <c r="W529" i="9"/>
  <c r="S529" i="9"/>
  <c r="W530" i="9" l="1"/>
  <c r="S530" i="9"/>
  <c r="X527" i="9"/>
  <c r="U527" i="9"/>
  <c r="T527" i="9"/>
  <c r="R527" i="9"/>
  <c r="X528" i="9" l="1"/>
  <c r="U528" i="9"/>
  <c r="T528" i="9"/>
  <c r="R528" i="9"/>
  <c r="S531" i="9"/>
  <c r="W531" i="9"/>
  <c r="W532" i="9" l="1"/>
  <c r="S532" i="9"/>
  <c r="X529" i="9"/>
  <c r="U529" i="9"/>
  <c r="R529" i="9"/>
  <c r="T529" i="9"/>
  <c r="W533" i="9" l="1"/>
  <c r="S533" i="9"/>
  <c r="X530" i="9"/>
  <c r="U530" i="9"/>
  <c r="T530" i="9"/>
  <c r="R530" i="9"/>
  <c r="X531" i="9" l="1"/>
  <c r="U531" i="9"/>
  <c r="T531" i="9"/>
  <c r="R531" i="9"/>
  <c r="X532" i="9" l="1"/>
  <c r="U532" i="9"/>
  <c r="T532" i="9"/>
  <c r="R532" i="9"/>
  <c r="X533" i="9" l="1"/>
  <c r="T533" i="9"/>
  <c r="R533" i="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<sst xmlns="http://schemas.openxmlformats.org/spreadsheetml/2006/main" count="1985" uniqueCount="392">
  <si>
    <t>JWU</t>
  </si>
  <si>
    <t>PKN</t>
  </si>
  <si>
    <t>YMI</t>
  </si>
  <si>
    <t>SJU</t>
  </si>
  <si>
    <t>CBO</t>
  </si>
  <si>
    <t>DF Statistics</t>
  </si>
  <si>
    <t>Name:</t>
  </si>
  <si>
    <t>Points:</t>
  </si>
  <si>
    <t>%:</t>
  </si>
  <si>
    <t>%m:</t>
  </si>
  <si>
    <t>E:</t>
  </si>
  <si>
    <t>Date:</t>
  </si>
  <si>
    <t>Part:</t>
  </si>
  <si>
    <t>Participation:</t>
  </si>
  <si>
    <t>Debitors:</t>
  </si>
  <si>
    <t>Reason:</t>
  </si>
  <si>
    <t>Amount:</t>
  </si>
  <si>
    <t>Paid:</t>
  </si>
  <si>
    <t>njet</t>
  </si>
  <si>
    <t>DEBITORS TOTAL:</t>
  </si>
  <si>
    <t>Yearly Amount</t>
  </si>
  <si>
    <t>MSO</t>
  </si>
  <si>
    <t>MST</t>
  </si>
  <si>
    <r>
      <t>nje</t>
    </r>
    <r>
      <rPr>
        <sz val="11"/>
        <color theme="1"/>
        <rFont val="Consolas"/>
        <family val="3"/>
      </rPr>
      <t>t</t>
    </r>
  </si>
  <si>
    <t>Missing Penalty</t>
  </si>
  <si>
    <t>si</t>
  </si>
  <si>
    <t>Access to DF chlopfetä:</t>
  </si>
  <si>
    <t>Special Treatment:</t>
  </si>
  <si>
    <t>njet, sehr ehrevoll</t>
  </si>
  <si>
    <t>si, unehrevoll, aber verständlich</t>
  </si>
  <si>
    <t>CÄSHRESERVES TOTAL:</t>
  </si>
  <si>
    <t>TOTAL ASSETS</t>
  </si>
  <si>
    <t>MSO/MST</t>
  </si>
  <si>
    <t>Jinderletscht</t>
  </si>
  <si>
    <t>Name</t>
  </si>
  <si>
    <t>Points</t>
  </si>
  <si>
    <t>Penalties</t>
  </si>
  <si>
    <t>Total $</t>
  </si>
  <si>
    <t>Huso</t>
  </si>
  <si>
    <t>Juso</t>
  </si>
  <si>
    <t>Points 16</t>
  </si>
  <si>
    <t>inkl. Spende</t>
  </si>
  <si>
    <t>Rang und</t>
  </si>
  <si>
    <t>LIFO</t>
  </si>
  <si>
    <t>Uninformed Absence</t>
  </si>
  <si>
    <t>Total PR%</t>
  </si>
  <si>
    <t>LI</t>
  </si>
  <si>
    <t>Overall</t>
  </si>
  <si>
    <t>si, grande</t>
  </si>
  <si>
    <t>njet, vergesse im Estrich</t>
  </si>
  <si>
    <t>njet, vergesse bi dä Erika</t>
  </si>
  <si>
    <t>si, scho am Flughafe blöfft</t>
  </si>
  <si>
    <t>Has proudly worn his own DF Shirt and PIN at QUO VADIS V1 (2020)</t>
  </si>
  <si>
    <t>LIFO+</t>
  </si>
  <si>
    <t>Coronas</t>
  </si>
  <si>
    <t>Zero</t>
  </si>
  <si>
    <t>Ämtli</t>
  </si>
  <si>
    <t>Massregler, DFQV-Mitorganisierer</t>
  </si>
  <si>
    <t>Kassier, DFQV-Mitorganisierer</t>
  </si>
  <si>
    <t>Auditor</t>
  </si>
  <si>
    <t>Präsident, Iladigsversender</t>
  </si>
  <si>
    <t>Other titles</t>
  </si>
  <si>
    <t>Statistikskönig</t>
  </si>
  <si>
    <t>Blöffer, Wiederiträtter</t>
  </si>
  <si>
    <t>Marketingchef</t>
  </si>
  <si>
    <t>Symposierer</t>
  </si>
  <si>
    <t>Loyalitätspokalhalter</t>
  </si>
  <si>
    <t>Brügler Ultralight</t>
  </si>
  <si>
    <t>Fehlt jede xti DF</t>
  </si>
  <si>
    <t>Total</t>
  </si>
  <si>
    <t>Prognose-und-Estimation-Nonprofit-Institute of Safran</t>
  </si>
  <si>
    <t>(PENIS)</t>
  </si>
  <si>
    <r>
      <t>1.</t>
    </r>
    <r>
      <rPr>
        <sz val="7"/>
        <color theme="1"/>
        <rFont val="Times New Roman"/>
        <family val="1"/>
      </rPr>
      <t xml:space="preserve">      </t>
    </r>
    <r>
      <rPr>
        <sz val="11"/>
        <color theme="1"/>
        <rFont val="Comic Sans MS"/>
        <family val="4"/>
      </rPr>
      <t>YMI (203.8%)</t>
    </r>
  </si>
  <si>
    <r>
      <t>2.</t>
    </r>
    <r>
      <rPr>
        <sz val="7"/>
        <color theme="1"/>
        <rFont val="Times New Roman"/>
        <family val="1"/>
      </rPr>
      <t xml:space="preserve">      </t>
    </r>
    <r>
      <rPr>
        <sz val="11"/>
        <color theme="1"/>
        <rFont val="Comic Sans MS"/>
        <family val="4"/>
      </rPr>
      <t>SJU (134.6%)</t>
    </r>
  </si>
  <si>
    <r>
      <t>3.</t>
    </r>
    <r>
      <rPr>
        <sz val="7"/>
        <color theme="1"/>
        <rFont val="Times New Roman"/>
        <family val="1"/>
      </rPr>
      <t xml:space="preserve">      </t>
    </r>
    <r>
      <rPr>
        <sz val="11"/>
        <color theme="1"/>
        <rFont val="Comic Sans MS"/>
        <family val="4"/>
      </rPr>
      <t>PKN (123.1%)</t>
    </r>
  </si>
  <si>
    <r>
      <t>4.</t>
    </r>
    <r>
      <rPr>
        <sz val="7"/>
        <color theme="1"/>
        <rFont val="Times New Roman"/>
        <family val="1"/>
      </rPr>
      <t xml:space="preserve">      </t>
    </r>
    <r>
      <rPr>
        <sz val="11"/>
        <color theme="1"/>
        <rFont val="Comic Sans MS"/>
        <family val="4"/>
      </rPr>
      <t>MSO/MST und JWU (je 116.5%)</t>
    </r>
  </si>
  <si>
    <r>
      <t>5.</t>
    </r>
    <r>
      <rPr>
        <sz val="7"/>
        <color theme="1"/>
        <rFont val="Times New Roman"/>
        <family val="1"/>
      </rPr>
      <t xml:space="preserve">      </t>
    </r>
    <r>
      <rPr>
        <sz val="11"/>
        <color theme="1"/>
        <rFont val="Comic Sans MS"/>
        <family val="4"/>
      </rPr>
      <t>CBO (-11.5%)</t>
    </r>
  </si>
  <si>
    <t>Weize</t>
  </si>
  <si>
    <t>Bizli beides</t>
  </si>
  <si>
    <t>Spreu or Weizen?</t>
  </si>
  <si>
    <t>Crevette-Bouquet-Onion</t>
  </si>
  <si>
    <t>Ex-Statistiker (entlah)</t>
  </si>
  <si>
    <t>*1 via Call</t>
  </si>
  <si>
    <t>Win 4 Life Return</t>
  </si>
  <si>
    <t>Schäresteipapier-Bättul - Best of 19 um äs Bière</t>
  </si>
  <si>
    <t>-</t>
  </si>
  <si>
    <t>Jin (alias JUSO, verdient kei DF abchürzig)</t>
  </si>
  <si>
    <t>njet, well giizig</t>
  </si>
  <si>
    <t>extra vill verachtig, well giizig</t>
  </si>
  <si>
    <t>Hät scho verlorä im läbe</t>
  </si>
  <si>
    <t>Cha sich weder ä Schär, än Stei, und scho gar kei Papier leischtä</t>
  </si>
  <si>
    <t>J dä verräter</t>
  </si>
  <si>
    <t>22.12.2017</t>
  </si>
  <si>
    <t xml:space="preserve">Missing Penalty </t>
  </si>
  <si>
    <t>DFs '16</t>
  </si>
  <si>
    <t>DFs '17</t>
  </si>
  <si>
    <t>DFs '18</t>
  </si>
  <si>
    <t>DFs '19</t>
  </si>
  <si>
    <t>DFs '20</t>
  </si>
  <si>
    <t>Vorsprung zum Nächschte</t>
  </si>
  <si>
    <t>Spreu und Gurke</t>
  </si>
  <si>
    <t>1 (+5)</t>
  </si>
  <si>
    <t>3 (-2)</t>
  </si>
  <si>
    <t>6 (-4)</t>
  </si>
  <si>
    <t>2 (-1)</t>
  </si>
  <si>
    <t>5 (-1)</t>
  </si>
  <si>
    <t>1 (+1)</t>
  </si>
  <si>
    <t>2 (+1)</t>
  </si>
  <si>
    <t>3 (-1)</t>
  </si>
  <si>
    <t>Rang</t>
  </si>
  <si>
    <t>LIFO Penalty</t>
  </si>
  <si>
    <t/>
  </si>
  <si>
    <t>Rückstand zum König</t>
  </si>
  <si>
    <t>Miss 16</t>
  </si>
  <si>
    <t>Miss 17</t>
  </si>
  <si>
    <t>Miss 18</t>
  </si>
  <si>
    <t>Miss 19</t>
  </si>
  <si>
    <t>Miss 20</t>
  </si>
  <si>
    <t>Hauptstatistiker,  Vizepräsident, Vize-iladigsversender, Frauebeuftreite, Glichberechtigungsbeamte</t>
  </si>
  <si>
    <t>König isch x Mal so vill am DF gsi</t>
  </si>
  <si>
    <t>SCHNIFO</t>
  </si>
  <si>
    <t>Available</t>
  </si>
  <si>
    <t>CÄSHRESERVES + Paid</t>
  </si>
  <si>
    <t>PR% 20</t>
  </si>
  <si>
    <t>PR% 19</t>
  </si>
  <si>
    <t>PR% 18</t>
  </si>
  <si>
    <t>PR% 17</t>
  </si>
  <si>
    <t>PR% 16</t>
  </si>
  <si>
    <t>DFs 21</t>
  </si>
  <si>
    <t>Pen 16</t>
  </si>
  <si>
    <t>Pen 17</t>
  </si>
  <si>
    <t>Pen 18</t>
  </si>
  <si>
    <t>Pen 19</t>
  </si>
  <si>
    <t>Pen 20</t>
  </si>
  <si>
    <t>Miss 21</t>
  </si>
  <si>
    <t>Pen 21</t>
  </si>
  <si>
    <t>P17</t>
  </si>
  <si>
    <t>P18</t>
  </si>
  <si>
    <t>P19</t>
  </si>
  <si>
    <t>P20</t>
  </si>
  <si>
    <t>P21</t>
  </si>
  <si>
    <t>DF Stat Comments</t>
  </si>
  <si>
    <t>Stats mit chline apassige nach äm ustritt vo dä obergurkä</t>
  </si>
  <si>
    <t xml:space="preserve">DF Stats mit neuer Logik für dä YMI (171.00 wie dä CBO). 
Mir wünsched äm selbsternenntä König und Präsident vom DF schöni Feriä und vill Nasemehl
</t>
  </si>
  <si>
    <t>Projektion vo dä DF Buesse bis dä SJU wieder zrugg isch (Afang September): 1056.5 CHF</t>
  </si>
  <si>
    <t xml:space="preserve">Grande YMI isch wieder mal däbi gsi, und hät dämit sin obligatorischä DF Bsuech vom 2. Halbjahr 2018 scho erfüllt. </t>
  </si>
  <si>
    <t>So än DF im Schattä isch doch öppis schöns, da lacht das Herz. Ab jetzt gits jedi Wuche mindestens 33.- Zuewachs zum DF Vermögä bis Afang September, es chunnt chnüppeldick für alli mit Sonderregelig</t>
  </si>
  <si>
    <t>Ohne Worte</t>
  </si>
  <si>
    <t>Nächscht wuche simmer über 1000.- (das sind 90.9 kebabs ohni dosegetränk)</t>
  </si>
  <si>
    <t xml:space="preserve">Miserablè, bin eifach dä einzig gsi letschte Fritig und han grad na ä LIFO gchlöpft. Projektion für nächscht Wuche sind 1095.-
Oooooh ich freu mi so dass dä SJU bald wieder zrugg isch, und ich wär so enttüscht wänn dä Jin nöd vo mä Krokodil verspiese wird!
</t>
  </si>
  <si>
    <t xml:space="preserve">DF Stats, ab jetzt gahts nüme so steil ufä, ussert dä Knechtli chunnt wiiterhin nöd an DF. Aber glich scho 1062.- CHF im Topf, nur na bäreschwach.
GGG
Gurkä und alli Tomatä
</t>
  </si>
  <si>
    <t xml:space="preserve">Alles wo Rang und Name hät isch hüt am Start gsi!
Und de Schoggi
</t>
  </si>
  <si>
    <t xml:space="preserve">Ola
Da no dStats vo hüt. Danke für nüt MSO/MST.
@Annique: Darf ich dich bitten, aufgrund von Yannicks Abwesenheit die DF Stats auf ihre Korrektheit zu überprüfen. Besten Dank
</t>
  </si>
  <si>
    <t>Cyril, chunsch nögscht wuche?</t>
  </si>
  <si>
    <t xml:space="preserve">Wie scho im DF-Chat atönt chönnts knapp werdä für dä CBO, und drum au für dä Yannick. Villicht gits äs 2000.- Budget zum verchlöpfä. </t>
  </si>
  <si>
    <t xml:space="preserve">Mit bitzeli verspätig (scusi) chömmed endlich d’DF stats. Grande Statistiker. 
GGG
MSO/MST 
</t>
  </si>
  <si>
    <t xml:space="preserve">DF Stats, extra Stei wo vom DF Statistiker grüehrt wordä sind (und Lob an bärestarche und ehrewertä SJU), sind gelb markiert. 
Schöne Hinnich, und bis am Fritig
</t>
  </si>
  <si>
    <t>Momentan ligemer bi stolze CHF 1‘265.50 (CHF 210.90 pro DF™-Mitglied)</t>
  </si>
  <si>
    <t xml:space="preserve">Momentan ligemer bi stoRze CHF 1‘276.50 (CHF 212.75 pro DF™-Mitglied)
Forecast Betrag DF™–Chlopfetä: CHF 1320.50 (CHF 220.08333333333333 pro DF™-Mitglied)
Frohs Pokerä hüt abig
</t>
  </si>
  <si>
    <t xml:space="preserve">Werti Dame und Herrä, 
Unglaublichi CHF 1'320.50 sind bereits i dä virtuelle DF™-Kasse. Vill Spass bim isammle und umeträge, Miller  
Projection für DF™-Chlopfetä gseht wie folgt us (chönnt au falsch si, isch hald ä Projection):
Rang und Name                                     Betrag (CHF)     Verdikt
1. MSO/MST                                                        149.00                  König, 2 Mal am Stuck am meischtä DF™-Bsüech
2. JWU                                                                194.50                  Überhaupt na Mitglied? Je Mitglied gsi? Usträtte ohni öppis z’säge? Jedefalls scho lang nüme gseh im Kebabstübli am Waffeplatz
3. PKN                                                                  215.00                  Immer am Platz bsetze für eus, endlich mal nützlich für d‘Gsellschaft
4. SJU                                                                 251.00                  Legendä und verdientä President, äs Vorbild für alli, insbesondere für dä Jin, diä giizigi Rattä
5. CBO                                                                 262.00                 Unehremitglied 1, immerhin na Supporter vom grande EVZ
5. YMI                                                                 262.00                 Unehremitglied 2, än grosse Fan vom Arno und sinä neue Jünger, wo das Jahr d’Playoffs werded verpasse
Letschtä und sowiso keis Mitglied meh: Jin             53.00                 Dä Jinderletscht
Durchschnitt                                                       231.06
Total                                                  1'386.50 
Freundlich grüsst
MSO/MST
Hauptstatistiker, Vize-Iladigsversänder, neue Vizepräsident ad-interim (selbschternannt)
</t>
  </si>
  <si>
    <t xml:space="preserve">Unglaublichi CHF 1430.50 sind i dä virtuelle Kasse, mal luege was a dem letschte DF vom Fiskaljahr na passiert. 
Ä chlini Vorwarnig für die beide Schmarotzer wo s’ganze Jahr nüt mached:
• PKN (au Chnächtli gnannt): Bitte am Fritig nach dä letschtä Statistik dini Revisionskünscht waltä lah
• YMI: bitte am Fritig alles Geld itribe, au vom Jinderletschtä!
Grande grande grande
Hauptstatistiker
Vize-Iladigsversender
Vize-Präsident
MSO/MST
</t>
  </si>
  <si>
    <t xml:space="preserve">Mini werte Dame und Herre, 
Das sind di letschtä DF Stats vom derzitige Fiskaljahr. 
Bitte revisionidierä und dänn d’Beträg unde bestätige:
YMI CHF 273.00
CBO CHF 273.00
SJU CHF 262.00
JWU CHF 216.50
PKN CHF 215.00
MST CHF 149.00
Jin (alias JUSO, verdient kei DF abchürzig) CHF 53.00
DEBITORS TOTAL: CHF 1'441.50
Miller, bitte au bim Jinderletschtä go Geld itribe. 
Grand Salutations und bis hüt Abig
</t>
  </si>
  <si>
    <t xml:space="preserve">Die Wuche gits än Donner  voll geil
Es wird bald Früehlig  bärestarch
Dä Z isch nöd i dä Playoffs (wie akündet)  unbezahlbar 
</t>
  </si>
  <si>
    <t xml:space="preserve">Werti Mitglieder und Teamleader Data Management &amp; Development.
Im Ahang finded si di aktuellschtä DF-Stats, inklusive dä vill besprochene (und höchscht unfründlich verlangte) all-time history stats vom ehrewerte DF. Es paar interessanti Fakte gits jetzt grad, oder im aghänkte File. 
2 disclaimer a alli wo sich die Zahle wennd gnauer aluege: 
• Dä Jinderletscht dä Juso isch au i dä Statistik, aber versteckt, well er so än niedere Mensch isch
• Dä MSO/MST isch nach 7 initiale DF-Bsüech zum grossartigschte Verein uf dä Welt gstosse, und hät drum ä schiinbar zu hochi Partizipationsrate, wo aber korrekt isch
1. Ustritt us äm DF: 
JWU                                      1
Jinderletscht dä Juso        1
2. LIFOs:
JWU                                      3
MSO/MST                            2
Jinderletscht dä Juso        1
3. Totali Bsüech am DF und %
Rank Name Points Points %
1 MSO/MST 122 84.7%
2 PKN 115 76.2%
2 JWU 115 76.2%
4 SJU 109 72.2%
5 YMI 83 55.0%
6 CBO 45 29.8%
4. Topbitragszahler
Die beide Herre YMI und CBO händ scho bereits 645 CHF respektive 685 CHF zum DF bigstüüret, herzliche Dank
Ich wünsche ihne allnä es wunderbars Endi vo dä Wuche, und än schöne Hinnich
MSO/MST
Hauptstatistiker / Vize-Iladigsversänder / Vizepräsident
</t>
  </si>
  <si>
    <t>Werti Herrä
Nach dem wunderbare Cordon-bleu Schmaus gescht gahts hüt mehrere DF-Legendä nöd so guet, und äm Schoggi au nöd. Aber es isch grande gsi, trotz dä schmerzliche Molotov-Niederlag vom MSO/MST. 
Nennenswert am Jinderletscht sini ussag, nöd us Züri wegzzieh wenn er im Lotto würd günne und chönnt 7 Mio. CHF Stüüre spare. Grossartig aber dänn dä JWU, wo ihn druf hiigwiese hät, dass er ja wäge es paar Fränkli usem DF usträtte isch, die Rattä, und daher lieber Stüüre zahlt als mit eus Ziit zverbringe. 
Interessantä Fakt: Mit äm hütige Bsuech hämmer als Verein 600 Kebabs/Dürüms/Pides/Donnerboxä gchlöpft (ohni Jinderletscht, dä zellt ja für nüt meh). Da dä MSO/MST eimal 2 gha hät, aber dä JWU mal än Salat vor äm nä bedütigslose Playoffspiel gchlöpft hät, heb sich das wieder uf. Ich gratuliere eus zu dem Meilestei. 
Ich wünsche es schöns Endi vo dä Wuchä, und am SJU wohlverdienti Ferie. 
Freundlich Grüsst
MSO/MST
Hauptstatistiker (wenn er si dänn verschickt)
Vize-Präsident
Vize-Iladigsversänder
Leader i dä folgendä Statistike:
- Total DF visits
- Overall participation rate
- Participation rate 2016/2017//2018
- DF visits 2017/2018</t>
  </si>
  <si>
    <t xml:space="preserve">Halli Hallo,
Git nöd vill zsäge, ussert dass dä Schoggi zuegseit hät und nöd cho isch, wahrschinlich um sin 4. LIFO zverhinderä, dass dur s’fehlä vom SWU und SJU CHF 44 id kasse sprudled, und dass mer nächscht Wuchä namal än schöne Batzä meh i dä Kasse händ (Forecast = +CHF 55). Wänn dä Miller nöd chunnt, gits än LIFO für dä Chnächtli, oder er chunnt au nöd und chan sini Füehrig nöd usbauä. Ah ja, und dä YMI hät zuegseit aber gschribe dass er nöd chan cho, bitte nächschmal luege, suscht gits ä Flättere
Also gits doch einiges zsäge. 
Schöns weekend, und ich freu mi mächtig uf es grossartigs Donnerä im Oschtä
GGG
</t>
  </si>
  <si>
    <t xml:space="preserve">Bon Mäntig allersiits,
Mir hand alli s’gröschtä Vergnüegä, wieder mal offizielli DF-Stats z’erhaltä, nach dä grandiosä Brügletä in Bratislava aka Breitislava aka Waldislava. Es hät gchlöpft, nöd nur äm SJU sin Stuehl im Irish Pub, sondern au i dä virtuellä Kasse vom DF. 
Usserordentlich vor allem am MSO/MST sini Performance bim Düümelä, wo dä Leader i dä meischte DF-Statistikä (siehe unten) brilliert und alli vernascht hät. Bärestarch. Es git Grücht dass au anderi Teilnehmer vo derä Kulturreis öpper vernascht händ (z.B. ä lokali Schönheit), aber di final Bestätigung isch na usstehend. 
Dä Chnächtli hät sis wahre Gsicht zeigt und isch vorletscht Wuchä nöd cho, nur um sin erschtä Franchise History LIFO zverhinderä, und hät drum sin unverdiente Vorsprung nöd wiiter usbaut. Angscht und kei Geld hani kei, aber dä Chnächtli scho. Bittère. 
Somit wünsch ich eu allnä (au am SJU) ä schöni Wuche, und ich hoffe es findet sich doch na dä eint oder anderi Kamerad am Fritig zum nä Donner i, obwohl d’Uffahrtsbrugg sehr verlockend isch. 
Gurkä und alli Tomatä
MSO/MST
Hauptstatistiker (wenn er si dänn verschickt, die Wuchä scho)
Vize-Präsident
Vize-Iladigsversänder
Leader i dä folgendä Statistike:
- Total DF visits
- Overall participation rate
- Participation rate 2016/2017/2018
- DF visits 2017/2018
- Most consecutive DF visits (21, 3.2-30.6.2017)
</t>
  </si>
  <si>
    <t>Wunderschön isches gsi hüt, alli am verusse hockä ussert dä YMI wo ja so gern dusse isch. Danke an CBO dass er sich da ane traut hät vom Kanton Zug, exceptionèlléé. 
Leider isch s’Quo Vadis ines Quo Squashish umgwandlet worde, womit im Ruum staht ob das na richtig duregfühert wird. Und obs mal äs London Quo Vadis git, oder wie schön gseit vom CBO äs Quo Vadis Thames Edition. Es blibt spannend. 
Suscht gits nüt zsäge, ussert schöni Feriä an SJU, dä erschti offizielli Arbetslosi i eusere Mitti. Immer na besser als für d’ZKB schaffe. Oder d’CS. Luuserbanke alli zäme. 
Freundlich grüsst
MSO/MST
Hauptstatistiker (wenn er si dänn verschickt, die Wuchä scho, letscht Wuche nöd)
Vize-Präsident
Vize-Iladigsversänder
Grund für d’LIFO+ Buess wänn mer sich ameldet und nöd chunnt
Leader i dä folgendä Statistike:
- Total DF visits
- Overall participation rate
- Participation rate 2016/2017/2018
- DF visits 2017/2018
- Most consecutive DF visits (21, 3.2-30.6.2017)</t>
  </si>
  <si>
    <t xml:space="preserve">Zu dem historischä Tag und äm erschtä DF während mä Frauästreik isch es mis Vergnüegä, eu diä Ereignis vo hüt z’überlieferä.
• Dä SJU isch hüt abwesend, gemäss eigenä Agabe in Indonesiä am chille, aber es gönd Grücht umä dass er immer na i dä Schwiiz hockt und an Streik gaht go brüglä. #brügläforequality
• Dä PKN hät sich mit zahlriichä frauäfindlichä Ussage gründlich is Abseits gstellt, zum Glück häts dä JWU Protokol gfüehrt und wird das hoffentlich ad Sozialgrechtigkeitspolizei wiiterleitä. Guet so. 
• Dä JWU hät Details zu sinerä grossartigä Brüglerreis bekanntgeh, oder meh dass er nüt vo einerä weiss. Also alli wo sich uf äs Abendtür in Tatsischickistan mit quatorze Tequilas pro Person pro Abig gfreut händ, muess ich leider enttüschä.
Freundlich grüsst
MSO/MST
Hauptstatistiker (wenn er si dänn verschickt, die Wuchä scho, letscht Wuche au, Wahnsinn)
Vize-Präsident
Vize-Iladigsversänder
Neue selbsternannte Frauebeuftragtä von DF, wo sich über ä möglichi Implementierig vonerä Frauäquotä wird informierä. Update folgt villicht, villicht au nöd. 
Grund für d’LIFO+ Buess wänn mer sich ameldet und nöd chunnt
Leader i dä folgendä Statistike:
- Total DF visits
- Overall participation rate
- Participation rate 2016/2017/2018
- DF visits 2017/2018
- Most consecutive DF visits (21, 3.2-30.6.2017
</t>
  </si>
  <si>
    <t xml:space="preserve">Morgä mitenand
Es isch mir ä usserordentlichi Freud, eu d’Statistik vom DF us dä letschtä Kalenderwuchä zpresentierä. Leider sind kei politische Statements und Manifescht vorgfühert wordä, sondern meh ä Ergründig was sWort Krise für äs Unternehmä bedüted, und ob d’Tamedia und d’Ziitigsbranche tatsächlich in einerä steckt. Kei Angscht, mir händ än Expertä i dä Rundi gha, dä Schoggi isch i dä Branchää, und hät scho än Porschee
Usserdem häts am Fritig na ä Pokerchlöpfetä geh, wo zahlrichi DF Mitglieder (also 3) teilgnoh händ. D‘Qualität vom Verein hät sich wieder mal zeigt wo das ganze zur absolute Farce usgartet isch, und dä CBO und dä MSO/MST ohni grosse Widerstand alles abgruumt händ. Aber au da hät sich wieder zeigt, dass es Mitglied mit Sonderstatus hald ebä doch es Mitglied zweiter Klass isch, wo dä MSO/MST glorrich dävozogä isch. Dä JWU hät au na än churze Isatz zeigt, nachdem er sini Akunft über 4 Stund konstant mit „ich chume i 15 Minutä“ akündet hät. Er hät sich aber nöd chönne uszeichnä, weder mit gwitztä Spielzüg, na mit mä finanziellä Gwünn. Unter ferner liefen sind na dä Jinderletscht, zwei spendabli Geldgeber und Kollegä vom ihm, dä Päsche, dä Ebi und dä Lö (au er hät guet investiert) gsi. Bis tüüf id Nacht häts gchlöpft, und dänn sind alli hässig hei gange. 
Die Wuche gits hoffentlich wieder än feinä Dürüm, Donner, ä Donnerbox oder än Pide, und ich freue mich scho mächtig druf.
Freundlich grüsst
MSO/MST
Hauptstatistiker (wenn er si dänn verschickt, die Wuchä chli zspat, isch scho gmassreglet wordä im offiziellä DF Chat vom el presidente wo sich grad im Exil befindet) 
Vize-Präsident
Vize-Iladigsversänder
Selbsternannte Frauebeuftragtä von DF, es git na keis Update zunerä Frauäquotä.  
Grund für d’LIFO+ Buess wänn mer sich ameldet und nöd chunnt #Influencer
Leader i dä folgendä Statistike:
- Total DF visits
- Overall participation rate
- Participation rate 2016/2017/2018
- DF visits 2017/2018
- Most consecutive DF visits (21, 3.2-30.6.2017)
</t>
  </si>
  <si>
    <t xml:space="preserve">Hallo
Die Wuche gits leider kein lange und unterhaltsame Biitrag, han vill ztuä und gange bald id Ferie. Ich verpasse drum die nächschte zwei DFs, was fascht so schlimm isch wiä dä PKN wo diä nächschte 3 nöd chan cho. Eieiei, es chlöpft und tätscht i dä virtuellä DF-Kasse. 
Vill Spass denä wo chömed, und bitte dStats rechtziitig schickä, was ich ja immer machä. Und gratulation an neue ZKB-Juso-Banker SJU, wo hoffentlich guet agfange hät, und mir na sini Mailadresse muess schickä. 
Freundlich grüsst
MSO/MST
Hauptstatistiker (wenn er si dänn verschickt, die Wuchä scho wieder zspat, aber so isch life) 
Vize-Präsident
Vize-Iladigsversänder
Selbsternannte Frauebeuftragtä von DF, es git immer na keis Update zunerä Frauäquotä, wird wahrschinlich au nie eis cho. Aber who’s know.  
Grund für d’LIFO+ Buess wänn mer sich ameldet und nöd chunnt #Influencer
Leader i dä folgendä Statistike:
- Total DF visits
- Overall participation rate
- Participation rate 2016/2017/2018
- DF visits 2017/2018
- Most consecutive DF visits (21, 3.2-30.6.2017)
</t>
  </si>
  <si>
    <t xml:space="preserve">Werti Herre
In Abwesenheit vo eusem Hauptstatistiker freu ich mich, eu persönlich über de aktuellsti Stand vo de DF Stats chöne z'informiere. Es hät wiiteri 22 CHF id Kasse gspüelt und mittlerwiile stömmer im Fiskaljahr 2019/2020 bi knapp 500 CHF. Unter Berücksichtigung von de Reserve vo 2017/2018/2019 und em vergangene Abweseheitstrend werdemer ide nögschte Wuche wohl dTusigermarke knacke.
Danke a all Abwesende wo bim Berlusconi italienischi Meitschis gönd go aluege (PKN, MSO/MST), bim Patriote-Trump 2.5 Mio USD Füürwerk gönd go bestuune (CBO), oder irgendwo ufem Camino de Compostela vo de HSGler – also uf Strecki zwüsche St. Galle und Züri - mit em Velo gad under de 30-grädige Hitz liided (YMI).
Hüt gits übrigens paar ad Schnurre am Züri-Fäscht, ich freu mi!
Adios muchachos
El presidente
Sascha Jucker
Economic Research
</t>
  </si>
  <si>
    <t xml:space="preserve">Liebi Mitglieder
Han scho gmüetlicheri DFs erlebt.
Immerhin hani de schnellscht Weg mitm Velo vo de ZKB zum DF gfunde. Und dStempelcharte isch au voll. Apropos voll: Ich freu mich uf dBrüglete vo morn.
Liebe Gruess
SJU
</t>
  </si>
  <si>
    <t xml:space="preserve">Hoi zäme
Im Ahang wie gewohnt DF Stats.
Debitors FY 2019/2020:                    CHF 594.50
Übertrag FY 2017/2018/2019:           CHF 447.70
Total nach Wertberichtigungen:         CHF 1'042.20
Am 2. August git's eventuell en Szenewechsel. Details folged no.
Happy weekend!
Säschi
</t>
  </si>
  <si>
    <t xml:space="preserve">Hallo,
Es isch mir ä wahri freud eu die aktuellschtä df stats z’präsentierä. Hüt hämmer fascht full house gha, und es isch dementsprechend blöfft wordä über Uhre und lokali fuessballspiel i dä niederä liigä. 
S’motto vo hüt isch ultra casual gsi, und dä SJU hät sich nach sinerä areis als wahrä schwi(i)tzer chönne uszeichnä. Höhöhö. 
Wunderbar, und mir (also ich) würded eus freuä, wänn dä PKN mal wieder würdi fehlä, so dass ich au das df-jahr wieder als oberschti df-legendä dastah chan. 
Freundlich grüsst
MSO/MST
Hauptstatistiker (wenn er si dänn verschickt, die wuchä unglaublicherwiis mal pünktlich) 
Vize-Präsident
Vize-Iladigsversänder
Selbsternannte Frauebeuftragtä von DF. Update: Ä gsetzlichi Frauequotä wird nöd implementiert, aber es wird äm Verein wird nahegleit ä freiwilligi Quote z‘berücksichtigä
Grund für d’LIFO+ Buess wänn mer sich ameldet und nöd chunnt #Influencer
Leader i dä folgendä Statistike:
- Total DF visits
- Overall participation rate
- Participation rate 2016/2017/2018
- DF visits 2017/2018
- Most consecutive DF visits (21, 3.2-30.6.2017)
</t>
  </si>
  <si>
    <t xml:space="preserve">Hallo,
Unglaublich härt isch politisiert wordä am letschtä Fritig, und d’Quintessenz isch gsi dass es ganz vill Amateur git, sowohl ganz links wie au ganz rechts. 
Usserdem isch dä Service exceptionèlle gsi, well dä SJU sin Pide separat bstellt hät. Mer munklet aber, dass es nur so schnell gange isch well dä JWU so effizient bstellt hät (also so schnell gredet hät dass dä Serviertürgg dä armi Tropf nur hät chönne rate, was dä JWU gmeint hät). 
A meh channi mi grad nüme erinnerä, aber who’s care. 
Bis am Fritig, und wie immer freundlich grüsst
MSO/MST
Hauptstatistiker (wenn er si dänn verschickt, die wuchä bevor er ä Mahnig vom Presidente erhaltä hät) 
Vize-Präsident
Vize-Iladigsversänder
Selbsternannte Frauebeuftragtä von DF. Update: Ä gsetzlichi Frauequotä wird nöd implementiert, aber es wird äm Verein nahegleit ä freiwilligi Quote z’berücksichtigä (wo nöd gmacht wird, us Prinzip)
Grund für d’LIFO+ Buess wänn mer sich ameldet und nöd chunnt #Influencer
Leader i dä folgendä Statistike:
- Total DF visits
- Overall participation rate
- Participation rate 2016/2017/2018
- DF visits 2017/2018
- Most consecutive DF visits (21, 3.2-30.6.2017)
</t>
  </si>
  <si>
    <t xml:space="preserve">Sehr geehrti Dame und Herre, liebs Publikum, und hallo
Bin gwese Safran, sitzä, und dänn hät mer eifach azwiflet dass das flitzige rote Rennvelo am MSO/MST ghört. So ä Farce, insbesondere well ich nur wege dem so schnell wieder im Üetlihof obe gsi bin und jetzt drum meh Ziit han eu än schöne DF Report zlieferä 
(danke Schoggi für dä inexistenti Input, häsch der endlich äs eignigs Symbol i dä DF Stats verdient, obwohl mich häsch welle mit dim Hooliganpulli ischüchterä). 
Es hät alles ganz unschuldig agfange, es isch blöfft worde wer wievill Lahmacuns bstellt hät, und dänn isches so richtig los gange. Dur dä Ehregascht Ebito-Ebito isch s’Thema Veganismus ufcho, woruf alli churz verzellt händ was si dävo halted (wenig bis gar nüt). 
Nachher isch dä Boge gschlage wordä zum Sport, und wie dä Jinderletscht i dä Gurkäliiga Züri West es Offside-Goal gschosse hät wo zurecht nöd zellt hät, und dänn zu allem ane na vor äm leere Goal verseit hät. Er seg na nie so hässig gsi, brichted Augezüge, was mis Herz zutüfscht erfreut. 
Lang isches gange bis die erschtä Donner anedonneret wordä sind, und dänn am Schluss na die beide Pides. Und dänn isch zum Glück dä Hugo cho, und mir sind gange (bravo). 
Ich wünsche äs bonne weekend, ä gueti Wiediker Biertour a alli wo gönd (also niemert), und es freut mi jetzt scho uf dä letschti Kebab vom August 2019 nächscht Wuchä. 
Freundlich grüsst
MSO/MST
Hauptstatistiker (wenn er si dänn verschickt, die Wuchä blitzschnell wie sis Velo) 
Vize-Präsident
Vize-Iladigsversänder
Selbsternannte Frauebeuftragtä von DF. Update: Ä gsetzlichi Frauequotä wird nöd implementiert, aber es wird äm Verein nahegleit ä freiwilligi Quote z’berücksichtigä (wo nöd gmacht wird, us Prinzip)
Grund für d’LIFO+ Buess wänn mer sich ameldet und nöd chunnt #Influencer
Leader i dä folgendä Statistike:
- Total DF visits
- Overall participation rate
- Participation rate 2016/2017/2018
- DF visits 2017/2018
- Most consecutive DF visits (21, 3.2-30.6.2017)
- Lowest overall penalty fees in DF history
- Highest donation count in DF history (CHF 25.00)
</t>
  </si>
  <si>
    <t xml:space="preserve">Morgä mitenand, 
Wie völlig zurecht vom el Presidente erwähnt, häts dä MSO/MST wieder mal versäumt, rechtziitig d’Stats zverschickä. Schande über ihn und alli wo ihn kenned (also über mich, nöd über dä SJU, obwohl dänn scho well er mich ja kennt). 
Es isch än wunderschöne Fritig gsi, ohni Blitz, aber mit vill Donner. Zwei Gäscht händ dä Weg zu eus gfundä, dä Ebito Ebito, und dä Jinderletscht, wo dänn grad agfangä hät mit äm einzigä woner wüki chan: blöffe (als gröschte und zweitgröschte Blöffsack vo allnä isch das au z’erwartä gsi). Aber dennoch werded sini zahllosä Stundä vo allnä Bsuecher vom Schlierefescht nie vergesse werde, ussert vo dene wo es Bière zvill gha händ und drum än Movierip händ. 
Es isch wie immer vill verzellt wordä, wo ich mich jetzt leider nüme chan dra erinnerä, wells scho Mäntig isch. Am YMI sini Presenz hät alles wie immer chli beruhigt, bsunders wenn d’Stimmig fascht kehrt hät well dä SJU dä Fux sin Pide scho vorbstellt und übercho hät und dänn zwei wiiteri Gurkä namal eine gnoh händ, was wie immer zu grausame Warteziitä gfüehrt hät. Und da dä JWU nöd cho isch, hät dä YMI nur ominös chönne säge dass er eigentlich ä Red vorbereitet hät und si leider die Wuche nöd chan vorträge. Es blibt spannend. 
A dere Stell möcht ich na am SJU danke für sini witzige und lehrriche Grafikä, und alli bitte, dä liechti Ufwärtstrend a dä durchschnittlichä Partizipationsratä wiiter z’unterstützä. Und ich gratulierä am MSO/MST na persönlich, well er nach äm nächschte DF wieder die klar Nummerä zwei i dem Fiskaljahr wird si, am luure bis dä PKN mal endlich 3 mal am Stuck fehlt, und dänn isch alles wieder picco bello und wie gehabt. 
Freundlich grüsst
MSO/MST
Hauptstatistiker (wenn er si dänn verschickt, die Wuchä blitzlangsam, wie sin Verstand) 
Vize-Präsident
Vize-Iladigsversänder
Selbsternannte Frauebeuftragtä von DF. Update: Ä gsetzlichi Frauequotä wird nöd implementiert, aber es wird äm Verein nahegleit ä freiwilligi Quote z’berücksichtigä (wo nöd gmacht wird, us Prinzip)
Grund für d’LIFO+ Buess wänn mer sich ameldet und nöd chunnt #Influencer
Leader i dä folgendä Statistike:
- Total DF visits
- Overall participation rate
- Participation rate 2016/2017/2018
- DF visits 2017/2018
- Most consecutive DF visits (21, 3.2-30.6.2017)
- Lowest overall penalty fees in DF history
- Highest donation count in DF history (CHF 25.00)
- Creator of longest signature in DF history (02.09.2019)
</t>
  </si>
  <si>
    <t xml:space="preserve">Liebi Mitglieder, 
Hüt isch wieder mal nur dä härti Chern da gsi, und dä PKN und dä Ebito Ebito au. Abwesend wieder mal JWU, was eusi Kasse mächtig freut (da +33CHF), und dä SJU (also namal +11CHF). Es tätscht und chlöpft also, und mer stönd bi 1128CHF FYTD (Fiscal year to date). 
Es isch hüt eher ruhig diskutiert wordä, über d’Ufteilig vo dä streaming services, und wie illegal es isch irgend somnä dude 100 Stutz aneztätschä um Zuegriff zha uf alli. Konsens: nöd sehr illegal. 
Usserdem isch über dä viel erwarteti Afang vo dä Ishockeysaison 19/20 diskutiert wordä, mer hät blöfft wer scho mal alli heimspiel vom EV ZUG inerä Saison gseh hät (MSO/MST), und wie geil dä Transfer vom Gregory uf di richtig Siite vom Gotthard (also id Schwiiz) isch. 
Höhepunkt: Wo dä MSO/MST s’Lokal beträtte hät, sind di andere beide Herre scho am Platz ghockt und händ ihre Pide bestellt gha. Nach 5 Minute warte i dä Schlangä hät dä DF Rekordhalter i fascht allnä Statistikä (siehe Signatur) sin Dürüm ohni Wasser aber glich schneller übercho, und sogar scho g’esse bevor ihri Bstellig cho isch. Dä Respekt vor mir isch anschinend tüüf im Safran verwurzlet, und das völlig zurecht. 
Freundlich grüsst
MSO/MST
Hauptstatistiker (wenn er si dänn verschickt, die Wuchä blitzblitzblitzschnell, also wie dä Blitz) 
Vize-Präsident
Vize-Iladigsversänder
Selbsternannte Frauebeuftragtä von DF. Update: Ä gsetzlichi Frauequotä wird nöd implementiert, aber es wird äm Verein nahegleit ä freiwilligi Quote z’berücksichtigä (wo nöd gmacht wird, us Prinzip)
Grund für d’LIFO+ Buess wänn mer sich ameldet und nöd chunnt #Influencer
Leader i dä folgendä Statistike:
- Total DF visits
- Overall participation rate
- Participation rate 2016/2017/2018
- DF visits 2017/2018
- Most consecutive DF visits (21, 3.2-30.6.2017)
- Lowest overall penalty fees in DF history
- Highest donation count in DF history (CHF 25.00)
- Creator of longest signature in DF history (02.09.2019)
- Creator of even longer signature (06.09.2019)
</t>
  </si>
  <si>
    <t xml:space="preserve">Liebi Fründe
Es freut mich schampar eu chöne mitzteile, dass dBrauhaus AG Sterne no paar Aktie zum vergäh hät (unde d'Antwort vo de nette Frau Egger).
Bitte prüefed zerst no de Gschäftsbricht 2018 und kläred für eu ab, öb ihr sfinanzielle Risiko chönd und wännd igah. Luut Bricht isch sJahr 2018 nöd eifach gsi. Wegem Hitzesummer sind vill Chunde uf alkoholfreii Getränk usgwiche. 
Zudem sind die quartalswiise Fassastich nüm komplett gratis, Bier werded aber zum "Rampepriis" sehr günstig vergäh. De Grund isch geil [Uszug Gschäftsbricht 2018]:
8. Fassanstiche
Immer wieder eine besondere Freude ist der grosse Aktionärsaufmarsch an unseren vier Saisonbier-Fassanstichen.  Sie  sind  Teil  der  «Naturaldividende».
Durch  die  vielen  neuen  Aktionärinnen  und  Aktionäre  sind  wir  logistisch  an  Grenzen  gestossen  und  mussten ausbauen. Der Bierkonsum an den Anstichen
hat sich ebenfalls verdoppelt. Es freut uns zwar,  dass  Ihnen  unsere  Bierspezialitäten  so  gut  schmecken,  trotzdem  sollte  es  nicht Ihr erstes Ziel sein,
Literrekorde mit Gratisbier zu trinken. Das hat bei Altaktionären zu Reklamationen  geführt.  Wir  werden  darum,  auch  in  Ihrem  Interesse,  die  Grenzen  etwas  
enger setzen und in Zukunft die Gratis-Bierhahnen um 15 Uhr schliessen. Man darf danach ruhig weiterfeiern – allerdings nicht mehr gratis, sondern gegen
ordentliche Bezahlung. Wir danken Ihnen für das Verständnis.
Ich han mer scho mal en Zeichnigsschiin usdruckt (siehe Anhang). Wär cool wenn er au mitmached. Fassanstich-Termine 2019/2020:
21.9.2019      Oktoberfest-Bier (wird wohl knapp^^)
30.11.2019    Schneeflöckli-Bier (quasi als Warm-Up für dBierkreistour zwei Wuche spöter)
21.3.2019      Osterhäsli-Bier (ufgrund vom Name min persönliche Favorit)
27.6.2020     Sommerfest-Bier
26.9.2020     Oktoberfest-Bier
28.11.2020    Schneeflöckli-Bier
dDF-Stats sind au no im Ahang.
LG und schöns Wuchenend,
Säschi
</t>
  </si>
  <si>
    <t xml:space="preserve">Liebi Mitglieder,
A dem sehr spezielle Tag därf ich eu hüt wieder mal ä Zämefassig vo dä neuschtä Ereignis zu dä Topics Döner, Fritig, und Dönerfritig™ verfasse. Wunderschön sind eusi neue DF-Shirts wo nach gfühltä 7 Jahr endlich dur dä Zoll, und nach 2 Mönet endlich us äm YMI sim Chäller sind, inklusive sehr verdächtige wiisse Fläcke. Grossartig gmacht vo allne beteiligtä, und dä Pin isch natürlich es absoluts Highlight. Dä SJU hät jetzt äs chliises Loch i sim Hemd, däfür es grande Selfie, was eigentlich än faire Priis isch. 
Hüt isch wie immer vill blöfft wordä, aber nöd so fescht wiä dä Nikci (Rang: Bankangestellter) mit sim Mail am Abig am 7ni, inklusive Rechtschriibefehler. Lieber in Schwiizerdütsch schribe, det gits kei Grammmmmatikfehler. 
D’Affaire IQ-Ball vs Titi vo dä GS CS isch natürlich im Vordergrund gstandä, mit Vertretter vo dä Journalischtä (JWU) und vo dä Bänker (MSO/MST, SJU) und äm Rescht. Es wird vill spekuliert, und d’Meinige gönd usenand, aber so isches im Läbe. Villicht heisst für dä Herr a dä Spitze bald GO!
Es sind usserdem na es paar Unklarheite ufklärt wordä über das agstrebtä Investment i die Brauerei, und erstunlicherwiis isch s’Quo Vadis vo Londrès ohni Doodle ganz fix abgmacht wordä für dä 17-19 Jänner. Details folged na vo dene wos organisiered (ich nöd). 
Mit dem wünsch ich eu allnä es schöns Wuchenend, und vill Spass mit äm neue DF-Dress. 
Freundlich grüsst
MSO/MST (Nr.  7)
Hauptstatistiker (wenn er si dänn verschickt, die Wuchä schneller als dä Usain Blitz) 
Vize-Präsident
Vize-Iladigsversänder
Selbsternannte Frauebeuftragtä von DF. Update: Ä gsetzlichi Frauequotä wird nöd implementiert, aber es wird äm Verein nahegleit ä freiwilligi Quote z’berücksichtigä (wo nöd gmacht wird, us Prinzip)
Grund für d’LIFO+ Buess wänn mer sich ameldet und nöd chunnt #Influencer
Leader i dä folgendä Statistike:
- Total DF visits
- Overall participation rate
- Participation rate 2016/2017/2018
- DF visits 2017/2018
- Most consecutive DF visits (21, 3.2-30.6.2017)
- Lowest overall penalty fees in DF history
- Highest donation count in DF history (CHF 25.00)
- Creator of longest signature in DF history (02.09.2019)
- Creator of even longer signature (06.09.2019)
</t>
  </si>
  <si>
    <t xml:space="preserve">Grüeziwohl, 
Trotz äm Rege (huere seich) hät hüt dä DF stattgfundä, und es isch flissig diskutiert wordä. Sehr zur Entrüschtig vo JWU und MSO/MST hät dä PKN hüt sin Ahang mitgnoh, statt grad direkt in Spa zgah. Mir sind alli sehr enttüscht vo dir, Chnächtli, aber all-time-attendance- history- record-technisch wird sich so schnell nüt veränderä. Gang glich mal id Ferie, suscht kontaktier ich das Team woner us euerä Liga usewerfä lah händ, dänn wird brüglet. Oder das anderä Team woner ohni Grund au na usegecklet händ. Inside Paradeplatz isch scho informiert. 
Trotzdem isches luschtig gsi und es isch philosophiert wordä, vo dä chinesischä Überwachig zu Wohnigä mit zwei Duschä bis hii zu Trips im Südtirol. Wie immer ä wahri Freud. Usserdem hät dä SJU ändlich mitübercho, dass dä JWU die geilä Formlä im Stats-Excel (see attached) programmiert hät wie än wahrä Häcker, was dä JWU natürlich zur Weissglut tribä hät. Aber euses Excel isch es Gmeinschaftswerk vo all denä wo sich immer na aktiv um dä Verein bemüehed (nöd so wie die Passivmitglieder wo eimal im Jahr 2 Minute öppis mached), drum isch alles guet. Usserdem hät dä JWU d’Idee ufbracht, dass mer für 200 CHF än Aweseheitspunkt vom ä anderä DF Mitglied chan abchauffe, er isch aber nöd uf offeni Ohre gstosse. Wird na diskutiert am Quo Vadis. 
Apropos, Londrès sött mal buecht werde (dä YMI söll sich na üsserä ob er jetzt au scho am Fritig dä Tag dur chan), und mir freued eus alli am Flughafä mit dä grande DF Shirts (mit Clip) ufzdonnerä. 
Mir wünsched am SJU schöni Ferie, und eu allnä es schöns Wuchenend. Und zum Schluss na än luschtigä Fakt, dä MSO/MST hät 6 Donner/Pides/Donnerboxä meh verspiesä im Rahme vom DF als YMI und CBO zäme (eigentlich 7 well er mal 2 gha hät a eim glorriche Fritig). Nahrig für Gedankä. 
Petri heil und freundlich grüsst
MSO/MST (Nr.  7)
Hauptstatistiker (wenn er si dänn verschickt, scho 3 mal in Folge am Fritig, gratulation an MSO/MST) 
Vize-Präsident
Vize-Iladigsversänder
Selbsternannte Frauebeuftragtä von DF. Update: Ä gsetzlichi Frauequotä wird nöd implementiert, aber es wird äm Verein nahegleit ä freiwilligi Quote z’berücksichtigä (wo nöd gmacht wird, us Prinzip)
Grund für d’LIFO+ Buess wänn mer sich ameldet und nöd chunnt #Influencer
Leader i dä folgendä Statistike:
- Total DF visits
- Overall participation rate
- Participation rate 2016/2017/2018
- DF visits 2017/2018
- Most consecutive DF visits (21, 3.2-30.6.2017)
- Lowest overall penalty fees in DF history
- Highest donation count in DF history (CHF 25.00)
- Creator of longest signature in DF history (02.09.2019)
- Creator of even longer signature (06.09.2019)
</t>
  </si>
  <si>
    <t xml:space="preserve">Morgä mitenand.
A dem wünderschöne Tag han ich das grosse Vergnüegä, eu die aktuellschtä DF Stats zschickä. Dä YMI hät sich hüt zum hartä DF Chärn (und äm JWU) gsellt, und obwohl das kein Ifluss uf sini Penalty hät, isches doch einigermasse schön gsi. Dä SJU gnüsst sini wohlverdiente Ferie im Öster-Reich, nachdem er sicherlich ganz härt gschafft hät i sinere Buurebank. Nöd das ich inere bessere Bank schaffe, si isch eifach chli grösser. 
Aber genug mit dem Vorgeplänkel, eusi treue Leser interessiert was so passiert isch hüt, insbesondere dä CBO wo immer schön schriftlich danke seit für die zuegegebenermasse sehr amüsanti Zämefassig. Er hät sich übrigens wäge sine T-Shirts grad selber zum Chief Marketing Officer vom DF ernannt und um es speziells Symbol bemüeht. Falls YMI und PKN au na eis wännd, bitte melde. 
Es hät alles agfange mit am Topic Unihockey, und äm übliche geblöffe vom JWU über ihre neuschti Top-Transfer, wo angeblich inere Bar id Weg gleitet worde isch. Er tönt nach mä guete Speler wo sich ab und zue mit sine dumme Sprüch chli is Abseits stellt. Und nachdem dä Nikci ihn druf ufmerksam gmacht hät, er sölli doch sini Persönlichkeit chli ändere, chunnt glaubs alles guet. 
Euses Quo Vadis isch natürlich es grosses Thema gsi, obwohl mer ja eigentlich wüssed quo mer ane vadissed. Die Person wo dänn Flug und Hotel buecht söll sich doch bitte mit äm YMI abstimme, aber dä Flug macht er glaubs uf sini eigeni Fuscht (und es funktioniert). Es fangt offiziell im 200er Bus vo Affolterä a, und alli wo nöd detä afanged sind eigentlich nöd däbi gsi (Vorschlag vom JWU). Ganz passend findi dä Vorschlag dass mer alli am brüglä und Tequilas chlöpfä sind während dä YMI am schaffe isch, am beschte na am gliche Tisch. 
YMI und PKN gönd im Winter mal na uf Riga, und dä JWU hät sich scho negativ über die angeblich usserordentlich gross Entepopulation enerviert, was mich doch sehr starch a di legenderä Flamingos vo Karlruhe und ä ähnlichi Reaktion vo ihm erinneret. 
Am Schluss sind mer (leider) wieder bim Unihockey glandet, mit ere durchus beluschtigende Gschicht über ä knappi Niederlag vom Team Feldwaldundwiese Albis. Die isch dänn leider aber schnell abdrifted i ä langwiiligi strategischi Diskussion zwüsched dä zwei Unihockeyfanatiker, und ich bin vom PKN bette worä, das na churz z’erwähne. 
The circle closes itself. All in butter
MSO/MST (Nr.  7)
- Hauptstatistiker (wenn er si dänn verschickt, scho 4 mal in Folge am Fritig, und so schnell wie na nie. Na ä grösseri gratulation an MSO/MST) 
- Vize-Präsident
- Vize-Iladigsversänder
- Selbsternannte Frauebeuftragtä von DF. Update: Ä gsetzlichi Frauequotä wird nöd implementiert, aber es wird äm Verein nahegleit ä freiwilligi Quote z’berücksichtigä (wo nöd gmacht wird, us Prinzip)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Highest donation count in DF history (CHF 25.00)
- Creator of longest signature in DF history (02.09.2019)
- Creator of even longer signature (06.09.2019)
All the statements above about the supreme leader have been evaluated by a dedicated excel professional, and are in fact correct
</t>
  </si>
  <si>
    <t xml:space="preserve">Sehr geehrti Mitglieder, 
Au hüt sind wieder es paar lebhafti Diskussionä produziert wordä im Safran. Mit däbi eusi Top 3 vo dem Kalenderjahr, und dä Ebito Ebito. Los gahts
Es hät alles agfange mit mä Blöffcontest vo dä beide Velobsitzer MSO/MST und SJU, wo dänn sehr schnell in es Review vo Late Night Berlin (nöd z’verwechsle mit Berlin Tag und Nacht, wo doch di ganze 24 Stund abdeckt vom Gschehe in Berlin) abgwanderet isch. Für alli wos wänd naluege, es isch ä sehr amüsanti Gschicht wo zeigt wie mer die fiese Velodieb chan blossstelle, wänn mer nur es massivs Büdget und Berüehmti Kollegä hät. Es isch au d’Frag ufcho was dä Joko jetzt so macht, was eus dänn zu witzige Streich gfüehrt hät, und somit zur Überleitig zum nächschte Thema: Polteräbig. Quintessenz (los uf dini Frau), isch dass mer im Allgemeine eher uf äs Tequila-Chlöpfe söll abziele als dä zuekünftig Brütigam blosszstelle, obwohl da d’Meinige doch es bitzeli usenand gange sind. Wie jedi Wuchä wird d’Vorfreud uf dä Jänner in London grösser, insbesondere dä Teil mitem Tequila chlöpfä. 
Mer hät sich gfragt ob mer wieder s’Oktoberfescht ufem Schänzli söll bsueche, und warum dä Fassastich (oder wie au immer das gnennt wird) ä absoluti Farce isch wo nur C-Promis us dä Gastrobranche bsueched damits chönd blöffe. Apropos blöffe, dä PKN hät härt über sini Muetter blöfft und dass si grad 2 UBS Jassturnier gwunne hät, und dass er si STORZ mache will indem er hüt (oder morn, han nöd ufpasst) bim Jasse au will gwünne. Ähnlich wird bim SJU am ehrewerte Schwiizer Chartesport gfrönt hüt (oder morn, au da hani nöd ufpasst). Bonne chance. 
Alles anderä isch mer nüme so present, aber irgendöppis mit dä Olma, dä unfaire Behandlig vo Appezeller Säuli, und es paar Gurkä/Legendä (je nach Blickwinkel) wo Golf über 2000km gspielt händ isch au na besprochä wordä. Und chan bitte öpper luege wie alt d’Greta isch, falls under 18i hät dä PKN villicht bald Ärger mitem Gsetz. 
Somit äs schöns Weekend, macheds guet
MSO/MST (Nr.  7)
- Hauptstatistiker (wenn er si dänn verschickt, scho 5 Mal in Folge am Fritig, eifach unfassbar, immer am Bière trinkä i dä Flachpassbar) 
- Vize-Präsident
- Vize-Iladigsversänder
- Selbsternannte Frauebeuftragtä von DF. Update: Ä gsetzlichi Frauequotä wird nöd implementiert, aber es wird äm Verein nahegleit ä freiwilligi Quote z’berücksichtigä (wo nöd gmacht wird, us Prinzip, wenn öpper/öppsie/öppes guet gnueg isch wird er/sie/es scho ufgnoh)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Highest donation count in DF history (CHF 25.00)
- Creator of longest signature in DF history (02.09.2019)
- Most Radio 200’000 references in any DF communication (18.10.2019; 2 references)
All the statements above about the supreme leader have been evaluated by a dedicated excel professional, and are in fact correct
</t>
  </si>
  <si>
    <t xml:space="preserve">Freunde des Donners
Wie fascht jedi Wuchä gits hüt wieder mal äs grossartigs Update zum legendäre Dönerfritig, und was so alles glaberet worde isch. 
Dä PKN häts grad na so gschafft, sich us sich Chundemeeting dävozschlichä und am 12:15 im Safran azcho. Dä JWU isch da weniger genau gsi, und hät sich somit dä erschti LI vom DF-Kalenderjahr 2018/19(villicht 20) gsicheret. Gratulation a dere Stell. 
Er hät sich dänn aber grad wieder mit unqualifizierte Ussage is Abseits gstellt, nämlich mit dä Ischätzig dass dä Johann M. die alti Verteidigergranatä dä wichtigschti Spieler vo dä Liga seg, und dass dä EVZ i dä nächschtä Jahr eh kein Titel holt und somit das Geld lieber spared. Was natürlich nöd stimmt, wie mir alli wüssed. #Meischter 2020-2030 (mindeschtens). Dä JWU isch aber nanig fertig gsi, und hät eus ä tragischi Gschicht verzellt vom nä Schlagafall am Arbeitsplatz vom R.C. (Name der Redaktion bekannt, aber scho wieder vergesse). Leider isch das aber scho z’erwarte gsi, da dä Herr doch vor allem mit sinere Konsumation vo Alkohol, Zigarettä und 4 Mayonäääsbrötli pro Tag (und nüt anderem) ufgfalle isch, was dänn in ä churzi Diskussion abdrifted isch was mer mit so lüüt söll mache. Quintessenz: di Schwache chlöpfts. 
Ganz churz isch na dä Ufruef cho dass Safran sich gfälligscht mal än richtige Stammtisch für eus söll zuetue mit passender Flagge, insbesondere well gwüssi Legendä hüt scho mit offiziellem DF Liibli und Pin erschiene sind (grossartig gmacht vom MSO/MST, Nr. 7). 
Dä PKN plant äs chlises Reisli mit äm Jinderletscht und es paar andere Gurkä gen Italien (hehehe), genauer gseit uf Torino. Han nöd ufpasst was genau dete passiert, aber es wird äs Spiel gchlöpft. Dä JWU wär au mal än Teil vo dem gsi, aber er gaht jetzt doch lieber uf Brazil, und übernimmt grad zwei Drogäkartell, um sich dänn mit dem in Sao Paolo azlegä (Codename El Choco). Er hät scho ä Vorussag gwagt dass er am Mittwoch scho im Blick erschiint als «Schwiizer Antwort uf dä Drogechrieg», und am nächschtä Sunntig durchlöcheret vo Pischtolechuglä. Darum au sini Bitt, d’Statutä so azpasse, dass alli DF Mitglieder wo im Drogechrieg sterbed a jedem DF än Aweseheitspunkt überchömed. Findi eigentlich nur fair, und mir wünsched gutes Gelingen. 
Ich wünsche es schöns Weekend, und bis nächscht Wuchä wenns wieder heisst: 1 Pide mit Kebabfleisch, 1 Dürüm mit allem und Cocktail-Sauce, 1 Donnerbox ohni Zwieble und Tomatä (also nur Salat). 
MSO/MST (Nr.  7)
- Hauptstatistiker (wenn er si dänn verschickt, wieder zrugg us äm Nordoschtä, und so schnell wie wänn er nie weg gsi wer) 
- Vize-Präsident
- Vize-Iladigsversänder
- Selbsternannte Frauebeuftragtä von DF. Update: Ä gsetzlichi Frauequotä wird nöd implementiert, aber es wird äm Verein nahegleit ä freiwilligi Quote z’berücksichtigä (wo nöd gmacht wird, us Prinzip, wenn öpper/öppsie/öppes guet gnueg isch wird er/sie/es scho ufgnoh)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Highest donation count in DF history (CHF 25.00)
- Creator of longest signature in DF history (02.09.2019)
- Most Radio 200’000 references in any DF communication (18.10.2019; 2 references)
All the statements above about the supreme leader have been evaluated by a dedicated excel professional, and are in fact correct
</t>
  </si>
  <si>
    <t xml:space="preserve">Guete Tag mini Herre und und JWUsos, 
Ich freu mich die Wuche bald abzschlüsse, und was gits schöners als än Pide / Dürüum mit oder ohni Wasser zgnüsse und dänn dä grossartig Bricht zläse. Voll geil, und vill Spass:
Ich bin als einzige da gsi am Donner schnabulierä, und han au äs Bewiisfoti gmacht, aber leider sind es paar Hooligans cho und händ mi zwunge s’Foti wieder z’löschä. Si händ mi usserdem gfolteret mit schwerem Rauch, wie damals dä klei Eric Wääber vo Basel. 
Aber Spass beiseite, ich bin hüt natürlich nöd ällei gsi, und weiss wieder mal nüme alles was so diskutiert worde isch. Jänu. 
Dä SJU sch wieder mal uf dä letschti Drücker uftaucht, und hät ganz gekonnt sin LI verhinderä chönne. Isch aber au schwieriger wänn mer sini Akunft nöd so genau chan bestimme, mitem Velo isches hald scho na eifacher als mit dem verflixtä ÖV. Das findet au dä MSO/MST, wo ebefalls nöd hät chönne abedüse mit sim Flitzer. 
Das hät ä wunderbari Diskussion usglöst wie mer di andere Mitglieder chönnti hinder sLiecht füehre (for our readers in London: how to beat somebody in the pan), und säge mer chunnt nöd und dänn chunnt mer glich. Natürlich ufd Choschtä vom nä LIFO, aber däfür hät mer die sehr begehrte DF Partizipationspünkt und die ganzi Ehre grad na gratis däzuä. Der langen Rede langer Sinn: Ich finds schön dass dä Vereinsspirit vom zäme Esse so schön glebt wird, und dass alli lieber ällei am Kebi esse währed, wänns nur am meischtä Pünkt überchömed. Isch doch wunderbar.
Suscht weissi leider nüme meh, wie am Afang erwähnt. Drum jetzt ä chlises Summary:
• Dä PKN isch mit sim Wüsse über Canabis- und Whyskyburger am blöffe gsi, und freut sich uf sini Reis uf Riga.
• Dä SJU hät mit Räuberpistolä nur so um sich gworfä, woner die Reis vom Jinderletscht wiedergeh hät, obwohl dä PKN wo ja däbi gsi isch grad näbeddra ghockt isch. Höchscht amüsant. Aber angeblich segs äs riese Fiasko gsi, aber so isch Läbe. 
• Dä MSO/MST hät wieder mal es paar dummi Sprüch uselah, was au nöd überraschend isch. Trotzdem hät mindeschtens immer eine drüber glacht (also er selber), und das isch doch dHauptsach. 
Sex drum, und ich wünsche eu allne es schöns Weekend. 
MSO/MST (Nr.  7)
- Hauptstatistiker (wenn er si dänn verschickt, hüt chli verspätet well Tram verpasst, und han glich mal na öppis ztue gha #bittère) 
- Vize-Präsident
- Vize-Iladigsversänder
- Selbsternannte Frauebeuftragtä von DF. Update: Ä gsetzlichi Frauequotä wird nöd implementiert, aber es wird äm Verein nahegleit ä freiwilligi Quote z’berücksichtigä (wo nöd gmacht wird, us Prinzip, wenn öpper/öppsie/öppes guet gnueg isch wird er/sie/es scho ufgnoh)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Highest donation count in DF history (CHF 25.00)
- Creator of longest signature in DF history (02.09.2019)
- Most Radio 200’000 references in any DF communication (18.10.2019; 2 references)
All the statements above about the supreme leader have been evaluated by a dedicated excel professional, and are in fact correct
</t>
  </si>
  <si>
    <t xml:space="preserve">Werti Mitglieder und Quasi-Mitglieder, 
Leider bin ich am Fritig nüme däzue cho, die legenderä DF Stats usezschickä, und sit am Mäntig häts leider au nie klappt. Schande über mich und mini Familie, aber immerhin gits grad zwei hoffentlich unterhaltsami Nachrichtä innerhalb vo 24 Stund. Immer luege uf di helli Siitä vom Lebe. 
Dä Start in DF isch meh als harzig gsi, und die Wuche bini würklich (ich schwöre) ganz ällei im Safran ghockt. Allerdings händ sich dä SJU und JWU via DF Chat doch na agmeldet, obwohl ich natürlich liebend gern än guete LIFO izoge hett um endlich mini miserabli Fiskaljahresbilanz 2019 chli ufzbesserä. Churz nach minere Akunft häts än Asturm geh wo dä alti Donnerladä na nie gseh hät, und öppe 30 Tourischtä sind inespaziert und händ mi so steihässig gmacht wie nüme sit mer im Klub in Zagreb s’Liecht agstellt und eus effektiv usebrüglet hät. Nach heroischem Kampf um Tisch und Stüehl isch dänn dä JWU uftaucht, allerdings scho nach dä berüchtigte LI-Grenze vom 12:16. Nach chli Smalltalk über die enttüschend Leischtig vom JWU in Brazil (2 Drogekartell überneh, im Drogechrieg sterbe agseit, 2 Drogekartell übernoh, Differenz vill) isch dänn au na dä SJU itrudlet, und hät ganz grossi Augä gmacht (er hät ja scho sehr grossi Auge) über dBeliebtheit vo dere Spelunkä. Au er hät sich mit mä LI chönne uszeichnä. 
Er suecht grad ä Wohnig mit sim Schatz, und dä JWU hät sich natürlich grad um dWohnig vom SJU beworbä, obwohl (oder grad well) er gemäss eigener Ussag jedi Sekunde i dere Wohnig am liide gsi seg. Tönt nach vill Spass, obwohl dErika natürlich masslos enttüscht wär, und mir au. Eeeeerikaaaa. 
Suscht chani mi leider nüme a vill erinnerä, dasmal wells so lang her isch, aber da na zwei chlini Leckerbisse, zumindescht us dä Sicht vom MSO/MST: 
• Dä grande PKN isch endlich mal nöd cho, und hät drum sini Chance uf dä All-Time Record in DF Visits wohl ufgeh (Partizipationsrate vom MSO/MST wird wohl nie meh ufgholt). Man dankt. 
• Dä no granderer JWU isch am Mittwoch Abig i dä Unterfüehrig vo dä Saalsporthalle gsichtet wordä, wie er sich uf dä Weg zum Coiffeur gmacht hät um sini neu Hooligan-Frisur z’erneuerä. Man freut sich darauf. 
Vill Spass und bis zur Nachricht, wo hoffentlich morn Namitag chunnt, suscht wäri sehr enttüscht vo mir. 
MSO/MST (Nr.  7)
- Hauptstatistiker (wenn er si dänn verschickt, die Wuche skandalöserwiis erscht jetzt. Ich gelobe Besserung) 
- Vize-Präsident
- Vize-Iladigsversänder
- Selbsternannte Frauebeuftragtä von DF. Update: Ä gsetzlichi Frauequotä wird nöd implementiert, aber es wird äm Verein nahegleit ä freiwilligi Quote z’berücksichtigä (wo nöd gmacht wird, us Prinzip, wenn öpper/öppsie/öppes guet gnueg isch wird er/sie/es scho ufgnoh)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Highest donation count in DF history (CHF 25.00)
- Creator of longest signature in DF history (02.09.2019)
- Most Radio 200’000 references in any DF communication (18.10.2019; 2 references)
All the statements above about the supreme leader have been evaluated by a dedicated excel professional, and are in fact correct
</t>
  </si>
  <si>
    <t xml:space="preserve">Guete Tag liebi Kebabfründe,
Es git es Update, scho wieder. Wie akündet bini dasmal nöd zspat, und uf los gahts los. 
Los
Hüt häts dä MSO/MST fascht verwütscht mit mä LI, aber well er wiä dä Tüüfel abedüüst isch vom Uetlihof 2 hät ers doch na knapp gschafft. Er hät aber nach eigenä Ussage mindeschtens 5 Verkehrsreglä brochä mit sim Velo, was ä Diskussion lostrette wie mer dä Polizei will erkläre, dass mer doch scho vom DF ä LI-Buess erwartet, und drum kei Verkehrsbuess sött übercho. Oder ob mer kei Buess überchunnt, wänn mer feschtgnoh wird, und dänn mit ere offizielle Bestätigung chunnt dass mer verhinderet gsi isch (nöd behinderet). Wär sicherlich amüsant zum erkläre warum mer jetzt die Bestätigung brucht, aber wänns eine schafft wär das sicherlich ä Abstimmig wert. 
Topic of the day isch wieder mal d’Wohnigssuechi gsi, und mer isch sich nöd einig gsi ob mer meh als 1 Wohnig in Züri chan mietä. Hitzig isch diskutiert wordä, und dä JWU hät (minere Meinig na zurecht) gseit was wänn er als Künschtler äs Atelier brucht i dä gliche Stadt? Es durchus realistischs Bispiil, wänn öpper meh weiss bitte melde. 
Und wiiter gahts. Dä JWU hät afange blöffe dass er hüt i sones Lokal gaht mit dä Tamedia go Wiehnachtsesse fiire, und hät druf bestandä dass es nöd so wichtig isch, bim Esse hocke zchöne. Trotz dere gwagte Ussag hät sich dä JWU na wiiter ufs Glattiis gwagt, und gfragt ob dCS amigs au äs Wiehnachtsfescht mit allne CS Mitarbeiter zäme macht. Villicht wänn dCS wieder ä gueti Bank isch. Also nie meh. 
Au dä PKN isch da gsi, leider chli am chränkle, und na leiderer ischer trotzdem an DF cho. Mir wünsched gueti Besserig, und leged ihm nah, nächscht mal lieber dihei zblibe. Trotzdem hät er eus vo sinere Wiehnachtsparty verzellt, wo sich dä Lehrling/Praktikant wo grad neu agfange hät härt abgschosse hät. Chapeau. Und dänn hät mer na chli umeblöfft und sich gstrite ob dKronehalle jetzt äs guets oder massiv übertürets Restaurant seg. 
Das sött au gnueg si für hüt, und mir hoffed alli dass dä SJU endlich euse Quo Vadis Flüg uf London buecht. Schöne Hinnich, und guets Wuchenend
MSO/MST (Nr.  7)
- Hauptstatistiker (wenn er si dänn verschickt: Ein Mann von Wort) 
- Vize-Präsident
- Vize-Iladigsversänder
- Selbsternannte Frauebeuftragtä von DF. Update: Ä gsetzlichi Frauequotä wird nöd implementiert, aber es wird äm Verein nahegleit ä freiwilligi Quote z’berücksichtigä (wo nöd gmacht wird, us Prinzip, wenn öpper/öppsie/öppes guet gnueg isch wird er/sie/es scho ufgnoh)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Highest donation count in DF history (CHF 25.00)
- Creator of longest signature in DF history (02.09.2019)
- Most Radio 200’000 references in any DF communication (18.10.2019; 2 references)
All the statements above about the supreme leader have been evaluated by a dedicated excel professional, and are in fact correct
</t>
  </si>
  <si>
    <t xml:space="preserve">Morgä mitenand. 
Es isch eu ä grossi Ehr, die letscht Nachricht vom Hauptstatistiker das Jahr (aber nöd vom DF Fiskaljahr) z’empfange. Glichzitig möcht ich mich für mis Versäumnis entschuldige, d’Stats vo letscht Wuche zverschicke. Glücklicherwiis händ mir än Präsident wo sich um sini Schäfli und Chnächtli kümmeret, und als Vize-Statistiker alles zämehebed. So, gnueg umegsäuslet, jetzt gahts los. 
Dä MSO/MST isch wieder mal ganz knapp am nä Li verbizischt, und chum isch er abghockt sind scho Pischtole uspackt wordä. Angeblich häts dä Ebito Ebito in Madagaskar uf äm WC zämegleit, und dä Jinderletscht hät än müese mit Schimpf und Schand und mä Boot zum nächschtä Medizinmaa bringä. Isch grad namal guet gange, aber di Schwache chlöpfts ebä mängisch. Mit grosser Entrüschtig isch s’Schlimmschtä itroffe, und die einzig guet Bedienig vom Safran isch im Mueterschaftsurlaub. Ihri Schwöschter (aka ihri Muetter) hät trotz ihrere suschtige Unfähigkeit alli Bstellige richtig usghändiget, und nur d’Sauce und s’Scharf vergesse. Trotzdem isch die alti Idee wieder ufcho, mit ere vordrucktä Bstellig ufzchrüze, dämit si au ja nüt falsch mache chan. 
Dä PKN hät eus dänn na gseit dass nur di koolschtä keis Whatsapp Bild händ, so wiä dä Mark. Oder die wo kei (richtigi) Ämtli im DF händ, nöd so wie dä JWU wo ja immer Zämefassige schribt und dStats verschickt. Danke JWU. Es wird gmunklet dass dä YMI in London unbedingt is Restaurant vo dem Typ will gah wo sini Spiise so elegant mit Salz bestreut (wird au Salt Bae gnennt), und sis goldige Steak für nume 500 CHF/EUR/GBP wär sicherlich es wunderbars Schmankerl. Oder lieber 100 Bière im nä Pöb go chlöpfe? Quatorze Tequilas? Es blibt spannend. 
Zum Abschluss isch na d’Bièrechreistour Vol. III besproche worde, und alli händ blöfft wie vill sie selber (und wie wenig alli andere) trunkä händ letscht Mal. Wird sicher nöd so läss ohni dä MSO/MST, aber wer weiss. 
Und somit wünsche eu än schöne Hinnich, gueti Festtäg, äm PKN äs wunderbars Reisli uf Riga (pass uf wege dä grosse Entepopulation), äs guet Neus, und bis im Jänner in London. Oder scho vorher, wänn dä grande MSO/MST zrugg i dä Schwiiz isch, und än Donner chlöpft. 
GGG
MSO/MST (Nr.  7)
- Hauptstatistiker (wenn er si dänn verschickt: ich gseh än miserablè Trend, hoffe aber dass ich mich da wieder chan steigere. Staht alles im MyPerformance) 
- Vize-Präsident
- Vize-Iladigsversänder
- Selbsternannte Frauebeuftragtä von DF. Update: keis Update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Highest donation count in DF history (CHF 25.00)
- Creator of longest signature in DF history (02.09.2019)
- Most Radio 200’000 references in any DF communication (18.10.2019; 2 references)
All the statements above about the supreme leader have been evaluated by a dedicated excel professional, and are in fact correct
</t>
  </si>
  <si>
    <t xml:space="preserve">Grüezi mitenand
Luut minere Prognose knackemer d'1000er-Marke leider knapp NÖD.
Prognostizierti CHF 991.75 lönd sich aber au gseh!
LG
Säschi
Infos zur Grafik
Balke links: DF Stats per heute
Balke rechts: DF Stats Prognose bis DF Quo Vadis
Datenquellen: DF Stats, Safran Kebap, 99, eigene Recherchen
Bildquellen: DF Stats, socialbakers.com, Symposium St. Gallen
</t>
  </si>
  <si>
    <t xml:space="preserve">Grüezi mitenand
Wie sich's für en richtige Ökonom ghört, wird dPrognose vo letscht Mal scho wider revidiert:
Prognose alt: CHF 991.75
Prognose neu: CHF 969.75
Zudem sind dDF Stats agriichered mit Logos, z.B. Gurkene – und neue Stats, wie z.B. die unde/im Ahang. Afrage für wiiteri Uswärtige chönd abracht werde under:
requests@dfstats.ch.vu
Protokoll in Kürze:
Sit Langem wider mal sind meh Ehregäst awesend gsi als Kern-Mitglieder. z.B. de Ebli, de Jinny-Boy und dSophia. Service wie immer überragend.
Gspröchsthema mehrheitlich dErika und de gestrig Namittag/Abig im Calvados mit em entsprechende Ziitigsartikel:
https://www.tagesanzeiger.ch/zuerich/stadt/panettone-und-spiele/story/14346702
Shabbat Shalom und en guete Rutsch
Säschi
Abb. 1: Partizipationsrate über die Zeit
Abb. 2: Durchschnittlich Anz. anwesender (Kern-)Mitglieder
</t>
  </si>
  <si>
    <t xml:space="preserve">Hoi zäme, und willkomme zum Endi vom 4. DF Fiskaljahr, 5. Kalenderjahr und dä 2. Dekade wos dä DF git. Wahnsinn. 
Ich bin zrugg us äm neue Seeland, und möcht mich da ganz herzlich a mim Vize-Statistiker SJU für die präzis Statistiksfüehrig und die wunderbare Grafike bedanke. Sehr schön. Und na äs fründlichs figgdihärt an CBO, wo zwar keis aktivs Ämtli hät, däfür mit sine 4.3% Partizipationsrate glänzt, das Jahr ganzi 0.9 Prozentpünkt meh hät als letschts Fiskaljahr, und trotzdem dä all-time König vom DF (siehe Symbol vom MSO/MST) dumm amacht wänn er nach sine wohlverdiente Ferie am Mäntig Morgä d’Stats nanig gschickt hät. Danke  Und wämmer scho am bäshe sind, bald chunnt wieder dä einzig Tag im DF-Fiskaljahr wo die beide Herre PKN und YMI öppis für dä Verein mached. So schön. Dennoch möcht ich am PKN gratuliere zum erschtä Chrönli sit äm Fiskaljahr 2016 wo nöd am MSO/MST gaht. 
Am Fritig hät sich wieder alles wo Rang und Name hät im Safran troffe, und dä Jinderletscht. Und dä Schoggi. Grundsätzlich hät sich nüt g’änderet, alli sind am blöffe, und alli sind enttüscht wänn öpper doch na chunnt. 
D’Vorfreud uf London isch riesig, und mer hät gwerweisst was die zwei Langziitabwesende YMI und CBO alles so vorbereitet händ. Alli hoffed uf ä prima Präsentation, vill Bière und Tequilas, und dass sich niemert übernimmt mit äm Onkel Alkohol, nöd wie Anno 2018.
Zrugg zum blöffe. Es hät sich äs übels Bättle abzeichnet, wär jetzt dä einzig wahri Neuseeländer isch: 
I dä lingge Egge, dä MSO/MST (steihässig dass er i dä lingge Egge isch), wo z’letscht dunne gsi isch, und vo dä Maori (Uuuuriwohner, Anmerkung der Redaktion) zum nä Haka ufgforderet worde isch
I dä rechte Egge, dä PKN, wo angeblich scho es paar Mal dete gsi isch, und behauptet, än neuseeländische Pass zha. 
Dä JWU hät es paar stei grüehrt, und gseit dä MSO/MST seg dä einzig Neuseeländer, und dä Rescht häts eigentlich nöd so kümmeret. Dä glichi JWU hät au na vo sinere Winterreis in hochä Nordä vo Tromsöö (oder so ähnlich) verzellt, woner mit sinere Asiä-Affaire absolviert hät. Leider sind di meischte Aktivitäte wege schlechtem Wetter gstriche worde, aber das hät dä JWU na nie dävo abghalte, ganz ä tolli Ziit zha. 
Dä PKN isch mitem YMI in Riga und Tallinn gsi, und hät zwar kei übergrossi Entepopulation gsichtet, aber än Unterschied vo dä Tourischte gmerkt (Tallinn hä meh). Es seg chalt und dunkel gsi, was dä MSO/MST bestätige chan, und mer hät für alli Restaurant müese reserviere. 
Dä SJU isch leider chli under äm Wetter gsi, und mir wünsched ihm gueti Besserig. 
Dä Jinderletscht… isch au dete gsi. 
Somit ä frohi Wuche bim Skifahre, und mer gseht sich am DF oder a dä Chlöpfete Vadis. Vergessed eui Shirts und Pins nöd, suscht gits ä Buess.
MSO/MST (Nr.  7)
- Hauptstatistiker (wenn er si dänn verschickt: ab hüt wieder pünktlich, isch eine vo mine Vorsätz) 
- Vize-Präsident
- Vize-Iladigsversänder
- Selbsternannte Frauebeuftragtä von DF. Update: keis Update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Highest donation count in DF history (CHF 25.00)
- Creator of longest signature in DF history (02.09.2019)
- Most Radio 200’000 references in any DF communication (18.10.2019; 2 references)
All the statements above about the supreme leader have been evaluated by a dedicated excel professional, and are in fact correct 
</t>
  </si>
  <si>
    <t xml:space="preserve">Liebi Mitglieder vom ehrevollschtä Verein wos jeh häts gits. 
Ich freu mi usserordentlich, di letscht Statistik vom 4. DF Fiskaljahr zverschicke. Alli lesenswerte Nummere und Kennzahle sind ja bereits im Excel ersichtlich, inklusive grossartige Grafike, also gang ich jetzt nöd wiiter gross druf i. Ussert euses rekortverdächtige Vereinsvermöge, zimmli starch.
Hüt händ sich d’Ereignis überschlage. Bim Itreffe vom MSO/MST (12:12) hät sich usegstellt, dass än Ersatz für die Jung Tochter/Schwöschter von ä unfähige Bedienig igstellt worde isch. Das wird später na relevant. 
Dä PKN isch scho dete gsi mitem Ebito Ebito als Ehregascht, und ein Blick hät glanget zum bestätige dass da öppis nöd ganz stimmt. Dä Häärlidieb hät zuegschlage, und dä PKN isch sit langem mal wieder aständig unterwegs, zumindescht wänns nach sim Swiss Partners Chef gaht. Allerdings gseht er doch na so us wie uf dä offizielle Swisspartners Internjetsiitä. Sehr beidruckend. 
Und wiiter gahts. Dä SJU isch am 12:14 ineplatzt, liecht am perspirierä, und er isch dänn glich namal use um sis Velo abzschlüsse, ohni än LI zkassierä. Allerdings wärs än Itrag id DF-Gschichtsbüecher wert gsi, wänner nüme use wär, und dänn sis Velo klaut wordä wär. Schön hät alles äs guets Endi gnoh, obwohl angeblich Velodieb ihres Unwese triebed in Züri. Da die andere zwei Gurkä scho bstellt händ, aber dä PKN gar nüm so Luscht ufen Pide gha hät, sind er und dä MSO/MST än sogenannte Pide-Donner-Swap igange, und dä PKN hät dänn bi dä neue Bedienig (zu ihrere Verwirrig) namal bstellt (Donner ohni Zwieble und ohni Tomate). Nachdem sin Dürüm (ohni Wasser) dänn endlich cho isch, hät sich zu sim Erschreckä usegstellt, dass es sowohl Zwieble als au Tomate dine gha hät. Das hät zum Novum gfühert dass dä PKN sin Dürüm umtusche lah hät, obwohl di neu Bedienig gseit hät es seg besser mit Zwieble. Dä Ersatzkebab hät dänn däfür ganz vill Mais dine gha. 
Dä SJU hät sich guet erholt vo sinere Chrankheit, und isch frisch und munter vom Skifahre zruggcho. Bi sim Kebab hät alles gstumme, ussert dass er kei Sauce dine hät welle, was für mich doch sehr gspässig isch. Er hät dänn na blöfft wie er sich ganz fuxig und schnell für ä Wohnig im Tiergarte beworbe hät, wo aber nur 90 Quadratmeter hät. Es isch dänn na es dunkels Gheimnis usecho, nämlich dass dä MSO/MST i sinere Chindheit au scho mal im Tiergarte glebt hät, und dass er in St. Galle gebore isch. Bittère. 
Suscht freut mer sich ufs Quo Vadis, isch zwar chli enttüscht dass es jetzt offesichtlich nöd an Ishockey Match vo dä London Ice Knights gaht, aber grundsätzlich sind alli frohen Mutes. 
Somit äs herzlichs Dankeschön a alli wo so zahlrich erschiene sind das Fiskaljahr, und a alli wo so grosszügig mit ihrem Fehle eusi Kasse fülled. Petri heil, und bis bald
MSO/MST (Nr.  7)
- Hauptstatistiker (wenn er si dänn verschickt: rekordverdächtig früeh am 13:20 verschickt) 
- Vize-Präsident
- Vize-Iladigsversänder
- Selbsternannte Frauebeuftragtä von DF. Update: keis Update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Highest donation count in DF history (CHF 25.00)
- Creator of longest signature in DF history (02.09.2019)
- Most Radio 200’000 references in any DF communication (18.10.2019; 2 references)
All the statements above about the supreme leader have been evaluated by a dedicated excel professional, and are in fact correct 
</t>
  </si>
  <si>
    <t xml:space="preserve">Liebi Mitglieder und anderi Gurkä, 
Willkomme im 5. DF-Fiskaljahr. Nach dä turbulente Events vom Quo Vadis wo au als Chlöpfete aneghebet hät, zeigt sich ä gwüssi Tendenz wo entweder d’Uflösig vom Verein gforderet wird (siehe letschti Chlöpfete), dur Diskussione zu Strafbiiträäg vo dä zwei mit äm Sonderstatus so gstritte wird dass dä DF fascht ufglöst wird (siehe vorletschti Chlöpfete), oder wie in Londres, wo dur das heldehafte Versteckspiel vo einzelne Schueh zwei Mitglieder so hässig gsi sind dass si sich atrötzled und s’Wohlergehä vom ganze Verein gfährded händ. Wie dä Amateur vom Tele Züri mal gseit hät wo dä grande Ueli Maurer us sim Interview usegloffe isch: Findi schwach Herr Maurer. 
Aber se(x)gs drum, mir händ alles erlebt (Stoleschüss) und überlebt, und sind nur na stärcher als vorher. Ussert die wo nöd stärcher sind, die sind schwächer (siehe Jinderletscht). Und es git ä neui Statistik, han di letschtjährig na versteckt i dä Täääbs falls sich öpper wunderet. 
Hüt isch dä DF Core wieder mal friedlich am schnabulierä gsi, und es hät nur so donneret und gchlöpft. Schnell isch klar worde, dass d’Vorfreud ufs neue Fiskaljahr riesig isch, well 3 vo 4 Mitglieder vorem 12:11 und dä SJU nur churz nach dem Ziitpunkt itroffe isch. Kommentar SJU: Mis Ghirn isch igfrorä. Ja bravo. 
Es hät dä eint oder ander Nadelstich geh wägem DFQV, aber suscht isch alles friedlich underwägs gsi. Süd Afrique isch äs Thema gsi, well dä SJU eus jetzt mit sinere Abweseheit än guete Huni id Kasse spüehlt, und mer hät sich im Kollektiv sehr ungläubig d’Auge gribe über eusi wiibliche Gegeteil wo immer 1000 Kleidigsstück bruched für 2 Täg Ferie. Wahnsinn. Di neu Chellnerin isch immer na da, und arrogant / selbschtsicher wie eh und jeh. Isch au alles cho wie bstellt, ussert dass alli Donner mit dä falsche Sauce cho sind. Jänu. 
Es isch na churz über die ville Ämtli gredet worde, und dä SJU hät sich gwunderet was passiere würd mit sim Pokal (dä i dä Statistik) wänn er us- und wieder itritt, ob er än därf bhalte aber ä Gurkä überchunnt, oder ob er sis achievement entchieft und mer sind Pokal wegnehmed. Hoffentlich müemer eus über dä fall nie Gedanke mache. Und dä sogenannti LILA (Last in last Aout) isch na vorgschlage wordä, aber mir rated am PKN sini Englischkenntniss zverbessere bevor er da so muetigi Aträg stellt. 
Als Abschluss na es paar Afrage a diversi/alli Mitglieder (Ufzgi werded kontrolliert nächscht Fritig, ussert dä SJU wo angeblich kei Mails chan läse): 
• SJU: Bitte all Formle im «graph» Tab apasse, weiss nöd was du da genau gmacht häsch, bin nöd so än Excelfux wiä du. Dangge tausig
• YMI: Bitte bestätige wie gross eusi Kapitalreserve sind (falls vorhande) und äm Statistiker mitteile, dämit er sini Statistik au richtig chan nafüehre. Und dä Hebel mal chlöpfe uf Tesla. Merci mille
• JWU: Bitte säge wänn eusi DF-Homepage endlich staht. Und schick mal na d’Zämefassig vom Quo Vadis. Grazi millano
• CBO: Bitte luege ob na all dini Schueh vollständig sind. Grazia fitg diesch tschient (hehehe)
• PKN: Bitte mal fehle, um z’zeige dass s’letschte Fiskaljahr än klare Outlier gsi isch. Gracias mil
• MSO/MST: Bitte so blibe wied bisch, eifach grossartig
• ALLI: Bitte 50 CHF überwiese an YMI falls nanig gmacht, dass er dä Melon Usk ändlich mal chan go shortä
Apassige i minere legenderä Signatur wie immer in Gelb
MSO/MST (Nr.  7)
- Hauptstatistiker (wenn er si dänn verschickt: er verschickt) 
- Vize-Präsident (selbsternannt, aber bim DFQV bestätigt)
- Vize-Iladigsversänder
- Selbsternannte Frauebeuftragtä von DF. Update: Villicht wärs gar nöd so schlecht mal ä wiiblichs Mitglied zha, um so chindischs Verhalte izdämme mit dä Diversität und all dem Zügs.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Landner diä Rattä
- Creator of longest signature in DF history (02.09.2019)
- Most Radio 200’000 references in any DF communication (18.10.2019; 2 references)
All the statements above about the supreme leader have been evaluated by a dedicated excel professional, and are in fact correct 
</t>
  </si>
  <si>
    <t xml:space="preserve">Hallo, willkomme zum wüchentliche Update vom DF.
Zerscht gits mal ä chlini Scheltä a alli wo ihri Ufgabe nöd gmacht händ (und bsunders a alli wo ihri 50 Höger nanig an YMI überwiese händ, oder nöd mal gwüsst händ dass mer das muss mache):
• SJU: Isch i dä Ferie (danke fürs Bild und dass mer dich uf dem Bild fascht nöd gseht). Excused
• YMI: Betrag isch mitteilt, Hebel chan erscht gchlöpft werde wänn alli ihre Cäsch überwiese händ. Top 
• JWU: Homepage isch da, weiss aber nöd ob das au dä DFQV-Vorgabe entspricht. Zämefassig vom DFQV nanig gschickt. Knapp ungenügend
• CBO: Schueh sind anschinend vollständig, Top
• PKN: Grandios gscheiteret weller glich cho isch, aber villicht fehlt er nächscht mal. Klar ungenügend. 
• MSO/MST: Hät gar kei Ufzgi gha, drum hätter automatisch au nöd bestandä. Sehr schwach, Note 1
So jetzt chömmemer zum eigentliche DF. Bevor dä JWU mit 10 Minute Verspätig und äm erschtä LI im neue Fiskaljahr itroffe isch, hät dä PKN dä neue Bedienig grad mal dä Tarif duregeh und ihre gseit er erwartet dänn scho dass sie bald mal eusi Bstellige uswändig kennt. Zimmli starch, weiss aber nöd ob sie das so ernscht gnoh hät, sie isch mängisch zimmli arrogant. Aber sie cha sichs ja au erlaube, wie dä Roger damals woner na dNummere 1 gsi isch gseit hät: es git dä Bescht und dä Rescht. Voila. Dä PKN hät dänn agfange umeträume vom nä Stammtisch und hät über exorbitanti Trinkgelder und anders Gschmäus gschwaflet, während dä MSO/MST sich über sini Problem i sinere neue Wohnig beklagt hät (wo jetzt endlich glöst sind, danke der Nachfrage). Und dänn isch zum Glück dä JWU cho, bravo. 
Di ganz Diskussion isch chli lockerer worde und hät sich dänn natürlich äm Sport gwidmet und dä herrlich Uftritt vo dä Cote d’Ivoire (Statement PKN: so ä Farce) isch heiss diskutiert wordä. Jede hät blöfft wie er di ganz Mannschaft vo Afrique au selber gschlage hetti, und dä JWU hät mit sim Wüsse uftrumpft und behauptet dass alli Spiel gäge afrikanischi Mannschafte eifach nöd zelled (weiss nöd ob das stimmt, wär aber zimmli legendär). Das isch hald wänn d’Hälfti vo dä Mannschaft keis Visum überchunnt. 
Dä JWU gaht nächscht Wuche go brügle, glaubs uf Tampere, han nöd so genau zueglost, und wänn dä PKN wie agseit villicht äs Gschäftsmittagesse hät, wär dä MSO/MST endlich wieder mal dä strahlend Leader vom nä Fiskaljahr (sowohl i dä Partizipationspünkt/-Rate als au i dä LIFO Statistik). Dä rescht laht sich mit wenige Wort zämefasse: American Football und Awält. Wär nöd däbi gsi isch hät hald nöd chönne mitlache. 
Danke für die wo ihri Ufzgi gmacht händ, und namal Schande über die wos nöd fertigbracht händ. 
Grüss Gott
MSO/MST (Nr.  7)
- Hauptstatistiker (wenn er si dänn verschickt: er verschickt und verschickt) 
- Vize-Präsident (selbsternannt, aber bim DFQV bestätigt)
- Vize-Iladigsversänder (momentan sehr aktiv i dem Bereich)
- Selbsternannte Frauebeuftragtä von DF. Update: Villicht wärs gar nöd so schlecht mal ä wiiblichs Mitglied zha, um so chindischs Verhalte izdämme mit dä Diversität und all dem Zügs.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All the statements above about the supreme leader have been evaluated by a dedicated excel professional, and are in fact correct 
</t>
  </si>
  <si>
    <t xml:space="preserve">Guete Namittag, 
Ich bin so Stei-glücklich und trurig gsi wo dä PKN für dä hütig DF zuegseit hät. Diä neu Bedienig hät sich erlaubt es paar Gott-Stei zrüehre wo mer grad än Tisch gfunde händ, und gseit mir heged s’erscht mal da än Tisch. Die Gurkä, als ob sie scho immer da gsi wär. Glücklicherwiis hät dä Onkel Schicksal grad zuegschlage und si hät ihri Cocktailsauce ghei lah. Statement MSO/MST: hehehe
S’romantische Dejeunér isch i vollem Gang gsi und trotzdem sind d’Funke nöd so gfloge, vor allem well dä MSO/MST Gott-Stei trurig gsi isch dass dä TiTj hüt abgsaget worde isch. Es isch än rabeschwarzä Tag für dGS CS, was mer au a dä Finanzmärkt gseht (Stand jetzt: isch gar nüme so schlimm). Suscht sind na es paar anderi Topics agsproche worde, aber die blibed under dä zwei Verliebte. Und ich han au chli vill ztue, drum chani nöd ewigs umeplaudere.
Jetzt na öppis wo mi Gott-Stei trurig macht und mer bald es Herzchriesi und än NiereGottStei git. Ufgabe werded eifach nöd konsequent durezoge, und ich bitte drum alli di folgende Herre öffentlich an Prange zstelle: 
• YMI: Für sini fehlende Kenntnis vo finanzielle Produkt, um endlich dä lang erwarteti Hebel zsetze
• JWU: Für sini gurkigi DF «Homepage» und well er d’Zämefassig vom DFQV immer nanig gschickt hät
• PKN: Für sini Vereinstreui und well ers glich immer na an DF schafft, fehl mal
Grüss Gott-Stei
MSO/MST (Nr.  7)
- Hauptstatistiker (wenn er si dänn verschickt: chli spat, aber besser nie als spat) 
- Vize-Präsident (selbsternannt, aber bim DFQV bestätigt)
- Vize-Iladigsversänder (momentan sehr aktiv i dem Bereich)
- Selbsternannte Frauebeuftragtä von DF. Update: Villicht wärs gar nöd so schlecht mal ä wiiblichs Mitglied zha, um so chindischs Verhalte izdämme mit dä Diversität und all dem Zügs.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</si>
  <si>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Ooooh, die Wuche gits grad zwei Zämefassige, well ich di Erscht erscht jetzt verschick. Däfür gits nächscht Wuche eini vom SJU nach sinere triumphale Rückkehr id Zivilisation (danke Vatter fürs Apasse vo dä komplizierte Stats).
Uf los gahts los. Los. Komischerwiis sind am Fritig alli meh oder weniger pünktlich cho, und dä PKN hät sini Ufzgi immer nanig gmacht, well er nie fehlt. Findi starch und schwach glichziitig. Dä JWU hät hoch und heilig versproche d’DFQV Zämefassig zschicke die Wuche, aber hald nur für die Ziit wo er da gsi isch. Isch vo dä Awesende goutiert worde, und mir warted jetzt mal bis er eus wieder mal enttüscht (nöd so wie mit sinere grandiose DF-Website). Dä YMI hät gseit er müessi än Tescht mache dämit er därf go komplexi finanzielli Produkt handle, und mir sind gspannt wie schnell mer Millionär sind als Verein. 
Dä MSO/MST hät än prestigeträchtige Goldbarre übercho vo som nä Typ us dä UK wonen zerscht dumm agmacht hät und dänn offesichtlich glich sehr positiv überrascht worde isch vo sinere Brillianz. Dadruf händ PKN und JWU vorgschlagä dass es nöd nur Goldbarre sondern au Gurke sött geh womer chan verteile a die sehr unfähige Mitarbeiter (git es paar da woni grad würd nominiere), was au sinn würd mache für d’CS als Gurkebank. Au dä Vorschlag wär schnell umgsetzt bim DF, wo nöd so ä komplizierti Governance hät wie besagti Cucumberbank. 
Dä JWU hät blöfft dass sis Team (Gurkeball Albis / Bonstette / Wettswil) sbescht wos jeh häts gits seg vo dä Rückrundi, und zwar über alli Unihockeyligene i dä Schwiiz. Ussert die ab dä 4. Liga woner nöd agluegt hät. Gratulation a dere Stell. Irgendwie simmer dänn uf dä Fuessball cho und händ churz dä Jinderletscht erwähnt, wo angeblich gseit hät «lieber i dä 1. Liga interregional als dä Uli Forte als Trainer» (Anmerkung der Redaktion: mir überprüefed eusi Quelle nöd, wie alli andere «Ziitige» hützutags), und dä JWU hät beluschtigt festgstellt dass es nur na ufwärts gaht mit Servette sit dä Jinderletscht gseit hät si heged än schlechte Trainer. Die ganz Diskussion isch dänn abschweift i Räuberpischtole über Spieler wo sich in Vertrag schriebe lah händ dass dä Brüeder au mal därf spiele wänn si zum nä Verein wechsled, und zur Versteigerig vo Teamplätz für vill Geld. Als Abschluss vo dem isch dänn d’Frag vom Tag (Reim Reim Reim) ufcho, und mir bitted um eues Feedback: Wänn öpper als Spion ines Team chunnt und dem will schade, und än Spieler vom eigene Team foult, gits dänn ä gelbi/roti Charte? Ich weiss es nöd, aber wär na geil wänn jedes Team ein Verräter dine hett, das würd Fuessball chli geiler mache, aber natürlich nie so geil wie Iiiiishockey (#ZSCLionshänddiedümmschtehäshtägswellsididümmschtesind) 
(Leider blockt mer d’GSCS alles Social Media, und mer gseht drum dä lächerlich Leu nöd wos na anedah händ. Nichtsdestotrotz isches #wiederdebii)
Ich entschuldige mich da na offiziell für dä sehr sportlaschtig Text, aber mer chan nöd immer günne. Tschüss
MSO/MST (Nr.  7)
- Hauptstatistiker (wenn er si dänn verschickt: na später, bin hald dä uMSOMST) 
- Vize-Präsident (selbsternannt, aber bim DFQV bestätigt)
- Vize-Iladigsversänder (momentan sehr aktiv i dem Bereich)
- Selbsternannte Frauebeuftragtä von DF. Update: Villicht wärs gar nöd so schlecht mal ä wiiblichs Mitglied zha, um so chindischs Verhalte izdämme mit dä Diversität und all dem Zügs.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</si>
  <si>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Hallo zäme, 
Es isch än schöne Tag gsi hüt, dä härti Kern vom DF (und dä JWU) isch wieder mal awesend gsi im edle Safran, und alli hand mä wunderbare Donner (oder –Box) gfröhnt. Es sind fascht alli zfrüeh cho, und mer hät scho mal agfange über die grandios DF Website zschwärme. Es sind erschti Ufrüef cho zum si z’erwiitere mit mä Login und si z’integriere i di nanig bestehndi Safran Website. Dä SJU isch dänn auna cho und hät es paar wunderbari Vorschläg vo sinere Siite bracht, woner sicher gern na wird in nächschte Invite chläbe. Wichtigs Feature: Bilder vo jedem, euses DF-Symbol (z.B. Gurke für dä JWU) vor eusem Gsicht, und eusi Abchürzig mit allne Titel und Ämtli under dem. 
Dä SJU isch wie atönt wieder zrugg usem tüüfe Afriquè, bruun wie än iigebohrenä, und am lache über sin ZKB 150-Jahr Bonus, obwohl er gar nöd die ganze 150 Jahr dete gschafft hät. Er hät blöfft über sini Reis, aber erscht womer än gfragt händ wies gsi isch. Er hät alli Tier gseh wos git, isch mal fascht vom nä Nashorn ohni Horn überrent worde (es hät aber anschinend au nur blöfft), und isch usgraubt worde im Land vo dä Bauern und Ziegenhirten (Lesotho), obwohl die agsprochene Hirte nur Kaugummi und Riegel entwendet händ, aber kei Powerbank (die händ scho solarbetriebeni Bänks gha zum Radio lose) oder Handys. Die schiined meh zwüsse als mir bezüglich was wertvoll isch und was nöd. Usserdem ischer mal mit mä Frankokanadier go wandere wo uf 3000 M.ü.M. höhechrank worde isch. Fantastisch, aber wiederspricht chli äm Motto «French Canada is the real Canada». Aber es grosses Lob an SJU, wo sini Ufzgi gmacht hät sobald er wieder im Office gsi isch, und dänn hätter sogar die hütige Teilnehmer korrekt vorhergseit und i dä Stats feschtghalte. Danke und Chapeau. 
Dä PKN gaht go brügle light das Weekend im Beerlab, und hät akündet dass er plant im ganze 2020 nieh mitem JWU gaht go brügle. Er hät sini Ussag am end aber scho bereut, isch aber beruhigt worde vom JWU wo versproche hät dass er hald suscht mitem PKN Ziit verbringe wird, eifach ohni Brügle. Und mir wüssed all wie heilig am JWU sini Verspreche sind. Wämmer scho bim JWU sind, er gaht hüt endlich wieder uf Londrès, und freut sich scho dass dä Jinderletscht wie immer alles plant hät. Au wänn er dä schlechtischti Planer isch wos jeh häts gits, isches besser als nöd plant. Er schuldet eus immer na sini DFQV Zämefassig, woner mer scho än chline Iblick gwährt hät. Er wird sicherlich die leidig Episode vo «wer hät min Schueh versteckt» wieder ufneh, und mit äm UNO Sonderbeuftragte für Folter die ganz Gschicht ufrolle. 
Dä MSO/MST isch wie immer da gsi, obwohl er dänn nächscht Fritig am Skifahre isch. Aber er freut sich dass meh Geld id Kasse gspüehlt wird, und wänn er dänn wieder zrugg isch im alte Safran. 
Wie immer mit unfründliche Grüess
MSO/MST (Nr.  7)
- Hauptstatistiker (wenn er si dänn verschickt: ganz früeh, während dem er mit es paar Topshots im nä Meeting hockt) 
- Vize-Präsident (selbsternannt, aber bim DFQV bestätigt)
- Vize-Iladigsversänder (momentan sehr aktiv i dem Bereich)
- Selbsternannte Frauebeuftragtä von DF. Update: Villicht wärs gar nöd so schlecht mal ä wiiblichs Mitglied zha, um so chindischs Verhalte izdämme mit dä Diversität und all dem Zügs.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Da no dstats mit krass vollautomatisierte grafike.
Bis baldrian
Sascha Jucker
</t>
  </si>
  <si>
    <t xml:space="preserve">Liebi Mitglieder, Schoggi, 
Ich halte mich churz us zwei Gründ: Erschtens, well ich am Fritig ja gar nöd awesend gsi bin, und zweitens, well all andere au nöd oder nur so halbe da gsi sind. Ussert dä JWU, wo endlich mal als positive Usrisser brilliert. Bravo. Und drittens welli nöd chan zehlä. 
Ich has schön gha bim Skinä im Grisons, und bin sogar im Fuxgebiet Obersaxe gsi, au wänns am Morgä na gschnait hät und mini Ski nöd glauffe sind wellis letscht mal im 2018 in Service bracht han. Ich han dä Fehler dänn aber schnell korrigiert, und bin wie dä Flitz d’Pischtä abeblitzt. Und Capuns hani au na gha, also bini jetzt nöd nur än 4tel Bündner wie bis anhin, sondern än 5tel (da 5 &gt; 4). Mit Bedurä han ich dänn müesse erfahre, dass dä SJU ganzi 32 Minutä nach äm offizielle Zspatchoziitpunkt itroffe isch, und somit er und dä JWU beidi än LI kassiert händ. Wie bereits erwähnt und gmassreglet, findis zwar schön dass dä SJU so äs Committment zum Verein (und zu dä Punktewärtig) hät, aber ich finde dass mer unbedingt ä Online-GV bruched zum mal ä Ziit zdefiniere ab wänn mer zu spat chunnt und somit die voll Buess muess zahle. 
Ich bin au na druf higwiese worde, dass ich dä SJU namal muess massregle wege Verwendig vo vereinsinkonformer Schrift im nä Mail zum DF (siehe Anhang). Ich massregle aber au na grad dä CBO fürs dreischte Verlange vonere Massreglig, und ernenne ihn somit zum inoffizielle Massregler wänns um Schriftvergehe gaht. Jedefalls bis er offiziell zu dem Ämtli beruefe wird. 
Und ich hoffe die ganz Schwiiz beruhigt sich mal wieder, und laht eus endlich Playoffs luege ab Mitti März. Und laht nöd so Stuss use wie dä Glätzi i dä 20-Minute wo gseit hät «stellen sie ihr Leben nicht auf den Kopf», aber Playoff ohni Zueschauer oder gar kei Playoffs isch ebe grad ufem Chopf. Findi nöd so chüehl. 
Und und mir händ somit au ä schöni Marktkorrektur verpasst und sind sicherlich 10bn USD weniger riich als mer chönnted sii wänn dä YMI ändlich sin Test würd mache. 
Und und und dä PKN hät ändlich mal gfehlt, findi bagstrong vo ihm, und er hät somit endlich sini Ufzgi gmacht. Nöd wie dä JWU, wo somit sini Loorbeeeeerä vom Afang grad wieder chan abgeh, well er sini DFQV Zämefassig immer nanig gmacht hät. 
Jetzt hani glich na lang glaberet, aber so goes. 
Guets Bei
MSO/MST (Nr.  7)
- Hauptstatistiker (wenn er si dänn verschickt: So spat wie seltä, aber welli hald kei Home-Office därf mache und Asammlige vo meh 1000 Lüüt offesichtlich erlaubt sind wänns ums Schaffe gaht, hani erscht jetzt Ziit gfundä) 
- Vize-Präsident (selbsternannt, aber bim DFQV bestätigt)
- Vize-Iladigsversänder (momentan sehr aktiv i dem Bereich)
- Selbsternannte Frauebeuftragtä von DF. Update: Villicht wärs gar nöd so schlecht mal ä wiiblichs Mitglied zha, um so chindischs Verhalte izdämme mit dä Diversität und all dem Zügs.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Liebi Mitglieder, Schoggi, 
Ich halte mich churz us zwei Gründ: Erschtens, well ich am Fritig ja gar nöd awesend gsi bin, und zweitens, well all andere au nöd oder nur so halbe da gsi sind. Ussert dä JWU, wo endlich mal als positive Usrisser brilliert. Bravo. Und drittens welli nöd chan zehlä. 
Ich has schön gha bim Skinä im Grisons, und bin sogar im Fuxgebiet Obersaxe gsi, au wänns am Morgä na gschnait hät und mini Ski nöd glauffe sind wellis letscht mal im 2018 in Service bracht han. Ich han dä Fehler dänn aber schnell korrigiert, und bin wie dä Flitz d’Pischtä abeblitzt. Und Capuns hani au na gha, also bini jetzt nöd nur än 4tel Bündner wie bis anhin, sondern än 5tel (da 5 &gt; 4). Mit Bedurä han ich dänn müesse erfahre, dass dä SJU ganzi 32 Minutä nach äm offizielle Zspatchoziitpunkt itroffe isch, und somit er und dä JWU beidi än LI kassiert händ. Wie bereits erwähnt und gmassreglet, findis zwar schön dass dä SJU so äs Committment zum Verein (und zu dä Punktewärtig) hät, aber ich finde dass mer unbedingt ä Online-GV bruched zum mal ä Ziit zdefiniere ab wänn mer zu spat chunnt und somit die voll Buess muess zahle. 
Ich bin au na druf higwiese worde, dass ich dä SJU namal muess massregle wege Verwendig vo vereinsinkonformer Schrift im nä Mail zum DF (siehe Anhang). Ich massregle aber au na grad dä CBO fürs dreischte Verlange vonere Massreglig, und ernenne ihn somit zum inoffizielle Massregler wänns um Schriftvergehe gaht. Jedefalls bis er offiziell zu dem Ämtli beruefe wird. 
Und ich hoffe die ganz Schwiiz beruhigt sich mal wieder, und laht eus endlich Playoffs luege ab Mitti März. Und laht nöd so Stuss use wie dä Glätzi i dä 20-Minute wo gseit hät «stellen sie ihr Leben nicht auf den Kopf», aber Playoff ohni Zueschauer oder gar kei Playoffs isch ebe grad ufem Chopf. Findi nöd so chüehl. 
Und und mir händ somit au ä schöni Marktkorrektur verpasst und sind sicherlich 10bn USD weniger riich als mer chönnted sii wänn dä YMI ändlich sin Test würd mache. 
Und und und dä PKN hät ändlich mal gfehlt, findi bagstrong vo ihm, und er hät somit endlich sini Ufzgi gmacht. Nöd wie dä JWU, wo somit sini Loorbeeeeerä vom Afang grad wieder chan abgeh, well er sini DFQV Zämefassig immer nanig gmacht hät. 
Jetzt hani glich na lang glaberet, aber so goes. 
Guets Bei
MSO/MST (Nr.  7)
- Hauptstatistiker (wenn er si dänn verschickt: So spat wie seltä, aber welli hald kei Home-Office därf mache und Asammlige vo meh 1000 Lüüt offesichtlich erlaubt sind wänns ums Schaffe gaht, hani erscht jetzt Ziit gfundä) 
- Vize-Präsident (selbsternannt, aber bim DFQV bestätigt)
- Vize-Iladigsversänder (momentan sehr aktiv i dem Bereich)
- Selbsternannte Frauebeuftragtä von DF. Update: Villicht wärs gar nöd so schlecht mal ä wiiblichs Mitglied zha, um so chindischs Verhalte izdämme mit dä Diversität und all dem Zügs.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</si>
  <si>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Hallo
Wieder mal häts dä MSO/MST versäumt, am Fritig na d’Stats und ä churzi Nachricht usezschicke. Ich möchte mich damit herzlich entschuldige, insbesondere an CBO wo sich jedi Wuche so druf freut und sich amigs bedankt. Und dänn ischer wiedermal ganz knapp nöd zspat cho, aber er hät mer gseit er gelobt Besserig. #sorryyessorry
Es hät alles ganz unschuldig agfange mit dä Erwähnig vom sogenante Cheebab, was nöd än kubanischä revoluzzer sondern än chäääskebab bezeichnet. Also meh ä Chäässchnitte, eifach feschter, oder äs Raclett am Dönerspiess. Das gäbs irgendwo im Zürcher Oberland und bi dä Frösch äne, und ich bitte oi für ä chlini Abstimmig was besser isch vo dä untere zwei Vorschläg, um dem Cheebab endlich än guete Name zgeh: 
Option 1: Chöner Rabab
Option 2: Donnerchääs Kelett
Wänn eine mit mä bessere Vorschlag chunnt, därf er min Stempfel am Fritig ha, oder wänn au immer er/sie/es uftaucht. Danke. Und ich gib dem än Bidon wo mis grossartige Wortspiel 4 Linie wiiter unde zerscht verstaht. Und dä JWU hät sini DFQV Zämefassig immer nanig gschickt, und ich wirf äm irgendwänn mal än Chöner Rabab a wäni eine finde. 
Es wird immer na gwerweisst über dä YMI und sin Tescht zum Tesla shortä, und obs würklich än Tescht isch oder eifach än Frageboge, und mir bittet um Feedback ob dä YMI sich jetzt Wüsse aeignet über komplexi finanzielli Produkt um än eifache Frageboge uszfülle. Und mir sind alli enttüscht dass mer nöd am grandiose Abwärtstrend chönd partizipiere, und dass gwüssi Gurkäbanke jetzt ihri Aktie für weniger als än Dürüm (ohni Wasser) vertschutted. 
Bevors so richtig gchlöpft hät a dä Börse isch am Fritig scho ä Frag ufcho wer wie investiert, insbesondere zwüsched dä zwei Finanzfüx am Tisch. Dä MSO/MST hät dänn am SJU gseit, er glaubt dass jetzt (Stand Fritig) investiere nanig so Sinn macht, wells glaubs na chli duuret bis dä Markt sich erholt, woruf dä Nödexperte JWU ä philosophischi Diskussion usglöst hät ob mer überhaupt ä Ussag über so Sache därf treffe ohni genau zwüsse was passiere wird. Fünftessenz: Mer chan kei objektivi Ussage meh mache, und dä JWU hät objektiv betrachtet kei Ahnig. 
Grundsätzlich hät mer sich drüber amüsiert, wie i dä Buurebank 3 nur 10% chönnted im Home Office schaffe ohni dass sSystem überlaschtet wär, und dass das besagte Cucumberinstitut alli 2 Wuche in unbezahlte Urlaub schickt wo wüssentlich i Sperrgebiet gönd. Mer weiss nöd so recht ob das legal isch, aber die Staatsbanke chönd sich hald so Gaunereie erlaube. Es isch usserdem plant worde wie mer das chan usnutze und Ferie i 1-2 Mönet asetze inere Region wo dänn wahrschinlich au gsperrt wird, dänn chunnt mer nämlich 2 Wuche bezahlte Urlaub / Home Office (isch ja eigentlich sGliche) über. Oder eifach mal unbezahlt Ferie mache. Grossartig. 
Na drü chlini Amerkigä zum Schluss: 
• Dä Nikci Grass isch ä Legendä und so än effizientä Geburtstagsfeschtplaner, wo grosszügigerwiis au dä SJU iglade hät
• Mir händ jetzt endlich ä Handynummerä vom Safran, wo über die Jahre immer uf dä Stempfelcharte gsi isch und niemert häts gmerkt. Die neu Bedienig hät ihre Wert zeigt und eus gseit mir chönned scho vorbstelle, findi fantastisch. Aber ä Donnerbox ohni Tomate für dä PKN bringe hät si trotzdem nanig gschafft. 
• Platz 1-4 i dä alltimedfstats trenned jewils 4 Pünkt (MSO/MST 157, PKN 153, JWU 149, SJU 145). Wer hetts denkt. 
A Bien tot
MSO/MST (Nr.  7)
- Hauptstatistiker (wenn er si dänn verschickt: Es zeigt sich äs Muschter, nämlich dass dä MSO/MST kein Muschterschüeler isch im Verschicke vo denä Zämefassige) 
- Vize-Präsident (selbsternannt, aber bim DFQV bestätigt)
- Vize-Iladigsversänder (momentan sehr aktiv i dem Bereich)
- Selbsternannte Frauebeuftragtä von DF. Update: Villicht wärs gar nöd so schlecht mal ä wiiblichs Mitglied zha, um so chindischs Verhalte izdämme mit dä Diversität und all dem Zügs.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</si>
  <si>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Ehrewerti Herre, 
I dene düschtere Ziite han ichs mir zur Ufgab gnoh, oi än chline Liechtblick z’übermittle: Die mittlerwiile legendär DF-Zämefassig und –Statistik. Trotz Fritig äm 13tä gits also na good news. 
Nach dere chline Selbschtbeweihräucherig gömmer grad is Haupttopic ine: Chlöpfe. DCorinna chlöpft ganz unbeschwert vor sich hii, und mittlerwiile grenzt die ganzi Gschicht an ä Farce wos na nie häts gits. Fascht alles wo Spass macht isch igschrenkt, und dä MSO/MST isch ab hüt 2 Wuche in Selbstquarantäne gemäss GSCS Policy, well irgend än Schlufi nach mä churze Meeting mit ihm und sim Team jetzt dihei hockt und gwüssi Symposium ääääh Symptom ufzeigt wo eher verdächtig sind. Glücklicherwiis gits dä Safran, obwohl mer sich nach Insiderinfos vom SJU scho Gedanke muess mache wie lang na. 
Dä gueti Firat häts au scho gchlöpft, aber er hät trotzdem ganz pflichtbewusst die 3 Bstellige fehlerlos wiitergleitet. Allerdings müesstemer na spezifiziere dass mer dä Donner nöd zum mitneh wänd, und für die wos nöd so gern händ au nöd grilliert. Aber suscht alles im Butter, und bitte wünsched ihm au na gueti Besserig (scho agstosse vom SJU, danke a dere Stell). Ich beuftrage dä JWU mit äm Ämtli, mal potentielli Alternative uszcheckä. Ich han au scho mal umegluegt und das folgende Establishméént gfunde, wo offesichtlich sehr druf Wert leit dass dLüüt meh Wasser trinked:
Es isch au suscht drunter und drüber gange am DF, und dä JWU gaht hüt uf Wenge mit es paar Amatöör go brügle, inklusive YMI, wo schändlicherwiis nöd uftaucht isch trotz Zuesag (git än schöne LIFO+). Es gaht dHoffnig ume dass sich eine dete asteckt und dänn 2 Wuche durebrüglet wird, inklusive es paar Todesfäll, wo dänn i dä Medie natürlich dä Corinna zuegschribe werded. Dä PKN isch i dä Ferie und isch somit endlich mal nüme ufem erschte Platz i dä Fiskaljahreswertig, und jetzt  chan sich dä Verein au wieder gseh lah i dä Öffentlichkeit. 
Es isch au na über Tolgge i dä DF-Heft gredet worde, a alli wo nöd dete gsi sind, damit meint dä JWU die Errungeschafte und Versäumnis vo jedem Mitglied im Zämehang vom DF. Dä JWU hät gseit er würds sich scho einiges choschte lah wänn er sin Tolgge vom Us- und Wiederitritt chönnti entferne lah (aber nöd sovill wie dä grossartig Stoffdinosaurier wo zwüsched 2 und 2 Meter gross isch), woruf d’Frag ufcho isch ob das überhaupt möglich isch mit Tolgge (Anmerkung der Redaktion: Ja, mit mä Tintetipexkiller). Und d’Redaktion isch da au sehr glücklich gsi dass wieder mal über dä Jinderletscht gschimpft worde isch, wo nöd nur dä gröschti Tolgge vo allne im Heft hät, aber au dä Umstand dass mer ihm sis DF-Heft eigentlich weggnoh hät. Freude herrscht (Adolf Ogi, 1901). 
Das mitem Ishockey isch ä leidig Gschicht, und dä Experte Essig seit dass Chlote will ufstige am grüene Tisch und d’Liga ufgstockt wird, und dass Visp seit wänn die Zürcher ufewänd chömed mir grad au. Dä MSO/MST hät dänn na äs Finalturnier vorgschlage zum dä Meister zbestimme, 3:3, und dä SJU hät igworfe es git nur je 1 Spiel pro Team und dä wo am meischte goal schüsst wird Meischter. Wär zimmli geil. 
Und zum Schluss chlöpfts na eis letschts mal, well angeblich i dä Zürcher Kommerzbank am JWU sis «die Schwache chlöpfts» eher frei interpretiert wird mit dä untere Ussage: 
• Die Schwache nimmts
• Die Einte chlöpfts
• Die hani gescht härt gchlöpft
• Mir chlöpfed än Jass
Hoffentlich bis bald, und suscht nöd
MSO/MST (Nr.  7)
- Hauptstatistiker (wenn er si dänn verschickt: Ab hüt wieder rechtziitig, ich schwöre uf dä Safran und dä Firat) 
- Vize-Präsident (selbsternannt, aber bim DFQV bestätigt)
- Vize-Iladigsversänder (momentan sehr aktiv i dem Bereich)
- Selbsternannte Frauebeuftragtä von DF. Update: Villicht wärs gar nöd so schlecht mal ä wiiblichs Mitglied zha, um so chindischs Verhalte izdämme mit dä Diversität und all dem Zügs.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</si>
  <si>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Hallo
I dene schwirige Ziite gits wie immer ä chlini Ufmunterig mit dä DF Zämefassig und Stats. 
Hüt isch usserordentlichs passiert: Än Donner (ohni Blitz) im Park bi schönem Wetter und Usnahmezueschtand. Natürlich hät mer sich (mit einere Usnahm, Herr Wullimann) ad Awiisige vom BAG ghalte und nur mitem Ellboge hoi und tschau gseit, und na meh als suscht s’lokale Gastgwerb unterstützt (jedefalls relativ gseh). Das macht mich extrem STORZ. Usserdem hät dä Firat wie immer (also zweimal) eusi Bstellige richtig wiitergleitet. Nach dere positive Afangsbotschaft chömmed mer zum neuschte Segment vo dä Zämefassig: Freunde des Kebab in Zeiten des Wahnsinns:
•        Dä CBO isch dä grossi Abwesend gsi, und hät leider eme wichtigere Call müese biwohne (obwohl eigentlich nüt wichtiger isch als dä DF). Aber im Herze isch er natürlich immer da, und gaht eus all ufd Nerve
•        Dä YMI dasmal agmeldet gsi und au verbicho, wunderschön mal wieder än 5/6tel DF zfiire Er hät grad mitere Donnerbox uftrumpft, und Churzarbeit besproche. Usserdem ischer mitem Skateboard cho, und mer munklet er seg nachher via Uetlibergtunnel heigfahre
•        Dä PKN hät sich wieder mal an DF getraut, obwohl er ja jetzt nur na 3tä isch i dä Fiskaljahresstatistik. Er hät na Ferie, und muess sich erscht nächscht Wuche wieder dä harte Realität vom Büro stelle well er sini «Arbeit» nur bedingt online chan verrichte. Mir wünsched äs guets und keimfreis Pendle.
•        Dä JWU hät Geburi gha und hät (wer hettis denkt) 30 Jahr überlebt. Die einte säged das sind gfühlti 210 Jahr, was sini Leischtig aber nur na beidruckender macht. Er hät mit mä Schmankerl uftrumpft dass abem Mäntig Ziitige zwar wiiterhin produziert werded (da Notversorgig), aber d’Uslieferer nöd under dä Artikel falled, also händ alti Lüüt bald kei Printmedie meh vorem Huus. Isch villicht au nöd so dumm, well im urchige Uuuuri därfeds ja eh nüme use. 
•        Dä SJU isch chli hässig uf sin chaotische Vorgsetztä wo anschinend dä Spruch «wänns nüt nützt schadets nüt» nöd verstaht, und die Split Operations vo dä ZättKaBee (jede zweiti Tag is Büro) isch au eher bedenklich. Immerhin hätter chöne mit solide Aktiemarktvorussage glänze (es chunnt alles guet und gaht ab jetzt nur na ufe). Sovill zum positive Twist vo dä daily market news. 
•        Dä MSO/MST isch enttüscht enttüscht dass niemert sin Schnauz globt hät, und isch chli dumm agmacht worde vom PKN weller mit sinere Stämpelcharte zahlt hät. Allerdings hät er au äs Dosegetränk gno und fantastischi 14.141414141414% Trinkgeld geh. Chapeau ab.
Und na ä chlini Amerkig, ich bitte dä SJU nächscht mal mitem Helm zcho, Statistike zeiged dass sich s’Infektionsrisiko vom Chronävirus 19 drastisch erhöht wänn mer mit mä Loch im Chopf umelauft. Ich wünsche eu allne Petri heil, wäsched eu d’Händ nachem bislä, und hoffentlich bis näschte Fritig wänns heisst: die Schwache chlöpfts, die Starche chlöpfed än Donner im Park.
MSO/MST (Nr.  7)
- Hauptstatistiker (wenn er si dänn verschickt: rechtziitig wie gschwore uf dä Firat Punto) 
- Vize-Präsident (selbsternannt, aber bim DFQV bestätigt)
- Vize-Iladigsversänder (momentan sehr aktiv i dem Bereich)
- Selbsternannte Frauebeuftragtä von DF. Update: Villicht wärs gar nöd so schlecht mal ä wiiblichs Mitglied zha, um so chindischs Verhalte izdämme mit dä Diversität und all dem Zügs.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</si>
  <si>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Liebi Mitglieder, es isch mer wie immer ä Freud eu mit dä DF Stats und ere churze Zämefassig zbeglückä. 
Am Fritig hät mer sich welle d’Auge riibe vor Erstuune (aber nöd därfe wäge dä aktuelle Lag) wer sich da so alles uf dä Wiese nebem Safran agsammlet hät. Nebed dä Big 4 isch dä YMI gmüetlich am Donnerbox vertilge gsi, dä CBO hät sich (zwar ohni Donner, aber mit mä schöne Usblick) vo Londrès igwählt, und sogar dä Jinderletscht™ isch vorübergehend is Kollektiv ufgnoh worde, was scho zeigt wie schlimm die jetzig Lag isch. Hoffentlich gahts bald wieder mitem Status Quo Vadis wiiter, dämit mer ihn und sini Gurkejagge nüme müend gseh.
Ganz getreu äm Motto «nöd meh als 5 Lüüt zäme suscht chlöpfts» händ sich scho bi dä Bstellig 3er Gruppe bildet und mer hät sich separat uf dä Wäg zu dä Rugbywiese gmacht. Huet. Und obwohl sich än Jogger agmasst hät eus schief azluege (da mer ja eigentlich 6 gsi sind) hät dä kei Ahnig well mer eigentlich ja 3 und 3 gsi sind. Darum hät dä MSO/MST au nur än Teil vo dä Konversatione mitübercho, und muess sich hüt chli chürzer hebe. 
Mir händ alli ä wunderbari Chance verpasst mit Tesla shorte, aber vor allem hämmers verpasst, dä obskuri Zoom Technoligies (ZOOM) wo YTD 900% gstiege isch, obwohl die Amatöör wahrschinlich Zoom Video Communications (ZM) gmeint händ (chönds selber google). Mer hät sich nostalgisch an ä ähnlichi Farce vo Long Island Ice Tea erinneret, und wie dumm gwüssi lüüt sind, wo wahrschinlich mit dem Fett Cääsh gmacht händ. Jänu. 
Dä Wohnigsmarkt isch au na churz agsproche worde, und bösi Zunge (sicher nöd vom MSO/MST) händ gseit dass es villicht bald es paar Opportunitäte ufem Markt git well än gwüsse Teil vo dä Bevölkerig eher schlecht ufs Chronävirus reagiert. Allerdings hocked die villicht scho all im Altersheim, und drum bringts nüt. Sexwieswill, dä SJU hät sich jetzt mal mit dä Kohabitation mit sinere Busle am jetztige Standort entschiede, und mir wünsched ihm alles Gueti i dere schwere Ziit. 
Dä andere hani weniger zueglost, und am JWU sin aberwitzige Vorschlag dass dä Jinderletscht wieder am DF will biträtte (irgend äs Gschwafel wäge Notrecht) isch gekonnt ignoriert worde. 
Ich will da na churz druf hiwiese dass dä DF vo nächscht Wuche wägem KarliFritig nöd stattfindet, also freued mir eus umso meh uf dä dritti Avril und hoffed dass dä Onkel Petrus wiiterhin mit mä Sünneli uf dä DF lachet. 
Hebed eu Sorg, und lesed nöd zvill «News», macht eim nur nervös. 
MSO/MST (Nr.  7)
- Hauptstatistiker (wenn er si dänn verschickt: nöd rechtziitig well zu vill Bizniz am Fritig, und kei Sandvici) 
- Vize-Präsident (selbsternannt, aber bim DFQV bestätigt)
- Vize-Iladigsversänder
- Selbsternannte Frauebeuftragtä von DF. Update: keis Update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</si>
  <si>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Aller guten Dinge sind 3 Mal Lockdown DF, drum gits hüt wieder äs prächtigs Update für eusi treue Mitglieder uf dä ganze Welt. 
Angeblich sind gwüssi Sportklubs am verhandle mit Spieler ob si uf Lohn wänd verzichte, die aber eher kein Fan sind vo dem. Insbesondere wänn dä Verein verlangt dass mer mit mä Träcker gaht go jogge, und mer munklet dass es än FCZ Spieler git wo ä Kollegin vo ihm sini täglichi Strecki laufe laht. Es mag si dass s’alte Vorurteil vom intellektuell beschränkte Fuessballes gar nöd so falsch isch, well die Kollegin in Regensdorf wohnt und er nöd, was doch chli gspässig chönnti si. 
Us dem wunderbare Bispiel vom Zämehalt während dä Krise sind dänn Forderige ufcho, dass die Sportler doch ihri Spiel via E-Sports usträge sölled, und Zueschauer müend zahle für das Spektakel. Wär gar nöd so schlecht, und am beschte wärs natürlich wänn jede sich selber spielt. Natürlich sind dänn Bedenkä ufcho dass sich gwüssi Spieler entweder selber usem Spiel nehmed durch Verletzige und rote Charte. Die ganzi Sach muess na chli besser usgschaffet werde, wänn epper jepper än Idee hät bitte melde. 
Wänn mer scho vo Biznizideä reded, all awesende und wichtige DF-Mitglieder sind sich einig (also vor allem dä MSO/MST) dass ä Pideschachtle zum Mitneh ä massivi Marktlücke isch, und ich schlah mal vor dass mer statt go Shortä lieber ä Firma gründed wo i das wunderbare Produkt investiert. Da liht sicher ä riesigi Marge drin, wär grande. 
Aber au suscht bestimmt dä Radio Virus s’Läbe uf dä ganze Welt. In Indie seged offesichtlich ganz vill Amatöör nach dä Usgangssperrregle hei i ihri Heimatdörfer. Und än Teil vo Mexiko (glaubs im Süde) hät Alkohol als nöd essentiell gnueg igstufft dass mers chan verchaufe (was es natürlich nöd isch, warum suscht fühlt mer sich nach mä Bière grad vill besser), und somit sind alli im Land umegreist und händ Tequila ghamschteret. Mini Herre, da gseht mer schön wie wiit Politiker denked. 
Äs speziells Bileid da na an Herr Joscht vo Mettmenstetten am Albis, wo sin Job ufgeh hät für ä Veloreis nach Peking, und dänn in Chur hät müese umdreie well mer dGrenze gschlosse hät. Wär fascht geiler gsi wänner früehner gange wer und s’Virus vo Schina dur ganz Asie und Europa verteilt hett. Das wär mal ä Story für dGschichtsbüecher. Dä JWU hät natürlich grad ä Möglichkeit gseh, än wiitere Spieler vom JWU Senior zrekrutiere, und mer isch sich nöd einig gsi obs besser isch arbeitslos zsi oder als Pöschtler zschaffe. 
Näschte Fritig isch wie erwähnt kein offizielle DF, es bestaht aber natürlich d’Möglichkeit gemeinsam am Tag des Donner zum Zmittag zämezcho, oder am karlige Fritig wänn dä Safran dänn offe hät. Ich schlah vor das wird im Whatsapp klärt. 
Und zum Schluss na äs Update was eusi Mitglieder so beschäftigt: 
• Dä PKN und YMI händ am MSO/MST sin Bart globt (grosse Dank a dere Stell), und dä Vorschlag vom YMI die Pracht na chli ufzpoliere mit roter Farb wird im Moment analysiert. Usserdem sind beidi inere Jogginggruppe mitem Ebito Ebito. 
• Dä SJU hät äs Excelsheet erstellt damit sini Busle ihn nöd alli 5 Minute gaht go ablenke, und er isch suscht au ganz zfriede mit sim tägliche Wechsel vom Homeoffice und Officeoffice. 
• Dä JWU hät dä MSO/MST zum nä Coiffeurmatch usegforderet, und er klärt momentan ab wie gross sRisiko isch, dass er vo sinere Busle zämegstucht wird wänn er das mache würd. Update folgt irgendwänn.
• Dä CBO hät grad reklamiert dass niemert abgnoh hät und er sich somit nöd hät chönne iwähle zum DF, und ich möchte da dä CBO selber ermuetigä als offizielle Massregler die verantwortliche Persone chli zmassregle
MSO/MST (Nr.  7)
- Hauptstatistiker (wenn er si dänn verschickt: er häts tatsächlich gschafft, und hät na es paar Zückerli versteckt i dä Stats) 
- Vize-Präsident (selbsternannt, aber bim DFQV bestätigt)
- Vize-Iladigsversänder
- Selbsternannte Frauebeuftragtä von DF. Update: keis Update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</si>
  <si>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Hallo und Halli Galli, 
Dä GGG Virus 19.0 isch immer na am Wüete, und dennoch widersetzt sich dä DF dere Situation vorbildlich und setzt sich wiiterhin für s’Überlebe vom lokale Gastgwerb i. Ich will da na allne danke wo sich am heilige Donnerdonschtig vor Oschtere im schäbige Locherguetpark zämegfunde händ, und es hät sich usegstellt welli Mitglieder sich nur zeiged wenns Aweseheitspünkt oder Buesse git (PKN und JWU), und wer sich ganz klar zum Zämehalt vom Verein bekennt (MSO/MST, SJU, Herr und Frau Müller). 
Aber jetzt zrugg zum Iigmachte. Glücklicherwiis isch dä Onkel Petrus wiiterhin äs Passivmitglied vom DF, und zahlt zwar kei Biiträg, aber ermöglicht eus durch wunderbars Fritigwetter wiiterhin im schöne Safranpark (au Rugbywiese gnennt vo Kenner) dä Donner zgnüsse. 
Am Fritig häts vor allem es paar Bodeakrobate gha wo sich ihrem Workout gwidmet händ. #Fjützamrenne #handähäshtägmüeseapassewegecompliance. Die eint hät da glaubs öppis falsch verstande und hät ä moderni Version vomnä Regetanz usgfühert, sicherlich im Glaube dass ihri Bewegige euse Donner verdonneret mit Rege und Blitz. Glücklicherwiis häts nöd funktioniert, aber es wär scho mal wieder Ziit für chli Rege und Schnee. 
Und jetzt gits äs chlises Update zu dä Mitglieder und andere Partizipante vom edelschte Verein wos jeh häts gits. Dä PNK, SJU und MSO/MST sind alli meh als pünktlich bim Safran gstande und händ dank Firat teilwiis sehr schnell ihre Dürüm mit Ice Tea Lemon us dä Dose (alles andere findi schwach) erhalte. Dä JWU isch dänn au na cho, zwar nöd zspat, aber da er sich sin K-bap nöd selber usem Lade abgholt hät, isch er gemäss Statute technisch gseh nöd awesend gsi. Mir händ eus druf g’einigt dass er sich ä normali Buess abholt, aber dä Aweseheitspunkt glich überchunnt. Falls das öpper afechte will chan er oder sie gern ä separati Abstimmig via virtueller GV iberüefe. 
Dä EbitoEbito isch 5 Minute zspat cho und hät partout nöd welle glaube dass mir sin Pide ohni Fleisch scho zahlt händ, und hät dänn na 10 Minute müese warte während dä Rescht scho am Schnabuliere uf dä Wiese gsi isch. Und woner dänn endlich cho isch hät dä JWU wieder müese gah well er hald sehr wichtig isch für sini 3 Teams. Er schiint so busy zsi dass er trotz warmem Wetter mit Jagge und Jeans cho isch, und mir sind alli in Gedanke bi ihm. 
Dä PKN hät sich beklagt dass dä MSO/MST wo i sine wohlverdiente Ferie in Balkonie gsi isch trotzdem in DF cho isch, und ich empfehle ihm wärmschtens Tempo sanft &amp; frei um sini Träne abzwüsche. Dä MSO/MST hät sich än grande Quarantänebart wachse lah und hät än dänn gescht leider abghaue. Glücklicherwiis isch dä Prozess minutiös dokumentiert worde (inklusive Dölf-Schnuuz), was dä uMSOMST gern mit allne Interessente am Fritig teilt. 
Dä SJU isch natürlich au däbi gsi, und hät als einzige chli blöfft über sini Joggingkünscht. Angeblich isch er langsam so fit dass er sini Marathon-Fründin locker links liege laht bi sinere tägliche Rundi uf dä Üetlihügel. Ich zieh mini Kippa und gratuliere herzlich. 
Bis bald, die Wuche gits grad zwei Zämefassige, also isch das nanig s’letschte Hochliecht i dä nächschte Täg. 
MSO/MST (Nr.  7)
- Hauptstatistiker (wenn er si dänn verschickt: wege Ferie erscht jetzt, däfür richtig. Und lueged mal id Stats und gratuliered mir für mini geniale Zuesatzinfos, ich has sogar gelb markiert, gopfertammi!) 
- Vize-Präsident (selbsternannt, aber bim DFQV bestätigt)
- Vize-Iladigsversänder
- Selbsternannte Frauebeuftragtä von DF. Update: keis Update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</si>
  <si>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Greet God
Schande über dä uMSOMST, wo sim Name alli Ehri macht und trotz Verspräche dass er letscht Wuche 2 DF Zämefassige usechlöpft nur eini gschafft hät. Danke da an offizielle Massregler CBO fürs Erinnere, und natürlich für all die positive Rückmeldige. 
Jetzt gahts aber endlich wiiter mit äm Sümmary vom Fritig, wo wieder mal bi Sunneschii uf dä Rügbywiese stattgfundä hät. Trotz 1. Mai findet dä DF natürlich statt, obwohl s’Wetter s’erscht mal im Lockdown nöd so rosig usgseht. Villicht hät dä Regetanz doch endlich sini Würkig zeigt, und mir finded sicher ä Lösig (ich renne so schnell dass mi dä Rege nöd trifft, wer will chan gern au mitmache). Wunderbar isch au dass dä PKN wahrschinlich nöd a dere Lösig wird mitwirke, well er angeblich nöd chan cho, und somit dä Rückstand uf dä Supreme Leader uf 6 awachst und dä JWU am zweite Platz i dä all-time history gfährlich näch chunnt. Ich appelliere a alli Mitglieder zum zverhindere dass ä Gurke a zweiter Stell staht, und hoffe dass au dä JWU mal wieder fehlt.
Aber ich schweife ab. Es isch wieder mal volles Haus gsi, inklusive Ehremitglied YMI wo frisch und fröhlich mit eus am Plaudere und Blöffe gsi isch, und er hät gestande dass er sin Investment-Test nöd bestande hät. Mir sötted also luege wie mer dä extra Batze guet chönd isetze, Vorschläg sind wie immer herzlich willkomme. Im Royal Döner sind dä Gläzi und die alt Muetter zimmli überforderet gsi mit äm Asturm am 12:11, trotz allne Vorbstellige, und es chli chaotisch worde. Doch dänn isch zum Glück dä  Firat cho, Bravoo. Er hät ganz besorgt gwirkt woner s’Lokal betrette hät und gseit hät (ich zitiere) «wänn d’Bulle chömed hämmer es Problem», wells doch es bitzeli eng worde isch. Er hät dänn d’Muetter zu dä Kasse gschickt mit dä Ussag,«susch gahts ja nöd vorwärts», und hät agfange wie dä Blitz ganz flitzig Donner zämezchlöpfe. Es isch ä wahri Augeweid gsi, und au sehr delikat. 
Dä SJU hät kein Pide gnoh und hoffentlich am Weekend sin neue Neoprään poschtet und chan jetzt endlich im chüele Zürisee go schwimme. Dä JWU isch ganz erstuunt gsi dass äm MSO/MST sini Schueh scho ganzi 1.5 Jahr lang ghebed händ, und hät gseit sini seged nach 1 Monet durä. Wahrschinlich au wäge dere deplazierte Ussag hät er sich dänn au ganz schnell us äm Staub gmacht am 12:40, und mer gseht dass d’Gurkä hald zerscht gönd. Immerhin hät er chönne mit mä wunderschöne Regeboge-Hemd uftrumpfä, und sini Shorts händ die zweitwiisischte Bei vom DF vorzüglich betont. Dä PKN hät mit äm Jinderletscht s’legendäre GC : FCZ Dörby agluegt, und hät brilliert mit sinere Rekollektion vo amatöörhaftem Verteidigerverhalte. Und irgendöppis isch na gredet worde über Kreditcharte und Chleider wäsche, und ich chan mi leider nüme dra erinnere. Än wiitere Grund di nächschti Zämefassig ziitnah zverfasse. 
Somit wünsch ich eu allne ä wunderschöni Wuche, gönd zum Coiffeur wänner chönd, decked eu mit Gartematerial ii, und stürmed d’Nagelstudios wo endlich wieder offe sind. Ich weiss nöd wie eusi Gsellschaft nöd zämebroche isch ohni dä wichtigscht vo allne Agebot, aber godbethank hämmers überlebt. 
Bis am Fritig, und wer gaht go randaliere mit dä lingga Bazille chunnt ä extra Gurke über. 
MSO/MST (Nr.  7)
- Hauptstatistiker (wenn er si dänn verschickt: scho wieder nöd rechtziitig, eggeggegg) 
- Vize-Präsident (selbsternannt, aber bim DFQV bestätigt)
- Vize-Iladigsversänder
- Selbsternannte Frauebeuftragtä von DF. Update: keis Update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</si>
  <si>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Liebi Mitglieder,
Ich freu mi, die folgend Zämefassig z’präsentiere, än spannende Zweiteiler wo mit dä «Sequenz des Entsetzens» afangt und mit mä churze Update beendet wird. 
Am Tag vom Schaffe wo in Züri interessanterwiis fascht nur am lingge Egge produziert wird (meischtens Uftragsbeschaffig für Fenschterflicker und Farbentferner) isches am Fritig usnahmswiis mal ruhig gsi, und dBulle händ endlich mal ä Waffe gha um die arme Anarchischte chönne überlischte: Versammligsverbot. Wo füehrt das nur hii wänn mer nüme gäge dä Kapitalismus chan demonstriere und unnötig Sache go zerstöre? Ich bin entsetzt. 
Na entsetzter bin ich über d’Tatsach dass dä Safran nöd offe gha hät, und dass mer eus alli händ müesse is ferne hole-him-good begeh zum än Donner z’ergattere. Es hät lang eigentlich niemert gfragt ob euse Standkebab eigentlich offe hät, dänn händ verschiedeni Exponente äm Firat gschriebe, und nachdem dä SJU in Chat gschriebe hät er seg glich offe hät dä PKN ihm natürlich nöd traut und au grad na nagfrägt. Es hät sich usegstellt dass äm Firat sin Padre nöd ganz uf dä Höhi gsi isch, aber es zeigt sich ebe au wie vill Vertraue mer i dem Verein hät i di andere Mitglieder. Es sind dänn na wiiteri Nettigkeite ustuuscht worde, insbesondere zwüsched YMI und SJU, und es isch behaupted worde dass sich dä Chronevirus au chan rückgängig überträge. 
Am entsetzteschte bini aber dass dä PKN eigentlich hät welle go Zelte, dänn isches schlecht Wetter gsi und er hät ganz vergesse dass dä DF stattfindet, und er isch nur cho well dä SJU am Morge in Chat gschriebe hät, und hät somit än unverdiente Aweseheitspunkt erschliche. Aber natürlich isch die Intèrvèntiôn vom SJU nötig gsi, suscht währed mer all vorem gschlossene Safran gstande wie dä Jinderletscht, und somit isch dä MSO/MST wieder ent-entsetzt gsi und end good all good. 
Wämmer scho bim Presidente sind, dä isch a dem regnerische Fritig mit Chettehemd und Joggingusrüschtig uftaucht, hät nur churz än Biss vo sim Kebi gnoh (dadäzüe später meh) und isch nachem DF promt uf Bonstette grennt. Fantastisch, au wenn bösi Zunge behaupted er hät das nur gmacht zum sich zbewiese dass er nanig steialt isch, ein Tag vor sim 3333tä Geburtstag. Nichtsdestotrotz äs grosses Bravo, ich will au so fit si wänn ich dänn mal so alt bin. 
Aber eusi Leser fraged sich sicher, was mit dem abissene Kebab passiert isch. Dä JWU hät blöfft er chlöpft sich selber än Dürüm und isst am SJU sini na fertig, und hät dänn unerwarteterwiis dä Zweit nur halbe möge. Schande über ihn. Chli Glacé hett er dänn glich na möge, wo vom YMI fuxigerwiis vorgschlage worde isch. Dete händ sich d’Weg vo Spreu (PKN, JWU, YMI) und Weizebier (SJU, MSO/MST) dänn aber trennt, und dä Bescht hät dä SJU na s’erschte Stückli uf sim Pilgerweg begleitet. Ä gueti Tat in der Tat, nebed dem dass er dä Mari au grad na än Donner und ä chli Fritierti Hördöpfel mitgnoh hät. Und ich hoffe dass dä CBO au wieder mal virtuell teilnimmt, mir vermissed ihn alli ganz fescht. 
Bis am Fritig, hoffentlich wieder mit Sunneschii, das elende Gejammer vo letscht Wuche wäge es bitzeli Räge isch so unsäglich gsi dass Tempo mit Umsatzrekörd am glänze isch.
MSO/MST (Nr.  7)
- Hauptstatistiker (wenn er si dänn verschickt: es stellt sich als Problem use dass er si immer vo sim Arbetslaptop verschickt und somit d’Stats a Freitäg nöd chan/will versende) 
- Vize-Präsident (selbsternannt, aber bim DFQV bestätigt)
- Vize-Iladigsversänder
- Selbsternannte Frauebeuftragtä von DF. Update: keis Update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</si>
  <si>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Serve us,
Nach äm Entsetze vo letschter Wuche gits au hüt wieder es paar Skandäl wo ufdeckt werded vom Reporter uMSOMST, also eifach zrugglehne und gnüsse wie sich das Ganze fortsetzt.
Dä JWU hät denkt er seg ganz schlau und hät Fake News verbreitet dass dä Safran zue seg. Natürlich hät er nöd dämit grechnet dass niemert i dem Land än Deut oder Taler uf sis Wort setzt, und dä SJU hät ganz fuxig abklärt dass euse Donnerlade natürlich offe hät. Promt hät er än neue Chat ufgsetzt um dä ahnigslos JWU inezlege, mit äm Plan dä Ararat als Donnerlade vo hüt zbenenne. TBD was passiert isch. Leider hät dä JWU dänn doch chalti Füess übercho und mer händ än nöd chönne versetze, aber er hät sich sicherlich härt id Brennessle gsetzt mit dere vergebliche Tüschigsaktion, und er hät sich somit ä zweiti Gurke i dä Stats verdient. Wegem Platz hani si chli müesse verchlinere, aber das passt ja au meh zum JWU, eusem Gurkäbüebli. 
Bi dä Akunft händ dä MSO/MST und dä PKN, wo mitem Trottinett cho isch, ä interessanti Diskussion über Rennvelos abghalte, und dä Firat hät churz erklärt was letscht mal bi dä Kommunikation falsch glauffe isch. Angeblich ischer go penne nach dä Wiitergab vo eusne Bstellige, und sin Padre hät ihm dänn während sim Schläfli zrugg gschribe dass dä Safran gar nöd offe gha hät. Aber mir vergebed ihm dä chlini Lapsus natürlich, well er so effizient isch. Dä YMI isch abwesend gsi und hät somit sin grossartige Trend leider nöd chönne bestätige. Mir bittet dass sich s’Prognose-und-Estimation-Nonprofit-Institute of Safran dem animmt, und währed froh wänn die Date chönnted teilt werde. Dä SJU hät nöd mal blöfft wie locker er is Bonstetter Amt joggt isch letscht Wuche, und somit isch für eimal weniger blöfft und meh palaveret worde. 
Verschwörigstheorie sind s’heisse Thema gsi die Wuche, und mer hät sich im Kollektiv gwunderet wie mer nur chan dra glaube dass d’Erde ä Chugle isch, oder obs würklich lüüt händ wo denked dass Impfige kei Nanopartikel drin händ wo eim kontrolliered. Alles ignoranti Trottel, und wänn dä Bill Gates d’Weltherrschaft übernimmt lached mir dänn. Grundsätzlich isch mer sich einig gsi dass dChrüüzzüüg nöd stattgfunde händ well niemert vo eus däbi gsi isch, und alli sind glücklich gsi. Des Weiteren isch natürlich dä Virus agschnitte worde, und mer händ es paar amüsanti Anekdote ghört wie wenig gwüssi Lüüt mit dem chönd umgah. Usserdem isch uscho dass dä JWU mal 2 Mönet als interne Pöschtler dient hät i dä Tamedia, was mir sicher alli nie vergesse werded. Und suscht gilt hald wie immer: wer nöd däbi gsi isch chan nöd über alles lache, und die Schwache chlöpfts. 
 Na ä allgemeini Bemerkig, was vom MSO/MST natürlich vorhergseit worde isch (und vom Prophet SJU vorhergnoh worde isch): nachdem alli am Brüele gsi sind dass mer doch na strikter muess alles zuemache wird jetzt vo dä gliche Lüüt gjammeret dass alli ihri Arbeit verlüred und mer na 10 Jahr müend für dä Lockdown zahle. Ich möcht mich da am Herr Sawiris aschlüsse und frage id Rundi, obs das würklich Wert gsi isch. Wirtschaftlich katastrophal, aber ich finds eigentlich na geil dass mer endlich chan Home Office mache ohni dass alli seged dass es nöd möglich isch. Wort zum Freitag Ende.
Hebeds guet, und bereited eu guet vor uf dä Mäntig, wänn alli gönd go Chleider chauffe und um rabattierti Artikel stritet als ob nie öppis gsi wär. Tüdelüü
MSO/MST (Nr.  7)
- Hauptstatistiker (wenn er si dänn verschickt: ich bin so schnell, und flitz jetzt dänn mit mim rote Zweiräder dur dä Kanton) 
- Vize-Präsident (selbsternannt, aber bim DFQV bestätigt)
- Vize-Iladigsversänder
- Selbsternannte Frauebeuftragtä von DF. Update: keis Update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</si>
  <si>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Grüessech,
Dunkli Wolke ziehnd uf am Horizont, aber im Safran schiint d’Donnersunne endlich wieder. Dank dä fantastische Kollaboration vom Firat Punto und äm SJU isch hüt d’Rückkehr zur Normalität iiglüütet worde, und mer händ s’Privilègè gha wieder emäl im Mekka vom Kebab platzzneh. Inklusive 4 Dürum wo scho uf eus gwartet händ, und ere neue und royale Lounge im Ussebereich. Die sind hüt usserordentlich göttlich gsi, und wer chli zwüsched dä Ziile list findet Evidenz dass sich dä MSO/MST hüt extra vill Müeh geh hät das Thema schön z’referenziere. 
Was isch passiert? Alli sind rechtziitig da gsi, und prompt hät d’Blöfferei agfange mit äm SJU wo scho 4 Mal uswärts isch go esse sit dä Lockerig. Jesses Maria
Dä JWU hät usserdem rapportiert dass sich njemert as Konzjept vo Mindeschtabstand halted, und mer hät verzellt wie paranoid dBevölkerig worde isch. Es ranked sich au scho jenschti Räuberpischtole um die mystisch Gschicht vom Üetlihügel, wo dä JWU anschinend meischterlich mit sim Velo bezwunge hät, und äm aktuelle und in Ungnade gfallene Ex-Presidente wo au awesend gsi seged. Who’s believes. 
Es isch ageh worde über Halbmarathön und anderi Leischtige, und dä JWU hät sin Lapsus vom Ararat welle wettmache und hät äm MSO/MST sin Baclava ufg’esse. Dä glichi Herr hät dänn au endlich zuegeh dass er dä Schueh vom SJU in Londrès versteckt hät, und ich halte das somit offiziell fescht als Schuldgeständnis. Usserdem gits ab nächscht Wuche kei Aweseheitspünkt meh für ihn wenn er bis dänn nöd sini lang versprocheni DF Quo Vadis Zämefassig verfasst und a alli Mitglieder verschickt hät. Gott bewahre. 
Dä CBO isch leider wieder nur dur sini Abweseheit ufgfalle, aber er isch immer wachsam, nimmt sini Rolle als Massregler sehr ernscht, und dankt ganz höflich jedi Wuche für dä Bricht. Hoffentlich fallt er nöd am Chaos vom Boris äm Letschtä zum Opfer bis er sich wieder i di sicheri Schwiiz chan begeh. Jehova beschütz ihn. 
Dä MSO/MST hät wie immer wenig konstruktivs biitreit, und muess nächscht Wuche leider absäge für dä DF vo nächschter Wuche. Er isch natürlich zutüüfscht betrüebt, aber schwört uf dä Dürüm und s’Wasser dass er sich bis im Juli wieder zu sinere gwohnte Form zruggbesinnt, so Oden’s will. Und mir hoffed alli dass sich d’Welt langsam wieder beruhigt, dass dä JWU endlich wieder unnötigi Reise am Fritig chan aträtte, und dä PKN chan go zellte. Suscht füllt sich eusi Kasse wiiterhin nur mit Cäsh wo eigentlich hett sölle i komplexi Finanzprodukt investiert werde. Aber wie mer so schön seit, hätte hätte Fahrad wäre, und mir wünsched am YMI Allahs gueti bi sim Tescht .
Somit wünsch ich eu äs sunnigs Weekend, und machts gut ihr Trottel 
MSO/MST (Nr.  7)
- Hauptstatistiker (wenn er si dänn verschickt: ja, er verschickt noch) 
- Vize-Präsident (selbsternannt, aber bim DFQV bestätigt)
- Vize-Iladigsversänder
- Selbsternannte Frauebeuftragtä von DF. Update: keis Update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</si>
  <si>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Hello
Da no dStats vo letscht Wuche. De uMSOMST trennt sich vo sim langjährige Weggfährte Scho-L Chocolat Wülimah und begleitet neuerdings de Pipo el grande Knightly uf sim Marsch wüchentliche Statistikmarsch. Wiiter unde drGoalie und unter "ferner liefen" de Chillär-Miuär und de sporadischi Telefonjasser us Londres: de PouletSpeckZwible (vgl. Abb. 6a unten). Uf Prognose hani us Rücksicht uf die letscht gnennte Herre verzichtet. 
Au die meteorologische Ussichte über die nögschte 6 DFs bliibed hervorragend (vgl. Abb. 3 unten).
Bis baldrian!
</t>
  </si>
  <si>
    <t xml:space="preserve">Hallo und guete Mittag,
Zerscht mal äs herzlichs Dankeschön an SJU für sini Zämefassig vo letschtem Fritig, und für dä JWU wo das «aktiv» sichergstellt hät. Usserdem häts dä JWU doch na gschafft ä Zämefassig vom DFQV im Jänner zschicke. Dä glichi JWU häts dänn au fertig bracht hüt än wiitere LI izsammle, und hät die erscht Debatte vom Tag ufbracht: Regle und Buesse. 
Grande Historie wie all die Regle ufcho sind, und dä Fokus isch wie immer druf dass jede für sich am meischte Aweseheitspünkt isammlet. Obwohl dä unbestritte Leader (siehe Signatur) MSO/MST kümmeret das aber so wenig dass er sich ä chlini Usziit gnoh hät letschte Fritig im Ticino, und hät däfür s’lokale Gastgwerb mächtig unterstützt. Damit häts au die erschti Abweseheit sit Co-Rona geh vom DF-Core, und mer hoffed alli dass wieder meh lüüt werded fehle. Usserdem häts ufgrund vo dä durchus beluschtigende Bilder vom JWU na ä chlini Nostalgietour vo London geh, aber leider isch dä Begriffe «Crevette Bouquet» nöd gfalle. 
Dä DF zeigt sich usserdem üssert sportlich i letschter Ziit, und wer na kei Strava hät muss sich fascht scho wie än Ussetzige fühle. Dä SJU isch wiiter am blöffe gsi wie locker er mit sinere Marathon-Busle uf dä Üezgihügel ufegrennt isch, und dä JWU hät bestätigt dass er dä MSO/MST und sind unnütze Hippiebrüeder bim Velofahre im Aeugstertal gseh hät. Er hät usserdem gross akündet dass er sich mehreri Reise vorgnoh hät, inklusive zrugg vo Kopenhagen und Peking mit äm Joscht, wo hoffentlich nöd wieder in Chur endet. Dä PKN hät glaubs au öppis erwähnt, ich los ihm aber erscht wieder zue wänn er endlich mal gaht go zellte am nä Fritig Mittag. Dä YMI hät wieder mal gfehlt und isch hoffentlich am luege wie er endlich euses Geld investiert werde chan. 
Schlussendlich hät sich dä Chreis wiedermal gschlosse und mer isch wieder bi dä Buesse glandet, und gwüssi Exponente händ sich beklagt dä MSO/MST seg befange mit sinere Regelawendig. Das stimmt natürlich nöd, und jede wo mich in Zuekunft kritisiert (ussert dä SJU) wird mit voller Härti bestraft. 
Hebeds guet, und curven the flat
MSO/MST (Nr.  7)
- Hauptstatistiker (wenn er si dänn verschickt: zrugg mit voller Wucht und neuem Brüglerhaarschnitt) 
- Vize-Präsident (selbsternannt, aber bim DFQV bestätigt)
- Vize-Iladigsversänder
- Selbsternannte Frauebeuftragtä von DF. Update: keis Update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</si>
  <si>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Bonne Schurnee
Ganz so huddlig wie befürchtet isch s’Wetter hüt gar nöd gsi, und alles wo Rang 1-4 und Name hät isch im Safran ghockt mit grossem Appetit und Luscht uf äs Update us äm Lebe vo dä Coronasurvivors (Stand 5.6.2020, aber wells ja die Schwache nimmt chlöpfts villicht dä JWU doch na. Finger gchrützt). Dä YMI isch wieder mal nöd däbi gsi, obwohl ja sini Teilnahm meh für dGallerie isch und er selte öppis gschieds seit. D’Stimmig isch also ganz positiv gsi nach äm Motto «mir sind heiter und fröhli mit jedem Löli», und scho gahts los.
SJU, PKN und MSO/MST sind am Afang scho sehr tüüf am anal-ysiere gsi, obs sich lohnt än Geisterschriiber z’engagiere für ä wüsseschaftlichi Arbeit, und wo dä JWU dänn au na cho isch (inklusive Elch/Sternschnuppehemd, däfür mal nöd zspat) hät er gross akündet er heg scho alles plant für sin Master, inklusive allne Prüefigsantworte und Arbeitschriiber. Mir wünsched ihm alles Gueti. Däfür häts dä Firat hüt gchlöpft, und d’Bstellige sind trotz Whatsapp-Bestätigunge nöd richtig acho. Mer vermuetet das d’Muetter nöd richtig chan läse und drum öppis falsch glauffe isch, aber mir erwartet vom Firat nächscht Mal dass er eusi Instruktione a fähigeri Lüüt wiiterleitet. Usserdem hät mer anschinend dä Salat dur ä billigeri Variante ustuscht, und dä PKN hät gforderet dass mer sich jetzt na drüber beschwert bevor alles zspat isch. Natürlich hät dänn niemert öppis gseit. Churz nachem JWU isch dänn na ä höchscht suspekti Gstalt im Safran uftaucht: Än mittelalte Herr mit mä verdächtige Mantel, mä lavenderfarbige Pulli um d’Schultere und ere Arbeitsmappe, wo dänn ganz unuffällig ä physischi 20 Minute Ziitig gläse hät. Verdikt vom MSO/MST: Undercover Corona-Inspektor. 
Nachdem dänn all Donner, Boxe und Pides da gsi sind händ sich d’Gspräch wieder materiellere Sache higwändet, und mer hät sich gfragt wärum dä JWU na dihei wohnt, inklusive grande Brüglerparties mit Claude und Muetter Schoggi. Dä PKN hät dänn vo sine Erfahrige brichtet näbed mä Männerhuus / Obdachloseheim zwohne, und als offizielle Frauebeuftragte (und neuerdings hald au Glichberechtigungsbeamte) möcht ich da gern dä JWU unterstütze, wo gfragt hät wie gross wohl dä Ufschrei vo dä Medie wär wänn mer äs Frauehuus mit mä Obdachloseheim vereine würd. Gemäss PKN gits usserdem ä Legende im Rollstuehl wo jede Morge (wahrschinlich extra) 5 Minute vor Tüüröffnig vorem Huus staht und luut Musig laufe laht. Nebed dem gits na mindeschtens eine wo luut choderet, und mer fragt sich warum dä PKN i sonere verlochete Gegend muess wohne. 
Schlussendlich hät sich dä Diskurs dänn meh richtig Dönerökonomie dreht, uf dMöglichkeit ob mer dä Safran nöd au als Casino chan betribe usserhalb vo dä Spitzeziite (Fritig vo 12:11 bis 13:11) und wie Casinos s’Rechtssystem umgönd. Nach ere churze Abzwigig, wie mer dä perfekti Mord chönnt begah, simmer dänn na zum Football cho und au dete chan systematisch am Gsetzt verbi chan spiele. Mord ist Sport. 
So das isches gsi. Mir freued eus alli uf dä CBO wo sich bald wieder zu eus id Schwiiz traut, und ich wünsche eu allne vill Pech und Unglück.
MSO/MST (Nr.  7)
- Hauptstatistiker (wenn er si dänn verschickt: Lukas hässig dass es regnet am Weekend, aber au froh well suscht dSchwiiz irgendwenn uströchnet, was ja niemert will) 
- Vize-Präsident (selbsternannt, aber bim DFQV bestätigt)
- Vize-Iladigsversänder
- Selbsternannte Frauebeuftragtä und Glichberechtigungsbeamte von DF. Update: Ich schnapp mer jede Titel woni chan, ussert dä vo dä Gurke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</si>
  <si>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Goods Daily, 
Da isches ä Wuche lang miserablès Wetter und Päng, am DF isches wunderschön. Hüt sogar mit äm YMI, wo eus mit sinere Presenz beehrt hät, und eus äs Update us dä Welt vom Symposium und sine 9 Bewerbigsgspräch pro Tag geh hät, was doch ordentlich isch. Dä Firat isch au wieder da und wie mer so schön seit: Firat, es funktioniert! Also nur fascht, ein Bstellig häts nöd zu eus gschafft, aber ich vermuete immer na dass d’Muetter eifach unfähig isch. Die glich Muetter hät dänn dä YMI ganz verächtlich agluegt woner bichtet hät er heg nöd via Whatsapp bstellt, hät sich aber beruhigt woner ä höchscht lukrativi Donnerbox verlangt hät. 
Am Afang häts grad chli Lob geh für die tolle Zämefassige, und ich bedanke mich herzlich für all die positive Rückmeldige woni amigs au per Mail überchume. Dä JWU und dä SJU händ sich wieder mal «verabredet» fürs Schwimme, eis vo ihrne neckische Spieli wo nie zu öppis füehred, ussert villicht dass dä JWU mitem Bike dä Üetlihügel ufelauft wells zsteil isch zum Fahre. Apropos, dä JWU und dä MSO/MST händ dänn zäme chli blöfft mit ihrne grandiose Fähigkeite uf ihrne Zweiräder, und es isch d’Ussag gfalle dass än richtige Bergfahrer schneller ufe- als abefahrt. Mer hät dänn abgmacht i 3-4 Mönet äs chlises Velotüürli zäme zmache, grad nach äm legenderä Squashduell wo sit Zagreb agseit isch. 
S’Thema Homeoffice isch au na churz touchiert worde, und mer hät vernoh dass es bi dä ZKB än Event git übers Teamsplitting wo alli müend cho, was mich nöd überrascht. Mer isch sich einig dass Homeoffice zimmli grande isch, aber nöd ob 150 Franke gnueg sind als Entschädigung wenn mer muess vo dihei us schaffe. Dänn isch öppis kurioses passiert, nämlich dass sich d’Top 3 und d’almost bottom 2 i eigeni Gspräch vertüüft händ. 
Top 3 overall Teilnehmer händ zerscht mal drüber gwerweisst wer wänn fehle wird, und ich möcht da doch na ä chlini Bitt üssere, und zwar dass mer sich uf dä Status Quo (nöd Vadis) zruggbesinnt und endlich mal wieder fehlt. Insbesondere dä reisefreudig und gurkig JWU, und dä PKN wo ja scho lang mal hät welle go zelte am nä Fritig Mittag. Nachher hät mer sich gfragt wie unrechtmässig s’isch, dass mer dä Jinderlescht däzue verdonneret hät Ferie ufzschribe und glichzitig go schaffe (findi eigentlich fair, wege Karma und so), und wie mer sich mit äm RIF-Verfahre vo dä CS berichere chan. Dä Plan isch wie folgt:
• Mer laht sich schmeisse und wird bis Endi August zahlt
• Mer wird wieder agstellt vo dä GSCS mit höherem Lohn (well mer ja extern wieder inechunnt)
• Im nächschte Zyklus wird mer dänn umso meh als zu tüür agseh und wird wieder entlah wird, was dänn dä ganz Prozess wiederholt
• Verdikt: Genial, muessi grad mal probiere nächscht Jahr. 
Uf dä andere Siite händ SJU und YMI (au als Frauebeuftreite vo sim Arbeitgeber bekannt) über Pros und Kontras vo dä wiibliche Förderig diskutiert, und es sind eigentlich nur sehr validi Pünkt gäge irgend ä aktivi Förderig oder Bevorzugig gnennt worde. Als Frauebeuftreite vom DF hät dä MSO/MST natürlich flissig zueglost, und na sin Senf däzuegeh. Ich finds wunderbar dass sich dä Diskurs uf sachlicher Ebeni abspielt hät, was nöd selbstverständlich isch wänn so Provocatèurs wie dä JWU und MSO/MST däbi sind. 
Schlüsse möchte ich mit mä Zitat vom SJU (paraphrasiert, Anm. der Redaktion): Endlich chani wieder Röckli alege, isch ja d’Saison däfür.  
MSO/MST (Nr.  7)
- Hauptstatistiker (wenn er si dänn verschickt: wie immer püntklich) 
- Vize-Präsident (selbsternannt, aber bim DFQV bestätigt)
- Vize-Iladigsversänder
- Selbsternannte Frauebeuftragtä und Glichberechtigungsbeamte von DF. Update: wird heiss diskutiert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</si>
  <si>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Sehr geehrti Unterstützer vom lokale Kebabgwerb und/oder vo dä Chlöpfete dur konstanti Abweseheit, 
Zwei LI häts hüt gchlöpft, oder wie än Amateur mit durchschnittlich 4.2% (inkl. einmal Iwähle per Videocall) Aweseheitsquote i dä letschte 3 DF-Fiskaljahr würd säge, LI(s). Dä MSO/MST isch steihässig am 12:18 itrudlet weller na ä Zämefassig vomnä misèrable Meeting hät müese erstelle, und dä SJU isch vonere sehr lokale Wolke (siehe Bild, danke PKN für dä Input) uf sim Velo überrascht worde (gemäss YMI und PKN häts nöd gregnet), und hät drum dä Bus müese neh wie än Penner. Vo dene hät er dänn au grad zwei Exemplar atroffe, und dä Eint angeblich mitere Hüsle bewaffnet hät dä Ander wellä nötige i sin Videocall uf äm Luutsprecher izstige, und irgendöpper hät au na spanisch gredet. Faszinierend. 
Vom Rege us dä Wolke überem SJU id Trauffe, hät än dänn die ufmüpfig Bedienig druf hiigwise dass er 15 Minute zspat seg bi dä Pideübergab, und das nachdem si sich selber sit Monate nöd is Safran traut hät. Natürlich isch dä SJU scho am 12:23 acho und gemäss offizieller Ziiterfassig «nur» 12 Minute zspat, aber villicht hät sich die Ander eifach a die notirisch voruslaufend und antik Safranuhr ghalte. Bim Abruhme hät dä SJU dänn iischalt (Pön intended) zrugggeh und gseit dä Pide seg scho chli chalt gsi, was ä liecht entrüschteti Sprachlosigkeit und chli Gestammel bi dä Bedienig usglöst hät. 
Es isch au suscht än üssert unterhaltsame DF gsi, und dä JWU isch nöd da gsi, ich überlah jedem selber die richtige Schlüss us dere Korrelation z’zieh. Dä YMI isch allerdings da gsi und im Verglich zu andere sehr pünktlich, und er hät chli verzellt vo sine Ferie i dä 5 Erde. Dä ursprünglich Name will ich da nöd üssere, chönnt als insensitiv ufgfasst werde, da än Teil vom Ort scho als Schimpfwort brucht worde isch. Um das hät sich dänn au än Grossteil vo dä Diskussion dreht, vo BLM und M-Chöpf, äm Unklä Ben und anderi Schnellschüss vo Firme wo sGfühl händ sobald eine reklamiert muess mer sich grad apasse. Migros isch nöd so guet wegcho däbi, aber die folgende Highlights sind sicherlich erwähnenswert:
• Es isch spekuliert worde über d’Uswirkige vo Wörter und Tate, und ich empfehle jedem üssert sprachfuxig Artikel us dä NZZ z’läse (Link wird in Chat gschickt sobald die Zämefassig versendet isch, aber nöd vorher).
• Mer hät blöfft über amüsanti Anekdote und es paar Gurke uf beide Siite vom Spektrum
• Mer isch entrüschtet gsi dass sich äs gwüsses Unternehme, wo jedes Jahr ä Konferenz organisiert, nöd au Studente vo andere Kontinent awirbt, was klar diskriminierend isch. Jedi Firma wo sich nöd i/uf jedi Wüeschti und Insle traut um ihri Stelleinserat uszschriebe chan nöd politisch korrekt si
• Alli sind sich einig dass mer äm YMI sis Huus abrisse söll wells kein Lift git (d’Rollstuehlfahrer chlöpfts). 
Alles in allem isches ä durchus konstruktivi und glichziitig luschtigi Diskussion gsi. Hat off für das, aber mir sind ja au intelektuell guet bestückt (hehehe, guet bestückt). Drum hät sich dä SJU dänn au entschiede, nöd mitem Bus wieder richtig Wiedike zfahre, sondern hät sich äs Pübli-Bike gchlöpft. Verständlich, aber wehe d’Social Media und Sprachpolizei erfahrt dävo. Aber bevor mer alli verschwunde sind häts na äs chlises Scharmützel a dä Theke bim Safran geh: Dä SJU und d’Bedienig händ sich zur Beluschtigung vom Firat und awesende Mitglieder verbal chli umegeh, und dä MSO/MST hät dänn ganz typisch für ihn chli über sZiel usgschosse mit sim Kommentar. Au das chan leider nöd publiziert werde, mer munklet es seg nöd ganz politisch korrekt gsi. Hearsay I say, aber who’s know. 
Bis nächscht Wuche, und mer freued eus uf dRückkehr vo dä Crevette Bouquet und äs chüels Bière mit Sunneschii, jetzt wo dä MSO/MST gemäss Statistik wieder d’Nummere 1 vom DF isch fürs Fiskaljahr 2020-x, wenn au nur dur än fuxige Trick i dä Formlä. 
MSO/MST (Nr.  7)
- Hauptstatistiker (wenn er si dänn verschickt: si) 
- Vize-Präsident (selbsternannt, aber bim DFQV bestätigt)
- Vize-Iladigsversänder
- Selbsternannte Frauebeuftragtä und Glichberechtigungsbeamte von DF. Update: anderi Theme sind grad meh im Brennpunkt, mit Betonig uf «Brenn»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</si>
  <si>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Bienvenidos
Wieder mal häts gheisse liefere statt lafere für dä Firat, und er hät nöd enttüscht. Ussert dä SJU, wo gemäss eigener Info erscht am 12:07 ufem Velo sin Pide bstellt hät, und drum au na chli hät müese druf warte. Dä JWU isch erneut nöd da gsi, und d’Erika laht usrichte dass si sich extrem grossi Sorge macht und au nüme hässig isch wägem Ichaufswägeli. Also JWU, falls die Nachricht dich erreicht, bitte bi dä Erika in Bonstette melde. Villicht isch sin gröschte Wunsch, im nä Drogechrieg umzcho und dänn im Blick z’erschiine doch na wahr worde, mer chan nur hoffe. Dä PKN hät trotz eigener Prognose knapp dä LI verpasst und isch völlig verschwitzt und usser Atem am 12:16 zum Sofa usse am Safran grennt, und hät verschmitzt agmerkt was er nöd alles für Geld macht. Mir sind alli sehr gspannt druf was das genau heisst, und hoffed mal uf än billige Lapdance. Und zum Schluss na zu dä beide Extrawürscht, dä YMI häts verpasst sini 100. Teilnahm am DF zfiire, und am CBO sin Pilot hät offesichtlich njet gnueg Gas geh, somit ischer s’letscht Mal unveränderet am 8.3.2019 im Safran gsi, was scho än zimliche Tolgge isch. 
Es isch chli gschwätzt worde über Cordon Bleus, ob mer ä Whatsappgruppe mitem Firat sölled ufmache, und ob mer ihm au äs DF-Shirt zuecho lönd. Sehr interessant isch am MSO/MST sin Iwand gsi dass er ä buess zahle müesst wänners am Fritig nöd azieht, oder am SJU sini Bemerkig dass er sich jede Fritig im Chat muess melde und frage ob mer das Übliche nehmed, und falls niemert schribt das dänn au so vorbereitet. Au da wird die wiiter Entwicklig mit Spannig verfolgt. Wiiter hät mer sich gwunderet wie dä Safran so über d’Rundi chunnt und mit wie vill Umsatz mer chönnti rechne. Die zwei Ökonome und dä Buechhalter händ sich verständlicherwiis pudelwohl gfühlt bi dere Anal-yse, wells ja s’einzige isch wo mer us ihrere Usbildig chan bruche im echte Lebe.
Dä PKN hät sich vorgnah, vom 10. Juni bis 10. Juli kei alkoholische Getränk zue sich zneh, und isch somit na weniger unterhaltsam als suscht. Mer isch chli abgschweift und hät über alkoholfreii Bière diskutiert und wie sinnvoll es wär, dä eigeni Nachwuchs vo früeh us uf das wunderbare Getränk vorzbereite. Pro: Gschmack wird scho früeh akzeptiert, mer erzieht also än potentielle Trinkfux. Kontra: Wänns s’erschte richtige Bière git verchlöpfts eim dänn hald. Win-Win. 
Nach einigem Lamentiere über unnötig komplizierti IT-Prozess bi dä jewilige Gross- und Buurebanke und wie tüür s’isch zum dä Flicketeppich azpasse hät sich s’Trio dänn uf dä Weg heizueh gmacht, aber nöd bevor dä SJU na än üssert rassige Witz über Fraue mit Brüscht (aber nöd alli) aber ohni Ghirn zum Beste geh hät (inklusive Rüffel vom Fraue- und Glichberechtigungsbeuftreite), und vom Firat na chli gneckt worde isch wägem spate Bstelle. Und wie sKarma so will hät sich sini persönlich Regewolke au na zeigt, aber da isch dä MSO/MST dänn scho fascht dihei gsi, also who’s care. 
Und somit freu ich mich uf dä Crevettesalat i dä Taverne und ich wünsche allne äs schöns Endi vo dä Wuche. 
MSO/MST (Nr.  7)
- Hauptstatistiker (wenn er si dänn verschickt: seriös und objektiv wie dä Blick) 
- Vize-Präsident (selbsternannt, aber bim DFQV bestätigt)
- Vize-Iladigsversänder
- Selbsternannte Frauebeuftragtä und Glichberechtigungsbeamte von DF.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</si>
  <si>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Ciao Bellas
Schön isch wieder Fritig, au wänns am Fritig nöd schön Wetter isch. Dä lang verscholle glaubti (und ghoffti) JWU isch tatsächlich wieder im Safran uftaucht, und wie immer so spat cho dass er än LI gchlöpft hät, und dänn fascht scho zum zweite Mal usem DF hät welle ustrette weller dä Statute nöd glaubt. Dä JWU isch die letschte zwei Mal verhinderet gsi dur sini essentiell Arbet bi Tamedia, und nennenswert isch bsunders sind Workshop vo letscht Wuche. D’Teilnehmer sind ufbote worde es paar Kolljege zschriebe und vo dene 3 Stärche mitteile zlah, woruf so legendäri Antworte* wie «du bisch so luut», «Dinosaurier», «so än Blöffer» oder «Brügler» cho sind. Grande-ios, bsunders vo dä Herre Nikci «Gurkenmann» Grass und CBO. Leider simmer weniger STORZ uf dä CBO wänns um sini Teilnahme am DF gaht. Er hät trotz Rückkehr und agmessener Brüglete light letschte Fritig Abig sini Abweseheitsserie fortsetzt (neue Rekord: 53 Mal im Volg). Wer vermuetet dass er sich dä einzig Rekord ussuecht woner i sim DF-lose Lebe na chan breche, liiht wahrschinlich richtig. Au kein Liechtblick hät dä YMI inebracht mit sinere Abweseheit, und mir hoffed dass er genauso erfolglos dä C-Virus in Italie verteilt wiener in Hebelprodukt investiert. 
Aber jetzt zum eigentliche Thema: Verdauig bim Sport am Morge, wo dä PKN und MSO/MST als erschti Awesendi churz diskutiert händ, mitem Fazit dass dä Culo ä üssertscht faszinierendi inneri Uhr muess ha dass es meischtens erscht dänn richtig chlöpft wänn mer 10 Sekunde zur Wohnigstür itrette isch. Wie meischtens sind Aweseheitspünkt und ihri Entwicklig i dem Kalenderjahr besproche worde, und es isch immer na so tight wie nie. Bald wird’s na tighter, well dä MSO/MST i 2 Wuche eimal fehlt (natürlich nur wäge dä Mari), und falls dä PKN Muet hät und will glichzieh chönntemer mal alli zäme glich vill Pünkt ha nach 25 DFs, was mir sicherlich äs sapperlott würd entlocke. 
Dä Firat isch nöd da gsi und mer häts gmerkt, und dä armi PKN hät wieder mal nöd das übercho woner bstellt hät bi dä Muetter. Dä MSO/MST hät am SJU sin vorbstellte Pide wegschnappt, und am JWU glaubt dä Firat eh nöd, und er chunnt ja immer zspat. Dä PKN isch usserdem nüme troche nach 20 Täg well gescht än Jass gchlöpft worde isch, und mir möchted a dere Stell glich churz gratuliere, isch doch njet schljecht. Die nächschte Minute sind i fröhlichem miteinander verbracht worde, während drüber diskutiert worde isch ob sich dä JWU endlich uf Züri traut und wo dä SJU sis Liebesnäscht als nächschts ufschlaht. Und zum Abschluss isches dänn ganz amüsant worde mit Räuberpistole über Fuessballbrüglete, wie dä Schoggi versuecht hät äs Werbebanner zchlaue um sis dubiose Wettbüro endlich mal profitabel zmache, zwei Paar Zwilling (mit Fuschtschläg oder Chopfnüss), und so things. 
Als Wort zum Donnerfreitag möchte sich dä MSO/MST na selber lobe, well er sich dä ganz letscht Fritig Abig hät müese zämerisse dä Jinderletscht nöd zum Tüfel zjage. Hat off. Hebeds guet, und gnüsseds.
MSO/MST (Nr.  7)
- Hauptstatistiker (wenn er si dänn verschickt: höchscht verlässlich und pünktlich und grossartig and so wider) 
- Vize-Präsident (selbsternannt, aber bim DFQV bestätigt)
- Vize-Iladigsversänder
- Selbsternannte Frauebeuftragtä und Glichberechtigungsbeamte von DF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*Anm. der Redaktion: Paraphrasiert, aber dä JWU isch ä Doppelgurke und drum interessiert dWahrheit eh niemert.
</t>
  </si>
  <si>
    <t xml:space="preserve">Servus und willkomme, 
Es isch Fritig, und die wo gnueg Muet gha händ sind hüt wieder in Safran gströmt um sich über nä delikate Dürüm herzmache. Euse Godfather SJU hät sich wäge sine Göttidienscht abgmeldet, well sich niemert bereit erklärt hät sini Zizze bereitzstelle, und er isch somit uf dä schändlich viert und lescht Platz vo dä Kalenderjahrwertig abgrutscht. Obwohl sini Intentione löblich sind, fragt mer sich obs das würklich Wert gsi isch, und sin Vorsprung uf dä YMI blibt somit bi knappe 62 Aweseheitspünkt. 
Somit zu allne Geburtstagschind vo hüt, YMI inklusive, wo hüt abig irgend ä Brüglete am nä See verastaltet, aber drum leider wieder nöd verbicho isch. Au euses Crevettli isch es Jahr älter, und mer fragt sich ob sie/er än 91er oder 92er isch. Who’s know. Und well dä JWU scho wieder zspat cho isch und erscht am 12:29 itrudlet isch händ am Afang nur die beide unagfochtene Spitzeriiter einigi intimi Moment därfe zäme gnüsse. Mer hät sich bewundernd über äm MSO/MST sini Prophezeiig usglah wo d’Abweseheit vom PKN nächscht Wuche vorhergseh hät und über Hitzewelle und chüeli Wohnige diskutiert. Mindeschtens 50% isch dä Meinig gsi dass es i Schwiizer Wohnige endlich richtigi Klimaalage brucht, und hofft dass euse schöni Summer wiiter so mild blibt. Dänn hät mer na chli über Tinder philosophiert und verschiedeni Perspektive ignoh um die Thematik differenziert z’ergründe. Und dänn isch leider dä JWU na vorem 12:31 cho, hät sin Donner erhalte und radibutz verschlunge. 
Die reschtliche 13 Minute sind dänn mit banale Frage gspickt gsi, wie d’Annahm dass jetzt alli in Gwaltstette plötzlich ZSC Fans werded ab nächscht Jahr (Iwand MSO/MST: mer wird nur vorübergehend ZSC «Fan» wänn mer grad erfolgrich isch), ob s’Hallestadion überlebe wird, und wie dä JWU die bittère Nacht a dä Party vom YMI überlebt. Dä MSO/MST isch überzügt gsi dass dä JWU letschte Summer au scho mal inere Alufolie uf dä Wiese übernachtet hät, und das drum kei schlechti Idee wär, aber er hät dänn kei Bewiisfoti gfunde. Schade, aber what want you do. 
Ich bedanke mich für d’Ufmerksamkeit und hoffe dass mer nächscht Mal chli meh chan brichte, wänn dä MSO/MST dänn churzfrischtig als Leader vom DF 20/21 chan glänze. Viu Glück und fiired schön
MSO/MST (Nr.  7)
- Hauptstatistiker (wenn er si dänn verschickt: wänn nur dä JWU so pünktlich an DF würd cho wär alles besser, oder schlechter, aber sicher nöd glich) 
- Vize-Präsident (selbsternannt, aber bim DFQV bestätigt)
- Vize-Iladigsversänder
- Selbsternannte Frauebeuftragtä und Glichberechtigungsbeamte von DF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*Anm. der Redaktion: Paraphrasiert, aber dä JWU isch ä Doppelgurke und drum interessiert dWahrheit eh niemert.
</t>
  </si>
  <si>
    <t xml:space="preserve">Liebi Mitglieder und Doppelgurke, 
Schande und es paar Liechtblick zeichned dä hütig DF us, und wie alles i dere moderne Ziit lieged die Sache ufeme Spektrum. Wie es Clausthaler Bière fehlt dä JWU i letschter Ziit nöd immer, aber immer öfters, und er bhaltet dä Trend wiiterhin am Läbe. Anderersiits kümmerert er sich extrem drum dass sich eusi virtuell Kasse schön füllt. Schandesskala: 9/11 (hehe)
Au dä PKN hät hüt gfehlt, was für einigi vo eus immer öppis positivs isch, und er konzentriert sich lieber uf sini Prüefige als uf dä Donnerverzehr und sini einzige «Kollege». Schandesskala: 6/13
D’Abweseheit vo YMI und CBO chan mer scho gar nüme i dä existierende Skala abbilde, und ich hoffe doch schwer dass si ALLI ihre bisherige Entscheidige und Prioritäte im Läbe gründlich hinterfraged. Dä Firat vermisst dä YMI, und kennt dä CBO scho gar nüme. 
Nach dere chline Schelte zum DF-Chern wo sich wieder mal pünktlich im Safran igfunde hät, und nöd umesuscht Präsi und Vize-Präsi sind (nebed allne andere Pflichte und guete Tate zum DF). Im intime Rahme sind dä SJU und MSO/MST ufem gmüetliche Sofa ghockt und händ philosophiert über uralti Film, so zum Bispiel eine vomene Aff im nä Hotel, oder eine im nä Campingtrailer in Schottland wo zur Ziitmaschine wird. Wenn öpper dä zweiti Film kennt, dä SJU wär üssertscht dankbar um Informatione wo zur Identifizierig vo dem Meischterwerk füehred. D’Muetter isch sehr besorgt gsi um dä MSO/MST wo hüt na uf Norditalie verschwindet, und si hät Angscht. Aber es isch nöd alles schlecht, es git ä neui Sauce wo mer zwar nanig probiert händ, aber sehr gspannt druf isch. 
Nebed dem sind na ganz vill luschtigi Sache besproche worde, wer meh will wüsse chan ja mal wieder verbicho. Die romantisch Zweisamkeit isch erscht dur än Glätzi vo dä GSCS unterbroche worde wo dä SJU kennt, wo dänn sehr offesichtlich mitem gflirtet hät und alli Zeiche nöd hät welle beachte dass er eher weniger willkomme isch, und so hät dä SJU dänn dä Schlussstrich zoge und mer isch go zahle. Als Abschied na ä Biznizidee für es speziells Glace: Pizza-Sorbet mit Mehl-, Tomate- und Basilikumglace, und bim Chäs chönnt mer uf än guete Burata uswiiche falls es Chääsglace zu obszön isch. Gemäss SJU passt Ananas- und Basilikumglace scho sehr guet zäme, und ich appelliere a öpper wo muetig gnueg isch zum so öppis mal probiere. 
Ich bin am nächschte Fritig nöd ume, wünsche eu somit zwei gueti Wuche, und ich gib mir uf dä Skala der Schande es 1/3. 
MSO/MST (Nr.  7)
- Hauptstatistiker (wenn er si dänn verschickt: schnell, schneller, am schnell) 
- Vize-Präsident (selbsternannt, aber bim DFQV bestätigt)
- Vize-Iladigsversänder
- Selbsternannte Frauebeuftragtä und Glichberechtigungsbeamte von DF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*Anm. der Redaktion: Paraphrasiert, aber dä JWU isch ä Doppelgurke und drum interessiert dWahrheit eh niemert.
</t>
  </si>
  <si>
    <t xml:space="preserve">Werti Herre,
Werte Schoggi
Eigentli hani mi uf en gmüetliche Friitig Namittag i mim Pyro vo de Staatsbank gfreut. Da de hütig DF aber mit Räuberpistolene und lustige Anekdote ubersäät gsi isch und well de uMSOMST sust immer sackstarchi Zämefassige macht, chlöpfi hüt au mal wider id Tastatur. Liebe MSO/MST, die Zämefassig isch dir gwidmet.
GO!
Was vorem 12:13 am DF passiert isch chani nöd beurteile. Fakt isch dass de SJU usem Gschäft hät müesse sprinte zum de Bus verwütschte. Haarscharf amene LI verbigrassled. Woni dLounge vom Firat sim Dehei erblickt han, isch mis Herz gad ufgsprunge. YMI und CBO sind glichziitig am DF gsi (Letzterer hät sich sogar es Stängli gönnt). Mag mi nüm dra erinnere, wenn das sletscht Mal de Fall gsi isch. Wahrschinli öppe denn wänn Toy Story 1 id Kinos cho isch. Dass de CBO überhaupt am DF gsi isch, isch de miserable Gender-Diversity-Policy vo de Partners Group zverdanke, wo de soziali Druck uf de CBO erhöht hät, zum sin Sitzplatz im Wakeboat ufem Lagg dö Nöschatel anere starkpigmentierte PG Summerpraktikantin miteme Kamm i ihrne Afrohaare z'überlah. Naja, eus häts gfreut! Mit vo de Party sind au de Weizekönig Ebli und de Kaiser vo de Morechöpf Schoggi gsi. Und natürli de härti Kern: PKN und de SJU. Hauptthema isch unter anderem de Zwillingsgeburtstag vos Ladners in Eisidle gsi und all sind gspannt, öb de SJU die ganz Hütte ide Nacht mit sim Schnarche zum bebe bringe wird oder öb – wie vom PKN berechtigerwiis vorgschlage – de SJU 3km in Wald usegschickt wird. Updates folged am nögschte DF. Erstuunt isch mer (oder zumindest ich) drüber gsi, dass de YMI und de zVieri (btw so en geile Übername) mitem Velo id Innerschwiiz radled. Ich zieh min imaginäre Huet. De YMI wird übrigens am nögschte DF wider mit sinere Standardabweseheitswahrschinlichkeit (&gt;75%) uftrumpfe, wänner mit de Miller-Männer im Zugersee go tauche gad und "als Gaggiböle us dere Pfütze wider uftauche wird." (Zitat CBO Ende) Währenddem d'DF-Truppe fridlich Dönerbox &amp; Co verspise händ, häts uf de Strass plötzli klöpft und täscht. En Rollerfahrer häts uf de nasse Gleis voll uf dSchnitz ghaue. Hät schmerzhaft usgseh und am humple vom Genfer Rollerfahrer ah zbeurteile häts ihm fast so weh ta wie am MSO/MST dass er hüt nöd hät chöne am DF debi sii. Natürli hät au s'wüchentliche Fachsimple über dFinanzmärt nöd döfe fehle und mer sind am YMI eimal meh dankbar, dass er dur dSwissquote Prüefig grassled isch und drum Tesla nöd hät chöne shorte. Well mit de höche Aweseheitsquote (ex. CBO und YMI) isch de Cashflow das Fiskaljahr sehr überschaubar und mer chönd jedi Reserve vom Vorjahr bruche. DF-Brüglete Datum isch au scho mal provisorisch festgleit worde: 28.11.2020. DFQV wird denn im Summer 2021 wider duregfüert und ich freu mi scho jetz wider uf Schueversteckis und andere Schabernack mitem JWU. Vilicht fangi bis denn au wider a Snuse damit de JWU öppis zum usleere und abstriite hät. We will see. Am YMI isches desweiteren no es Alige, dass sich jede scho mal Gedanke über de Usträgigsort vo de Brüglete macht. Mir egal wo, hauptsach mer landed wider ide Bierstube Scheidegg wo de Schoggi vo de Maria mitem Bese zum Tüfel gjagt wird. Das wär schön. Nachem zahle händ sich dEreignis nomal überschlage. Z'erscht hät sich de PKN en Spass erlaubt und am CBO sind Velosattel versteckt, spöter müesse feststelle dass sini Händ dreckig sind und si inere Pfütze "putzt" hät. De CBO hät de Diebstahl aber scho antizipiert und am SJU vorsichtshalber scho mal sini neue Chopfhörer abgluchst. Am CBO sind CS-Kolleg wo beid Diebstahl huutnöch miterlebt hät, wird sich wahrschinli gfrögt ha, was das für en Spakoverein isch. Recht hät er. Aber mir sind storz druf.
Bis spötischtens am nögschte DF
El Presidente
</t>
  </si>
  <si>
    <t xml:space="preserve">Allo und morge mitenand!
Ich bin wieder zrugg us dä Vacatione/Vacanzas und möcht i min erschte Satz dä SJU lobe, wo sin Job als Vize-Statistiker exzellent usgfüehrt hät.  Es werded immer wieder neui Höhe erklumme, und eusi 5 Ethic Standards (Partnership, Engagement, Negativity, In, Safran) werded täglich glebt und verbesseret. Ich hoffe au dass sich eusi Extrawurschtmitglieder wiiterhin werded am DF sichte lah, und nöd nur wänn dä MSO/MST nöd da isch. Au wenns nur dur Diversity-Initiative zstand chunnt wie bim CBO, wo sicher es anders Mal an newburgerlake chan gah. 
Am letschte Fritig sind wieder die übliche 3 Verdächtige im Safran uftaucht, nachdem si jewiils eimal gfehlt händ. Bi dä Akunft vom MSO/MST isch dä PKN ganz verdutzt scho mit ere Donnerbox verusse ghockt, und hät churz müese erkläre dass dä Firat chli übermüetig worde isch vor sine Ferie. Dä SJU hät dänn ä ähnlichi Reaktion gha, und hät dä PKN zerscht mal ganz schief agluegt. Die 3 Hauptpfiiler vom DF sind dänn ganz friedlich dete ghockt und händ versuecht dä Schandfleck vom Verein (dä Jinderletscht) z’ignoriere, wo sich unaständigerwiis selber iglade hät weller mal frei gha hät. Apropos, dä SJU hät sich ursprünglich dä Namittag frei gnoh für sini Busle mit grosse Plän am Wal-See, wo dänn doch na öppis ztue gha hät, woruf dä SJU verständlicherwiis chli hässig worde isch. Dä Rebound isch dänn uf dä Stell cho, well sini Busle sini Hässigkeit mit na meh Hässigkeit beantwortet hät. Wie dä Gandhi scho gseit hät, wänn der öpper is Aug sticht, stichsch grad zrugg. Click click (oder clip clip, wie dä Nikci Gurkenmann Grass seit). 
Dä SJU und dä Jinderletscht Silvaplaned usserdem na Ferie, villicht im Usland, villicht im Engadin. Mir wünsched gutes Gelingen, und hoffed dass dä PKN au namal fehlt, eusi Kasse bruchts, bsunders wenn mer euse Chlöpfete-Standard mit 800g Stiiks wänd ufrecht bhalte. A dere Stell gits mal es usserordentlichs Lob an JWU, wo mit sinere ständige Abweseheit und sine LIs/LIFOs endlich mal än tangible Biitrag zum Verein leischtet. Er seg a dä Côtè d’Azüre und blibt hoffentlich na chli dete. 
Suscht ischs s’übliche Geblöffe gsi über d’Temperatur i dä Wohnig (Jinderletscht (paraphrasiert): «Mini Wohnig isch nie heiss, ich bin dä geilscht, und han lieber 50 Stutz meh als Kollege»), äm SJU wo hüt ä neui Immobiliemöglichkeit gaht go uschecke, und dä Mafia wo im Aargau ihres Unwese triibt. Dä chlini Storz isch na churz analysiert worde, well er allne Teilnehmer mal na über dä Weg glauffe isch, und dä SJU hät dä genial Verglich gmacht zwüsched äm uMSOMST als Barney vo how I met your mother, und äm chline Storz als Hippie Barney. Sehr glunge, und üsserscht akkurat für die linggi Bazille. Gwüssi vo dene händ nämmli än Standort vo Maskeimporteur agriffe und än dete parkierte BWM vandalisiert, well es paar SVPler angeblich vill Geld mit dere Merchandise verdient händ. Amüsanterwiis sind die aber anschinend scho nüme dete am Bizniz betriibe, aber alli wo än BWM händ sind sowieso dreckigi Kapitalischte, also fühlt mer sich im Lager vo dä Revoluzzer sicherlich sehr mächtig. 
Zum Schluss na ä Räuberpischtole vom PKN, wo seit dass es früehner am Sihlquai automatischi Wassersträhl geh hät für all die Pro-stituierte und ihrne Gschäftspartner, und dass än Kolljeg vo ihm mal «zuefällig» druf gstosse isch. Hearsay I say, aber wär geil wänn das würklich so gsi isch. 
MSO/MST (Nr.  7)
- Hauptstatistiker (wenn er si dänn verschickt: liecht zspat, aber bis September hoffentlich wieder püntklich) 
- Vize-Präsident (selbsternannt, aber bim DFQV bestätigt)
- Vize-Iladigsversänder
- Selbsternannte Frauebeuftragtä und Glichberechtigungsbeamte von DF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</si>
  <si>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Guete Tag
Ohni Firat lauft nüt, und sini Ferieabsenz trifft dä Verein zmitzt is Herz. Dä JWU und PKN sind sichtlich am liide gsi wo dä MSO/MST pünktlich im Safran itroffe isch, wells dä jungi Burscht vo Chällner 2 Mal weggschickt händ, und dänn isches es Ziitli gange bis er sich namal usegetraut hät um dBschtellig ufneh. Es hät dänn au 20 Minute duuret bis alles da gsi isch, was scho än chline Scandalè isch. Dä SJU isch zspat cho, verschwitzt vom Velofahre, alles weller atemlos durch die Stadt gradlet isch um sin nächschte LI zverhindere. Und das mit Erfolg, mir gratuliered ihm herzlich, und appelliered starch a ihn, sini Velofitness z’erhöhe. 
Dä JWU isch wieder us dä Versenkig uftaucht und hät grad mal chli afange blöffe über San Remo, sis Französisch, und wiener über sMatterhorn heigfahre isch (nöd über Zermatt, direkt über dä Berg). Er hät usserdem gseit er seg jetzt bereit um dä all-time Punkterekord vom MSO/MST azgrife, ä gewagti Ussag für öpper wo i dä letschte 8 DFs 4 Mal gfehlt hät (+3 Mal än LI izoge hät) und storzi 11 Aweseheitspunkt hinter äm Leader isch. Bonne Schanse. Er hät usserdem Glück gha dass er dä PKN und nöd dä SJU gfragt hät ob dä Haserain würklich i dä Nächi vom Zoo seg und nöd in Albisriede, das wär äs wiiters Spektakel worde. 
Dä PKN isch voll im Lernstress und hät akündet, dass er sicherlich 1 Mal wird fehle i dä nächschte Wuche, was alli freut und d’Kasse füllt. Er hät au na lamentiert dass er sini Stempfel nöd gnueg abgholt hät i letschter Ziit, und ä Wett gäge dä JWU verlore, alles nur well dä MSO/MST mal wieder än Pide gchlöpft hät. Än DF zum Vergesse für dä jungi Maa. Apropos stämpfle, mer hät sich gfragt ob dä MSO/MST bald mal entlah wird (Ischätzig vom Experte: eher unwahrschinlich), aber falls ja dänn wärs verständlich dass er dä grandios Sozialplan vo dä GSCS usnutzt, und mer hät sich es paar Minute mit sehr gewitzte Plän umegschlage wie mer das schöne System chan usnutze. Worst case: er verhaltet sich wie än richtige Assi (also ganz natürlich) bim Vorstelligsgspräch und verlangt 200k, und dänn wird er glich agstellt und landet plötzlich bi dä Luuserbank ZKB. 
Mer hät sich usserdem druf g’einigt dass euses Engagement im DF als ehreamtlichi Tätigkeit gilt, und ich hoffe jede passt hüt na churz sis CV a. Nachdem dä JWU vo sinere neue Statistikusbildig verzellt hät, so dass er sini Vergangeheit als dubiose und in Ungnade gfallene DF-Statistiker chan Rechtfertige, händ di beide Finanzfüx SJU und MSO/MST na chli mit ihrne Investments blöfft, und dä SJU hät dänn au na vonere neue Wohnig verzellt woner mal go aluege isch. Mir hoffed er findet endlich eini, ich hans langsam satt immer vo dere Entwicklig zbrichte. Zum Schluss isch dänn na s’Thema vo Malle ufcho und dä arme DJs wo nüme vor gröölende Holzchöpf chönd uflege, wie dä MSO/MST mal äm Portemonnaiedieb vom Nikci Gurkenmann Grass nagrennt isch und ines parkierts Auto grennt isch, was än guete DJ usmacht, irgend ä Räuberpistole vom SJU über än Velounfall und natürlich die jüngschte Entwicklige vo dä Polerundfahrt. 
So das isch es gsi, vill Unglück für all die Jusos wo vom Jinderletschte iglade worde sind hüt Abig, und bis nächscht Wuche wänns wieder heisst: Dürüm mit Wasser, dini Verteidigung hät Angscht
MSO/MST (Nr.  7)
- Hauptstatistiker (wenn er si dänn verschickt: han doch gseit ich seg pünktlich, aber hät mer natürlich wieder niemert glaubt) 
- Vize-Präsident (selbsternannt, aber bim DFQV bestätigt)
- Vize-Iladigsversänder
- Selbsternannte Frauebeuftragtä und Glichberechtigungsbeamte von DF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</si>
  <si>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Liebi Mitglieder,
Die ganzi GSCS Infrastruktur isch grad vollkomme zämegheit, drum chunnt hüt alles mit chli Verspätig. Aber es isch nöd alles nöd Gold wo nöd glänzt, zum Bispiel sind mer hüt wunderbari 6 Lüüt gsi im Safran. 
Dä einzig Abwesend isch dä YMI gsi, wo gemäss Räuberpischtole angeblich i dä Rhiischlucht am Cannoyningä isch. Dä PKN hingäge isch ganz fesch und schnittig mit mä neue Haarschnitt uf äm Sofa ghockt, isch aber suscht sehr ruhig gsi. Mit grosser Überraschig isch dä CBO au däbi gsi, und isch wie immer am blöffe gsi über sini Wuchenendplän. Er plant än Vor-Stoos mitere grosse Wanderig, und er isch nöd ällei; Schlage und Schreibe alli (ussert dä JWU, also alli) gönd am Wuchenend entweder go Wandere und/oder is Bündnerland. Dä PKN gaht go büffle uf Brügels, dä MSO/MST lauft id Terrihüttä, dä SJU laht sich ilade uf Silvaplana und dä au awesendi Luca Hänni the first macht glaubs au öppis i dä Berge. 
Es isch frisch und fröhlich zue und hergange, z’allererscht mit ere Diskussion über d’Absagegebühre i Berghütte und all die Wanderer wo überall bueched und dänn än Tag vorher absäged. Mer hät sich im Kollektiv drüber ufgregt, bis dänn dä SJU gmerkt hät er müess na d’Blüemlisalphütte absäge. Eieiei. Wägem PKN und sim Studieusflug uf Brügels häts ä langi und müehsami Diskussion zwüsched äm CBO, MSO/MST und JWU geh wo genau dä MSO/MST i sim Feriehuus zwüsched Brügels und Illanz gsi isch, inklusive ob s’Bündnerland im Engadin isch oder nöd. Faszinierend.
Dä JWU hät sich wieder mal än klassische LI igfange, und hät dänn prompt mit sinere Brüglergschicht vom Bahnhof Bonstette-Wettswil uftrumpft, woner grad I 2 Polizeikontrolle cho isch als potentielle Verdächtige im nä Räuberpischtoleüberfall. Dä netti Polizischt hät ihm dänn na es paar Frage gstellt um än binere Lüüg zverwütsche, bis dä JWU ihn dänn miteme Snüsli bestoche hät. D’Gsellschaft isch dänn ganz unhöflich unterbroche worde vonere absolute Legende im Auto uf dä andere Strassesiite, wo s’grosse Bedürfnis gha hät mit mä luutä Hàähhähäahfasdfk uf d’Strass zchodere. Mer vermuetet dass er dä PKN gseh hät und denkt hät, er segi i dä Nächi vom Alkiheim / Männerhuus. Mir wünsched gueti Genesig. 
Am Schluss will ich na uf die Grossartig Arbeit vom SJU ufmerksam mache, wo mit sinere marwülöse Website alli verwunderet und begeisteret. Lueged schnell druf bevor dänn d’Paywall chunnt für alli Mitglieder 2ter und 3ter Klasse, wo sich nöd mit mä (Vize-) Präsidenteamt chönd beschmücke. Mir sind gspannt uf d’Wordmäp, und ich wünsche eu allne äs schöns Weekend. 
Extrazückerli: Pesto chunnt vom Verb «to pestâ», wänn mer öppis verdruckt, und nöd wie dä MSO/MST agnoh hät, wells ä Paschte isch. 
MSO/MST (Nr.  7)
- Hauptstatistiker (wenn er si dänn verschickt: Cazz GSCS mit ihrere IT-Infrastruktur vo 1995, suscht wäri sowas vo on time gsi) 
- Vize-Präsident (selbsternannt, aber bim DFQV bestätigt)
- Vize-Iladigsversänder
- Selbsternannte Frauebeuftragtä und Glichberechtigungsbeamte von DF
- Grund für d’LIFO+ Buess wänn mer sich ameldet und nöd chunnt #Influencer
- Leader i dä folgendä Statistike:
- Total DF visits
- Overall participation rate
- Participation rate 2016/2017/2018
- DF visits 2017/2018
- Most consecutive DF visits (21, 3.2-30.6.2017)
- Lowest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</si>
  <si>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Guete Donner mitenand, 
Wie immer (ussert wänn nöd) gits die neuschte Stats und äs grosses Schmankerl mit dere ellelange Zämefassig. 
Nachdem letscht Wuche alli schön blöfft händ wies gönd go Wandere und/oder is Bündnerland hät mer hüt d’Uswirkige eidütig gseh. Nur dä MSO/MST isch einigermasse frisch gsi, dä PKN häts verbriglet und drum nöd an DF gschafft, dä SJU hät usgseh wie än verschwitztä Lumpä, und mer munklet dä CBO seg immer na sini Verletzige am zelle vo sim Usflug in Stoos. Durs Fehle vom PKN isch dä MSO/MST wieder mal dä rechtmässig Füehrer i dem Kalenderjahr, und mer hoffed alli dass sich a dem nüt meh änderet i dä nächschte 14 DFs. Dä JWU wagt sich gschiderwiis nöd id Berge, gseht aber per Definition au us wie än Lumpä, drum gits i dem Fall nüt Neus zbrichte, ussert dass er sich zur Usnahm mal KEIN LI gönnt hät, aber er isch immerhin nöd dä Erscht gsi im Safran. 
Mir händ die Wuche aber zwei alti Bekannti wieder gseh, und mir fanged mit äm Wichtigere a: Dä Firat isch zrugg us dä Ferie, und gwüssi Füx händ scho wieder online ihri Bstellig chönne duregeh. Schönerwiis isch aber au dä YMI petri heil zrugg cho vom dä Rhiischlucht, und hät eus mit sinere ruhige Art wieder mal chli an Bode gholt. Er hät vill verzellt vo schöne kulinarische Wanderigä, Velotüürli und Riverrafting, und mer hät zäme gstuunet und glacht. Fascht so fescht wie über die grossartig Party i dä Burg vo Sils-Maria, wo anschinend bald mal härti Raver Izug nehmed, inklusive YMI und JWU, und mir hoffed uf neui Räuberpischtole mit pikante Details. 
Dä SJU fehlt die nächschte 1-4 Mal, und es isch mer ä wahri Freud eu die verschiedene Szenarie zpräsentiere: 
• 1 Mal fehle: Dä SJU gaht uf Sardinie go Kite-Surfä mitem Jinderletscht und äm Ebito-Ebito, fehlt nächscht Fritig, chunnt i dä Wuche druf wieder zrugg und schaffts na knapp an DF well sis Flugi rechtziitig achunnt (Szenario chan än LI beinhalte)
• 2 Mal fehle: Dä SJU verfluecht dä Pilot (und/oder Co-Pilot, weiss ja nöd wer genau so langsam flügt) und schaffts nöd an DF, oder erscht nachem 12:31, und mer wird na Jahre drüber brichte wiener damals steihässig gseit hät «ich bin so hässig. Na nie bin ich so hässig gsi»
• 3-4 Mal fehle: Dä SJU chunnt zwar rechtziitig zrugg, muess aber 2 Wuche id Quarantäne und wird bim BAG vom MSO/MST verpetzt wänner sich an DF getraut. Falls er nöd richtig chan zelle weiss er nöd wänn genau d’Quarantäne agfange hät, und verpasst dä 4ti DF au na grad
Zu dere Diskussion häts dänn es paar unsinnigi Ussage geh, insbesondere dass alli sich uf Covid 20 (au Covid 2.0 gnännt vo dä IT-Füx) freued, ob mer das überhaupt chan übercho ohni Softwareupdate, und was für äs Virus s’zuekünftige 6GGG-Netz verbreite wird. Und mer überleit sich, ä neui Maske z’drucke mitem DF Logo, nummere und Chürzel für eusi Chlöpfete im November. Dä YMI hät s’Restaurant Seebach in Weidhof (oder umgekehrt) vorgschalge. Es seg chli am End vo dä Welt aber es gäbi geils Cordon Bleu. Dä JWU hät sich dänn wiederum än Plan usgheckt dass er im ÖV det ane kei Maske muess alege, und schlaht vor dass mer konstant muess vo sim Bidon trinke. Sehr elegant, und z’erwarte vo eusem neue Data Scientist wo angeblich bald mal uf Rumänie oder Prag gaht um Stripschüppe go uswärte für sini Abschlussarbeit. 
Zum Schluss vo mim Sermon gits na ä chlini Quizfrag, wer si falsch beantwortet chunnt än härte Tolgge über i sis DF Heft:
Wänn mer bim nä Schieber Eichle will (mer hät es Ass, än Chüng und es Banner), es wird vom Schiebpartner Schilte trumpft (mer hät weder Trümpf na Strümpf), und mer chan verrüehre, dänn leit mer:
A) Sis Eichle Ass, zum zeige dass mer Eichle will (präferiert dur dä Nikci «Gurkenmann» Grass)
B) Äs Rosette 8ti, zum zeige dass mer Eichle will und gern sini Rosette zeigt (empfohle vom Jassvizekönig us Wettswil, JWU)
C) Äs Schelle Öberli, well er so än Schnügel isch (Ussag vom Telefonjasser CBO)
D) Was heisst verrüehre? Ich weiss nöd mal was Trumpf isch (paraphrasiert vo dä Amatörjasserinne Sophia/Sofia (who’s know wie mer dä komplizierti Name schribt) und Mari)
Gnüssed dä letscht Summertag, mer gsehnd dä SJU i 5 Wuche wieder, und hebed än Guete, aber nöd mine 
MSO/MST (Nr.  7)
- Hauptstatistiker (wenn er si dänn verschickt: Wiedermal sehr flitzig) 
- Vize-Präsident (selbsternannt, aber bim DFQV bestätigt)
- Vize-Iladigsversänder
- Selbsternannte Frauebeuftragtä und Glichberechtigungsbeamte von DF
- Grund für d’LIFO+ Buess wänn mer sich ameldet und nöd chunnt #Influencer
- Leader i dä folgendä Statistike:
- Total DF visits
- Overall participation rate
- Participation rate 2016/2017/2018/2020(forecast)
- DF visits 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</si>
  <si>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Heiligi Maskepflicht, es isch scho wieder Fritig
Bi dä Akunft vom MSO/MST isch d’Diskussion mit YMI und PKN schnell unterbroche worde, was mit dä schnittige Erschinig vom Hauptstatistiker z’erkläre isch. Die Wuche häts ze Return of ze King is grande Büro vo dä GSCS geh, und drum hät dä MSO/MST mal nöd usgseh wie än Lumpe. Mer hät generös Kompliment zum x-Tagebart verteilt, und es isch dänn ä chlini Diskussion zum Bartwuchs agfange worde. Dä YMI hät sich dänn verpflichtet, sin Baggebart wachse zlah, um au mal ä vollständigi Gsichtsbehaarig zpräsentiere. Mir sind gspannt. Dä glichi YMI hät sich usserdem überleit, sind Sonderstatus ufzgeh, um äm CBO sini Buess id höchi ztriibe und eusi Kasse endlich mal richtig zfülle. Dä PKN, wo sini schriftliche Prüefige gründlich verhaue hät gemäss dä Experteischätzig vom DF-König, plant ebefalls mal längeri Ferie für 2021, und mir freued eus uf all das extra Geld wo i dä Zuekunft in Verein flüsst. Die virtuell DF-Aktie schüsst nur so id Höchi, und ich würd säge mir shorted bald mal. 
Aber zrugg zum eigentliche Fokus: dä Donner. Dä Safran isch pumpevolle gsi, und well dä YMI dere moderne Technologie vom online bim Firat bstelle nöd vertraut, isch d’Warteziit nöd ganz so churz gsi. Ohni SJU (Ferie) und JWU (zu bizi und verängschtigt um sich an Waffeplatz zgetraue) sind d’Diskussione dänn wieder zrugg zu dä Investments gange, und während alli froh sind dass mer Tesla nöd gshortet händ, fragt sich insbesondere dä PKN wie sis vorgschlagene Hanfinvestment sich entwicklet hetti. Söll bitte öpper mit gnueg Finanzwüsse überprüefe. Später sind dänn na anderi Investitionsmöglichkeite prüeft worde, insbesondere is Biziness vom Fremdkredit, wo mer angeblich stattlichi Zinse chan iheimse. 
S’Panel vo Sportinteressierte hät sich dänn chli über d’Effekt vom Virus19 unterhalte, wie wahrschinlich s’isch dass alli Clübs gschlosse werded und nur na im Untergrund illegali Parties gfiiret werded, und wies mitem einzige Schwiizer Sport (Ishockey) wiitergaht. Nach mä berechtigte Kommentar zu dä NHL wo nöd s’gliche seg ohni Zueschauer isch mer dänn zu dä Amerikanische Politik und dä Stichwach vom Obertrottel gäge dä senil Pädo cho. Dä uMSO/MST hät nöd umsonst ä churzi Zämefassig vo dä politische Lag geh, mer hät sich über d’Überseeler luschtig gmacht, und dänn unisono gfundä dä Christoph Blocher hegi eigentlich sin Aspruch uf sini Bundesratsrente nüme. 
Zum Schluss gits na ä Zämestellig vo allne Antworte zum Jassquiz (Antwortmöglichkeite sind am Schluss vom Elektronische Brief). Leider hät niemert d’Antwort C gwählt, was natürlich korrekt gsi wär wegem Schelle Ober Schnügel:
• SJU: B) aber nur wege de Rosette. De Rescht macht mines Erachtens kei Sinn.
• CBO: Ich spiele amigs B), aber A) isch besser.
• YMI: Denn wür ichs B neh
• JWU: oohhh ich nimme antwort E (Anm. der Reaktion: es hät gar kei Option E geh) gemäss empfehlig vo YMI und SJU. Alli charte wo me het muss me verrüehre, well susch chame ja nie eidüütig zeige, welli charte dass me wott! [C isch falsch,] well wenn ich jetzt will, dass min partner de schelle-ober usspielt, denn chan ich ihm das ja nur azeige, indem ich selber de schelle-ober spiele. Und denn chaner en ja nüme spiele. drum sägich da nur: schellinski hiess der pole!
• PKN: -
Macheds guet, liebi Grüess zu dä Sardine, und mer gseht sich nächscht Wuche wieder wänns heisst: Hoi Firat, ich würd gern 1 Pide mit Kebabfleisch bstelle uf di 12:10. Merci
MSO/MST (Nr.  7)
- Hauptstatistiker (wenn er si dänn verschickt: Na vorem Rege) 
- Vize-Präsident (selbsternannt, aber bim DFQV bestätigt)
- Vize-Iladigsversänder
- Selbsternannte Frauebeuftragtä und Glichberechtigungsbeamte von DF
- Grund für d’LIFO+ Buess wänn mer sich ameldet und nöd chunnt #Influencer
- Leader i dä folgendä Statistike:
- Total DF visits
- Overall participation rate
- Participation rate 2016/2017/2018/2020(forecast)
- DF visits 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A) Sis Eichle Ass, zum zeige dass mer Eichle will (präferiert dur dä Nikci «Gurkenmann» Grass)
B) Äs Rosette 8ti, zum zeige dass mer Eichle will und gern sini Rosette zeigt (empfohle vom Jassvizekönig us Wettswil, JWU)
C) Äs Schelle Öberli, well er so än Schnügel isch (Ussag vom Telefonjasser CBO)
D) Was heisst verrüehre? Ich weiss nöd mal was Trumpf isch (paraphrasiert vo dä Amatörjasserinne Sophia/Sofia (who’s know wie mer dä komplizierti Name schribt) und Mari)
</t>
  </si>
  <si>
    <t xml:space="preserve">Gruesswort
Es isch drunder und drüber gange hüt im Safran, und es isch mer ä wahri Freud eu d’Gschicht vom erschte Septemberfritig im heilige Jahr 2020 z’verzelle. Ich han grosses Mitleid mit allne Mitglieder wo nöd händ chönne teilneh a dem amüsante Blöfffescht. 
Fangemer wieder mal mitem positive a, und da gits einiges zbrichte. Dä JWU hät eigentlich welle go brügle in Osteuropa, aber da weder d’Rumäne zvill Angscht gha händ vorem TaMediamogul na d’Tscheche ihn händ welle inelah (im Wüsse wie vill Glasscherbe als Folg entstönd) ischer dänn doch an DF cho. Ich möcht da gern dä beide Regierige gratuliere zu dem sinnvolle Entscheid. Drum gaht er jetzt für äs romantischs Wanderwuchenend uf Östrich an Hungerberg, und wird wahrschinlich än neue Coronahotspot àla Ischgl astosse. Au dä CBO isch wieder mal nöd cho, und wegem lausige JWU wird er nöd mal däfür mitere Buess. Gerechterwiis isch aber dä YMI au nöd büesst worde, wo sich mit mä Huet-trick (also zum dritte Mal in Folg für die wo kei Ahnig vom Sport händ) zu eus gsellt hät. Dä Firat hät frei gha, und das isch doch au öppis schöns, aber es werded Stimme luut dass er au mal sötti ä Buess zahle wänn er nöd chunnt. 
Jetzt zum eigentliche Hochliecht: häts dä SJU gschafft oder nöd? Njet. Also er häts njet gschafft zspat oder gar nöd cho, und isch scho stinkfrech und goldbruun ufem Safran-Sofa ghockt. Mer munklet dass er äm Pilot mit mä Chieferbruch droht hät, und drum rechtziitig acho isch. Es seg sehr schön gsi im Süde, mit Spanferkel, Wanderige, und ganz vill Watersports (leider kei Golden Shower, jedefalls gemäss mim Wüssensstand). Mir hoffed dass Sardinie trotz dä Presenz vom Jinderletschte kein fischige Nachgschmack hinderlah hät. Und was mich bsunders freut isch dass dä Trottel sis Velo am HB stah lah hät (gemäss Quelle nur gsicheret dur äs «Füdlischloss»), und irgend ä Legende das entwendet hät. Di Jinderletschte chlöpfts. Um sini Schmach zverdaue rennt er hüt 2 Mal uf dä Üetliberg. Wies dä Zuefall will hät dä SJU i sinere Abweseheit än neue Flitzer poschtet, und gemäss äm populäre Slogan «bläck bikes matter» segs schwarz und schnell. 
Dä YMI und JWU sind wie akündet am rave gsi im Schloss Sils, und es seg ganz luschtig gsi. Meh weissi leider nöd welli nöd so richtig zueglost han. Mer hät sich na gwunderet wie die neue Fieberpischtole im Apple Shop funktioniered, und am Schluss hät dä JWU sich wieder mal ennerviert über d’Tatsach, dass er erneut so schlecht abschnidet im DF-Kalenderjahr 2020. Mer hät sich i dä Top 3 Gruppe Gedanke gmacht, was passiere würd wänn dä JWU än Tamedia-DF gründet und dä Jinderletscht wieder iladet, und was dä MSO/MST für ä DF Spend vom Jinderletscht würd akzeptiere falls er sich wieder würd ineschliche welle. Antwort: ä Buess für jede DF woner gfählt hät sit sim schändliche Ustritt. Und dä JWU hät akündet dass er am SJU sini Jagge endlich will zrugggeh. 
Also chlises Zückerli für dä wunderbar Tag hät sich dä MSO/MST bsunders is züg gleit, und da er sis Hauptstatistikeramt um einiges ernster nimme als sis Vize-Iladigsversänderämtli hät er sich churz d’Müeh gmacht, ä Partizipationsgrafik z’erstelle sit äm Entstehe vo dem wunderbare Verein (siehe Tab «Participation»). Es isch ä packendi Gschicht vom Ufstieg vom DF-König uMSOMST (1, 4), äm tüüfe Fall vom CBO (2), äm YMI sin Move zum edle Symposium (3), am SJU sini Ferie ohni Sonderstatus (5), und s’Chopf a Chopf a Chopfrenne wo sich dä PKN bis jetzt (Status 4.9.2020) als Nummere 2 bestätigt (6). Da mir leider ä kompletti Statistik vom erschte DF-Kalenderjahr fehlt, und ich nur dä Abschlussbricht han, han ich das mal linear approximiert, aber falls epper jepper das na hett wärs natürlich brilliant wänn er/sie/es mir das würd schicke. 
Jetzt zum negative: Es git kei Stehplätz meh im Ishockey bis dä ganzi Coronagspass verbi isch, und obwohl das für all die Hardcorefans vo eus bitter isch (e.g., MSO/MST mit 0 Teilnahme i dä Saison 2019/2020, aber au nur wells kei Playoffs geh hät), chan ich mir gar nöd vorstelle wie das für die fetti Inzeschtfamilie wird siii. Das ischs gsi, hebeds guet mini Chinder. 
MSO/MST (Nr.  7)
- Hauptstatistiker (wenn er si dänn verschickt: schneller als d’Iladig, god be thank isch dä SJU zrugg) 
- Vize-Präsident (selbsternannt, aber bim DFQV bestätigt)
- Vize-Iladigsversänder
- Selbsternannte Frauebeuftragtä und Glichberechtigungsbeamte von DF
- Grund für d’LIFO+ Buess wänn mer sich ameldet und nöd chunnt #Influencer
- Leader i dä folgendä Statistike:
- Total DF visits
- Overall participation rate
- Participation rate 2016/2017/2018/2020(forecast)
- DF visits 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</si>
  <si>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Liebi Zämefassigsempfänger
Schön isches gsi a dem signifikante Tag vom eleven-nine im Safran. Dä Firat isch wieder da, all 4 Hauptmitglieder sind pünktlich cho, und d’Pides und Dürüms händ gmundet. Dä MSO/MST isch hüt umsomst is Büro und dänn grad wieder hei well kei Sau vo sim Team cho isch, und isch drum ganz leschere als erschte ufem Sofa ghockt. Alli sind überrascht gsi dass dä JWU nöd sin 7tä LI vom Fiskaljahr izoge hät, aber mir händ wiiterhin grosses Vertraue i ihn zum euses Büdgsche na chli zverbessere. Mer hät dänn chli spekuliert wie riich dä DF-König MSO/MST isch well er hüt uf dä heilig Moritz gaht, und er sone Bonzewohnig hät, und dänn isch d’Muetter cho und hät s’wichtige Pidebschteck anegleit und isch wieder abdampft. Dä steihässig SJU isch dänn selber go Getränk hole, und anschinend chli vo ihre agschnäuzt worde warum er dänn nöd bi ihre bstellt hät, und es hät es härts Bättul geh. Dänn isch si glich na go frage ob irgendöpper suscht äs Dösli will, aber njet. Wo dänn dä JWU bi sinere Akunft es Cola Sero bstellt hät, hät si zerscht nei gseit, und dä PKN die Gurke hät plötzlich doch na Durscht übercho und na än Pfirsich us dä Dose welle. Es absoluts Fiasko, und glücklicherwiis gaht dä SJU id Innerschwiiz uf än Berg und go Babysitte, dänn chan er sich chli abrege nach sim Wuetusbruch. 
Mer hät sich dänn uf wichtigeri Sache besunne, zum Bispiel ä unsinnigi Diskussion agstosse vom JWU über sini abgschlosseni Velokarriere, sis neue Balanceboard fürd Glenk, und alli händ dänn irgendwelchi nöd existierende Studie zitiert für und wider äm Stundpunkt ob Springseile jetzt guet oder schlecht seged fürd Glenk. Da isch d’Forschig nanig ganz so wiit, aber mer weiss zumindescht dass Pides sich positiv uf Glenk uswirked, ussert mer hät Gicht im Zeche, dänn nöd. 
Nachher isch wie fascht immer drüber spekuliert worde, wer am Schluss vom Jahr z’oberscht i dä Stats isch, und dä PKN hät sich fürchterlich über dä MSO/MST ufgregt und ihm vorgworfe, er nähmi sini Ferie nie oder erscht nächscht Jahr, wo dä PKN ja sini langi Reis plant und dänn uf sine zwei Chrönli sitzebliibt. Dä JWU hät wieder Mal akündet, dass er dänn nächscht Jahr nie fehle wird, und dä SJU interessiert das alles nöd, well solang er sich Presidente chan schimpfe sini Machtgier gstillt isch. Natürlich sind scho Plän gschmiedet worde wie d’Buessestruktur nächscht Jahr chönnti usgseh, und ich freu mich scho uf die hitzige Diskussione a dä Chlöpfete. Nachdem dä JWU dä Jinderletscht hät welle ad Chlöpfete ilade, hät sich än besorgte SJU na drüber g’üsseret wie sehr äm Jinderletschte dä ganzi Hass vom MSO/MST zuesetzt, und dä PKN hät chönne mit Insiderinfos uftrumpfe dass dä Jinderletscht zum Psychiater muess. Mir blibed a dem packende Thema dra falls neui Erkenntnis uftauched. 
Nach mä churze Intermezzo über die aktuell Marktlag und die wunderbar Möglichkeit, endlich Tesla z’shorte, hät dä JWU na chli vo sinere neue Baumschuel verzellt, und dänn isch mer sich na uneinig gsi ob Ecstasy neh jetzt legal oder illegal isch (es isch illegal, aber illegal isch scheissegal). Dänn händ sich d’Weg trennt, und s’Executive Board isch mit ihrne legendäre Velos dävodüüst. 
Meh gits eigentlich nöd z’säge, vor allem welli nüme meh weiss. Jede wo sich nanig bi mir hät chönne bedanke für die grandios all-time participation Grafik söll das bitte na mache. 
MSO/MST (Nr.  7)
- Hauptstatistiker (wenn er si dänn verschickt: ich bin so riich) 
- Vize-Präsident (selbsternannt, aber bim DFQV bestätigt)
- Vize-Iladigsversänder
- Selbsternannte Frauebeuftragtä und Glichberechtigungsbeamte von DF
- Grund für d’LIFO+ Buess wänn mer sich ameldet und nöd chunnt #Influencer
- Leader i dä folgendä Statistike:
- Total DF visits
- Overall participation rate
- Participation rate 2016/2017/2018/2020(forecast)
- DF visits 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</si>
  <si>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Guete Tag mini Dame und Herre, 
Ich han mich entschiede, die Zämefassig erscht am hütige Mäntig zschicke, well ich Usred Usred Usred. Usserdem werded hüt alli belohnt, wo ganz gueti Auge händ, oder IT-Füx sind. Jetzt wo mer das klärt händ, gahts grad los:
Gemäss unverlässliche Quelle isch dä SJU isch scho wieder ufs Brienzer Rothorn gange am Fritig, und hät drum nöd chönne teilneh am schönschte Zmittag vo dä Wuche. Es wird gmunklet dass dä alti Bergfux die letschte Summertäg na hät welle gnüsse, und sich lieber mitem Bergfieber statt Corona infiziere. Mir sind gspannt wie das klappt hät. Dä JWU hät sich wieder mal id Nessle gsetzt und am Afang akündet, er müessi dänn am Halbi 1 gah, well er es wichtigs Journalischtemeeting gha hät und sich hät welle ilese, und scho händ alli gseit es git ä saftigi Buess, was die altbekannt Diskussion über eusi kompliziert Gebührestruktur lostrette hät. Ohni awesende Presidente sind fascht scho meuterischi Tön ufcho, und ich bitte alli, sich än schriftliche Vorschlag ufzbereite für d’Brüglete, so dass mir eusi Buesseregle chli chönd standardisiere. Und falls es wieder ä emotionali Diskussion mit vill Chaos und flügende Bierfläsche git, wär das doch auch scho öppis. 
Dä JWU hät dänn chli blöfft wie si ihre Gegner im Cup vernichtet händ, wo angeblich ufem Papier massiv besser seg. Si seged im Ligaspiel däfür undergange, und mer fragt sich ob die Prioritäte richtig gsetzt worde sind, well dä Cup ja würklich nüt zellt, ussert wenn Zug günnt. Das hät eus dänn uf äm YMI sini Fuessballkarriere bracht, und dä MSO/MST isch ganz STORZ gsi dass er än wiitere Usseverteidiger i sine Reihe gfunde hät. Die edli Position müess zwar vill renne, isch aber extrem villsiitig und au offensiv, und wänn mal eine verbiizieht chan mer immer äm Inneverteidiger dSchuld geh wänner än au na durelaht, well dä ja suscht nüt ztue hät. Usserdem muess mer nie uf dä first ball gah bim nä Abkick, und trotzdem hät dä YMI au scho heldehaft än Chopfball verwütscht, wo nöd ganz uf sini Stirn gange isch. Dä JWU isch ganz erstuunt gsi wie das möglich seg, und warum das Schmerze verursache chan, aber mit sine dichte Fake News Haar würd er eh nüt gspüre. Mir hoffed aber alli, das dä YMI mal zum nä richtige Chopfballmonschter wird, und s’wunderbare Gfühl chan erlebe, bim nä Eggball im eigene Sixteener es fabulöses Eigegoal inezzirkle. 
Dä MSO/MST hät sich wie immer sehr zruggghalte, und hät nur churz brilliert woner d’Muetter usebeorderet hät zum Bstelle. Well dä Firat scho wieder zspat cho isch, häts chli duret bis da Ordnig i dä Chuchi present gsi isch, und wo si dänn mite Schribblöckli dagstande isch hät dä Firat s’Kebabzepter scho übernoh. Dä YMI hät übrigens es glänzends Timing, well er genau dänn itrudlet isch, aber es hät immer na es Chopfschüttle geh über sin Widerwille, über Whatsapp zbstelle. Villicht brucht dä jungi Maa eifach au mal Ferie, und fuxig wiener isch hätter sich grad 2 Wuche gnoh um uf Italie z’verreise. Oder villicht hät er sich müese erhole vo sim tragische Schicksal, woner innerhalb vonere Wuche 2 Platte verursacht hät. Eine bim eigene Flitzer wos uf dä Üetlihügel gange isch, und dänn hätter sich doch frecherwiis s’Velo vo sinere Frau gnoh, und dänn häts dä Reife und ihn grad namal gchlöpft. Sapperlott. 
Zum Schluss häts na äs Novum geh: Well dä JWU ja hät welle früehner gah, hätter d’Muetter usebeorderet zum ufem Sofa z’zahle, was dä Glätzi i dä Chuchi nöd so goutiert hät. Er hät zerscht welle mit Bargeld zahle, wo dänn aber alli andere zerscht händ därfe bläche, häts än verjagt, und dänn hätter glich mit Chärtli zahlt. Wahnsinn. 
Jetzt na zum PKN: Er isch au da gsi. 
MSO/MST (Nr.  7)
- Hauptstatistiker (wenn er si dänn verschickt: ich bin so zspat, es chan sich jede ä eigeni Usred usdenke und mir schicke, aber macht eh niemert) 
- Vize-Präsident (selbsternannt, aber bim DFQV bestätigt)
- Vize-Iladigsversänder
- Selbsternannte Frauebeuftragtä und Glichberechtigungsbeamte von DF
- Grund für d’LIFO+ Buess wänn mer sich ameldet und nöd chunnt #Influencer
- Leader i dä folgendä Statistike:
- Total DF visits
- Overall participation rate
- Participation rate 2016/2017/2018/2020(forecast)
- DF visits 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</si>
  <si>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Hallo und Grüessech, 
Ich hoffe das isch gross gnueg, au für dä Massregler Crevette Bouquet, wo trotz grosse Akündigung dass er hüt chämi um än Atrag für einheitlichi Schriftgrössene i dä Statute hät welle stelle, leider wieder mal nöd cho isch. Nach sim Input, mini Signatur seg s’Wichtigeschte vo dä ganze Zämefassig, han ich mir erlaubt d’Schriftgrössi na chli azpasse, und ich hoffe mini treue Leser sind jetzt endlich zfride. Aber jetzt zu dä absolute Hiobsbotschaft vo hüt, dä Firat isch nacheme Putschversuech usem Safran verbannt worde, und mer vermuetet er suecht jetzt i sim neue Dönerlade «Firat Punto» Exil. Dä Einzig wo hät welle es Statement däzue geh isch dä PKN: «es chönnt nöd schlimmer cho». Mir stimmed dem absolut zue, und hoffed dass dadämit dä Tüüfpunkt i eusem Läbe endgültig erreicht worde isch. 
Bsunders für dä PKN isches hüt Chnüppeldick cho, nachdem er sich gescht 6 Stund lang nur vo Bière ernährt hät im treffend benannte Lokal «Bière Lab». Und nöd nur das, er hät sich d’Frechheit erlaubt usschliesslich s’einzige Bière uf dä Charte zbstelle, wo nöd vom Lab selber hergstellt wird, und prompt än Rüffel kassiert. Drum hät er sich hüt grad freignoh um allfälligi Überhäng uszkuriere und über sis Lebe nahzdenke. Nöd vill besser ergange isches äm JWU, wo mit sim LI Nummere 7 sin eigene Rekord übertroffe hät. Immerhin hät er än akündet, und sich hüt chli meh Ziit für eusi Gsellschaft gnoh, was au nötig gsi isch, well d’Muetter doch es ziitli gha hät um die zwei Pides vorzbereite. 
Zrugg zum PKN, wo normalerwiis chli ignoriert wird i dene Zämefassige well er eifach nöd gnueg blöfft. Mer hät sich zäme ennerviert wie lang gwüssi Institutione händ, um Prüefige z’korrigiere, und nachdem dä JWU dä PKN zum zweite Mal gfragt hät wänn er dänn sini Prüefigsresultat überchunnt (irgendwenn im Oktober), sind die folgende Vorhersägige troffe worde: 
• MSO/MST: Us verbindliche Quelle hät mer erfahre, dass dä PKN d’Prüefig klar nöd bestande hät
• JWU: Bestande mit mä 4.5/10 (oder 6, wie au immer die Baumschuel benotet)
• SJU: Egal ob bestande oder njet, dä PKN hät sini Usbildig sicher vor äm JWU sim Bachelor if Data Science
Genau dä JWU hät übrigens überraschenderwiis nöd wiitergmacht mit sim Selbststudium, und hät stattdesse d’Medielandschaft nach wunderbare Artikel abgrast. Nebed mä Pfarrer in Nidwalde wo sin P.Ä.N.I.S offebar nöd i sinere Hose hät chönne lah, und irgend ere Klimademo mit ufbrachte Extrempolitiker vo beide Siite stellt er doch ä gwüssi Coronamüedigkeit fescht wo i dä Boulevardpress meh oder weniger akurat wiedergeh wird, und dChernmitglieder vom DF chönd da nur zuestimme. Mir hoffed allerdings, dass dä Safran nöd äm gliche Mechanismus zum Opfer fallt wie dä vegani Lade wo sich gweigeret hät, ä Maskepflicht durezsetze und jetzt gschlosse wird, well hüt sich 0 vo 15 Persone mit Maske im Kebablokal ufghalte händ. 
Än chline Usblick uf d’Wiehnachtsziit zeigt überraschends: Da dä 25.12 und 1.1 jewiils uf än Fritig falled, gits gemäss Artikel 13 vo dä DF-Statute kei offizielli Donnerfritig dänn (Art. 13: (…) Fallt en offizielle Fiirtig uf en Fritig (z.B. Karfritig), findet de Dönerfritig nöd statt.). Somit wird’s än bittere Winter für eus alli, aber dä MSO/MST freut sich dass er sin übliche Rückstand i dä Jahreswertig nöd muess ufhole. Ebe geil. Umso meh freut mer sich im Kollektiv über die astehendi Prüglete, und es isch än Vorstoss igange dass mer nach äm Dinér is Saatlepub gaht go gnüsse und wenn möglich än 5-Liber uf dä Haas bim 800 Meterrenne setze. 
Insgesamt än sehr glungene DF, han nöd ganz alles chönne abdecke, aber wer will mitgnüsse söll hald au mal cho. Somit wünsch ich allne äs wunderschöns Wuchenend bim Brügle, und machts gut ihr Trottel
MSO/MST (Nr.  7)
- Hauptstatistiker (wenn er si dänn verschickt: Ein DF-Statistiker verschickt nie zu spät, ebenso wenig wie zu früh. Er verschickt seine Statistik genau dann wenn er sie beabsichtigt hat. Jede wo die Referenz verstaht chunnt vo mir än Baclava über) 
- Vize-Präsident (selbsternannt, aber bim DFQV bestätigt)
- Vize-Iladigsversänder
- Selbsternannte Frauebeuftragtä und Glichberechtigungsbeamte von DF
- Grund für d’LIFO+ Buess wänn mer sich ameldet und nöd chunnt #Influencer
- Leader i dä folgendä Statistike:
- Total DF visits
- Overall participation rate
- Participation rate 2016/2017/2018/2020(forecast)
- DF visits 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</si>
  <si>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Mini werte Herre
Luschtig ischs gsi am hütige DF, aber au sehr speziell und denkwürdig. D’Marketingfüx vom Safran händ sich ä neui Strategie zur Chundebindig überleit, und am Fernseh im Lokal schöni Landschaftsbilder vom JWU sim Insta-Account mit beruhigender Spa-Musig gmischt, und somit sind hüt alli chli entspannter gsi, ussert dä SJU wo gemäss eigene Agabe än Puls vo 180 gha hät. Villicht well er uf Insta-Entzug isch, nachdem er dä MSO/MST erfolglos mit sinere Cousine hät welle verchnüpfe. Dä JWU hingege hät sich pudelwohl gfühlt i dere Ambiente, obwohl er sin Account immer wieder löscht und neu ufsetzt, eifach well ihm das angeblich chli me Kredibilität i dä Branche git. Mer hät sich dänn chli über die asoziale Medie unterhalte, über Biznizmodell vo all dene Plattforme. und über äm PKN sini Gschicht glacht woner damals äm nä neuseeländische Rügbyspieler dä Snapchatname klaut hät und dänn hunderti vo Afrage übercho hät. Leider hät er die Chance weder dezue gnutzt, Cäsh drus zmache, na um sini Fäns abzschleppe, also simmer alli im Kollektiv enttüscht. Aber nöd so enttüscht wie über ä Kollegin vom JWU wo angeblich Social Media studiert. D’Meinig vo dä Redaktion: immerhin besser als Gender Studies, aber nöd vill.  
Suscht hät mer vor allem d’Vorfreud uf hüt Abig gspürt. Alli gönd go Brügle im Rietberg, nur dä Sascha trinkt bi sim Date Tequila. Aber au verständlich dass er sich chli nach wiiblicher Gsellschaft seht nach sinere Exkursion in Füdlischuppe «Poly» mitem Jinderlescht, und dä Entdeckig vom Vibr-Atorring Frauetraum im WC. Mer munklet dass die beide sich ä beachtlichi Azahl Ring erstande händ, trotz vehementem Bestriite vom SJU. Und natürlich sind alli gspannt uf s’Derby MSO/MST vs. Jinderletscht, obwohl dä Aggressor Nummere 1 versproche hät, sich die erschte 5 Minute chli zruggzneh. Sexwieswill, mer freut sich und es wird scho nöd usarte wie suscht immer. 
Dä Rescht vom Zmittag isch mit dä übliche Blöffereie verbracht worde, wie äm SJU sini Räuberpischtole vom Riverrafte in Equador, Usrede zu dä fehlende Geburifiir vom MSO/MST, äm Snusentzug vom Luki und äm Entrüschte vom PKN dass er wieder mal än Donner mit dä falsche Sauce übercho hät. Usserdem fehlt dä PKN endlich wieder mal chli well er uf Brügels gaht, dä SJU glaubs au mal, und dä JWU hät sich gwunderet ob er au iglade worde isch ad Quo Vadis Vorbrüglete nächschte Donnschtig (njet, ischer nöd). 
Somit wünsche ich allne ä gueti Ziit und bis hüt Abig, äm SJU äs erfolgriichs Date (dä Frauetraum-Ring nöd vergesse), und äm YMI wiiterhin gueti Erholig i dä Ferie. 
MSO/MST (Nr.  7)
- Hauptstatistiker (wenn er si dänn verschickt: Alles wieder im Lot und nöd zspat, also wie immer) 
- Vize-Präsident (selbsternannt, aber bim DFQV bestätigt)
- Vize-Iladigsversänder
- Selbsternannte Frauebeuftragtä und Glichberechtigungsbeamte von DF
- Grund für d’LIFO+ Buess wänn mer sich ameldet und nöd chunnt #Influencer
- Leader i dä folgendä Statistike:
- Total DF visits
- Overall participation rate
- Participation rate 2016/2017/2018/2020(forecast)
- DF visits 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</si>
  <si>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Ooooooh, 
Es isch drunder und drüber gange am hütige DF, agfange mit ere Nachricht dass dä JWU sich LI Nummere 8 wird sichere, woner dänn au tatsächlich gmacht hät. Villicht well er die erschti Iladig nöd übercho hät und erscht gescht bim Reminder informiert worde isch, dass hüt tatsächlich än DF stattfindet. Bitte churz d’Istellige vo dä Mailbox prüefe, bi dä Tamedia weiss mer nie wo überall gspart wird (meh däzue später, ich bin so gspannt). Dä PKN und YMI sind hüt abwesend gsi, und somit häts äs paar Minute vom Executive Board geh mit Präsi und Vize, und dä SJU dä alti Fux hät sich bi dä Muetter schlau gmacht über s’plötzliche Verschwinde vom Firat. Angeblich häts wieder mal än chline Familiezwischt geh, und gemäss SJU wird das scho wieder. Mer chans nur hoffe, well d’Performance vo dä Muetter isch hüt na schlechter gsi als suscht, was ja eigentlich gar nöd möglich isch. Zerscht isch mal d’Bstellig für die wichtige 2 Mitglieder cho (was au korrekt isch), aber ohni Sauce/Scharf, was churz bemänglet worde isch (Erinnerig Nr. 1). Dänn isch am Schoggi sin Donner cho, aber ohni Getränk, und well d’Sauce und Scharf au nanig cho sind, häts än zweite Rüffel geh (Nr. 2). Wo si dänn S’Kokainzero bracht hät, aber immer na kei Sauce/Scharf, häts äm MSO/MST dänn dä Nuggi useghaue und er hät si chli agschnäuzt (Nr. 3), aber offesichtlich ohni Wirkig, und somit häts mal än Donner mit ere normale Mängi vo Sauce geh. Widerlich!!! Aber isch alles guet, ich han mi wieder beruhigt.
Aber suscht isch alles guet, und dä MSO/MST hät mitem SJU chli chönne protze wie erfolgrich die beide a dä Börse mit Dufry abgsahnt händ, und wie dä SJU vo dä einigermasse guete ZKB-Burebankkonditione chan profitiere, während dä MSO/MST immer na im GSCS-Gebühresumpf feschtsteckt. Die Schwache chlöpfts. Dä JWU wiederum erfreut sich a sinere neue Flamme im Rote Chleid vo Genf, und er hät blöfft wiener si kenne glernt hät und hüt Abig zu ihre gaht go chlöpfe. Mir gratuliered, und singed alli «Roooooseeaaanne, you have to put on the red lights for Schoggi». Das hät dänn dä SJU uf ä alti Sitcom bracht (wo zuefälligerwiis au Roseanne gheisse hät), aber well dä JWU und dä MSO/MST nanig 40i sind hät sich leider nur dä SJU dra erinneret. 
Dä Rescht vom Zmittag isch dänn dämit verbracht worde, ganz nostalgisch uf d’Brüglete light vom letschte Fritig zruggzluege, es sind Videos teilt worde vom grandiose Hugo, und mer spienzlet scho mit voller Vorfreud uf dä Event im La Cote wo mer dänn es Hugo i dä grosse Rundi astrebt. Und all händ sich über s’fehlende Hugotalent vom CBO luschtig gmacht, wo doch scho einigi Mal ufblitzt isch, und mer hoffed alli dass er am besagte Abig wieder so guet abschnide wird und Bild Nummere 2 kabutt macht. Apropos Öpfel, mir händ erfahre dass in Tamedia 90% vo dä Mitarbeiter kei Zuegriff uf Excel händ, well mer a allne Egge und End muess spare. Das füehrt däzue, dass Lüüt wie dä JUWU ihri Pivots uf Afrag vo dene trurige 90% muess apasse wänn irgend än Report nöd ganz alles drin hät wo si wennd, und ich verneige mich vor dere super Entscheidig wos sicherlich ganz vill Wert bringt. Und ich han denkt d’GSCS Manager sind Gurke… Und wänn mer scho bi Gurke sind, d’Muetter isch dänn am Schluss na cho und hät sorry gseit dass si d’Sauce/Scharf nöd bracht hät, aber nur scho drüber nahzdenke macht mi steihässig wie sit Zagreb nüme wo mer eifach s’Liecht im Club agstellt hät. 
Somit wünsch ich ä schöni Wuche, und bis gli
MSO/MST (Nr.  7)
- Hauptstatistiker (wenn er si dänn verschickt: Volg, frisch und fründlich) 
- Vize-Präsident (selbsternannt, aber bim DFQV bestätigt)
- Vize-Iladigsversänder
- Selbsternannte Frauebeuftragtä und Glichberechtigungsbeamte von DF
- Grund für d’LIFO+ Buess wänn mer sich ameldet und nöd chunnt #Influencer
- Leader i dä folgendä Statistike:
- Total DF visits
- Overall participation rate
- Participation rate 2016/2017/2018/2020(forecast)
- DF visits 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</si>
  <si>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Gsundheit
Alles staht wieder ämal im Zeiche vo Co-Rona, was sich scho zeigt hät idem dä SJU dä MSO/MST bätte hät, ä Maske für ihn mitzneh. Da sich aber im heilige Safran eh niemert dra haltet, ussert d’Füehrigsetage vom DF, hät mer sich im Kollektiv gfraget wie langs na gaht bis dä Lade mal ä Zwangspause muess ilege. Dä SJU hät usserdem Kontakt gha mit öpperem, wo mit öpperem gfloge isch, wo Kontakt gha hät mit mä positive Mensch, also sind alli Alarmglogge am lüüte gsi bi dä Awesende. Insbesondere well dä SJU plant, is Südtirol zfahre für ä grandiosi Orgie mit sinere Fründin und Schwöschter (Quelle: han ich so verstande), und mir hoffed alli dass das guet chunnt. Es isch usserdem d’Frag ufcho, wie mer Selbschtquarantänefäll chan überprüefe, und wer alles dumm gnueg wär, während dä Quarantäne uf Social Media z’teile dass mer sich nöd dra halted. Apropos JWU, es isch d’Hoffnig ufcho, dass er im Safran quarantiert wird, dämit er sich mal endlich kei LIs meh iholt. 
Suscht sind wieder mal die härte 4 Mitglieder da gsi, und mir vermissed dä YMI und sini weise Wort schmerzlich. Eher weniger erwähnenswert isch dass dä CBO au wieder nöd cho isch, aber immerhin händ es paar vo eus d’Möglichkeit, ihm hüt im La Cote alli Schad zsäge und sini miserablè Hugofähigkeite z’bemitleide. Dä PKN hät es schöns 3-Tagebärtli zur Schau gstellt, dä JWU än Hipsterrucksack, dä MSO/MST än Pulli (än Pulli???) und dä SJU äs Tschäppi mit dä Ufschrift "dä Jinderletscht isch än Juso". Aber da hörts nanig uf mit dä Überraschige, dä Firat isch nämlich im Safran gsichtet worde, und interessanterwiis hät dä JWU das sogar vorusgseit und entweder hart uf dä Zuefall gsetzt, oder für s’erschte Mal i sim Lebe d’Wahrheit gseit. Wie immer ischs höchschti Isebahn dass wieder Ordnig im Safran umgsetzt wird, well d’Muetter sich zwar hüt dra erinneret hät, d’Sauce und s’Scharf zbringe ohni dass mer si hät müesse 3 Mal dumm ahaue, aber si hät au mit dä folgende Ussage glänzt: 
JWU: Cola zero us dä Dose
Muetter: (verdutzt) Us dä Dose? (Anm. der Redaktion: was sind das für behindereti Fragezeiche im Comic Sans? ????)
JWU: (verblüfft) Ja
MSO/MST: Dürum mit allem und Cocktailsauce
Muetter: (verwirrt) Cocktailsauce? 
MSO/MST: (verärgert) Ja
Ä wiiteri Entwicklig isch die blamabli Platzierig vo eusne zwei Grümpelverein Floorball Albis und Engschtringe FC, wo beidi ufem zweitletschte Platz vorzfinde sind. Nach es paar Verglich vom PKN wie schnell dä Jinderletscht jetzt würklich isch, und obs wäge sinere Nordkoreanischä Vergangeheit und sine Gen isch, hät dä JWU mit ere wahre Roiberpischtole chönne uftrumpfe. Im UC FBA rumorts bim Trainerstab, und das Drama isch fascht scho filmriif. Für meh Informatione verwiised mir sie gern uf eusi Zämefassig+ Usgab wo mer für än chline Batze chan abonniere (gits bald au als Podcast uf Spotify). Suscht hät mer sich über die beide Blöffsäck Nicola «Gurkenmann» Grass und JWU luschtig gmacht, und wer jetzt Recht hät zwüsched dä folgende Ussage: 
NGG: Dä Schoggi wechslet sich jedes Mal nach 10 Sekunde wieder us, und niemert will mit ihm im Block spiele
JWU: Ich spiele immer voll dure, und mängisch gangi hald scho nach einere Minute use. Aber ich laufe nöd zrugg über d’Mittellinie, obwohl ich Verteidiger bin. 
Als Abschluss händ sich alli na über s’schwarze Schaf i dä Familie MSO/MST luschtig gmacht, insbesondere sini Hippie-WG wo immer alli zäme choched und vill zämemached, und es isch es Schudere dur d’Rundi gange wänn mer sich vorstellt, ä bärestarchi DF+ WG z’gründe (inkl. Jinderletscht und Gurkenmann) und wie vill Minute s’gah würd bis es totals Chaos würd usbreche. Konsens: 10. 
Ich wünsche än schöne Tag, bis bald, und wer dä SJU und oder PKN hasst söll doch am nächschte Fritig an DF cho, dänn sind die beide Herre nämlich nöd da
MSO/MST (Nr.  7)
- Hauptstatistiker (wenn er si dänn verschickt: ich freu mi uf Spiis und Trank im La Cote, jede wo nöd chunnt isch än Amatör) 
- Vize-Präsident (selbsternannt, aber bim DFQV bestätigt)
- Vize-Iladigsversänder
- Selbsternannte Frauebeuftragtä und Glichberechtigungsbeamte von DF
- Grund für d’LIFO+ Buess wänn mer sich ameldet und nöd chunnt #Influencer
- Leader i dä folgendä Statistike:
- Total DF visits
- Overall participation rate
- Participation rate 2016/2017/2018/2020(forecast)
- DF visits 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</si>
  <si>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Hallo, 
Hüt gits wenig zbrichte, well fascht niemert cho isch, mit dä offiziell abwesende PKN, YMI und SJU. Ussert natürlich dä König, wo sin Palmares und sin Vorsprung i dä All-Time Stats wiiter am Usbaue isch. Es sind Zahle wo eigentlich fascht nöd möglich sind, aber ebe doch: 
• Massivi 189 Teilnahme (trotz 7 «verpasste» DFs nach dä Gründig), mit beträchtliche 8 Pünkt Vorsprung uf dä PKN und na vill meh uf all na Schlechtere (z.B., 139 uf dä CBO, wo hüt endlich sini 50. Teilnahm hät chönne erlebe. Bravo)
• Jahressieg so guet wie sicher (3 Pünkt Vorsprung bi 5 verbliebende DFs)
• Bärestarchi 85,1% Overall Marzipanrate
• Teilnahmeprozent Kalenderyeartodate vo 92.3% (neue Rekord wo hoffentlich na chan usbaut werde bis Endi November)
• Ganz villi neui Chrönli
• 4 Stempfel (meh däzue später)
Wie im Chat dokumentiert isch dä MSO/MST wieder mal pünktlich zur Stell gsi am Fritig Mittag, und isch zimmli unfründlich vo dä Muetter aghaue worde, ob er dänn dä einzig seg wo na chunnt. Wie immer misstrauisch aber doch mit guetem Herz hät er sich dänn däzue duregrunge, doch na zwei Bstellige durezgeh. Für wer genau fragt mer sich, liebi Leser*inne. Einersiits d’Edelcrevette CBO wo sich doch au wieder Mal in Safran getraut hät, well sini Gurkefirma sich endlich entschiede hät dass Homeoffice villicht im Moment nöd so die schlechtischt Lösig wär. Leider hät dä jungi Maa sich chli verschätzt und isch doch tatsächlich mitem Auto cho, hät sich verfahre, und isch drum erscht am 12:20 itrudlet. Villicht häts sogar na ä Parkbuess geh, da warte mer na uf ä Bestätigung. Trotzdem häts dänn wenigschtens än Konversationspartner für dä armi MSO/MST geh, was doch sehr gschätzt worde isch. Dä Zweiti im Bunde isch natürlich dä JWU gsi, wo sich hüt mal für än LIFO statt än LI entschiede hät. Am 12:26 ischer da gsi, und er hät sich sin Punkt hüt nur knapp verdient. Au er isch mitem Auto cho, well sin Chef anschinend än chline Schuub übercho hät und alli is Homeoffice beordnet hät bis im April, und wehe öpper gaht is Büro ohni sini Zuestimmig, dänn tätschts! Bäääm
Mer hät sich dänn grad dä wichtigere Theme gwidmet, insbesondere dä grosse La Cote Brüglete vo 2020. Obwohls bis jetzt na kein Co-Rona Fall geh hät wo dä MSO/MST hett müesse mitteile isches doch wie immer legendär gsi. Leider hät sich dä CBO nöd getraut, es Hugo azriisse, woner natürlich verlore hetti. Däfür häts es grosses Düümele geh woner sich dänn än klassische 6cl Tequilashot gsicheret hät. Nachdem isch mer na is Meiers oder wie die alt Spelunke au heisst, und Stück für Stück händ sich dänn die Meischte verbrüglete verabschieded. Gemäss Roiberpischtole sind es paar Brügler na i dä Wohnzimmerbar glandet, was au immer das si mag. 
Apropos verabschiede, dä JWU hät sich wie erwähnt än LIFO gchlöpft und isch am 12:40 vo dannen zoge, Lausig, aber immerhin füllt sich eusi Kasse doch na chli, und es nächet d’Grenze zum 1000er für D’Inahme vo dem Kalenderjahr. Und nach sim irische Abgang inklusive Maske händ sich die beide ghobenere Mitglieder*inne na sehr tüüfe und politisch brisante Theme chönne widme wo nur die intelligentischte Verstönd (und dä CBO), was doch au mal schön isch. Natürlich isches au sehr speziell dass weder CBO na MSO/MST sich müehsam benehmed oder dumm am umeblöffe sind, aber für so es Vergnüege müesst mer hald an DF cho. Am Schluss häts dänn na chli än Ufruhr a dä Theke geh, und well sich es paar jungi Burschte händ welle füredrengle hät sich dä MSO/MST ganzi 4 Stempfel ergatteret. Er isch dänn au prompt gmassreglet worde vom CBO, dass er s’Safran usnimmt, was natürlich grad entchräftet worde isch well dä MSO/MST es grosszügigs Trinkgeld vo 1.00 CHF geh hät. 
Jetzt häts doch na einiges geh zum Verzelle, ich wünsche ä schöni Pause und bis am Fritig
MSO/MST (Nr.  7)
- Hauptstatistiker (wenn er si dänn verschickt: spendablè) 
- Vize-Präsident (selbsternannt, aber bim DFQV bestätigt)
- Vize-Iladigsversänder
- Selbsternannte Frauebeuftragtä und Glichberechtigungsbeamte von DF
- Grund für d’LIFO+ Buess wänn mer sich ameldet und nöd chunnt #Influencer
- Leader/Keenig i dä folgendä Statistike:
- Total DF visits
- Overall participation rate
- Participation rate 2016/2017/2018/2020(forecast)
- DF visits 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</si>
  <si>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Da trau doch dä MSO/MST sine Auge nöd woner hüt is Safran lauft, und grad 4 Mitglieder vom zweitbeschte Verein vo dere Welt (welle isch ächt dä Bescht? Das isch euse EVZ) am nä Tischli hocke gseht. Und well dä SJU sich churz nachher au na zu eus gsellt hät hämmer s’erscht mal sit äm Quo Vadis 2020 wieder mal ä offizielli GV, wo euse ehrewerti Presidente hät chönne iberüefe. Fün Fäct: Das isch s’erschte Mal sit äm 24.11.2017 (Wahnsinn, ich weiss) wo mer wieder Mal alli 6 im Safran ghockt sind. Und es sind erscht na alli püntklich da gsi, insbesondere dä JWU. 
Und da isches scho losgange mit dä Aträg. Mer hät beschlosse, dass eusi Chlöpfete im November chli degradiert wird zur Überbrüglete, mit Spanferkel und im YMI sim Feriehuus statt im Saatlepüb. Es muess na abklärt werde, ob am CBO sin grandiose Vorschlag chan duregfüehrt werde, 6 Wagyu Donner mit äm Lamborghini anefahre zlah. Ich bin däfür. Und somit isch die wahri Chlopfete uf dä 6. März agsetzt was s’Fiskaljahr isch somit au verlängeret, und s’Renne um d’Jahreswertig doch na chli spannend macht, zumindescht wänns um d’Europaleagueplätz gaht. Dä Valentinstag als Datum hät sich leider nöd chönne duresetze, au wänn än Verglich vo allne DF-Partnerinne und ihrne Reaktione goldig gsi wär. Und au am SJU sin Atrag, dä Sondermitgliedstatus vo YMI und CBO ufzhebe, wells ja jetzt im Homeoffice währed, isch gemäss Helene «chancenlos, durch die Nacht» gsi. 
Dänn händ sich d’Trittbrettfahrer vom Verein duregsetzt und sich a ihre eigeni Tisch zruggzoge (wege neue Abstandsregle), und dä SJU und MSO/MST händ endlich chönne uf äm agmessenem Niveau über ihri erfolgriche Karriere und d’Finanzmärkt diskutiere. Dä MSO/MST hät öppis über dä sogenanti Nowcast glernt, wo ganz genow s’BIP und so Gschmäus chan berechne, und er isch schwer beidruckt gsi. A dere Stell än Gruess an AGU, än grosse Bewunderer vo dä DF Zämefassige, und dä MSO/MST überleit sichs guet, sim Rat zfolge und sini Karriere als Standup Komödiant endlich z’lanciere. 
Dur die abgsondereti Besprächig händ die beide Board Members leider chli dä Aschluss ad Konversatione am Nebedtisch verlore, aber es isch sehr zimmli sicher Folgendes besproche worde:
• Dä CBO hät gross blöfft wie gschid er isch, und hät äm JWU gseit er söll au endlich än BMW chauffe, dämit beidi zäme mit äm Nikci «der Gurkenmann» Grass chönd go blöffe vo Schliere bis Stettbach. Dä Bastien Girod isch scho am zittere über dä zuesätzlich Usstoss vo CO2.
• Dä JWU hät ihm natürlich nöd zueglost und luut über sini Zuekunft mitem Schneegeopard nadenkt, und ob er sich mit sinere eigeständige Messig vo sine Schwimmkilometer än Gfalle tuet oder njet. Wahrschinlich njet
• Dä PKN hät es Salatblättli am Mundwinkel gha und hät lamentiert, wie schön er mit sim 3-Tagebärtli usgseht, und wärum er dä Schritt nöd scho vill früehner gmacht hät. Grossi zuestimmig
• Dä YMI hät sich scho Rezept fürs Projekt «Spanferkel 2020» usegsuecht und über sini Fertigkeite am Grill gschwärmt. Freude herrscht
Suscht hät mer sich bim JWU beschwert wänn er endlich alli Gratisabos vo dä Tamediapublikatione erneueret, und was ächt passiere würd wänn mir alli am gliche Tag bi dä Helpline alüted und äm Schaque säged, mir seged d’Schwöchster/Muetter vom JWU und wärum mir kei Zuegriff meh heged uf eusi erschlichene Abonnemènts. Ich säge es würd dä JWU so chlöpfe, und ich beuftrage dä CBO das Projekt z’orchestriere. Nach äm grosse Odensrückfall vom CBO hät mer sich au na gfragt, wer wie wo dä beschti Snus verchauft, und dä SJU hät mit extra vill Verachtig uf alli abegluegt. Apropos Maske, dä MSO/MST isch flissig am lerne Tanze, und well sich es bsunders interessierts Mitglied erkundiget hät, gits jetzt na es extrachurzes Update: Ich bin sehr schlecht, aber Tango und Walzer chömmed langsam, mit vill blaue Zeche vo dä Mari und starchem Chopfweh vom MSO/MST well er so vill muess überlege. Wahrschinlich nur ä Ghirnentschütterig wege all dene Lattene
Ich han nächscht Wuche Ferie, und who’s know öbis an DF schaffe. Villicht bis dänn, ihr Jusos
MSO/MST (Nr.  7)
- Hauptstatistiker (wenn er si dänn verschickt: Storze CS Maskebsitzer) 
- Vize-Präsident (selbsternannt, aber bim DFQV bestätigt)
- Vize-Iladigsversänder
- Selbsternannte Frauebeuftragtä und Glichberechtigungsbeamte von DF
- Grund für d’LIFO+ Buess wänn mer sich ameldet und nöd chunnt #Influencer
- Leader/Keenig i dä folgendä Statistike:
- Total DF visits
- Overall participation rate
- Participation rate 2016/2017/2018/2020(forecast)
- DF visits 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</si>
  <si>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Greet god
Was für än schöne Wuchestart eus allne bevorstaht, wo mer grad 2 DF Zämefassige und Stats chönd bewundere. Well dä MSO/MST letschti so bizi gsi isch hät er sich churzerhand ä Wuche Ferie gönnt, und drum sin Laptop am Fritig nöd agstellt. Das hät insbesondere die Lüüt troffe, wo sich immer nett bedanked und es eher trischts Lebe füehred, und ohni Zämefassig am Fritig drum schnell usfällig werded (ähem, CBO). 
Aber gnueg Stei grüehrt. Wie sichs ghört isch dä Señior Presidente als erschte im Safran gsi, und er hät sogar ä Maske übercho weller sini vergesse hät. Als nächscht isch dä Vize-Präsi ineglauffe, dänn ä muetigi Crevette wo sich sin erschte Hattrick sit März 2017 hät chönne sichere, scho meh da gsi isch als während dä letschte 2 DF-Fiskaljahr, und sogar sini Händ desinfisziert hät well er sin Odens hät müese usegrüble. Last and least isch au dä JWU itrudlet. Er hät sich ebefalls ä Wuche frei gnoh um sich i sim Liebesnescht in Scheneve izrichte, und isch glorrich vo dete direkt an DF gstieflet, ohni LI und alles. Mir ziehnd euse Huet. Dä YMI isch eusi Brüglete light am vorbereite, und es laufed Gspräch mit dä Erika ob sie sich als Maitre de Cabin bereitstelle würd für dä Abig. Es isch usserdem gforderet worde, dass mir eus äs Pideschiff baued/chauffed und so über sWasser uf Immesee chömmed. Dä PKN hät sich quarantänisiert um sich nöd zum Superspreader zmache. Mir vermissed ihn und sin mässigendä Ifluss, und wünsched ihm ä guets Immunsystem zum dä alti Virus gar nöd erscht inezlah. 
Während alli uf die 3 Pides gwartet händ, und es isch erwartigsgmäss es Ziitli gange, hät eus dä JWU chli meh vo sim Techtelmechtel ännet am Röschtigrabe verzellt. Er hät blöfft dass er sich als Experte vom Blätze gseht, und dass er sich däbi amigs es Loch i sini Maske schnidet, well das sicherlich mindeschtens so guet schützt wie wänn mer kei Maske a hät. Dä CBO hät dänn än guete Boge gschlage zum nä Präservativ mit mä Loch, und all die bildete Herre händ prompt versuecht die Marktlücke usznutze. Dä Vorschlag isch eifach: Es Loch im Schluch büütet än gwüsse Schutz (Anahm: grösser/gleich Zero) und git d’Möglichkeit, s’DNA-Projektil mit grösserer Gschwindigkeit und Genauigkeit as Ziel zbringe. Das chönnti bsunders attraktiv si für Lüüt wo Problem händ mit äm gringe Druck vom si erzüged, und sich glichziitig wännd in falscher Sicherheit wääge. Ich beuftrage dä CBO als Originator vo dere Idee, das Projekt wiiterztribe, und endlich mal chli Cäsh i eusi DF-Kasse zspüehle. Nach dere chline Tangente isches dän chnüppeldick cho für dä JWU wo dä CBO ihm gseit hät er seg nur sin zweitliebschte Trävelinfluencer nachem Herr «bold &amp; bankrupt».  
Nach mä churze Belächle vo dä Amis und ihrem Chaos mit Unklä Donald und äm schläfrige Joe mit dem «Wahlbetrug» isch mer meh als bereit gsi, sich i wiiteri Verschwörigstheorie zstorze. Nach äm exzellente Research vom MSO/MST (Name der Redaktion bekannt) vo letscht Wuche dass zum letschte Mal wo mer 6 Mitglieder im Safran gsi sind (irgendwänn im 2017i) hät mer sich gfragt, ob mir überhaupt als Einheit funktioniered wänn alli da sind. Insbesondere dä denkwürdig Abig vom DFQV im Jänner hät Frage ufgworfe, und es sind die folgende Theorie präsentiert (oder vom DF-Statistiker erfunde) worde: 
• Da mir eus gwöhnt sind, am Fritig Mittag mitenand umezblöffe, isch dä DFQV lediglich z’spat über d’Bühni gange, da am Mittag na alli heiter und fröhli mit jedem Löli gsi sind
• Dä YMI hät eusi Balance indirekt beiflusst und zum Wahnsinn gfüehrt am Fritig Abig, da vorher na alli guet mitenand klar cho sind
• Dä JWU isch tschuld, wells am Samschtig wieder wunderbar gsi isch, und er ja än irische Abgang gmacht hät
• Dä SJU isch dä Übeltäter, well er scho i dä Vergangeheit i ähnlicher Gsellschaft immer am Afang vom Skandal gstande isch (Jagge, Odens vorem Schluuch, etc.)
• Es isch alles nur well dä MSO/MST sin Titel als Vizepräsi hät welle offizielisiere, und er somit s’Machtgefüge vom DF durenandbracht hät
• Dä CBO hät mindeschtens 1 Schueh im Ofe versteckt, und somit die ganzi Kontroverse agstosse
• Dä PKN hät sini Vernunft nöd gnuegt zur Schau gstellt und isch somit ällei für alles verantwortlich
Um Einigkeit zschaffe schlahn ich vor, dass mir die Lischte a dä Brüglete im November churz duregönd und eus än Schuldige usesueched, sini Schueh verstecked und dä ganz Abig ruiniered. Oder au nöd, was eu lieber isch. 
Apropos Öpfel: Well mir nur im Züribiet vertrette sind, bruchts unbedingt än DF Standort in Genf, und mir hoffed dass dä JWU mit sim Ifluss äs neus UNO Departemènt für d’Unterstützig vo lokalem Gwerb chan erstelle, wo eusi Chlopfete chan mitfinanziere
Vill Spass, und bis am Fritig 
MSO/MST (Nr.  7)
- Hauptstatistiker (wenn er si dänn verschickt: Wieder mal zspat, und wieder mal ä gueti Usred parat, was für än Spagat) 
- Vize-Präsident (selbsternannt, aber bim DFQV 2020 bestätigt)
- Vize-Iladigsversänder
- Selbsternannte Frauebeuftragtä und Glichberechtigungsbeamte von DF
- Grund für d’LIFO+ Buess wänn mer sich ameldet und nöd chunnt #Influencer
- Leader/Keenig i dä folgendä Statistike:
- Total DF visits
- DF visits 2017/2018/2020(forecast)
- Overall participation rate
- Participation rate 2016/2017/2018/2020(forecast)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</si>
  <si>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Heilige Bimbam, scho wieder ä DF Zämefassig? Allerdings, wie akündet gits die Wuche 2 zum Priis vo 1
Zerscht wird mal s’Administrative usem Weg gschafft. Dä YMI isch gemäss guet informierte Quelle «irgendwo», und dä JWU isch nöd cho, wahrschinli weller bi dä Roooseanne und dä Red Lights verhocket isch. Dä SJU isch wie immer däbi gsi zäme mitem Radler MSO/MST, und nach churzem Warte isch dänn au na dä CBO (4 Mal in Folg däbi, usserordentlich und unerfreulich) mit äm Luca H. (leider nöd s’Musigtalent) im Schlepptau uftaucht. Usserdem hät sich dä PKN nach sinere Selbstquarantäne wieder zu eus gsellt, und sin 3-Tagebart glänzt wie eh und jeh. Er hät dänn ä veritabli Räuberpischtole uspackt als Erklärig warum er letscht Wuche gfehlt hät. Und los gaht die Gschicht, wo doch än Grossteil vo eusem DF usgfüllt hät (Anm. der Redaktion: chan liecht vo dä Wahrheit abwiiche): Am nä schöne Sunntig händ sich s’Rosi und ihre Maa es Gläsli Wii gönnt, wos ihm dänn plötzli chli gschmuch worde und er mit Fieber im Bett glandet isch. Natürlich hät sich s’guete Rosi nüt däbi denkt und isch am Mäntig is Büro. Wo dä PKN dänn am Zischtig present gsi isch hät mer sich am Wasserchrueg troffe, und nach mä chline Hüeschtele (er hät sich verschluckt) vo ihm hät s’Rosi gmeint es seged alli chli am Chränkle, so wie ihre Maa mitem Fieber. Nach mä berechtigte Nachhacke isch si dänn mit Maske im Büro bliebe, und tatsächlich am Mittwoch wieder cho, dasmal mit liechtem Fieber. S’Gliche isch am Donschtig passiert (mit höherem Fieber), und wos äm PKN dänn dä Nuggi usegjagt hät isch sin Chef mit dä informierte Meinig cho, dass eigentlich alles ok isch, obwohl sich s’Rosi dä Virus dänn doch na gholt hät. Es nehmed hald nöd alli d’BAG-Richtlinie ernscht. 
Apropos, d’Muetter hät eusi Coronakonformi Tischbsetztig au welle uflöse (3 und 2 a dä Tisch), aber si hät sich dänn doch na besinne lah. Mer hät sich na churz chli über die verschiedene Usgangslage vo Selbständige, Chli- und Grossunternehme  unterhalte, und nach usserordenlich churzem Warte uf Kebab und Co. isches dänn richtig spannend worde wo mer eusi Brüglete Light diskutiert händ. D’Spanferkelidee isch chli am bröckle, aber mer chönnt sicher au zäme go Esse und Trinke poschte für dä Namittag/Abig. Es isch vorgschlage worde, dass jede chli öppis vorbereitet, Spieli und Charte mitnimmt, und dänn chunnt das wunderbar. Mer munklet usserdem, dass es äs Quiz git, aber das sind nume unbestätigti Grücht. Jede wo nüt bitreit wird ikreist, mit scharfe Gägeständ pikst und eine fangtem mitem Lasso i. Dä Vorschlag isch vom CBO cho, wo dänn vo sine Erfahrige im Amerikanische Rodeo blöfft hät. Insbesondere s’Ifange und Zämebinde vonere Chueh vo dä Bei hättem gfalle, und das wär natürlich ä wunderbari Glegeheit zum sin Fetisch uszlebe. Dä MSO/MST hät sich scho verpflichtet, als sin Biitrag ä usserordentlichi Zämefassig vom Abig zschribe, und ernennt sich somit au offiziell als Kommunikationschef. Dä CBO hät dänn heimlifeiss bemerkt, dass er als Marketingchef über äm Kommunikationschef staht, aber dä MSO/MST hät prompt zrugggschlage und präsentiert die folgend Organisationsstruktur: 
Nebed all dene strategische Diskussione hät mer vill glacht und Blödsinn gredet, wo für die meischte Lüüt kei negativi Konsequenze wird ha. Usserdem hät sich dä SJU ä neui Wohnig gsicheret, und mir freued eus uf d’Iweihigsparty am 24. Dezember. Nachdem dä MSO/MST unufgforderet ganzi 5 Stempfel übercho hät, und chli mitem CBO und dä Veloschlössli umegspielt hät, isches zäme mit dä Velogäng richtig Sihlcity und dänn heizue gange. 
Ich wünsche eu än schöne Fritig, und halted bitte Abstand zu dä Rosi
MSO/MST (Nr.  7)
- Hauptstatistiker (wenn er si dänn verschickt: Ich bin so än Corporate Title Hunter)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2017/2018/2020(forecast)
- Overall participation rate
- Participation rate 2016/2017/2018/2020(forecast)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</si>
  <si>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Salü, 
Well hüt hocherfreulicherwiis alli am DF gsi sind wo Rang und Name händ (und dä JWU), und das scho zum zweite Mal innert chürzischter Ziit, fass ich mich eher churz. Oder au nöd.
Dä MSO/MST isch chli spat dra gsi hüt, aber dank sim flitzige Velo und äm links-liegelah vom JWU am Fuessgängerstreife Sihlcity Nord häts doch locker glanget ohni LI. Bim JWU isch mer sich nöd so sicher, aber well niemert uf d’Uhr gluegt hät simmer hüt mal kulant. Erneut hät mer sich a 2 separate Tisch müesse niederlah, und bevor d’GV iberuefe worde isch hät mer sich einersiits drüber beklagt wie chalt dass es isch, und anderersiits hät dä JWU verzwieflet nach Brügler gsuecht um mit ihm, äm Jinderletscht und äm Meier hüt abig go Gyros und Pommes chlöpfe inere griechische Chnelle. Antwort vom Plenum: njet. Dänn hät dä YMI s’Wort ergriffe und mer hät sich uf die folgende Sache g’einiget: 
• Mer trifft sich nächscht Samschtig am früehne Namittag in Affzgi am Albis zäme mitem Jela und äm Shpitim im Coop und gaht go poschte. Designierti Fahrer bis jetzt: YMI und CBO
• Mir versueched alli, nöd euses ganze Büdget uszgeh dämit mer dänn nächscht Jahr gnueg händ für die richtig Kalenderjahresendchlöpfete. Wer also na än billige Schnjaps hät, bitte mitneh. Und dä JWU isch für d’Würfel verantwortlich
• Dä MSO/MST nimmt sin Nintendo 64 mit, und er isch gspannt ob alli nur wie immer am blöffe sind oder ob d’Teilnehmer vo CBO bis JWU kläglich in Senkel gstellt wird vom DF-König im Mario Kart
• Alli nehmed d’Badhose mit, mer gönd in See und warted denn im Garte bis dä Boiler und s’warme Wasser bereit isch. Wer am meischte Gaggi usem See fischt hät gunne
• D’Erika wird als eventuelle Überraschigsgascht ghandlet, und gwüssi Mitglieder sind scho chli am Geifere für es allfälligs Striptease
• Dä CBO bestaht druf dass er es Spieli chan vorbereite, wo mer alli dä JWU piesakt
Dänn isch d’GV beendet worde, und dä grossi Reformator YMI hät sich nanig getraut, sini strukturelle Veränderige offiziell azspreche. Leider isch au nöd offiziell besproche worde, ob mer bim nä Todesfall im DF na muess wiiterzahle (Stand jetzt: ja). Wie erwartet händ sich die zu erwartende Grüppli bildet, und nachdem die Herre PKN, JWU und CBO sich ihrem «extrem interessante» virtuelle Premier League Spiel gwidmet händ, hät dä JWU ä chlini Hasstirade über Kunschtgschichtstudentä/innä lostrette, und dä CBO hät vo sinere Neuschte Gschäftsidee brichtet (autonom fahrendi Bluemetöpf wo sich immer id Sunne oder zu dä Erika beweged). Mer hät über äm Gurkenmann Nikci sini Blöfferreis gschwärmt, und dä JWU hät dä CBO nach äm Erinnere vom Name vo sinere Flamme druf ufmerksam gmacht, dass er über Silveschter än Trip uf France plant, inklusive Bergfahrt uf dä Mont Blanche, und villicht sogar mit mä chline Spaziergang ufem Gipfel. 
Apropos Gipfel, am Schluss isches dänn chnüppeldick cho für dä SJU, wo sich ennerviert hät über d’Odensgnüsser CBO und JWU, und beidi Siite händ sich dä Begriff «Opfer» zu Nutze gmacht, um die andere chli z’necke. Dä grossi Odensstriit vo 2020 isch dänn aber wie immer heisser g’chocht als g’esse worde, und was sich neckt liebt sich ja bekanntlich, drum säg ich scho mal ä grossi Orgie in Immesee vorus, wo meh als nume Schueh «versteckt» werded. 
Bis bald, und wie immer danke an grossartige Iladigsverschicker SJU für sini witzige Biträg
MSO/MST (Nr.  7)
- Hauptstatistiker (wenn er si dänn verschickt: Vorfreud für Brüglete und JWU piesake: riesig)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2017/2018/2020(forecast)
- Overall participation rate
- Participation rate 2016/2017/2018/2020(forecast)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</si>
  <si>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Guete Tag
Dä Hiob höchschtpersönlich isch während äm Verfasse vo dere Zämefassig grad mit ere Botschaft cho, dass es dä JWU villicht gchlöpft hät. Mir hoffed er chan sich na churz teschte lah, dass er sich nöd agsteckt hät, und suscht heisst quarantinisiere. Alles Wiitere wird im DF Chat besproche. Immerhin hät er die schön «Kunst» chönne bewundere, und egal was jetzt usechunnt isches das sicher meh als Wert gsi. A dere Stell na es kollektivs Dankeschön an CBO, wo eus mit sim Kunstvideo allne dä Tag versüesst hät. 
Aber jetzt zu wichtigere Theme. Dä SJU isch hüt mit Bart uftaucht, und dä Ablick zäme mit sim plötzliche Erschiine am Velostand Safran hät dä MSO/MST grad chli verschreckt. Es hät sich dänn än Trend usekristallisiert, well dä gueti PKN hät sich ebefalls mit meh oder weniger vollem Gsichtsgwand zeigt. Dä YMI isch mit dä Frau YMI uftaucht, und dä CBO hät sini Aweseheitssträhne leider müese unterbreche. Am Afang händ sich YMI und SJU chli über ihre Webcamfetisch vom Üetzgiberg ergosse, was unter PKN und MSO/MST zu fragende Blick und Chopschüttle gfüehrt hät. Aber was au immer dis Boot floate laht, jedem das Seine. Miueers und SJU händ dänn na chli blöfft wie schön dass es det obe isch, es isch s’erschtmal i dä DF Historie dä Begriff «herzig» gfalle, aber es heg anschinend na vill Lüüt ufem Hügel, also bitte mit Vorsicht gnüsse. Sexwieswill, dänn isch zum Glück (oder Unglück, jeh nach Resultat vo dä neuschte Entwicklige) dä JWU cho, wo knapp am nä wiitere LI verbigrasslet isch. Nach äm Entledige vo sinere Jagge hät er äs Shirt vorzeige chönne, wo sich i dä 80er Jahr nur die gröschte Blöffsäck hetted chönne leischte, aber immerhin häts famos zu sim Haarschnitt passt. Dä JWU selber häts als «street style» bezeichnet, aber mer fragt sich welli Strass er da würklich meint. 
Während mer gfühlti 30 Minute uf die ville Donner, Boxe und Pideschiff gwartet hät, isch nume Gugus verzellt worde. Dä SJU hät biichtet dass er sich als kompetente Lügifux vo sinere Arbet druckt hät, dämit er sis DF-Quiz hät chönne perfektioniere, und dä PKN hät äm MSO/MST vorgschwärmt wie s’bstellte Mineralwasser ohni Cholesüüri glieferet wird: Mer nimmt eis mit Bübbles und schüttlets härt. Suscht händ sich grad zwei Mitglieder als blindi Hüehner g’outet. Zerscht hät dä SJU mit Entsetze feschtgstellt, dass dä MSO/MST sit äm Jänner wieder am Onkel Odin verfalle isch, und mir gratuliered ihm zu sine knapp 11 Monet voller glückseeliger Verdrängig. Dänn hät dä JWU usegfunde dass dä MSO/MST sich amigs Notize macht, dass die DF-Zämefassige wiiterhin dem grossartige Standard entspreched. Wahnsinn was mer alles so nöd gseht, oder gseh will.
Nachdem dänn endlich dä Donner cho isch, hät sich s’Gspräch natürlich wieder dä mit Spannig erwartete Chlöpfete Light in Immesee gwidmet. Mer hät sich über dä Treffpunkt vo morn in Affzgi luschtig gmacht, gwerweisst was mer dänn so für Esse pöschtelet, wer dumm gnueg si wird um es Wichtelgschenk mitzneh, und dass dä SJU am CBO sini Fahrschicht übernimmt. Nach ere heldehafte Spendeaktion vom Ehepaar YMI vom nä edle Tequila für morn, wo leider dä Spendehöchstbetrag vo 25CHF nöd übertrifft (Vali Ladner die Ratte), folgt jetzt na dä Ufruef vom Vizepräsident, zum nüme bruchte Fusel mitzneh für Meier/Müller, Hugo und andere Schabernack. Es isch ä Exekutiventscheidig zwüsched Präsi, Vizepräsi und Financier gfällt worde, dass letzterer alles zahlt und mir ihm das Geld dänn überwiesed und us dä DF-Stats abziehnd. Dä SJU hät ä churzi Trainingseinheit übercho wie mer Poker spielt, und dä JWU und PKN händ sich über ihri Schachkompetenz usglah nachdem si ä neui Netflixserie über Schach gluegt händ. Die üblichi Blöfferei, nüt Neus. Aber dä freudig Eierchueche isch dänn ganz schnell weggstellt worde wo dä PKN dä JWU dumm aghaue hät wege sim Data Science Studium, und mer hät sich amüsiert über dä offeni Schlagabtusch. 
Mir sind alli gspannt wies wiitergaht mit äm morgige Plan, und ich wünsche eu än schöne Fritig abig bim nä Bière oder zwei.
MSO/MST (Nr.  7)
- Hauptstatistiker (wenn er si dänn verschickt: Die Schwache Kunstliebhaber chlöpfts)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2017/2018/2020(forecast)
- Overall participation rate
- Participation rate 2016/2017/2018/2020(forecast)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</si>
  <si>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Da tätschts mer jetzt dänn dä Nuggi use, chan das si dass mer innerhalb von 2 Täg in Gnuss vo 2 so vorzügliche Zämefassige chunnt? Allerdings
Wege me unnötig lange Telefonat im Gschäft hät sich dä MSO/MST steihässig uf dä Weg is Safran gmacht, und er isch zwar nöd so spat cho dass es ihm än LI inegchlöpft hett, aber da sin erschte Ablick dä Jinderletscht gsi isch hätter fascht wieder umkehrt. Dä hät dänn wenigschtens dä PKN unterhalte mit ihrem unnötige Premier League Spiel, während dä SJU, CBO und dä König chli gschwätzt händ. Dä SJU freut sich uf sis Wuchenend und na meh uf d’Wiehnachte, und dänn häts scho agfange mit dä Roiberpistole und dä Affiggereiä. Natürlich hät dä CBO gnüsslich die grossi Bouillonnacht vo Immesee naglebt, und alli 3 Beteiligte händ sich chli anderscht an spatä Abig erinneret. Quintessenz isch, los uf dini Frau. Mer hät dänn vernah dass dä unterbezahtli Nikci «Gurkenmann» Grass bald mitem immer na quarantinisierti JWU will go brügle, und mer hät sich scho verschiedeni Asätz zum Erpresse vo dene beide Amatör überleit. 
Nachdem dä massivschti Donner uf dä Tisch gleit worde, wo d’Redaktion im Safran jeh gseh hät, isch scho die nächschti Stichlete azettlet worde, vo niemert gringerem als äm Jinderletscht, wo die nächschti Pischtole us dä Immeseechlöpfete uspackt hät: Wasserwürfel. Nach dä Erklärig vom MSO/MST, wies zu dem chline Missgschick cho isch, hät dä Jinderletscht natürlich gseit was für Pföschte dä CBO und SJU sind, und somit nur na meh Stei grüert. Und scho isches wiiter gange, und mer hät sich uf dä PKN gstürzt well er angelblich nöd gnueg zur Digitalisierig vo sim Betrieb biitreit hät. Irgendwenn isch dänn klar worde dass euse Auditor immer chli übertriebe hät und si scho vo dihei chönnted schaffe, aber lieber is Büro gönd go Ordner umeträge. Dänn isch wieder nostalgividiert worde, und alli händ mit vill Liebi ufs letschte Weekend zrugggluegt, und mer hät grad na chli wiiter uf früehneri Eskapade mit Meier/Müller/Hugo in Zelgrab oder Bagreb gluegt. Und PÄNG händ alli dä CBO (und alli wo das nüme gwüsst händ) bemitleidet, well er «usversehe» namal än Shot an MSO/MST hät welle geh, aber er dä scho am Samschtig Nacht am PKN geh hät well dä ja so gern Whysky hät. Das git grad än Nackeklatscher. Apropos Nackeklatscher, das isch als Vorschlag für die neu LI(FO(+)) Buess ufcho, well mer ja chli weg wännd vo dä monetäre Bestrafig. Durchus ä freudigi Idee, insbesondere wänn dä Schlag vom massive Kebabmacher vom Safran usteilt würdi. 
Dänn isch namal chli id Vergangeheit gluegt worde, und dur dä Ifluss vom wunderbar beruhigende TV-Programm sind alti Gschichte vo Skandinavie uspackt worde, mer hät sich gfragt ob Chrüzfahrte jeh wieder so beliebt sii werded wie letscht Jahr, und mer hät na über än komische Salami im Aargau gschwätzt. 
Nach all dene Mikroaggressione wünsch ich eu glich na än schöne Namittag, und hebed eu in Acht vorem Alain und sine zuekünftige Ischränkige. #mybodymychoice
MSO/MST (Nr.  7)
- Hauptstatistiker (wenn er si dänn verschickt: weiss nöd wasi söll schriebe, es sind mer d’Ideä usgange)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2017/2018/2020(forecast)
- Overall participation rate
- Participation rate 2016/2017/2018/2020(forecast)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</si>
  <si>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Ruhig isches gsi uf dä Kloppstockwiese, bis sich 5 Brügler gnächeret händ und s’erscht Mal sitem denkwürdige Lockdown im Früehlig wieder än Donner im Freie gönnt händ. Bis sich zwei Polizischte um dä Egge gschliche händ, aber dä beängschtigend Ablick vo 4 Brügler und äm JWU hät si dänn dävo abghalte, irgend ä Kontrolle durezfüehre.
Aber vo Afang a. Dä MSO/MST isch pünktlich am 12:11 vorem Safran acho, woner fründlich vom SJU und eher unaständig vom CBO begrüesst worde isch, wo behauptet hät Chernmitglieder treffed sich ab jetzt am 12:10. Da er aber zwar Gründigs- aber (zumindescht bis zur neue Regelig) ganz sicher keis Chernmitglied isch, hät dä MSO/MST die ungebildet Ussag links liege glah. Dä PKN isch scho im Lokal gstande, und dä hättem dä Kebab-sous-Chef grad mal än härte Stei an Chopf grüehrt mit dä Ussag, dass sini bstellti Donnerbox langwiilig seg. Dä CBO häts natürlich nöd chönne lah, au na es wiiters Mitglied vom DF dumm azhaue, und hättem PKN gseit, das widerspieglet au sin Charakter. Nachher isches zum Glück wieder chli gesitteter zue und her gange, und nachdem dä ehrewerti SJU äm JWU (wo sich endlich wieder än LI hät chönne sichere) än Dürüm mit vill scharf bracht und dä MSO/MST sini Monsterdonnerbox abgholt hät, isches dänn zur erwähnte Wiese gange. 
Im nä klassische Pentagram isch mer umenandgstande, und hät sich grad zerscht mal über die neue Massnahme vom Herr Bersérker unterhalte. Nach dä Gschicht vom PKN über än Maskeverweigerer und än heroisch ischritende Hilfspolizischt sind es paar interessanti Biispiel zwüsched SJU und CBO (wo hüt eher konfrontativ igstellt gsi isch) hi und hergfloge, wie schlimm das jetzt seg kei Maske azha und wie nervig so Hilfspolizischte seged. Es isch kein Verlüürer uszmache gsi, insbesondere well die exemplarische Verglich doch schwer mit dä Gschicht vom PKN zämehanged. Apropos Verlüürer, dä JWU isch wieder uf freiem Fuess, und obwohl er gross blöfft hät dass er mitem Nikci will go Bergstiege händ sich die zwei Hasefüess nur uf dä Foxtrail is schöne Aargau traut. Und dä CBO hät na brichtet dass d’Nadine ä Trendsetterin seg, wänns um s’Bestimme vo Coronasymptom gaht, well sie dä Gschmacksverluscht erfunde hät. 
Dä Rescht vo dä Ziit isch dämit verbrate worde, über die 3 verbrochene Donnerboxgable z’lamentiere, und Möglichkeite zum Umgah vo dä Massnahme für dä jährlichi Obersaxetrip usfindig zmache. Es sind die folgende Argument / Ideä präsentiert worde:
• Dä Jinderletscht hät angeblich behaupted, es handlet sich nöd um än Event, und d’Massnahme gelted somit au nöd. Eher ä Idee zum belächle, aber mer chan au nöd meh erwarte vo somene Giizgnäpper
• Dä CBO hät vortreit, dass sich alli Beteilitgte eifach es paar Täg nach dä Reis nöd under d’SF bi dä Lüüt sölled gselle, was sicherlich guet möglich wär, ussert für dä PKN wo ja gern is Büro gaht
• Dä SJU hät verluute lah, dass die Kontrolle eh nöd chönd stattfinde, well sich d’Bulle entweder nöd uf d’Pischte traued, oder mer si eifach nöd id Wohnig laht, well si einersiits keis Recht händ (dä JWU hät gseit si holled sich sicher eifach än Durchsuechigsbefehl für alli schwiizer Hüüser), oder well mer dänn chan säge dass mer meh als 2 Huushält währed wänns inecho würded. Dä Vorschlag schiint mer na am logischtä
• Dä CBO hät dänn nadopplet und gseit, das seg ja dä einzig Grund vo Obersaxe, dass mer d’Bulle zu sich lockt und si dänn chan verchlopfe. Uf d’Nafrag vom MSO/MST, wie si dänn usefinded dass mer gäge s’Gsetz verstosst, hät er gseit: Twitter
• Mer hät sich dänn g’einigt dass mer eifach afang, Untermietverträg unterenand uszstelle, dänn isch mer ja nur 1 Huushalt
Ufgrund vo dem Iwand hät mer na es paar Minute dämit verbracht, z’phantasiere wies wär wänn die ganzi Schwiiz das würdi mache, natürlich ohni d’Frösch vo dä Romandie wo sich irgendwie vo dä Trottel zu dä Muschterknabe gmauseret händ, eifach wells vorher so am «umehuere» (Zitat CBO) gsi sind. Und natürlich hät mer sich über d’Frösch in Frankriich luschtig gmacht, wo am Silverster am 8ti müend dihei si, suscht tätschts. Nöd dass das die proteschtfreudige Franke würde abschrecke, wahrschinlich eher s’Gägeteil. Mer hät sich dänn uf dä Weg gmacht, und somit nimmt än wiitere erfolgriche DF sis End. Alles in allem isches aber kein Guete Tag für d’Frösch.
Als Abschluss vo dere Nachricht na es paar organisatorischi Fiinheite. Dä SJU züglet nächscht Wuche, und er muess na luege ober sich chan useschliche um am letschte offizielle DF vom Kalenderjahr (aber nöd vom Fiskaljahr) chan teilneh. Jawohl liebi Leser, ihr händ richtig ghört. Da nachem 18. Decembrè die nächschte 2 Fritig uf dä 25.12 und 01.01 gheied (beides offizielli Fiirtig), gseht mer sich entweder nächscht Wuche, am nä halblegale Boxingday, oder suscht am 8. Jänner 2021 wieder. Dene wo sich nüme getraued wünsch ich somit schöni Feschttäg und äs guets Neus. Und na än spezielle Dank an YMI und PKN fürs Uffinde und Überbringe vom edle Pulli an MSO/MST, woner in Immesee irgendwie verlore hät. 
Gueti Chance
MSO/MST (Nr.  7)
- Hauptstatistiker (wenn er si dänn verschickt: Ich freu mi scho uf die vom Herr Bäumle akündeti dritti Welle)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2017/2018/2020(forecast)
- Overall participation rate
- Participation rate 2016/2017/2018/2020(forecast)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</si>
  <si>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Da packt doch dä MSO/MST sin Laptop namal us dä Schublade, extra zum die letscht und bescht DF Zämefassig (und au na d’Statistik als Randbemerkig) vom Kalender-, aber villicht nöd vom DF-Fiskaljahr usezjasse. Das heisst au dass ich die Nachricht nöd mal uf choschte vo dä GSCS chan erstelle, aber es git angeblich doch na Wiehnachtswunder. Apropos Jasse, meh däzue später. 
Aber gnueg vo dä Selbstbeweihräucherig, und zmitzt is Gschehe ine. Dä MSO/MST isch hüt mal usnahmswiis als erschte in Safran inespaziert, wahrschinlich well dä PKN ane Überraschigswiehnachtsfiir im Büro verschleppt worde isch. Churz drufabe hät sich dä YMI zu ihm gsellt, und die beide Herre händ sich unterhalte über wer wänn Ferie hät, und wer sich na besser a die vergangene DF-Zämefassig chan erinnere. Es isch dä MSO/MST gsi, und wänn dä SJU sini DF-Chlopfetequiz endlich mal chli meh uf dem literarische Wunderwerk würd ufbaue, chönnt dä DF-König das Quiz villicht endlich au mal für sich entscheide. Dänn zum notorische Verspätigsfux JWU, wo hüt knapp am nä nächschte LI verbigschlideret, aber dä CBO häts däfür gchlöpft. Härt verschwitzt ischer gsi, und mer munklet er segi direkt vo Zug mitem Velo cho, und währer nöd mitem velo da, währer scho dihei. Somit isch mer komplett gsi, da dä SJU sis grosse Lebensprojekt «ich zügle 50 Meter wiiter ine besseri Wohnig» am durefüehre isch, woner natürlich härt am MSO/MST abgluegt hät. 
Dänn sind Dürum ohni Wasser cho, es isch niemert terrified gsi, und mer hät «än bon» gseit, was bittère gsi isch für dä JWU wo sich sim 2 Minute alte Odens hät müesse entledige. Es sind wie immer Stei gfloge well dä YMI dä CBO azündet hät wäge sim «Bart», und dä CBO hät natürlich grad umegeh, wies dä Mani Matter i sim Klassiker «Ä Löu, ä blöde Siech, ä Glünggi und ä Sürmel» nöd besser het chönne beschriebe. Nach churze Feedbacks was jede so macht während dä Wiehnacht sind dänn Bedenke ufcho zum Lö sinere Boxing Day Brüglete, und mer hät sich enttüscht zeigt dass dä MSO/MST kei Guetsli für alli mitgnoh hät. Fazit: es gseht schlächt us, drum gaht mer lieber id Ferie nach St. Moritz, Zermatt und Disentis. Natürlich hät mer s’Thema Obersaxe wieder agsproche, und trotz äm CBO sinere Befürchtig dass all Restaurant zue sii werded hät d’Gruppe vorgschlage mer chönni doch eifach Bière in Rucksack neh. Oder in Camelbag. Proscht.
Dä CBO hät na akündet, es wüsseschaftlichs Experiment durezfüehre, ob dä vili Chnobli i dä Schwanzschwanzsauce sini Samschtigmörge so trurig mached, oder ob au mit dä Joghurtsauce es ähnlichs Problem würd entstah, und hät dänn prompt mitem JWU wieder Friede gschlosse (vorübergehend zumindescht), und si händ sich endlich mal wieder ohni ihri Awält (dä Claude W. als Awalt vom CBO atmet uf) chönne verständige. Und am Schluss hät wieder dä CBO, wo hüt doch einigi Male erwähnt wird i dem Text (und zur Überraschig mal nöd exklusiv mit negativer Konnotation), ä klassischi und sehr amüsanti Roiberpischtolä uspackt über sin Coronaschreck nach äm Jassabig mit illuschträ Näme wie SJU und Jinderletscht, wo wahrschinlich die Züglete zunere Brüglete zwüsched SJU und CBO gmacht hetti. Insbesondere d’Usfüehrige zum Schlangestah hät es herzhafts Lache usglöst, und ich würd säge mit dere positive Gschicht gaht s’Katastrophejahr 2020 für dä DF z’End. 
Ich bedanke mich für die guet Ziit, all die schöne Rückmeldige, und wünsche eu än guete Rutsch id Wiehnachte und merry new year. Mer gseht sich offiziell am 8. Januar wieder, hebed eu Sorg und in Acht vorem Bill Gates
MSO/MST (Nr.  7)
- Hauptstatistiker (wenn er si dänn verschickt: jede wo das liest chunnt vo mir än Kuss uf dä Buuch über wänns wieder erlaubt isch)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2017/2018/2020(forecast)
- Overall participation rate
- Participation rate 2016/2017/2018/2020(forecast)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Wege me unnötig lange Telefonat im Gschäft hät sich dä MSO/MST steihässig uf dä Weg is Safran gmacht, und er isch zwar nöd so spat cho dass es ihm än LI inegchlöpft hett, aber da sin erschte Ablick dä Jinderletscht gsi isch hätter fascht wieder umkehrt. Dä hät dänn wenigschtens dä PKN unterhalte mit ihrem unnötige Premier League Spiel, während dä SJU, CBO und dä König chli gschwätzt händ. Dä SJU freut sich uf sis Wuchenend und na meh uf d’Wiehnachte, und dänn häts scho agfange mit dä Roiberpistole und dä Affiggereiä. Natürlich hät dä CBO gnüsslich die grossi Bouillonnacht vo Immesee naglebt, und alli 3 Beteiligte händ sich chli anderscht an spatä Abig erinneret. Quintessenz isch, los uf dini Frau. Mer hät dänn vernah dass dä unterbezahtli Nikci «Gurkenmann» Grass bald mitem immer na quarantinisierti JWU will go brügle, und mer hät sich scho verschiedeni Asätz zum Erpresse vo dene beide Amatör überleit. 
Nachdem dä massivschti Donner uf dä Tisch gleit worde, wo d’Redaktion im Safran jeh gseh hät, isch scho die nächschti Stichlete azettlet worde, vo niemert gringerem als äm Jinderletscht, wo die nächschti Pischtole us dä Immeseechlöpfete uspackt hät: Wasserwürfel. Nach dä Erklärig vom MSO/MST, wies zu dem chline Missgschick cho isch, hät dä Jinderletscht natürlich gseit was für Pföschte dä CBO und SJU sind, und somit nur na meh Stei grüert. Und scho isches wiiter gange, und mer hät sich uf dä PKN gstürzt well er angelblich nöd gnueg zur Digitalisierig vo sim Betrieb biitreit hät. Irgendwenn isch dänn klar worde dass euse Auditor immer chli übertriebe hät und si scho vo dihei chönnted schaffe, aber lieber is Büro gönd go Ordner umeträge. Dänn isch wieder nostalgividiert worde, und alli händ mit vill Liebi ufs letschte Weekend zrugggluegt, und mer hät grad na chli wiiter uf früehneri Eskapade mit Meier/Müller/Hugo in Zelgrab oder Bagreb gluegt. Und PÄNG händ alli dä CBO (und alli wo das nüme gwüsst händ) bemitleidet, well er «usversehe» namal än Shot an MSO/MST hät welle geh, aber er dä scho am Samschtig Nacht am PKN geh hät well dä ja so gern Whysky hät. Das git grad än Nackeklatscher. Apropos Nackeklatscher, das isch als Vorschlag für die neu LI(FO(+)) Buess ufcho, well mer ja chli weg wännd vo dä monetäre Bestrafig. Durchus ä freudigi Idee, insbesondere wänn dä Schlag vom massive Kebabmacher vom Safran usteilt würdi. 
Dänn isch namal chli id Vergangeheit gluegt worde, und dur dä Ifluss vom wunderbar beruhigende TV-Programm sind alti Gschichte vo Skandinavie uspackt worde, mer hät sich gfragt ob Chrüzfahrte jeh wieder so beliebt sii werded wie letscht Jahr, und mer hät na über än komische Salami im Aargau gschwätzt. 
Nach all dene Mikroaggressione wünsch ich eu glich na än schöne Namittag, und hebed eu in Acht vorem Alain und sine zuekünftige Ischränkige. #mybodymychoice
MSO/MST (Nr.  7)
- Hauptstatistiker (wenn er si dänn verschickt: weiss nöd wasi söll schriebe, es sind mer d’Ideä usgange)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2017/2018/2020(forecast)
- Overall participation rate
- Participation rate 2016/2017/2018/2020(forecast)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</si>
  <si>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Ja ist denn heut scho Weihnachten? Ganz gemäss äm legendäre Kaiser Franz gits hüt än Tripper als Geschänk. Zerscht mal än ganze Chübel voll Schnee, d’DF Zämefassig vo letschter Wuche, und dänn na eini vo dä hütige Ereignis, wahrschinlich ohni PKN wo sich nöd usem Huus getraut ohni Trambetrieb. Die Gchlöpfte schwächts wie immer. 
Letscht Wuchä isch nöd ganz so vill passiert, da die meischte Mitglieder ihrere Liebi zu Schnee und Bière in Obersaxe nagange sind, und ich freu mi scho uf erschti Erfahrigsbricht. Somit sind nur dä JWU und dä MSO/MST übrig bliebe, und obwohl dä JWU ganz ängschtlich 3 Mal gfragt hät ob dä DF au stattfindet, well er wieder mal als Einzige kei Iladig übercho hät, ischer doch Maa gnueg gsi um im Safran ufztauche. Nöd nur das, er isch sogar pünktlich gsi. Wo dä MSO/MST dänn azottlet isch hät er sich grad mal anere Menschemängi vo Teens vorem Igang verbiidruckt, wo ihn nur mit verächtliche und beidruckte Blick gwürdiget händ. Dä JWU hät ihn dänn informiert dass die ganzi Bandi zägg usem Lade donneret worde isch, und dä MSO/MST sich wie än Hinderrückslivogel a ihne verbiidrengt hät. Sexwieswill, die beide Herre händ vom Glätzi än Donner ohni Wasser übercho, und sind dänn uf d’Rugbywiese für tüüfi Gspräch und sinnlichi Augeblick. 
Ich weiss au nüme ganz was mer diskutiert hät, es isch au scho ä Wuche her. Aber es isch ganz vill blöfft worde, was mer hät chönne erwarte. Dä MSO/MST hät chli verzellt vo sine Wiehnachtsferie, wiener in St. Moritz mit dä wenige Russe wo na cho sind am poltere gsi isch, und dass er jetzt sehr erholt wieder zrugg is Homeoffice cho isch (Update: er isch scho nüme so entspannt). Dä JWU hingege hät scho ä Wuche früehner agfange «Schaffe», hät aber au es paar romantischi Täg mit dä neue DF UNO-Verträtterin Rooooseääään chönne verbringe, inklusive riskantem Schlittelvergnüege uf mä chline Hügel. Rat vom Carlos Varela: Heb dä Schlitte. 
Somit gaht die Zämefassig scho z’End, well die gmüetlichi Zweisamkeit doch eher churz und bündig ghalte worde isch, und well dä Zämefassigsschriiber nüme s’beschte Gedächtnis hät. Aber wie gseit gits hüt ja na ä zweiti Ladig, und ich hoffe dä Eint oder Ander hät gnueg Muet die paar Minute dur dä Schnee z’lauffe um än wunderbare Donner mit äm zweitbeschte Verein i dä Schwiiz (und somit dä Welt) z’gnüsse. 
Baum fällt, und tüüfachtigswert
MSO/MST (Nr.  7)
- Hauptstatistiker (wenn er si dänn verschickt: sehr spat, bin im Schnee stecke bliebe)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2017/2018/2020(forecast)
- Overall participation rate
- Participation rate 2016/2017/2018/2020(forecast)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</si>
  <si>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D’Beschärig gaht wiiter, das heisst jede chunnt ä Schär über. Nach dä churze und knackige Zämefassig vom Morge gits jetzt s’vo villne erwartete Sequel, und ich hoffe d’Kritiker sind wie immer zfriede mit dä Vorfüehrig. 
Bevor mer afanged möcht ich äm MSO/MST zu sim 200tä Donner/Box/Pide gratuliere, woner im Rahme vom DF konsumiert hät. Wer gnueg muetig isch, i die neuschti Statistik zluege, gseht dass er zwar erscht 199 Partizipipipationspünkt hät, aber well er anno domini 2017 oder 2018 mal zwei Kebab i eim Zmittag verspiese hät um ufzzeige was er für än Blöffsack isch, isch es doch erwähnenswert. Die grossi Celebratiôn vo dä 200 Teilnahme wird dänn nächscht Wuche duregfühert. 
Jetzt wo das klärt isch chömemer doch grad zu dä Hauptsach: wie gahts eusne ehrewerte Mitglieder und äm JWU? Leider chan mer die Frag nur teilwiis beantworte, wells die folgende Persone nöd is Safran gschafft händ: 
PKN: Hät wie bereits erwähnt nöd gnueg Muet (oder zu schlechti Schueh) gha, und mer munklet er wüssi gar nüme wo mer eus amigs am Fritig treffed
JWU: Nach sim gloriose Uftritt letscht Wuche isch dä Porsche leider im Schnee stecke bliebe, und drum isch dä Herr immerna in Bonstette Post bim Usgrabe. Mir wünsched vill Erfolg
SJU: Trotz 260+ Velokilometrè ufem Weg zum DF häts dä Mr. President hüt nöd gwagt, sin Zweiräder uszpacke, oder er isch immer na dra, sis Veloschloss am ufbreche. Ich han also scho mängs Eat.ch Velobote gseh, wo äm Schnee trotz händ, und empfehle äm SJU somit äs Praktikum i sonere Institution. 
Nichtsdestotrotz isches wieder mal luschtig gsi, und fanstastischerwiis händs die beide Wanderfüx CBO und YMI gschafft. Somit händ sich dä Vizepräsident und die beide Na-Extrawürscht chli chönne im Safran ufwärme. Nach äme rege Ustusch über die jewiilige Ferie und obersäxische Erzählige isch mer richtig Rügbywiese gstapft und es isch än Leserbrief diskutiert worde, wo dä Split im Falle vo 6 Teilnehmer vorgschlage hät. Dä Leser, wo gern ungnannt bliibt, aber sin Brief mit «Crevette» signiert hät, schlaht vor dass i somnä Fall die 5 Mitglieder zäme chönd kebabä, wo nie usem DF usträtte sind. Aber gnueg vo dä Crevette und zrugg zu dä Action, wo dä CBO (wo definitiv nöd dä Leserbriefschriiber isch, imfall) sich über dä ganzi Schnee gfreut hät, und apropos, findet dass die ganz Aglegeheit Action puur isch. Insbesondere sini Aktivität «ich stah uf, lauf zum Fenster und gseh wie so elendi Hinterradatriebsautos am umerutschte sind» tönt doch absolut faszinierend. Apropos Nummere 2, dä CBO hät dänn grad na blöfft über sin 4x4 BMW, und wie froh er jetzt isch über sini absolut grechtfertigti Investition. Dä YMI hät ihm dänn vorgschlage, is Autohandelsbiziniz izstiege, aber wie immer lost dä CBO nöd uf gueti Ratschläg.  Dä YMI hät dänn na chli verzellt, wies in Immesee zue und her gaht, und dass dä Standort vo dä letschte DF Chlöpfete im Moment am Erdbode gliich gmacht wird. 
Natürlich isch s’Thema Corona wieder ufcho, mer hät sich ufs Däfür und Däwider gstritte ob jetzt dä Alain alles richtig gmacht hät, und warum das Impfchaos so catastrophalè isch. Mer hät sich nach äm Nikci erkundiget, wo zletscht i dä Dübedorfer Adventure Arena gsichtet worde isch, und s’Plenum hät sich vorgnoh, mal än gmeinsame Escape Room Event uf d’Bei zstelle. Und wie immer isch nach dä Chlopfete vor dä Chlopfete, was heisst dass Afang März die hoffentlich glamurösi Party als Rückkehr zur Normalität nachem Lockdown gfiiret werde chan. Dänn isches richtig Heimat gange, und zwar nöd über dä Schneebedeckti Hügel, well dä CBO zvill Angscht und Geld gha hät, was aber zur Entdeckig vom neuschte Trend gfüehrt hät: SCHNIFO. SCHNIFO (Schnee In, Finances out) wird aktiviert sobald d’Bedingige s’Forme vom nä Schneeball zuelönd, und es gits 5 Fränggli id DF Kasse für jede wo nöd s’Schild der Wahl nöd trifft. Hüt häts alli 3 vertätscht, obwohl dä CBO Fake News verbreitet hät well sin Ball angeblich d’Schneechrone vom Schild gstreift hät. Und natürlich händ sich die 3 Parteie bim Abschied na ä chlini Schneeballschlacht ohni klare Gwünner glieferet, voller Hass und Verbitterig, womit s’Weekend scho fascht iglüütet isch. 
Hebed eu Sorg, und bis nächscht Wuche
MSO/MST (Nr.  7)
- Hauptstatistiker (wenn er si dänn verschickt: sehr früeh, nöd mal dä Schnee chan mich ufhalte)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2017/2018/2020(forecast)
- Overall participation rate
- Participation rate 2016/2017/2018/2020(forecast)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</si>
  <si>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Guete Tag,
Eigentlich bruchts hüt kei Zämefassig, mir sind ja alli däbi gsi am DF. Aber dur die bestehende Ischränkige vo eusem Läbe #mybodymychoice hämmer eus müese i Grüppli ufteile, und somit gits sicherlich ä gwüssi Diskrepanz im Wüsse über was hüt so alles diskutiert worde isch. Aber fangemer am Afang a. 
Am 12:09:51 isch dä MSO/MST fröhlich richtig Waffeplatz glauffe zu sim zweihundertschtä (!!!!!!!!!!!) DF, und hät dä Örli Bird PKN vorem Safran vorgfunde. Nach eme churze Ustuscht über Regelbrüch vo dä Homeofficepflicht sind Kollege CBO und SJU anestorziert, und mer hät sich is Lokal gwagt. Und zur Überraschig vo allne Beteiligte sind doch tatsächlich au na die letschte zwei DF Mitglieder acho, und dä CBO hät namal dä Leserbrief vo dä Crevette agsproche, aber wie scho erwähnt hät mer sich dänn nöd a dä Input ghalte. Usserdem hät dä Schoggi es Bättul gliefert mitem CBO und SJU ob er jetzt meh usgeht wie dä Eco Fresh oder än Clown, und wie sinnvoll s’isch mit Wasserfarbe go Sachä tägge. Nach dä Bstellig und ungwöhnlich schnelle Lieferig vo 4 Dürüums und 2 Boxä hät mer sich wieder mal nebed dä Rügbywiese wiedergfunde, und Präsident und Vizepräsident händ sich handkehrum vo ihrne weniger illustre Vereinsmitglieder abgwendet. 
Nebed mä churze Update zu dä neue Edelwohnig vom SJU, woner jetzt dank dä Homeofficepflicht endlich chan voll gnüsse (trotz grossem Widerstand vo dä ZKB Luuserbank, siehe Artikel im OutsideBürkliplatz) und äm erschte präsidiale Ustusch im Kalenderjahr 2021 über Ferie im Engadin (dä SJU isch angeblich än Langlauffux) und Vereinsstrategie sind altbekannti Firmegräbe wieder uftaucht. Nach dä übliche Bemerkige über Gurke i dä GSCS hät dä SJU mit es paar Anekdote über dä ChefAlageBeamte vo dä ZKB uftrumpft wo angeblich ä wahri Legende isch. Ich will da nöd zvill verrate, aber wänn öpper dä SJU als «Rogue Trader» bezeichnet well er unrasiert und verwuschlet im Skype Call uftaucht muess er än echte Connaiseur si. Jedefalls isch dä MSO/MST wunderbar unterhalte worde, au i dä druf folgende Diskussion obs schlimmer isch wänn s’Impfameldigssystem zämegheie würd wänn sich zvill oder zwenig Lüüt amelded. Bevor mer sich zu wiit mit ungebührende Ussage über Afrika hät chönne usem Fenster lehne, hät mer luut und dütlich vom JWU chönne verneh «Ich bin immun». I wellem Kontext dä Deserteur die Wort g’üsseret hät wird mer nie wüsse, aber mer hät mitem CBO es neus Vierergrüppli bildet und zerscht mal d’Absag vom mit Hochspannig erwartete Jassduell zwüsched MSO/MST und JWU diskutiert. Mer hät au erfahre dass dä Nikci «Gurkenmann» Grass än Blöffsack und dä Ebito Ebito än Jassamateur seged. 
Usserdem isch diskutiert worde, ob dä MSO/MST oder dä JWU die sozial inakzeptablere Antworte i dä jewiilige Situatione geh händ, und ich überlah s’Verdikt dä Leser selber: 
Szenario 1: MSO/MST und CBO sind vormä EVZ Zug Match vorem Big Baba Kebab, und unterhaltet sich mit mä «Kolleg» CBO. Dä Typ seit tschau und seit (paraphrasiert) «schön gsi dich kenne zlerne», und dä MSO/MST reagiert mit mä «Nei voll nöd»
Szenario 2: Dä JWU isch hart am ravä im nä Schloss irgendwo im Graubünde. Wie z’erwarte blöfft er hart ume und seit äm DJ «Ich finds scho schad dass ich dä einzig bin wo Pille chlöpft», im volle Wüsse dass sich dä Herr natürlich massiv brüskiert zeigt, und däJWU somit nöd nur dä DJ aber au die ganzi Pilleszene beleidigt. 
Bevor mer die Monsterzämefassig beended, na än Kommentar zum letschte Päärli vo hüt. PKN und YMI händ sich natürlich vorbildlich sozial distanziert, und sind somit meischt usser Hörwiiti vom Zämefassigserfasser gsi. Allerdings sind doch es paar Wortfätze überegfloge, und ich bin froh eu mitzteile dass sich die beide sehr liideschaftlich gschlageni 30 Minute über Huuspflanze und dä Ifluss uf dä persönlich Bièrekonsum unterhalte händ. Bim Zrugglaufe isch dänn au na usecho, dass die beide zäme mitem SJU dä Üetliberg abegfahre sind, nöd öppe mitem Mountainbike, sondern mitem Schneebrett. Ich wünsche usserdem äm YMI gueti Ferie und äm JWU es wunderschöns 30jährigs Jubiläum i dä Schlenzerheid. 
MSO/MST (Nr.  7)
- Hauptstatistiker (wenn er si dänn verschickt: ich freu mi so uf s’grosse Squashduell mitem JWU im Jahr 2023)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2017/2018/2020(forecast)
- Overall participation rate
- Participation rate 2016/2017/2018/2020(forecast)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
  </si>
  <si>
    <t xml:space="preserve">Grüezi
So vill scho mal vorweg: s'höche Niveau vom MSOMST sine Zämefassige wirde nöd chöne bhalte. Drum konzentrier ich mich uf mini Kernkompetenze. Churzi, aber defür unlustigi Text.
Bin scho am Dunnstigmorge s'erste Mal enttüscht worde, wo de MSOMST mit de Hiobsbotschaft cho isch, dass er entgege sine (und mine) Erwartige und sim ursprüngliche Anäh vo de Iladig doch hät müesse absäge, well er "ganz vergässe hät, dass er gar nöd in Züri isch das Weekend". Jänu sölls gits. Wünsche eusem Weltebumm(s)ler vill Spass, wo au immer er gad e (Fascht-)Lettin verrumed. Zuvor hät scho de YMI ufgrund vo sim Skiurlaub (ich säge etz "Urlaub" und nüme "Ferie", well de dütschi Ifluss und Druck bi mir dehei scho so gross worde isch) müesse absäge, wo er mit sim Väde vo eim Skiresort is nögschte ziet und so sini Virusmutatione YMI-1.0 und YMI-1.1 entsprechend spreade chan. Herzlichi Gratulation a dere Stell! Au de JWU hät eimal meh mit sinere Paradedisziplin – em Fernbliibe – uftrumpft. Dasmal mitere aständige Begründig: Brügler-Skiferie mit de Wülimahs, incl. Claude und Claudine. De spontansti Absager und deshalb auf Versager vo dere Fiskalwuche isch de CBO gsi, wo am SJU no e halb Stund vor em DF sini Teilnahm confirmed hät nur zum churz druf abe als Vorwand en "business emergency" is Feld zfüere. "Be there or be square". Er hät Letzteres gwählt. 
Woni denn am 12.11 bi strömendem Rege immerno elei vorem Edelgwürz Safran mit 13jährige Gymeler umeghängt bin und Niele graucht han, bini langsam unsicher worde öb de PKN us Rücksicht vor de Jasi und ihrne bevorstehende Latteprüefige au no en Rückzieher macht. dMueter isch inzwüsche scho usezlaufe cho und hät mich gfröged öb ich hüt elei bin. Meh als es Schulterzucke hani nöd herebracht und sie hät mi aglueged als wäri en Hund wo mer gad im strömende Rege usgsetzt hät. Aber denn isch zum Glück doch no de PKN uftaucht, mit Schirm, Charm aber ohni Melone. Mer hät sich denn imene Huusigang bi anhaltend herrvorragendem Wetter über Awaltsprüefige, hellhörigi Hüüser und unnötigi Bettsofas ustuuscht. De Konsens nach eusem 30minütige Gspröch isch gsi: Fraue chönd mägnisch astrengend si (zumindest isch das mini Quintessenz gsi). Ah ja bim Ahlehne ad Huswand bini denn usversehe no a dHuslüüti cho und verschiedensti Mieter händ am Surre vo de Tüüre zverneh versuecht, eus ufzmache. Das isch no glatt gsi.
Ich wünsche etz am PKN es fantastischs und de andere es passabels Wuchenend und freu mi uf die nögscht Edition vom Corona-DF.
Mögi Gott eu bhüete.
LG
Säschi
</t>
  </si>
  <si>
    <t xml:space="preserve">Alléz Hopp, los gahts
Da chunnt dä MSO/MST wie jedi Wuche (Anm. der Redaktion: ussert er chunnt nöd) mit sim Rennvelo inklusive Platte am Hinterrad düsend im Safran a, und was gsehnd da sini nöd glaserete Auge? Dä JWU, wo sich wieder eimal selber übertroffe hät mit sinere Kleidigswahl: Er treit es Jäggli wo es paar Minute später vom SJU als «passend für dä Clown vom Zirkus Conelli» beschriebe wird, und glücklicherwiis zum Teil dur d’Füechtigkeitsbildig im MSO/MST sinere Brille verdeckt wird. Nebed ihm staht dä PKN, wo sich endlich wieder uf Strass hät därfe wage nach es paar Wuche Usgangssperri. Es wird über Servette diskutiert, und wie vill mal dä MSO/MST i sinere lange und erfolgriche Fuessballkarriere scho vom Platz gfloge isch wäge Notbremse und andere üble Grätsche. Und siehe da, nach äm Masseexodus und Rege vo letschter Wuche schiint dSunne hüt au wieder für dä DF (und a dä Langstrass), well doch tatsächlich die andere 3 Muskeltier au na uftauched. Da hämmer dä YMI, wo sich trotz sine Virusverteiligsversüech wieder us dä Berge zruggtraut hät. Dänn dä eifrig Leserbriefschriiber CBO, wo sich trotz erneuter «business emergency» die Wuche mal uf die wichtige Sache im Lebe konzentriert. Und natürlich dä SJU, wo mit mä moderate aber villversprechende Schauz uftaucht. 
Während alli über 10 Minute gwartet händ, sind die übliche Grüppli bildet worde, und nachdem dass mehr usegfunde händ dass alli Awesende kei bis wenig ahnig händ vo dä NHL, isch ufcho dass d’Roseääään dä Schwiizer Tourismus gar nöd so fescht unterstützt wie si chönnt, und nur sporadisch zum Schoggi uf Bonstette ohni Bahnhof (oder Flugplatz) flügt. Dänn isch mer wie üblich i dere verrückte Ziit mit Chind und Chegel zu dä Rügbywiese trottlet. Bsunders dä MSO/MST, wo wie än Trottel sis Velo vorem Safran vergesse hät, und dänn namal hät müese hindereschliche zums hole. Aber ja, dä Alain häts gfreut dass mer eus wieder chli ufteilt händ, und wies dä Zuefall so will isch dä MSO/MST am SJU zueteilt worde. Zuefall isch Abfall, was au für dä Gsprächsinhalt vo hüt zuetrifft, aber bitte beurteiled sie als treui Leser d’Situation selber. Mir vo dä DF-Kommunikationsabteilig sind extrem STORZ uf eusi objektiv Brichtserstattig (siehe Fact Check bi dä Ussage), und nehmed jede Leserbrief (sogar vom CBO) erntscht, ussert er passt eus nöd is Weltbild, dänn ignorieremer än (mer chönnt ä dunkli Vorahnig ha dass das na ä Rolle i dä Diskussion wird spiele). Die zwei Gigante händ sich quer dur sWeltgschehe gredet, und die folgende Ziile beschriebed dä Weg vo A bis Ohhh. 
• Agfange häts mitere Behauptig, dass Augelasere negative Langziitfolge hät, und mer hät gmuetmasset dass die Fake News usere Studie vo Fielmann und Visilab chömmed. Fact check: Plausibel
• Es isch usecho dass Banke bi dä Bonuszahlig än entscheidende Vorteil händ, well si dä Bonus au nachem Uszahle wieder vom Konto abzieh chönd. Zitat SJU: Nüt isch sicher im Lebe. Fact check: Vo 2 Bänker nöd bestritte, isch also korrekt
• ESG (Es Schneit Gülle) isch dä neuschti Trend für Alagevehikel, wo vo dä Bad Banks jetzt zünftig an Ma/Frau bracht wird. Die ganz Sach isch än riese Schwindel, well zum Bispiel Waffe sehr guet sind um dä zuekünftig Klimawandel izdämme (weniger Lüüt und so), aber angeblich glich nöd i nachhaltigi Portfolios ineghört. Fact check: ESG isch än Chabis
• Dä Jinderletscht als euse asiatisch Ambassador hät dä SJU uf äs neus Spiel ufmerksam gmacht, wo Open Face Chinese Poker heisst. Dä SJU hät churz d’Regle erklärt und als «Rogue Trader» die ganz Sach super verchauft. Usserdem heg sini Spielpartnerin nume Glück. Fact check: Wird hüt na usprobiert, und wänn mer äm «Glück in der Liebe, Pech im Spiel » Spruch will folge hät dä SJU doch nöd alles falsch gmacht i sim Lebe
• Netflix isch kei gueti Alternative meh, um sich vo sim eigene Alkoholkonsum abzlenke inere Ziit wo mer suscht nüme vill chan mache. Fact check: Nachem SJU sinere bald 1-monatige Abstinenz isch das Statement wahrschinlich falsch, aber who’s know, Netflix isch au nüme das wos mal gsi isch
• Amerika isch än Chübel voll Idiote uf beide Siite (und villicht au i dä Mitti). D’Medielandschaft wird dominiert dur Big Tech und äm Tüüfel uf dä jewiilig andere Siite, und d’Medie mached nie Fact checks. Fact check: Stimmt, well ichs so gseh
• D’NZZ isch än Altherreverein, wo ab und zue doch na öppis interessants schribt, wie zum Bispiil über Bookshelf psychology. Fact check: dä SJU hät mer das vorher gseit. Ich han alli mini Büecher arme Chinder in Schliere gspendet, und bin somit besser als alli andere
• Nach dem romantische Gspräch gits nächscht Wuche es Dinèr zwüsched dä zwei DF-Vereinsfüehrer (pssst, nöd äm Alain säge) und ihrem Ahang. Ohhh.
Währenddesse  händ sich die andere Teilnehmer (au «the small 4» gnennt) über dä Sinn vo Chreis und dä Quadratur vom Lebe unterhalte. Das mag für mindeschtens 1 vo eusne Leser vo minimer Bedütig si, aber wer scho mal versuecht hät usezfinde wärum än Chreis än Chreis isch, und wie mer ä Stadt i Chreis ufteile chan obwohl dämit nöd die ganz Flächi abdeckt werde chan (siehe Abbildung 1) wird eines Besseren belehrt (Zitat Yilmaz Z: Angscht und Geld und Chreis hani kei). Ich wünsche es schöns Finale zu eurere Wuche, und mer gseht sich immer zweimal im Lebe. Oder meh. Oder weniger. 
Abbildung 1: Unsinn mit Kreisen – wie die Verkreisung einer Stadt die Inclusion ihrer Bürger verhindert
MSO/MST (Nr.  7)
- Hauptstatistiker (wenn er si dänn verschickt: Unter Blinden (SJU) ist der Einäugige König)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2017/2018/2020(forecast)
- Overall participation rate
- Participation rate 2016/2017/2018/2020(forecast)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</si>
  <si>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Hallo und herzlich willkomme a alli Hobbyfinanzschwindler und –aleger, 
Hüt gits mal extra ä schlechti Zämefassig um d’Erwartige wieder chli abezbringe. Obwohl, gemäss äm CBO isch scho die letschtwüchig Ballade vom MSO/MST miserablè gsi, trotz sim direkte Feedback vo «Hahahaha du bisch dä bescht. :D»
Aber gnueg vo dene Fake News und zrugg zum Gschehe vo hüt. Alli simmer da gsi, ussert dä YMI wo sich angeblich immer wieder mal i dä Berge versteckt um dä Vireschleudere JWU z’entcho. Dä hät hüt zur Abwechslig mal es Kompliment für sini Kleiderwahl übercho, und hät dänn mitem CBO agfange über än gwüsse Jakob Josef und sini Untate z’rede, aber dadäzue später meh. Alli händ sich ä gueti Spiis usgwählt, ussert dä SJU wo sich für dä usserordentlich delikati Falafelkebab entschiede hät, und er häts au überhaupt nöd bereut. Mer hät sich im windgschützte Unterstand nebed dä Wiese niederlah, und dä JWU hät sich übers Balzverhalte vo Lucky und Balz usglah. 
Nach eme churze reminisziere über ä wunderbari Usenandersetzig vom Dober und äm MSO/MST im Schwiizer Däge, wo dä JWU selber azettlet und sich dänn gekonnt zrugglehnt hät, isch s’Karma höchschtpersönlich verbicho und er hät sich Cocktailsauce uf sini Schueh tropfe lah. Höchscht erzürnt hät er sich dänn wenigschtens i sini Fantasiewelt chönne zruggzieh, und eus vo dä definitiv nöd existierende Netflixserie «El dragon» brichtet, aber d’Zwiefel ob dä JWU nöd eifach än Fiebertraum gha hät mit Narcotrafficantes und japanische Aktiemärkt sind durchus berechtigt. 
Dänn isch d’Stund vom JJ cho, und die Igweihte händ es paar Minute vo dä grossartige Erlebnis vom Jakob verzellt. Wer unbedingt sini Vorsorg nüme brucht oder im Gfängnis will verbrüglet werde («dä flügt weg»), isch bi ihm a dä richtige Stell. Dä CBO hät dänn na offizielli Ufzgi ufgeh, und wer bis nächscht Wuche dä Biitrag vom Josef nöd gseh hät wird öffentlich mit Gurke und allne Tomate beworfe. Als Abschluss isch na än Tipp vom Nikci «Gurkenmann» Grass inegschneit, dass mer sich im Chrüzzug vo dä amerikanische Anti-Hedgefundtraders uf Canabisaktie söll konzentriere. Dä Tipp chunnt allerdings wie immer es paar Tag zspat. Oder sogar meh als es Jahr zspat, well wänn mer damals uf dä PKN glosst hett und statt Tesla z’shorte (oder au nöd, jeh nach Luscht und Luune vom YMI) die Alag au i euses Portfolio gworfe hetted währed mer jetzt stone-rich. Allerdings munklet mer dass dä YMI scho damals gwüsst hät dass Tesla so abgah wird, und euses im Nachhinein törichte Investment drum mit dä Usred «ich muess na än Test mache zum Alege» ganz fuxig verhinderet hät. Wänn dä YMI plötzlich mit mä Helicopoter zum DF chunnt wüssemer dass er mit dem angebliche Siitegschäft ä goldigs Nääsli verdient hät. Apropos Chrüzzüg, dä Robin Hood verklagt angeblich d’Tradingplattform Robinhood wäge fehlgleitete Wertvorstellige. So jetzt hani immerhin na eis Apropos inegwürgt. 
Schöni zwei Ruhetäg
MSO/MST (Nr.  7)
- Hauptstatistiker (wenn er si dänn verschickt: «Ich han chalt» (PKN, Februar 2021)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2017/2018/2020(forecast)
- Overall participation rate
- Participation rate 2016/2017/2018/2020(forecast)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</si>
  <si>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A alli Plagöris da usse
Willkomme zum neuschte DF Salat wo dä ehrewerti MSO/MST hüt serviert. Ich hoffe dass die folgende Wort wie immer ä Ufmunterig i dere schwere Ziit isch, insbesondere a eusi Quaran-teens YMI und PKN, und natürlich au a eusen Presidente «Rogue Trader» SJU, wo ebefalls nöd hät chönne unter eus si. 
Dä Tag hät scho mal guet agfange wo dä MSO/MST mitem Velo ufs Safran zuegstüüret isch, und dä JWU mit lange aber däfür gschleckte Haar vorgfunde hät. Ganz unschuldig hät mer sich mit chli Bänter über dä Jassabig am Mittwoch d’Ziit vertriebe, wo dä SJU und dä MSO/MST dä beduurenswerti Nikci und dä blöffendi JWU 3 Mal abtröchnet händ. Insbesondere fürezhebe isch dä folgendi und gschobeni Jass, wo dä Gurkenmann än klassische «Schellinski» agseit und dänn kei Schelle ageh hät, und dänn usecho isch dass er eigentlich Schilte gmeint hät (trotz Nachfrag vom SJU ob jetzt Schelle isch). Oder äm JWU sini Asag, wänn während äm Jass über dä Jass gschwätzt wird zellts als Match für dä Gegner, und die folgende 3 Stund woner konstant während äm Jass über dä Jass gschwaftlet hät. Die beide Sieger händ sich aber nöd ablenke lah über die unprofessionelle Manipulationsversüech. 
Apropos Jasse, es sind alli scho extrem gspannt uf dä Zweiercoiffeur vom JWU und MSO/MST i zwei Wuche. Apropos Coiffeur, mer händ usegfunde dass dä Jinderletscht (wo au cho isch, nöd ganz zur Freud vo allne Teilnehmer) und dä MSO/MST passionierti Redeverweigerer sind wänns bim Coiffeur hocked, und dä Jinderletscht us dem Grund sogar scho sin Schnipsler gwechslet hät. Dä CBO gseht das chli weniger eng, und nimmt falls nötig au mal am nä Gspräch mit sim Frisör teil, aber nur i dä erschte 5 Minute. Dä JWU hingege gaht anschinend nüme zum Coiffeur, zumindescht wänn mer sini Frisur aluegt. Und ich würg jetzt na es dritts Apropos ine, eifach wellis chan. Es sind Amerkige über ä chli Jasstirade ufcho gäge dä YMI und sini usbuechte Wuchenend, wo eusi Chlöpfete bis in Mai usezögered. Es isch sogar im DF Chat gmunklet worde, das Manöver seg motiviert gsi um dä bestehend DF-Modus na so lang wie möglich wiiterlaufe z’lah. Dä Rescht überlah ich eusne Verschwörigstheoretiker, well mir eus da strikt a Fakte haltet. 
Dänn häts ä chlini massregelig geh vom Massregler CBO, well dä MSO/MST sini Ufzgi nöd gmacht hät. Es isch am CBO aber versicheret worde, dass beidi Bricht über dä Jakob Joseph (RIP in peace, han gar nöd gwüsst dass er nümme unter eus am brügle isch) hüt gluegt werded. Wie dä CBO und anderi Igweihti werded merke han ich scho es paar Minute gluegt. Dä CBO und JWU händ usserdem däfür plädiert, dä Jakob als DF-Maskottchen izfüehre. Und mir bitted alli wo s’neuschte Video vom kleine Eric Wääber händ das bitte ASAP a alli wiiterzleite.  
Suscht hät mer na chli spekuliert wänn jetzt endlich Restaurant und Läde ufgönd, und alli selbsternannte Experte händs natürlich selber am Beschte gwüsst. Und abem 1. März muess mer endlich nüme so tue als seg mer 15i wänn mer uf öffentlichi Sportplätz gaht. Dä Rescht vo dä Ziit isch mit üsserscht amüsante Anekdote und bedenkliche Präzedenzfäll über Iversity und Dinclusion ufgfüllt worde, und mehr gseht scho dass dä Verfasser vo dere Zämefassig in Angscht lebt dass sin Arbetgeber sini Asichte als nöd sehr inklusziv gseht, und fürchtet dass er im Gfängnis mit schwerem Rauch gfolteret wird. Mer isch sich einig gsi dass mer eigentlich nöd söll gwüssi Gruppe bevorzuge und anderi aktiv benachteilige um angeblichi Unglichheite uszgliche, und alli sind chli müed über all die Theme z’lese (drum schribi jetzt au namal drüber). Dä einzig Punkt wo mer sich sicherlich müsst aluege isch d’Police im Arbeitsort vom Jinderletsch, wo mer sich au inklusiv muess zeige gemäss «Abilities», was nüt anders heisst dass unfähigi Läuch nöd nur agstellt werde müend, sondern mer si dänn au na muess dulde. Findi abosolut sinnvoll. Insbesondere für dä Jinderletscht, wo apropos Lauch bim Weglaufe vo dä Rügbywiese als solcher bezeichnet worde isch vom nä verbiifahrende BWM-Bsitzer. Villicht wege sinere nöd ganz Lauchgrüene Jagge, villicht well er eine isch, villicht au beides. Who’s know.
Ich wünsch eu ä gueti Quarantäne, Früehligsputz, Ferie oder suschtigi legali Aktivitäte und ich freu mi scho uf d’Zämefassig vom SJU nächscht Fritig
MSO/MST (Nr.  7)
- Hauptstatistiker (wenn er si dänn verschickt: «Ich han warm» (CBO, Februar 2021)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2017/2018/2020(forecast)
- Overall participation rate
- Participation rate 2016/2017/2018/2020(forecast)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</si>
  <si>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Hallo und willkomme zu dä inoffiziell offizielle Kommunikation vo dä Taskforce DF.
Im Geischt vo dä Transparenz (siehe Diskussion ganz am Schluss) han ich mich entschiede, s’erschte und hoffentlich einzige Mal mini Notize für d’Verfassig vo dere Zämefassig z’publiziere. Si sind im aghänkte Wort-Dokument ufglischtet, und ich hoffe dass dadämit alli Verschwörigstheoretiker (z.B. Eric Weber) und ihri Ahänger (z.B. SJU) endgültig i ihri Löcher zruggchrüched. Usserdem hämmer dä BAG Taskforce erlaubt, allfälligi Unwahrheite usezstriche, aber well si ja selber intransparent sind nimmt das eh niemert ernscht (This claim has been disputed by the BAG Taskforce and is labelled as untrue).
So, jetzt zum Gschehe vo hüt. Wie meischtens isch dä MSO/MST mit sim rote Flitzer ziitlich knapp aber nöd zspat zum Safran anedüüst. Drin sind scho dä PKN, CBO und SJU gstande und sogar ghockt, trotz allne Vorschrifte. Während äm Warte uf Spiis und Trank sind die Herre CBO und JWU am Blöffe gsi, wie die beide Jasskönig gescht dä YMI und dä Päsche bim noble Schwiizer Chartesport vernichtet händ, insbesondere mit dä folgende Wiis: 
• SJU: 4 Buure, 4 Mal 50i, sicher 6 Mal Drüblatt
• CBO: Eigentlich weniger, ussert wänn dä Päsche öppis hät chönne wiise, aber dänn immer besser oder glichguet aber vorher
Natürlich isch dä MSO/MST igstiege und hät lamentiert wie er eigentlich nur wäge chli ganz vill Pech gäge dä JWU dä Chürzer zoge hät im Hairdresser-Jass (This claim has been disputed by the BAG Taskforce). Natürlich isch dä neui Jeep erwähnt worde, wo s’erscht Mal gsichtet worde isch. Ussag JWU: neui Autos sind langsam meh es iPad als än Wage. Ihm pflichtet die andere Gurke bii, und mer hät sich fasziniert zeigt wie mer bi gwüsse Modell dä Kofferruum mitem Fuess ufmache chan. Bi dä Bstellig isch dänn öppis schief gange, well dä MSO/MST als letschtä Akömmling sini Donnerbox z’erscht übercho hät. S’Schicksal hät sich dänn aber wieder selber z’rechtboge, wo d’Muetter d’Box uf d’Theke abegchlöpft hät und doch tatsächlich d’Gable i dä Box usegfloge und uf dä Bode donneret isch. Trotzdem hät dä CBO dänn sini Box au na übercho, und während äm Warte uf die andere beide Trödler händ sich d’Kommunikationsexperte über äm MSO/MST sini Skiferie unterhalte. Nachdem mer etabliert hät wie guet d’Mari Skifahre chan trotz nur 4 Jahr i dä Schwiiz und wie miserablè dä MSO/MST im niederä Sport vom lange Laufe isch (trotz 2 ehrehafte Versüech), hät dä CBO ä üssertscht amüsanti Gschicht vo sinere legendäre Langlauftour in Disentis zum Beschte geh, wo für ihn eher unglücklich und mit vollem Speed im nä Haag statt uf dä Pischte g’endet hät. Dä PKN hät dänn na churz agmerkt wie beidruckt er isch wie dä EVZ Zug im Moment am Pünkt sammle isch, und gemäss CBO uf Rekordkurs isch. Freude herrscht.
Bi dä Rügbiwiese isch dänn ganz gspässigs Zügs vorgfalle. Zerscht hät irgend än Prolet in grüen und offesichtlich im nä Baum afange Singä. Dänn isch ä jungi Damä bi dä üsserscht komplizierte Aktivität vom Laufe umgheit, und isch gemäss CBO über än Vogel gstolperet. Dä SJU hät die Glägeheit bim Schopf packt und äm CBO au ä Augelazersession empfohle, offesichtlich am Zwiifle ob dä jungi Herr na guet gnueg gseht (trotz sinere wüeschte Brille). Dä CBO hät konteret mit ere «Statistik» vom Data Science Institute JWU, wonach jede Vierti nachher kei Auge meh hät (This claim has been disputed by the BAG Taskforce). Insbesondere sis praktische Bispiel (wänn dä SJU, dä CBO und dä Ebi eini würded mache, dänn würds dä Vierti automatisch chlöpfe) hät alli vom Argument überzügt. Dä PKN hät dänn au na igworfe dass er ä Wett gäge dä JWU gwunne hät. Dänn isch allne dä neu Lebensstil vom SJU ufgfalle, wo sich langsam aber sicher zum nä Veganer entwicklet mit sim Fleischlose Pide, wo doch na guet usgseh hät. Er hät dänn au zuegeh dass er nie meh wird Honig esse, well gemäss CBO d’Bienli vo dä Wabe gmolke werded, und dä glichi CBO hät dänn au na eine vo dä beschte DF-Witz wos jeh häts gits vortreit, irgendöppis mit Imker und Imkerinne. Ebe geil, alli händs luschtig gfunde. 
Natürlich isch aber au s’Thema Corona namal ufcho, und zwar im Zämehang mit äm Schwiizer Terassechrieg vo 2021. Während dä MSO/MST i sine Skiferie na gmüetlich hät chönne uf halblegale Terasse im Liegestuehl hocke, sinds jetzt alli wieder zue. Die böse Terasseinspektöör sorged däfür, obwohl mer sich i dä Gruppe einig gsi isch dass mer sich vo so Tyranne eigentlich guet chönnti schütze. Am beschte hät dä Redaktion dä Vorschlag gfalle dass mer dä Prüefer zerscht mal verbrüglet und dänn mit Whisky überschüttet, well mer als Barbsitzer s’Recht hät betrunkeni Gäscht z’verdonnere (This claim has been disputed by the BAG Taskforce). Dä SJU häts dänn wieder mal müese übertriebe und gseit mer söll än au na azünde, aber mer schätzed sin Input trotzdem. Die sehr zivili Diskussion hät sich nahdisnah inä veritabli Debatte (i.e., long covid discussion) über ä allgemeini Asicht vo allne relevante Variable für und wider Lockdowns verwandlet, und bis uf dä PKN wo irgendwänn Angscht übercho hät und dävoghöselet isch händ sich d’Teilnehmer respektvoll verhalte. Ich finde das mega läss. Dänn sind alli friedlich vo Danne zoge, und mer redet jetzt bewusst ä Wuche nüme mitendand. Wer meh über die sogenannti «Corola-Krise» will wüsse findet im folgende Biitrag vom Investmentfux Nikci «Gurkenmann» Grass meh Informatione: 
https://www.linkedin.com/posts/swisscanto-invest-by-z%C3%BCrcher-kantonalbank_treiber-hinter-dem-rohstoff-comeback-activity-6772104952446775296-cUL5
(This content contains nothing of importance and has been flagged as fake news by the BAG Taskforce).
Falls eu die offeni Kommunikation gfalle hät, dänn isch blöd glauffe, well dä Verfasser kei Luscht hät das jedi Wuche z’mache. Dä MSO/MST hät nur chli welle blöffe wie guet er isch. 
MSO/MST (Nr.  7)
- Hauptstatistiker (wenn er si dänn verschickt: transparent, und endlich wieder zämegfasst, nöd wie letscht Wuche)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2017/2018/2020(forecast)
- Overall participation rate
- Participation rate 2016/2017/2018/2020(forecast)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</si>
  <si>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Hallo Muetter, 
D’Velogäng um dä SJU, YMI, CBO und MSO/MST isch hüt donnernd und wie immer überpüntklich am 12:11 bim Safran acho, und dä JWU hät sich prompt au däzue gsellt, mit sinere übliche Clownsjagge und aerodynamische Frisur, woner wäge sim Marathontrainig usgwählt hät. Bim warte uf dä PKN hät mer sich über dä geschtrig Sieg vom MSO/MST und äm SJU über dä JWU und Jinderletscht i dä erschte Rundi ustuscht, wo dänn es bitz überschattet worde isch vo zwei gstohlene Partie wo sich die beide Amatöör ganz unanständig usegwiese händ. Natürlich häts dä CBO wieder mal nöd chönne lah und hät dä YMI schelmisch hinterfragt, wo dä gseit hät er chönn au Jasse (oder Schasse, für eusi Dütsche Leser). Während dä unterdesse awesendi PKN sich nöd getraut hät, is Lokal inezlauffe, und mer uf d’Bstellig gwartet hät well dä SJU sin Pide nöd gnueg früeh bstellt hät, sind alli um dä CBO umegstande und händ än usgfragt über sin Sehtescht hüt Namitag. Dä jungi Herr will sich nämlich au d’Auge läzere lah, well er so vill Respekt hät vorem Presidente SJU. Wänns der seged du bruchsch ä Korrektur, machs eifach wie dä Jinderletsch: Nach äm erschte Tescht seisch eifach mal nei, das chan nöd stimme, und bim zweite Tescht chunnt dänn use du bruchsch gar kein Läsertermin. Well er aber so gern a Brille ahät und er offesichtlich uf die ironisch gmeinte Kompliment vo dä Nadine agwiese isch um sis fraschile Ego z’präservativierä («du gsesch doch so guet us mit dinere Brille, dänn gseht mer dini fett Nase nöd»), hät er prompt äs Startup mitem JWU gründet um Brille ohni Gläser her- und grad nebed dä Augeklini ufzstelle. Mir wünsched vill Erfolg. Nebedbi hät dä Mr. Worldwide YMI än chline Iblick i sini Bizines-Planig vom Symposium geh, und dä MSO/MST hät jetzt alli Infos um die Aläss gratis z’infiltriere und endlich au mal än CEO kenne z’lerne. Und dä PKN hät irgendöppis über än Fuessballkurs und Windsurfe gschwaflet, und jede hät chli blöfft und niemert hät zueglost. Also im Oschte nüt Neus. 
Endlich bi dä Rügbywiese acho hät mer dä liecht abwesend SJU dänn druf ufmerksam gmacht, dass er d’GV iberüeft, und trotz dem dringende Appell hät mer dänn zerscht mal über d’Antifa und ihri chürzlich verastalteti Demonstration brichtet. Niemert weiss gege was die Truppe wieder isch, aber epper jepper hät ibracht si seged gäge Antifaschiste. Immerhin händ si ihri künstlerisch Adere nie verlore, und sind ganz freigiebig gsi mit dä farbige Schriftzüg uf Gebäude und all dene unnötige Konsumgüeter. Womit mer zu dä gröschte Angscht vom CBO chömed, wo nöd öppe än Farbaschlag uf sis Auto fürchtet, sondern dass mer a «sis» Gebäude «Juppies haut ab» (oder öppis ähnlichs) schribt. Sehr verständlich, aber das isch hald wänn mer i dä Slums vo Züri wohnt. Oder wänn mer dä MSO/MST nie zu sich iladt, er drum hässig isch und somit sini Wuet uselaht idem er am CBO sini Wohngegend als Slums vo Züri bezeichnet. 
Aber zrugg zu erfreulichere Theme. Es tuet sich öppis im sportliche Bereich vom DF, und mir sind entzückt azkünde dass es bald es offiziells DF Squash Tournamènt geh wird. Zerscht muess aber dä Onkel Alain aber alles wieder ufmache, dä PKN lerne z’squashe, und dä MSO/MST ihres ewige Duell durefüehre. Wahrschinlich wird’s am letschte Punkt scheitere, well das isch scho in Zagreb im Februar 2016 agseit worde. Und mir warted natürlich gspannt uf die versprocheni Transformation vom JWU zum nä Skispringer und vom YMI zum nä Sumoringer, und zumindescht er chönnt dänn villicht in Tokyo 202x aträtte und eus Ticketzski bsorge. Dänn händ gwüssi Teilnehmer gfunde, s’Thema Autos seg sehr interessant, und dä Statistiker hät nüme zueglost. Zum Abschluss sind dänn es paar na zum JWU sim Jeep go guenä, während dä MSO/MST und dä YMI friedlich mit dä Velos richtig Horizont gfahre sind. 
Somit wünsch ich än schöne Fritig, nachem DF isch vorem DF, und mir danked schomal äm YMI fürs Bueche vom Restaurant für eusi Brüglete im Mai. 
MSO/MST (Nr.  7)
- Hauptstatistiker (wenn er si dänn verschickt: nach schändlicher Kritik a sinere Statistikfüehrig gelobt dä MSO/MST, dass er sin Dokumentationsstandard na besser macht als eh scho)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2017/2018/2020(forecast)
- Overall participation rate
- Participation rate 2016/2017/2018/2020(forecast)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</si>
  <si>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Churz vor dä riskantä Ägypteferie vom MSO/MST hät mer sich hüt namal zum nä DF troffe. Während sich alles wo Rang und Name hät uf dä Weg zum Safran gmacht hät, hät sich dä CBO denkt er bricht na churz dä Rekord vom JWU mit dä späteschte DF Absag i sit Messbeginn (am 12:03). Schande über ihn und sini Sippe. Anderesiits möchte ich ihm gratuliere zu sine 6 konsekutive DF Teilnahme, so vill wie s’letscht Mal im März 2017. Und wänn mer scho bi statistische Errungeschafte sind, dä MSO/MST pulverisiert grad dä Rekord für die meischte Teilnahme im nä DF-Fiskaljahr mit momentan 53 (vorher 51, natürlich au vom MSO/MST). Usserdem wird er au mit sine Absenze dä erschti si wo jemals ä Fiskaljährlichi Partizipationsrate vo über 90% erreicht. Ich bin so STORZ uf ihn.
So, jetzt zum Igmachte. Im Safran hät mer erfahre, dass dä SJU sowohl sini MMA-Händsche verchauft, wie au neui Händsche akquiriert hät wo gemäss JWU verdächtig nach MMA usgsehnd. Er isch so voller Selbschtvertraue gsi dass er mit sim Pide wo vill zwenig Cocktailsauce druf gha hät grad mitem PKN abzottlet isch, aber nach 10 Meter händs dänn wieder stoppt. Hüt händ usserdem es paar Gigante mit dä volle Stempfelcharte zahlt. Ufem Weg zu dä Wiese hät dä JWU dänn blöfft wiener 20 Lüüt zu sim Geburifescht iglade hät und sich scho uf d’Reklamation und Buess vo dä Eeerikaa freut. Wer dä Bulle will alüte um dä widerlich Regelbruch z’melde wird vo dä Redaktion im nä allfällige Rechtsstriit unterstützt. Natürlich hät dä SJU im Überbiss sini Iladig nöd nur ignoriert sondern au vergesse, und er hät sich dänn erfolglos beschwert er seg gar nöd iglade worde. Währenddesse hät dä YMI immer na sehr vill ztue, und suecht drum grad au na nach mä Huus woner chan chauffe. Mir wünsched guets Glinge. 
Endlich acho im Windschutz hät mer sich natürlich uf eine vo dä villne Skandäl vo dä GSCS gstürzt, wo trotz äm grüene Name nüt mit Sustainability, aber sehr vill mit Governance ztue hät, und mir gebed dere ganze Sach drum es F- als ESG Rating. Während sich die höchschti Garde nämlich i «pompöse Rüüm» trifft zum sich selber fiire hät s’Risikominimierigssystem irgendwo nöd funktioniert. Agsproche uf was er würd mache wenn er Risk Manager wär hät dä JWU klar gseit er würdi zu allne Vorstöss immer nei säge. Ä Minute später häts dänn gheisse, jedes Mal wänn eine mit ere Idee chämt gäbs vo ihm es klars «go». Mer hät nüt anders erwartet. Die selbsternante Finanzfüx unter eus (also alli) händ dänn abgmacht, dass mer ä eigeni Bank gründed mit enere Doppelposition vo Risk Manager und Sales Head für dä JWU. Wänn öppis schief lauft entlaht dä JWU sich selber als Sales Head, und stellt sich dänn au selber wieder i als Ersatz. Na revolutionärer isch aber dä Vorschalg vom MSO/MST gsi, grad au na än FINMA-Ersatz (Namensproposition: FINFRAU) zgründe um sich selber besser z’kontrolliere, woruf dä SJU gseit hät mer müessi demfall au d’WEKO uf d’WEKO hetzä wege Monopolstellig und Wettbewerbsverzerrig. 
Als Abschluss hät dä JWU dänn na s’Leid vom normale Büezer i dä Tamedia gschilderet, wo bim Bonus leider leer usgaht während sich d’Coporate Fat Cats wieder mal selber berichered (wer glicher Meinig isch bitte d’Initiative vo dä JUSO zur absolute Lohnglichstellig vo allne Arbeiter i dä Welt unterschriibe). Än guete Usweg wär ä klassischi Tombola wo dä ganz Bonustopf dri chunnt und eine gwünnt alles. Wahrschinlich dä CEO, wo sich per Zuefall selber zieht. Anderi kreativi Ideä sind au na diskutiert worde, wie es NHL-Lossystem mit variierender Azahl Lösli je nach Stellig im Unternehme oder ä strategischi Uslagerig vo dä ganze Belegschaft, so dass mer nume us äm Board zieht. 
Somit wünsch ich eu ä gueti Wuche wo dä SJU hoffentlich ä Zämefassig z’Stand bringt, und mer gseht sich wäge Ostere erscht wieder am 9. Avril. 
MSO/MST (Nr.  7)
- Hauptstatistiker (wenn er si dänn verschickt: Wenig erstunlich dass jeglichi Afiggereie ohni CBO um -100% abnehmed)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2017/2018/2020(forecast)
- Overall participation rate
- Participation rate 2016/2017/2018/2020(forecast)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</si>
  <si>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Guete Tag, oder au nöd 
Nach enere gfühlte Ewigkeit gits endlich wieder mal ä ordentlichi Zämefassig. Nach äm letschte Update am 19.03 häts dä MSO/MST uf Ägypte verschlage, und well dä Vize-Statistiker nur s’bäre Minimum gmacht hät und dänn Ostere gsi isch händ eusi Leser scho härti Zämefassigsentzugserschinige. Und es chunnt na schlimmer! Wo dä MSO/MST hüt mitem PKN vorem (ehemals) Safran gstande isch händ sich die zwei Örlibirds abwechselnd mit Beluschtigung, Entsetze und Enttüschig agluegt. Die gueti Kebabchnelle (und wahrschinlich au die super Shishabar im Chäller) isch i dä letschte 3 Wuche vollkomme usgruumt worde, und au die andere 4 Mitglieder händ bi ihrere Akunft s’Gliche vorgfunde. Und dä Aruef vom CBO händs glatt uf ihri Combox laufe lah. Die folgende Theorie sind im Lauf vom DF präsentiert worde: 
• S’Personal vom Safran hät d’Rechnige nöd zahlt wells so vill Minus mit dä Stempfelcharte gmacht händ, und sie sind zwangsbetriebe worde
• S’Gsundheitsamt isch cho und hät dä Betrieb wege ihrne 10 Verstöss innerhalb vo 5 Minute ufglöst, und us uentrüschtig grad na alli Chuchigrät gklaut
• Alli sind is Tessin gflüchtet wells vo dä Zürcher Polizei mit schwerem Rauch gfolteret worde sind
• Si sind wie dä CBO als Opfer vo Corona untergange
• D’Familie Safran isch id Türkei zum Erdigogogan usgwanderet um d’Moral im Regime wieder ufzbaue
• Si händ so guet a eus verdient dass si sich scho händ chönne früehpensioniere lah (danke CBO für dä wunderbar Vorschlag)
Drum häts dänn 1-2 Bagels pro Person geh, und ich möcht da churz es Zitat präsentiere um d’Qualität vo dem doch gehobene Priis z’rechtfertige: «S’Einzige wo hässlicher isch als dä Bagel isch dä Wrap» (CBO, 2021). Natürlich hät er hüt nöd in Spiegel gluegt, suscht hetter gseh dass er doch na es guets Stück hässlicher isch als beidi Spiese. Natürlich hät mer promt d’GV iberuefe und uf dä Rügbywiese s’wiitere Vorgehe besproche. Wie sichs ghört gits än zweistufige Plan um die Krise z’löse. Als taktische Schritt gits ä neui Uswahlperiode wo mer i dä Region MSO/MST bis SJU ä neui Donnerwerkstatt uswählt, insbesondere dämit dä CBO jedem chan säge «das isch jetzt dini einzig Chance um eus z’überzüge als neui Stammchunde». Als erschti Zielregion wird d’Schmiede Wiedikon apeilt (genau i dä Mitti vo dä wichtigschte zwei DF-Mitglieder), meh Agabe folged na. Aber nöd vo mir. Die strategisch Lösig liit natürlich uf dä Hand, und zwar dass dä bald arbetslosi und blindi CBO als neue Kebabchef vom Safran 2.0 is Biziniz istiegt und wie vom YMI vorgschlage durch eus als überbezahlte VR unterstützt wird. Ich gseh scho die neu Sportbar mit Shishas im Chäller und wie si wird floriere. Mir bruched usserdem na öpper wo sich ine türkischi Familie ihüratet, damit mer gratis Mitarbeiter chönd rekrutiere. Freiwilligi chönd gern go vorspreche cho. 
Suscht isch natürlich dä grandios Jassuftritt vom MSO/MST und SJU gescht Abig s’Thema Nummere 1 gsi, wo die bemitleidenswerte JWU und Jinderletscht regelrecht demontiert händ. I dä erschte 2 Runde häts jedes zweite Mal än Match geh wänn die beide Jasskönige dra gsi sind zum asäge, und au nachdem si sich äm niedere Niveau vo dä Verlürer apasst händ häts immer na locker zum Sieg glanget. Dä JWU bestaht aber trotz dem und jentschte Afiggereie vom CBO druf er seg än guete Jasser. Ironischerwiis hät dä Mr. «ich spiele immer uf Match» gescht eimal än Match vergeh well er nöd uf Match gjasst hät. Aber villicht gseht er au nüme ganz us sinere Mähne füre, well er sich mit sim Coiffeur verstritte hät, und er macht dä Herre YMI und PKN doch scho Konkurrenz mit sinere lange Haarpracht. Und nebed äm übliche Coronageplänkel will dä YMI na eusi Füürwänd i dä Luuserbanke und andere Bananefirme teschte, dämit sis Symposium mit dä illuschträ Gescht au guet ablauft. Sorge mached da vor allem d’Sicherheitsistellige vo dä Tamedia, wo alles zuelönd ussert die astössige Inhalt vom Yvonne Pänisring Podcast. Das nenn ich mal ä gueti IT-Infrastruktur.
Bis bald im Big Baba
MSO/MST (Nr.  7)
- Hauptstatistiker (wenn er si dänn verschickt: Ich gang bald uf dä Greenhill i dä Archegos Islands)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2017/2018/2020(forecast)
- Overall participation rate
- Participation rate 2016/2017/2018/2020(forecast)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</si>
  <si>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Allahallo
Hüt ischs mal nöd zum Safran gange, wo gemäss Insiderinfos i dä Liquidation steckt und kei Ziit hät am CBO sini Nachrichte z’beantworte, und mer hät sich pünktlich a dä Schmiede Wiedikon troffe. Dä JWU hät nöd nur müese liide well sini Parkuhr nur 50-Räppler gschluckt hät, sondern au well er sini natürlich Haarpracht präsentiert und däfür einigi bissigi Kommetär erhalte hät. Natürlich sind prompt hitzigi Diskussione lostrette worde, ob mer jetzt is La Favorita, dä Wiedikä Point oder zum Fischchnusperligrill gaht. Als grosse Verlürer (wie suscht au im Lebe) hät dä CBO müese d’Fahne striche und mer isch is Favoriterestaurant zottlet. Ufem lange Weg händ einigi Mitglieder gseit, si chämed nöd ad Bierchreisdrüütour vom PKN und JWU wells dä Letscht organisiert hät. Dä YMI hät sich allerdings au na überzüge lah für hüt Abig, und mir wünsched vill Glück. Während äm sehr chaotische Bstell- und Zahlprozess im potentielle neue DF-Lokal händ sich es paar Ishockeykenner na über dä geschtrig Match unterhalte, und es isch klar gsi dass dä CBO wege sinere na-vorhandene Stell dä Afang, aber doch nöd allzu vill verpasst hät. Immerhin hät er dä Check über d’Bande gseh, was mer vo andere nöd chan behaupte (SJU). Dä JWU hät sich zudem überzüge lah, dass er au än EVZ-«Fan» isch, well er dä Academy verfalle isch. Was er allerdings nöd gern hät isch Ben&amp;Jerry’s, und er hät s’grosszügige Agebot vom CBO usgschlage ihm es Chübeli z’zahle wenn ers fertig isst. 
Während Dürum und Boxe usghändiget worde sind und dä SJU und CBO ihrere Alkoholsucht nachgange sind, hät dä PKN bemerkt dass mer als Werbegschenk es Cola Zero erhaltet, im neue «NY Smag». Wer weiss was das heisst chunnt vom MSO/MST es Cola Zero NY Smag über. Dä YMI isch immer na bizi und hät leider dä Usfall vom Mr. Godstone müese beklage, dä SJU gaht is Engadin ohni Pädopolizischtäkolleg (also er isch dä wo si gaht go jage), und dä JWU hät bim MSO/MST Idruck welle schinde well er än Podcast über Estland und ihri Nationalbrüch glost hät. Dänn isch zum Glück dä Hugo cho, und mer hät sich zu dä nöd-Rügbywiese ufgmacht. Und nach es paar Minute hät sich sogar än neue Stammtisch freigmacht. Dänn isch wieder mal ä GV usgrüeft worde, und anderscht als ähnlichi Grossfirme verstecki sich dä DF nöd hinter virtuelle Jahresversammlige. Dä YMI hät än Vorstoss gwagt d’Buesse uf 10.50 azpasse, wo aber vo fascht allne ignoriert worde isch. Fälschlicherwiis, so meint dä Statistiker, aber das Traktandum sötti nach dä Uswahl vom neue Hauptdonnergschäft bestimmt werde. Und dänn isch ä 30-Minütigi Diskussion gstartet worde wie mer jetzt eusi Suech nacheme neue Dihei söll bewerkstellige. Es sind Füscht, Beleidigunge und Stei gfloge, aber am Schluss hät mer sich uf es Schema g’einigt wo jede im nä neue Täb (wunderschön als «NewKebab» betitlet) us dä Stats chan kopiere und für sich selber usfülle. Es hät scho komplizierti Formlä drin wo nur än wahre Excelfux wie dä MSO/MST chan erstelle. Nach Ablauf vo dä Testphase werded d’Ergebnis konsolidiert, und mer chan sich dänn entscheide. 
Nach all dene Usenandersetzige hät dä Presidente völlig vergesse, d’GV wieder z’beende, also lauft si wiiter bis mer wieder all zämehocked, wahrschinli nächschte Fritig wänns heisst: Wiedike Point, go! (TM JWU). Dänn sind alli vo danne zoge. The end.
Hopp EVZ Academy
MSO/MST (Nr.  7)
- Hauptstatistiker (wenn er si dänn verschickt: Am Sächsi lütets bald)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</si>
  <si>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Früehlige Fröhlichsafang, liebi Mitglieder
Im friedliche Stammlokalsueche hät mer sich hüt wieder bi dä Schiede Wiedikon troffe, die einte sicher im Schatte, und während dä JWU ganz bizinismässig im Hemd und Jagge am warte gsi isch, hät sich dä CBO eini vo sine sage und schreibe 2 churze Hose azoge. Die hät leider es paar Farbfleck, aber es hilft ihm bim folgende Thema. Er hät sich hüt s’erscht mal zu sim Yuppi*-sii bekannt (obwohl er ja per Definition kein Uf- sondern än veritable Serieabstieger isch, au i sim Lebe), und er hät zuegeh dass er amigs sini dreckige Hose azieht, damit niemert merkt dasser eine isch. Aber nebed dem Grund, warum hät er kei suuberi Hose azoge? Sini anderi isch i dä Reparatur. Dänn isch dä PKN uftaucht, und dä JWU hät die ganzi Debatte na än Schritt wiiter tribe und ihn als «Yuppie par Excellence» bezeichnet. Er isch durchus sehr adrett dähercho, nöd wie suscht. Dänn händ ihm alli na churz zum Geburtstrag gratuliert, und mit äm uf dä andere Strassesiite wartende SJU ischs dänn in Wiedike Point gange. Dä MSO/MST wär zwar fascht na überfahre worde well er us Liechtsinn und Vorfreud bim Rotliecht über d’Strass hät welle, aber das kümmeret au niemert. 
Im Point gits dänn 4 Donnerboxe (und angeblich wird am SJU sis Box-Chriesi gchlöpft), und die ganz Prozedur gseht doch sehr effizient us. Nebed äm MSO/MST, wo sini Nahtoderfahrig hät müese abespüehle, hät sich au dä alti Alhoholiker CBO es Bière gchlöpft. Und das, obwohl er gescht Abig s’erscht Mal sit 3 Mönet troche blibe isch. Däfür hät er ganz fuxig sini Trainingssession uf dä Morge gschobe, dämit er sich jetzt chan vollaufe lah. Nöd so wie dä SJU, wo sich hüt usnahmswiis abstinent zeigt hät um sini Leischtig am Namittag nöd z’beiträchtige. Mer munklet sogar dass sich die beide bald als neui Stammgäscht bi dä Bièrehalle Scheidegg chönd etabliere, und mir halted sie ufem Laufende. Während äm churze Warte streut dä CBO au na ii, dass s’einzige wo effektiver seg als Auge läzere äm JWU sini Haar seged. Ok. Und natürlich hät dä Kebabmeischter bim Fülle vo dä MSO/MST-Dönerbox na gfragt, ob er au söll «Bölle» (Zwieble für alli Nöd-Oschtschwiizer) inewerfe, und ob er ä Gable brucht oder wie än richtige Ma mit dä Händ isst.
Dänn isches wieder zu dä Wiese gange wo kei Rügby gspielt wird, und dä PKN hät biichtet dass er kein Servette Fan meh seg. Usserdem hät er eus drüber ufklärt dass dä Safran scho sit 2015 i dä Liquidation steckt, es git also na ä chlini Hoffnig uf än Return of the King to the Safran. I all dem Tohuwabohu isch natürlich nöd untergange, dass dä YMI abwesend isch. Er isch bizi bizi bizi, und mir wünsched ihm vill Erfolg bi sim volle Kalender. Dä Rescht vo dä Ziit isch wie immer gfüllt worde mit sinnlosem Gelafere. Mer hät sich zäme g’einigt dass di Riiche Privilegie sötted ha, au bim Impfe. Dä PKN isch nächscht Wuche in Brügels am Lerne, und sini Bananefirma wird vom JWU bi dä Bulle verpfiffe well si gloge händ und immer na «müend» im Büro si. Und dä CBO wird bald betriebe und muess is Betrügergfängnis vom Jakob Joseph, well er sini Stüüre nöd zahlt und nöd uf sin Treuhänder lost. Es gaht also stetig abwärts für ihn, und mir hoffed uf wiiteri Schicksalsschläg für eusi Unterhaltig. Am Schluss isch na (inoffiziell) bestumme worde, dass mer eusi Chlopfete Endi Mai nöd wieder verschiebed, und au da gits bald mal es Update. Aber wie immer nöd vo mir.  
Somit wünsch ich eu es sunnigs Wuchenend, und mer gseht sich entweder morn bim Jasse, am Sunntig bim Halbfinal Zug : Rappi, nächscht Wuche im Züri Bistro bim Albiplatz, oder nie meh.
MSO/MST (Nr.  7)
- Hauptstatistiker (wenn er si dänn verschickt: Ich han so än Sunnebrand vo dä starche Aprilsunne)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2016/2017/2018/2020(forecast)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*Yuppie: junger, karrierebewusster, großen Wert auf seine äußere Erscheinung legender Stadtmensch, Aufsteiger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</si>
  <si>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Hallo.
Dä DF hät hüt stattgfunde. 
Dankeschön
MSO/MST (Nr.  7)
- Hauptstatistiker (wenn er si dänn verschickt: es isch so heiss wie dä Donner frisch usem Bachofner)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Ha, scho denkt. Natürlich chömmed Sie als meh oder weniger gschätzti Leser in Gnuss vonere usfüehrliche DF-Zämefassig, frisch vom Fass. Hüt ischs is Züri Bistro am Albisriederplatz (au Albiplatz gnennt vo dä Igebohrene) gange, wo sich die beide Daytrader und Shortseller MSO/MST und JWU per Zuefall troffe händ um über dä jetzt ex-VR Presidente herzzieh. Nach es paar unnötige Bemerkige isch mer mitem Rescht vo dä Truppe zämegstosse, und sogar dä Jinderletscht hät sich hüt us sinere Höhli traut um dem Spektakel biizwohne. A dere Stell än fründliche Gruess a alli quarantänisierte und lernende vo eus, mir hoffed ihr chömmed bald wieder. Bim churze Warte uf eusi Donner isch usecho dass dä JWU ä grossi Wanderig um dä Türlersee mit dä Roseäään plant, und hoffentlich gnueg Landjäger zur Verpflegig mitnimmt. Dä MSO/MST hät extra meh zahlt für sini g’röschtete Zwieble, hät sich aber nöd getraut dä Supreme Kebab uszwähle. Und dänn isches nach dä flitzige aber doch eher unpersönliche Überlieferig ab in Sandchaschte vonere andere nöd-Rügbywiese gange. Ufem Weg isch d’Freistellig vo dä Florence Schelling diskutiert worde, und als offizielle Glichstelligsbeamte vom DF sind äm MSO/MST d’Berg zu Haare gstande bi dä Ussage vo einige vo eus. Än veritable Skandal, aber zu Ufklärigszweck will dä Autor die da glich churz als Zitat wiedergeh, und ganz sicher nöd well sich alli köschtlich über sie amüsiert hetted:
• Es isch scho erstunlich, dass d’Florence das nöd packt hät, wo doch dä Pögg glich usgseht wie än Herd
• Au Fraueförderig hät hald ihri Grenze
• Dä Herr Lüthi hett sölle vor d’Medie anestah und säge, er heg d’Florence gar nöd welle entlah und si heg dä Nachfolgejob als Putzfrau eifach abglehnt
• SCB, nienemeh
Endlich im Sandchaschte acho hät dä SJU welle vermerke, dass er scho am Morge a dere Stell verbicho seg, was dä eher ungmüetlich Gschmack nach Urin erkläre würd. Und usserdem hät er na es Bienli im Sand gseh, und au da druf bestande dass dä MSO/MST die «Sandbiene» i sini Zämefassig ibezücht. So dummi Afrage werded natürlich nöd berücksichtigt, immerhin isch das ä qualitativ hochstehendi Publikation. Qualität isch aber nöd alles, und wie dä nervösi Sky-Kommentator gescht gseit hät: quantitativi Statistike lönd sich hald eifacher quantifiziere. Dänn isches zum nä churze aber heftige Striit zwüsched äm CBO und äm SJU cho, wo beidi dä jewils anderi beschuldiget händ si seged scho sit Wuche über s’Züri Bistro am flueche gsi, und nur si ällei seged di gröschte Fangirls vo dem Establischmont. Apropos Establishment, dä CBO hät na verzellt es seg im Bistro zue und her gange wie im Puff, und alli beteiligte händ berechtigterwiis agnoh dä jungi Roiberpischtoleverzehler meint es Freudehuus. 
Nach ere chline Tirade über linggi Hipster und ihri Vorliebi für übertüreti Paninis hät mer die folgend philosophischi Frag klärt: Wänn dä MSO/MST am letschte Samschtig Kinotickets fürs Corso kauft hät und dänn usversehe is Abaton gange isch, womit er dä Film natürlich verpasst hät, hät er somit: 
a) Sis unwohl verdiente Geld usem Fenêtre gworfe
b) Es paar Stunde Ziit gwunne, da sis Investment id Ticketzki scho sunk gsi sind, wies dä JWU so schön bezeichnet hät
Isches also än klassische Faux-pas oder doch ä glücklichi Wendig gsi? Dä nöd ganz einstimmig Konsens isch bi dä Awesende uf d’Antwort b zliege cho, aber natürlich nehmed mir gern wiiteri Rückmeldige entgege. Suscht isch wie immer blöfft worde, entweder vo Katastrophetourische wo na die villicht letschte GC-Spiel i dä niedere zweite Liga wänd gseh, bis si nächscht Saison uf- und dänn grad wieder abstieged (Zitat JWU: «Hey Jin[derletscht], wird GC jetzt zum nä Liftclub?»). Oder au vom extensive Schachwüsse, bis hii zu dä neue Interpretation vom JWU über Nacronomics, wo gemäss SJU mit dä Wort afangt: This is the perspective on nacronomics from a Swiss gangster. Hello, I am chocolate. Apropos Roibergschichte, mer hät sich na über Hochziits-DJs und ihri Abneigig gage Schlager usglah, und am Schluss isch usecho dass mir alli ganz grossi Fashoinistas sind, aber nie so vill neui Chleider chaufed wie dä Luca Hänni dä erscht. Und dä SJU isch ab hüt s’offizielle Vorbild vom CBO, well sich dä letscht die gliche Schueh kauft hät. 
Bis nächscht Wuche, es söll mal öpper än wiitere Kebab nominiere. Und eui Bewertig bitte njet vergesse.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</si>
  <si>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Terviseks,
Dä DF-Statistiker grüesst eu a dem historische Tag, wo Zug dä erschte vo 10 konsekutive Meischtertitel wird schnappe. Dadäzue grad na meh, aber zerscht churz es administrativs Update zu eusne ehreunwerte Mitglieder: 
• Dä MSO/MST isch hüt uftaucht wienen Lumpe well alli sini Chleider nass sind vom ville dur-dä-Rege fahre
• Dä PKN isch nach sine Lernferie wieder mit vo dä Partie, und hät es elementars Update zum letschwüschige Bsuech im Züri Bistro übercho (bitte eui Bewertig njet vergessen)
• Dä JWU laht verluute dass er sich sini Haar na es Jahr wachse laht, und er hät mit sim Schirm na meh a Statur und Status gwunne. Usserdem gaht er uf Wenge, wo kei Droge gnoh werded
• Dä SJU isch chrank und/oder schwach (gueti Besserig)
• Dä YMI isch wieder us dä Quarantäne, aber nöd am DF
• Dä CBO gaht bald uf Malle, reist hüt scho an Flughafe für än Spucktescht dämit ihm nöd wieder öpper dä Pänis id Nase schiebt, und isch s’erscht Mal sit äm Fiskaljahr 2016 nüme dä letschti i dä DF-Jahreswertig.  Usserdem wär er sehr dankbar wänn dä EVZ Zug sich hüt dä Meistertitel chönnti sichere
Somit simmer wieder bim eigentliche Thema, und d’Spannig isch spürbar gsi wo dä JWU und MSO/MST scho i ihrere erschte Interaktion heftig anenand grate sind wegem angebliche Horrorfoul vom Santeri gäge dä massiv überbewerteti Dümmernes, und dere vo dä Fake-News-Mainstream-Media nöd mal agsprochene Aktion vom Karrer, wo bi objektiver Betrachtig scho eher ä Gfängnisstraf wege versuechter Körperverletzig hett sölle nach sich zieh. Dä Herr Helbling würd sich wieder mal bestätiget fühle mit sine Kommentär über d’Usländer vom Welschland. Mer hät sich drüber beklagt dass die gueti alti Wild-Wescht-Justiz wie i dä NHL (Rangers vs. Capitals) nöd meh praktiziert wird, und alli freued sich scho ufs Bulle-Schlah hüt abig vorem Herti 2. Also alli ussert dä SJU, wo so schwer chrank muess si dass er nöd nur än DF verpasst, sondern au na es Meischtefescht mitem Lino und äm Josh schliife laht. Und äm PKN, wo nöd gern mit so Asis wie eus umehocket. Und äm JWU, wo seit er seg suscht scho gnueg mit dä Polizei am Brügle. Apropos Brügle, es werded bereits erschti Plän für Fuessballreise gschmiedet, jetzt wo sich hüt Morge alli ihri Impftermin i dä Schlacht vom VacMe.ch (usgsproche fack-me) gsicheret händ. Dä Jinderletscht isch au da gsi, hät sich aber wege sinere Lauch-Jagge nöd in Ararat traut. Dä Donnerzuebereiter hät übrigens Glück gha dass kein BAG-Kontrolleur verbicho isch, well er sini Maske nur als Accessoire stylisch under dä Nase treit hät. 
Ufem Bänkli i eim vo dä villne Hipsterplätz in Niederwiedikä häts dänn na ä chlini Ufklärigslektion für dä Anal-phabet CBO geh, wo denkt hät er wird bi dä Impfig dänn mit äm Virus infisziert statt mit dä neue mRNA-Technologie. Glücklicherwiis hät dä MSO/MST i dä Schuel ufpasst und hät ihm nebed es par Schlötterli au na ä IQ-Steigerig vo 50% chönne mitgeh. Dä JWU hät agseit dass er bis im Juni ufhört Snuse, und während D’Roseään jubiliert, verdrucket dä Odin und alli Kioskbetriber vo Bonstette bis Züri ä Träne. Und nebed es paar Roibergschichte vo Sportteams wo usgschiede und dänn glich wieder is Renne um än Titel cho sind, häts na ä dummi Wett geh. Dä JWU seit er gaht nächscht Saison anes Uslands-Uswertsspiel vo Senf-Gervette FC, und wänner nöd a eis gaht zahlt er äm CBO 10 Stutz. Falls aber scho, flüsst s’Geld i di ander Richtig. Aber na dümmer isch dä Lauch Jinderletscht, wo sich überleit au mitem JWU go chlöpfe. 
Somit wünsch ich eu allne es sunnigs Wuchenend mit vill Freud und Niid für dä Zuger Sieg. 
MSO/MST (Nr.  7)
- Hauptstatistiker (wenn er si dänn verschickt: hüt chlöpfts in Zug im Freiruum und hinter äm Manzato)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</si>
  <si>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Hallo, die hütig Zämefassig folgt äm Motto: besser nie als spat, meh recht als schlecht. 
Nachdem dä MSO/MST sich gescht endlich ufgrafft und dä Weg unter dä Uffahrtsbrugg use gschafft hät, gits zerscht mal es churzes Update zum Meistertitel vom EV Zug. Wie agseit i dä legendäre DF-Zämefassig vo letschter Wuche isches dä erschti vo 10 in Folge, und wells dä SJU i sim lingge Jutesäckli gspürt hät ischer doch au na id Playoff-City cho. Nebed all dä Pyro-Narbe und Hirnentschütterige blibed gröschteteils gueti Erinnerige, ussert dass sich dä (offesichtlich 60-jährig) CBO bi dä Heifahrt vo sinere «beschte» Siite zeigt hät mit sine Bibelgschichte für d’Uberfahrerin. Gemäss Experte PKN heg usserdem es Zuger Restaurant nebed äm Stadion ä verdächtigi Azahl a Bière kauft, natürlich nöd um die tausige vo Fans z’beglücke. Und natürlich sind mir alli entzückt vom Kalle und sinere Serenade, wo dä CBO grad live in Malle chönnt ghöre wänn er sich in Megapark wage würd. Kartoffelsalat. Usserdem hät sich d’Sophia drüber beklagt, dass dä SJU nur mit EVZ-Brügler und nöd mit ihre will trinke, und als klassische Alkoholiker hät er natürlich na so gern nageh. Olé olé. 
Alles Andere isch eigentlich nöd so wichtig, aber ich verzell glich na churz was am Fritig so passiert isch. Während s’Ayverdi zu fayg gsi isch um eus ihri Tüüre z’öffne, und s’niemert gwagt hät is «La Penisola» z’gah, hät sich dä Neui Punkt am Albisriederplatz gnädig zeigt, und sogar na än Terasseplatz für eus freigmacht. A dä Strassepromenade i dä Sunne hät sich zerscht s’DF-Präsidium um dä MSO/MST und SJU niederglah, gfolgt vo Jinderletscht und PKN. Nöd gschafft händs dä YMI (Ticino glaubs, han nöd so genau ufpasst) und CBO (Malle ist nur einmal im Jahr). So i dä Mitti hät sich dä JWU igreiht, wo sicher 15 Minute zspat cho isch (endlich wieder mal än LI), und dänn sogar na s’Mitleid vom Jinderletscht in Aspruch gnah hät wo sich a sin Extratisch gsetzt hät. Alles in allem also perfekt, well somit beidi am MSO/MST nöd uf d’Nerve gange sind. Immerhin hät er sich chönne im Schatte niederlah, und hät sich somit wie dä MSO/MST nur än milde Sunnebrand abgholt. Mit Bière, Charme und Zitrone isches dänn also zur Beurteilig vom New Point gange, und mit dä schelmische Frag ob mir alli im gliche Betrieb schaffed hät sich dä Kebabière locker i eusi Herze gschliche. Ich bitte also alli, ihres Formular uszfülle. 
Natürlich sind dänn d’Gspräch rasch wieder uf dä edli Sport vom Ishockey gange, und nach es paar Roiberpischtole über ZSC Modefäns (also alli) und dä neuä Trainingsmethode im Ishockey händ alli afange Träume, was für än Hockeyspieler sie gern worde währed. Für dä MSO/MST wärs än klare Fall gsi, Captain und Drittlinieverteidiger wo sich gern und erfolglos brüglet. Dä PKN hät än Sermon agschlage wie billig die meischte Sportinterviews sind und was er amigs würd säge wänn er nach sim erschte Saisongoal i 40 Spiel gfragt würd, wer s’Spiel entschiede hett. Dänn hät eine bim Chreisel ghupet, und dä PKN, ganz ufgwüehlt vo sim Monolog, hät vorgschlage allne wo hupet d’Windschutzschiebe izschlah. Dä Vorschlag isch sehr guet acho, und mir sueched nach Freiwillige für das soziale Experiment (Haftig vom DF wird usgschlosse). Apropos unnötigi Gwalt und vill Lärm, d’DF-Brüglete isch dä Samschtig Abig, entweder bim JWU bi wahrschinlich schlechtem oder bim PKN bi guetem Wetter. Ich freu mi also scho uf d’Erika, und schlah vor dass mer alli mit eusne Ichaufswäge chömed und si vor dä Huustür stah lönd. Alli wiitere Abklärige werded im Whatsappchat gmacht. 
Mer gseht sich somit im «insert kebab place also to be decided in DF-Chat» am Fritig, und suscht am Samschtig
MSO/MST (Nr.  7)
- Hauptstatistiker (wenn er si dänn verschickt: Mir sind entzückt über dä Helikopter vom CBO nach äm Zuger Sieg)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</si>
  <si>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Hallo, 
Wie dä SJU isch dä MSO/MST nöd nur steihässig gsi hüt, sondern es hät än au na härt verregnet bi dä Afahrt an New Point (Lokationswertig vo 1). Sini Luune hät sich nur churz besseret, woner dä YMI und SJU gseh hät, und dänn isches ganz schnell wieder absi gange woner die hässliche Gsichter vom CBO und Luca H. erblickt hät. Immerhin (und wie au agmerkt vom Luca) isch dä Jinderletscht nöd cho, wo sich wahrschinlich immerna im Freudetaumel vom Liftklub GC befindet nach ihrem glückliche Ufstieg. Sogar dä JWU häts hüt mal meh oder weniger pünktlich gschafft, und er hät endlich s’Chriesibei mit sim Coiffeur begrabe, drum gseht er wieder einigermasse präsentablè us. Und dä Luca hät wie immer ä grossi Fressi gha, und au wie immer sini Maske nöd mitgnoh. Dä PKN isch währenddesse schändlicherwiis wieder mal nöd cho, und hät die nächschti GV somit um än Tag verzögeret. Somit isch s’fröhliche Bstelle losgange, und trotz es paar Schwierigkeite mit dä Chartezahlig isches doch schön dass die Herre YMI und CBO das wunderbare Lokal au na chönd bewerte. Apropos, bitte bis morn a dä Brüglete alli ihri Bewertige usfülle und mitneh, dänn gits die grossi Uflösig wo villicht dänn au nöd zellt, je nachdem obs dä wichtigschte DF-Funktionäre wird passe. 
Apropos brügle, morn gahts am 4i im Calvi los, dä SJU passt na sin Invite a, und nach mehrere Minute strategisierä händ sich die Beteiligte hüt däfür entschiede, nüt z’entscheide. Trotzdem isch im schöne und regegschützte Unterstand doch klar worde dass es nur guet chan usecho, welli Variante mir au wähle werded. Entweder verköschtiged mer eus bim JWU mit Bratwürscht und Brot, und angeblich hät er vo dä Roseäään sogar glernt dass es meh Gwürz git als nur Ketchup. Oder mer gönd zum PKN und nehmed eventuelli Kollateralschäde in Chauf. Wie au immer, solangs gnueg Tequila git und dä JWU die lang «verscholleni Jagge» vom SJU mitnimmt wird das sicher än wunderbare Abig. Oder au nöd. 
Suscht hät mer brichtet wie mer i dä NHL verbrüglet wird au wänn mer nüt däfür chan, was mit äm CBO sim Partners Group Gilet passiert wänner uf d’Strass gsellt wird (entweder wird’s ufghänkt oder er wird ufghänkt), und ob er sich wieder zu dä GSCS getraut. Uf die letschti Frag luutet d’Antwort nei, und dä Godstone persönlich isch höchscht enttüscht. Dä CBO aber seit sich: besser kein Job also än schlechte Job, und mir sind gspannt ob sini Rechnig ufgah wird. Mehreri Meisterfäns händ zudem dä Titel immer nanig so ganz verdaut, und ihri Liebi zum Kalle, äm Kartoffelsalatlied und wiitere Erinnerige sind namal ufcho. Zudem sind na es paar scharfi Wort mitem Modefän YMI gwechslet worde (siehe Abbildung 1), wo fälschlicherwiis prognostiziert hät dass Zug wiiteri 20 Jahr uf dä nächscht Meistertitel muess warte. Das chan natürlich nöd si, well dä MSO/MST ja 10 Titel in Folge agseit hät, aber nach eim Stadionbsuech isch mer hald na kein Experte. 
Abbildung 1: EVZ «Fan» YMI
Quelle: CBO
Apropos fehlender Expertise, dä CBO hät eus na churz vo sine Abentüüür in Malle brichtet hät. Nach äm beztztzrunkene Flug und dä afängliche Angscht, nöd is Land zcho, hät ers zwar verpasst in Megapark inezschliche, däfür ischer wiit uf dä Insle umecho. Woner dänn es paar Täg später hät welle än Tescht mache zum zruggcho hätter zerscht kein Termin übercho, und isch dänn zum Glück über Umweg mit dä Esther verbunde worde, wo dänn plötzlich doch uf di Schnelle än Spot freigmacht hät. Mer munklet dass si Verbindige zu dä Mallorcanische Elite pflegt, und bi dä Mickie Krause und Peter Wackel i und usgaht. Suscht wär dä CBO jetzt däfür im Bierkönig, was ja au prima wär. 
Ich wünsche na än schöne Namittag, und bis morn am 4i, ihr Jusos. Und dä PKN därf na sini einzig Ufgab im Jahr wahrneh als ehrewerte Revisor. 
MSO/MST (Nr.  7)
- Hauptstatistiker (wenn er si dänn verschickt: Mama Lauda)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</si>
  <si>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Schöne Sunnebrand, 
Ob hüt oder morn, MSO/MST und JWU werded wohl in süesse Öpfel bisse müesse bi dem grandiose Wetter. Aber dadäzue später meh. Wie immer i dä Historie vom DF isch dä MSO/MST vaterseeleällei vor äm Kebab (nicht) seiner Wahl gstande und hät uf d’Akunft vo dä andere Mitglieder gwartet. Es isch nöd lang gange und scho sind dä illustri YMI und dä frührendi Jinderletscht um dä Egge cho. Nach ä chli Bänter über die ufkommende Episode vo «Der Bachelor: Ausflug ins Ungewisse» und dä erneute Absenz vom PKN wo vo sim Arbetgeber als Geisle gnoh worde isch sind SJU und CBO däzuegstosse, und mer hät sich ufgmacht im (villicht fälschlicherwiis) erkorene DF-Stammlokal (Züri Bistro) um standardmässig än Donner z’chlöpfe. Mission impossible? Ja. Da händ villicht gwüssi Bewerter nöd so genau ufpasst bim letschte Bsuech, bsunders i dä Rubrik Service, wells doch a dunkli Ziite im Safran erinneret hät wo d’Muetter (RIP) trotz spärlicher Lokalbsetzig gschlageni 20 Minute gha hät bis d’Bstellig mal bi eus gsi isch. Mer hät sich aber d’Ziit locker chönne zvertribe. 
Die einte (SJU) händ d’Maske vergesse und sind güetigerwiis vom YMI vorem Lokal begleitet worde, die andere (JWU) sind eifach chli zspat cho, ohni än LI z’kassiere. Dä Grund für das leider nöd ahnbare Vergehe? Es git angeblich nur ein Parkometer in Züri wo Einfränkler akzeptiert, und da dä JWU na nie än 50Räppler i dä Hand gha hät isches dänn hald chli länger gange. Suscht hät aber d’Vorfreud uf dä morgig Usflug überwoge, und well dä Luca H. als Organisator sis Wüsse nur teilwiis a wenigi Lüüt wiitergeh hät, isch s’Muetmasse natürlich grenzelos gsi. Mer hät usserdem vom Ruedi Reck gschwärmt, äm YMI wos trotz langem und Prosecco-gladenem Tag als einzige gschafft hät ihn zum stah zbringe, und hät äm SJU müesse zuelose wiener jetzt dänn 3 Wuche id Ferie gaht. Sini Freud über d’Wiederbelebig vom DF überwiegt aber äm Ärger über sini nach altem Plan makellosi Feriekoordination. 
Endlich im prall besunnte Sandchaschte acho hät mer sich äm letschte Gwäsch vo gescht chönne widme: dä sang- und klanglose Jassniederlag vom CBO und äm Luca H. Nach mä vergebene Match (vom CBO), mä ermöglichte Match vom Gegner (dur dä CBO), und wiitere Ussetzer hät sin Partner wie immer reagiert: er hät so vill Druck ufbaut dass es dä CBO fascht nüme usghalte hät. Dä Päsche und MSO/MST sind seeleruhig daghockt und händ dä Charre heigfahre, und alli früehnere Hiiwis vom CBO dass dä MSO/MST än schlechte Jasser seg hinterlönd än schale Nachgschmack. Immerhin chan dä jungi Herr besser Schach spiele und DF-Hoodies designe, und es sind na wiiteri Vorschläg zum Isatz vom übermässige DF-Vermöge ufcho, wie än DF-Panzer mit Donner als Raupe. Es sind usserdem na Stimme vo Coronaskeptiker vernah worde, und dä SJU würd sich vor äm Contract Tracing fürchte wänns existiere würd. Oder wänns mit igschriebene Brief schaffe würded. Apropos nöd a öppisem Schaffe, dä JWU isch immer na a sim Bachelor in Data Science. Wänn er än endlich abgschlosse hät chan er villicht die dubiose Mitarbeitertrades vo dä Partners Group untersueche, wo gwüsse Spezialischte -400 Prestigepünkt (ytd) inetätscht händ. 
Apropos übermässigs DF-Vermöge, da na ä chlini Aregig an Revisor PKN, bitte s’DF-Fiskaljahr na abzschlüsse. Suscht gits än Hiwiis an Massregler, wo dänn chan entscheide wie sie/er/es dämit umgaht. Dä Hauptstatistiker hät aber es Herz für die Schwache, und hät mal chli i sine immer korrekte Statistike nagforscht was so für Positione vorhande sind:
Cäsh Reserves vo dä letschtä Brüglete (scho izahlt):                       CHF  112.68
Jahresbiitrag für Investitione (scho izahlt und nöd investiert):        CHF  300.00
Buesse 2020:                                                                            CHF  914.25
Total 2020:                                                       CHF 1326.93
Sobald das dänn endlich gmacht isch chan mer (falls nöd scho gmacht) eusem dopplete CFO sini usstehende DF-Schulde uszahle, und er chan dänn bekannt geh wievill übrig blibt als neui Cäsh Reserves für 2021. Mit dem goldige Usblick wünsche ich allne än sunnige Fritig Abig, äm CBO guets Glinge im Teammeeting schwänze, und mer gseht sich morn a dä längschte GV i dä DF-All-time-history-Gschicht.
MSO/MST (Nr.  7)
- Hauptstatistiker (wenn er si dänn verschickt: PKN Ämtlistatistik: 1 Mal im Jahr öppis mache agseit, 0 gmacht, Differenz 1)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</si>
  <si>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Heilige Bimbam, 
Es wird gmassreglet was das Zeug hält, und immer na häts kei abschlüssendi Revision geh vom DF-Fiskaljahr 2020. Und nach dä Brüglete vom jetzt scho vorleschte Weekend händ sich die beide Herre YMI und SJU leider müesse abmelde, well si so überwältiget gsi sind vo dä 0 neue Vorstöss us dä längschte (und glaubs nie offiziell beendete) GV i dä DF all-time history, und dä 100 Stüehl wo dä CBO umedonneret hät. Trotzdem isch nöd alles schlecht, und ich schribe später na meh zu dem historische geschtrige Tag. Usserdem isch dä Hunger nach mä richtige Donner gross gsi, und vor allem für dä PKN isches än bsundere Tag gsi mit sim erschte Bsuech im Züri Bistro. Er isches dänn au gsi wo falsch agstande isch und somit mitverantwortlich für die langi Warteziit. Än andere Übeltäter isch dä stinkfrechi Vordrengler gsi, wo äm MSO/MST sin Dürümspot gklaut hät, was dä Vizepräsi aber locker weggsteckt hät, und er isch nach mä churze Gspräch mitem Tätschmeischter mit mä extra grosse Dürüm mit Sprite belohnt worde. 
A einere vo dä eher schäbigere Wiese i dä Slums vo Albisriede isches dänn zwüsched Penner und Actifitter wiitergange, und dä PKN hät vo sinere bevorstehende Prüefig und sim baldige Abstecher is Establishment Falke verzellt. Dä CBO hät sich dänn offiziell zunenere allgemeine Entschuldigung für sis Verhalte a sim Altgselleabschied duregrunge (ussert für s’Volleyballspiele mit dä Lampe im Schoggi sim Zimmer), und lamentiert über sin brochene Fuess. Usserdem hät er eus bichtet dass er scho mal im Mäc än Bürger direkt vo hinter dä Theke stibitzt hät. Nach langem gspräch übers Däfür und Däwider hät mer dänn au entschiede, dass dä CBO go stämpfle gaht, aber mer isch sich unter dä Arbetsloseexperte nöd ganz sicher gsi, ab wänn er das därf. 
Suscht sind d’Theme aber eher vo fründlicherer Natur gsi. PKN und MSO/MST händ sich köstlich amüsiert mit neue Verlängerigsmethode im Ishockey nachem schändliche Usscheide vo dä Schwiizer Nati, wo mer nach jedere Verlängerig ein Spieler weniger hät, bis es dänn es 1 gäge 1 vo dä Goalis git. Und wänn die keis Goal schüssed werdeds verbrüglet. Mer hät sich gmeinsam über alli ufgret wo Twitter händ und nöd händ, und wänn mer scho bi Verschwörigstheoretiker sind, es gaht es Grücht ume dass dä Döner im Züri Bistro miserable seg. Nach lange Nachforschige isches dä Redaktion glunge, dä Ursprung vo dere Theorie usfindig zmache. Die Verschwörig stammt vom CBO, wo bis jetzt immer än tropfende Donner übercho hät, und mer munklet dass er eifach nöd fähig isch richtig z’Esse. Es sind usserdem verschiedeni politischi System und d’Homeofficezuekunft agschnitte worde, aber dä MSO/MST chan sich nüme so ganz erinnere was genau so gschwaflet worde isch. Öppis isch aber doch na erwähnenswert, und zwar die hitzig Diskussion vom CBO und äm JWU, ob zwei Flugzüg wo 10km vonenand entfernt aber uf Kollisionskurs sind sich na chönd uswiche. Mer hät sich zruggerinneret as Unglück über äm Bodesee, und dä CBO hät gseit das seg doch sicher es Flugboot gsi. 
Mer chönnt meine ich han jetzt gnueg gschriebe, aber als offizielle Frauebeuftragte und Glichberechtigungsbeamte möchte ich doch na erwähne dass mis Herz am strahle isch. S’Rentealter vo allne wo sich als Fraue identifiziered wird endlich aghobe, und än wichtige Schritt zu dä Glichberechtigung isch somit erreicht. Gemäss dä Kommentarspalte vo 20-Minute sind aber nöd alli so häppy, und ich möchte na churz die folgende Vorschläg uflischte, damit sich jede bis am Fritig (also morn) chan Gedanke mache ob das öppis guets wär:
• Jede schafft 44 Jahr, wer studiert muess demfall länger schaffe, wells ja nur wichtig isch wie lang mer schafft und nöd wievill mer izahlt
• Alli gönd mit 60i id Pension, und bi dä nächschte Gsundheitskrise wird s’Geld eifach nöd id Wirtschaft und für Impfige sondern für d’AHV-Sanierig usgeh
• Well d’SP und d’UNIA degäge sind seg die Person ebe däfür. Zwei Biträg später seit eine d’PNOS seg däfür drum seg er au däfür. 
• 5 Mal nei am 13. Juni (sicher 10 mal vorcho)
• Nur wänn d’Fraue genau glich bezahlt werded wie d’Männer seg das «Okeei»)
• Dä Parmelin würd säge, wer sich mit 64i pensioniere lah will müess mit dä Konsequente lebe, aber es seg kein Zwang
Bis am Fritig
MSO/MST (Nr.  7)
- Hauptstatistiker (wenn er si dänn verschickt: Mi scusi, das DF-Fiskaljahr findet unter äm Motto «alles chli zspat» statt)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</si>
  <si>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Holà, 
Es isch wieder mal höchschti Isebahn zum ä Zämefassig usezchlöpfe, und d’Ziit lauft eim dävo. Im DF-Fiskaljahr vo dä grosse Verspätige haltet sich au dä Hauptstatistiker MSO/MST nöd zrugg, und mer wünscht dennoch vill Spass bim Lese. 
Am schöne Fritig Mittag isch dä Vizepräsident ganz verschwitzt bim Züri Bistro acho, woner gmerkt hät dass er so än schnelle Radler isch dass er gar nöd so hett müesse Stresse. Aber dur die jüngschte Massreglige vom CBO über angeblich nöd privati DF-Iladige (so dass nöd Hinz und Kunz an DF chömmed) isch ä gwüssi Nervosität scho vorprogrammiert gsi. Als Erschte vor Ort ischem dänn zuefällig dä Ebito über dä Weg glauffe, wo ebefalls i di grosse Massreglerei vom CBO inegrate isch (er söll gfälligscht au mal wieder verbicho). Ob die zwei Ussage konsistent sind, sei dahingestellt. Churz drufabe sind die Herre PKN, CBO und JWU au na däzuegstosse, und well die beide Langziitabwesende YMI und SJU sich offiziell abgmeldet händ isches dänn is fascht leere Bistro gange. Zur grosse Entrüschtig vom JWU (mir chömed immer genau dänn wänns lang gaht) händ sich d’Kebabierè trotzdem ihri Ziit gnoh, was sich aber nöd so ganz i dä Qualität vo allne Donner niedergschlage hät. Mit ere gsunde Portion Schadefreud hät dä CBO bemerkt, dass äm Ebito sind Kebab am tröpfle isch, und somit isches wieder mal zur Wiese ohni Sitzplätz im Schatte gange. 
Aber s’Schicksal schlaft nie wänn mers useforderet (Quelle: isch so), und chum hät dä CBO dä erschti Biss vo sim Lünch gnoh hät au sin Dürüm agfange, Sauce am untere Endi usezlah. Immerhin hät er sich als Wiederguetmachig uf än wiitere Polterabig chönne freue, und sini bescheidene Chleider sind unbeschadet dävocho. Dä PKN hät sich trotz äm schriftliche Prüefigsendi keis Bière gönnt, well er sich na uf sini orale (hehe) Fähigkeite bim zweite Teil muess verlah, und alli Alkis uf dä Parkbank sind natürlich höchscht enttüscht gsi dass si kein neue Trinkkumpan händ chönne rekrutiere. Dete wird dä PKN aber trotzdem ende wänn er sis einzige DF-Ämtli vom Jahr nöd bald macht, well er vom nä unbekannte wo sehr ähnlich usgseht wie dä MSO/MST abedonneret wird! Dä JWU hät nach afänglicher Widerwilligkeit doch na bi sim eigene EM-Tippspiel mitgmacht, wells gemäss ihm doch s’einzig bruchbare seg. Leider hät dä MSO/MST d’Deadline verpasst, trotz grossmuligem Akünde dass er au mitmacht. Aber die Schwache chlöpfts hald. Apropos, niemert hät dä neui EM-Modus so genau verstande, aber mer isch sich einig dass d’Schwiiz wie immer wird enttüsche, obwohl mer jetzt doch scho fascht es Jahrzehnt mit enere goldene/blonde Generation spieled. Und nacheme Exkurs übers «Paketgate» vom PKN i sim diebische Wohnkomplex hät mer sich dänn hald wieder dä Nostalgie über Fuessballreise (Stand hüt sind mindeschtes 4 verschiedeni in Planig) und äm letschti zwenig praktizierte Meier-Müller gwidmet, um dä glungeni DF abzschlüsse.
A tut alör
MSO/MST (Nr.  7)
- Hauptstatistiker (wenn er si dänn verschickt: Villicht chunnt di nächscht Zämefassig pünktlich, aber wahrschinli nöd. Oder scho, who’s know)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</si>
  <si>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PKN, letschti Warnig, suscht wirdi steihässig, mach mal dis Ämtli! 
So, und jetzt hallo. Es isch än freudige Tag, obwohl alli wo vorher reklamiert händ dasses zchalt isch jetzt säged dass es zheiss isch. Dä SJU isch wieder da, und wells da so vill wärmer isch als in Portuguesch isch er grad mal locker an DF gschwumme. Trotzdem hät er sich nöd getraut es Tänk Top azzieh wie dä Jinderletscht, wo sich gern quält und will verbiiluege wie dä zweitbeschti Verein vo dä Schwiiz ohni in gedeiht. Na chli eleganter isch dä MSO/MST kleidet gsi, mit offiziellem DF-Shirt, wo ihm endlich mal chli Bewunderig ibracht hät. Au dä PKN hät Grund zum Fiire (und hoffentlich zum endlich sini Revision vo dä DF-Stats abzschlüsse!!!) und er dürfti sich hüt endlich mal wieder äs chüehls Bière gönne. Au dä YMI isch mit vo dä Partie gsi, um na churz go hoi säge vor sine Ferie bis im Auguscht. Wenns öpper verdient hät dänn er. Und natürlich isch dä CBO au uftaucht mit sim lässige Chäppi, und sinere weniger lässige Persönlichkeit. Somit hät nur dä JWU «gfehlt», wo irgendwo am «Wandere» isch im Ticino. 
Wie immer isch s’Züri Bistro halb leer gsi, und au wie immer isches doch es Ziitli gange bis alli ihre Dürüm i dä Händ gha händ. I dä Zwüscheziit hät dä CBO gforderet, mer söll dä Verein in Haloumi-Fritig umbennene (er isch übrigens neuerdings dä junge Grüene bitrette), dä Jinderletscht hät über d’Schwiizer Nati philosophiert, und d’Autobesitzer händ sich ustuscht wie si amigs ihres Auto wäsched (nur im Rege). Uf äm Weg zur Wiese häts es erschts Update geh vom SJU, wo äm MSO/MST über dä grüeni Rosé vo Portugal verzellt hät, und nachdem er sich unter Träne vo sim zu scharfe Donner erholt hät, hätter nachli blöfft dass si ganz Portugal abgfahre sind. Natürlich wird mer Lissabon jetzt mal zerscht abriegle nachdem öpper di ganz Stadt agsteckt hät (er und/oder d’Engländer), aber die Schwache chlöpfts hald. Dänn häts na heftigi Usenandersetzige geh über die kulinarische Perle Francesinha und Poutine, und dä Jinderletscht als gröschte Blöffsack hät sich mit alte Roiberpischtole vo sine Portugalreise ufgspielt. Quintessenz: es isch wunderbar mit dä Englender in Porto go brügle.
S’grosse Highlight für mich isch aber dä CBO gsi, wo sich extrem enerviert hät über die extremi Enervierig dass alli Natispieler mitem Lamborghini uftauched. Uf dä Kommentar vom Jinderlescht dass au Basketballer in Lambos ifahred hät dä PKN zurecht bemerkt dass die wahrschinlich gar nöd is Auto würded passe. Allerdings. Und als Abschluss na ä chlini Bemerkig, dass dä CBO das Fiskaljahr bis jetzt am zweitmeischte an DF cho isch (eigentlich am meischte mitem MSO/MST, aber dä fälscht sini Statistik ja eh immer zu sine Gunschte). Somit es grosses Bravo, und es sunnigs Wuchenend. 
MSO/MST (Nr.  7)
- Hauptstatistiker (wenn er si dänn verschickt: Alli händ denkt si chunnt erscht nächscht Wuche, aber dänn isch si doch scho die Wuche cho)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</si>
  <si>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Herzlich willkomme, jetzt wo mer offiziell is Fiskaljahr 2021 überegruscht sind und euse Revisor (danggschön, sehr amüsant) s’letschte Jahr abgschlosse hät. Ich bitte für die wos nanig gmacht händ, dä usstehend Betrag gemäss Revisorbricht an Financier YMI z’überwiese. 
Dä SJU isch hüt so früeh gange isch hät ers trotz all sine Bemüehige zerscht is Züri Bistro gschafft. MSO/MST isch wie immer mit vo dä Partie gsi, und dänn häts angeblich dä PKN gchlöpft well in Züri d’Trams au nüme so verlässlich fahred wie au scho. Früehner isch alles besser gsi, ussert allem wo schlechter gsi isch. Aber dänn isch zum Glück s’Tram glich cho, bravo. Leider isch dänn doch eine vo dä agseite Teilnehmer usgfalle, und zwar dä JWU, wo imnä üsserscht wichtige Fründschaftsfüdlispiel hät «müesse» go tickere. Sini Lücke hät dä Jinderletscht gfüllt, natürlich meh schlecht als recht. Und wie scho erwähnt vo eusem Presidente sind d’Herre YMI und CBO hüt abwesend, und bsunders dä Zweit hät somit sini usgezeichnet Jahreswertig scho mal verwässeret. Wie immer zieht dä MSO/MST somit uf und dävo, und er wird wahrschinlich au nüme igholt, so Gott will. 
Nachdem dä Tätschmeischter däfür gsorgt hät dass sini Lakeie au die richtige Donner schnell gnueg uffülled hät mer sich bim Plantschbecki niederglah, und ufem Wäg hät mer än Töfflifahrer überholt wo mit sim neue Fahrstil (Rückrad ohni Luft und scho halbe usgfädlet) eher weniger erfolgrich unterwegs gsi isch. Am Becki hät dä SJU grad agfange hät mitem Blöffe vo sinere astehende Wanderig uf dä Zündhölzlispitz, und mir hoffed dasses ä Flamme git und dass er am nächschte Tag na chan laufe, nöd wie dä PKN wo das mal nüme fertigbracht hät nach mä 18-stündige Herkuleslauf. Au suscht isches für ihn än erfolgrichi Wuche, well er sini Prüefige abgschlosse hät und sich jetzt wieder dra muess gwöhne, wie mer effizient am Morge scho afangt Alkohol konsumiert. Nebed dem hät mer sich meh oder weniger ufgregt über alli wo sich jetzt über allfälligi Delta bis Omegavariante ufregt, und wie sich dä Staat sini Ufgab nöd eifacher macht mit dä ganze Panikmacherei und Impfige für Neugebohrene. Natürlich gits bösi Zunge wo behaupted, dass seg gewollt, und mir werded gseh ob die sogenante Aluhüet Recht bhalted. Währenddessse hät dä Jinderletscht lamentiert, wie er chürzlich mitem CBO bim Schachspiele mit hämische Kommentär in usländisch ideckt worde isch vo dä lokale Schachlegende Czsyrilsk Zbouszkqets. 
Und natürlich hät dä MSO/MST sini Freud gha, die lokal Vogelpopulation mit sim Donnermais zfüettere, was die ganz giggerig gmacht händ. Schmächlichi Usdrück wie «scheiss Finke» und «Frechspatz» sind gfalle. Apropos Frechspatz, dä CBO isch dänn doch na cho nach sim Ehevorbereitigskursm aber so spat dass es na als LI zellt het, also njet Aweseheitspünkt. Däfür hät er därfe es paar Formular usfülle mit Infos woner entweder scho mitgeh hät, oder mer au eifach online chönnti bereitstelle. Am Schluss isch wie immer Nostalgie agseit gsi, und mer hät gschwärmt und glacht über alli Interviewlegende im Fuessball wie äm Ruedi Völler (dä Völlscht isch dä Töllscht). 
Ich wünsche es erfolgrichs Wuchenend a alli, ussert dene wos nöd verdiened. Also allne.
MSO/MST (Nr.  7)
- Hauptstatistiker (wenn er si dänn verschickt: so schnell wie im Bett)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</si>
  <si>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Allo, 
Wie vorgmeldet vom Iladigsversender häts hüt richtig greblet mit dä Abwesende (Gratulation an CBO für das schöne Foti woner gschickt hät, aber mer merkt dass d’Arbetslosigkeit sis Lebe scho uf dä Chopf stellt. Hehehe). Somit sind nur dä JWU und MSO/MST vor Ort gsi, und es isch au nöd vill verzellt worde, well die beide Herre ja bekannt sind für ihri allgemeini Zrugghaltig und Abneigig zum Blöffe. Dä JWU hät sich usserdem liecht verfahre, und trotz sinere Nödberücksichtigung vo mindeschtens 6 Rotliechter (wie gseit, kei Blöffereie) und andere Verkehrsregle häts nöd ganz glanged dä LI z’verhindere. Trotzdem hät mer sich uf dä neue Donnerwiese wiedergfunde und nach mä churze Hugo-Müller händ sich die beide im Schatte versteckt vor dä böse Sunne a dä Langstrass.
Es isch philosophiert worde über d’Schwiizer Nati, die viele Möchtegernexperte mit ihrem Halbwüsse, und wies bald Ziit isch dass mer sich wieder andere Sache im Lebe widmet, wie zum Bispiel än guete Jass zchlöpfe. Es isch sinniert worde über die positiv Entwicklig vo dä Arbetswelt, und dass mer au mal vo dihei wird chönne schaffe i dä Zuekunft, ussert mer isch bi dä unfähige UNO (nöd s’Chartespiel) agstellt und chan nur ei gsamthafti Regelig für s’ganze Unternehme duresetze. Und natürlich hät mer sich ustuscht wo mer hüt s’Spiel des Jahrzehntausends luegt. Gemäss Möchtegernexperte Jinderletscht hett mer mindeschtens am Mittwochmorge sit äm 6i müesse astah a dä Langstrass um au nur dä Rand vomnä Bildschirm zgseh, und während dä JWU sich uf dä Idaplatz getraue wird, hät dä MSO/MST gnueg vo all dem Brügle und luegt dä Match lieber dihei. Gemäss dä beide Fuessballkenner gits hüt übrigens entweder än Huettrick vom Tscherdan, oder er wird i dä 60tä Minute usgwechslet und spielt nie meh für d’Schwiiz. Mit dem hät mer sich wieder uf dä Weg is Homooffice begeh, obwohl dä Pride Month leider verbi isch. Und da na ä chlini Überraschig: Well dä MSO/MST grad extrem hässig isch uf d’GSCS und sich endlich überleit als Letschte vo dem Verein us dere Luuserbank usztrette, hät er sich mal chli Ziit gnoh um alli DF-Zämefassige id Stats inezchlebe (Tab: Participation), dämit all die schöne Wort vo MSO/MST und SJU zentral abgleit sind und d’Ewigkeit überdure chönd.
Und well sich so vill Lüüt a verschiedene Ort in Europa ufhalted, gits hüt mal chli Usserhuusufgabe: 
• YMI: Bitte am Chiellini churz säge er söll nöd spiele am Abig, dämit d’Belgier wiiterchömed. Suscht isches erlaubt sich zruggzlehne und än Campari zgnüsse. 
• CBO: Bitte än französische Schnauz wachse lah und äs Macron mitem Macron esse. Optional: Nöd vo dä Gelbveschte verbrüglet werde well mer sich mitem Macron troffe hät. Nöd optional: Bim Zoll verbiluege um eusi DF-Hoodies go abhole. 
• SJU: Bitte ufpasse bim abrüf- und abriilaufe, und churz am Constantin hoi säge ohni als Trainer agstellt und grad wieder entlah werde
• PKN: Bitte äm Chund säge er söll gfälligscht eusi DF-Timelines izhalte, und endlich än richtige Blocker in Kalender inetätsche nach über 5 Jahr. 
Bis nächscht Wuche, hoffentlich mit grösserem Uflauf als hüt. Hopp Schwiiz, obwohl ich schwarz gseh mitem Zakaria im Mittelfeld
MSO/MST (Nr.  7)
- Hauptstatistiker (wenn er si dänn verschickt: all-time history record für am schnelleschte usegschickti DF-Stats und Zämfassig)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</si>
  <si>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Allora liebi Mondchinder 
Dunkli Wolke sind am ufzieh gsi hüt Morge, und sogar dä Hydrolog isch besorgt gnueg um sich bi dä Edelzitig 20Minute zmelde. Usserdem häts dä JWU «Schöpf jetzt gchlöpft» well er d’Implantierig vom Bill-Gates-Microchip nöd so guet vertreit hät, und er hät hüt leider nöd chönne teilneh. Und dä YMI isch immer na am Flanniere und Gnüsse in Italia. Trotzdem häts än Liechtblick geh mit dä Exploration vom mit&amp;ohne Kebab. Dä CBO isch entzückt gsi dass er kei Hose hät müese alege, und dass er än triftige Grund gha hät sis Huus wiedermal z’verlah, und mer hät somit voller Vorfreud s’faszinierende Lokal betrette. Ussert mer isch dä PKN, wo sich dermasse über dä Hipsterlade ufgregt hät dass er direkt is Ararat spaziert isch um sin Donner dete abzhole. Während äm Warte händ sich MSO/MST und SJU uf höchschter intellektueller Ebeni ustuscht über Organisationä wo sich meh über Diversity und Klimaneutralität profiliered als ihre Job richtig z’mache, und dä CBO hät verzellt wie er im Land der Frösche erscht mit heftiger Verspätig acho isch, well die verwöhnte Gurke mal wieder händ müese Streike. Sakreblö. Dänn isches wiiter gange, und bim Anja Polatzki Platz hät mer sich uf ere Bank niederglah. Die wo sich in neue Kebab gwagt händ sind absolut überzügt gsi vo dä Qualität, wo natürlich au sin Priis hät, und mer isch am gnüsse gsi i dä brennende Sunne. 
Apropos, dä SJU hät bi sinere Wanderig im Val Is nüt abrenne lah und zur Absicherig grad 5 Fläsche Wii mitgnoh, und mer hät sich amüsiert über das «Drittweltland» (CBO) wo mer nöd mal flüssend Wasser hät, sondern muess dä Schnee go Schmelze. Dä PKN hät korrekt errate dass dä MSO/MST än Chatzetyp isch, und trotz äm PKN sinere Vorlieb für Hünd händ sich die beide gmeinsam ufgregt über Lüüt wo s’Gfühl händ ihri Huustier seged so wichtig dass alli andere konstant wännd wüsse wie geil si seged. Zellt übrigens au für Chind, und falls dä MSO/MST mal 1 Stund über sin zuekünftige Sohn Beni Huggel Storz dä Erscht reded, bitte churz ä Flättere geh. Danke. Bevor sich dä PKN dänn früehzitig verabschiedet hät isch na usecho, dass s’Jasstraumpaar CBO und Luca H. wiedermal in Senkel gstellt worde isch, für eimal aber nur well sich dä Jinderletscht ganz frech usegwiese hät mit 7 Buure. Und wänn mer vom Tüüfel redet, da isch dä Luca H. doch grad mitem Velo (und am Händy) a dä Bank verbiigschliche, und hät sich na churz zu dä verbliebene DF-Mitglieder gsellt. Glücklicherwiis hät sich dä MSO/MST schnell chönne verabschiede, dämit kei Sunnebränd entstönd. 
Als Abschluss will ich da na dä Herre YMI und SJU danke, dass si ihri Ufzgi gmacht und mir au dävo brichtet händ. Git es Sternli is Tollgeheft, und sie werded somit in Zuekunft teilwiis vo bissige Kommentär verschont. Vom Rescht bini schwer enttüscht, bsunders vom CBO. Und äm JWU. Und äm PKN. Und wänn mer scho däbi sind, ich möchti gern dä Massregler beufträge dass er dä CBO massreglet für sini unflätigi Wortwahl gäge dä MSO/MST im DF-Chat während äm Schwiiz-Spanie Spiel. Danke. 
Ich han jetzt Ferie, und schribe mini Zämefassig nächscht Wuche nöd vo dä GSCS, also nöd verschrecke wänn plötzlich öppis vomnä Hotmailaccount chunnt. Tschüss, und vergessed eui Geschenk an CBO nöd morn.
MSO/MST (Nr.  7)
- Hauptstatistiker (wenn er si dänn verschickt: tbd) 
- Vize-Präsident (selbsternannt, aber bim DFQV 2020 bestätigt)
- Vize-Iladigsversänder
- Kommunikationschef (selbsternannt)
-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</si>
  <si>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Hallo zäme
Zämefassig vo letscht DF: Es isch sehr schön gsi.
Bis am Friitig.
Säschi
</t>
  </si>
  <si>
    <t xml:space="preserve">Mi scusi, mi scusi,
Wie immer vill zspat chunnt die letscht DF-Zämefassig inklusive Stats. Unglaublicherwiis isch dä MSO/MST zfuul gsi am Fritig na öppis zschribe, und isch dänn im Bündnerland verhocket. Und nöd nur das, er verpasst au dä DF vo morn, well er sich s'erscht Mal sit 2019 wieder uf Estonia getraut. Natürlich isch d'Mari schuld a dere Tragödie, und sie unterbricht au am König sini wiisi (oder schwarzi, isch ja genauso schön wie wiis) Weschte vom Fiskaljahr 2021. Glücklicherwiis gits än Liechtblick i dä Form vom SJU und sine mindeschtens so amüsante Zämefassige wo alli bald erwartet. 
Jetzt isch aber gnueg mit Entschuldigunge, und ich versuech mich mal dra z'erinnere was am Fritig so alles passiert isch. Agfange wird mit dä Absenzelischte, wo dä Langziititaliereisendi YMI, dä Kretainselgnüsser PKN und dä MiniverlobtiischwichtigeralsdäDFkari CBO umfasst. Bsunders bim Letschte därfti mer dä Finger ufhebe, und frage ob dä Erwerb vom nä neue Bürostuehl tatsächlich ä besseri Investition isch als am noble Verein des Donners biizwohne. Däfür isch dä JWU awesend gsi, bevor er sich als Katastrophetourischt uf Annenxy wagt um die Region z'annexiere. Mer gspürt dä Ifluss vo dä Rosän als UNO-Verantwortlichi für irgendöppis ganz klar, und mittlerwiile händ sich die meischte Seeä, Flüss und Hydrologe wieder beruhigt. Au mit vo dä Partie isch dä Presidente SJU gsi, wo leider dä Verluscht vo sim Hipstervelo hät müese verarbeite, wells sini Reife gchlöpft hät. Drum isch er au zFuess und schön gschniglet dähercho, well d'ZKB ihri Mitarbeiter wieder teilwiis is Büro beordert hät. S'Apropos folgt grad nach mä Verbindigssatz. 
Wells wie us Schütter gchüblet hät isch mer in altbekannte Unterstand gflüchtet, und hät dä Donner vertruckt. Apropos ZKB, gwüssi Wo*Manager i dä Luuserbank 2 werded gnau druf luege wänn ihri Schützling im Homeoffice sind und wänn nöd, und falls sich irgendwelchi Muster erkennbar mached behalted sis sich vor, rigogogogoros izschrite. Was au immer das heisse mag, es wär ja skandalös wänn sich gwüssi Lüüt es greglets Program würded zämestelle wänn si is Büro gönd und wänn nöd. Wie immer gits hald na die alti Garde wo s'Gfühl hät dass mer sich nur chan als Chef profiliere wänn so vill Persone wie möglich awesend sind, suscht chan mer si ja nöd kontrolliere. Ganz ähnlich hät das d'Luuserbank 1 (GSCS) für Jahre gmacht mit ihrne Townhalls wo mer amigs vo obe abe Mails umedonneret hät wie wichtig s'doch seg dass sich alli uf dä Weg zum Paradeplatz mached (30min), dä Saal fülled dämit sich Manager xy geil fühlt (1h), und dänn wieder zruggfahred (30min) ohni öppis glernt zha. Dä MSO/MST würd das ganz anderscht mache (nöd dass er jemals i sone Position beförderet würdi, für das isch er eifach intellektuell nöd ganz 200'000). Er würd jede entlah wo uftaucht, well die Person ja offesichtlich nöd gnueg ztue hät und mal schnell 2 Stund chan verchlöpfe für njet. Dä SJU würd die Sach wie folgt agah: sin Vortrag 1 Minute lang halte, schnell userenne und d'Türe abschlüsse. Dä JWU hingege chönnt sicherlich mit sim Data Science Abschluss blöffe (wänn er än dänn hät im 2029i). Vo dä andere Gsprächstheme und suschtige Insights vom Albiplatz isch wenig bekannt, villicht well am MSO/MST sis Gedächtnis au nüme so frisch und fründlich wie früehner isch. Jänu, so isch, und ich wünsche morn trotzdem än wunderbare Dürüm mit Wasser 
MSO/MST (Nr.  7)
-      Hauptstatistiker (wenn er si dänn verschickt: eieiei, miserablè, ich gelobe dass dä SJU (Kongräts zu dim 200tä DF-Bsuech letscht Wuche!) sini Zämefassig schneller usejasst) 
-      Vize-Präsident (selbsternannt, aber bim DFQV 2020 bestätigt)
-      Vize-Iladigsversänder
-      Kommunikationschef (selbsternannt)
-      Head of Diversity &amp; Exclusion,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</si>
  <si>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Allo, 
Dä MSO/MST isch wieder zrugg in alter Schwächi, und hät sich mit sim rote Flitzer richtig Albisriederplatz gwagt. Bi sinere Akunft hät er nöd nur es paar altbekannti DF-Mitglieder (PKN und YMI) vorgfunde, sondern au na dä Ebito und leider dä Jinderletscht. Chli später sind dänn CBO und SJU (fascht zspat) itrudlet, und s’grosse Chaos isch losgange wer jetzt welle Dürüm und Haloumi-Donner bstellt hät. Während äm Warte hät dä MSO/MST chli blöfft was für än schöne Tään er in Estland ufgschnappt und welli kulinarische Leckerbisse er lieber usglah hät (Salat mit 5kg Mayo und chli Hering). Dä CBO sinersiits hät ihn natürlich welle überblöffe, und er hät vo sim neue Freelancerlebe verzellt, und wie er dä grossi Stress gern mit Wanderige à la JWU usglicht. Dä YMI höchschtpersönlich isch wie erwähnt au wieder mit vo dä Partie gsi nach sinere Italiereis, und obwohl kein Blöffsack wie dä Rescht hät er doch gern vom schöne Wetter und sim Bsuech bim Pizzaweltmeischter Buitoni Barilla gschwärmt, trotz äm PKN sim Kommentar es gäbi ja eh 10’000igi Pizzaweltmeischter. 
Mit Kebab im Schlepptau (2 für dä MSO/MST, obwohl im niemert glaubt hät dä zweit seg für d’Mari) hät mer sich uf es Bänkli i die pralli Sunne gsetzt und na chli wiiterdiskutiert. Mer hät über ä wiiteri Jassniederlag vom CBO gschmuntzlet, wo nöd nur vergesse hät sini 5 8ti z’Wiise, sondern au nöd chan Farbe ageh. Gemäss Expertebricht segs i dä Höhli vom Jinderletscht eifach zu dunkel gsi, d’Augeoperation vom CBO seg chli hindeuse, und dä Wind hegi extrem abglenkt. Nöd mal dä YMI hät das Manko vo sim Partner chönne usgliche, und dä CBO stiegt langsam aber sicher id Kategorie vom JWU ab: Vill Potential, miserabli Resultat. Apropos Schadefreud, dä Ebito isch schelmisch am Lache gsi wells es paar Turnhalle vomnä Arbetskolleg verdonneret hät bi dä jüngschte Gwitter, währenddem er sich relativ schadlos ghalte hät. Very Nice. 
Nebed dene wichtige Ereignis isch eigentlich nüt gschids besproche worde. Dä Ebito und dä CBO händ dä PKN aghaue warum er dänn wie än Lumpe gaht go schaffe (Zitat SJU: Schöns Unterhemd (Anm. der Redation: er hät sis T-Shirt gmeint)), obwohl die beide selber usgseh händ als obs im Pijama cho währed, und während sich dä Rescht über Olympia unterhalte hät sind sich CBO und SJU wiedermal id Haar g’rate wege mä weltbewegende Thema: was isch grusiger. Ich gib na ä representativi Umfrag dure, dämit mer au abschlüssend chönd beurteile was jetzt stimmt: 
A) Mer isch chrank wänn mer gern Augeoperationsvideos vo sich selber aluegt, aber Film wo mer Pickel und anderi Zyschte usdruckt sind voll geil (Standpunkt SJU)
B) Wäh Zyschte melche, das isch doch pervers. Ich lueg mer lieber ah wie mer öpper mini Auge ufschnidet (Standpunkt CBO)
C) Beides isch eher unappetitlich, aber live and let live (Standpunkt YMI)
D) Ich hett gern beides glichziitig (Standpunkt Jinderletscht)
D) Ich will nur d’Resultat gseh (Standpunkt PNK)
Mit dem Zückerli verabschied ich mich, und wünsche es schöns Wuchenend. Insbesondere am SJU für sini Wanderig im Faas See, und dene wo sich traued s’romantischs Dinér vom CBO mitem Jinderletscht im La Côte z’störe. 
MSO/MST (Nr.  7)
-      Hauptstatistiker (wenn er si dänn verschickt: danke an SJU für die usfüehrlich DF-Zämefassig vo letscht Wuche, es isch als wär ich au däbi gsi, so wunderschön beschriebe) 
-      Vize-Präsident (selbsternannt, aber bim DFQV 2020 bestätigt)
-      Vize-Iladigsversänder
-      Kommunikationschef (selbsternannt)
-      Head of Undiversity &amp; Exclusion,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</si>
  <si>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Morge mitenand, 
Hüt häts dä MSO/MST so härt gchlöpft dass er sich än LI izoge hät. Nöd nur händ ihn zwei Gurke am Telefon ufghalte, er hät sich au na dur dä Strassedjungel vo Züri müesse kämpfe und währenddesse sini Vereinskumpane bitte ihm doch än Donner vorzbstelle. Leider hät sich niemert erbarmt, und somit hät dä Vizepräsident müesse astah während dä SJU na uf sin Haloumiburger gwartet hät. Wenns regnet dänn regnets, well zu sim entsetze häts vor ihm i dä Schlange au na än Schinese gha wo unbedingt mit sinere Füdliwährig hät welle zahle, und nach 2 Minute diskutiere hät dä Tätschmeischter ihn dänn weggschickt, nachdem er flehendi Blick zu sine wartende Chunde gworfe hät. Natürlich hät dä Rescht vo DF &amp; the Gang scho agfange esse, und obwohl dä MSO/MST nöd ghört hät was diskutiert worde isch hät er gueti Quelle überall i dä Stadt. Die 4 Herre YMI, PKN, SJU und CBO händ drüber debattiert wer vo ihne dä bescht Natitrainer wär, und öbs doch nöd gschider wär dä Baschi z’rekrutiere. Glücklicherwiis hät dä Unsinn es Endi gnoh wo Teilnehmer Nummere 5 sich au an idyllische Tisch a dä Strass gsetzt hät. 
Interessanterwiis hät bis vor churzem dä Muskelkater grassiert nach ere bsunders intensive Session Hallefuessball am Mäntig, und sogar fitti Ziitgenosse wie dä Jogger YMI, dä Velofahrer MSO/MST und dä Wettkampfbièregnüsser PKN händs bis geschter zimmli i dä Bei gspührt. Mer weiss leider nüme ganz wer am Schluss gwunne hät, aber das isch ja au nöd so wichtig. Apropos Grass, aus Gurkenmann wird bald Ehemann, aber das interssiert ja eh niemert. Dä CBO hät dänn afange blöffe wie er im grosse Stil hät welle Wii vo France id Schwiiz schmuggle für sini Hochziit. Sis Gwüsse ihn dänn aber doch igholt und ihn däzue bewoge hät alles z’verzolle. Dä PKN hät dä Usflug is «mitoderohni» Donnerestablishmènt immer nanig verdaut und isch hart am häte gsi gäge Expats und andere Usländer dete, und dass d’Getränk immer na in Fläsche daherchunnt. Er gängi erscht dete ine wänns nüme so hippstrig isch, was au immer das heisse mag. Und natürlich hät sich dä CBO namal müesse in Vordergrund dränge, well er sich us Prinzip nöd will für 1000 Stutz 3 Wuche in WK zbegeh. So goes für euses erschte arbetslose DF-Mitglied. Die folgende Vorschläg sind vo dä grosse Gruppe vo Militärverweigerer präsentiert worde: 
• Dä CBO findet allne Widrigkeite zum Trotz än Job und verzieht sich grad mal i aständig bezahlti grüeni Ferie
• Er findet es adäquats Body-Double und chauft sich frei
• Er wechslet in Zivildienscht und gurkt chli mit äm SJU und Jinderletscht ume
• Er chan endlich bewiise, was all scho gwüsst händ: he has not all cups in the cupboard
• Die jüngschti Statistik zu dä Debatte Zyschte vs. Augeoperationsvideo zeigt am SJU sini Fähigkeite, mit Rundige d’Wahrheit kreativ z’verpacke. Drum fälscht dä SJU es Zertifikat wo zeigt dass dä CBO sehr zimmlich ä Hirnentschütterig hät. 
• Dä CBO findet än «Witch doctor» wo irgend än plötzliche Untauglichkeitsfötzel unterschribt, und ihm na es paar Heiligskristall mitgit
Wiiteri Vorschläg werded sehr gschätzt, bitte a di folgendi Adresse schicke
Crevette-Bouquet
Kartonbox unter dä Hardbrugg
8005 Zürich
Apropos Djungel, dä JWU isch immer na am flaniere irgendwo i dä Wildnis mit dä Zwilling, und mer wird bald im Blick vo sine Eskapade chönne lese. Mer munklet er hegi sich es neus Standbei als Strandmodel ergatteret, und mir wünsched alles Gueti. Atutalörs
MSO/MST (Nr.  7)
-      Hauptstatistiker (wenn er si dänn verschickt: Sport ist Sport) 
-      Vize-Präsident (selbsternannt, aber bim DFQV 2020 bestätigt)
-      Vize-Iladigsversänder
-      Kommunikationschef (selbsternannt)
-      Head of Undiversity &amp; Exclusion,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</si>
  <si>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Oooh, wieder mal isch alles usem Rueder glauffe, 
Nachdem dä Fritig dä 13ti dä MSO/MST leider dra ghinderet hät, sini üblicherwiis pünktlichi Zämefassig zschribe, und sini Vorbereitige uf die heissi Hochziit am Samschtig all sini Ziit in Aspruch gnoh hät, häts leider bis hüt duret bis er sich vom grosse Wasserverluscht erholt hät. Aber jetzt isch er in frischer Älti zrugg und verzellt eu gern was sich am Fritig so alles zuetreit hät. 
Es isch churz vorem 25%-ab 12i gsi wo dä MSO/MST im Züri Bistro itroffe isch, und nöd nur die übliche Verdächtige sondern au dä Jinderletscht vorgfunde hät. Dä SJU isch ja bekannterwiis i dä Innerschwiiz verhocket, well ihm sin Brüeder wichtiger isch als DF + CBO Hochziit. Anderersiits isch es verständlich wänn mer dä tödliche Früehligsreis-Kombination Gurkenmann – Schoggi – Storz will usem Weg gah. Somit hät er leider nöd chönne verhindere dass dä Jinderletscht us äm Nähchäschtli plauderet und über äm SJU sini Vorlieb für Wal verzellt hät. Insbesondere die blaue hegeds ihm atah, sie mached ihn angeblich ganz wuschig, und das Ganze isch dänn ine langi Blöffrundi vom JWU sine Ferie usgartet, woner irgend än Gurkewal und 4000 Delfin gseh heg. Mindeschtens. Die Herre YMI und PKN sind meh ufgfalle dur ihri lange Hose und ihres schmucke Uftrette bi dene warme Temperature, und obwohl dä lumpig azogeni MSO/MST si da na belächlet hät isches sicherlich ä gueti Vorbereitig für dä Samschtig gsi. Dä CBO wiederum isch na relativ entspannt gsi vor sim spezielle Tag, und während er glaubt hät er seg ims sicherer hät sich dä Rescht am extrem spannende Thema virtuelli CuloPremierLeague gwidmet. Dä MSO/MST isch erscht wieder ufgwacht wo mer na churz s’zweite Hallefuessballspiel Revü passiere lah hät, und insbesondere dä suscht holzig SJU globt hät. 
Nach eme churze Abstecher zu politischere Diskürs (Zitat JWU: «die 99% Initiative, die isch super, det gits nume Gwünner») hät dä CBO dänn na därfe ä Roiberpischtole zum Beschte geh über än Kolljeg vo ihm, wo es Erotikkino a sonere guete Lag gkauft hegi dass sich sage und schreibe 5 verschiedeni Departement vo dä Baumuniversität Bern für die Lokalitäte interessiert heged. Und das trotz (oder grad wäge? Fragezeichen?) Hintergrundgestöhne bi dä Besichtigung. Während mer sich entsetzt drüber ustuscht hät, dass sones Kino s’holde hoble i dä Quasi-Öffentlichkeit ermöglicht, hät dä PKN äm MSO/MST dänn na ä heissi Anekdote übermittlet. Angeblich seg vorem legendäre Stüssihof d’Ritterstatue vom Ritter Stüssi (dä Name isch sicher än Zuefall) gchlaut worde, wo dänn i dä erschte Reihe vom Kino Stüssihof wieder uftaucht seg. Da hät eine sicherlich sini Hose schnell wieder a gha woner dä mächtig Ritter nebed sich gseh hät. 
Das wärs au scho gsi, und jetzt gits na es paar Idrück vo dä Hochziit: 
• Sehr guet organisiert, delikats Esse und Trinke, insgesamt absolut wunderbar
• Dä DJ hät doch tatsächlich än Musikwunsch vom MSO/MST zu spater Stund abglehnt, well er selber hät welle Hip-Hop laufe lah. Scandalè
• D’Afterparty bim Funk isch top gsi
• Irgendwo isch ä chlini Chatz umeglauffe, ebe geil
• Herzliche Dank a die Herre wo bim grosse Gruppefötteli mit Bière um sich donneret händ, hoffentlich überlebed die Momentufnahme und mer chan si identifiziere und zur Recheschaft zieh! Danke
Als Abschluss na öppis wo äm MSO/MST über dubiosi Quelle zuetreit worde isch, und mer bittet um es Statement vom CBO: Isch es korrekt dass er sich nach sinere lange Arbeitsloseziit dra mache will, es Hafermilch-Empire ufzzieh? 
Und als tatsächliche Abschluss seit dä MSO/MST für dä Fritig ab (Estonia) und dä CBO grad für die nächschte 4 (irgend ä Reis, weiss au nüme was für eini). 
MSO/MST (Nr.  7)
-      Hauptstatistiker (wenn er si dänn verschickt: Hafer, Lichter, Lecker) 
-      Vize-Präsident (selbsternannt, aber bim DFQV 2020 bestätigt)
-      Vize-Iladigsversänder
-      Kommunikationschef (selbsternannt)
-      Head of Undiversity &amp; Exclusion,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</si>
  <si>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Tere mini Herre, 
Nachdem dä MSO/MST letscht Wuchenend vom nä Magier anere lesbisch-vegetarische Hochziit in Estland mental ustrickts worde isch, und dä SJU sis Vizestatistikerämtli chli sehr locker gnoh hät, gits hüt wieder mal ä saftigi Zämefassig. Vorusschauend wiener isch hät dä SJU somit denkt, er vermidet d’Schand vo dä öffentliche Steinigung wäge sim Lapsus und chunnt lieber nöd an DF, glich wie dä Weltebummler CBO. Alli andere sind aber wie gewohnt am Start gsi, und bi dä Akunft im Bistro hät mer die längscht Schlange sit jeh gseh. Drufabe isch ä executive decision troffe worde dä hütig DF in Ararat zverschiebe, wos dänn kei Lüüt ussert eus gha hät. Ufem Weg hät dä YMI chli blöfft vo sinere Arbet und dä MSO/MST vo sine Velotoure, und somit isch zumindescht än chline Teil vom Blöffvakuum ohni CBO und SJU wieder wettgmacht worde. Im Ararat häts grad mal alli ohni Bargeld verchlöpft wegere Mindeschtbestellmängi wo höcher gsi isch als dä Kebabpriis, aber dä Twint-versierti JWU hät zur Usnahm mal öppis zum Verein bitreit und grad für 3 zahlt. Während äm itauche i die mit Sauce überfüllte Donner (isch sogar für dä MSO/MST zvill gsi) hät mer sich über vorwiegend über Fuessball unterhalte, agfüehrt vom PKN, wo dä JWU usgfragt hät über sini neui Vorliebi zum Beachsoccer. Mer hät gwerweisst warum die Spieler dete so vill Freistöss inechlöpfed während die eigentliche Stars ufem Rase nöd mal än Blauwal würded treffe, obs ä Regeländerig brucht wo dä Abstoss grad zum nä Eckball uf dä andere Siite verwandlet, und ob dä JWU würklich immer alli Spiel verfolgt. Dä glichi JWU gaht hüt übrigens uf Senf anes romantischs Dinèr, und mir hoffed dass d’Roseääään hüt nöd 4 Stunde zspat chunnt. 
Apropos immer, dä JWU hät au na behaupted er segi immer am Laptop, fascht immer online, und fascht fascht immer am Schaffe während äm Tickerä. Uf dä schiefi und ungläubigi Blick vo dä Awesende hät er dänn schnell s’Thema gwechslet und sich über die miserabli Zämefassigspünktlichkeit beschwert, und dä YMI hät vorgschlage dä MSO/MST söll eifach is Lochernichtgut zieh dämit er wieder ziitiger chan liefere. Gäge äm SJU sini Leischtig isch leider keis Chrut gwachse. Apropos, mer hät sich dänn na gmeinsam gwunderet was für es Chrut dä DJ vo dä Hochziit Bousquets ächt ignoh hät dämit er am End vom Abig so zweg gsi isch, und isch dänn namal i glücklichi Erinnerige zrugggheit. Galant wiener isch hät dä YMI dänn versproche, dass er dä MSO/MST i sonere Situation sicherlich heigfahre het, aber nur im Kofferruum. Und zum Schluss na ä Frag wo sogar die 4 intelligentischte Mitgleider am Ararattisch nöd händ chönne beantworte: warum sind d’Unfallversicherige as Arbeitsverhältnis gchnöpft. Dä MSO/MST isch mal chli go nafrage, und es hät sich usegstellt dass zerscht Militäraghörigi dävo profitiert händ im 1887i, dänn alli Industriearbeiter nach dä Gründig vo dä SUVA im 1918i, dä Dienschtleischtigssektor 1964 und die arme Buure erscht 1984. Interessanterwiis isch d’SUVA früehner sehr restriktiv gsi und hät dä Arbeiter regelmässig «missbräuchliche Absichten wie Simulation oder krankhafte Übertreibungen (Rentenneurose)» vorgworfe, und somit isch früehner doch nöd alles besser gsi. 
Ich wünsche es schöns Weekend, und hoffentlich bis nächscht Wuche
MSO/MST (Nr.  7)
-      Hauptstatistiker (wenn er si dänn verschickt: Volg, frisch und pünktlich) 
-      Vize-Präsident (selbsternannt, aber bim DFQV 2020 bestätigt)
-      Vize-Iladigsversänder
-      Kommunikationschef (selbsternannt)
-      Head of Undiversity &amp; Exclusion,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</si>
  <si>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Än wunderschöne heilige September, benannt nachem siebte Monet vom Jahr, bis dä Julius und Augustus sich na dridrengt händ und dä ganz Kalender durenandgwirblet worde isch. Und natürlich isches dä Geburtsmonet vom ehrewerte MSO/MST, än Säge und än Fluech für d’Menschheit
Aber gnueg blöfft, jetzt gahts um dä Chnebler. Nach dä churzfrischtigi Absage vo PKN und YMI und äm CBO wo ja eh nie meh chunnt, händ sich SJU, JWU und MSO/MST (vom Präsident anebeorderet) pünktlich wie immer vorem Züri Bistro troffe. Zerscht isch dä bissig Kommentar im DF-Chat debatiert worde, und nachdem dä JWU sin vorbereitete und igüebte Kommentar zum beschte geh hät («ich bin ja unter und nöd hinter äm PKN i dä Lischte, ussert wänn mer dä Screen umdreiht») hät dä Tätschmeischter wieder mal gluegt dass alli ihri Bstellig überchömed. Nebedbi hät er mit sinere Donnerstimm au konstant am SJU sini Gschichte über Mountnegro unterbroche, aber gwüssi Details sind doch duredrunge. Nebed äm allgemein guete Unterhaltigswert und äm Fäct isch usecho dass jetzt nur na die Fuessballbegeischterete dunne blibe sind (und dä Jinderletscht. Und dä Ebi. Und dä CBO). Zuesätzlich zu dä Erkenntnis dass unnatürlich vill Chilbi-Boxsäck i dä Gasse vo Podgorica bereitstönd, mit unklare Uswirkige uf d’Kriminalitätstatistik (Aggressione abbaue vs. wänns chlöpft dänn chlöpfts umso härter), isch dänn na ä Roiberpischtole par excellonce uf dä Tisch gleit worde: Dä SJU hät bim nä romantische Usflug mit äm Jinderletscht und Schrottchare zerscht ä Schildchrot gfunde, isch bim Auto abstelle im Buurehof Buric mit dä Wort «Bagger» und «Disput» druf higwiese worde dass si sölled umparkiere, und dänn ominös gwarnt worde dass si villicht nöd sötted dä Berg ufelaufe. S’Wort «Mine» hät offesichtlich nöd gnueg gnützt, und die beide Herre sind knapp anere Explosion verbigschlideret. 
Suscht häts na einigi unwichtigi Thema gha wo mer churz agschnitte hät. Am PKN sini miserabli Planig («ich han zvill ztue») wo ihn dra hinderet an DF zcho und trotzdem sin Kanadaabig ermöglicht isch sowohl als schlechtischti und beschti Usred beschriebe worde. Dä SJU hät dä MSO/MST churz na (berechtigterwiis) mit Tomate beworfe well dä Amatör sis Vize-Iladigsversänderämtli verpennt hät die Wuche, nachdem er dä SJU letscht Wuche wäge sim Lapsus (njet Statistik) chli azündet hät. Und nachdem usecho isch dass dä CBO sich d’Schnitzelbankperformance fascht scho verinnerlicht hät, hät dä SJU sini Hochziit scho mal adenkt damit au er d’Roseäään endlich kennelerne chan. Als Resultat sind dänn mehreri Rachefantasie ufcho wer mer extra nöd a sini Hochziit iladet well mer i dä Vergangeheit vo gwüsse Exponente übergange worde isch. Und natürlich isch ä wiiteri Biznizidee ufcho wo gemäss Gheimstatute (nur dä Gschäftsfüehrig bekannt) geischtigs Eigetum vom DF isch. Als Reaktion uf dä Poutine-Znacht hüt abig macht dä JWU än Poutineshop, dä SJU ä Bar mit exklusiv kanadischem Bière (inklusive Jelen Pivo, ghört zu MolsonCoors) und dä MSO/MST än Donnerlade im gliche Quartier uf. Was für ä Goldmine. Mine! 
Und apropos Gold, dä MSO/MST isch nächscht Wuche nöd ume, um s’Renne um dä Fiskaljahressieg wieder chli spannender zmache. Viu Spass dänn, und hebeds guet. 
MSO/MST (Nr.  7)
-      Hauptstatistiker (wenn er si dänn verschickt: Das sind mini Pflume und nöd dini Pflume) 
-      Vize-Präsident (selbsternannt, aber bim DFQV 2020 bestätigt)
-      Vize-Iladigsversänder
-      Kommunikationschef (selbsternannt)
-      Head of Undiversity &amp; Exclusion,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</si>
  <si>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Hello and welcome to the Mänägement-Seminar
Am letschte Friitig händ sich die zwei Core-Members PKN und SJU pünktlich und in Begleitig vo de Escort-Boyz Hänni/Fritsche zum Züribistro begäh und sind erstuunt gsi über die Masse a Sek-C-Schüeler wo am astah gsi sind und au über s'rasante Tempo wo de Tätschmeister an Tag leit wenns drum gaht, dKundschaft möglichscht schnell und zfride abzfertige. Ich bin nach wie vor de Meinig, dass mer ihm chönted es DF-Shirt in XXL bstelle mit de Nummere 99. Er isch schliesslich de Wayne Gretzky vo de Donnermänner. Diskussione händ sich in erster Linie darum dreit, wer sBier vom Vorabig am meiste gspürt hät (Anmerkung der Redaktion: de PKN, SJU und Hänni-Luca sind am Do im Calvi gsi). Mitem Pascal Fritschiwiese als Eigeheimbsitzer und Vater simmer denn aber bald zum Theme wie Immobiliemärt, Hypotheke und Vaterfreude ( -sorge) überegschwenkt. Da de PKN momentan aber sehr beschäftigt isch im Pyro, hät er sich bald wider müesse verabschiede. 
Somit isch über alles wichtige brichtet. A letschter Stell möcht ich no de Vorschlag in Ruum bringe, dass de JWU sich allefalls mal chönt über en Sonderstatus im DF Gedanke mache. 
Häbeds guet. Und häbed mi i euem Härz fest. Häbed Sorg. Was au immer wird sii. – Plüsch
Bis am Friitig und LG
Säschi
</t>
  </si>
  <si>
    <t xml:space="preserve">Sali
Chli zspat aber immerhin na am Fritig chunnt hüt d’DF-Zämefassig chli zerzaust däher. Öppe so wie dä MSO/MST, woner am 12:21:56 s’Züri Bistro betrette hät nach sim Hölleritt dur dä Chreis 3. Obwohl dä PKN da es Aug zuedruckt hetti wird ihm somit än wiitere LI guetgschribe, und er übernimmt somit d’Füehrig vorem JWU i dä LI-Jahreswertig. Während mer uf die zwei Halloumi-Donner gwartet hät ischs äm Tätschmeischter gar nöd recht gsi dass mer nöd chönd dine hocke ohni Zertifikat (nöd dass mer eus beschwert hetted), und er hät sich mehrmals ganz herzig entschuldiget. Und dänn au na für sin Gurkemitarbeiter wo am MSO/MST sin Dürüm verpennt hät. Villicht hät er aber au s’Fiasko vom SJU sim tropfende Zmittag vorusgseh, aber dadäzue später meh. Apropos, also am SJU sin Kebab hät so härt tropft wie na nie. Dä JWU isch au wieder mal uftaucht, mit schönem Teint und Feteli vom Fischerdöfli xy in Italiä. Gemäss sinere Ussag hegeds ihn und d’Roseään nur i eim vo dä 100 Restaurant wos frequentiert händ nachem Zertifikat gfragt. Au dä CBO hät sich nach mä gschlagene Monet wieder blicke lah, und sini Räuberpischtole über d’Montenegriner händ die folgende Stichwort enthalte: Schmuggelroute uf Albanie, d’Ziegemafia, Have a nice day, nebed äm Iwechselspieler am Bislä, das chan mer nöd Stadion nenne. Währenddesse händ dä SJU und dä MSO/MST sich über ihri Wanderige respektive Velotoure uslah und enand mit Höhe- und Kilometer versuecht z’übertreffe. 
Nach all dere Blöfferei brücht mer grad än Erfrischig. Guet gits da dä SJU, wo dä nächscht Brauereibsuech scho is Aug gfasst hät. Leider njet däbi bim Dividendeversufe sind die beide Dame MSO/MST und JWU, wos trotz allne Bemüehige vom PKN (und reichlich vill Ziit) nöd gschafft händ sich es Teilnehmerpapier z’sichere. Die Schwache chlöpfts. Apropos, da isch dä ehrewerte Mitglieder doch grad dä letschti grossi Usflug id Bierfabrikation in Sinn cho, wo zum nä massive Wortgfecht zwüsched dä Parteie Jinderletscht und SJU sowie äm korrekt argumentierende MSO/MST usgartet isch, bezüglich wie vill ä einzelni Stimm dänn würklich zellt binere Abstimmig. Das hät dä CBO natürlich grad als Vorwand missbrucht um d’Ufmerksamkeit wieder uf sich selber z’zieh, und er hät vo sim neuschte Fo-Pas verzellt wiener sin Stimmzettel falsch ume is Cuwär gschteckt, und sich somit grad selber än Brief gschickt hät. Aber dadämit nöd gnueg, da hät doch dä PKN au na welle Mitblöffe, und er hät vo sine heldehafte Stunde als Stimmezähler verzellt. Apropos heldehaft, mer freut sich scho uf die nächscht Fuessballreis uf Helsinki, und druf dass dä JWU und Nikci «Gurkenmann» «Bald-Ehemann» Grass nach dere Saison ihri miserabli Karriere abschlüssed, somit nöd immer a ihri gurkige Unihockeyspiel müend und mer drum eifacher es Datum findet. Aber Vorsicht, das stimmt nicht. Oder villicht auch doch, sind erschti Grücht wo vom Hans-Peter Zaugg umegworfe werded. 
Apropos umegworfe, dä Tätschmeischter hät äm JWU dänn fascht na am SJU sini usetropfti Sauce über sini Hose gchlöpft. Leider hät er ihn knapp verfehlt, well er gemäss sinere Ussag na ä Reservehose parat gha hetti. Das wär somit s’Ziel für die nächschti Wuche, aber z’erscht wünschi ich mal allne es meh oder weniger (CBO) verdients Wuchenend. 
MSO/MST (Nr.  
-      Hauptstatistiker (wenn er si dänn verschickt: Jede wo die chlini Nachricht nöd list obwohl si gelb markiert isch hät ab jetzt ganz vill Pech im Lebe, däfür Glück im Spiel. SCB, nienemeh) 
-      Vize-Präsident (selbsternannt, aber bim DFQV 2020 bestätigt)
-      Vize-Iladigsversänder
-      Kommunikationschef (selbsternannt)
-      Head of Undiversity &amp; Exclusion,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</si>
  <si>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Werti Asteher und Feriegäscht, 
Hüt isch kein guete Tag gsi i dä DF History. Zerscht häts mal greblet bim Astah (drum au die witzigi Ared, bitte churz lache), und dänn sind Grücht ufcho dass sich dä Nikci Grass interessiert zeigt hät, äm DF biztrette. Aber namal vo Vorne. Nachdem dä JWU und MSO/MST über- und die Herre PKN und SJU fascht pünktlich acho sind, hät mer entsetzt uf die Menschemängi im Züri Bistro gstarrt. Und nöd mal dä chlini Cashinflow vom CBO sim LI hät chönne über die über 20 Minute Warteziit hingwegtröschte. Dänn hät mer sich hald wie immer Ziit vertribe mit unnötigem Gschwafel, zum Bispiel dass dä PKN bald am Jinderletscht sin Nachber wird, und sini neu Wohnig trotz äm Referenzschribe vom Jinderletschtere übercho hät. Kommentar vom Sepp (Name der Redaktion bekannt) «Endlich mal ä HomoWG». Währenddesse hät dä JWU am SJU gschlageni 5 Minute lang d’Eigetorszene vo GC nöd nur erklärt, aber au mit Händ und Füess vorgfüehrt. Bim sehr hinderlischtige Versuech, das ganzä Prozedere mit mä Foti feschtzhalte isch dä MSO/MST dänn bim Rückwertslaufe grad am Handwerker uf dä Fuess gstande, aber dank sine Stahlchappeschueh und es bitzeli Humor isch die Affaire nöd zur erschte DF-Prüglete (mit P) worde. 
Natürlich därf mer dä Herr CBO nöd vergesse, wo grad es paar Niederlage in Folge hät müese istecke. Nebed sim LI hät er au na vo sim momentan verhaglete Gschäftsmodell verzellt, und er hät au na müese ghöre dass d’Corinna «Gurkenmann» BaldGrass ihn mit dä Frag «Hät er sini Eier verlore» abgstraft hät wo ihre sini Gschäftsidee zu Ohre cho isch. Bittrè, aber immerhin chan er sich hüt abig mit guete Kebabcici (wer weiss scho wie mer das schribt) und es paar Guttere montenegrinischem Billigwii rehabilitiere. Und apropos Gurkenmann, wie erwähnt überleit sich dä jungi Looserbänker, i eusen edle Verein iztrette. Es bestaht offesichtlich einiges a ufgstauts Aggressionspotential, und s’Bedürfnis zum dä Burscht chli z’piesake bevor er sich eus chönnti aschlüsse manifeschtiert sich i mehrere Vorschläg, aber wie dä SJU vorherseit wäri er wohl scho mit 5 Fränkli schnell abgschreckt. Usserdem isch na uscho dass sich die erworbene Bieraktie nöd ganz so fescht lohned wie gedacht, und mer drum entweder zu dä Zwillig an Geburtstag oder grad chli go Bergstiege gaht. Natürlich chönnt mer au ä ganzi estnischi Girlband bi sich unterhalte und ihne Fondue choche, wie dä MSO/MST, was dänn au zu es paar unerhörte Fantasie gfüehrt hät wo i dere Publikation leider nöd chönd veröffentlicht werde. Und zu gueter Erscht hät dä JWU dänn na sin Sermon zu dä schwiizer Glückspielbranche und Gsetzeslag zum Beschte geh, aber das interessiert ja würklich niemert. 
Somit wünsch ich es unverdients Wuchenend, äm YMI schöni Ferie, und mer gseht sich nächscht Wuche wänn mer nöd müend gäge dä bösi Kapitalismus go Demonstriere well d’99%-Initiative mit 99% abglehnt worde isch.
MSO/MST (Nr.  
-      Hauptstatistiker (wenn er si dänn verschickt:Ich gründe bald än neue Staat mit äm Name Montebianco und fange ä Fehde a mit Montenegro. Details folged bald) 
-      Vize-Präsident (selbsternannt, aber bim DFQV 2020 bestätigt)
-      Vize-Iladigsversänder
-      Kommunikationschef (selbsternannt)
-      Head of Undiversity &amp; Exclusion,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coherent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</si>
  <si>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Dumm schnurre, lang astah, und drum na meh dumm schnurre, 
Das isch sit jeher s’inoffizielle Motto vom DF, und wänns früehner d’Muetter und ihres Gedächtnis gsi isch wo eus ä härti Verzögerig bis zum Erhalte vom edle Donner inebrennt hät, sinds hüt alli die Modefäns vom Züri Bistro und die teilwiis (trotz äm Tätschmeischter) miserabli Performance vo dä überforderete Kebabingenieure. I dä Abweseheit vom PKN händ hüt glücklicherwiis zwei vo dä gröschte Blöffsäck chönne zum unsinnige Gschwätz biträge. Dä mängisch einsami DF-Verräter Jinderletscht isch hüt vom jungfräuliche DF-Gascht Nikci Gurkenmann Grass begleitet worde, wo mal hät welle go Schnuppere wie mirs da so zäme händ. Gar nöd lang warte hät aber dä MSO/MST müese, wo us sim letschtwüchige Fo-Pa glernt und sich (trotz fascht zspatem Itreffe) fuxig füredrängt hät, und somit als erschte dä heilig Donner i dä Hand gha hät. Während dä Rescht brav gwartet händ hät mer sich bedankt oder gwundrig zeigt über am CBO sini Hochziitfotis, und natürlich (wie jedi Wuche) nach mä neue Standort vom DF-Stammlokal usgrüeft. Nebed dem isch äm JWU sini wüescht Jagge ufgfalle, und es isch usecho dass er sin Briefchaschte nie leert well er Angscht und Geld hät wege mögliche Betriibige. Das isch verständlich. Trotzdem därf er sich über äs Jassduell der Giganten morn am Abig freue, zäme mit dä «Stammtischrundi» MSO/MST, Nikci und äm Joscht (au Gräs gnännt). Leider hät dä Bsuech vom Nikci däzue gfüehrt dass statt über das langwiilige Premier League Spiel eifach über s’fascht so langwiilige 5. Liga Unihockey gredet worde isch, was also nur enere mässige Verbesserig entspricht. 
Uf äm Weg zu dä Wiese hät dä JWU dänn agfange über d’Critical Mass Bewegig abzlästere, mit dä Vorhersag dass die sich bald über die hohe Mietchöschte werded ufrege werded wo si (gemäss JWU) selber verursache werded, um dänn als Critical Mass 2 degäge z’proteschtiere. Da schafft mer sich d’Nachfrag grad selber, aber wie dä YMI bemerkt hät chönnts na schlimmer si, wie in Berlin wo mer ab und zue mal chönni enteignet werde wänns dä lingge Bazille grad passt. Apropos Bazille, dä MSO/MST hät sich däzue entschiede als letschte übrigbliebene GSCS-Looserbanker sin Bettel hizschmeisse, und mer munklet er tritt sini neui Stell nur a well s’Büro vo sim neue Arbetgeber i dä nächi vom Züri Bistro liit. Drufabe hät dä CBO natürlich grad vorgschlage eusi DF-Chnelle wieder is Sihlcity zverschiebe. 
Drufabe isch chli gcheflet worde zwüsched dä Parteie Looserbanker vo dä ZKB und dä RAV-Sektion CBO, und während dä JWU am Schwitze und am YMI sin Dürüm am Tropfe gsi isch hät dä CBO wieder mal chönne us äm Nähchäschtli verzelle. Trotz sine Umständ wo ihm meh als gnueg Freiziit beschered hät er sich letschti eher chli spat zum obligatorische Militärschüsse ufgmacht, sin Chlapf im Parkverbot abgstellt und isch dänn gfühlti 5 Stunde i dä Schlange gstande bis er ändlich hät därfe go Chlöpfe. Immerhin hät er dä Tescht bestande, nöd wie dä Amatör wo 3 Nuller gschosse hät. Nebed dem versuecht er immer na, sich vor sim unbezahlte WK zdrucke, aber er hät na keis Wundermittel gfunde um sich da usezwinde. Alles andere wo besproche worde isch ghört zur Kategorie «nöd wichtig gnueg, oder dä MSO/MST chan sich trotz Notize nüme dra erinnere». So is. 
Bonne Chance a alli wo morn därfed mitsinge binere ehrewerte Ladnerhochziit
MSO/MST (Nr.  7)
-      Hauptstatistiker (wenn er si dänn verschickt:Ich freu mi scho uf die ville Schiltinskis (also Schelle) wo morn abegjasst werded) 
-      Vize-Präsident (selbsternannt, aber bim DFQV 2020 bestätigt)
-      Vize-Iladigsversänder
-      Kommunikationschef (selbsternannt)
-      Head of Undiversity &amp; Exclusion,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coherent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</si>
  <si>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Hallo, 
Wieder mal hät s’Schicksal zuegschlage, und wege vill ztue und wenig Luscht hät dä MSO/MST bis jetzt müesse warte mit dä Zämefassig. Mer munklet aber au dass er «generische Ausrede einfügen», und drum chli zspat dra isch. Whos know. 
Am letschte Fritig hät mer es eigenartigs Bild vorgfunde bim Betrette vom Züri Bistro. Nöd nur isch dä Jinderletscht i sinere Lauchjagge am astah gsi, au dä Gurkenmann Grass und dä Rüeblibueb Päsche sind als unehrevolli Gäscht uftaucht. Si händ aber nur knapp d’Abweseheit vo SJU (Nacktbade in Östrich), CBO (Villichtbade im Ticino) und YMI (wahrschinlich i dä Badewanne) chönne abdecke. Immerhin sind PKN und JWU da gsi, und dä DF-Weltranglischtezweiti hät erneut dämit blöfft wie schnell er sini Wohnig übercho hät und wie er sich leschti zum Coiffeur traut hät. Dä JWU hät sich äm Meta-Blöffe gwidmet, indem er blöfft hät wie sehr er mit sim Hemd im Büro am Blöffe gsi isch. Villicht hät s’gemeine Fuessvolk wo suscht im Bistro frequentiert kei Luscht gha uf die ewigi Selbschtverliebtheit, es händ sich fascht kei Bsuecher in Kebabshop getraut, und somit isch (glücklicherwiis, wie nachher uscho isch) d’Warteziit relativ churz gsi. 
Well s’Wetter langsam chli chüeler worde isch hät mer sich zum erschte Mal im Bistro niederlah, und dä Tätschmeischter isch ganz schüch verbicho, nur um z’säge dass er mal animmt dass mir alli es Zertifikat händ. Mir händ somit scho än grossartige Idruck bi ihm hinterlah, und mindeschtens dä MSO/MST isch ganz grüehrt gsi. Und dänn hät dä JWU namal eis drufgleit und die härti Jassklatsche gäge dä GM Grass und dä Hobbyjasser Joscht Revü passiere lah. Nach mä chline Exkurs über ehemals erschtklassige Goalies wo jetzt i dä Zweitligaspiel umegrümplet wo dä JWU go Tickere gaht hät sich dä Herr Grass grad na ä zweiti Rundi gönnt, ä Donnerbox mit vill Zwieble, und hät sich mit dä folgende zwei Fakte chönne tröschte: Erstens isch er i dä erlauchte Presänz vo MSO/MST und JWU gsi, wo beidi au scho zwei Donner am nä DF tätscht händ. Zweitens hät ihm dä Tätschmeischter versicheret dass er selber au amigs zwei Döner nimmt. Das hät dänn ä Diskussion über äm MSO/MST sini estnische Gäscht ufbracht und d’Hoffnig vo allne, dass er mal ä massivi estnisch aghuchti Hochziit mit dä gröschte böhmische Schlachtplatte uftrumpfe wird. All die Träumereie sind dänn aber dur äs Telefonat vo dä Mari unterbroche worde, wo vom Kontrollfreak MSO/MST igschlosse worde isch well er beidi Huusschlüssel mitgnoh hät. Somit hät er sich chli verfrüehrt (aber ohni LIFO, well rechtziitig cho und erscht am 12:45 wieder gange) und mit Liechtgschwindigkeit wieder zrugg uf dä Weg i sis Apartemènt gmacht. Glücklicherwiis (apropos) hät er aber sin Donner scho verspiese, wege dä churze Warteziit. 
Nach sim irische Abgang hät mer eigentlich nur na s’folgende Zitat besproche, wo vo irgend ere SVP-Legende über d’Klimajugend gmacht worde isch: 
«Klimatouristen aus der Westschweiz, die auf ihrer Suche nach einer sinnvollen Tagesstruktur in Zürich gelandet sind»
Bis morn und dä hoffentlich pünktliche Zämefassig, aber d’Chance stönd wie immer nöd guet. 
MSO/MST (Nr.  7)
-      Hauptstatistiker (wenn er si dänn verschickt:»D’Saison isch verbi für Senf»(PKN,  Oktober 2021)) 
-      Vize-Präsident (selbsternannt, aber bim DFQV 2020 bestätigt)
-      Vize-Iladigsversänder
-      Kommunikationschef (selbsternannt)
-      Head of Undiversity &amp; Exclusion,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coherent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</si>
  <si>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Was? Scho wieder ä Zämefassig? Isch doch erscht gescht ayni cho. Ayayayverdis. 
Dete isches hüt au anegange, liebi Mitglieder, jedefalls für die wo sich getraut händ. Interessanterwiis stiigt d’Beliebtheit vom DF zumindescht bi dä Gäscht extrem, und au hüt händ sich wieder 3 Amatör zu eus gsellt. Während dä Päsche und dä Ebito Ebito mit normale Transportmittel is tüüfe Wiedikerloch hinterecho sind, häts dä Nicola Grass Gurkenmann (wänn er es Mitglied wär chönnt mer ihm au NGR säge, was natürlich herzlich belacht worde isch) natürlich müese übertriebe und er isch mit sim Protz-BMW vorgfahre, um es paar Shippipoints izsammle. Wänn das dä CBO gwüsst hett wär er natürlich nazoge, und mer hät gseh dass er hüt steihässig gsi isch wege dere versäumte Chance. Wie erwähnt häts hüt wieder mal es paar Abweseheitsbuesse gchlöpft, well dä PKN und JWU d’Segel gstriche händ. Anderesiits häts dä YMI gschafft mit eus än Donner zchlöpfe, er isch aber leider vom Ebi dem luute Blöffsack so übertönt worde dass dä MSO/MST nur chan brichte, dass er ä Roiberpischtole vo dä Polizei und irgendmä Phishingmail verzellt hät. 
Meh i dä Nächi isch am SJU sini Natelwahl ufgfalle, wo (wie sin Pänis) churz däfür lang isch. Gemäss eigene Ussage hät dä SJU mindeschtens 100 Milliarde Stunde überleit was er für es neus Modell söll wähle, und er isch sichtlich zfriede gsi mit dä Gsichtserkennig (hät nöd funktioniert bim MSO/MST, mer munklet well er so wiiss isch) und äm Potential bim Wandere extralangi Panoramawiitwinkelbilder zschüsse. Dä Nikci hät vom sagehafte Remis verzellt wo er und dä Luca gäge dä SJU und dä Päsche erreicht händ, und wie tüüf s’Niveau eimal meh gsi isch ohni d’Aweseheit vom nä veritable Jasskönig. Dä Salatic seg übrigens au na am zueluege gsi, aber das isch nöd verifiziert. Und natürlich isch am JWU sini neuscht Groundhopperidee vo Madrid in Ruum gworfe worde, und mer hät än Konsens gsuecht ob er sich würklich in Eviva Espana (Peter Wackel) niederlah wird oder eifach am Blöffe isch und glich meischtens i dä Schwiiz chillt. Einig isch mer sich aber gsi dass er i keim vo dä beide Länder die korrekte Stüüre würd zahle (wänn überhaupt). 
Wo dänn die mit Abchürzige kennzeichnete Donner cho sind händ sich die beide Finanzfüx Nikci und SJU natürlich gfragt ob die 5 Fränggli extra guet igsetzt worde sind (SJU: Cocktail isch grande), und dä CBO hät afange klage wie gross s’Loch wird si wo dä chlini Usflug i sini Arbetslosekasse brennt. Glücklicherwiis gsehts so us dass dä jungi Burscht aber wieder än Job a dä Angle hät, und gemäss Hans-Peter Zaugg isch dFirma Picks und Glockenturm extrem interessiert a ihm. Somit chönnt er au sini sit Monate debatierti Problemstellig löse, sich im WK nur mit mä billige Sold abfinde zmüesse. Er isch usserdem extrem STORZ dass er sich als Opfer bekännt (bestätiget dur d’Quelle Ebi) und ufghört hät Snuse, wahrschinlich well er sini schweri Sucht nüme chan finanziere dur dä Verchauf vo Möbel via Ricardo. Es isch ihm usserdem es Alige dass alli wüssed, wie sehr er eus benidet well mir nöd so schnell ufgänd wie er. Irgendwänn hät mer au na diskutiert wie mer am beschte äm Schlaf fröhne chan im Büro, und d’Quintessenz isch dass mer möglichscht usserhalb vom Nikci sine Adlerauge hockt, suscht verpetzt er eim. 
So das wärs, ich wünsche allne wo go Wandere gönd vill Spass, allne andere au, und mer gseht sich i 2 Wuche nach mine Ferie in Türkyie. Mer befürchtet aber dass dä MSO/MST abegstoche wird wänn er dete nach vill Cocktailsauce fragt für sin Dürüm. 
MSO/MST (Nr.  7)
-      Hauptstatistiker (wenn er si dänn verschickt: Ihr seht aus wie Galatasaray, ****** [dieses Wort wurde zensiert vom Diversity &amp; Inclusion Team wegen Hatespeach]) 
-      Vize-Präsident (selbsternannt, aber bim DFQV 2020 bestätigt)
-      Vize-Iladigsversänder
-      Kommunikationschef (selbsternannt)
-      Head of Undiversity &amp; Exclusion,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coherent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</si>
  <si>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Ja lüeg au da, isch das öppe wieder mal ä Zämefassig vom legendäre MSO/MST? Nei
Hüt hät mer sich wege eher chüele Temperature am nä Tisch im Bistro niederlah, leider ohni dä PKN wo gemäss guet informierte Quelle kei Luscht gha hät. Däfür isch die ganz Familie YMI mit ihrne 2.5 Lüüt awesend gsi, und während sich d’Nina am Tisch vo dä grosse Esser (und im zweite Fall grosse Schueh) mitem unehrevolle Gascht Nikci niederglah hät, hät sich dä YMI dä Committmenttisch mitem JWU gschnappt. Dadäzue grad na meh. Au na däbi aber wenig beachtet isch dä «ich bstell mer irgend än komische Haloumi-Bürger» Tisch mitem SJU und äm CBO gsi, und dä MSO/MST hät sich gägeüber vonere ältere Dame higsetzt wo sich ganz schnell mit ihrem Blick usem Staub gmacht hät. Und glücklicherwiis, well somit hät sich dä Hauptstatistiker voll und ganz chönne uf sini Tischnachbere konzentriere, und vom YMI ghört dass s’Baby (ganz wie dä Vatter) chli zspat unterwegs isch, und wegem chalte Wasser lieber na chli im Buch hockt. Mer wünsched natürlich ä gueti Nieder- und Zuekunft. Au ganz vill Committment zeigt dä JWU, wo sich am äm Jänner ab und zue in Spanie wiederfindet und au scho Lektione mitem Pablo Espressobar gnoh hät. Usserdem sinked sini Ufwänd für Pendelziit und -geld, er verbrucht aber meh CO4, und er wird somit als Umweltunverantwortliche vom DF erkore. Wunderschön, und da hät sich dä MSO/MST grad ad Huusufgabe vom erinneret sich z’überlege was mer für eusi Chlöpfete chönnti mache. Mer hät gfunde dass Endi Februar oder Afang März es Reisli zum JWU gar kei schlechti Idee wär, und mit mä 5-Sternhotel (Vorschlag YMI) hett mer sicher au endlich euse unheilig hochi Cäshbestand chli reduziert. Dä JWU macht än Doodle, vill Glück. 
Jetzt aber gnueg mit dene friedliche Theme, well hüt isch än grosse Debattiertag gsi. Die folgende usserordentlich strittige Szene händ sich abgspielt: 
• Die grossi Toast-Debatte (MSO/MST vs. Nikci (NGR)): dä erschti hät Recht und seit, es seg besser wänn dä Dürüm schön weich und guet faltbar isch. Dä zweit hät nöd Recht und hät gern wänn öppis verbrennt schmöckt, und verteidiget somit s’Toaste vo sim Kebab. 
• Die na grösser Tomatesalatdebatte (MSO/MST und YMI vs. JWU): Während die einte uf dä Wert vomnä liechte Znacht und dä fantastische Delikatesse plädiered, seit dä JWU irgendwo hörts uf und Salat seg kei Mahlziit ussert mer macht ä Diät. Nöd dass er je Tomate i sim Huus gha hetti.
• Die umstritteni James Bond Debatte (MSO/MST vs. YMI vs. JWU): Dä erscht seit es seg nur na bedingt än James Bond, aber d’Action und dä Daniel seged super gsi. Dem Pflichtet dä YMI bi, er isch aber insgesamt na chli positiver gstimmt. Dä JWU hingege findet es hegi zwenig (also nöd dä ganzi Film) gchlöpft, und er regt sich über die ganze Diversity &amp; Inclusion Element uf. Als Head Undiversity &amp; Exclusion stimmt dem dä MSO/MST natürlich zue. Quintessenz vom YMI: Dune isch besser. 
• Die chlini Höflichkeitsdebatte (JWU vs. JWU): Es isch komisch dass d’Spaniöggel ihri Höflichkeitsform i dä dritte Pluralform abhaltet. Au JWU: Macht mer im Dütsche ja au so. 
• Die abschlüssend Sauna/Baddebatte (JWU vs. YMIs, MSO/MST unentschlosse): Dä wüeschti Jaggeträger seit, es seg viel besser im nä heisse Bad zhocke, während d’YMIs beidi säged ä Sauna seg besser. Dä MSO/MST gseht dä Wert vom nä heisse Bad, aber isch vo sim estnische Ifluss doch au glücklich inere Sauna mit nackte Manne. 
Nach all dene Diskussione gits na es paar Wort zum Rescht wo nur am Rande erwähnt worde isch. Dä CBO hät nüt gseit, was sehr erfrischend gsi isch, ussert dass er sit äm famose Sieg vom EVZ Zug am Zischtig vonere Fäshionshow mitem Kalle und äm Lino träumt. Und dä SJU laht sich mit folgendem Satz zitiere: «Ihr sind alles Wixer». Jawohl. Viel Erfolg, und danke an SJU für die witzige Zämefassige. Dä erwarteti Ibruch vom MSO/MST laht na uf sich warte, aber d’ZKB isch ja nöd bekannt für gueti Vorhersage. 
MSO/MST (Nr.  7)
-      Hauptstatistiker (wenn er si dänn verschickt: (JWU: I bi Spanier süscht, wännd mi bi dä Rasse wotsch nenne) 
-      Vize-Präsident (selbsternannt, aber bim DFQV 2020 bestätigt)
-      Vize-Iladigsversänder
-      Kommunikationschef (selbsternannt)
-      Head of Undiversity &amp; Exclusion,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coherent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</si>
  <si>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Guete Tag a alli, ussert dä Tätschmeischter wo sich zwar ä wohlverdienti, aber für eus sehr bitteri Ferieabweseheit gönnt hät. 
Hüt häts grad zimmli gchlöpft im Züri Bistro, und mer hät gspürt das gwüssi Exponente ihri Wuet nur schwer im Griff gha händ. Dur s’Fehle vom TM häts än na grössere Bsuecherstau i dä Donnerchnelle geh als au suscht, teilwiis au usglöst vom JWU wo 15 Donner und 16 Getränk glichziitig hät welle bstelle. Gemäss gwüsse Blöfferquelle hegs als Folg vo dem Drama fascht ä Schlegi hinted dä Theke geh. Dä Gwünner vo dem Chaos isch sicherlich dä SJU gsi, wo sich präsidial schnell sis Täschebrot stibitz hät, dä Verlüürer dä Nikci wos als Erschte bstellt und Letschte übercho hät. Er isch so steihässig gsi dass er sich grad na än extra Falafel gönnt hät. Leider isch er nöd im DF, drum bringt ihm die Leischtig au njet, wie dä JWU ihn ganz flitzig ufklärt hät. Au wiedermal mit vo dä Partie isch än frisch frisierte PKN, än lässig gkleidete YMI und än niedergschlagene Jinderletscht gsi. Ebe dä Letscht isch gescht mitem Luca vo dä Jasslegende MSO/MST und CBO radibutz vom Tisch gfeget worde, abgschlosse mit mä Obeabe-Match mit ungefähr 12 sichere Stich. Nöd umesuscht isch dä Luca als schwafelnde Jassprolet au steihässig gsi, insbesondere wänn mer gseht dass sin Gegner dä CBO inere Rundi zweimal am Stuck sini Röseli nöd ageh hät. Trotzdem häts locker glanget, und sowohl CBO als au MSO/MST sind am sinniere gsi dass si sich beidi nöd a ihri letschti Jassniederlag erinnere. Mer überlaht am Leser d’Entscheidig ob das es Resultat vo ihrem Jasskönnen oder schlechte Gedächtnis isch. Dä CBO selber hät aber jetzt grad chli ziit um sich das z’überlege i sine grüene Ferie, wo ihn doch einiges werded zruggwerfe i dä Fiskaljahresstatistik. 
Jetzt aber gnueg i guete Erinnerige gschwelgt, und zmitzt id Sauce. Wo alli dänn abgsesse sind hät sich dä SJU bemüeht, öpper z’überzüge dass er endlich än Donnerlade ufmacht dämit mer nöd immer so lang müend astah. PKN und MSO/MST händ drufabe churz diskutiert, obs sich überhaupt lohnt, sones Gschäft zfüehre ohni Familiemitglieder wo mer nur bedingt muess zahle. Quintessenz: mer chan d’Schwöschter ja au mit Cocktailsauce zahle. Dänn hät dä Jinderletscht, wo offebar mitere lingge Bazille agsteckt worde isch, agfange vo 30er-Zone schwärme, und au da wieder händ sich PKN und MSO/MST schnell vom langwiilige Thema verabschieded und sind abgschwelgt i Überlegige wie mer s’Pensionskasseproblem mit obligatorische 80er Zone vor Altersheim chan löse. Dänn isches am JWU gsi sis Wuetbürgertum z’zelebriere, und er hät gschlageni 5 Minute dämit verbracht sehr liideschaftlich ä gwüssi Fangruppierig vo GC (d’Vodkas) z’verunglimpfe. Während dä Jin relativierend igriffe hät, isch dä Rescht vo dä Zueschauer gnüsslich am lache gsi, insbesondere über die immer grösser werdende Gwichtsagabe vo dä Vodkas, wo mit 200kg agfange und mit sicherlich 800kg ufghört händ. Und well sich irgend än möchtegern-Ultra vom FC Sangalle-inemitemballe inen möchtegern-Podcast iglade hät isch na debattiert worde wie sehr Polizischte Fuessballfans proviziered und foltered mit schwerem Rauch. 
Als Abschluss hät mer sich aber wieder versöhnt mit äm Usblick uf Früehligs- und Madridreise (JWU: dä Doodle chunnt hüt abig), und dä Nikci hät eus bichtet das er doch lieber nur 1.5 Kebabs gha hett als 2. Und während dä YMI mit Bedure festgsellt hät dass er hüt leider nur am Rande i dere Zämefassig vorchunnt well er so wiit weg ghockt isch vom Hauptstatistiker hät dä SJU wie immer nume mit Schlötterli umegworfe und dänn glich na allne es guets Wuchenend gwünscht. Das mach ich jetzt au, und Hopp Schwiiz
MSO/MST (Nr.  7)
-      Hauptstatistiker (wenn er si dänn verschickt: (Jasse heisst Jasse well das Spiel mal vo dä Holländer importiert worde isch, und dä Jas dä Trumpfbuur isch. The more you know) 
-      Vize-Präsident (selbsternannt, aber bim DFQV 2020 bestätigt)
-      Vize-Iladigsversänder
-      Kommunikationschef (selbsternannt)
-      Head of Undiversity &amp; Exclusion,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coherent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</si>
  <si>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Jesus, äs isch ja scho wieder Donnerfritig.
Nach dä fantastische Cordon-Brüglerei hät sich dä MSO/MST chli müese zruggzieh und das Ganze mal verdaue, aber gits öppis schöners als zwei Zämefassige a eim Tag überzcho? Njet. Drum chunnt jetzt alles was nanig us äm bedenklich chline MSO/MST-Hirn verschwunde isch. 
Es isch Fritig, 19. Novèmbre, und unnatürlichi Gschehnis spieled sich im araratische Donnerlade ab. Grad 4 Gäscht händ sich zu dä 4 DF-Mitglieder gsellt, und nebed äm kollegelose Jinderletscht, äm ZKB-Luuserbank-Blöffsack Gurkenmann, und äm ab-und-zue Dauergascht Päsche hät au dä Jassprolet Luca H. dä Weg zu eus gfunde. Als Gägegwicht isch eigentlich alles da gsi was Rang und Name hät, und dä JWU, wo scho am Bange gsi isch well er so bizi isch dass er hät welle wüsse obs au zellt wänn er am 12:21 wieder abhaut (gemäss Statute zellt än DF-Bsuech nur wänn mer bis am 12:45 blibt). Dä CBO isch i dä grüene Ferie, und dä YMI chunnt grad na. Trotz faschtigem LI vom MSO/MST hät er zimmli schnell än Dürüm ohni Wasser i dä Hand gha well dä PKN ihm güetigerwiis grad eine mitbstellt hät. Nach churzem Überlege hät mer sich dänn entschiede, zu dä Baustell Idaplatz z’Laufe dämit mer sich chli mit dä Büezer chan go ustusche. Dete acho isch aber nur dä YMI gsi, inklusive EMI, und mer hät sich fröhlich über s’neuschte DF-Mitglied sitem JWU ustuscht. Nöd ganz däbi sind dä SJU (au Sasa gnännt), Päsche und Luca gsi, wo sich angeblich ufem Weg verirrt und erscht nach gschlagene 10 Minute acho sind. 
Dä früschi Schoppepreperateur YMI hät chli verzellt wies so isch als Papi, und als Folg vo sine Gschichte händ dänn alli agfange z’Blöffe wie vill Muskle si scho verlore händ und wie alli locker am 3 am Morge chönnted ufstah. Bi all dem isch dä JWU ganz nervös umetänzlet, bis er dänn endlich usegfunde hät dass sis 12:51 Tram na locker langed dass ers na schafft FC Gümlige vs. EHC Maloja z’tickere. Währenddesse hät dä übermüedeti Päsche mit sim Sack voll Kafichapsle blöfft, dä PKN hät dä SJU gfragt ob sis SJU uf sine offizielle DF-Schueh würklich sini Abchürzig isch, und dä Nikci hät vo sine Luuserbänker verzellt wo amigs am Fritig abem 3 afanged Hülse im Büro zchlöpfe. Und natürlich hät dä SJU chönne uftrumpfe mit neue alte Weisheite über d’Märkt, wo sich angeblich wie im beliebteschte Schwiizer Wintersport verhalted. Wänns abegaht inere Krise gahts ganz eifach drum, schnurstracks dur dä Nebel durezrase, well irgendwo gahts dänn scho wieder ufwärts. Oder au nöd und mer knallt ine Wand. Aber who’s know. 
Zum Abschied händ all am YMI wiiterhin vill Erfolg gwünscht, und dä Sasa (für alli Gurke wos nöd an Cordon-Bleu Plausch gschafft händ, er isch so benannt worde dur d’Bedienig wo sini Reservation unter äm Name Sasa regischtriert hät) hät sich klassisch mit «ihr sind alles hueräsöhn» is Wuchenend verabschieded. Und über d’Ereignis im Rietberg wird isern gschwiege, ussert dass dä Päsche fascht igschlafe isch und dä JWU dä letscht gsi isch wo sini Rechnig via Twint zahlt und sich trotzdem gweigeret hät na ä Rundi z’zahle. #Sad
MSO/MST (Nr.  7)
-      Hauptstatistiker (wenn er si dänn verschickt: (Gipfeli am Steuer? Das wird teuer! (Quelle: Blick.ch ) 
-      Vize-Präsident (selbsternannt, aber bim DFQV 2020 bestätigt)
-      Vize-Iladigsversänder
-      Kommunikationschef (selbsternannt)
-      Head of Undiversity &amp; Exclusion,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coherent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</si>
  <si>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JJesus, äs isch ja immer na Donnerfritig.
Wie versproche gits hüt am Black Friday zwei Zämefassige zum Priis vo einere. Da dä Priis mit 0.00 CHF relativ vernachlässigbar isch (bzw. zahlt än im Moment na d’GSCS mit minere Arbetsziit) mag das nöd än grosse Unterschied mache, aber dä resultierendi Nutze isch unbezahlbar. 
Hüt isch dä Bsuecheradrang im Bistro eher bescheide gsi, und zwar sowohl uf dä Siite vom DF als au vo dä reschtliche Bevölkerig. D’These vom awesende PKN isch, dass alli Impfskeptiker so Lokal grundsätzlich mided, und alli andere händ Angscht vor dä neue Variante «neue griechische Buechstabe» (gemäss Nikci seg si mitäm guete altä HIVI am fusioniere), au Variante black gnennt vo dene wo sich traued. Es git aber au söttigi, wo sich mit billige Usrede vorem DF trucked. Lappalie wie es Chind oder dä Dienscht zum Muetterland währed da ufgfüehrt, aber au Entschuldigungen wie die vom JWU wos angeblich än Pneu gchlöpft hät bi däm härte Schneefall. Das chan dä Autofüx PKN und MSO/MST nöd passiere well si ihri Winterpneu gar nöd erscht ustuscht händ im Früehlig. Au mit vo dä Partie isch dä SJU gsi, und s’Möchtegernmitglied Nikci sowie dä scho lang in Ungnade gfalleni Jinderletscht. Dä Nikci, Blöffsack wiener isch, hät scho mal agseit dass er eigehändig äs ZKB-Teamdinner inere Bowlingbahn organisiert hät (inklusive charbonnade à discretion) , und als Belohnig für sini gueti Tat nimmt er sich dänn grad chli frei um go Langläufle. Nanig so begeischtered vom neue Volkssport isch dä MSO/MST, wo motorisch und mit sinere Sturheit scho as Lernlimit cho isch. Glücklicherwiis hät dä Jinderletscht chönne ushelfe mit äm Ratschlag, dass mer sich scho drah gwöhnt, also hät sich das Problem au scho glöst. 
Das isch alles passiert bevor mer dä Donner i dä Hand gha hät, well dä Bstellprozess doch eher an än Bazaar erinnerent hät, mit sich füredränglende Prolete (z.B., MSO/MST) und vergessene Haloumis. Am Tisch acho isch ganz vill umeökonomisiert worde, und mit äm neue Coronaschock a dä Börse schlaht dä Rogue Invester SJU die bisher na eher unbekannte Pennystocks Novartis und Tesla zum Chauf vor. Degäge hebet dä unoffizielli DF-CIO Nikci, wo seit dass ab 2023 eh niemert meh wird miteme Auto unterwegs si wird well die alli scho vom wüetende aber friedlich protestierende Mob abebrennt worde si werded. Und dänn hät mer sich es paar Minute mit Börseweisheite zuedeckt und über d’Zinskurve diskutiert, wo eh niemert so genau verstaht. Da übrigens na än DF-Investment Outlook, es git ä reali Chance dass sich dä Presidente SJU das Jahr äs erschts Chrönli chönnti ergattere, da er als Einzige nur 1 Teilnahm hinter äm MSO/MST hockt, und dä am 17.12 fehle wird. Glücklicherwiis sind sowohl 24. Als au 31. gsetzlichi Fiirtig (dä 31. unter anderem au für d’Wiederherstellung vo dä Republik Genf), also wird sich dä Schade in Grenze halte. 
Zum Schluss häts dänn na dä Nikci mit dä Sauce gchlöpft, und dä Jinderletscht hät ganz liideschaftlich dä Verzehr vo Fajitas amene andere Tag als am Fritig verunglimpft. Mer isch na chli am umeflueche gsi über Lüüt wo sich ihri 3.75 für es halbs Kilo Quark und es Aromat als Spese rückverguete lönd, und ABB-Shareholder wo ihri Verrechnigsstüür für ihri 30 Aktie zruggha wänd, aber subito. Und mer hät d’Marke Friday verschmäht wo sich demonstrativ vom Black Friday zruggziehnd als Zeiche gäge die bösi Konsumgsellschaft. Dänn isches au scho Ziit gsi zum tschüss säge. Tschüss. Vill Spass am Weekend, und JWU, schick mal din Cazz Doodle für Spanie. 
MSO/MST (Nr.  7)
-      Hauptstatistiker (wenn er si dänn verschickt: (Ich wiederhole: JWU, schick mal din Cazz Doodle für Spanie. ) 
-      Vize-Präsident (selbsternannt, aber bim DFQV 2020 bestätigt)
-      Vize-Iladigsversänder
-      Kommunikationschef (selbsternannt)
-      Head of Undiversity &amp; Exclusion,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coherent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</si>
  <si>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 xml:space="preserve">Guete Morge, 
Hüt gits die letschti Zämefassig vo dä GSCS us, drum isch si au sehr churz. Aber nöd nur wege dem. Ussergwöhnlich pünktlich isch dä MSO/MST hüt im Züri Bistro acho, nur um ä Nachricht vom JWU z’lese dass mer sich im «eye verdis» trifft. Dä MSO/MST hät churz nadenkt, sini Stirn grunzlet und sich dänn us dä folgende Gründ entschiede, wie abgmacht im Bistro sin Donner z’verdrucke. Erschtens, und vor allem, traut mer am JWU sine Wort öppe so vill wie äm JWU sine Grillkünscht. Zweitens isches eher früsch gsi, und äm MSO/MST sin Flitzer isch sit äm Malör vor ä paar Wuche au nüme im beschte Zuestand. Und drittens chan mer sich so än luxoriöse Donner nöd jede Tag leischte. 
Währenddesse hät dä SJU im Verdis sim Aug härt über dä MSO/MST abgfluecht, mer hät diskutiert wo mer jetzt ad Fuessballbrüglerreis gaht nachdem dä Jinderletscht sin Helsinkiufenthalt abgseit hät, und dä Nikci und JWU händ ihri 11:0 Niederlag vom letschte Weekend namal anal-ysiert. Währenddesse hät dä YMI nur äs müeds Lächle chönne ufbringe über sini amatörhafte Dönergenosse, und hät sich nostalgisch zruggerinneret an Safran und d’Rugbywiese.
Somit freu ich mich uf dä nächscht DF, hoffentlich ohni last-minute Änderig vom Lokal. Und wänn dänn bitte vonere weniger fragwürdige Quelle als vom JWU. Apropos, ab nächscht Wuche gits ä Buess für dä JWU wänn er sin Cazz Doodle für eusi Spaniechlöpfete nöd ufsetzt. Deadline: 10.12.2021, 12:14:59
MSO/MST (Nr.  7)
-      Hauptstatistiker (wenn er si dänn verschickt: (Ich bitte na um Evidenz wär alles am DF teilgnoh hät, bitte churz säge falls d’Stats das nöd richtig abbilded. Suscht chlöpfts eim dänn hald ) 
-      Vize-Präsident (selbsternannt, aber bim DFQV 2020 bestätigt)
-      Vize-Iladigsversänder
-      Kommunikationschef (selbsternannt)
-      Head of Undiversity &amp; Exclusion, Frauebeuftragtä und Glichberechtigungsbeamte von DF (selbsternannt)
-      Grund für d’LIFO+ Buess wänn mer sich ameldet und nöd chunnt #Influencer
-      Leader/Keenig i dä folgendä Statistike:
-      Total DF visits
-      DF visits 2017/2018/2020
-      Overall participation rate
-      Participation rate 2016/2017/2018/2020
-      Most consecutive DF visits (21, 3.2-30.6.2017)
-      Lowest 2016/2017/2018/2020 and overall penalty fees in DF history
-      Second highest donation count in DF history (CHF 25.00), Vali Ladner diä Rattä
-      Creator of longest signature in DF history (02.09.2019)
-      Most Radio 200’000 references in any coherent DF communication (18.10.2019; 2 references)
-      Most uses of the word “Stei” in any official DF communication (07.02.2020; 6 times)
All the statements above about the supreme leader have been evaluated by a dedicated excel professional, and are in fact correct. This text is pure satire and should not be taken seriously. Anybody who does so is “not the sharpest tool in the shed” (Smash Mouth, 1999)
</t>
  </si>
  <si>
    <t>LIFO+ / Uninformed Absence</t>
  </si>
  <si>
    <t>Total points, total PR, PR 16/17/18/20/21, Points 17/18/20/21</t>
  </si>
  <si>
    <t>$ / Miss</t>
  </si>
  <si>
    <t>PR% 22</t>
  </si>
  <si>
    <t>PR% 21</t>
  </si>
  <si>
    <t>P22</t>
  </si>
  <si>
    <t>DFs 22</t>
  </si>
  <si>
    <t>Pen 22</t>
  </si>
  <si>
    <t>spent</t>
  </si>
  <si>
    <t>Reserves 22</t>
  </si>
  <si>
    <t>Uninformed Absence (LIFO+)</t>
  </si>
  <si>
    <t>PR 19, Points 16/19</t>
  </si>
  <si>
    <t>Nie ausgetreten</t>
  </si>
  <si>
    <t>Performance</t>
  </si>
  <si>
    <t>Nie Sonderstatus</t>
  </si>
  <si>
    <t>Bemerkungen</t>
  </si>
  <si>
    <t>Chrönlikönig als Bonus</t>
  </si>
  <si>
    <t>Bonus</t>
  </si>
  <si>
    <t>Loyalitätskönig als Bonus</t>
  </si>
  <si>
    <t>Hät mal Libli kauft</t>
  </si>
  <si>
    <t>Gründungs-mitglied</t>
  </si>
  <si>
    <t>Total (Schnitt)</t>
  </si>
  <si>
    <t>Hat noch nie die Auflösung vom DF gefordert</t>
  </si>
  <si>
    <t>2 (+2)</t>
  </si>
  <si>
    <t>4 (-1)</t>
  </si>
  <si>
    <t>PR% 23</t>
  </si>
  <si>
    <t>P23</t>
  </si>
  <si>
    <t>DFs 23</t>
  </si>
  <si>
    <t>Visuelli Chrönli</t>
  </si>
  <si>
    <t>YMI/CBO</t>
  </si>
  <si>
    <t>Investor</t>
  </si>
  <si>
    <t>Coins</t>
  </si>
  <si>
    <t>Coin Name</t>
  </si>
  <si>
    <t>Ether (boring)</t>
  </si>
  <si>
    <t>Livepeer (alive)</t>
  </si>
  <si>
    <t>Ripple (boring)</t>
  </si>
  <si>
    <t>Radicle (radical)</t>
  </si>
  <si>
    <t>Shiba Inu (meme)</t>
  </si>
  <si>
    <t>Sushi Swap (delicious)</t>
  </si>
  <si>
    <t>Pen 23</t>
  </si>
  <si>
    <t>Miss 22</t>
  </si>
  <si>
    <t>Delta %</t>
  </si>
  <si>
    <t>§</t>
  </si>
  <si>
    <t>Li</t>
  </si>
  <si>
    <t>Teilnahmen</t>
  </si>
  <si>
    <t>Rate (out of 84 DFs)</t>
  </si>
  <si>
    <t>Rank</t>
  </si>
  <si>
    <t>Overall Rate</t>
  </si>
  <si>
    <t>CRYPTORESERVES TOTAL*:</t>
  </si>
  <si>
    <t>*105x6=630CHF ausgegeben und bezahlt durch Financier bei Quo Vadis 2023, Geld bereits gezahlt durch Mitglieder. Ob Vereinsvermögen oder nicht wird noch diskutiert</t>
  </si>
  <si>
    <t>6 (-1)</t>
  </si>
  <si>
    <t>5 (+1)</t>
  </si>
  <si>
    <t>"Value" CHF</t>
  </si>
  <si>
    <t>CHF</t>
  </si>
  <si>
    <t>Initial Value per Coin CHF = 190.24</t>
  </si>
  <si>
    <t>"Value" CHF (5.01)</t>
  </si>
  <si>
    <t>"Price" CHF (5.01.24)</t>
  </si>
  <si>
    <t>% Total Points</t>
  </si>
  <si>
    <t>Total Points</t>
  </si>
  <si>
    <t>Minus</t>
  </si>
  <si>
    <t>Value Initial</t>
  </si>
  <si>
    <t>Value 16.02</t>
  </si>
  <si>
    <t>Initial Rate</t>
  </si>
  <si>
    <t>Value 28.02</t>
  </si>
  <si>
    <t>All</t>
  </si>
  <si>
    <t xml:space="preserve">Bitcoin </t>
  </si>
  <si>
    <t>PR% 24</t>
  </si>
  <si>
    <t>P24</t>
  </si>
  <si>
    <t>DFs 24</t>
  </si>
  <si>
    <t>Pen 24</t>
  </si>
  <si>
    <t>inkl. Spende PKN 33.07</t>
  </si>
  <si>
    <t>Nichtannuallisierteperformancekennzahl</t>
  </si>
  <si>
    <t>3(+1)</t>
  </si>
  <si>
    <t>4(-1)</t>
  </si>
  <si>
    <t>Protokollfüehrer vo GVs und Chlopfete (nie Statistiker gsi, offiziell bestätigt)</t>
  </si>
  <si>
    <t>GOLDRESERVES TOTAL*:</t>
  </si>
  <si>
    <t>PR% 25</t>
  </si>
  <si>
    <t>P25</t>
  </si>
  <si>
    <t>DFs 25</t>
  </si>
  <si>
    <t>Pen 25</t>
  </si>
  <si>
    <t>Rückstellungen für Merchandise</t>
  </si>
  <si>
    <t>"Hauptstatistiker",  Vizepräsident, "Vize-iladigsversender", Frauebeuftreite, Glichberechtigungsbeamte</t>
  </si>
  <si>
    <t>Lifo+ Count</t>
  </si>
  <si>
    <t>16</t>
  </si>
  <si>
    <t>17</t>
  </si>
  <si>
    <t>18</t>
  </si>
  <si>
    <t>19</t>
  </si>
  <si>
    <t>20</t>
  </si>
  <si>
    <t>21</t>
  </si>
  <si>
    <t>22</t>
  </si>
  <si>
    <t>23</t>
  </si>
  <si>
    <t>24</t>
  </si>
  <si>
    <t>25</t>
  </si>
  <si>
    <t>Wert 05.12.2025</t>
  </si>
  <si>
    <t>Investments TOTAL*:</t>
  </si>
  <si>
    <t>PR% 26</t>
  </si>
  <si>
    <t>P26</t>
  </si>
  <si>
    <t>DFs 26</t>
  </si>
  <si>
    <t>Pen 26</t>
  </si>
  <si>
    <t>Points 22/23/25(halb), PR 22/23/25(halb)</t>
  </si>
  <si>
    <t>Points 24/25(halb), PR 24/25(halb)</t>
  </si>
  <si>
    <t>Miss 23</t>
  </si>
  <si>
    <t>Miss 24</t>
  </si>
  <si>
    <t>Miss 25</t>
  </si>
  <si>
    <t>Miss 26</t>
  </si>
  <si>
    <t>Punkte Seit 17</t>
  </si>
  <si>
    <t>Seit 18</t>
  </si>
  <si>
    <t>Buesse</t>
  </si>
  <si>
    <t>LI, LIFO (+)</t>
  </si>
  <si>
    <t>Dönerpreis über die Jahre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</si>
</sst>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quot;CHF&quot;\ #,##0.00"/>
    <numFmt numFmtId="165" formatCode="0.0%"/>
    <numFmt numFmtId="166" formatCode="0.0"/>
    <numFmt numFmtId="167" formatCode="#,##0.0"/>
    <numFmt numFmtId="168" formatCode="&quot;CHF&quot;\ #,##0"/>
    <numFmt numFmtId="169" formatCode="0.000"/>
    <numFmt numFmtId="170" formatCode="0.00000000"/>
    <numFmt numFmtId="171" formatCode="0.0000000"/>
    <numFmt numFmtId="172" formatCode="0.0000"/>
    <numFmt numFmtId="173" formatCode="&quot;CHF&quot;\ #,##0.0"/>
  </numFmts>
  <fonts count="31">
    <font>
      <sz val="11"/>
      <color theme="1"/>
      <name val="Calibri"/>
      <family val="2"/>
      <scheme val="minor"/>
    </font>
    <font>
      <sz val="11"/>
      <color theme="1"/>
      <name val="Credit Suisse Type Light"/>
      <family val="2"/>
    </font>
    <font>
      <sz val="11"/>
      <color theme="1"/>
      <name val="Credit Suisse Type Light"/>
      <family val="2"/>
    </font>
    <font>
      <sz val="11"/>
      <color theme="1"/>
      <name val="Comic Sans MS"/>
      <family val="4"/>
    </font>
    <font>
      <b/>
      <sz val="28"/>
      <color theme="1"/>
      <name val="Comic Sans MS"/>
      <family val="4"/>
    </font>
    <font>
      <b/>
      <sz val="14"/>
      <color theme="1"/>
      <name val="Comic Sans MS"/>
      <family val="4"/>
    </font>
    <font>
      <b/>
      <sz val="11"/>
      <name val="Comic Sans MS"/>
      <family val="4"/>
    </font>
    <font>
      <sz val="11"/>
      <color theme="0"/>
      <name val="Comic Sans MS"/>
      <family val="4"/>
    </font>
    <font>
      <sz val="11"/>
      <color theme="1"/>
      <name val="Consolas"/>
      <family val="3"/>
    </font>
    <font>
      <b/>
      <sz val="11"/>
      <color theme="1"/>
      <name val="Comic Sans MS"/>
      <family val="4"/>
    </font>
    <font>
      <sz val="10"/>
      <color theme="1"/>
      <name val="Comic Sans MS"/>
      <family val="4"/>
    </font>
    <font>
      <sz val="8"/>
      <color theme="1"/>
      <name val="Comic Sans MS"/>
      <family val="4"/>
    </font>
    <font>
      <sz val="11"/>
      <color theme="1"/>
      <name val="Credit Suisse Type Light"/>
      <family val="2"/>
    </font>
    <font>
      <sz val="11"/>
      <color rgb="FFFF0000"/>
      <name val="Comic Sans MS"/>
      <family val="4"/>
    </font>
    <font>
      <sz val="11"/>
      <name val="Comic Sans MS"/>
      <family val="4"/>
    </font>
    <font>
      <sz val="11"/>
      <color theme="1"/>
      <name val="Calibri"/>
      <family val="2"/>
      <scheme val="minor"/>
    </font>
    <font>
      <sz val="12"/>
      <color theme="1"/>
      <name val="Times New Roman"/>
      <family val="1"/>
    </font>
    <font>
      <sz val="7"/>
      <color theme="1"/>
      <name val="Times New Roman"/>
      <family val="1"/>
    </font>
    <font>
      <sz val="11"/>
      <color theme="6" tint="0.59999389629810485"/>
      <name val="Comic Sans MS"/>
      <family val="4"/>
    </font>
    <font>
      <sz val="8"/>
      <color rgb="FF000000"/>
      <name val="Comic Sans MS"/>
      <family val="4"/>
    </font>
    <font>
      <b/>
      <sz val="8"/>
      <color theme="1"/>
      <name val="Comic Sans MS"/>
      <family val="4"/>
    </font>
    <font>
      <b/>
      <sz val="8"/>
      <color theme="1"/>
      <name val="Calibri"/>
      <family val="2"/>
      <scheme val="minor"/>
    </font>
    <font>
      <sz val="8"/>
      <color theme="1"/>
      <name val="Calibri"/>
      <family val="2"/>
      <scheme val="minor"/>
    </font>
    <font>
      <b/>
      <sz val="10"/>
      <color theme="1"/>
      <name val="Comic Sans MS"/>
      <family val="4"/>
    </font>
    <font>
      <b/>
      <sz val="11"/>
      <color theme="1"/>
      <name val="Calibri"/>
      <family val="2"/>
      <scheme val="minor"/>
    </font>
    <font>
      <b/>
      <sz val="11"/>
      <color theme="0"/>
      <name val="Credit Suisse Type Light"/>
      <family val="2"/>
    </font>
    <font>
      <b/>
      <sz val="11"/>
      <color theme="0"/>
      <name val="Credit Suisse Type Light"/>
    </font>
    <font>
      <sz val="9"/>
      <color theme="1"/>
      <name val="Comic Sans MS"/>
      <family val="4"/>
    </font>
    <font>
      <sz val="8"/>
      <name val="Calibri"/>
      <family val="2"/>
      <scheme val="minor"/>
    </font>
    <font>
      <b/>
      <sz val="10"/>
      <color theme="0"/>
      <name val="Comic Sans MS"/>
      <family val="4"/>
    </font>
    <font>
      <sz val="7"/>
      <color theme="0" tint="-0.14999847407452621"/>
      <name val="Comic Sans MS"/>
      <family val="4"/>
    </font>
  </fonts>
  <fills count="15">
    <fill>
      <patternFill patternType="none"/>
    </fill>
    <fill>
      <patternFill patternType="gray125"/>
    </fill>
    <fill>
      <patternFill patternType="solid">
        <fgColor theme="0"/>
        <bgColor indexed="64"/>
      </patternFill>
    </fill>
    <fill>
      <gradientFill degree="90">
        <stop position="0">
          <color theme="0"/>
        </stop>
        <stop position="1">
          <color theme="4" tint="0.59999389629810485"/>
        </stop>
      </gradientFill>
    </fill>
    <fill>
      <gradientFill degree="90">
        <stop position="0">
          <color theme="0"/>
        </stop>
        <stop position="1">
          <color theme="4" tint="-0.49803155613879818"/>
        </stop>
      </gradientFill>
    </fill>
    <fill>
      <gradientFill degree="90">
        <stop position="0">
          <color theme="0"/>
        </stop>
        <stop position="1">
          <color theme="5" tint="0.40000610370189521"/>
        </stop>
      </gradientFill>
    </fill>
    <fill>
      <patternFill patternType="solid">
        <fgColor rgb="FFFFFF00"/>
        <bgColor indexed="64"/>
      </patternFill>
    </fill>
    <fill>
      <patternFill patternType="solid">
        <fgColor rgb="FFFFC1C1"/>
        <bgColor indexed="64"/>
      </patternFill>
    </fill>
    <fill>
      <patternFill patternType="solid">
        <fgColor theme="1"/>
        <bgColor indexed="64"/>
      </patternFill>
    </fill>
    <fill>
      <patternFill patternType="solid">
        <fgColor theme="6"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9"/>
        <bgColor indexed="64"/>
      </patternFill>
    </fill>
    <fill>
      <patternFill patternType="solid">
        <fgColor rgb="FF00B050"/>
        <bgColor indexed="64"/>
      </patternFill>
    </fill>
    <fill>
      <patternFill patternType="solid">
        <fgColor theme="0" tint="-4.9989318521683403E-2"/>
        <bgColor indexed="64"/>
      </patternFill>
    </fill>
  </fills>
  <borders count="46">
    <border>
      <left/>
      <right/>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style="dashed">
        <color auto="1"/>
      </top>
      <bottom style="dashed">
        <color auto="1"/>
      </bottom>
      <diagonal/>
    </border>
    <border>
      <left style="dashed">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indexed="64"/>
      </bottom>
      <diagonal/>
    </border>
    <border>
      <left style="dashed">
        <color auto="1"/>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style="thin">
        <color auto="1"/>
      </top>
      <bottom/>
      <diagonal/>
    </border>
    <border>
      <left style="medium">
        <color rgb="FFFFFF00"/>
      </left>
      <right/>
      <top style="medium">
        <color rgb="FFFFFF00"/>
      </top>
      <bottom style="medium">
        <color rgb="FFFFFF00"/>
      </bottom>
      <diagonal/>
    </border>
    <border>
      <left/>
      <right style="medium">
        <color rgb="FFFFFF00"/>
      </right>
      <top style="medium">
        <color rgb="FFFFFF00"/>
      </top>
      <bottom style="medium">
        <color rgb="FFFFFF00"/>
      </bottom>
      <diagonal/>
    </border>
    <border>
      <left/>
      <right/>
      <top style="medium">
        <color rgb="FFFFFF00"/>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theme="0"/>
      </bottom>
      <diagonal/>
    </border>
    <border>
      <left style="thin">
        <color auto="1"/>
      </left>
      <right style="thin">
        <color theme="0"/>
      </right>
      <top style="thin">
        <color auto="1"/>
      </top>
      <bottom style="thin">
        <color auto="1"/>
      </bottom>
      <diagonal/>
    </border>
    <border>
      <left/>
      <right style="thin">
        <color auto="1"/>
      </right>
      <top style="thin">
        <color auto="1"/>
      </top>
      <bottom style="thin">
        <color auto="1"/>
      </bottom>
      <diagonal/>
    </border>
    <border>
      <left/>
      <right style="thin">
        <color theme="0"/>
      </right>
      <top style="thin">
        <color auto="1"/>
      </top>
      <bottom style="thin">
        <color auto="1"/>
      </bottom>
      <diagonal/>
    </border>
    <border>
      <left style="thin">
        <color theme="0"/>
      </left>
      <right style="thin">
        <color theme="0"/>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auto="1"/>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xf numFmtId="9" fontId="15" fillId="0" borderId="0" applyFont="0" applyFill="0" applyBorder="0" applyAlignment="0" applyProtection="0"/>
  </cellStyleXfs>
  <cellXfs count="267">
    <xf numFmtId="0" fontId="0" fillId="0" borderId="0" xfId="0"/>
    <xf numFmtId="0" fontId="3" fillId="2" borderId="0" xfId="0" applyFont="1" applyFill="1" applyAlignment="1">
      <alignment vertical="center"/>
    </xf>
    <xf numFmtId="0" fontId="3" fillId="2" borderId="0" xfId="0" applyFont="1" applyFill="1" applyAlignment="1">
      <alignment horizontal="center" vertical="center"/>
    </xf>
    <xf numFmtId="0" fontId="4" fillId="4" borderId="1" xfId="0" applyFont="1" applyFill="1" applyBorder="1" applyAlignment="1">
      <alignment horizontal="centerContinuous" vertical="center"/>
    </xf>
    <xf numFmtId="0" fontId="3" fillId="4" borderId="2" xfId="0" applyFont="1" applyFill="1" applyBorder="1" applyAlignment="1">
      <alignment horizontal="centerContinuous" vertical="center"/>
    </xf>
    <xf numFmtId="0" fontId="3" fillId="4" borderId="3" xfId="0" applyFont="1" applyFill="1" applyBorder="1" applyAlignment="1">
      <alignment horizontal="centerContinuous" vertical="center"/>
    </xf>
    <xf numFmtId="0" fontId="3" fillId="2" borderId="4" xfId="0" applyFont="1" applyFill="1" applyBorder="1" applyAlignment="1">
      <alignment vertical="center"/>
    </xf>
    <xf numFmtId="0" fontId="5" fillId="3" borderId="1" xfId="0" applyFont="1" applyFill="1" applyBorder="1" applyAlignment="1">
      <alignment horizontal="centerContinuous" vertical="center"/>
    </xf>
    <xf numFmtId="0" fontId="5" fillId="3" borderId="2" xfId="0" applyFont="1" applyFill="1" applyBorder="1" applyAlignment="1">
      <alignment horizontal="centerContinuous" vertical="center"/>
    </xf>
    <xf numFmtId="0" fontId="5" fillId="3" borderId="3" xfId="0" applyFont="1" applyFill="1" applyBorder="1" applyAlignment="1">
      <alignment horizontal="centerContinuous" vertical="center"/>
    </xf>
    <xf numFmtId="0" fontId="3" fillId="2" borderId="5" xfId="0" applyFont="1" applyFill="1" applyBorder="1" applyAlignment="1">
      <alignment vertical="center"/>
    </xf>
    <xf numFmtId="0" fontId="3" fillId="2" borderId="0" xfId="0" applyFont="1" applyFill="1" applyAlignment="1">
      <alignment horizontal="center"/>
    </xf>
    <xf numFmtId="0" fontId="3" fillId="2" borderId="5" xfId="0" applyFont="1" applyFill="1" applyBorder="1" applyAlignment="1">
      <alignment horizontal="center" vertical="center"/>
    </xf>
    <xf numFmtId="164" fontId="3" fillId="2" borderId="5" xfId="0" applyNumberFormat="1" applyFont="1" applyFill="1" applyBorder="1" applyAlignment="1">
      <alignment horizontal="left" vertical="center"/>
    </xf>
    <xf numFmtId="0" fontId="6" fillId="5" borderId="1" xfId="0" applyFont="1" applyFill="1" applyBorder="1" applyAlignment="1">
      <alignment horizontal="left" vertical="center"/>
    </xf>
    <xf numFmtId="164" fontId="6" fillId="5" borderId="3" xfId="0" applyNumberFormat="1" applyFont="1" applyFill="1" applyBorder="1" applyAlignment="1">
      <alignment horizontal="left"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7" fillId="2" borderId="0" xfId="0" applyFont="1" applyFill="1" applyAlignment="1">
      <alignment horizontal="center" vertical="center"/>
    </xf>
    <xf numFmtId="164" fontId="3" fillId="2" borderId="8" xfId="0" applyNumberFormat="1" applyFont="1" applyFill="1" applyBorder="1" applyAlignment="1">
      <alignment horizontal="center" vertical="center"/>
    </xf>
    <xf numFmtId="164" fontId="3" fillId="2" borderId="0" xfId="0" applyNumberFormat="1" applyFont="1" applyFill="1" applyAlignment="1">
      <alignment horizontal="center" vertical="center"/>
    </xf>
    <xf numFmtId="14" fontId="3" fillId="2" borderId="5" xfId="0" applyNumberFormat="1" applyFont="1" applyFill="1" applyBorder="1" applyAlignment="1">
      <alignment horizontal="left" vertical="center"/>
    </xf>
    <xf numFmtId="14" fontId="3" fillId="2" borderId="5" xfId="0" applyNumberFormat="1" applyFont="1" applyFill="1" applyBorder="1" applyAlignment="1">
      <alignment horizontal="center" vertical="center"/>
    </xf>
    <xf numFmtId="0" fontId="3" fillId="2" borderId="4" xfId="0" applyFont="1" applyFill="1" applyBorder="1" applyAlignment="1">
      <alignment horizontal="center" vertical="center"/>
    </xf>
    <xf numFmtId="3" fontId="3" fillId="2" borderId="8" xfId="0" applyNumberFormat="1" applyFont="1" applyFill="1" applyBorder="1" applyAlignment="1">
      <alignment horizontal="center" vertical="center"/>
    </xf>
    <xf numFmtId="164" fontId="3" fillId="0" borderId="5" xfId="0" applyNumberFormat="1" applyFont="1" applyBorder="1" applyAlignment="1">
      <alignment horizontal="center" vertical="center"/>
    </xf>
    <xf numFmtId="3" fontId="3" fillId="0" borderId="5" xfId="0" applyNumberFormat="1" applyFont="1" applyBorder="1" applyAlignment="1">
      <alignment horizontal="center" vertical="center"/>
    </xf>
    <xf numFmtId="0" fontId="7" fillId="2" borderId="0" xfId="0" applyFont="1" applyFill="1" applyAlignment="1">
      <alignment vertical="center"/>
    </xf>
    <xf numFmtId="9" fontId="3" fillId="2" borderId="5" xfId="0" applyNumberFormat="1" applyFont="1" applyFill="1" applyBorder="1" applyAlignment="1">
      <alignment horizontal="center"/>
    </xf>
    <xf numFmtId="0" fontId="3" fillId="2" borderId="0" xfId="0" applyFont="1" applyFill="1" applyAlignment="1">
      <alignment horizontal="left" vertical="center"/>
    </xf>
    <xf numFmtId="0" fontId="3" fillId="4" borderId="2" xfId="0" applyFont="1" applyFill="1" applyBorder="1" applyAlignment="1">
      <alignment horizontal="left" vertical="center"/>
    </xf>
    <xf numFmtId="0" fontId="5" fillId="3" borderId="1" xfId="0" applyFont="1" applyFill="1" applyBorder="1" applyAlignment="1">
      <alignment horizontal="left" vertical="center"/>
    </xf>
    <xf numFmtId="14" fontId="3" fillId="2" borderId="5" xfId="0" quotePrefix="1" applyNumberFormat="1" applyFont="1" applyFill="1" applyBorder="1" applyAlignment="1">
      <alignment horizontal="left" vertical="center"/>
    </xf>
    <xf numFmtId="0" fontId="9" fillId="2" borderId="5" xfId="0" applyFont="1" applyFill="1" applyBorder="1" applyAlignment="1">
      <alignment vertical="center"/>
    </xf>
    <xf numFmtId="0" fontId="9" fillId="2" borderId="0" xfId="0" applyFont="1" applyFill="1" applyAlignment="1">
      <alignment vertical="center"/>
    </xf>
    <xf numFmtId="0" fontId="9" fillId="2" borderId="5" xfId="0" applyFont="1" applyFill="1" applyBorder="1" applyAlignment="1">
      <alignment horizontal="center"/>
    </xf>
    <xf numFmtId="4" fontId="3" fillId="2" borderId="0" xfId="0" applyNumberFormat="1" applyFont="1" applyFill="1" applyAlignment="1">
      <alignment vertical="center"/>
    </xf>
    <xf numFmtId="0" fontId="10" fillId="0" borderId="5" xfId="0" applyFont="1" applyBorder="1"/>
    <xf numFmtId="0" fontId="10" fillId="6" borderId="5" xfId="0" applyFont="1" applyFill="1" applyBorder="1"/>
    <xf numFmtId="165" fontId="10" fillId="6" borderId="5" xfId="0" applyNumberFormat="1" applyFont="1" applyFill="1" applyBorder="1"/>
    <xf numFmtId="165" fontId="10" fillId="0" borderId="5" xfId="0" applyNumberFormat="1" applyFont="1" applyBorder="1"/>
    <xf numFmtId="164" fontId="11" fillId="2" borderId="5" xfId="0" applyNumberFormat="1" applyFont="1" applyFill="1" applyBorder="1" applyAlignment="1">
      <alignment horizontal="right" vertical="center"/>
    </xf>
    <xf numFmtId="0" fontId="11" fillId="0" borderId="0" xfId="0" applyFont="1"/>
    <xf numFmtId="1" fontId="10" fillId="6" borderId="5" xfId="0" applyNumberFormat="1" applyFont="1" applyFill="1" applyBorder="1"/>
    <xf numFmtId="1" fontId="10" fillId="0" borderId="5" xfId="0" applyNumberFormat="1" applyFont="1" applyBorder="1"/>
    <xf numFmtId="0" fontId="10" fillId="0" borderId="5" xfId="0" applyFont="1" applyBorder="1" applyAlignment="1">
      <alignment horizontal="center"/>
    </xf>
    <xf numFmtId="165" fontId="10" fillId="7" borderId="5" xfId="0" applyNumberFormat="1" applyFont="1" applyFill="1" applyBorder="1"/>
    <xf numFmtId="164" fontId="3" fillId="2" borderId="5" xfId="0" applyNumberFormat="1" applyFont="1" applyFill="1" applyBorder="1" applyAlignment="1">
      <alignment horizontal="left" vertical="top"/>
    </xf>
    <xf numFmtId="167" fontId="3" fillId="2" borderId="0" xfId="0" applyNumberFormat="1" applyFont="1" applyFill="1" applyAlignment="1">
      <alignment vertical="center"/>
    </xf>
    <xf numFmtId="0" fontId="3" fillId="2" borderId="8" xfId="0" applyFont="1" applyFill="1" applyBorder="1" applyAlignment="1">
      <alignment vertical="center"/>
    </xf>
    <xf numFmtId="164" fontId="3" fillId="0" borderId="8" xfId="0" applyNumberFormat="1" applyFont="1" applyBorder="1" applyAlignment="1">
      <alignment horizontal="center" vertical="center"/>
    </xf>
    <xf numFmtId="0" fontId="3" fillId="2" borderId="10" xfId="0" applyFont="1" applyFill="1" applyBorder="1" applyAlignment="1">
      <alignment vertical="center"/>
    </xf>
    <xf numFmtId="0" fontId="3" fillId="2" borderId="9" xfId="0" applyFont="1" applyFill="1" applyBorder="1" applyAlignment="1">
      <alignment vertical="center"/>
    </xf>
    <xf numFmtId="0" fontId="12" fillId="0" borderId="0" xfId="0" applyFont="1"/>
    <xf numFmtId="164" fontId="10" fillId="6" borderId="5" xfId="0" applyNumberFormat="1" applyFont="1" applyFill="1" applyBorder="1" applyAlignment="1">
      <alignment horizontal="right" vertical="center"/>
    </xf>
    <xf numFmtId="164" fontId="10" fillId="2" borderId="5" xfId="0" applyNumberFormat="1" applyFont="1" applyFill="1" applyBorder="1" applyAlignment="1">
      <alignment horizontal="right" vertical="center"/>
    </xf>
    <xf numFmtId="14" fontId="3" fillId="0" borderId="0" xfId="0" applyNumberFormat="1" applyFont="1" applyAlignment="1">
      <alignment horizontal="left" vertical="center"/>
    </xf>
    <xf numFmtId="0" fontId="3" fillId="0" borderId="0" xfId="0" applyFont="1" applyAlignment="1">
      <alignment vertical="center"/>
    </xf>
    <xf numFmtId="0" fontId="3" fillId="0" borderId="0" xfId="0" applyFont="1"/>
    <xf numFmtId="1" fontId="3" fillId="0" borderId="0" xfId="0" quotePrefix="1" applyNumberFormat="1" applyFont="1"/>
    <xf numFmtId="2" fontId="3" fillId="0" borderId="0" xfId="0" quotePrefix="1" applyNumberFormat="1" applyFont="1"/>
    <xf numFmtId="1" fontId="13" fillId="0" borderId="0" xfId="0" quotePrefix="1" applyNumberFormat="1" applyFont="1" applyAlignment="1">
      <alignment horizontal="center"/>
    </xf>
    <xf numFmtId="1" fontId="3" fillId="0" borderId="0" xfId="0" quotePrefix="1" applyNumberFormat="1" applyFont="1" applyAlignment="1">
      <alignment horizontal="center"/>
    </xf>
    <xf numFmtId="2" fontId="3" fillId="2" borderId="0" xfId="0" applyNumberFormat="1" applyFont="1" applyFill="1" applyAlignment="1">
      <alignment vertical="center"/>
    </xf>
    <xf numFmtId="9" fontId="14" fillId="2" borderId="5" xfId="0" applyNumberFormat="1" applyFont="1" applyFill="1" applyBorder="1" applyAlignment="1">
      <alignment horizontal="center"/>
    </xf>
    <xf numFmtId="14" fontId="3" fillId="0" borderId="0" xfId="0" quotePrefix="1" applyNumberFormat="1" applyFont="1"/>
    <xf numFmtId="0" fontId="3" fillId="0" borderId="0" xfId="0" quotePrefix="1" applyFont="1"/>
    <xf numFmtId="0" fontId="3" fillId="2" borderId="5" xfId="0" applyFont="1" applyFill="1" applyBorder="1" applyAlignment="1">
      <alignment horizontal="left" vertical="center"/>
    </xf>
    <xf numFmtId="0" fontId="9" fillId="2" borderId="5" xfId="0" applyFont="1" applyFill="1" applyBorder="1" applyAlignment="1">
      <alignment horizontal="left" vertical="center"/>
    </xf>
    <xf numFmtId="9" fontId="3" fillId="0" borderId="0" xfId="1" quotePrefix="1" applyFont="1" applyFill="1" applyBorder="1"/>
    <xf numFmtId="9" fontId="3" fillId="0" borderId="0" xfId="0" applyNumberFormat="1" applyFont="1"/>
    <xf numFmtId="1" fontId="13" fillId="0" borderId="0" xfId="0" applyNumberFormat="1" applyFont="1" applyAlignment="1">
      <alignment horizontal="center"/>
    </xf>
    <xf numFmtId="1" fontId="3" fillId="0" borderId="0" xfId="0" applyNumberFormat="1" applyFont="1" applyAlignment="1">
      <alignment horizontal="center"/>
    </xf>
    <xf numFmtId="1" fontId="3" fillId="0" borderId="0" xfId="0" applyNumberFormat="1" applyFont="1"/>
    <xf numFmtId="14" fontId="3" fillId="0" borderId="0" xfId="0" applyNumberFormat="1" applyFont="1"/>
    <xf numFmtId="9" fontId="3" fillId="0" borderId="0" xfId="1" applyFont="1" applyFill="1" applyBorder="1"/>
    <xf numFmtId="14" fontId="3" fillId="2" borderId="0" xfId="0" applyNumberFormat="1" applyFont="1" applyFill="1" applyAlignment="1">
      <alignment horizontal="center" vertical="center"/>
    </xf>
    <xf numFmtId="3" fontId="3" fillId="0" borderId="0" xfId="0" applyNumberFormat="1" applyFont="1" applyAlignment="1">
      <alignment horizontal="center" vertical="center"/>
    </xf>
    <xf numFmtId="49" fontId="10" fillId="2" borderId="5" xfId="0" applyNumberFormat="1" applyFont="1" applyFill="1" applyBorder="1" applyAlignment="1">
      <alignment horizontal="right" vertical="center"/>
    </xf>
    <xf numFmtId="166" fontId="10" fillId="6" borderId="5" xfId="0" applyNumberFormat="1" applyFont="1" applyFill="1" applyBorder="1" applyAlignment="1">
      <alignment horizontal="right" vertical="center"/>
    </xf>
    <xf numFmtId="166" fontId="10" fillId="0" borderId="5" xfId="0" applyNumberFormat="1" applyFont="1" applyBorder="1" applyAlignment="1">
      <alignment horizontal="right" vertical="center"/>
    </xf>
    <xf numFmtId="0" fontId="16" fillId="0" borderId="0" xfId="0" applyFont="1" applyAlignment="1">
      <alignment horizontal="left" vertical="center" indent="4"/>
    </xf>
    <xf numFmtId="0" fontId="9" fillId="2" borderId="5" xfId="0" applyFont="1" applyFill="1" applyBorder="1" applyAlignment="1">
      <alignment horizontal="center" vertical="center"/>
    </xf>
    <xf numFmtId="0" fontId="3" fillId="8" borderId="5" xfId="0" applyFont="1" applyFill="1" applyBorder="1" applyAlignment="1">
      <alignment horizontal="center" vertical="center"/>
    </xf>
    <xf numFmtId="0" fontId="3" fillId="2" borderId="5" xfId="0" applyFont="1" applyFill="1" applyBorder="1" applyAlignment="1">
      <alignment vertical="center" wrapText="1"/>
    </xf>
    <xf numFmtId="0" fontId="3" fillId="6" borderId="5" xfId="0" applyFont="1" applyFill="1" applyBorder="1" applyAlignment="1">
      <alignment horizontal="left" vertical="center" wrapText="1"/>
    </xf>
    <xf numFmtId="14" fontId="3" fillId="2" borderId="0" xfId="0" applyNumberFormat="1" applyFont="1" applyFill="1" applyAlignment="1">
      <alignment vertical="center"/>
    </xf>
    <xf numFmtId="164" fontId="3" fillId="2" borderId="0" xfId="0" applyNumberFormat="1" applyFont="1" applyFill="1" applyAlignment="1">
      <alignment vertical="center"/>
    </xf>
    <xf numFmtId="164" fontId="18" fillId="9" borderId="5" xfId="0" applyNumberFormat="1" applyFont="1" applyFill="1" applyBorder="1" applyAlignment="1">
      <alignment horizontal="center" vertical="center"/>
    </xf>
    <xf numFmtId="0" fontId="19" fillId="0" borderId="0" xfId="0" applyFont="1" applyAlignment="1">
      <alignment vertical="center"/>
    </xf>
    <xf numFmtId="164" fontId="11" fillId="0" borderId="0" xfId="0" applyNumberFormat="1" applyFont="1"/>
    <xf numFmtId="0" fontId="20" fillId="0" borderId="5" xfId="0" applyFont="1" applyBorder="1"/>
    <xf numFmtId="49" fontId="20" fillId="0" borderId="5" xfId="0" applyNumberFormat="1" applyFont="1" applyBorder="1"/>
    <xf numFmtId="0" fontId="21" fillId="0" borderId="0" xfId="0" applyFont="1"/>
    <xf numFmtId="0" fontId="11" fillId="0" borderId="5" xfId="0" applyFont="1" applyBorder="1" applyAlignment="1">
      <alignment horizontal="center"/>
    </xf>
    <xf numFmtId="0" fontId="11" fillId="6" borderId="5" xfId="0" applyFont="1" applyFill="1" applyBorder="1"/>
    <xf numFmtId="1" fontId="11" fillId="6" borderId="5" xfId="0" applyNumberFormat="1" applyFont="1" applyFill="1" applyBorder="1"/>
    <xf numFmtId="165" fontId="11" fillId="6" borderId="5" xfId="0" applyNumberFormat="1" applyFont="1" applyFill="1" applyBorder="1"/>
    <xf numFmtId="165" fontId="11" fillId="0" borderId="5" xfId="0" applyNumberFormat="1" applyFont="1" applyBorder="1"/>
    <xf numFmtId="0" fontId="11" fillId="0" borderId="5" xfId="0" applyFont="1" applyBorder="1"/>
    <xf numFmtId="3" fontId="11" fillId="0" borderId="5" xfId="0" applyNumberFormat="1" applyFont="1" applyBorder="1"/>
    <xf numFmtId="3" fontId="11" fillId="6" borderId="5" xfId="0" applyNumberFormat="1" applyFont="1" applyFill="1" applyBorder="1"/>
    <xf numFmtId="0" fontId="22" fillId="0" borderId="0" xfId="0" applyFont="1"/>
    <xf numFmtId="1" fontId="11" fillId="0" borderId="5" xfId="0" applyNumberFormat="1" applyFont="1" applyBorder="1"/>
    <xf numFmtId="165" fontId="11" fillId="7" borderId="5" xfId="0" applyNumberFormat="1" applyFont="1" applyFill="1" applyBorder="1"/>
    <xf numFmtId="0" fontId="11" fillId="0" borderId="6" xfId="0" applyFont="1" applyBorder="1"/>
    <xf numFmtId="165" fontId="11" fillId="0" borderId="6" xfId="0" applyNumberFormat="1" applyFont="1" applyBorder="1"/>
    <xf numFmtId="164" fontId="22" fillId="0" borderId="0" xfId="0" applyNumberFormat="1" applyFont="1"/>
    <xf numFmtId="165" fontId="22" fillId="0" borderId="0" xfId="0" applyNumberFormat="1" applyFont="1"/>
    <xf numFmtId="14" fontId="22" fillId="0" borderId="0" xfId="0" applyNumberFormat="1" applyFont="1"/>
    <xf numFmtId="1" fontId="12" fillId="0" borderId="5" xfId="0" applyNumberFormat="1" applyFont="1" applyBorder="1"/>
    <xf numFmtId="0" fontId="20" fillId="0" borderId="25" xfId="0" applyFont="1" applyBorder="1"/>
    <xf numFmtId="0" fontId="20" fillId="0" borderId="26" xfId="0" applyFont="1" applyBorder="1"/>
    <xf numFmtId="1" fontId="11" fillId="0" borderId="23" xfId="0" applyNumberFormat="1" applyFont="1" applyBorder="1" applyAlignment="1">
      <alignment horizontal="center"/>
    </xf>
    <xf numFmtId="1" fontId="11" fillId="0" borderId="24" xfId="0" applyNumberFormat="1" applyFont="1" applyBorder="1" applyAlignment="1">
      <alignment horizontal="center"/>
    </xf>
    <xf numFmtId="0" fontId="11" fillId="0" borderId="24" xfId="0" applyFont="1" applyBorder="1" applyAlignment="1">
      <alignment horizontal="center"/>
    </xf>
    <xf numFmtId="1" fontId="11" fillId="0" borderId="17" xfId="0" applyNumberFormat="1" applyFont="1" applyBorder="1" applyAlignment="1">
      <alignment horizontal="center"/>
    </xf>
    <xf numFmtId="1" fontId="11" fillId="0" borderId="18" xfId="0" applyNumberFormat="1" applyFont="1" applyBorder="1" applyAlignment="1">
      <alignment horizontal="center"/>
    </xf>
    <xf numFmtId="0" fontId="11" fillId="0" borderId="18" xfId="0" applyFont="1" applyBorder="1" applyAlignment="1">
      <alignment horizontal="center"/>
    </xf>
    <xf numFmtId="1" fontId="11" fillId="0" borderId="19" xfId="0" applyNumberFormat="1" applyFont="1" applyBorder="1" applyAlignment="1">
      <alignment horizontal="center"/>
    </xf>
    <xf numFmtId="1" fontId="11" fillId="0" borderId="20" xfId="0" applyNumberFormat="1" applyFont="1" applyBorder="1" applyAlignment="1">
      <alignment horizontal="center"/>
    </xf>
    <xf numFmtId="0" fontId="11" fillId="0" borderId="20" xfId="0" applyFont="1" applyBorder="1" applyAlignment="1">
      <alignment horizontal="center"/>
    </xf>
    <xf numFmtId="0" fontId="3" fillId="2" borderId="5" xfId="0" applyFont="1" applyFill="1" applyBorder="1" applyAlignment="1">
      <alignment horizontal="center"/>
    </xf>
    <xf numFmtId="165" fontId="3" fillId="2" borderId="5" xfId="0" applyNumberFormat="1" applyFont="1" applyFill="1" applyBorder="1" applyAlignment="1">
      <alignment horizontal="center"/>
    </xf>
    <xf numFmtId="14" fontId="3" fillId="2" borderId="5" xfId="0" applyNumberFormat="1" applyFont="1" applyFill="1" applyBorder="1" applyAlignment="1">
      <alignment vertical="center"/>
    </xf>
    <xf numFmtId="1" fontId="3" fillId="2" borderId="6" xfId="0" applyNumberFormat="1" applyFont="1" applyFill="1" applyBorder="1" applyAlignment="1">
      <alignment horizontal="center" vertical="center"/>
    </xf>
    <xf numFmtId="1" fontId="3" fillId="2" borderId="0" xfId="0" applyNumberFormat="1" applyFont="1" applyFill="1" applyAlignment="1">
      <alignment vertical="center"/>
    </xf>
    <xf numFmtId="166" fontId="3" fillId="2" borderId="6" xfId="0" applyNumberFormat="1" applyFont="1" applyFill="1" applyBorder="1" applyAlignment="1">
      <alignment horizontal="center" vertical="center"/>
    </xf>
    <xf numFmtId="166" fontId="3" fillId="0" borderId="5" xfId="0" applyNumberFormat="1" applyFont="1" applyBorder="1" applyAlignment="1">
      <alignment horizontal="center" vertical="center"/>
    </xf>
    <xf numFmtId="166" fontId="3" fillId="2" borderId="0" xfId="0" applyNumberFormat="1" applyFont="1" applyFill="1" applyAlignment="1">
      <alignment vertical="center"/>
    </xf>
    <xf numFmtId="0" fontId="3" fillId="8" borderId="0" xfId="0" applyFont="1" applyFill="1" applyAlignment="1">
      <alignment vertical="center"/>
    </xf>
    <xf numFmtId="1" fontId="2" fillId="0" borderId="5" xfId="0" applyNumberFormat="1" applyFont="1" applyBorder="1" applyAlignment="1">
      <alignment horizontal="right"/>
    </xf>
    <xf numFmtId="2" fontId="12" fillId="0" borderId="5" xfId="0" applyNumberFormat="1" applyFont="1" applyBorder="1"/>
    <xf numFmtId="2" fontId="1" fillId="0" borderId="5" xfId="0" applyNumberFormat="1" applyFont="1" applyBorder="1" applyAlignment="1">
      <alignment horizontal="right"/>
    </xf>
    <xf numFmtId="164" fontId="3" fillId="0" borderId="5" xfId="0" quotePrefix="1" applyNumberFormat="1" applyFont="1" applyBorder="1" applyAlignment="1">
      <alignment horizontal="center" vertical="center"/>
    </xf>
    <xf numFmtId="1" fontId="3" fillId="6" borderId="0" xfId="0" applyNumberFormat="1" applyFont="1" applyFill="1" applyAlignment="1">
      <alignment vertical="center"/>
    </xf>
    <xf numFmtId="14" fontId="3" fillId="6" borderId="0" xfId="0" applyNumberFormat="1" applyFont="1" applyFill="1" applyAlignment="1">
      <alignment vertical="center"/>
    </xf>
    <xf numFmtId="0" fontId="6" fillId="5" borderId="28" xfId="0" applyFont="1" applyFill="1" applyBorder="1" applyAlignment="1">
      <alignment horizontal="left" vertical="center"/>
    </xf>
    <xf numFmtId="164" fontId="6" fillId="5" borderId="29" xfId="0" applyNumberFormat="1" applyFont="1" applyFill="1" applyBorder="1" applyAlignment="1">
      <alignment horizontal="left" vertical="center"/>
    </xf>
    <xf numFmtId="0" fontId="14" fillId="2" borderId="0" xfId="0" applyFont="1" applyFill="1" applyAlignment="1">
      <alignment horizontal="center" vertical="center"/>
    </xf>
    <xf numFmtId="168" fontId="11" fillId="2" borderId="5" xfId="0" applyNumberFormat="1" applyFont="1" applyFill="1" applyBorder="1" applyAlignment="1">
      <alignment horizontal="right" vertical="center"/>
    </xf>
    <xf numFmtId="168" fontId="11" fillId="6" borderId="5" xfId="0" applyNumberFormat="1" applyFont="1" applyFill="1" applyBorder="1" applyAlignment="1">
      <alignment horizontal="right" vertical="center"/>
    </xf>
    <xf numFmtId="168" fontId="11" fillId="2" borderId="0" xfId="0" applyNumberFormat="1" applyFont="1" applyFill="1" applyAlignment="1">
      <alignment horizontal="right" vertical="center"/>
    </xf>
    <xf numFmtId="1" fontId="3" fillId="2" borderId="0" xfId="0" applyNumberFormat="1" applyFont="1" applyFill="1" applyAlignment="1">
      <alignment horizontal="center" vertical="center"/>
    </xf>
    <xf numFmtId="1" fontId="3" fillId="10" borderId="0" xfId="0" applyNumberFormat="1" applyFont="1" applyFill="1" applyAlignment="1">
      <alignment vertical="center"/>
    </xf>
    <xf numFmtId="1" fontId="3" fillId="11" borderId="0" xfId="0" applyNumberFormat="1" applyFont="1" applyFill="1" applyAlignment="1">
      <alignment vertical="center"/>
    </xf>
    <xf numFmtId="164" fontId="3" fillId="10" borderId="8" xfId="0" applyNumberFormat="1" applyFont="1" applyFill="1" applyBorder="1" applyAlignment="1">
      <alignment horizontal="center" vertical="center"/>
    </xf>
    <xf numFmtId="1" fontId="12" fillId="0" borderId="0" xfId="0" applyNumberFormat="1" applyFont="1"/>
    <xf numFmtId="0" fontId="24" fillId="0" borderId="0" xfId="0" applyFont="1" applyAlignment="1">
      <alignment wrapText="1"/>
    </xf>
    <xf numFmtId="0" fontId="12" fillId="0" borderId="5" xfId="0" applyFont="1" applyBorder="1" applyAlignment="1">
      <alignment horizontal="center"/>
    </xf>
    <xf numFmtId="2" fontId="12" fillId="0" borderId="5" xfId="0" applyNumberFormat="1" applyFont="1" applyBorder="1" applyAlignment="1">
      <alignment horizontal="center"/>
    </xf>
    <xf numFmtId="0" fontId="1" fillId="0" borderId="5" xfId="0" applyFont="1" applyBorder="1" applyAlignment="1">
      <alignment horizontal="center"/>
    </xf>
    <xf numFmtId="0" fontId="26" fillId="8" borderId="8" xfId="0" applyFont="1" applyFill="1" applyBorder="1"/>
    <xf numFmtId="0" fontId="26" fillId="8" borderId="31" xfId="0" applyFont="1" applyFill="1" applyBorder="1"/>
    <xf numFmtId="0" fontId="26" fillId="8" borderId="32" xfId="0" applyFont="1" applyFill="1" applyBorder="1"/>
    <xf numFmtId="0" fontId="25" fillId="8" borderId="34" xfId="0" applyFont="1" applyFill="1" applyBorder="1" applyAlignment="1">
      <alignment horizontal="left" vertical="center" wrapText="1"/>
    </xf>
    <xf numFmtId="0" fontId="25" fillId="8" borderId="35" xfId="0" applyFont="1" applyFill="1" applyBorder="1" applyAlignment="1">
      <alignment horizontal="left" vertical="center" wrapText="1"/>
    </xf>
    <xf numFmtId="0" fontId="25" fillId="8" borderId="33" xfId="0" applyFont="1" applyFill="1" applyBorder="1" applyAlignment="1">
      <alignment wrapText="1"/>
    </xf>
    <xf numFmtId="0" fontId="25" fillId="8" borderId="36" xfId="0" applyFont="1" applyFill="1" applyBorder="1" applyAlignment="1">
      <alignment horizontal="left" vertical="center" wrapText="1"/>
    </xf>
    <xf numFmtId="0" fontId="22" fillId="0" borderId="21" xfId="0" applyFont="1" applyBorder="1"/>
    <xf numFmtId="0" fontId="22" fillId="0" borderId="5" xfId="0" applyFont="1" applyBorder="1"/>
    <xf numFmtId="1" fontId="11" fillId="0" borderId="5" xfId="0" applyNumberFormat="1" applyFont="1" applyBorder="1" applyAlignment="1">
      <alignment horizontal="center"/>
    </xf>
    <xf numFmtId="1" fontId="20" fillId="0" borderId="5" xfId="0" applyNumberFormat="1" applyFont="1" applyBorder="1" applyAlignment="1">
      <alignment horizontal="center"/>
    </xf>
    <xf numFmtId="49" fontId="27" fillId="6" borderId="5" xfId="0" applyNumberFormat="1" applyFont="1" applyFill="1" applyBorder="1" applyAlignment="1">
      <alignment horizontal="right" vertical="center"/>
    </xf>
    <xf numFmtId="0" fontId="3" fillId="0" borderId="5" xfId="0" applyFont="1" applyBorder="1"/>
    <xf numFmtId="169" fontId="3" fillId="2" borderId="5" xfId="0" applyNumberFormat="1" applyFont="1" applyFill="1" applyBorder="1" applyAlignment="1">
      <alignment vertical="center"/>
    </xf>
    <xf numFmtId="0" fontId="22" fillId="0" borderId="0" xfId="0" applyFont="1" applyAlignment="1">
      <alignment horizontal="center" wrapText="1"/>
    </xf>
    <xf numFmtId="2" fontId="3" fillId="2" borderId="5" xfId="0" applyNumberFormat="1" applyFont="1" applyFill="1" applyBorder="1" applyAlignment="1">
      <alignment vertical="center"/>
    </xf>
    <xf numFmtId="170" fontId="3" fillId="2" borderId="5" xfId="0" applyNumberFormat="1" applyFont="1" applyFill="1" applyBorder="1" applyAlignment="1">
      <alignment vertical="center"/>
    </xf>
    <xf numFmtId="14" fontId="10" fillId="2" borderId="5" xfId="0" applyNumberFormat="1" applyFont="1" applyFill="1" applyBorder="1" applyAlignment="1">
      <alignment vertical="center"/>
    </xf>
    <xf numFmtId="165" fontId="29" fillId="12" borderId="5" xfId="0" applyNumberFormat="1" applyFont="1" applyFill="1" applyBorder="1"/>
    <xf numFmtId="165" fontId="29" fillId="13" borderId="5" xfId="0" applyNumberFormat="1" applyFont="1" applyFill="1" applyBorder="1"/>
    <xf numFmtId="165" fontId="29" fillId="11" borderId="5" xfId="0" applyNumberFormat="1" applyFont="1" applyFill="1" applyBorder="1"/>
    <xf numFmtId="0" fontId="11" fillId="0" borderId="6" xfId="0" applyFont="1" applyBorder="1" applyAlignment="1">
      <alignment horizontal="center"/>
    </xf>
    <xf numFmtId="0" fontId="3" fillId="2" borderId="6" xfId="0" applyFont="1" applyFill="1" applyBorder="1" applyAlignment="1">
      <alignment vertical="center"/>
    </xf>
    <xf numFmtId="2" fontId="3" fillId="2" borderId="6" xfId="0" applyNumberFormat="1" applyFont="1" applyFill="1" applyBorder="1" applyAlignment="1">
      <alignment vertical="center"/>
    </xf>
    <xf numFmtId="1" fontId="3" fillId="2" borderId="6" xfId="0" applyNumberFormat="1" applyFont="1" applyFill="1" applyBorder="1" applyAlignment="1">
      <alignment vertical="center"/>
    </xf>
    <xf numFmtId="169" fontId="3" fillId="2" borderId="6" xfId="0" applyNumberFormat="1" applyFont="1" applyFill="1" applyBorder="1" applyAlignment="1">
      <alignment vertical="center"/>
    </xf>
    <xf numFmtId="165" fontId="9" fillId="2" borderId="5" xfId="1" applyNumberFormat="1" applyFont="1" applyFill="1" applyBorder="1" applyAlignment="1">
      <alignment vertical="center"/>
    </xf>
    <xf numFmtId="3" fontId="3" fillId="2" borderId="0" xfId="0" applyNumberFormat="1" applyFont="1" applyFill="1" applyAlignment="1">
      <alignment vertical="center"/>
    </xf>
    <xf numFmtId="171" fontId="3" fillId="2" borderId="5" xfId="0" applyNumberFormat="1" applyFont="1" applyFill="1" applyBorder="1" applyAlignment="1">
      <alignment vertical="center" wrapText="1"/>
    </xf>
    <xf numFmtId="171" fontId="3" fillId="2" borderId="5" xfId="0" applyNumberFormat="1" applyFont="1" applyFill="1" applyBorder="1" applyAlignment="1">
      <alignment vertical="center"/>
    </xf>
    <xf numFmtId="0" fontId="20" fillId="0" borderId="37" xfId="0" applyFont="1" applyBorder="1"/>
    <xf numFmtId="0" fontId="11" fillId="0" borderId="39" xfId="0" applyFont="1" applyBorder="1"/>
    <xf numFmtId="0" fontId="11" fillId="0" borderId="40" xfId="0" applyFont="1" applyBorder="1"/>
    <xf numFmtId="0" fontId="11" fillId="0" borderId="41" xfId="0" applyFont="1" applyBorder="1"/>
    <xf numFmtId="3" fontId="3" fillId="2" borderId="5" xfId="0" applyNumberFormat="1" applyFont="1" applyFill="1" applyBorder="1" applyAlignment="1">
      <alignment vertical="center"/>
    </xf>
    <xf numFmtId="10" fontId="3" fillId="2" borderId="0" xfId="1" applyNumberFormat="1" applyFont="1" applyFill="1" applyAlignment="1">
      <alignment vertical="center"/>
    </xf>
    <xf numFmtId="0" fontId="3" fillId="14" borderId="5" xfId="0" applyFont="1" applyFill="1" applyBorder="1" applyAlignment="1">
      <alignment vertical="center"/>
    </xf>
    <xf numFmtId="3" fontId="3" fillId="14" borderId="5" xfId="0" applyNumberFormat="1" applyFont="1" applyFill="1" applyBorder="1" applyAlignment="1">
      <alignment vertical="center"/>
    </xf>
    <xf numFmtId="0" fontId="9" fillId="14" borderId="5" xfId="0" applyFont="1" applyFill="1" applyBorder="1" applyAlignment="1">
      <alignment vertical="center"/>
    </xf>
    <xf numFmtId="0" fontId="3" fillId="14" borderId="5" xfId="0" applyFont="1" applyFill="1" applyBorder="1"/>
    <xf numFmtId="172" fontId="3" fillId="14" borderId="5" xfId="0" applyNumberFormat="1" applyFont="1" applyFill="1" applyBorder="1" applyAlignment="1">
      <alignment vertical="center"/>
    </xf>
    <xf numFmtId="0" fontId="3" fillId="2" borderId="0" xfId="0" applyFont="1" applyFill="1" applyAlignment="1">
      <alignment vertical="center" wrapText="1"/>
    </xf>
    <xf numFmtId="10" fontId="3" fillId="2" borderId="5" xfId="0" applyNumberFormat="1" applyFont="1" applyFill="1" applyBorder="1" applyAlignment="1">
      <alignment vertical="center" wrapText="1"/>
    </xf>
    <xf numFmtId="4" fontId="11" fillId="0" borderId="5" xfId="0" applyNumberFormat="1" applyFont="1" applyBorder="1"/>
    <xf numFmtId="165" fontId="20" fillId="6" borderId="5" xfId="0" applyNumberFormat="1" applyFont="1" applyFill="1" applyBorder="1"/>
    <xf numFmtId="0" fontId="7" fillId="2" borderId="4" xfId="0" applyFont="1" applyFill="1" applyBorder="1" applyAlignment="1">
      <alignment vertical="center"/>
    </xf>
    <xf numFmtId="10" fontId="3" fillId="2" borderId="0" xfId="0" applyNumberFormat="1" applyFont="1" applyFill="1" applyAlignment="1">
      <alignment vertical="center" wrapText="1"/>
    </xf>
    <xf numFmtId="165" fontId="9" fillId="2" borderId="0" xfId="1" applyNumberFormat="1" applyFont="1" applyFill="1" applyBorder="1" applyAlignment="1">
      <alignment vertical="center"/>
    </xf>
    <xf numFmtId="0" fontId="3" fillId="2" borderId="0" xfId="0" applyFont="1" applyFill="1"/>
    <xf numFmtId="172" fontId="3" fillId="2" borderId="0" xfId="0" applyNumberFormat="1" applyFont="1" applyFill="1" applyAlignment="1">
      <alignment vertical="center"/>
    </xf>
    <xf numFmtId="165" fontId="20" fillId="7" borderId="5" xfId="0" applyNumberFormat="1" applyFont="1" applyFill="1" applyBorder="1"/>
    <xf numFmtId="3" fontId="11" fillId="0" borderId="6" xfId="0" applyNumberFormat="1" applyFont="1" applyBorder="1"/>
    <xf numFmtId="168" fontId="11" fillId="0" borderId="5" xfId="0" applyNumberFormat="1" applyFont="1" applyBorder="1" applyAlignment="1">
      <alignment horizontal="right" vertical="center"/>
    </xf>
    <xf numFmtId="1" fontId="11" fillId="0" borderId="43" xfId="0" applyNumberFormat="1" applyFont="1" applyBorder="1" applyAlignment="1">
      <alignment horizontal="center"/>
    </xf>
    <xf numFmtId="1" fontId="22" fillId="0" borderId="0" xfId="0" applyNumberFormat="1" applyFont="1"/>
    <xf numFmtId="0" fontId="13" fillId="2" borderId="0" xfId="0" applyFont="1" applyFill="1" applyAlignment="1">
      <alignment vertical="center"/>
    </xf>
    <xf numFmtId="0" fontId="13" fillId="2" borderId="4" xfId="0" applyFont="1" applyFill="1" applyBorder="1" applyAlignment="1">
      <alignment vertical="center"/>
    </xf>
    <xf numFmtId="164" fontId="11" fillId="2" borderId="8" xfId="0" applyNumberFormat="1" applyFont="1" applyFill="1" applyBorder="1" applyAlignment="1">
      <alignment horizontal="center" vertical="center"/>
    </xf>
    <xf numFmtId="0" fontId="22" fillId="0" borderId="0" xfId="0" applyFont="1" applyAlignment="1">
      <alignment wrapText="1"/>
    </xf>
    <xf numFmtId="0" fontId="12" fillId="0" borderId="0" xfId="0" applyFont="1" applyAlignment="1">
      <alignment wrapText="1"/>
    </xf>
    <xf numFmtId="0" fontId="23" fillId="0" borderId="5" xfId="0" applyFont="1" applyBorder="1" applyAlignment="1">
      <alignment vertical="top" wrapText="1"/>
    </xf>
    <xf numFmtId="3" fontId="22" fillId="0" borderId="0" xfId="0" applyNumberFormat="1" applyFont="1"/>
    <xf numFmtId="1" fontId="22" fillId="6" borderId="0" xfId="0" applyNumberFormat="1" applyFont="1" applyFill="1"/>
    <xf numFmtId="3" fontId="22" fillId="6" borderId="0" xfId="0" applyNumberFormat="1" applyFont="1" applyFill="1"/>
    <xf numFmtId="14" fontId="12" fillId="0" borderId="0" xfId="0" applyNumberFormat="1" applyFont="1"/>
    <xf numFmtId="164" fontId="30" fillId="0" borderId="0" xfId="0" applyNumberFormat="1" applyFont="1" applyAlignment="1">
      <alignment horizontal="center" vertical="center"/>
    </xf>
    <xf numFmtId="0" fontId="23" fillId="0" borderId="0" xfId="0" applyFont="1" applyAlignment="1">
      <alignment vertical="top" wrapText="1"/>
    </xf>
    <xf numFmtId="164" fontId="12" fillId="0" borderId="0" xfId="0" applyNumberFormat="1" applyFont="1"/>
    <xf numFmtId="1" fontId="11" fillId="0" borderId="0" xfId="0" applyNumberFormat="1" applyFont="1"/>
    <xf numFmtId="173" fontId="11" fillId="2" borderId="5" xfId="0" applyNumberFormat="1" applyFont="1" applyFill="1" applyBorder="1" applyAlignment="1">
      <alignment horizontal="right" vertical="center"/>
    </xf>
    <xf numFmtId="0" fontId="1" fillId="0" borderId="0" xfId="0" applyFont="1"/>
    <xf numFmtId="14" fontId="1" fillId="0" borderId="0" xfId="0" applyNumberFormat="1" applyFont="1"/>
    <xf numFmtId="0" fontId="3" fillId="2" borderId="44" xfId="0" applyFont="1" applyFill="1" applyBorder="1" applyAlignment="1">
      <alignment vertical="center"/>
    </xf>
    <xf numFmtId="0" fontId="3" fillId="2" borderId="45" xfId="0" applyFont="1" applyFill="1" applyBorder="1" applyAlignment="1">
      <alignment vertical="center"/>
    </xf>
    <xf numFmtId="0" fontId="3" fillId="2" borderId="34" xfId="0" applyFont="1" applyFill="1" applyBorder="1" applyAlignment="1">
      <alignment vertical="center"/>
    </xf>
    <xf numFmtId="1" fontId="9" fillId="2" borderId="0" xfId="0" applyNumberFormat="1" applyFont="1" applyFill="1" applyAlignment="1">
      <alignment vertical="center"/>
    </xf>
    <xf numFmtId="3" fontId="3" fillId="2" borderId="44" xfId="0" applyNumberFormat="1" applyFont="1" applyFill="1" applyBorder="1" applyAlignment="1">
      <alignment horizontal="center" vertical="center"/>
    </xf>
    <xf numFmtId="3" fontId="3" fillId="2" borderId="45" xfId="0" applyNumberFormat="1" applyFont="1" applyFill="1" applyBorder="1" applyAlignment="1">
      <alignment horizontal="center" vertical="center"/>
    </xf>
    <xf numFmtId="3" fontId="3" fillId="2" borderId="34"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4" fillId="4" borderId="4" xfId="0" applyFont="1" applyFill="1" applyBorder="1" applyAlignment="1">
      <alignment horizontal="center" vertical="center"/>
    </xf>
    <xf numFmtId="0" fontId="4" fillId="4" borderId="0" xfId="0" applyFont="1" applyFill="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164" fontId="5" fillId="3" borderId="1" xfId="0" applyNumberFormat="1" applyFont="1" applyFill="1" applyBorder="1" applyAlignment="1">
      <alignment horizontal="center" vertical="center"/>
    </xf>
    <xf numFmtId="164" fontId="5" fillId="3" borderId="2" xfId="0" applyNumberFormat="1" applyFont="1" applyFill="1" applyBorder="1" applyAlignment="1">
      <alignment horizontal="center" vertical="center"/>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2" borderId="5" xfId="0" applyFont="1" applyFill="1" applyBorder="1" applyAlignment="1">
      <alignment horizontal="left" vertical="center"/>
    </xf>
    <xf numFmtId="0" fontId="9" fillId="2" borderId="5" xfId="0" applyFont="1" applyFill="1" applyBorder="1" applyAlignment="1">
      <alignment horizontal="center" vertical="center"/>
    </xf>
    <xf numFmtId="0" fontId="3" fillId="2" borderId="27" xfId="0" applyFont="1" applyFill="1" applyBorder="1" applyAlignment="1">
      <alignment horizontal="left" vertical="center" wrapText="1"/>
    </xf>
    <xf numFmtId="0" fontId="3" fillId="2" borderId="0" xfId="0" applyFont="1" applyFill="1" applyAlignment="1">
      <alignment horizontal="left" vertical="center" wrapText="1"/>
    </xf>
    <xf numFmtId="0" fontId="3" fillId="0" borderId="0" xfId="0" applyFont="1" applyAlignment="1">
      <alignment horizontal="left" vertical="center" wrapText="1"/>
    </xf>
    <xf numFmtId="0" fontId="3" fillId="2" borderId="30"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4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34" xfId="0" applyFont="1" applyFill="1" applyBorder="1" applyAlignment="1">
      <alignment horizontal="center" vertical="center"/>
    </xf>
    <xf numFmtId="0" fontId="6" fillId="5" borderId="1" xfId="0" applyFont="1" applyFill="1" applyBorder="1" applyAlignment="1">
      <alignment horizontal="left" vertical="center"/>
    </xf>
    <xf numFmtId="0" fontId="6" fillId="5" borderId="3" xfId="0" applyFont="1" applyFill="1" applyBorder="1" applyAlignment="1">
      <alignment horizontal="left" vertical="center"/>
    </xf>
    <xf numFmtId="0" fontId="20" fillId="0" borderId="21" xfId="0" applyFont="1" applyBorder="1" applyAlignment="1">
      <alignment horizontal="center"/>
    </xf>
    <xf numFmtId="0" fontId="20" fillId="0" borderId="22" xfId="0" applyFont="1" applyBorder="1" applyAlignment="1">
      <alignment horizontal="center"/>
    </xf>
    <xf numFmtId="0" fontId="22" fillId="0" borderId="0" xfId="0" applyFont="1" applyAlignment="1">
      <alignment horizontal="center" wrapText="1"/>
    </xf>
    <xf numFmtId="0" fontId="20" fillId="0" borderId="37" xfId="0" applyFont="1" applyBorder="1" applyAlignment="1">
      <alignment horizontal="center"/>
    </xf>
    <xf numFmtId="0" fontId="20" fillId="0" borderId="38" xfId="0" applyFont="1" applyBorder="1" applyAlignment="1">
      <alignment horizontal="center"/>
    </xf>
    <xf numFmtId="0" fontId="20" fillId="0" borderId="42" xfId="0" applyFont="1" applyBorder="1" applyAlignment="1">
      <alignment horizontal="center"/>
    </xf>
    <xf numFmtId="0" fontId="6" fillId="5" borderId="1" xfId="0" applyFont="1" applyFill="1" applyBorder="1" applyAlignment="1">
      <alignment horizontal="center" vertical="center"/>
    </xf>
    <xf numFmtId="0" fontId="6" fillId="5" borderId="3" xfId="0" applyFont="1" applyFill="1" applyBorder="1" applyAlignment="1">
      <alignment horizontal="center" vertical="center"/>
    </xf>
    <xf numFmtId="0" fontId="3" fillId="2" borderId="5" xfId="0" applyFont="1" applyFill="1" applyBorder="1" applyAlignment="1">
      <alignment horizontal="center" vertical="center"/>
    </xf>
    <xf numFmtId="0" fontId="3" fillId="6" borderId="5" xfId="0" applyFont="1" applyFill="1" applyBorder="1" applyAlignment="1">
      <alignment horizontal="left" vertical="center" wrapText="1"/>
    </xf>
    <xf numFmtId="0" fontId="3" fillId="6" borderId="5" xfId="0" applyFont="1" applyFill="1" applyBorder="1" applyAlignment="1">
      <alignment horizontal="left" vertical="center"/>
    </xf>
  </cellXfs>
  <cellStyles count="2">
    <cellStyle name="Normal" xfId="0" builtinId="0"/>
    <cellStyle name="Percent" xfId="1" builtinId="5"/>
  </cellStyles>
  <dxfs count="195">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ont>
        <color rgb="FF006100"/>
      </font>
      <fill>
        <patternFill>
          <bgColor rgb="FFC6EFCE"/>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ont>
        <color rgb="FF006100"/>
      </font>
      <fill>
        <patternFill>
          <bgColor rgb="FFC6EFCE"/>
        </patternFill>
      </fill>
    </dxf>
    <dxf>
      <font>
        <color rgb="FF9C0006"/>
      </font>
      <fill>
        <patternFill>
          <bgColor rgb="FFFFC7CE"/>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ont>
        <color theme="0"/>
      </font>
      <fill>
        <patternFill patternType="none">
          <bgColor auto="1"/>
        </patternFill>
      </fill>
    </dxf>
    <dxf>
      <font>
        <color theme="0"/>
      </font>
      <fill>
        <patternFill patternType="none">
          <bgColor auto="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3868"/>
      <rgbColor rgb="0091867E"/>
      <rgbColor rgb="009D0E2D"/>
      <rgbColor rgb="00898000"/>
      <rgbColor rgb="00F49C3E"/>
      <rgbColor rgb="00FFC726"/>
      <rgbColor rgb="00166C86"/>
      <rgbColor rgb="0092499E"/>
      <rgbColor rgb="0070A198"/>
      <rgbColor rgb="006F5940"/>
      <rgbColor rgb="007898B3"/>
      <rgbColor rgb="00C8C1BC"/>
      <rgbColor rgb="00DE7572"/>
      <rgbColor rgb="00D7D17B"/>
      <rgbColor rgb="00F8C48B"/>
      <rgbColor rgb="00FFDD7D"/>
      <rgbColor rgb="0056A2B9"/>
      <rgbColor rgb="00BE92C5"/>
      <rgbColor rgb="00BFD5CD"/>
      <rgbColor rgb="009B8A73"/>
      <rgbColor rgb="00C8C1BC"/>
      <rgbColor rgb="00C4EAF8"/>
      <rgbColor rgb="00003868"/>
      <rgbColor rgb="00E3DFDB"/>
      <rgbColor rgb="00003868"/>
      <rgbColor rgb="00AAA19A"/>
      <rgbColor rgb="009D0E2D"/>
      <rgbColor rgb="0056A2B9"/>
      <rgbColor rgb="0092499E"/>
      <rgbColor rgb="00BFD5CD"/>
      <rgbColor rgb="006AA94E"/>
      <rgbColor rgb="00FFC726"/>
      <rgbColor rgb="00FBD7B2"/>
      <rgbColor rgb="00FFFFFF"/>
      <rgbColor rgb="00FFFFFF"/>
      <rgbColor rgb="00000000"/>
      <rgbColor rgb="00FFFFFF"/>
      <rgbColor rgb="00000000"/>
      <rgbColor rgb="00FFFFFF"/>
      <rgbColor rgb="00F5F1EF"/>
      <rgbColor rgb="00F8C48B"/>
      <rgbColor rgb="00A7E0E0"/>
      <rgbColor rgb="00DE7572"/>
      <rgbColor rgb="00E3DFDB"/>
      <rgbColor rgb="00C8C1BC"/>
      <rgbColor rgb="00AAA19A"/>
      <rgbColor rgb="00FFD251"/>
      <rgbColor rgb="00A6CB95"/>
      <rgbColor rgb="006CCBED"/>
      <rgbColor rgb="009B8A73"/>
      <rgbColor rgb="0091499E"/>
      <rgbColor rgb="009D0E2D"/>
      <rgbColor rgb="0091867E"/>
      <rgbColor rgb="00FFE9A8"/>
      <rgbColor rgb="00FFC726"/>
      <rgbColor rgb="00898000"/>
    </indexedColors>
    <mruColors>
      <color rgb="FFFFE101"/>
      <color rgb="FFFFC1C1"/>
      <color rgb="FFCC00CC"/>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ustomXml" Target="../customXml/item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2440771826598597E-2"/>
          <c:y val="1.8121731905717468E-2"/>
          <c:w val="0.89752282738077382"/>
          <c:h val="0.85402147099918035"/>
        </c:manualLayout>
      </c:layout>
      <c:lineChart>
        <c:grouping val="standard"/>
        <c:varyColors val="0"/>
        <c:ser>
          <c:idx val="0"/>
          <c:order val="0"/>
          <c:tx>
            <c:strRef>
              <c:f>Graphs!$C$1</c:f>
              <c:strCache>
                <c:ptCount val="1"/>
                <c:pt idx="0">
                  <c:v>JWU</c:v>
                </c:pt>
              </c:strCache>
            </c:strRef>
          </c:tx>
          <c:spPr>
            <a:ln w="19050" cap="rnd" cmpd="sng" algn="ctr">
              <a:solidFill>
                <a:srgbClr val="003CB4"/>
              </a:solidFill>
              <a:prstDash val="solid"/>
              <a:round/>
              <a:headEnd type="none" w="med" len="med"/>
              <a:tailEnd type="none" w="med" len="med"/>
            </a:ln>
          </c:spPr>
          <c:marker>
            <c:symbol val="none"/>
          </c:marker>
          <c:cat>
            <c:numRef>
              <c:f>Graphs!$B$2:$B$64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Graphs!$C$2:$C$64</c:f>
              <c:numCache>
                <c:formatCode>0</c:formatCode>
                <c:ptCount val="63"/>
                <c:pt idx="0">
                  <c:v>50</c:v>
                </c:pt>
                <c:pt idx="1">
                  <c:v>50</c:v>
                </c:pt>
                <c:pt idx="2">
                  <c:v>61</c:v>
                </c:pt>
                <c:pt idx="3">
                  <c:v>61</c:v>
                </c:pt>
                <c:pt idx="4">
                  <c:v>61</c:v>
                </c:pt>
                <c:pt idx="5">
                  <c:v>63.75</c:v>
                </c:pt>
                <c:pt idx="6">
                  <c:v>63.75</c:v>
                </c:pt>
                <c:pt idx="7">
                  <c:v>63.75</c:v>
                </c:pt>
                <c:pt idx="8">
                  <c:v>63.75</c:v>
                </c:pt>
                <c:pt idx="9">
                  <c:v>63.75</c:v>
                </c:pt>
                <c:pt idx="10">
                  <c:v>63.75</c:v>
                </c:pt>
                <c:pt idx="11">
                  <c:v>63.75</c:v>
                </c:pt>
                <c:pt idx="12">
                  <c:v>74.75</c:v>
                </c:pt>
                <c:pt idx="13">
                  <c:v>74.75</c:v>
                </c:pt>
                <c:pt idx="14">
                  <c:v>74.75</c:v>
                </c:pt>
                <c:pt idx="15">
                  <c:v>74.75</c:v>
                </c:pt>
                <c:pt idx="16">
                  <c:v>74.75</c:v>
                </c:pt>
                <c:pt idx="17">
                  <c:v>74.75</c:v>
                </c:pt>
                <c:pt idx="18">
                  <c:v>77.5</c:v>
                </c:pt>
                <c:pt idx="19">
                  <c:v>77.5</c:v>
                </c:pt>
                <c:pt idx="20">
                  <c:v>77.5</c:v>
                </c:pt>
                <c:pt idx="21">
                  <c:v>88.5</c:v>
                </c:pt>
                <c:pt idx="22">
                  <c:v>99.5</c:v>
                </c:pt>
                <c:pt idx="23">
                  <c:v>102.25</c:v>
                </c:pt>
                <c:pt idx="24">
                  <c:v>105</c:v>
                </c:pt>
                <c:pt idx="25">
                  <c:v>116</c:v>
                </c:pt>
                <c:pt idx="26">
                  <c:v>116</c:v>
                </c:pt>
                <c:pt idx="27">
                  <c:v>127</c:v>
                </c:pt>
                <c:pt idx="28">
                  <c:v>127</c:v>
                </c:pt>
                <c:pt idx="29">
                  <c:v>129.75</c:v>
                </c:pt>
                <c:pt idx="30">
                  <c:v>129.75</c:v>
                </c:pt>
                <c:pt idx="31">
                  <c:v>140.75</c:v>
                </c:pt>
                <c:pt idx="32">
                  <c:v>143.5</c:v>
                </c:pt>
                <c:pt idx="33">
                  <c:v>143.5</c:v>
                </c:pt>
                <c:pt idx="34">
                  <c:v>143.5</c:v>
                </c:pt>
                <c:pt idx="35">
                  <c:v>146.25</c:v>
                </c:pt>
                <c:pt idx="36">
                  <c:v>146.25</c:v>
                </c:pt>
                <c:pt idx="37">
                  <c:v>149</c:v>
                </c:pt>
                <c:pt idx="38">
                  <c:v>149</c:v>
                </c:pt>
                <c:pt idx="39">
                  <c:v>154.5</c:v>
                </c:pt>
                <c:pt idx="40">
                  <c:v>154.5</c:v>
                </c:pt>
                <c:pt idx="41">
                  <c:v>154.5</c:v>
                </c:pt>
                <c:pt idx="42">
                  <c:v>165.5</c:v>
                </c:pt>
                <c:pt idx="43">
                  <c:v>165.5</c:v>
                </c:pt>
                <c:pt idx="44">
                  <c:v>165.5</c:v>
                </c:pt>
                <c:pt idx="45">
                  <c:v>176.5</c:v>
                </c:pt>
                <c:pt idx="46">
                  <c:v>179.25</c:v>
                </c:pt>
                <c:pt idx="47">
                  <c:v>179.25</c:v>
                </c:pt>
                <c:pt idx="48">
                  <c:v>179.25</c:v>
                </c:pt>
                <c:pt idx="49">
                  <c:v>179.25</c:v>
                </c:pt>
                <c:pt idx="50">
                  <c:v>179.25</c:v>
                </c:pt>
                <c:pt idx="51">
                  <c:v>190.25</c:v>
                </c:pt>
                <c:pt idx="52">
                  <c:v>190.25</c:v>
                </c:pt>
                <c:pt idx="53">
                  <c:v>201.25</c:v>
                </c:pt>
                <c:pt idx="54">
                  <c:v>201.25</c:v>
                </c:pt>
                <c:pt idx="55">
                  <c:v>201.25</c:v>
                </c:pt>
                <c:pt idx="56">
                  <c:v>201.25</c:v>
                </c:pt>
                <c:pt idx="57">
                  <c:v>201.25</c:v>
                </c:pt>
                <c:pt idx="58">
                  <c:v>212.25</c:v>
                </c:pt>
                <c:pt idx="59">
                  <c:v>212.25</c:v>
                </c:pt>
                <c:pt idx="60">
                  <c:v>212.25</c:v>
                </c:pt>
                <c:pt idx="61">
                  <c:v>212.25</c:v>
                </c:pt>
                <c:pt idx="62">
                  <c:v>212.25</c:v>
                </c:pt>
              </c:numCache>
            </c:numRef>
          </c:val>
          <c:smooth val="0"/>
          <c:extLst>
            <c:ext xmlns:c16="http://schemas.microsoft.com/office/drawing/2014/chart" uri="{C3380CC4-5D6E-409C-BE32-E72D297353CC}">
              <c16:uniqueId val="{00000000-18AA-42B6-B199-971A79ACF795}"/>
            </c:ext>
          </c:extLst>
        </c:ser>
        <c:ser>
          <c:idx val="2"/>
          <c:order val="1"/>
          <c:tx>
            <c:strRef>
              <c:f>Graphs!$D$1</c:f>
              <c:strCache>
                <c:ptCount val="1"/>
                <c:pt idx="0">
                  <c:v>CBO</c:v>
                </c:pt>
              </c:strCache>
            </c:strRef>
          </c:tx>
          <c:spPr>
            <a:ln w="19050" cap="rnd" cmpd="sng" algn="ctr">
              <a:solidFill>
                <a:srgbClr val="008CD2"/>
              </a:solidFill>
              <a:prstDash val="solid"/>
              <a:round/>
              <a:headEnd type="none" w="med" len="med"/>
              <a:tailEnd type="none" w="med" len="med"/>
            </a:ln>
          </c:spPr>
          <c:marker>
            <c:symbol val="none"/>
          </c:marker>
          <c:cat>
            <c:numRef>
              <c:f>Graphs!$B$2:$B$64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Graphs!$D$2:$D$64</c:f>
              <c:numCache>
                <c:formatCode>0</c:formatCode>
                <c:ptCount val="63"/>
                <c:pt idx="0">
                  <c:v>61</c:v>
                </c:pt>
                <c:pt idx="1">
                  <c:v>72</c:v>
                </c:pt>
                <c:pt idx="2">
                  <c:v>83</c:v>
                </c:pt>
                <c:pt idx="3">
                  <c:v>94</c:v>
                </c:pt>
                <c:pt idx="4">
                  <c:v>94</c:v>
                </c:pt>
                <c:pt idx="5">
                  <c:v>96.75</c:v>
                </c:pt>
                <c:pt idx="6">
                  <c:v>96.75</c:v>
                </c:pt>
                <c:pt idx="7">
                  <c:v>113.25</c:v>
                </c:pt>
                <c:pt idx="8">
                  <c:v>113.25</c:v>
                </c:pt>
                <c:pt idx="9">
                  <c:v>113.25</c:v>
                </c:pt>
                <c:pt idx="10">
                  <c:v>113.25</c:v>
                </c:pt>
                <c:pt idx="11">
                  <c:v>113.25</c:v>
                </c:pt>
                <c:pt idx="12">
                  <c:v>113.25</c:v>
                </c:pt>
                <c:pt idx="13">
                  <c:v>113.25</c:v>
                </c:pt>
                <c:pt idx="14">
                  <c:v>113.25</c:v>
                </c:pt>
                <c:pt idx="15">
                  <c:v>113.25</c:v>
                </c:pt>
                <c:pt idx="16">
                  <c:v>113.25</c:v>
                </c:pt>
                <c:pt idx="17">
                  <c:v>113.25</c:v>
                </c:pt>
                <c:pt idx="18">
                  <c:v>113.25</c:v>
                </c:pt>
                <c:pt idx="19">
                  <c:v>113.25</c:v>
                </c:pt>
                <c:pt idx="20">
                  <c:v>113.25</c:v>
                </c:pt>
                <c:pt idx="21">
                  <c:v>116</c:v>
                </c:pt>
                <c:pt idx="22">
                  <c:v>127</c:v>
                </c:pt>
                <c:pt idx="23">
                  <c:v>129.75</c:v>
                </c:pt>
                <c:pt idx="24">
                  <c:v>132.5</c:v>
                </c:pt>
                <c:pt idx="25">
                  <c:v>143.5</c:v>
                </c:pt>
                <c:pt idx="26">
                  <c:v>143.5</c:v>
                </c:pt>
                <c:pt idx="27">
                  <c:v>154.5</c:v>
                </c:pt>
                <c:pt idx="28">
                  <c:v>154.5</c:v>
                </c:pt>
                <c:pt idx="29">
                  <c:v>157.25</c:v>
                </c:pt>
                <c:pt idx="30">
                  <c:v>157.25</c:v>
                </c:pt>
                <c:pt idx="31">
                  <c:v>168.25</c:v>
                </c:pt>
                <c:pt idx="32">
                  <c:v>171</c:v>
                </c:pt>
                <c:pt idx="33">
                  <c:v>171</c:v>
                </c:pt>
                <c:pt idx="34">
                  <c:v>171</c:v>
                </c:pt>
                <c:pt idx="35">
                  <c:v>173.75</c:v>
                </c:pt>
                <c:pt idx="36">
                  <c:v>173.75</c:v>
                </c:pt>
                <c:pt idx="37">
                  <c:v>176.5</c:v>
                </c:pt>
                <c:pt idx="38">
                  <c:v>176.5</c:v>
                </c:pt>
                <c:pt idx="39">
                  <c:v>182</c:v>
                </c:pt>
                <c:pt idx="40">
                  <c:v>182</c:v>
                </c:pt>
                <c:pt idx="41">
                  <c:v>182</c:v>
                </c:pt>
                <c:pt idx="42">
                  <c:v>193</c:v>
                </c:pt>
                <c:pt idx="43">
                  <c:v>193</c:v>
                </c:pt>
                <c:pt idx="44">
                  <c:v>193</c:v>
                </c:pt>
                <c:pt idx="45">
                  <c:v>204</c:v>
                </c:pt>
                <c:pt idx="46">
                  <c:v>206.75</c:v>
                </c:pt>
                <c:pt idx="47">
                  <c:v>206.75</c:v>
                </c:pt>
                <c:pt idx="48">
                  <c:v>206.75</c:v>
                </c:pt>
                <c:pt idx="49">
                  <c:v>206.75</c:v>
                </c:pt>
                <c:pt idx="50">
                  <c:v>206.75</c:v>
                </c:pt>
                <c:pt idx="51">
                  <c:v>217.75</c:v>
                </c:pt>
                <c:pt idx="52">
                  <c:v>217.75</c:v>
                </c:pt>
                <c:pt idx="53">
                  <c:v>228.75</c:v>
                </c:pt>
                <c:pt idx="54">
                  <c:v>228.75</c:v>
                </c:pt>
                <c:pt idx="55">
                  <c:v>228.75</c:v>
                </c:pt>
                <c:pt idx="56">
                  <c:v>228.75</c:v>
                </c:pt>
                <c:pt idx="57">
                  <c:v>228.75</c:v>
                </c:pt>
                <c:pt idx="58">
                  <c:v>239.75</c:v>
                </c:pt>
                <c:pt idx="59">
                  <c:v>239.75</c:v>
                </c:pt>
                <c:pt idx="60">
                  <c:v>239.75</c:v>
                </c:pt>
                <c:pt idx="61">
                  <c:v>239.75</c:v>
                </c:pt>
                <c:pt idx="62">
                  <c:v>239.75</c:v>
                </c:pt>
              </c:numCache>
            </c:numRef>
          </c:val>
          <c:smooth val="0"/>
          <c:extLst>
            <c:ext xmlns:c16="http://schemas.microsoft.com/office/drawing/2014/chart" uri="{C3380CC4-5D6E-409C-BE32-E72D297353CC}">
              <c16:uniqueId val="{00000001-18AA-42B6-B199-971A79ACF795}"/>
            </c:ext>
          </c:extLst>
        </c:ser>
        <c:ser>
          <c:idx val="3"/>
          <c:order val="2"/>
          <c:tx>
            <c:strRef>
              <c:f>Graphs!$E$1</c:f>
              <c:strCache>
                <c:ptCount val="1"/>
                <c:pt idx="0">
                  <c:v>PKN</c:v>
                </c:pt>
              </c:strCache>
            </c:strRef>
          </c:tx>
          <c:spPr>
            <a:ln w="19050" cap="rnd" cmpd="sng" algn="ctr">
              <a:solidFill>
                <a:srgbClr val="000078"/>
              </a:solidFill>
              <a:prstDash val="solid"/>
              <a:round/>
              <a:headEnd type="none" w="med" len="med"/>
              <a:tailEnd type="none" w="med" len="med"/>
            </a:ln>
          </c:spPr>
          <c:marker>
            <c:symbol val="none"/>
          </c:marker>
          <c:cat>
            <c:numRef>
              <c:f>Graphs!$B$2:$B$64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Graphs!$E$2:$E$64</c:f>
              <c:numCache>
                <c:formatCode>0</c:formatCode>
                <c:ptCount val="63"/>
                <c:pt idx="0">
                  <c:v>50</c:v>
                </c:pt>
                <c:pt idx="1">
                  <c:v>50</c:v>
                </c:pt>
                <c:pt idx="2">
                  <c:v>50</c:v>
                </c:pt>
                <c:pt idx="3">
                  <c:v>50</c:v>
                </c:pt>
                <c:pt idx="4">
                  <c:v>50</c:v>
                </c:pt>
                <c:pt idx="5">
                  <c:v>61</c:v>
                </c:pt>
                <c:pt idx="6">
                  <c:v>61</c:v>
                </c:pt>
                <c:pt idx="7">
                  <c:v>72</c:v>
                </c:pt>
                <c:pt idx="8">
                  <c:v>72</c:v>
                </c:pt>
                <c:pt idx="9">
                  <c:v>72</c:v>
                </c:pt>
                <c:pt idx="10">
                  <c:v>72</c:v>
                </c:pt>
                <c:pt idx="11">
                  <c:v>72</c:v>
                </c:pt>
                <c:pt idx="12">
                  <c:v>72</c:v>
                </c:pt>
                <c:pt idx="13">
                  <c:v>72</c:v>
                </c:pt>
                <c:pt idx="14">
                  <c:v>72</c:v>
                </c:pt>
                <c:pt idx="15">
                  <c:v>72</c:v>
                </c:pt>
                <c:pt idx="16">
                  <c:v>72</c:v>
                </c:pt>
                <c:pt idx="17">
                  <c:v>72</c:v>
                </c:pt>
                <c:pt idx="18">
                  <c:v>72</c:v>
                </c:pt>
                <c:pt idx="19">
                  <c:v>72</c:v>
                </c:pt>
                <c:pt idx="20">
                  <c:v>72</c:v>
                </c:pt>
                <c:pt idx="21">
                  <c:v>72</c:v>
                </c:pt>
                <c:pt idx="22">
                  <c:v>72</c:v>
                </c:pt>
                <c:pt idx="23">
                  <c:v>72</c:v>
                </c:pt>
                <c:pt idx="24">
                  <c:v>72</c:v>
                </c:pt>
                <c:pt idx="25">
                  <c:v>83</c:v>
                </c:pt>
                <c:pt idx="26">
                  <c:v>83</c:v>
                </c:pt>
                <c:pt idx="27">
                  <c:v>83</c:v>
                </c:pt>
                <c:pt idx="28">
                  <c:v>83</c:v>
                </c:pt>
                <c:pt idx="29">
                  <c:v>83</c:v>
                </c:pt>
                <c:pt idx="30">
                  <c:v>94</c:v>
                </c:pt>
                <c:pt idx="31">
                  <c:v>94</c:v>
                </c:pt>
                <c:pt idx="32">
                  <c:v>94</c:v>
                </c:pt>
                <c:pt idx="33">
                  <c:v>94</c:v>
                </c:pt>
                <c:pt idx="34">
                  <c:v>94</c:v>
                </c:pt>
                <c:pt idx="35">
                  <c:v>94</c:v>
                </c:pt>
                <c:pt idx="36">
                  <c:v>94</c:v>
                </c:pt>
                <c:pt idx="37">
                  <c:v>105</c:v>
                </c:pt>
                <c:pt idx="38">
                  <c:v>105</c:v>
                </c:pt>
                <c:pt idx="39">
                  <c:v>116</c:v>
                </c:pt>
                <c:pt idx="40">
                  <c:v>116</c:v>
                </c:pt>
                <c:pt idx="41">
                  <c:v>127</c:v>
                </c:pt>
                <c:pt idx="42">
                  <c:v>127</c:v>
                </c:pt>
                <c:pt idx="43">
                  <c:v>127</c:v>
                </c:pt>
                <c:pt idx="44">
                  <c:v>127</c:v>
                </c:pt>
                <c:pt idx="45">
                  <c:v>127</c:v>
                </c:pt>
                <c:pt idx="46">
                  <c:v>127</c:v>
                </c:pt>
                <c:pt idx="47">
                  <c:v>138</c:v>
                </c:pt>
                <c:pt idx="48">
                  <c:v>138</c:v>
                </c:pt>
                <c:pt idx="49">
                  <c:v>138</c:v>
                </c:pt>
                <c:pt idx="50">
                  <c:v>149</c:v>
                </c:pt>
                <c:pt idx="51">
                  <c:v>160</c:v>
                </c:pt>
                <c:pt idx="52">
                  <c:v>160</c:v>
                </c:pt>
                <c:pt idx="53">
                  <c:v>160</c:v>
                </c:pt>
                <c:pt idx="54">
                  <c:v>160</c:v>
                </c:pt>
                <c:pt idx="55">
                  <c:v>160</c:v>
                </c:pt>
                <c:pt idx="56">
                  <c:v>171</c:v>
                </c:pt>
                <c:pt idx="57">
                  <c:v>171</c:v>
                </c:pt>
                <c:pt idx="58">
                  <c:v>171</c:v>
                </c:pt>
                <c:pt idx="59">
                  <c:v>171</c:v>
                </c:pt>
                <c:pt idx="60">
                  <c:v>171</c:v>
                </c:pt>
                <c:pt idx="61">
                  <c:v>171</c:v>
                </c:pt>
                <c:pt idx="62">
                  <c:v>171</c:v>
                </c:pt>
              </c:numCache>
            </c:numRef>
          </c:val>
          <c:smooth val="0"/>
          <c:extLst>
            <c:ext xmlns:c16="http://schemas.microsoft.com/office/drawing/2014/chart" uri="{C3380CC4-5D6E-409C-BE32-E72D297353CC}">
              <c16:uniqueId val="{00000002-18AA-42B6-B199-971A79ACF795}"/>
            </c:ext>
          </c:extLst>
        </c:ser>
        <c:ser>
          <c:idx val="4"/>
          <c:order val="3"/>
          <c:tx>
            <c:strRef>
              <c:f>Graphs!$F$1</c:f>
              <c:strCache>
                <c:ptCount val="1"/>
                <c:pt idx="0">
                  <c:v>YMI</c:v>
                </c:pt>
              </c:strCache>
            </c:strRef>
          </c:tx>
          <c:spPr>
            <a:ln w="19050" cap="rnd" cmpd="sng" algn="ctr">
              <a:solidFill>
                <a:srgbClr val="00BEC8"/>
              </a:solidFill>
              <a:prstDash val="sysDash"/>
              <a:round/>
              <a:headEnd type="none" w="med" len="med"/>
              <a:tailEnd type="none" w="med" len="med"/>
            </a:ln>
          </c:spPr>
          <c:marker>
            <c:symbol val="none"/>
          </c:marker>
          <c:cat>
            <c:numRef>
              <c:f>Graphs!$B$2:$B$64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Graphs!$F$2:$F$64</c:f>
              <c:numCache>
                <c:formatCode>0</c:formatCode>
                <c:ptCount val="63"/>
                <c:pt idx="0">
                  <c:v>61</c:v>
                </c:pt>
                <c:pt idx="1">
                  <c:v>72</c:v>
                </c:pt>
                <c:pt idx="2">
                  <c:v>83</c:v>
                </c:pt>
                <c:pt idx="3">
                  <c:v>94</c:v>
                </c:pt>
                <c:pt idx="4">
                  <c:v>94</c:v>
                </c:pt>
                <c:pt idx="5">
                  <c:v>96.75</c:v>
                </c:pt>
                <c:pt idx="6">
                  <c:v>96.75</c:v>
                </c:pt>
                <c:pt idx="7">
                  <c:v>113.25</c:v>
                </c:pt>
                <c:pt idx="8">
                  <c:v>113.25</c:v>
                </c:pt>
                <c:pt idx="9">
                  <c:v>113.25</c:v>
                </c:pt>
                <c:pt idx="10">
                  <c:v>113.25</c:v>
                </c:pt>
                <c:pt idx="11">
                  <c:v>113.25</c:v>
                </c:pt>
                <c:pt idx="12">
                  <c:v>113.25</c:v>
                </c:pt>
                <c:pt idx="13">
                  <c:v>113.25</c:v>
                </c:pt>
                <c:pt idx="14">
                  <c:v>113.25</c:v>
                </c:pt>
                <c:pt idx="15">
                  <c:v>113.25</c:v>
                </c:pt>
                <c:pt idx="16">
                  <c:v>113.25</c:v>
                </c:pt>
                <c:pt idx="17">
                  <c:v>113.25</c:v>
                </c:pt>
                <c:pt idx="18">
                  <c:v>113.25</c:v>
                </c:pt>
                <c:pt idx="19">
                  <c:v>113.25</c:v>
                </c:pt>
                <c:pt idx="20">
                  <c:v>113.25</c:v>
                </c:pt>
                <c:pt idx="21">
                  <c:v>116</c:v>
                </c:pt>
                <c:pt idx="22">
                  <c:v>127</c:v>
                </c:pt>
                <c:pt idx="23">
                  <c:v>129.75</c:v>
                </c:pt>
                <c:pt idx="24">
                  <c:v>132.5</c:v>
                </c:pt>
                <c:pt idx="25">
                  <c:v>143.5</c:v>
                </c:pt>
                <c:pt idx="26">
                  <c:v>143.5</c:v>
                </c:pt>
                <c:pt idx="27">
                  <c:v>154.5</c:v>
                </c:pt>
                <c:pt idx="28">
                  <c:v>154.5</c:v>
                </c:pt>
                <c:pt idx="29">
                  <c:v>157.25</c:v>
                </c:pt>
                <c:pt idx="30">
                  <c:v>157.25</c:v>
                </c:pt>
                <c:pt idx="31">
                  <c:v>168.25</c:v>
                </c:pt>
                <c:pt idx="32">
                  <c:v>171</c:v>
                </c:pt>
                <c:pt idx="33">
                  <c:v>171</c:v>
                </c:pt>
                <c:pt idx="34">
                  <c:v>171</c:v>
                </c:pt>
                <c:pt idx="35">
                  <c:v>173.75</c:v>
                </c:pt>
                <c:pt idx="36">
                  <c:v>173.75</c:v>
                </c:pt>
                <c:pt idx="37">
                  <c:v>176.5</c:v>
                </c:pt>
                <c:pt idx="38">
                  <c:v>176.5</c:v>
                </c:pt>
                <c:pt idx="39">
                  <c:v>182</c:v>
                </c:pt>
                <c:pt idx="40">
                  <c:v>182</c:v>
                </c:pt>
                <c:pt idx="41">
                  <c:v>182</c:v>
                </c:pt>
                <c:pt idx="42">
                  <c:v>193</c:v>
                </c:pt>
                <c:pt idx="43">
                  <c:v>193</c:v>
                </c:pt>
                <c:pt idx="44">
                  <c:v>193</c:v>
                </c:pt>
                <c:pt idx="45">
                  <c:v>204</c:v>
                </c:pt>
                <c:pt idx="46">
                  <c:v>206.75</c:v>
                </c:pt>
                <c:pt idx="47">
                  <c:v>206.75</c:v>
                </c:pt>
                <c:pt idx="48">
                  <c:v>206.75</c:v>
                </c:pt>
                <c:pt idx="49">
                  <c:v>206.75</c:v>
                </c:pt>
                <c:pt idx="50">
                  <c:v>206.75</c:v>
                </c:pt>
                <c:pt idx="51">
                  <c:v>217.75</c:v>
                </c:pt>
                <c:pt idx="52">
                  <c:v>217.75</c:v>
                </c:pt>
                <c:pt idx="53">
                  <c:v>228.75</c:v>
                </c:pt>
                <c:pt idx="54">
                  <c:v>228.75</c:v>
                </c:pt>
                <c:pt idx="55">
                  <c:v>228.75</c:v>
                </c:pt>
                <c:pt idx="56">
                  <c:v>228.75</c:v>
                </c:pt>
                <c:pt idx="57">
                  <c:v>228.75</c:v>
                </c:pt>
                <c:pt idx="58">
                  <c:v>239.75</c:v>
                </c:pt>
                <c:pt idx="59">
                  <c:v>239.75</c:v>
                </c:pt>
                <c:pt idx="60">
                  <c:v>239.75</c:v>
                </c:pt>
                <c:pt idx="61">
                  <c:v>239.75</c:v>
                </c:pt>
                <c:pt idx="62">
                  <c:v>239.75</c:v>
                </c:pt>
              </c:numCache>
            </c:numRef>
          </c:val>
          <c:smooth val="0"/>
          <c:extLst>
            <c:ext xmlns:c16="http://schemas.microsoft.com/office/drawing/2014/chart" uri="{C3380CC4-5D6E-409C-BE32-E72D297353CC}">
              <c16:uniqueId val="{00000003-18AA-42B6-B199-971A79ACF795}"/>
            </c:ext>
          </c:extLst>
        </c:ser>
        <c:ser>
          <c:idx val="5"/>
          <c:order val="4"/>
          <c:tx>
            <c:strRef>
              <c:f>Graphs!$G$1</c:f>
              <c:strCache>
                <c:ptCount val="1"/>
                <c:pt idx="0">
                  <c:v>SJU</c:v>
                </c:pt>
              </c:strCache>
            </c:strRef>
          </c:tx>
          <c:spPr>
            <a:ln w="19050" cap="rnd" cmpd="sng" algn="ctr">
              <a:solidFill>
                <a:srgbClr val="28CD78"/>
              </a:solidFill>
              <a:prstDash val="solid"/>
              <a:round/>
              <a:headEnd type="none" w="med" len="med"/>
              <a:tailEnd type="none" w="med" len="med"/>
            </a:ln>
          </c:spPr>
          <c:marker>
            <c:symbol val="none"/>
          </c:marker>
          <c:cat>
            <c:numRef>
              <c:f>Graphs!$B$2:$B$64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Graphs!$G$2:$G$64</c:f>
              <c:numCache>
                <c:formatCode>0</c:formatCode>
                <c:ptCount val="63"/>
                <c:pt idx="0">
                  <c:v>50</c:v>
                </c:pt>
                <c:pt idx="1">
                  <c:v>61</c:v>
                </c:pt>
                <c:pt idx="2">
                  <c:v>72</c:v>
                </c:pt>
                <c:pt idx="3">
                  <c:v>83</c:v>
                </c:pt>
                <c:pt idx="4">
                  <c:v>83</c:v>
                </c:pt>
                <c:pt idx="5">
                  <c:v>85.75</c:v>
                </c:pt>
                <c:pt idx="6">
                  <c:v>85.75</c:v>
                </c:pt>
                <c:pt idx="7">
                  <c:v>85.75</c:v>
                </c:pt>
                <c:pt idx="8">
                  <c:v>85.75</c:v>
                </c:pt>
                <c:pt idx="9">
                  <c:v>85.75</c:v>
                </c:pt>
                <c:pt idx="10">
                  <c:v>85.75</c:v>
                </c:pt>
                <c:pt idx="11">
                  <c:v>85.75</c:v>
                </c:pt>
                <c:pt idx="12">
                  <c:v>85.75</c:v>
                </c:pt>
                <c:pt idx="13">
                  <c:v>85.75</c:v>
                </c:pt>
                <c:pt idx="14">
                  <c:v>85.75</c:v>
                </c:pt>
                <c:pt idx="15">
                  <c:v>85.75</c:v>
                </c:pt>
                <c:pt idx="16">
                  <c:v>85.75</c:v>
                </c:pt>
                <c:pt idx="17">
                  <c:v>85.75</c:v>
                </c:pt>
                <c:pt idx="18">
                  <c:v>85.75</c:v>
                </c:pt>
                <c:pt idx="19">
                  <c:v>85.75</c:v>
                </c:pt>
                <c:pt idx="20">
                  <c:v>85.75</c:v>
                </c:pt>
                <c:pt idx="21">
                  <c:v>88.5</c:v>
                </c:pt>
                <c:pt idx="22">
                  <c:v>88.5</c:v>
                </c:pt>
                <c:pt idx="23">
                  <c:v>88.5</c:v>
                </c:pt>
                <c:pt idx="24">
                  <c:v>99.5</c:v>
                </c:pt>
                <c:pt idx="25">
                  <c:v>99.5</c:v>
                </c:pt>
                <c:pt idx="26">
                  <c:v>99.5</c:v>
                </c:pt>
                <c:pt idx="27">
                  <c:v>99.5</c:v>
                </c:pt>
                <c:pt idx="28">
                  <c:v>99.5</c:v>
                </c:pt>
                <c:pt idx="29">
                  <c:v>99.5</c:v>
                </c:pt>
                <c:pt idx="30">
                  <c:v>99.5</c:v>
                </c:pt>
                <c:pt idx="31">
                  <c:v>110.5</c:v>
                </c:pt>
                <c:pt idx="32">
                  <c:v>110.5</c:v>
                </c:pt>
                <c:pt idx="33">
                  <c:v>110.5</c:v>
                </c:pt>
                <c:pt idx="34">
                  <c:v>121.5</c:v>
                </c:pt>
                <c:pt idx="35">
                  <c:v>121.5</c:v>
                </c:pt>
                <c:pt idx="36">
                  <c:v>121.5</c:v>
                </c:pt>
                <c:pt idx="37">
                  <c:v>121.5</c:v>
                </c:pt>
                <c:pt idx="38">
                  <c:v>121.5</c:v>
                </c:pt>
                <c:pt idx="39">
                  <c:v>132.5</c:v>
                </c:pt>
                <c:pt idx="40">
                  <c:v>132.5</c:v>
                </c:pt>
                <c:pt idx="41">
                  <c:v>132.5</c:v>
                </c:pt>
                <c:pt idx="42">
                  <c:v>132.5</c:v>
                </c:pt>
                <c:pt idx="43">
                  <c:v>132.5</c:v>
                </c:pt>
                <c:pt idx="44">
                  <c:v>132.5</c:v>
                </c:pt>
                <c:pt idx="45">
                  <c:v>132.5</c:v>
                </c:pt>
                <c:pt idx="46">
                  <c:v>132.5</c:v>
                </c:pt>
                <c:pt idx="47">
                  <c:v>143.5</c:v>
                </c:pt>
                <c:pt idx="48">
                  <c:v>143.5</c:v>
                </c:pt>
                <c:pt idx="49">
                  <c:v>143.5</c:v>
                </c:pt>
                <c:pt idx="50">
                  <c:v>154.5</c:v>
                </c:pt>
                <c:pt idx="51">
                  <c:v>165.5</c:v>
                </c:pt>
                <c:pt idx="52">
                  <c:v>165.5</c:v>
                </c:pt>
                <c:pt idx="53">
                  <c:v>165.5</c:v>
                </c:pt>
                <c:pt idx="54">
                  <c:v>165.5</c:v>
                </c:pt>
                <c:pt idx="55">
                  <c:v>165.5</c:v>
                </c:pt>
                <c:pt idx="56">
                  <c:v>176.5</c:v>
                </c:pt>
                <c:pt idx="57">
                  <c:v>176.5</c:v>
                </c:pt>
                <c:pt idx="58">
                  <c:v>176.5</c:v>
                </c:pt>
                <c:pt idx="59">
                  <c:v>176.5</c:v>
                </c:pt>
                <c:pt idx="60">
                  <c:v>176.5</c:v>
                </c:pt>
                <c:pt idx="61">
                  <c:v>176.5</c:v>
                </c:pt>
                <c:pt idx="62">
                  <c:v>176.5</c:v>
                </c:pt>
              </c:numCache>
            </c:numRef>
          </c:val>
          <c:smooth val="0"/>
          <c:extLst>
            <c:ext xmlns:c16="http://schemas.microsoft.com/office/drawing/2014/chart" uri="{C3380CC4-5D6E-409C-BE32-E72D297353CC}">
              <c16:uniqueId val="{00000004-18AA-42B6-B199-971A79ACF795}"/>
            </c:ext>
          </c:extLst>
        </c:ser>
        <c:ser>
          <c:idx val="6"/>
          <c:order val="5"/>
          <c:tx>
            <c:strRef>
              <c:f>Graphs!$H$1</c:f>
              <c:strCache>
                <c:ptCount val="1"/>
                <c:pt idx="0">
                  <c:v>MST</c:v>
                </c:pt>
              </c:strCache>
            </c:strRef>
          </c:tx>
          <c:spPr>
            <a:ln w="28575" cap="rnd" cmpd="sng" algn="ctr">
              <a:solidFill>
                <a:srgbClr val="FFE101"/>
              </a:solidFill>
              <a:prstDash val="solid"/>
              <a:round/>
              <a:headEnd type="none" w="med" len="med"/>
              <a:tailEnd type="none" w="med" len="med"/>
            </a:ln>
          </c:spPr>
          <c:marker>
            <c:symbol val="none"/>
          </c:marker>
          <c:cat>
            <c:numRef>
              <c:f>Graphs!$B$2:$B$64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Graphs!$H$2:$H$64</c:f>
              <c:numCache>
                <c:formatCode>0</c:formatCode>
                <c:ptCount val="63"/>
                <c:pt idx="0">
                  <c:v>50</c:v>
                </c:pt>
                <c:pt idx="1">
                  <c:v>50</c:v>
                </c:pt>
                <c:pt idx="2">
                  <c:v>50</c:v>
                </c:pt>
                <c:pt idx="3">
                  <c:v>50</c:v>
                </c:pt>
                <c:pt idx="4">
                  <c:v>50</c:v>
                </c:pt>
                <c:pt idx="5">
                  <c:v>61</c:v>
                </c:pt>
                <c:pt idx="6">
                  <c:v>61</c:v>
                </c:pt>
                <c:pt idx="7">
                  <c:v>61</c:v>
                </c:pt>
                <c:pt idx="8">
                  <c:v>61</c:v>
                </c:pt>
                <c:pt idx="9">
                  <c:v>61</c:v>
                </c:pt>
                <c:pt idx="10">
                  <c:v>61</c:v>
                </c:pt>
                <c:pt idx="11">
                  <c:v>61</c:v>
                </c:pt>
                <c:pt idx="12">
                  <c:v>61</c:v>
                </c:pt>
                <c:pt idx="13">
                  <c:v>61</c:v>
                </c:pt>
                <c:pt idx="14">
                  <c:v>61</c:v>
                </c:pt>
                <c:pt idx="15">
                  <c:v>61</c:v>
                </c:pt>
                <c:pt idx="16">
                  <c:v>61</c:v>
                </c:pt>
                <c:pt idx="17">
                  <c:v>72</c:v>
                </c:pt>
                <c:pt idx="18">
                  <c:v>72</c:v>
                </c:pt>
                <c:pt idx="19">
                  <c:v>72</c:v>
                </c:pt>
                <c:pt idx="20">
                  <c:v>72</c:v>
                </c:pt>
                <c:pt idx="21">
                  <c:v>74.75</c:v>
                </c:pt>
                <c:pt idx="22">
                  <c:v>74.75</c:v>
                </c:pt>
                <c:pt idx="23">
                  <c:v>74.75</c:v>
                </c:pt>
                <c:pt idx="24">
                  <c:v>74.75</c:v>
                </c:pt>
                <c:pt idx="25">
                  <c:v>74.75</c:v>
                </c:pt>
                <c:pt idx="26">
                  <c:v>85.75</c:v>
                </c:pt>
                <c:pt idx="27">
                  <c:v>85.75</c:v>
                </c:pt>
                <c:pt idx="28">
                  <c:v>85.75</c:v>
                </c:pt>
                <c:pt idx="29">
                  <c:v>85.75</c:v>
                </c:pt>
                <c:pt idx="30">
                  <c:v>85.75</c:v>
                </c:pt>
                <c:pt idx="31">
                  <c:v>85.75</c:v>
                </c:pt>
                <c:pt idx="32">
                  <c:v>85.75</c:v>
                </c:pt>
                <c:pt idx="33">
                  <c:v>85.75</c:v>
                </c:pt>
                <c:pt idx="34">
                  <c:v>85.75</c:v>
                </c:pt>
                <c:pt idx="35">
                  <c:v>85.75</c:v>
                </c:pt>
                <c:pt idx="36">
                  <c:v>85.75</c:v>
                </c:pt>
                <c:pt idx="37">
                  <c:v>85.75</c:v>
                </c:pt>
                <c:pt idx="38">
                  <c:v>85.75</c:v>
                </c:pt>
                <c:pt idx="39">
                  <c:v>85.75</c:v>
                </c:pt>
                <c:pt idx="40">
                  <c:v>85.75</c:v>
                </c:pt>
                <c:pt idx="41">
                  <c:v>85.75</c:v>
                </c:pt>
                <c:pt idx="42">
                  <c:v>85.75</c:v>
                </c:pt>
                <c:pt idx="43">
                  <c:v>85.75</c:v>
                </c:pt>
                <c:pt idx="44">
                  <c:v>85.75</c:v>
                </c:pt>
                <c:pt idx="45">
                  <c:v>85.75</c:v>
                </c:pt>
                <c:pt idx="46">
                  <c:v>85.75</c:v>
                </c:pt>
                <c:pt idx="47">
                  <c:v>85.75</c:v>
                </c:pt>
                <c:pt idx="48">
                  <c:v>85.75</c:v>
                </c:pt>
                <c:pt idx="49">
                  <c:v>85.75</c:v>
                </c:pt>
                <c:pt idx="50">
                  <c:v>85.75</c:v>
                </c:pt>
                <c:pt idx="51">
                  <c:v>90.75</c:v>
                </c:pt>
                <c:pt idx="52">
                  <c:v>90.75</c:v>
                </c:pt>
                <c:pt idx="53">
                  <c:v>101.75</c:v>
                </c:pt>
                <c:pt idx="54">
                  <c:v>101.75</c:v>
                </c:pt>
                <c:pt idx="55">
                  <c:v>101.75</c:v>
                </c:pt>
                <c:pt idx="56">
                  <c:v>101.75</c:v>
                </c:pt>
                <c:pt idx="57">
                  <c:v>112.75</c:v>
                </c:pt>
                <c:pt idx="58">
                  <c:v>112.75</c:v>
                </c:pt>
                <c:pt idx="59">
                  <c:v>112.75</c:v>
                </c:pt>
                <c:pt idx="60">
                  <c:v>112.75</c:v>
                </c:pt>
                <c:pt idx="61">
                  <c:v>123.75</c:v>
                </c:pt>
                <c:pt idx="62">
                  <c:v>123.75</c:v>
                </c:pt>
              </c:numCache>
            </c:numRef>
          </c:val>
          <c:smooth val="0"/>
          <c:extLst>
            <c:ext xmlns:c16="http://schemas.microsoft.com/office/drawing/2014/chart" uri="{C3380CC4-5D6E-409C-BE32-E72D297353CC}">
              <c16:uniqueId val="{00000005-18AA-42B6-B199-971A79ACF795}"/>
            </c:ext>
          </c:extLst>
        </c:ser>
        <c:ser>
          <c:idx val="1"/>
          <c:order val="6"/>
          <c:tx>
            <c:strRef>
              <c:f>Graphs!$I$1</c:f>
              <c:strCache>
                <c:ptCount val="1"/>
                <c:pt idx="0">
                  <c:v>JWU</c:v>
                </c:pt>
              </c:strCache>
            </c:strRef>
          </c:tx>
          <c:marker>
            <c:symbol val="none"/>
          </c:marker>
          <c:dLbls>
            <c:spPr>
              <a:noFill/>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Graphs!$B$2:$B$64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Graphs!$I$2:$I$64</c:f>
            </c:numRef>
          </c:val>
          <c:smooth val="0"/>
          <c:extLst>
            <c:ext xmlns:c16="http://schemas.microsoft.com/office/drawing/2014/chart" uri="{C3380CC4-5D6E-409C-BE32-E72D297353CC}">
              <c16:uniqueId val="{00000000-FE70-4AD1-8C35-ADDAD01D614B}"/>
            </c:ext>
          </c:extLst>
        </c:ser>
        <c:ser>
          <c:idx val="7"/>
          <c:order val="7"/>
          <c:tx>
            <c:strRef>
              <c:f>Graphs!$J$1</c:f>
              <c:strCache>
                <c:ptCount val="1"/>
                <c:pt idx="0">
                  <c:v>CBO</c:v>
                </c:pt>
              </c:strCache>
            </c:strRef>
          </c:tx>
          <c:marker>
            <c:symbol val="none"/>
          </c:marker>
          <c:dLbls>
            <c:spPr>
              <a:noFill/>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1"/>
              </c:ext>
            </c:extLst>
          </c:dLbls>
          <c:cat>
            <c:numRef>
              <c:f>Graphs!$B$2:$B$64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Graphs!$J$2:$J$64</c:f>
            </c:numRef>
          </c:val>
          <c:smooth val="0"/>
          <c:extLst>
            <c:ext xmlns:c16="http://schemas.microsoft.com/office/drawing/2014/chart" uri="{C3380CC4-5D6E-409C-BE32-E72D297353CC}">
              <c16:uniqueId val="{00000001-FE70-4AD1-8C35-ADDAD01D614B}"/>
            </c:ext>
          </c:extLst>
        </c:ser>
        <c:ser>
          <c:idx val="8"/>
          <c:order val="8"/>
          <c:tx>
            <c:strRef>
              <c:f>Graphs!$K$1</c:f>
              <c:strCache>
                <c:ptCount val="1"/>
                <c:pt idx="0">
                  <c:v>PKN</c:v>
                </c:pt>
              </c:strCache>
            </c:strRef>
          </c:tx>
          <c:marker>
            <c:symbol val="none"/>
          </c:marker>
          <c:dLbls>
            <c:dLbl>
              <c:idx val="4"/>
              <c:layout>
                <c:manualLayout>
                  <c:x val="-4.1226470171474546E-3"/>
                  <c:y val="-2.7133495571554006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E70-4AD1-8C35-ADDAD01D614B}"/>
                </c:ext>
              </c:extLst>
            </c:dLbl>
            <c:spPr>
              <a:noFill/>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Graphs!$B$2:$B$64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Graphs!$K$2:$K$64</c:f>
            </c:numRef>
          </c:val>
          <c:smooth val="0"/>
          <c:extLst>
            <c:ext xmlns:c16="http://schemas.microsoft.com/office/drawing/2014/chart" uri="{C3380CC4-5D6E-409C-BE32-E72D297353CC}">
              <c16:uniqueId val="{00000002-FE70-4AD1-8C35-ADDAD01D614B}"/>
            </c:ext>
          </c:extLst>
        </c:ser>
        <c:ser>
          <c:idx val="9"/>
          <c:order val="9"/>
          <c:tx>
            <c:strRef>
              <c:f>Graphs!$L$1</c:f>
              <c:strCache>
                <c:ptCount val="1"/>
                <c:pt idx="0">
                  <c:v>YMI</c:v>
                </c:pt>
              </c:strCache>
            </c:strRef>
          </c:tx>
          <c:marker>
            <c:symbol val="none"/>
          </c:marker>
          <c:dLbls>
            <c:dLbl>
              <c:idx val="4"/>
              <c:layout>
                <c:manualLayout>
                  <c:x val="-1.4909478918407701E-3"/>
                  <c:y val="-4.6981963735103112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7-FE70-4AD1-8C35-ADDAD01D614B}"/>
                </c:ext>
              </c:extLst>
            </c:dLbl>
            <c:spPr>
              <a:noFill/>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Graphs!$B$2:$B$64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Graphs!$L$2:$L$64</c:f>
            </c:numRef>
          </c:val>
          <c:smooth val="0"/>
          <c:extLst>
            <c:ext xmlns:c16="http://schemas.microsoft.com/office/drawing/2014/chart" uri="{C3380CC4-5D6E-409C-BE32-E72D297353CC}">
              <c16:uniqueId val="{00000003-FE70-4AD1-8C35-ADDAD01D614B}"/>
            </c:ext>
          </c:extLst>
        </c:ser>
        <c:ser>
          <c:idx val="10"/>
          <c:order val="10"/>
          <c:tx>
            <c:strRef>
              <c:f>Graphs!$M$1</c:f>
              <c:strCache>
                <c:ptCount val="1"/>
                <c:pt idx="0">
                  <c:v>SJU</c:v>
                </c:pt>
              </c:strCache>
            </c:strRef>
          </c:tx>
          <c:marker>
            <c:symbol val="none"/>
          </c:marker>
          <c:dLbls>
            <c:spPr>
              <a:noFill/>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Graphs!$B$2:$B$64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Graphs!$M$2:$M$64</c:f>
            </c:numRef>
          </c:val>
          <c:smooth val="0"/>
          <c:extLst>
            <c:ext xmlns:c16="http://schemas.microsoft.com/office/drawing/2014/chart" uri="{C3380CC4-5D6E-409C-BE32-E72D297353CC}">
              <c16:uniqueId val="{00000004-FE70-4AD1-8C35-ADDAD01D614B}"/>
            </c:ext>
          </c:extLst>
        </c:ser>
        <c:ser>
          <c:idx val="11"/>
          <c:order val="11"/>
          <c:tx>
            <c:strRef>
              <c:f>Graphs!$N$1</c:f>
              <c:strCache>
                <c:ptCount val="1"/>
                <c:pt idx="0">
                  <c:v>MST</c:v>
                </c:pt>
              </c:strCache>
            </c:strRef>
          </c:tx>
          <c:marker>
            <c:symbol val="none"/>
          </c:marker>
          <c:dLbls>
            <c:spPr>
              <a:noFill/>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Graphs!$B$2:$B$64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Graphs!$N$2:$N$64</c:f>
            </c:numRef>
          </c:val>
          <c:smooth val="0"/>
          <c:extLst>
            <c:ext xmlns:c16="http://schemas.microsoft.com/office/drawing/2014/chart" uri="{C3380CC4-5D6E-409C-BE32-E72D297353CC}">
              <c16:uniqueId val="{00000005-FE70-4AD1-8C35-ADDAD01D614B}"/>
            </c:ext>
          </c:extLst>
        </c:ser>
        <c:dLbls>
          <c:showLegendKey val="0"/>
          <c:showVal val="0"/>
          <c:showCatName val="0"/>
          <c:showSerName val="0"/>
          <c:showPercent val="0"/>
          <c:showBubbleSize val="0"/>
        </c:dLbls>
        <c:smooth val="0"/>
        <c:axId val="475496832"/>
        <c:axId val="475498368"/>
      </c:lineChart>
      <c:dateAx>
        <c:axId val="475496832"/>
        <c:scaling>
          <c:orientation val="minMax"/>
        </c:scaling>
        <c:delete val="0"/>
        <c:axPos val="b"/>
        <c:numFmt formatCode="mm/yyyy" sourceLinked="0"/>
        <c:majorTickMark val="none"/>
        <c:minorTickMark val="none"/>
        <c:tickLblPos val="nextTo"/>
        <c:spPr>
          <a:ln w="3175">
            <a:noFill/>
          </a:ln>
        </c:spPr>
        <c:crossAx val="475498368"/>
        <c:crosses val="autoZero"/>
        <c:auto val="1"/>
        <c:lblOffset val="100"/>
        <c:baseTimeUnit val="days"/>
      </c:dateAx>
      <c:valAx>
        <c:axId val="475498368"/>
        <c:scaling>
          <c:orientation val="minMax"/>
          <c:min val="49.9"/>
        </c:scaling>
        <c:delete val="0"/>
        <c:axPos val="l"/>
        <c:numFmt formatCode="0" sourceLinked="1"/>
        <c:majorTickMark val="none"/>
        <c:minorTickMark val="none"/>
        <c:tickLblPos val="nextTo"/>
        <c:spPr>
          <a:noFill/>
          <a:ln w="9525" cap="flat" cmpd="sng" algn="ctr">
            <a:solidFill>
              <a:schemeClr val="tx1"/>
            </a:solidFill>
            <a:prstDash val="solid"/>
            <a:round/>
          </a:ln>
          <a:effectLst/>
        </c:spPr>
        <c:crossAx val="475496832"/>
        <c:crosses val="autoZero"/>
        <c:crossBetween val="between"/>
        <c:majorUnit val="10"/>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chart>
  <c:spPr>
    <a:solidFill>
      <a:srgbClr val="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defRPr>
          <a:solidFill>
            <a:sysClr val="windowText" lastClr="000000"/>
          </a:solidFill>
          <a:latin typeface="Comic Sans MS" panose="030F0702030302020204" pitchFamily="66" charset="0"/>
        </a:defRPr>
      </a:pPr>
      <a:endParaRPr lang="de-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Graphs!$Y$1</c:f>
              <c:strCache>
                <c:ptCount val="1"/>
                <c:pt idx="0">
                  <c:v>JWU</c:v>
                </c:pt>
              </c:strCache>
            </c:strRef>
          </c:tx>
          <c:spPr>
            <a:ln w="19050" cap="rnd" cmpd="sng" algn="ctr">
              <a:solidFill>
                <a:srgbClr val="003CB4"/>
              </a:solidFill>
              <a:prstDash val="solid"/>
              <a:round/>
              <a:headEnd type="none" w="med" len="med"/>
              <a:tailEnd type="none" w="med" len="med"/>
            </a:ln>
            <a:effectLst/>
          </c:spPr>
          <c:marker>
            <c:symbol val="none"/>
          </c:marker>
          <c:cat>
            <c:numRef>
              <c:f>Graphs!$X$2:$X$64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Graphs!$Y$2:$Y$64</c:f>
              <c:numCache>
                <c:formatCode>0%</c:formatCode>
                <c:ptCount val="63"/>
                <c:pt idx="0">
                  <c:v>1</c:v>
                </c:pt>
                <c:pt idx="1">
                  <c:v>1</c:v>
                </c:pt>
                <c:pt idx="2">
                  <c:v>0.66666666666666663</c:v>
                </c:pt>
                <c:pt idx="3">
                  <c:v>0.75</c:v>
                </c:pt>
                <c:pt idx="4">
                  <c:v>0.8</c:v>
                </c:pt>
                <c:pt idx="5">
                  <c:v>0.83333333333333337</c:v>
                </c:pt>
                <c:pt idx="6">
                  <c:v>0.8571428571428571</c:v>
                </c:pt>
                <c:pt idx="7">
                  <c:v>0.875</c:v>
                </c:pt>
                <c:pt idx="8">
                  <c:v>0.88888888888888884</c:v>
                </c:pt>
                <c:pt idx="9">
                  <c:v>0.9</c:v>
                </c:pt>
                <c:pt idx="10">
                  <c:v>0.90909090909090906</c:v>
                </c:pt>
                <c:pt idx="11">
                  <c:v>0.90909090909090906</c:v>
                </c:pt>
                <c:pt idx="12">
                  <c:v>0.84615384615384615</c:v>
                </c:pt>
                <c:pt idx="13">
                  <c:v>0.8571428571428571</c:v>
                </c:pt>
                <c:pt idx="14">
                  <c:v>0.8666666666666667</c:v>
                </c:pt>
                <c:pt idx="15">
                  <c:v>0.875</c:v>
                </c:pt>
                <c:pt idx="16">
                  <c:v>0.88235294117647056</c:v>
                </c:pt>
                <c:pt idx="17">
                  <c:v>0.88888888888888884</c:v>
                </c:pt>
                <c:pt idx="18">
                  <c:v>0.89473684210526316</c:v>
                </c:pt>
                <c:pt idx="19">
                  <c:v>0.9</c:v>
                </c:pt>
                <c:pt idx="20">
                  <c:v>0.90476190476190477</c:v>
                </c:pt>
                <c:pt idx="21">
                  <c:v>0.86363636363636365</c:v>
                </c:pt>
                <c:pt idx="22">
                  <c:v>0.82608695652173914</c:v>
                </c:pt>
                <c:pt idx="23">
                  <c:v>0.82608695652173914</c:v>
                </c:pt>
                <c:pt idx="24">
                  <c:v>0.84</c:v>
                </c:pt>
                <c:pt idx="25">
                  <c:v>0.80769230769230771</c:v>
                </c:pt>
                <c:pt idx="26">
                  <c:v>0.81481481481481477</c:v>
                </c:pt>
                <c:pt idx="27">
                  <c:v>0.7857142857142857</c:v>
                </c:pt>
                <c:pt idx="28">
                  <c:v>0.7931034482758621</c:v>
                </c:pt>
                <c:pt idx="29">
                  <c:v>0.8</c:v>
                </c:pt>
                <c:pt idx="30">
                  <c:v>0.80645161290322576</c:v>
                </c:pt>
                <c:pt idx="31">
                  <c:v>0.78125</c:v>
                </c:pt>
                <c:pt idx="32">
                  <c:v>0.78787878787878785</c:v>
                </c:pt>
                <c:pt idx="33">
                  <c:v>0.79411764705882348</c:v>
                </c:pt>
                <c:pt idx="34">
                  <c:v>0.8</c:v>
                </c:pt>
                <c:pt idx="35">
                  <c:v>0.8</c:v>
                </c:pt>
                <c:pt idx="36">
                  <c:v>0.81081081081081086</c:v>
                </c:pt>
                <c:pt idx="37">
                  <c:v>0.81578947368421051</c:v>
                </c:pt>
                <c:pt idx="38">
                  <c:v>0.82051282051282048</c:v>
                </c:pt>
                <c:pt idx="39">
                  <c:v>0.82499999999999996</c:v>
                </c:pt>
                <c:pt idx="40">
                  <c:v>0.82926829268292679</c:v>
                </c:pt>
                <c:pt idx="41">
                  <c:v>0.83333333333333337</c:v>
                </c:pt>
                <c:pt idx="42">
                  <c:v>0.81395348837209303</c:v>
                </c:pt>
                <c:pt idx="43">
                  <c:v>0.81818181818181823</c:v>
                </c:pt>
                <c:pt idx="44">
                  <c:v>0.82222222222222219</c:v>
                </c:pt>
                <c:pt idx="45">
                  <c:v>0.80434782608695654</c:v>
                </c:pt>
                <c:pt idx="46">
                  <c:v>0.80851063829787229</c:v>
                </c:pt>
                <c:pt idx="47">
                  <c:v>0.80851063829787229</c:v>
                </c:pt>
                <c:pt idx="48">
                  <c:v>0.79591836734693877</c:v>
                </c:pt>
                <c:pt idx="49">
                  <c:v>0.79591836734693877</c:v>
                </c:pt>
                <c:pt idx="50">
                  <c:v>0.78431372549019607</c:v>
                </c:pt>
                <c:pt idx="51">
                  <c:v>0.78431372549019607</c:v>
                </c:pt>
                <c:pt idx="52">
                  <c:v>0.77358490566037741</c:v>
                </c:pt>
                <c:pt idx="53">
                  <c:v>0.77358490566037741</c:v>
                </c:pt>
                <c:pt idx="54">
                  <c:v>0.76363636363636367</c:v>
                </c:pt>
                <c:pt idx="55">
                  <c:v>0.76363636363636367</c:v>
                </c:pt>
                <c:pt idx="56">
                  <c:v>0.77192982456140347</c:v>
                </c:pt>
                <c:pt idx="57">
                  <c:v>0.77192982456140347</c:v>
                </c:pt>
                <c:pt idx="58">
                  <c:v>0.76271186440677963</c:v>
                </c:pt>
                <c:pt idx="59">
                  <c:v>0.76271186440677963</c:v>
                </c:pt>
                <c:pt idx="60">
                  <c:v>0.78333333333333333</c:v>
                </c:pt>
                <c:pt idx="61">
                  <c:v>0.78333333333333333</c:v>
                </c:pt>
                <c:pt idx="62">
                  <c:v>0.78688524590163933</c:v>
                </c:pt>
              </c:numCache>
            </c:numRef>
          </c:val>
          <c:smooth val="0"/>
          <c:extLst>
            <c:ext xmlns:c16="http://schemas.microsoft.com/office/drawing/2014/chart" uri="{C3380CC4-5D6E-409C-BE32-E72D297353CC}">
              <c16:uniqueId val="{00000000-7BF4-456F-A319-CA191E4A1519}"/>
            </c:ext>
          </c:extLst>
        </c:ser>
        <c:ser>
          <c:idx val="1"/>
          <c:order val="1"/>
          <c:tx>
            <c:strRef>
              <c:f>Graphs!$Z$1</c:f>
              <c:strCache>
                <c:ptCount val="1"/>
                <c:pt idx="0">
                  <c:v>CBO</c:v>
                </c:pt>
              </c:strCache>
            </c:strRef>
          </c:tx>
          <c:spPr>
            <a:ln w="19050" cap="rnd" cmpd="sng" algn="ctr">
              <a:solidFill>
                <a:srgbClr val="008CD2"/>
              </a:solidFill>
              <a:prstDash val="solid"/>
              <a:round/>
              <a:headEnd type="none" w="med" len="med"/>
              <a:tailEnd type="none" w="med" len="med"/>
            </a:ln>
            <a:effectLst/>
          </c:spPr>
          <c:marker>
            <c:symbol val="none"/>
          </c:marker>
          <c:cat>
            <c:numRef>
              <c:f>Graphs!$X$2:$X$64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Graphs!$Z$2:$Z$64</c:f>
              <c:numCache>
                <c:formatCode>0%</c:formatCode>
                <c:ptCount val="63"/>
                <c:pt idx="0">
                  <c:v>0</c:v>
                </c:pt>
                <c:pt idx="1">
                  <c:v>0</c:v>
                </c:pt>
                <c:pt idx="2">
                  <c:v>0</c:v>
                </c:pt>
                <c:pt idx="3">
                  <c:v>0</c:v>
                </c:pt>
                <c:pt idx="4">
                  <c:v>0</c:v>
                </c:pt>
                <c:pt idx="5">
                  <c:v>0</c:v>
                </c:pt>
                <c:pt idx="6">
                  <c:v>0</c:v>
                </c:pt>
                <c:pt idx="7">
                  <c:v>0</c:v>
                </c:pt>
                <c:pt idx="8">
                  <c:v>0</c:v>
                </c:pt>
                <c:pt idx="9">
                  <c:v>0.1</c:v>
                </c:pt>
                <c:pt idx="10">
                  <c:v>9.0909090909090912E-2</c:v>
                </c:pt>
                <c:pt idx="11">
                  <c:v>9.0909090909090912E-2</c:v>
                </c:pt>
                <c:pt idx="12">
                  <c:v>7.6923076923076927E-2</c:v>
                </c:pt>
                <c:pt idx="13">
                  <c:v>7.1428571428571425E-2</c:v>
                </c:pt>
                <c:pt idx="14">
                  <c:v>6.6666666666666666E-2</c:v>
                </c:pt>
                <c:pt idx="15">
                  <c:v>6.25E-2</c:v>
                </c:pt>
                <c:pt idx="16">
                  <c:v>5.8823529411764705E-2</c:v>
                </c:pt>
                <c:pt idx="17">
                  <c:v>5.5555555555555552E-2</c:v>
                </c:pt>
                <c:pt idx="18">
                  <c:v>5.2631578947368418E-2</c:v>
                </c:pt>
                <c:pt idx="19">
                  <c:v>0.05</c:v>
                </c:pt>
                <c:pt idx="20">
                  <c:v>4.7619047619047616E-2</c:v>
                </c:pt>
                <c:pt idx="21">
                  <c:v>4.5454545454545456E-2</c:v>
                </c:pt>
                <c:pt idx="22">
                  <c:v>4.3478260869565216E-2</c:v>
                </c:pt>
                <c:pt idx="23">
                  <c:v>4.3478260869565216E-2</c:v>
                </c:pt>
                <c:pt idx="24">
                  <c:v>0.04</c:v>
                </c:pt>
                <c:pt idx="25">
                  <c:v>3.8461538461538464E-2</c:v>
                </c:pt>
                <c:pt idx="26">
                  <c:v>7.407407407407407E-2</c:v>
                </c:pt>
                <c:pt idx="27">
                  <c:v>7.1428571428571425E-2</c:v>
                </c:pt>
                <c:pt idx="28">
                  <c:v>6.8965517241379309E-2</c:v>
                </c:pt>
                <c:pt idx="29">
                  <c:v>0.1</c:v>
                </c:pt>
                <c:pt idx="30">
                  <c:v>9.6774193548387094E-2</c:v>
                </c:pt>
                <c:pt idx="31">
                  <c:v>9.375E-2</c:v>
                </c:pt>
                <c:pt idx="32">
                  <c:v>9.0909090909090912E-2</c:v>
                </c:pt>
                <c:pt idx="33">
                  <c:v>8.8235294117647065E-2</c:v>
                </c:pt>
                <c:pt idx="34">
                  <c:v>8.5714285714285715E-2</c:v>
                </c:pt>
                <c:pt idx="35">
                  <c:v>8.5714285714285715E-2</c:v>
                </c:pt>
                <c:pt idx="36">
                  <c:v>8.1081081081081086E-2</c:v>
                </c:pt>
                <c:pt idx="37">
                  <c:v>7.8947368421052627E-2</c:v>
                </c:pt>
                <c:pt idx="38">
                  <c:v>7.6923076923076927E-2</c:v>
                </c:pt>
                <c:pt idx="39">
                  <c:v>0.1</c:v>
                </c:pt>
                <c:pt idx="40">
                  <c:v>0.12195121951219512</c:v>
                </c:pt>
                <c:pt idx="41">
                  <c:v>0.14285714285714285</c:v>
                </c:pt>
                <c:pt idx="42">
                  <c:v>0.16279069767441862</c:v>
                </c:pt>
                <c:pt idx="43">
                  <c:v>0.18181818181818182</c:v>
                </c:pt>
                <c:pt idx="44">
                  <c:v>0.17777777777777778</c:v>
                </c:pt>
                <c:pt idx="45">
                  <c:v>0.19565217391304349</c:v>
                </c:pt>
                <c:pt idx="46">
                  <c:v>0.21276595744680851</c:v>
                </c:pt>
                <c:pt idx="47">
                  <c:v>0.21276595744680851</c:v>
                </c:pt>
                <c:pt idx="48">
                  <c:v>0.22448979591836735</c:v>
                </c:pt>
                <c:pt idx="49">
                  <c:v>0.22448979591836735</c:v>
                </c:pt>
                <c:pt idx="50">
                  <c:v>0.21568627450980393</c:v>
                </c:pt>
                <c:pt idx="51">
                  <c:v>0.21568627450980393</c:v>
                </c:pt>
                <c:pt idx="52">
                  <c:v>0.24528301886792453</c:v>
                </c:pt>
                <c:pt idx="53">
                  <c:v>0.24528301886792453</c:v>
                </c:pt>
                <c:pt idx="54">
                  <c:v>0.25454545454545452</c:v>
                </c:pt>
                <c:pt idx="55">
                  <c:v>0.25454545454545452</c:v>
                </c:pt>
                <c:pt idx="56">
                  <c:v>0.2807017543859649</c:v>
                </c:pt>
                <c:pt idx="57">
                  <c:v>0.2807017543859649</c:v>
                </c:pt>
                <c:pt idx="58">
                  <c:v>0.30508474576271188</c:v>
                </c:pt>
                <c:pt idx="59">
                  <c:v>0.30508474576271188</c:v>
                </c:pt>
                <c:pt idx="60">
                  <c:v>0.31666666666666665</c:v>
                </c:pt>
                <c:pt idx="61">
                  <c:v>0.31666666666666665</c:v>
                </c:pt>
                <c:pt idx="62">
                  <c:v>0.32786885245901637</c:v>
                </c:pt>
              </c:numCache>
            </c:numRef>
          </c:val>
          <c:smooth val="0"/>
          <c:extLst>
            <c:ext xmlns:c16="http://schemas.microsoft.com/office/drawing/2014/chart" uri="{C3380CC4-5D6E-409C-BE32-E72D297353CC}">
              <c16:uniqueId val="{00000001-7BF4-456F-A319-CA191E4A1519}"/>
            </c:ext>
          </c:extLst>
        </c:ser>
        <c:ser>
          <c:idx val="2"/>
          <c:order val="2"/>
          <c:tx>
            <c:strRef>
              <c:f>Graphs!$AA$1</c:f>
              <c:strCache>
                <c:ptCount val="1"/>
                <c:pt idx="0">
                  <c:v>PKN</c:v>
                </c:pt>
              </c:strCache>
            </c:strRef>
          </c:tx>
          <c:spPr>
            <a:ln w="19050" cap="rnd" cmpd="sng" algn="ctr">
              <a:solidFill>
                <a:srgbClr val="000078"/>
              </a:solidFill>
              <a:prstDash val="solid"/>
              <a:round/>
              <a:headEnd type="none" w="med" len="med"/>
              <a:tailEnd type="none" w="med" len="med"/>
            </a:ln>
            <a:effectLst/>
          </c:spPr>
          <c:marker>
            <c:symbol val="none"/>
          </c:marker>
          <c:cat>
            <c:numRef>
              <c:f>Graphs!$X$2:$X$64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Graphs!$AA$2:$AA$64</c:f>
              <c:numCache>
                <c:formatCode>0%</c:formatCode>
                <c:ptCount val="63"/>
                <c:pt idx="0">
                  <c:v>1</c:v>
                </c:pt>
                <c:pt idx="1">
                  <c:v>1</c:v>
                </c:pt>
                <c:pt idx="2">
                  <c:v>1</c:v>
                </c:pt>
                <c:pt idx="3">
                  <c:v>1</c:v>
                </c:pt>
                <c:pt idx="4">
                  <c:v>1</c:v>
                </c:pt>
                <c:pt idx="5">
                  <c:v>0.83333333333333337</c:v>
                </c:pt>
                <c:pt idx="6">
                  <c:v>0.8571428571428571</c:v>
                </c:pt>
                <c:pt idx="7">
                  <c:v>0.75</c:v>
                </c:pt>
                <c:pt idx="8">
                  <c:v>0.77777777777777779</c:v>
                </c:pt>
                <c:pt idx="9">
                  <c:v>0.8</c:v>
                </c:pt>
                <c:pt idx="10">
                  <c:v>0.81818181818181823</c:v>
                </c:pt>
                <c:pt idx="11">
                  <c:v>0.81818181818181823</c:v>
                </c:pt>
                <c:pt idx="12">
                  <c:v>0.76923076923076927</c:v>
                </c:pt>
                <c:pt idx="13">
                  <c:v>0.7857142857142857</c:v>
                </c:pt>
                <c:pt idx="14">
                  <c:v>0.8</c:v>
                </c:pt>
                <c:pt idx="15">
                  <c:v>0.8125</c:v>
                </c:pt>
                <c:pt idx="16">
                  <c:v>0.82352941176470584</c:v>
                </c:pt>
                <c:pt idx="17">
                  <c:v>0.83333333333333337</c:v>
                </c:pt>
                <c:pt idx="18">
                  <c:v>0.84210526315789469</c:v>
                </c:pt>
                <c:pt idx="19">
                  <c:v>0.85</c:v>
                </c:pt>
                <c:pt idx="20">
                  <c:v>0.8571428571428571</c:v>
                </c:pt>
                <c:pt idx="21">
                  <c:v>0.86363636363636365</c:v>
                </c:pt>
                <c:pt idx="22">
                  <c:v>0.86956521739130432</c:v>
                </c:pt>
                <c:pt idx="23">
                  <c:v>0.86956521739130432</c:v>
                </c:pt>
                <c:pt idx="24">
                  <c:v>0.88</c:v>
                </c:pt>
                <c:pt idx="25">
                  <c:v>0.84615384615384615</c:v>
                </c:pt>
                <c:pt idx="26">
                  <c:v>0.85185185185185186</c:v>
                </c:pt>
                <c:pt idx="27">
                  <c:v>0.8571428571428571</c:v>
                </c:pt>
                <c:pt idx="28">
                  <c:v>0.86206896551724133</c:v>
                </c:pt>
                <c:pt idx="29">
                  <c:v>0.8666666666666667</c:v>
                </c:pt>
                <c:pt idx="30">
                  <c:v>0.83870967741935487</c:v>
                </c:pt>
                <c:pt idx="31">
                  <c:v>0.84375</c:v>
                </c:pt>
                <c:pt idx="32">
                  <c:v>0.84848484848484851</c:v>
                </c:pt>
                <c:pt idx="33">
                  <c:v>0.8529411764705882</c:v>
                </c:pt>
                <c:pt idx="34">
                  <c:v>0.8571428571428571</c:v>
                </c:pt>
                <c:pt idx="35">
                  <c:v>0.8571428571428571</c:v>
                </c:pt>
                <c:pt idx="36">
                  <c:v>0.86486486486486491</c:v>
                </c:pt>
                <c:pt idx="37">
                  <c:v>0.84210526315789469</c:v>
                </c:pt>
                <c:pt idx="38">
                  <c:v>0.84615384615384615</c:v>
                </c:pt>
                <c:pt idx="39">
                  <c:v>0.82499999999999996</c:v>
                </c:pt>
                <c:pt idx="40">
                  <c:v>0.82926829268292679</c:v>
                </c:pt>
                <c:pt idx="41">
                  <c:v>0.80952380952380953</c:v>
                </c:pt>
                <c:pt idx="42">
                  <c:v>0.81395348837209303</c:v>
                </c:pt>
                <c:pt idx="43">
                  <c:v>0.81818181818181823</c:v>
                </c:pt>
                <c:pt idx="44">
                  <c:v>0.82222222222222219</c:v>
                </c:pt>
                <c:pt idx="45">
                  <c:v>0.82608695652173914</c:v>
                </c:pt>
                <c:pt idx="46">
                  <c:v>0.82978723404255317</c:v>
                </c:pt>
                <c:pt idx="47">
                  <c:v>0.82978723404255317</c:v>
                </c:pt>
                <c:pt idx="48">
                  <c:v>0.79591836734693877</c:v>
                </c:pt>
                <c:pt idx="49">
                  <c:v>0.79591836734693877</c:v>
                </c:pt>
                <c:pt idx="50">
                  <c:v>0.76470588235294112</c:v>
                </c:pt>
                <c:pt idx="51">
                  <c:v>0.76470588235294112</c:v>
                </c:pt>
                <c:pt idx="52">
                  <c:v>0.75471698113207553</c:v>
                </c:pt>
                <c:pt idx="53">
                  <c:v>0.75471698113207553</c:v>
                </c:pt>
                <c:pt idx="54">
                  <c:v>0.76363636363636367</c:v>
                </c:pt>
                <c:pt idx="55">
                  <c:v>0.76363636363636367</c:v>
                </c:pt>
                <c:pt idx="56">
                  <c:v>0.75438596491228072</c:v>
                </c:pt>
                <c:pt idx="57">
                  <c:v>0.75438596491228072</c:v>
                </c:pt>
                <c:pt idx="58">
                  <c:v>0.76271186440677963</c:v>
                </c:pt>
                <c:pt idx="59">
                  <c:v>0.76271186440677963</c:v>
                </c:pt>
                <c:pt idx="60">
                  <c:v>0.78333333333333333</c:v>
                </c:pt>
                <c:pt idx="61">
                  <c:v>0.78333333333333333</c:v>
                </c:pt>
                <c:pt idx="62">
                  <c:v>0.78688524590163933</c:v>
                </c:pt>
              </c:numCache>
            </c:numRef>
          </c:val>
          <c:smooth val="0"/>
          <c:extLst>
            <c:ext xmlns:c16="http://schemas.microsoft.com/office/drawing/2014/chart" uri="{C3380CC4-5D6E-409C-BE32-E72D297353CC}">
              <c16:uniqueId val="{00000002-7BF4-456F-A319-CA191E4A1519}"/>
            </c:ext>
          </c:extLst>
        </c:ser>
        <c:ser>
          <c:idx val="3"/>
          <c:order val="3"/>
          <c:tx>
            <c:strRef>
              <c:f>Graphs!$AB$1</c:f>
              <c:strCache>
                <c:ptCount val="1"/>
                <c:pt idx="0">
                  <c:v>YMI</c:v>
                </c:pt>
              </c:strCache>
            </c:strRef>
          </c:tx>
          <c:spPr>
            <a:ln w="19050" cap="rnd" cmpd="sng" algn="ctr">
              <a:solidFill>
                <a:srgbClr val="00BEC8"/>
              </a:solidFill>
              <a:prstDash val="sysDash"/>
              <a:round/>
              <a:headEnd type="none" w="med" len="med"/>
              <a:tailEnd type="none" w="med" len="med"/>
            </a:ln>
            <a:effectLst/>
          </c:spPr>
          <c:marker>
            <c:symbol val="none"/>
          </c:marker>
          <c:cat>
            <c:numRef>
              <c:f>Graphs!$X$2:$X$64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Graphs!$AB$2:$AB$64</c:f>
              <c:numCache>
                <c:formatCode>0%</c:formatCode>
                <c:ptCount val="63"/>
                <c:pt idx="0">
                  <c:v>0</c:v>
                </c:pt>
                <c:pt idx="1">
                  <c:v>0</c:v>
                </c:pt>
                <c:pt idx="2">
                  <c:v>0</c:v>
                </c:pt>
                <c:pt idx="3">
                  <c:v>0</c:v>
                </c:pt>
                <c:pt idx="4">
                  <c:v>0</c:v>
                </c:pt>
                <c:pt idx="5">
                  <c:v>0</c:v>
                </c:pt>
                <c:pt idx="6">
                  <c:v>0</c:v>
                </c:pt>
                <c:pt idx="7">
                  <c:v>0</c:v>
                </c:pt>
                <c:pt idx="8">
                  <c:v>0.1111111111111111</c:v>
                </c:pt>
                <c:pt idx="9">
                  <c:v>0.2</c:v>
                </c:pt>
                <c:pt idx="10">
                  <c:v>0.27272727272727271</c:v>
                </c:pt>
                <c:pt idx="11">
                  <c:v>0.27272727272727271</c:v>
                </c:pt>
                <c:pt idx="12">
                  <c:v>0.23076923076923078</c:v>
                </c:pt>
                <c:pt idx="13">
                  <c:v>0.2857142857142857</c:v>
                </c:pt>
                <c:pt idx="14">
                  <c:v>0.33333333333333331</c:v>
                </c:pt>
                <c:pt idx="15">
                  <c:v>0.3125</c:v>
                </c:pt>
                <c:pt idx="16">
                  <c:v>0.29411764705882354</c:v>
                </c:pt>
                <c:pt idx="17">
                  <c:v>0.27777777777777779</c:v>
                </c:pt>
                <c:pt idx="18">
                  <c:v>0.26315789473684209</c:v>
                </c:pt>
                <c:pt idx="19">
                  <c:v>0.25</c:v>
                </c:pt>
                <c:pt idx="20">
                  <c:v>0.2857142857142857</c:v>
                </c:pt>
                <c:pt idx="21">
                  <c:v>0.31818181818181818</c:v>
                </c:pt>
                <c:pt idx="22">
                  <c:v>0.30434782608695654</c:v>
                </c:pt>
                <c:pt idx="23">
                  <c:v>0.30434782608695654</c:v>
                </c:pt>
                <c:pt idx="24">
                  <c:v>0.28000000000000003</c:v>
                </c:pt>
                <c:pt idx="25">
                  <c:v>0.26923076923076922</c:v>
                </c:pt>
                <c:pt idx="26">
                  <c:v>0.29629629629629628</c:v>
                </c:pt>
                <c:pt idx="27">
                  <c:v>0.2857142857142857</c:v>
                </c:pt>
                <c:pt idx="28">
                  <c:v>0.27586206896551724</c:v>
                </c:pt>
                <c:pt idx="29">
                  <c:v>0.26666666666666666</c:v>
                </c:pt>
                <c:pt idx="30">
                  <c:v>0.29032258064516131</c:v>
                </c:pt>
                <c:pt idx="31">
                  <c:v>0.3125</c:v>
                </c:pt>
                <c:pt idx="32">
                  <c:v>0.33333333333333331</c:v>
                </c:pt>
                <c:pt idx="33">
                  <c:v>0.3235294117647059</c:v>
                </c:pt>
                <c:pt idx="34">
                  <c:v>0.34285714285714286</c:v>
                </c:pt>
                <c:pt idx="35">
                  <c:v>0.34285714285714286</c:v>
                </c:pt>
                <c:pt idx="36">
                  <c:v>0.32432432432432434</c:v>
                </c:pt>
                <c:pt idx="37">
                  <c:v>0.31578947368421051</c:v>
                </c:pt>
                <c:pt idx="38">
                  <c:v>0.30769230769230771</c:v>
                </c:pt>
                <c:pt idx="39">
                  <c:v>0.3</c:v>
                </c:pt>
                <c:pt idx="40">
                  <c:v>0.31707317073170732</c:v>
                </c:pt>
                <c:pt idx="41">
                  <c:v>0.30952380952380953</c:v>
                </c:pt>
                <c:pt idx="42">
                  <c:v>0.30232558139534882</c:v>
                </c:pt>
                <c:pt idx="43">
                  <c:v>0.31818181818181818</c:v>
                </c:pt>
                <c:pt idx="44">
                  <c:v>0.33333333333333331</c:v>
                </c:pt>
                <c:pt idx="45">
                  <c:v>0.32608695652173914</c:v>
                </c:pt>
                <c:pt idx="46">
                  <c:v>0.31914893617021278</c:v>
                </c:pt>
                <c:pt idx="47">
                  <c:v>0.31914893617021278</c:v>
                </c:pt>
                <c:pt idx="48">
                  <c:v>0.32653061224489793</c:v>
                </c:pt>
                <c:pt idx="49">
                  <c:v>0.32653061224489793</c:v>
                </c:pt>
                <c:pt idx="50">
                  <c:v>0.31372549019607843</c:v>
                </c:pt>
                <c:pt idx="51">
                  <c:v>0.31372549019607843</c:v>
                </c:pt>
                <c:pt idx="52">
                  <c:v>0.33962264150943394</c:v>
                </c:pt>
                <c:pt idx="53">
                  <c:v>0.33962264150943394</c:v>
                </c:pt>
                <c:pt idx="54">
                  <c:v>0.34545454545454546</c:v>
                </c:pt>
                <c:pt idx="55">
                  <c:v>0.34545454545454546</c:v>
                </c:pt>
                <c:pt idx="56">
                  <c:v>0.33333333333333331</c:v>
                </c:pt>
                <c:pt idx="57">
                  <c:v>0.33333333333333331</c:v>
                </c:pt>
                <c:pt idx="58">
                  <c:v>0.33898305084745761</c:v>
                </c:pt>
                <c:pt idx="59">
                  <c:v>0.33898305084745761</c:v>
                </c:pt>
                <c:pt idx="60">
                  <c:v>0.36666666666666664</c:v>
                </c:pt>
                <c:pt idx="61">
                  <c:v>0.36666666666666664</c:v>
                </c:pt>
                <c:pt idx="62">
                  <c:v>0.36065573770491804</c:v>
                </c:pt>
              </c:numCache>
            </c:numRef>
          </c:val>
          <c:smooth val="0"/>
          <c:extLst>
            <c:ext xmlns:c16="http://schemas.microsoft.com/office/drawing/2014/chart" uri="{C3380CC4-5D6E-409C-BE32-E72D297353CC}">
              <c16:uniqueId val="{00000003-7BF4-456F-A319-CA191E4A1519}"/>
            </c:ext>
          </c:extLst>
        </c:ser>
        <c:ser>
          <c:idx val="4"/>
          <c:order val="4"/>
          <c:tx>
            <c:strRef>
              <c:f>Graphs!$AC$1</c:f>
              <c:strCache>
                <c:ptCount val="1"/>
                <c:pt idx="0">
                  <c:v>SJU</c:v>
                </c:pt>
              </c:strCache>
            </c:strRef>
          </c:tx>
          <c:spPr>
            <a:ln w="19050" cap="rnd" cmpd="sng" algn="ctr">
              <a:solidFill>
                <a:srgbClr val="28CD78"/>
              </a:solidFill>
              <a:prstDash val="solid"/>
              <a:round/>
              <a:headEnd type="none" w="med" len="med"/>
              <a:tailEnd type="none" w="med" len="med"/>
            </a:ln>
            <a:effectLst/>
          </c:spPr>
          <c:marker>
            <c:symbol val="none"/>
          </c:marker>
          <c:cat>
            <c:numRef>
              <c:f>Graphs!$X$2:$X$64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Graphs!$AC$2:$AC$64</c:f>
              <c:numCache>
                <c:formatCode>0%</c:formatCode>
                <c:ptCount val="63"/>
                <c:pt idx="0">
                  <c:v>1</c:v>
                </c:pt>
                <c:pt idx="1">
                  <c:v>0.5</c:v>
                </c:pt>
                <c:pt idx="2">
                  <c:v>0.33333333333333331</c:v>
                </c:pt>
                <c:pt idx="3">
                  <c:v>0.25</c:v>
                </c:pt>
                <c:pt idx="4">
                  <c:v>0.4</c:v>
                </c:pt>
                <c:pt idx="5">
                  <c:v>0.5</c:v>
                </c:pt>
                <c:pt idx="6">
                  <c:v>0.5714285714285714</c:v>
                </c:pt>
                <c:pt idx="7">
                  <c:v>0.625</c:v>
                </c:pt>
                <c:pt idx="8">
                  <c:v>0.66666666666666663</c:v>
                </c:pt>
                <c:pt idx="9">
                  <c:v>0.7</c:v>
                </c:pt>
                <c:pt idx="10">
                  <c:v>0.72727272727272729</c:v>
                </c:pt>
                <c:pt idx="11">
                  <c:v>0.72727272727272729</c:v>
                </c:pt>
                <c:pt idx="12">
                  <c:v>0.69230769230769229</c:v>
                </c:pt>
                <c:pt idx="13">
                  <c:v>0.7142857142857143</c:v>
                </c:pt>
                <c:pt idx="14">
                  <c:v>0.73333333333333328</c:v>
                </c:pt>
                <c:pt idx="15">
                  <c:v>0.75</c:v>
                </c:pt>
                <c:pt idx="16">
                  <c:v>0.76470588235294112</c:v>
                </c:pt>
                <c:pt idx="17">
                  <c:v>0.77777777777777779</c:v>
                </c:pt>
                <c:pt idx="18">
                  <c:v>0.78947368421052633</c:v>
                </c:pt>
                <c:pt idx="19">
                  <c:v>0.8</c:v>
                </c:pt>
                <c:pt idx="20">
                  <c:v>0.80952380952380953</c:v>
                </c:pt>
                <c:pt idx="21">
                  <c:v>0.81818181818181823</c:v>
                </c:pt>
                <c:pt idx="22">
                  <c:v>0.82608695652173914</c:v>
                </c:pt>
                <c:pt idx="23">
                  <c:v>0.82608695652173914</c:v>
                </c:pt>
                <c:pt idx="24">
                  <c:v>0.8</c:v>
                </c:pt>
                <c:pt idx="25">
                  <c:v>0.80769230769230771</c:v>
                </c:pt>
                <c:pt idx="26">
                  <c:v>0.81481481481481477</c:v>
                </c:pt>
                <c:pt idx="27">
                  <c:v>0.8214285714285714</c:v>
                </c:pt>
                <c:pt idx="28">
                  <c:v>0.82758620689655171</c:v>
                </c:pt>
                <c:pt idx="29">
                  <c:v>0.83333333333333337</c:v>
                </c:pt>
                <c:pt idx="30">
                  <c:v>0.83870967741935487</c:v>
                </c:pt>
                <c:pt idx="31">
                  <c:v>0.8125</c:v>
                </c:pt>
                <c:pt idx="32">
                  <c:v>0.81818181818181823</c:v>
                </c:pt>
                <c:pt idx="33">
                  <c:v>0.82352941176470584</c:v>
                </c:pt>
                <c:pt idx="34">
                  <c:v>0.8</c:v>
                </c:pt>
                <c:pt idx="35">
                  <c:v>0.8</c:v>
                </c:pt>
                <c:pt idx="36">
                  <c:v>0.81081081081081086</c:v>
                </c:pt>
                <c:pt idx="37">
                  <c:v>0.81578947368421051</c:v>
                </c:pt>
                <c:pt idx="38">
                  <c:v>0.82051282051282048</c:v>
                </c:pt>
                <c:pt idx="39">
                  <c:v>0.8</c:v>
                </c:pt>
                <c:pt idx="40">
                  <c:v>0.80487804878048785</c:v>
                </c:pt>
                <c:pt idx="41">
                  <c:v>0.80952380952380953</c:v>
                </c:pt>
                <c:pt idx="42">
                  <c:v>0.81395348837209303</c:v>
                </c:pt>
                <c:pt idx="43">
                  <c:v>0.81818181818181823</c:v>
                </c:pt>
                <c:pt idx="44">
                  <c:v>0.82222222222222219</c:v>
                </c:pt>
                <c:pt idx="45">
                  <c:v>0.82608695652173914</c:v>
                </c:pt>
                <c:pt idx="46">
                  <c:v>0.82978723404255317</c:v>
                </c:pt>
                <c:pt idx="47">
                  <c:v>0.82978723404255317</c:v>
                </c:pt>
                <c:pt idx="48">
                  <c:v>0.79591836734693877</c:v>
                </c:pt>
                <c:pt idx="49">
                  <c:v>0.79591836734693877</c:v>
                </c:pt>
                <c:pt idx="50">
                  <c:v>0.76470588235294112</c:v>
                </c:pt>
                <c:pt idx="51">
                  <c:v>0.76470588235294112</c:v>
                </c:pt>
                <c:pt idx="52">
                  <c:v>0.75471698113207553</c:v>
                </c:pt>
                <c:pt idx="53">
                  <c:v>0.75471698113207553</c:v>
                </c:pt>
                <c:pt idx="54">
                  <c:v>0.76363636363636367</c:v>
                </c:pt>
                <c:pt idx="55">
                  <c:v>0.76363636363636367</c:v>
                </c:pt>
                <c:pt idx="56">
                  <c:v>0.75438596491228072</c:v>
                </c:pt>
                <c:pt idx="57">
                  <c:v>0.75438596491228072</c:v>
                </c:pt>
                <c:pt idx="58">
                  <c:v>0.76271186440677963</c:v>
                </c:pt>
                <c:pt idx="59">
                  <c:v>0.76271186440677963</c:v>
                </c:pt>
                <c:pt idx="60">
                  <c:v>0.78333333333333333</c:v>
                </c:pt>
                <c:pt idx="61">
                  <c:v>0.78333333333333333</c:v>
                </c:pt>
                <c:pt idx="62">
                  <c:v>0.78688524590163933</c:v>
                </c:pt>
              </c:numCache>
            </c:numRef>
          </c:val>
          <c:smooth val="0"/>
          <c:extLst>
            <c:ext xmlns:c16="http://schemas.microsoft.com/office/drawing/2014/chart" uri="{C3380CC4-5D6E-409C-BE32-E72D297353CC}">
              <c16:uniqueId val="{00000004-7BF4-456F-A319-CA191E4A1519}"/>
            </c:ext>
          </c:extLst>
        </c:ser>
        <c:ser>
          <c:idx val="5"/>
          <c:order val="5"/>
          <c:tx>
            <c:strRef>
              <c:f>Graphs!$AD$1</c:f>
              <c:strCache>
                <c:ptCount val="1"/>
                <c:pt idx="0">
                  <c:v>MSO</c:v>
                </c:pt>
              </c:strCache>
            </c:strRef>
          </c:tx>
          <c:spPr>
            <a:ln w="28575" cap="rnd" cmpd="sng" algn="ctr">
              <a:solidFill>
                <a:srgbClr val="FFC000"/>
              </a:solidFill>
              <a:prstDash val="solid"/>
              <a:round/>
              <a:headEnd type="none" w="med" len="med"/>
              <a:tailEnd type="none" w="med" len="med"/>
            </a:ln>
            <a:effectLst/>
          </c:spPr>
          <c:marker>
            <c:symbol val="none"/>
          </c:marker>
          <c:cat>
            <c:numRef>
              <c:f>Graphs!$X$2:$X$64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Graphs!$AD$2:$AD$64</c:f>
              <c:numCache>
                <c:formatCode>0%</c:formatCode>
                <c:ptCount val="63"/>
                <c:pt idx="0">
                  <c:v>1</c:v>
                </c:pt>
                <c:pt idx="1">
                  <c:v>1</c:v>
                </c:pt>
                <c:pt idx="2">
                  <c:v>1</c:v>
                </c:pt>
                <c:pt idx="3">
                  <c:v>1</c:v>
                </c:pt>
                <c:pt idx="4">
                  <c:v>1</c:v>
                </c:pt>
                <c:pt idx="5">
                  <c:v>0.83333333333333337</c:v>
                </c:pt>
                <c:pt idx="6">
                  <c:v>0.8571428571428571</c:v>
                </c:pt>
                <c:pt idx="7">
                  <c:v>0.875</c:v>
                </c:pt>
                <c:pt idx="8">
                  <c:v>0.88888888888888884</c:v>
                </c:pt>
                <c:pt idx="9">
                  <c:v>0.9</c:v>
                </c:pt>
                <c:pt idx="10">
                  <c:v>0.90909090909090906</c:v>
                </c:pt>
                <c:pt idx="11">
                  <c:v>0.90909090909090906</c:v>
                </c:pt>
                <c:pt idx="12">
                  <c:v>0.84615384615384615</c:v>
                </c:pt>
                <c:pt idx="13">
                  <c:v>0.8571428571428571</c:v>
                </c:pt>
                <c:pt idx="14">
                  <c:v>0.8666666666666667</c:v>
                </c:pt>
                <c:pt idx="15">
                  <c:v>0.875</c:v>
                </c:pt>
                <c:pt idx="16">
                  <c:v>0.88235294117647056</c:v>
                </c:pt>
                <c:pt idx="17">
                  <c:v>0.83333333333333337</c:v>
                </c:pt>
                <c:pt idx="18">
                  <c:v>0.84210526315789469</c:v>
                </c:pt>
                <c:pt idx="19">
                  <c:v>0.85</c:v>
                </c:pt>
                <c:pt idx="20">
                  <c:v>0.8571428571428571</c:v>
                </c:pt>
                <c:pt idx="21">
                  <c:v>0.86363636363636365</c:v>
                </c:pt>
                <c:pt idx="22">
                  <c:v>0.86956521739130432</c:v>
                </c:pt>
                <c:pt idx="23">
                  <c:v>0.86956521739130432</c:v>
                </c:pt>
                <c:pt idx="24">
                  <c:v>0.88</c:v>
                </c:pt>
                <c:pt idx="25">
                  <c:v>0.88461538461538458</c:v>
                </c:pt>
                <c:pt idx="26">
                  <c:v>0.85185185185185186</c:v>
                </c:pt>
                <c:pt idx="27">
                  <c:v>0.8571428571428571</c:v>
                </c:pt>
                <c:pt idx="28">
                  <c:v>0.86206896551724133</c:v>
                </c:pt>
                <c:pt idx="29">
                  <c:v>0.8666666666666667</c:v>
                </c:pt>
                <c:pt idx="30">
                  <c:v>0.87096774193548387</c:v>
                </c:pt>
                <c:pt idx="31">
                  <c:v>0.875</c:v>
                </c:pt>
                <c:pt idx="32">
                  <c:v>0.87878787878787878</c:v>
                </c:pt>
                <c:pt idx="33">
                  <c:v>0.88235294117647056</c:v>
                </c:pt>
                <c:pt idx="34">
                  <c:v>0.88571428571428568</c:v>
                </c:pt>
                <c:pt idx="35">
                  <c:v>0.88571428571428568</c:v>
                </c:pt>
                <c:pt idx="36">
                  <c:v>0.89189189189189189</c:v>
                </c:pt>
                <c:pt idx="37">
                  <c:v>0.89473684210526316</c:v>
                </c:pt>
                <c:pt idx="38">
                  <c:v>0.89743589743589747</c:v>
                </c:pt>
                <c:pt idx="39">
                  <c:v>0.9</c:v>
                </c:pt>
                <c:pt idx="40">
                  <c:v>0.90243902439024393</c:v>
                </c:pt>
                <c:pt idx="41">
                  <c:v>0.90476190476190477</c:v>
                </c:pt>
                <c:pt idx="42">
                  <c:v>0.90697674418604646</c:v>
                </c:pt>
                <c:pt idx="43">
                  <c:v>0.90909090909090906</c:v>
                </c:pt>
                <c:pt idx="44">
                  <c:v>0.91111111111111109</c:v>
                </c:pt>
                <c:pt idx="45">
                  <c:v>0.91304347826086951</c:v>
                </c:pt>
                <c:pt idx="46">
                  <c:v>0.91489361702127658</c:v>
                </c:pt>
                <c:pt idx="47">
                  <c:v>0.91489361702127658</c:v>
                </c:pt>
                <c:pt idx="48">
                  <c:v>0.89795918367346939</c:v>
                </c:pt>
                <c:pt idx="49">
                  <c:v>0.89795918367346939</c:v>
                </c:pt>
                <c:pt idx="50">
                  <c:v>0.88235294117647056</c:v>
                </c:pt>
                <c:pt idx="51">
                  <c:v>0.88235294117647056</c:v>
                </c:pt>
                <c:pt idx="52">
                  <c:v>0.8867924528301887</c:v>
                </c:pt>
                <c:pt idx="53">
                  <c:v>0.8867924528301887</c:v>
                </c:pt>
                <c:pt idx="54">
                  <c:v>0.87272727272727268</c:v>
                </c:pt>
                <c:pt idx="55">
                  <c:v>0.87272727272727268</c:v>
                </c:pt>
                <c:pt idx="56">
                  <c:v>0.8771929824561403</c:v>
                </c:pt>
                <c:pt idx="57">
                  <c:v>0.8771929824561403</c:v>
                </c:pt>
                <c:pt idx="58">
                  <c:v>0.86440677966101698</c:v>
                </c:pt>
                <c:pt idx="59">
                  <c:v>0.86440677966101698</c:v>
                </c:pt>
                <c:pt idx="60">
                  <c:v>0.8833333333333333</c:v>
                </c:pt>
                <c:pt idx="61">
                  <c:v>0.8833333333333333</c:v>
                </c:pt>
                <c:pt idx="62">
                  <c:v>0.86885245901639341</c:v>
                </c:pt>
              </c:numCache>
            </c:numRef>
          </c:val>
          <c:smooth val="0"/>
          <c:extLst>
            <c:ext xmlns:c16="http://schemas.microsoft.com/office/drawing/2014/chart" uri="{C3380CC4-5D6E-409C-BE32-E72D297353CC}">
              <c16:uniqueId val="{00000005-7BF4-456F-A319-CA191E4A1519}"/>
            </c:ext>
          </c:extLst>
        </c:ser>
        <c:ser>
          <c:idx val="6"/>
          <c:order val="6"/>
          <c:tx>
            <c:strRef>
              <c:f>Graphs!$AE$1</c:f>
              <c:strCache>
                <c:ptCount val="1"/>
                <c:pt idx="0">
                  <c:v>Overall</c:v>
                </c:pt>
              </c:strCache>
            </c:strRef>
          </c:tx>
          <c:spPr>
            <a:ln w="19050" cap="rnd">
              <a:solidFill>
                <a:schemeClr val="accent1">
                  <a:lumMod val="60000"/>
                </a:schemeClr>
              </a:solidFill>
              <a:round/>
            </a:ln>
            <a:effectLst/>
          </c:spPr>
          <c:marker>
            <c:symbol val="none"/>
          </c:marker>
          <c:cat>
            <c:numRef>
              <c:f>Graphs!$X$2:$X$64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Graphs!$AE$2:$AE$64</c:f>
              <c:numCache>
                <c:formatCode>0%</c:formatCode>
                <c:ptCount val="63"/>
                <c:pt idx="0">
                  <c:v>0.66666666666666663</c:v>
                </c:pt>
                <c:pt idx="1">
                  <c:v>0.58333333333333337</c:v>
                </c:pt>
                <c:pt idx="2">
                  <c:v>0.5</c:v>
                </c:pt>
                <c:pt idx="3">
                  <c:v>0.5</c:v>
                </c:pt>
                <c:pt idx="4">
                  <c:v>0.53333333333333333</c:v>
                </c:pt>
                <c:pt idx="5">
                  <c:v>0.50000000000000011</c:v>
                </c:pt>
                <c:pt idx="6">
                  <c:v>0.52380952380952384</c:v>
                </c:pt>
                <c:pt idx="7">
                  <c:v>0.52083333333333337</c:v>
                </c:pt>
                <c:pt idx="8">
                  <c:v>0.55555555555555547</c:v>
                </c:pt>
                <c:pt idx="9">
                  <c:v>0.6</c:v>
                </c:pt>
                <c:pt idx="10">
                  <c:v>0.62121212121212122</c:v>
                </c:pt>
                <c:pt idx="11">
                  <c:v>0.62121212121212122</c:v>
                </c:pt>
                <c:pt idx="12">
                  <c:v>0.57692307692307698</c:v>
                </c:pt>
                <c:pt idx="13">
                  <c:v>0.59523809523809523</c:v>
                </c:pt>
                <c:pt idx="14">
                  <c:v>0.61111111111111116</c:v>
                </c:pt>
                <c:pt idx="15">
                  <c:v>0.61458333333333337</c:v>
                </c:pt>
                <c:pt idx="16">
                  <c:v>0.61764705882352933</c:v>
                </c:pt>
                <c:pt idx="17">
                  <c:v>0.61111111111111105</c:v>
                </c:pt>
                <c:pt idx="18">
                  <c:v>0.61403508771929827</c:v>
                </c:pt>
                <c:pt idx="19">
                  <c:v>0.61666666666666659</c:v>
                </c:pt>
                <c:pt idx="20">
                  <c:v>0.62698412698412687</c:v>
                </c:pt>
                <c:pt idx="21">
                  <c:v>0.62878787878787878</c:v>
                </c:pt>
                <c:pt idx="22">
                  <c:v>0.62318840579710144</c:v>
                </c:pt>
                <c:pt idx="23">
                  <c:v>0.62318840579710144</c:v>
                </c:pt>
                <c:pt idx="24">
                  <c:v>0.62</c:v>
                </c:pt>
                <c:pt idx="25">
                  <c:v>0.60897435897435892</c:v>
                </c:pt>
                <c:pt idx="26">
                  <c:v>0.61728395061728403</c:v>
                </c:pt>
                <c:pt idx="27">
                  <c:v>0.61309523809523803</c:v>
                </c:pt>
                <c:pt idx="28">
                  <c:v>0.61494252873563215</c:v>
                </c:pt>
                <c:pt idx="29">
                  <c:v>0.62222222222222223</c:v>
                </c:pt>
                <c:pt idx="30">
                  <c:v>0.62365591397849462</c:v>
                </c:pt>
                <c:pt idx="31">
                  <c:v>0.61979166666666663</c:v>
                </c:pt>
                <c:pt idx="32">
                  <c:v>0.6262626262626263</c:v>
                </c:pt>
                <c:pt idx="33">
                  <c:v>0.62745098039215697</c:v>
                </c:pt>
                <c:pt idx="34">
                  <c:v>0.62857142857142867</c:v>
                </c:pt>
                <c:pt idx="35">
                  <c:v>0.62857142857142867</c:v>
                </c:pt>
                <c:pt idx="36">
                  <c:v>0.63063063063063074</c:v>
                </c:pt>
                <c:pt idx="37">
                  <c:v>0.62719298245614041</c:v>
                </c:pt>
                <c:pt idx="38">
                  <c:v>0.62820512820512808</c:v>
                </c:pt>
                <c:pt idx="39">
                  <c:v>0.62499999999999989</c:v>
                </c:pt>
                <c:pt idx="40">
                  <c:v>0.63414634146341464</c:v>
                </c:pt>
                <c:pt idx="41">
                  <c:v>0.634920634920635</c:v>
                </c:pt>
                <c:pt idx="42">
                  <c:v>0.63565891472868219</c:v>
                </c:pt>
                <c:pt idx="43">
                  <c:v>0.64393939393939403</c:v>
                </c:pt>
                <c:pt idx="44">
                  <c:v>0.64814814814814814</c:v>
                </c:pt>
                <c:pt idx="45">
                  <c:v>0.64855072463768126</c:v>
                </c:pt>
                <c:pt idx="46">
                  <c:v>0.65248226950354604</c:v>
                </c:pt>
                <c:pt idx="47">
                  <c:v>0.65248226950354604</c:v>
                </c:pt>
                <c:pt idx="48">
                  <c:v>0.6394557823129251</c:v>
                </c:pt>
                <c:pt idx="49">
                  <c:v>0.6394557823129251</c:v>
                </c:pt>
                <c:pt idx="50">
                  <c:v>0.62091503267973847</c:v>
                </c:pt>
                <c:pt idx="51">
                  <c:v>0.62091503267973847</c:v>
                </c:pt>
                <c:pt idx="52">
                  <c:v>0.62578616352201266</c:v>
                </c:pt>
                <c:pt idx="53">
                  <c:v>0.62578616352201266</c:v>
                </c:pt>
                <c:pt idx="54">
                  <c:v>0.6272727272727272</c:v>
                </c:pt>
                <c:pt idx="55">
                  <c:v>0.6272727272727272</c:v>
                </c:pt>
                <c:pt idx="56">
                  <c:v>0.62865497076023391</c:v>
                </c:pt>
                <c:pt idx="57">
                  <c:v>0.62865497076023391</c:v>
                </c:pt>
                <c:pt idx="58">
                  <c:v>0.63276836158192096</c:v>
                </c:pt>
                <c:pt idx="59">
                  <c:v>0.63276836158192096</c:v>
                </c:pt>
                <c:pt idx="60">
                  <c:v>0.65277777777777779</c:v>
                </c:pt>
                <c:pt idx="61">
                  <c:v>0.65277777777777779</c:v>
                </c:pt>
                <c:pt idx="62">
                  <c:v>0.65300546448087426</c:v>
                </c:pt>
              </c:numCache>
            </c:numRef>
          </c:val>
          <c:smooth val="0"/>
          <c:extLst>
            <c:ext xmlns:c16="http://schemas.microsoft.com/office/drawing/2014/chart" uri="{C3380CC4-5D6E-409C-BE32-E72D297353CC}">
              <c16:uniqueId val="{0000000E-7BF4-456F-A319-CA191E4A1519}"/>
            </c:ext>
          </c:extLst>
        </c:ser>
        <c:ser>
          <c:idx val="7"/>
          <c:order val="7"/>
          <c:tx>
            <c:strRef>
              <c:f>Graphs!$AF$1</c:f>
              <c:strCache>
                <c:ptCount val="1"/>
                <c:pt idx="0">
                  <c:v>JWU</c:v>
                </c:pt>
              </c:strCache>
            </c:strRef>
          </c:tx>
          <c:spPr>
            <a:ln w="28575" cap="rnd">
              <a:solidFill>
                <a:schemeClr val="accent2">
                  <a:lumMod val="60000"/>
                </a:schemeClr>
              </a:solidFill>
              <a:round/>
            </a:ln>
            <a:effectLst/>
          </c:spPr>
          <c:marker>
            <c:symbol val="none"/>
          </c:marker>
          <c:dLbls>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Comic Sans MS" panose="030F0702030302020204" pitchFamily="66"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Graphs!$X$2:$X$64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Graphs!$AF$2:$AF$64</c:f>
              <c:numCache>
                <c:formatCode>General</c:formatCode>
                <c:ptCount val="63"/>
                <c:pt idx="0">
                  <c:v>#N/A</c:v>
                </c:pt>
                <c:pt idx="1">
                  <c:v>#N/A</c:v>
                </c:pt>
                <c:pt idx="2">
                  <c:v>#N/A</c:v>
                </c:pt>
                <c:pt idx="3">
                  <c:v>#N/A</c:v>
                </c:pt>
                <c:pt idx="4" formatCode="0%">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numCache>
            </c:numRef>
          </c:val>
          <c:smooth val="0"/>
          <c:extLst>
            <c:ext xmlns:c16="http://schemas.microsoft.com/office/drawing/2014/chart" uri="{C3380CC4-5D6E-409C-BE32-E72D297353CC}">
              <c16:uniqueId val="{0000000F-7BF4-456F-A319-CA191E4A1519}"/>
            </c:ext>
          </c:extLst>
        </c:ser>
        <c:ser>
          <c:idx val="8"/>
          <c:order val="8"/>
          <c:tx>
            <c:strRef>
              <c:f>Graphs!$AG$1</c:f>
              <c:strCache>
                <c:ptCount val="1"/>
                <c:pt idx="0">
                  <c:v>CBO</c:v>
                </c:pt>
              </c:strCache>
            </c:strRef>
          </c:tx>
          <c:spPr>
            <a:ln w="28575" cap="rnd">
              <a:solidFill>
                <a:schemeClr val="accent3">
                  <a:lumMod val="60000"/>
                </a:schemeClr>
              </a:solidFill>
              <a:round/>
            </a:ln>
            <a:effectLst/>
          </c:spPr>
          <c:marker>
            <c:symbol val="none"/>
          </c:marker>
          <c:dLbls>
            <c:dLbl>
              <c:idx val="4"/>
              <c:layout>
                <c:manualLayout>
                  <c:x val="-2.423642094890688E-17"/>
                  <c:y val="-7.3351381397906534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7BF4-456F-A319-CA191E4A1519}"/>
                </c:ext>
              </c:extLst>
            </c:dLbl>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Comic Sans MS" panose="030F0702030302020204" pitchFamily="66"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Graphs!$X$2:$X$64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Graphs!$AG$2:$AG$64</c:f>
              <c:numCache>
                <c:formatCode>General</c:formatCode>
                <c:ptCount val="63"/>
                <c:pt idx="0">
                  <c:v>#N/A</c:v>
                </c:pt>
                <c:pt idx="1">
                  <c:v>#N/A</c:v>
                </c:pt>
                <c:pt idx="2">
                  <c:v>#N/A</c:v>
                </c:pt>
                <c:pt idx="3">
                  <c:v>#N/A</c:v>
                </c:pt>
                <c:pt idx="4" formatCode="0%">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numCache>
            </c:numRef>
          </c:val>
          <c:smooth val="0"/>
          <c:extLst>
            <c:ext xmlns:c16="http://schemas.microsoft.com/office/drawing/2014/chart" uri="{C3380CC4-5D6E-409C-BE32-E72D297353CC}">
              <c16:uniqueId val="{00000010-7BF4-456F-A319-CA191E4A1519}"/>
            </c:ext>
          </c:extLst>
        </c:ser>
        <c:ser>
          <c:idx val="9"/>
          <c:order val="9"/>
          <c:tx>
            <c:strRef>
              <c:f>Graphs!$AH$1</c:f>
              <c:strCache>
                <c:ptCount val="1"/>
                <c:pt idx="0">
                  <c:v>PKN</c:v>
                </c:pt>
              </c:strCache>
            </c:strRef>
          </c:tx>
          <c:spPr>
            <a:ln w="28575" cap="rnd">
              <a:solidFill>
                <a:schemeClr val="accent4">
                  <a:lumMod val="60000"/>
                </a:schemeClr>
              </a:solidFill>
              <a:round/>
            </a:ln>
            <a:effectLst/>
          </c:spPr>
          <c:marker>
            <c:symbol val="none"/>
          </c:marker>
          <c:dLbls>
            <c:dLbl>
              <c:idx val="4"/>
              <c:layout>
                <c:manualLayout>
                  <c:x val="5.2880074756603323E-3"/>
                  <c:y val="3.6675889860998831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7BF4-456F-A319-CA191E4A1519}"/>
                </c:ext>
              </c:extLst>
            </c:dLbl>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Comic Sans MS" panose="030F0702030302020204" pitchFamily="66"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Graphs!$X$2:$X$64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Graphs!$AH$2:$AH$64</c:f>
              <c:numCache>
                <c:formatCode>General</c:formatCode>
                <c:ptCount val="63"/>
                <c:pt idx="0">
                  <c:v>#N/A</c:v>
                </c:pt>
                <c:pt idx="1">
                  <c:v>#N/A</c:v>
                </c:pt>
                <c:pt idx="2">
                  <c:v>#N/A</c:v>
                </c:pt>
                <c:pt idx="3">
                  <c:v>#N/A</c:v>
                </c:pt>
                <c:pt idx="4" formatCode="0%">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numCache>
            </c:numRef>
          </c:val>
          <c:smooth val="0"/>
          <c:extLst>
            <c:ext xmlns:c16="http://schemas.microsoft.com/office/drawing/2014/chart" uri="{C3380CC4-5D6E-409C-BE32-E72D297353CC}">
              <c16:uniqueId val="{00000011-7BF4-456F-A319-CA191E4A1519}"/>
            </c:ext>
          </c:extLst>
        </c:ser>
        <c:ser>
          <c:idx val="10"/>
          <c:order val="10"/>
          <c:tx>
            <c:strRef>
              <c:f>Graphs!$AI$1</c:f>
              <c:strCache>
                <c:ptCount val="1"/>
                <c:pt idx="0">
                  <c:v>YMI</c:v>
                </c:pt>
              </c:strCache>
            </c:strRef>
          </c:tx>
          <c:spPr>
            <a:ln w="28575" cap="rnd">
              <a:solidFill>
                <a:schemeClr val="accent5">
                  <a:lumMod val="60000"/>
                </a:schemeClr>
              </a:solidFill>
              <a:round/>
            </a:ln>
            <a:effectLst/>
          </c:spPr>
          <c:marker>
            <c:symbol val="none"/>
          </c:marker>
          <c:dLbls>
            <c:dLbl>
              <c:idx val="4"/>
              <c:layout>
                <c:manualLayout>
                  <c:x val="-5.2880074756603323E-3"/>
                  <c:y val="-2.7822937771619781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7-7BF4-456F-A319-CA191E4A1519}"/>
                </c:ext>
              </c:extLst>
            </c:dLbl>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Comic Sans MS" panose="030F0702030302020204" pitchFamily="66"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Graphs!$X$2:$X$64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Graphs!$AI$2:$AI$64</c:f>
              <c:numCache>
                <c:formatCode>General</c:formatCode>
                <c:ptCount val="63"/>
                <c:pt idx="0">
                  <c:v>#N/A</c:v>
                </c:pt>
                <c:pt idx="1">
                  <c:v>#N/A</c:v>
                </c:pt>
                <c:pt idx="2">
                  <c:v>#N/A</c:v>
                </c:pt>
                <c:pt idx="3">
                  <c:v>#N/A</c:v>
                </c:pt>
                <c:pt idx="4" formatCode="0%">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numCache>
            </c:numRef>
          </c:val>
          <c:smooth val="0"/>
          <c:extLst>
            <c:ext xmlns:c16="http://schemas.microsoft.com/office/drawing/2014/chart" uri="{C3380CC4-5D6E-409C-BE32-E72D297353CC}">
              <c16:uniqueId val="{00000012-7BF4-456F-A319-CA191E4A1519}"/>
            </c:ext>
          </c:extLst>
        </c:ser>
        <c:ser>
          <c:idx val="11"/>
          <c:order val="11"/>
          <c:tx>
            <c:strRef>
              <c:f>Graphs!$AJ$1</c:f>
              <c:strCache>
                <c:ptCount val="1"/>
                <c:pt idx="0">
                  <c:v>SJU</c:v>
                </c:pt>
              </c:strCache>
            </c:strRef>
          </c:tx>
          <c:spPr>
            <a:ln w="28575" cap="rnd">
              <a:solidFill>
                <a:schemeClr val="accent6">
                  <a:lumMod val="60000"/>
                </a:schemeClr>
              </a:solidFill>
              <a:round/>
            </a:ln>
            <a:effectLst/>
          </c:spPr>
          <c:marker>
            <c:symbol val="none"/>
          </c:marker>
          <c:dLbls>
            <c:dLbl>
              <c:idx val="26"/>
              <c:layout>
                <c:manualLayout>
                  <c:x val="1.2750456104898304E-3"/>
                  <c:y val="3.7520930105450059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3838-44AA-89EF-1D6FC3D78ACA}"/>
                </c:ext>
              </c:extLst>
            </c:dLbl>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Comic Sans MS" panose="030F0702030302020204" pitchFamily="66"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Graphs!$X$2:$X$64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Graphs!$AJ$2:$AJ$64</c:f>
              <c:numCache>
                <c:formatCode>General</c:formatCode>
                <c:ptCount val="63"/>
                <c:pt idx="0">
                  <c:v>#N/A</c:v>
                </c:pt>
                <c:pt idx="1">
                  <c:v>#N/A</c:v>
                </c:pt>
                <c:pt idx="2">
                  <c:v>#N/A</c:v>
                </c:pt>
                <c:pt idx="3">
                  <c:v>#N/A</c:v>
                </c:pt>
                <c:pt idx="4" formatCode="0%">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numCache>
            </c:numRef>
          </c:val>
          <c:smooth val="0"/>
          <c:extLst>
            <c:ext xmlns:c16="http://schemas.microsoft.com/office/drawing/2014/chart" uri="{C3380CC4-5D6E-409C-BE32-E72D297353CC}">
              <c16:uniqueId val="{00000013-7BF4-456F-A319-CA191E4A1519}"/>
            </c:ext>
          </c:extLst>
        </c:ser>
        <c:ser>
          <c:idx val="12"/>
          <c:order val="12"/>
          <c:tx>
            <c:strRef>
              <c:f>Graphs!$AK$1</c:f>
              <c:strCache>
                <c:ptCount val="1"/>
                <c:pt idx="0">
                  <c:v>MSO</c:v>
                </c:pt>
              </c:strCache>
            </c:strRef>
          </c:tx>
          <c:spPr>
            <a:ln w="28575" cap="rnd">
              <a:solidFill>
                <a:schemeClr val="accent1">
                  <a:lumMod val="80000"/>
                  <a:lumOff val="20000"/>
                </a:schemeClr>
              </a:solidFill>
              <a:round/>
            </a:ln>
            <a:effectLst/>
          </c:spPr>
          <c:marker>
            <c:symbol val="none"/>
          </c:marker>
          <c:dLbls>
            <c:dLbl>
              <c:idx val="17"/>
              <c:layout>
                <c:manualLayout>
                  <c:x val="-3.3013102706949266E-2"/>
                  <c:y val="-3.247721115374836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690-4379-9632-7B0070C58C85}"/>
                </c:ext>
              </c:extLst>
            </c:dLbl>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Comic Sans MS" panose="030F0702030302020204" pitchFamily="66"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Graphs!$X$2:$X$64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Graphs!$AK$2:$AK$64</c:f>
              <c:numCache>
                <c:formatCode>General</c:formatCode>
                <c:ptCount val="63"/>
                <c:pt idx="0">
                  <c:v>#N/A</c:v>
                </c:pt>
                <c:pt idx="1">
                  <c:v>#N/A</c:v>
                </c:pt>
                <c:pt idx="2">
                  <c:v>#N/A</c:v>
                </c:pt>
                <c:pt idx="3">
                  <c:v>#N/A</c:v>
                </c:pt>
                <c:pt idx="4" formatCode="0%">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numCache>
            </c:numRef>
          </c:val>
          <c:smooth val="0"/>
          <c:extLst>
            <c:ext xmlns:c16="http://schemas.microsoft.com/office/drawing/2014/chart" uri="{C3380CC4-5D6E-409C-BE32-E72D297353CC}">
              <c16:uniqueId val="{00000014-7BF4-456F-A319-CA191E4A1519}"/>
            </c:ext>
          </c:extLst>
        </c:ser>
        <c:ser>
          <c:idx val="13"/>
          <c:order val="13"/>
          <c:tx>
            <c:strRef>
              <c:f>Graphs!$AL$1</c:f>
              <c:strCache>
                <c:ptCount val="1"/>
                <c:pt idx="0">
                  <c:v>Overall</c:v>
                </c:pt>
              </c:strCache>
            </c:strRef>
          </c:tx>
          <c:spPr>
            <a:ln w="28575" cap="rnd">
              <a:solidFill>
                <a:schemeClr val="accent2">
                  <a:lumMod val="80000"/>
                  <a:lumOff val="20000"/>
                </a:schemeClr>
              </a:solidFill>
              <a:round/>
            </a:ln>
            <a:effectLst/>
          </c:spPr>
          <c:marker>
            <c:symbol val="none"/>
          </c:marker>
          <c:dLbls>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Comic Sans MS" panose="030F0702030302020204" pitchFamily="66" charset="0"/>
                    <a:ea typeface="+mn-ea"/>
                    <a:cs typeface="+mn-cs"/>
                  </a:defRPr>
                </a:pPr>
                <a:endParaRPr lang="de-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Graphs!$X$2:$X$64</c:f>
              <c:numCache>
                <c:formatCode>m/d/yyyy</c:formatCode>
                <c:ptCount val="63"/>
                <c:pt idx="0">
                  <c:v>43854</c:v>
                </c:pt>
                <c:pt idx="1">
                  <c:v>43861</c:v>
                </c:pt>
                <c:pt idx="2">
                  <c:v>43868</c:v>
                </c:pt>
                <c:pt idx="3">
                  <c:v>43875</c:v>
                </c:pt>
                <c:pt idx="4">
                  <c:v>43882</c:v>
                </c:pt>
                <c:pt idx="5">
                  <c:v>43889</c:v>
                </c:pt>
                <c:pt idx="6">
                  <c:v>43896</c:v>
                </c:pt>
                <c:pt idx="7">
                  <c:v>43903</c:v>
                </c:pt>
                <c:pt idx="8">
                  <c:v>43910</c:v>
                </c:pt>
                <c:pt idx="9">
                  <c:v>43917</c:v>
                </c:pt>
                <c:pt idx="10">
                  <c:v>43924</c:v>
                </c:pt>
                <c:pt idx="11">
                  <c:v>43931</c:v>
                </c:pt>
                <c:pt idx="12">
                  <c:v>43938</c:v>
                </c:pt>
                <c:pt idx="13">
                  <c:v>43945</c:v>
                </c:pt>
                <c:pt idx="14">
                  <c:v>43952</c:v>
                </c:pt>
                <c:pt idx="15">
                  <c:v>43959</c:v>
                </c:pt>
                <c:pt idx="16">
                  <c:v>43966</c:v>
                </c:pt>
                <c:pt idx="17">
                  <c:v>43973</c:v>
                </c:pt>
                <c:pt idx="18">
                  <c:v>43980</c:v>
                </c:pt>
                <c:pt idx="19">
                  <c:v>43987</c:v>
                </c:pt>
                <c:pt idx="20">
                  <c:v>43994</c:v>
                </c:pt>
                <c:pt idx="21">
                  <c:v>44001</c:v>
                </c:pt>
                <c:pt idx="22">
                  <c:v>44008</c:v>
                </c:pt>
                <c:pt idx="23">
                  <c:v>44015</c:v>
                </c:pt>
                <c:pt idx="24">
                  <c:v>44022</c:v>
                </c:pt>
                <c:pt idx="25">
                  <c:v>44029</c:v>
                </c:pt>
                <c:pt idx="26">
                  <c:v>44036</c:v>
                </c:pt>
                <c:pt idx="27">
                  <c:v>44043</c:v>
                </c:pt>
                <c:pt idx="28">
                  <c:v>44050</c:v>
                </c:pt>
                <c:pt idx="29">
                  <c:v>44057</c:v>
                </c:pt>
                <c:pt idx="30">
                  <c:v>44064</c:v>
                </c:pt>
                <c:pt idx="31">
                  <c:v>44071</c:v>
                </c:pt>
                <c:pt idx="32">
                  <c:v>44078</c:v>
                </c:pt>
                <c:pt idx="33">
                  <c:v>44085</c:v>
                </c:pt>
                <c:pt idx="34">
                  <c:v>44092</c:v>
                </c:pt>
                <c:pt idx="35">
                  <c:v>44099</c:v>
                </c:pt>
                <c:pt idx="36">
                  <c:v>44106</c:v>
                </c:pt>
                <c:pt idx="37">
                  <c:v>44113</c:v>
                </c:pt>
                <c:pt idx="38">
                  <c:v>44120</c:v>
                </c:pt>
                <c:pt idx="39">
                  <c:v>44127</c:v>
                </c:pt>
                <c:pt idx="40">
                  <c:v>44134</c:v>
                </c:pt>
                <c:pt idx="41">
                  <c:v>44141</c:v>
                </c:pt>
                <c:pt idx="42">
                  <c:v>44148</c:v>
                </c:pt>
                <c:pt idx="43">
                  <c:v>44155</c:v>
                </c:pt>
                <c:pt idx="44">
                  <c:v>44162</c:v>
                </c:pt>
                <c:pt idx="45">
                  <c:v>44169</c:v>
                </c:pt>
                <c:pt idx="46">
                  <c:v>44176</c:v>
                </c:pt>
                <c:pt idx="47">
                  <c:v>44183</c:v>
                </c:pt>
                <c:pt idx="48">
                  <c:v>44190</c:v>
                </c:pt>
                <c:pt idx="49">
                  <c:v>44197</c:v>
                </c:pt>
                <c:pt idx="50">
                  <c:v>44204</c:v>
                </c:pt>
                <c:pt idx="51">
                  <c:v>44211</c:v>
                </c:pt>
                <c:pt idx="52">
                  <c:v>44218</c:v>
                </c:pt>
                <c:pt idx="53">
                  <c:v>44225</c:v>
                </c:pt>
                <c:pt idx="54">
                  <c:v>44232</c:v>
                </c:pt>
                <c:pt idx="55">
                  <c:v>44239</c:v>
                </c:pt>
                <c:pt idx="56">
                  <c:v>44246</c:v>
                </c:pt>
                <c:pt idx="57">
                  <c:v>44253</c:v>
                </c:pt>
                <c:pt idx="58">
                  <c:v>44260</c:v>
                </c:pt>
                <c:pt idx="59">
                  <c:v>44267</c:v>
                </c:pt>
                <c:pt idx="60">
                  <c:v>44274</c:v>
                </c:pt>
                <c:pt idx="61">
                  <c:v>44281</c:v>
                </c:pt>
                <c:pt idx="62">
                  <c:v>44288</c:v>
                </c:pt>
              </c:numCache>
            </c:numRef>
          </c:cat>
          <c:val>
            <c:numRef>
              <c:f>Graphs!$AL$2:$AL$64</c:f>
              <c:numCache>
                <c:formatCode>General</c:formatCode>
                <c:ptCount val="63"/>
                <c:pt idx="0">
                  <c:v>#N/A</c:v>
                </c:pt>
                <c:pt idx="1">
                  <c:v>#N/A</c:v>
                </c:pt>
                <c:pt idx="2">
                  <c:v>#N/A</c:v>
                </c:pt>
                <c:pt idx="3">
                  <c:v>#N/A</c:v>
                </c:pt>
                <c:pt idx="4" formatCode="0%">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numCache>
            </c:numRef>
          </c:val>
          <c:smooth val="0"/>
          <c:extLst>
            <c:ext xmlns:c16="http://schemas.microsoft.com/office/drawing/2014/chart" uri="{C3380CC4-5D6E-409C-BE32-E72D297353CC}">
              <c16:uniqueId val="{00000015-7BF4-456F-A319-CA191E4A1519}"/>
            </c:ext>
          </c:extLst>
        </c:ser>
        <c:dLbls>
          <c:showLegendKey val="0"/>
          <c:showVal val="0"/>
          <c:showCatName val="0"/>
          <c:showSerName val="0"/>
          <c:showPercent val="0"/>
          <c:showBubbleSize val="0"/>
        </c:dLbls>
        <c:smooth val="0"/>
        <c:axId val="870032616"/>
        <c:axId val="870033928"/>
      </c:lineChart>
      <c:dateAx>
        <c:axId val="870032616"/>
        <c:scaling>
          <c:orientation val="minMax"/>
        </c:scaling>
        <c:delete val="0"/>
        <c:axPos val="b"/>
        <c:numFmt formatCode="m/d/yyyy" sourceLinked="1"/>
        <c:majorTickMark val="none"/>
        <c:minorTickMark val="none"/>
        <c:tickLblPos val="nextTo"/>
        <c:spPr>
          <a:noFill/>
          <a:ln w="3175" cap="flat" cmpd="sng" algn="ctr">
            <a:no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Comic Sans MS" panose="030F0702030302020204" pitchFamily="66" charset="0"/>
                <a:ea typeface="+mn-ea"/>
                <a:cs typeface="+mn-cs"/>
              </a:defRPr>
            </a:pPr>
            <a:endParaRPr lang="de-DE"/>
          </a:p>
        </c:txPr>
        <c:crossAx val="870033928"/>
        <c:crosses val="autoZero"/>
        <c:auto val="1"/>
        <c:lblOffset val="100"/>
        <c:baseTimeUnit val="days"/>
      </c:dateAx>
      <c:valAx>
        <c:axId val="870033928"/>
        <c:scaling>
          <c:orientation val="minMax"/>
          <c:max val="1.0009999999999999"/>
          <c:min val="-1.0000000000000002E-3"/>
        </c:scaling>
        <c:delete val="0"/>
        <c:axPos val="l"/>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Comic Sans MS" panose="030F0702030302020204" pitchFamily="66" charset="0"/>
                <a:ea typeface="+mn-ea"/>
                <a:cs typeface="+mn-cs"/>
              </a:defRPr>
            </a:pPr>
            <a:endParaRPr lang="de-DE"/>
          </a:p>
        </c:txPr>
        <c:crossAx val="870032616"/>
        <c:crosses val="autoZero"/>
        <c:crossBetween val="between"/>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1000">
          <a:solidFill>
            <a:sysClr val="windowText" lastClr="000000"/>
          </a:solidFill>
          <a:latin typeface="Comic Sans MS" panose="030F0702030302020204" pitchFamily="66" charset="0"/>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'Stats 2026'!$E$109</c:f>
              <c:strCache>
                <c:ptCount val="1"/>
                <c:pt idx="0">
                  <c:v>JWU</c:v>
                </c:pt>
              </c:strCache>
            </c:strRef>
          </c:tx>
          <c:spPr>
            <a:ln w="28575" cap="rnd">
              <a:solidFill>
                <a:srgbClr val="92D050"/>
              </a:solidFill>
              <a:round/>
            </a:ln>
            <a:effectLst/>
          </c:spPr>
          <c:marker>
            <c:symbol val="none"/>
          </c:marker>
          <c:cat>
            <c:numRef>
              <c:f>'Stats 2026'!$D$110:$D$151</c:f>
              <c:numCache>
                <c:formatCode>m/d/yyyy</c:formatCode>
                <c:ptCount val="42"/>
                <c:pt idx="0">
                  <c:v>46003</c:v>
                </c:pt>
                <c:pt idx="1">
                  <c:v>46010</c:v>
                </c:pt>
                <c:pt idx="2">
                  <c:v>46031</c:v>
                </c:pt>
                <c:pt idx="3">
                  <c:v>46038</c:v>
                </c:pt>
                <c:pt idx="4">
                  <c:v>46045</c:v>
                </c:pt>
                <c:pt idx="5">
                  <c:v>46052</c:v>
                </c:pt>
                <c:pt idx="6">
                  <c:v>46059</c:v>
                </c:pt>
                <c:pt idx="7">
                  <c:v>46066</c:v>
                </c:pt>
                <c:pt idx="8">
                  <c:v>46073</c:v>
                </c:pt>
                <c:pt idx="9">
                  <c:v>46080</c:v>
                </c:pt>
                <c:pt idx="10">
                  <c:v>46087</c:v>
                </c:pt>
                <c:pt idx="11">
                  <c:v>46094</c:v>
                </c:pt>
                <c:pt idx="12">
                  <c:v>46101</c:v>
                </c:pt>
                <c:pt idx="13">
                  <c:v>46108</c:v>
                </c:pt>
                <c:pt idx="14">
                  <c:v>46122</c:v>
                </c:pt>
                <c:pt idx="15">
                  <c:v>46129</c:v>
                </c:pt>
                <c:pt idx="16">
                  <c:v>46136</c:v>
                </c:pt>
                <c:pt idx="17">
                  <c:v>46150</c:v>
                </c:pt>
                <c:pt idx="18">
                  <c:v>46157</c:v>
                </c:pt>
                <c:pt idx="19">
                  <c:v>46164</c:v>
                </c:pt>
                <c:pt idx="20">
                  <c:v>46171</c:v>
                </c:pt>
                <c:pt idx="21">
                  <c:v>46178</c:v>
                </c:pt>
                <c:pt idx="22">
                  <c:v>46185</c:v>
                </c:pt>
                <c:pt idx="23">
                  <c:v>46192</c:v>
                </c:pt>
                <c:pt idx="24">
                  <c:v>46199</c:v>
                </c:pt>
                <c:pt idx="25">
                  <c:v>46206</c:v>
                </c:pt>
                <c:pt idx="26">
                  <c:v>46213</c:v>
                </c:pt>
                <c:pt idx="27">
                  <c:v>46220</c:v>
                </c:pt>
                <c:pt idx="28">
                  <c:v>46227</c:v>
                </c:pt>
                <c:pt idx="29">
                  <c:v>46234</c:v>
                </c:pt>
                <c:pt idx="30">
                  <c:v>46241</c:v>
                </c:pt>
                <c:pt idx="31">
                  <c:v>46248</c:v>
                </c:pt>
                <c:pt idx="32">
                  <c:v>46255</c:v>
                </c:pt>
                <c:pt idx="33">
                  <c:v>46262</c:v>
                </c:pt>
                <c:pt idx="34">
                  <c:v>46269</c:v>
                </c:pt>
                <c:pt idx="35">
                  <c:v>46276</c:v>
                </c:pt>
                <c:pt idx="36">
                  <c:v>46283</c:v>
                </c:pt>
                <c:pt idx="37">
                  <c:v>46290</c:v>
                </c:pt>
                <c:pt idx="38">
                  <c:v>46297</c:v>
                </c:pt>
                <c:pt idx="39">
                  <c:v>46304</c:v>
                </c:pt>
                <c:pt idx="40">
                  <c:v>46311</c:v>
                </c:pt>
                <c:pt idx="41">
                  <c:v>46318</c:v>
                </c:pt>
              </c:numCache>
            </c:numRef>
          </c:cat>
          <c:val>
            <c:numRef>
              <c:f>'Stats 2026'!$E$110:$E$151</c:f>
              <c:numCache>
                <c:formatCode>#,##0</c:formatCode>
                <c:ptCount val="42"/>
                <c:pt idx="0" formatCode="General">
                  <c:v>1</c:v>
                </c:pt>
                <c:pt idx="1">
                  <c:v>1</c:v>
                </c:pt>
                <c:pt idx="2">
                  <c:v>1</c:v>
                </c:pt>
                <c:pt idx="3">
                  <c:v>2</c:v>
                </c:pt>
                <c:pt idx="4">
                  <c:v>2</c:v>
                </c:pt>
                <c:pt idx="5">
                  <c:v>2</c:v>
                </c:pt>
                <c:pt idx="6">
                  <c:v>3</c:v>
                </c:pt>
                <c:pt idx="7">
                  <c:v>4</c:v>
                </c:pt>
                <c:pt idx="8">
                  <c:v>5</c:v>
                </c:pt>
                <c:pt idx="9">
                  <c:v>6</c:v>
                </c:pt>
                <c:pt idx="10">
                  <c:v>7</c:v>
                </c:pt>
                <c:pt idx="11">
                  <c:v>8</c:v>
                </c:pt>
                <c:pt idx="12">
                  <c:v>8</c:v>
                </c:pt>
                <c:pt idx="13">
                  <c:v>9</c:v>
                </c:pt>
                <c:pt idx="14">
                  <c:v>10</c:v>
                </c:pt>
                <c:pt idx="15">
                  <c:v>10</c:v>
                </c:pt>
                <c:pt idx="16">
                  <c:v>10</c:v>
                </c:pt>
                <c:pt idx="17">
                  <c:v>11</c:v>
                </c:pt>
                <c:pt idx="18">
                  <c:v>11</c:v>
                </c:pt>
                <c:pt idx="19">
                  <c:v>11</c:v>
                </c:pt>
                <c:pt idx="20">
                  <c:v>12</c:v>
                </c:pt>
                <c:pt idx="21">
                  <c:v>12</c:v>
                </c:pt>
                <c:pt idx="22">
                  <c:v>12</c:v>
                </c:pt>
                <c:pt idx="23">
                  <c:v>12</c:v>
                </c:pt>
                <c:pt idx="24">
                  <c:v>13</c:v>
                </c:pt>
                <c:pt idx="25">
                  <c:v>14</c:v>
                </c:pt>
                <c:pt idx="26">
                  <c:v>15</c:v>
                </c:pt>
                <c:pt idx="27">
                  <c:v>16</c:v>
                </c:pt>
                <c:pt idx="28">
                  <c:v>17</c:v>
                </c:pt>
                <c:pt idx="29">
                  <c:v>18</c:v>
                </c:pt>
                <c:pt idx="30">
                  <c:v>18</c:v>
                </c:pt>
                <c:pt idx="31">
                  <c:v>18</c:v>
                </c:pt>
                <c:pt idx="32">
                  <c:v>18</c:v>
                </c:pt>
                <c:pt idx="33">
                  <c:v>18</c:v>
                </c:pt>
                <c:pt idx="34">
                  <c:v>19</c:v>
                </c:pt>
                <c:pt idx="35">
                  <c:v>19</c:v>
                </c:pt>
                <c:pt idx="36">
                  <c:v>19</c:v>
                </c:pt>
                <c:pt idx="37">
                  <c:v>20</c:v>
                </c:pt>
                <c:pt idx="38">
                  <c:v>21</c:v>
                </c:pt>
                <c:pt idx="39">
                  <c:v>22</c:v>
                </c:pt>
                <c:pt idx="40">
                  <c:v>22</c:v>
                </c:pt>
                <c:pt idx="41">
                  <c:v>23</c:v>
                </c:pt>
              </c:numCache>
            </c:numRef>
          </c:val>
          <c:smooth val="0"/>
          <c:extLst>
            <c:ext xmlns:c16="http://schemas.microsoft.com/office/drawing/2014/chart" uri="{C3380CC4-5D6E-409C-BE32-E72D297353CC}">
              <c16:uniqueId val="{00000000-03F7-4379-8496-EB20BF97F45A}"/>
            </c:ext>
          </c:extLst>
        </c:ser>
        <c:ser>
          <c:idx val="1"/>
          <c:order val="1"/>
          <c:tx>
            <c:strRef>
              <c:f>'Stats 2026'!$F$109</c:f>
              <c:strCache>
                <c:ptCount val="1"/>
                <c:pt idx="0">
                  <c:v>CBO</c:v>
                </c:pt>
              </c:strCache>
            </c:strRef>
          </c:tx>
          <c:spPr>
            <a:ln w="28575" cap="rnd">
              <a:solidFill>
                <a:schemeClr val="accent6"/>
              </a:solidFill>
              <a:round/>
            </a:ln>
            <a:effectLst/>
          </c:spPr>
          <c:marker>
            <c:symbol val="none"/>
          </c:marker>
          <c:cat>
            <c:numRef>
              <c:f>'Stats 2026'!$D$110:$D$151</c:f>
              <c:numCache>
                <c:formatCode>m/d/yyyy</c:formatCode>
                <c:ptCount val="42"/>
                <c:pt idx="0">
                  <c:v>46003</c:v>
                </c:pt>
                <c:pt idx="1">
                  <c:v>46010</c:v>
                </c:pt>
                <c:pt idx="2">
                  <c:v>46031</c:v>
                </c:pt>
                <c:pt idx="3">
                  <c:v>46038</c:v>
                </c:pt>
                <c:pt idx="4">
                  <c:v>46045</c:v>
                </c:pt>
                <c:pt idx="5">
                  <c:v>46052</c:v>
                </c:pt>
                <c:pt idx="6">
                  <c:v>46059</c:v>
                </c:pt>
                <c:pt idx="7">
                  <c:v>46066</c:v>
                </c:pt>
                <c:pt idx="8">
                  <c:v>46073</c:v>
                </c:pt>
                <c:pt idx="9">
                  <c:v>46080</c:v>
                </c:pt>
                <c:pt idx="10">
                  <c:v>46087</c:v>
                </c:pt>
                <c:pt idx="11">
                  <c:v>46094</c:v>
                </c:pt>
                <c:pt idx="12">
                  <c:v>46101</c:v>
                </c:pt>
                <c:pt idx="13">
                  <c:v>46108</c:v>
                </c:pt>
                <c:pt idx="14">
                  <c:v>46122</c:v>
                </c:pt>
                <c:pt idx="15">
                  <c:v>46129</c:v>
                </c:pt>
                <c:pt idx="16">
                  <c:v>46136</c:v>
                </c:pt>
                <c:pt idx="17">
                  <c:v>46150</c:v>
                </c:pt>
                <c:pt idx="18">
                  <c:v>46157</c:v>
                </c:pt>
                <c:pt idx="19">
                  <c:v>46164</c:v>
                </c:pt>
                <c:pt idx="20">
                  <c:v>46171</c:v>
                </c:pt>
                <c:pt idx="21">
                  <c:v>46178</c:v>
                </c:pt>
                <c:pt idx="22">
                  <c:v>46185</c:v>
                </c:pt>
                <c:pt idx="23">
                  <c:v>46192</c:v>
                </c:pt>
                <c:pt idx="24">
                  <c:v>46199</c:v>
                </c:pt>
                <c:pt idx="25">
                  <c:v>46206</c:v>
                </c:pt>
                <c:pt idx="26">
                  <c:v>46213</c:v>
                </c:pt>
                <c:pt idx="27">
                  <c:v>46220</c:v>
                </c:pt>
                <c:pt idx="28">
                  <c:v>46227</c:v>
                </c:pt>
                <c:pt idx="29">
                  <c:v>46234</c:v>
                </c:pt>
                <c:pt idx="30">
                  <c:v>46241</c:v>
                </c:pt>
                <c:pt idx="31">
                  <c:v>46248</c:v>
                </c:pt>
                <c:pt idx="32">
                  <c:v>46255</c:v>
                </c:pt>
                <c:pt idx="33">
                  <c:v>46262</c:v>
                </c:pt>
                <c:pt idx="34">
                  <c:v>46269</c:v>
                </c:pt>
                <c:pt idx="35">
                  <c:v>46276</c:v>
                </c:pt>
                <c:pt idx="36">
                  <c:v>46283</c:v>
                </c:pt>
                <c:pt idx="37">
                  <c:v>46290</c:v>
                </c:pt>
                <c:pt idx="38">
                  <c:v>46297</c:v>
                </c:pt>
                <c:pt idx="39">
                  <c:v>46304</c:v>
                </c:pt>
                <c:pt idx="40">
                  <c:v>46311</c:v>
                </c:pt>
                <c:pt idx="41">
                  <c:v>46318</c:v>
                </c:pt>
              </c:numCache>
            </c:numRef>
          </c:cat>
          <c:val>
            <c:numRef>
              <c:f>'Stats 2026'!$F$110:$F$151</c:f>
              <c:numCache>
                <c:formatCode>#,##0</c:formatCode>
                <c:ptCount val="42"/>
                <c:pt idx="0" formatCode="General">
                  <c:v>1</c:v>
                </c:pt>
                <c:pt idx="1">
                  <c:v>2</c:v>
                </c:pt>
                <c:pt idx="2">
                  <c:v>3</c:v>
                </c:pt>
                <c:pt idx="3">
                  <c:v>3</c:v>
                </c:pt>
                <c:pt idx="4">
                  <c:v>3</c:v>
                </c:pt>
                <c:pt idx="5">
                  <c:v>4</c:v>
                </c:pt>
                <c:pt idx="6">
                  <c:v>5</c:v>
                </c:pt>
                <c:pt idx="7">
                  <c:v>6</c:v>
                </c:pt>
                <c:pt idx="8">
                  <c:v>7</c:v>
                </c:pt>
                <c:pt idx="9">
                  <c:v>8</c:v>
                </c:pt>
                <c:pt idx="10">
                  <c:v>9</c:v>
                </c:pt>
                <c:pt idx="11">
                  <c:v>10</c:v>
                </c:pt>
                <c:pt idx="12">
                  <c:v>11</c:v>
                </c:pt>
                <c:pt idx="13">
                  <c:v>11</c:v>
                </c:pt>
                <c:pt idx="14">
                  <c:v>11</c:v>
                </c:pt>
                <c:pt idx="15">
                  <c:v>12</c:v>
                </c:pt>
                <c:pt idx="16">
                  <c:v>13</c:v>
                </c:pt>
                <c:pt idx="17">
                  <c:v>14</c:v>
                </c:pt>
                <c:pt idx="18">
                  <c:v>14</c:v>
                </c:pt>
                <c:pt idx="19">
                  <c:v>14</c:v>
                </c:pt>
                <c:pt idx="20">
                  <c:v>14</c:v>
                </c:pt>
                <c:pt idx="21">
                  <c:v>14</c:v>
                </c:pt>
                <c:pt idx="22">
                  <c:v>14</c:v>
                </c:pt>
                <c:pt idx="23">
                  <c:v>14</c:v>
                </c:pt>
                <c:pt idx="24">
                  <c:v>14</c:v>
                </c:pt>
                <c:pt idx="25">
                  <c:v>14</c:v>
                </c:pt>
                <c:pt idx="26">
                  <c:v>14</c:v>
                </c:pt>
                <c:pt idx="27">
                  <c:v>14</c:v>
                </c:pt>
                <c:pt idx="28">
                  <c:v>14</c:v>
                </c:pt>
                <c:pt idx="29">
                  <c:v>15</c:v>
                </c:pt>
                <c:pt idx="30">
                  <c:v>15</c:v>
                </c:pt>
                <c:pt idx="31">
                  <c:v>15</c:v>
                </c:pt>
                <c:pt idx="32">
                  <c:v>15</c:v>
                </c:pt>
                <c:pt idx="33">
                  <c:v>15</c:v>
                </c:pt>
                <c:pt idx="34">
                  <c:v>15</c:v>
                </c:pt>
                <c:pt idx="35">
                  <c:v>15</c:v>
                </c:pt>
                <c:pt idx="36">
                  <c:v>15</c:v>
                </c:pt>
                <c:pt idx="37">
                  <c:v>15</c:v>
                </c:pt>
                <c:pt idx="38">
                  <c:v>15</c:v>
                </c:pt>
                <c:pt idx="39">
                  <c:v>15</c:v>
                </c:pt>
                <c:pt idx="40">
                  <c:v>15</c:v>
                </c:pt>
                <c:pt idx="41">
                  <c:v>15</c:v>
                </c:pt>
              </c:numCache>
            </c:numRef>
          </c:val>
          <c:smooth val="0"/>
          <c:extLst>
            <c:ext xmlns:c16="http://schemas.microsoft.com/office/drawing/2014/chart" uri="{C3380CC4-5D6E-409C-BE32-E72D297353CC}">
              <c16:uniqueId val="{00000001-03F7-4379-8496-EB20BF97F45A}"/>
            </c:ext>
          </c:extLst>
        </c:ser>
        <c:ser>
          <c:idx val="2"/>
          <c:order val="2"/>
          <c:tx>
            <c:strRef>
              <c:f>'Stats 2026'!$G$109</c:f>
              <c:strCache>
                <c:ptCount val="1"/>
                <c:pt idx="0">
                  <c:v>PKN</c:v>
                </c:pt>
              </c:strCache>
            </c:strRef>
          </c:tx>
          <c:spPr>
            <a:ln w="28575" cap="rnd">
              <a:solidFill>
                <a:schemeClr val="accent2"/>
              </a:solidFill>
              <a:round/>
            </a:ln>
            <a:effectLst/>
          </c:spPr>
          <c:marker>
            <c:symbol val="none"/>
          </c:marker>
          <c:cat>
            <c:numRef>
              <c:f>'Stats 2026'!$D$110:$D$151</c:f>
              <c:numCache>
                <c:formatCode>m/d/yyyy</c:formatCode>
                <c:ptCount val="42"/>
                <c:pt idx="0">
                  <c:v>46003</c:v>
                </c:pt>
                <c:pt idx="1">
                  <c:v>46010</c:v>
                </c:pt>
                <c:pt idx="2">
                  <c:v>46031</c:v>
                </c:pt>
                <c:pt idx="3">
                  <c:v>46038</c:v>
                </c:pt>
                <c:pt idx="4">
                  <c:v>46045</c:v>
                </c:pt>
                <c:pt idx="5">
                  <c:v>46052</c:v>
                </c:pt>
                <c:pt idx="6">
                  <c:v>46059</c:v>
                </c:pt>
                <c:pt idx="7">
                  <c:v>46066</c:v>
                </c:pt>
                <c:pt idx="8">
                  <c:v>46073</c:v>
                </c:pt>
                <c:pt idx="9">
                  <c:v>46080</c:v>
                </c:pt>
                <c:pt idx="10">
                  <c:v>46087</c:v>
                </c:pt>
                <c:pt idx="11">
                  <c:v>46094</c:v>
                </c:pt>
                <c:pt idx="12">
                  <c:v>46101</c:v>
                </c:pt>
                <c:pt idx="13">
                  <c:v>46108</c:v>
                </c:pt>
                <c:pt idx="14">
                  <c:v>46122</c:v>
                </c:pt>
                <c:pt idx="15">
                  <c:v>46129</c:v>
                </c:pt>
                <c:pt idx="16">
                  <c:v>46136</c:v>
                </c:pt>
                <c:pt idx="17">
                  <c:v>46150</c:v>
                </c:pt>
                <c:pt idx="18">
                  <c:v>46157</c:v>
                </c:pt>
                <c:pt idx="19">
                  <c:v>46164</c:v>
                </c:pt>
                <c:pt idx="20">
                  <c:v>46171</c:v>
                </c:pt>
                <c:pt idx="21">
                  <c:v>46178</c:v>
                </c:pt>
                <c:pt idx="22">
                  <c:v>46185</c:v>
                </c:pt>
                <c:pt idx="23">
                  <c:v>46192</c:v>
                </c:pt>
                <c:pt idx="24">
                  <c:v>46199</c:v>
                </c:pt>
                <c:pt idx="25">
                  <c:v>46206</c:v>
                </c:pt>
                <c:pt idx="26">
                  <c:v>46213</c:v>
                </c:pt>
                <c:pt idx="27">
                  <c:v>46220</c:v>
                </c:pt>
                <c:pt idx="28">
                  <c:v>46227</c:v>
                </c:pt>
                <c:pt idx="29">
                  <c:v>46234</c:v>
                </c:pt>
                <c:pt idx="30">
                  <c:v>46241</c:v>
                </c:pt>
                <c:pt idx="31">
                  <c:v>46248</c:v>
                </c:pt>
                <c:pt idx="32">
                  <c:v>46255</c:v>
                </c:pt>
                <c:pt idx="33">
                  <c:v>46262</c:v>
                </c:pt>
                <c:pt idx="34">
                  <c:v>46269</c:v>
                </c:pt>
                <c:pt idx="35">
                  <c:v>46276</c:v>
                </c:pt>
                <c:pt idx="36">
                  <c:v>46283</c:v>
                </c:pt>
                <c:pt idx="37">
                  <c:v>46290</c:v>
                </c:pt>
                <c:pt idx="38">
                  <c:v>46297</c:v>
                </c:pt>
                <c:pt idx="39">
                  <c:v>46304</c:v>
                </c:pt>
                <c:pt idx="40">
                  <c:v>46311</c:v>
                </c:pt>
                <c:pt idx="41">
                  <c:v>46318</c:v>
                </c:pt>
              </c:numCache>
            </c:numRef>
          </c:cat>
          <c:val>
            <c:numRef>
              <c:f>'Stats 2026'!$G$110:$G$151</c:f>
              <c:numCache>
                <c:formatCode>#,##0</c:formatCode>
                <c:ptCount val="42"/>
                <c:pt idx="0" formatCode="General">
                  <c:v>1</c:v>
                </c:pt>
                <c:pt idx="1">
                  <c:v>2</c:v>
                </c:pt>
                <c:pt idx="2">
                  <c:v>2</c:v>
                </c:pt>
                <c:pt idx="3">
                  <c:v>3</c:v>
                </c:pt>
                <c:pt idx="4">
                  <c:v>4</c:v>
                </c:pt>
                <c:pt idx="5">
                  <c:v>4</c:v>
                </c:pt>
                <c:pt idx="6">
                  <c:v>4</c:v>
                </c:pt>
                <c:pt idx="7">
                  <c:v>5</c:v>
                </c:pt>
                <c:pt idx="8">
                  <c:v>5</c:v>
                </c:pt>
                <c:pt idx="9">
                  <c:v>6</c:v>
                </c:pt>
                <c:pt idx="10">
                  <c:v>6</c:v>
                </c:pt>
                <c:pt idx="11">
                  <c:v>7</c:v>
                </c:pt>
                <c:pt idx="12">
                  <c:v>7</c:v>
                </c:pt>
                <c:pt idx="13">
                  <c:v>8</c:v>
                </c:pt>
                <c:pt idx="14">
                  <c:v>8</c:v>
                </c:pt>
                <c:pt idx="15">
                  <c:v>8</c:v>
                </c:pt>
                <c:pt idx="16">
                  <c:v>9</c:v>
                </c:pt>
                <c:pt idx="17">
                  <c:v>10</c:v>
                </c:pt>
                <c:pt idx="18">
                  <c:v>11</c:v>
                </c:pt>
                <c:pt idx="19">
                  <c:v>11</c:v>
                </c:pt>
                <c:pt idx="20">
                  <c:v>11</c:v>
                </c:pt>
                <c:pt idx="21">
                  <c:v>11</c:v>
                </c:pt>
                <c:pt idx="22">
                  <c:v>11</c:v>
                </c:pt>
                <c:pt idx="23">
                  <c:v>11</c:v>
                </c:pt>
                <c:pt idx="24">
                  <c:v>11</c:v>
                </c:pt>
                <c:pt idx="25">
                  <c:v>12</c:v>
                </c:pt>
                <c:pt idx="26">
                  <c:v>13</c:v>
                </c:pt>
                <c:pt idx="27">
                  <c:v>13</c:v>
                </c:pt>
                <c:pt idx="28">
                  <c:v>13</c:v>
                </c:pt>
                <c:pt idx="29">
                  <c:v>13</c:v>
                </c:pt>
                <c:pt idx="30">
                  <c:v>13</c:v>
                </c:pt>
                <c:pt idx="31">
                  <c:v>14</c:v>
                </c:pt>
                <c:pt idx="32">
                  <c:v>14</c:v>
                </c:pt>
                <c:pt idx="33">
                  <c:v>15</c:v>
                </c:pt>
                <c:pt idx="34">
                  <c:v>15</c:v>
                </c:pt>
                <c:pt idx="35">
                  <c:v>15</c:v>
                </c:pt>
                <c:pt idx="36">
                  <c:v>15</c:v>
                </c:pt>
                <c:pt idx="37">
                  <c:v>16</c:v>
                </c:pt>
                <c:pt idx="38">
                  <c:v>17</c:v>
                </c:pt>
                <c:pt idx="39">
                  <c:v>18</c:v>
                </c:pt>
                <c:pt idx="40">
                  <c:v>19</c:v>
                </c:pt>
                <c:pt idx="41">
                  <c:v>19</c:v>
                </c:pt>
              </c:numCache>
            </c:numRef>
          </c:val>
          <c:smooth val="0"/>
          <c:extLst>
            <c:ext xmlns:c16="http://schemas.microsoft.com/office/drawing/2014/chart" uri="{C3380CC4-5D6E-409C-BE32-E72D297353CC}">
              <c16:uniqueId val="{00000002-03F7-4379-8496-EB20BF97F45A}"/>
            </c:ext>
          </c:extLst>
        </c:ser>
        <c:ser>
          <c:idx val="3"/>
          <c:order val="3"/>
          <c:tx>
            <c:strRef>
              <c:f>'Stats 2026'!$H$109</c:f>
              <c:strCache>
                <c:ptCount val="1"/>
                <c:pt idx="0">
                  <c:v>YMI</c:v>
                </c:pt>
              </c:strCache>
            </c:strRef>
          </c:tx>
          <c:spPr>
            <a:ln w="28575" cap="rnd">
              <a:solidFill>
                <a:srgbClr val="00B0F0"/>
              </a:solidFill>
              <a:round/>
            </a:ln>
            <a:effectLst/>
          </c:spPr>
          <c:marker>
            <c:symbol val="none"/>
          </c:marker>
          <c:cat>
            <c:numRef>
              <c:f>'Stats 2026'!$D$110:$D$151</c:f>
              <c:numCache>
                <c:formatCode>m/d/yyyy</c:formatCode>
                <c:ptCount val="42"/>
                <c:pt idx="0">
                  <c:v>46003</c:v>
                </c:pt>
                <c:pt idx="1">
                  <c:v>46010</c:v>
                </c:pt>
                <c:pt idx="2">
                  <c:v>46031</c:v>
                </c:pt>
                <c:pt idx="3">
                  <c:v>46038</c:v>
                </c:pt>
                <c:pt idx="4">
                  <c:v>46045</c:v>
                </c:pt>
                <c:pt idx="5">
                  <c:v>46052</c:v>
                </c:pt>
                <c:pt idx="6">
                  <c:v>46059</c:v>
                </c:pt>
                <c:pt idx="7">
                  <c:v>46066</c:v>
                </c:pt>
                <c:pt idx="8">
                  <c:v>46073</c:v>
                </c:pt>
                <c:pt idx="9">
                  <c:v>46080</c:v>
                </c:pt>
                <c:pt idx="10">
                  <c:v>46087</c:v>
                </c:pt>
                <c:pt idx="11">
                  <c:v>46094</c:v>
                </c:pt>
                <c:pt idx="12">
                  <c:v>46101</c:v>
                </c:pt>
                <c:pt idx="13">
                  <c:v>46108</c:v>
                </c:pt>
                <c:pt idx="14">
                  <c:v>46122</c:v>
                </c:pt>
                <c:pt idx="15">
                  <c:v>46129</c:v>
                </c:pt>
                <c:pt idx="16">
                  <c:v>46136</c:v>
                </c:pt>
                <c:pt idx="17">
                  <c:v>46150</c:v>
                </c:pt>
                <c:pt idx="18">
                  <c:v>46157</c:v>
                </c:pt>
                <c:pt idx="19">
                  <c:v>46164</c:v>
                </c:pt>
                <c:pt idx="20">
                  <c:v>46171</c:v>
                </c:pt>
                <c:pt idx="21">
                  <c:v>46178</c:v>
                </c:pt>
                <c:pt idx="22">
                  <c:v>46185</c:v>
                </c:pt>
                <c:pt idx="23">
                  <c:v>46192</c:v>
                </c:pt>
                <c:pt idx="24">
                  <c:v>46199</c:v>
                </c:pt>
                <c:pt idx="25">
                  <c:v>46206</c:v>
                </c:pt>
                <c:pt idx="26">
                  <c:v>46213</c:v>
                </c:pt>
                <c:pt idx="27">
                  <c:v>46220</c:v>
                </c:pt>
                <c:pt idx="28">
                  <c:v>46227</c:v>
                </c:pt>
                <c:pt idx="29">
                  <c:v>46234</c:v>
                </c:pt>
                <c:pt idx="30">
                  <c:v>46241</c:v>
                </c:pt>
                <c:pt idx="31">
                  <c:v>46248</c:v>
                </c:pt>
                <c:pt idx="32">
                  <c:v>46255</c:v>
                </c:pt>
                <c:pt idx="33">
                  <c:v>46262</c:v>
                </c:pt>
                <c:pt idx="34">
                  <c:v>46269</c:v>
                </c:pt>
                <c:pt idx="35">
                  <c:v>46276</c:v>
                </c:pt>
                <c:pt idx="36">
                  <c:v>46283</c:v>
                </c:pt>
                <c:pt idx="37">
                  <c:v>46290</c:v>
                </c:pt>
                <c:pt idx="38">
                  <c:v>46297</c:v>
                </c:pt>
                <c:pt idx="39">
                  <c:v>46304</c:v>
                </c:pt>
                <c:pt idx="40">
                  <c:v>46311</c:v>
                </c:pt>
                <c:pt idx="41">
                  <c:v>46318</c:v>
                </c:pt>
              </c:numCache>
            </c:numRef>
          </c:cat>
          <c:val>
            <c:numRef>
              <c:f>'Stats 2026'!$H$110:$H$151</c:f>
              <c:numCache>
                <c:formatCode>#,##0</c:formatCode>
                <c:ptCount val="42"/>
                <c:pt idx="0" formatCode="General">
                  <c:v>1</c:v>
                </c:pt>
                <c:pt idx="1">
                  <c:v>2</c:v>
                </c:pt>
                <c:pt idx="2">
                  <c:v>3</c:v>
                </c:pt>
                <c:pt idx="3">
                  <c:v>3</c:v>
                </c:pt>
                <c:pt idx="4">
                  <c:v>4</c:v>
                </c:pt>
                <c:pt idx="5">
                  <c:v>5</c:v>
                </c:pt>
                <c:pt idx="6">
                  <c:v>5</c:v>
                </c:pt>
                <c:pt idx="7">
                  <c:v>5</c:v>
                </c:pt>
                <c:pt idx="8">
                  <c:v>6</c:v>
                </c:pt>
                <c:pt idx="9">
                  <c:v>6</c:v>
                </c:pt>
                <c:pt idx="10">
                  <c:v>6</c:v>
                </c:pt>
                <c:pt idx="11">
                  <c:v>6</c:v>
                </c:pt>
                <c:pt idx="12">
                  <c:v>6</c:v>
                </c:pt>
                <c:pt idx="13">
                  <c:v>7</c:v>
                </c:pt>
                <c:pt idx="14">
                  <c:v>7</c:v>
                </c:pt>
                <c:pt idx="15">
                  <c:v>7</c:v>
                </c:pt>
                <c:pt idx="16">
                  <c:v>8</c:v>
                </c:pt>
                <c:pt idx="17">
                  <c:v>8</c:v>
                </c:pt>
                <c:pt idx="18">
                  <c:v>9</c:v>
                </c:pt>
                <c:pt idx="19">
                  <c:v>9</c:v>
                </c:pt>
                <c:pt idx="20">
                  <c:v>9</c:v>
                </c:pt>
                <c:pt idx="21">
                  <c:v>10</c:v>
                </c:pt>
                <c:pt idx="22">
                  <c:v>11</c:v>
                </c:pt>
                <c:pt idx="23">
                  <c:v>12</c:v>
                </c:pt>
                <c:pt idx="24">
                  <c:v>12</c:v>
                </c:pt>
                <c:pt idx="25">
                  <c:v>12</c:v>
                </c:pt>
                <c:pt idx="26">
                  <c:v>13</c:v>
                </c:pt>
                <c:pt idx="27">
                  <c:v>14</c:v>
                </c:pt>
                <c:pt idx="28">
                  <c:v>14</c:v>
                </c:pt>
                <c:pt idx="29">
                  <c:v>14</c:v>
                </c:pt>
                <c:pt idx="30">
                  <c:v>15</c:v>
                </c:pt>
                <c:pt idx="31">
                  <c:v>16</c:v>
                </c:pt>
                <c:pt idx="32">
                  <c:v>17</c:v>
                </c:pt>
                <c:pt idx="33">
                  <c:v>18</c:v>
                </c:pt>
                <c:pt idx="34">
                  <c:v>19</c:v>
                </c:pt>
                <c:pt idx="35">
                  <c:v>20</c:v>
                </c:pt>
                <c:pt idx="36">
                  <c:v>21</c:v>
                </c:pt>
                <c:pt idx="37">
                  <c:v>21</c:v>
                </c:pt>
                <c:pt idx="38">
                  <c:v>21</c:v>
                </c:pt>
                <c:pt idx="39">
                  <c:v>21</c:v>
                </c:pt>
                <c:pt idx="40">
                  <c:v>21</c:v>
                </c:pt>
                <c:pt idx="41">
                  <c:v>22</c:v>
                </c:pt>
              </c:numCache>
            </c:numRef>
          </c:val>
          <c:smooth val="0"/>
          <c:extLst>
            <c:ext xmlns:c16="http://schemas.microsoft.com/office/drawing/2014/chart" uri="{C3380CC4-5D6E-409C-BE32-E72D297353CC}">
              <c16:uniqueId val="{00000003-03F7-4379-8496-EB20BF97F45A}"/>
            </c:ext>
          </c:extLst>
        </c:ser>
        <c:ser>
          <c:idx val="4"/>
          <c:order val="4"/>
          <c:tx>
            <c:strRef>
              <c:f>'Stats 2026'!$I$109</c:f>
              <c:strCache>
                <c:ptCount val="1"/>
                <c:pt idx="0">
                  <c:v>SJU</c:v>
                </c:pt>
              </c:strCache>
            </c:strRef>
          </c:tx>
          <c:spPr>
            <a:ln w="28575" cap="rnd">
              <a:solidFill>
                <a:srgbClr val="7030A0"/>
              </a:solidFill>
              <a:round/>
            </a:ln>
            <a:effectLst/>
          </c:spPr>
          <c:marker>
            <c:symbol val="none"/>
          </c:marker>
          <c:cat>
            <c:numRef>
              <c:f>'Stats 2026'!$D$110:$D$151</c:f>
              <c:numCache>
                <c:formatCode>m/d/yyyy</c:formatCode>
                <c:ptCount val="42"/>
                <c:pt idx="0">
                  <c:v>46003</c:v>
                </c:pt>
                <c:pt idx="1">
                  <c:v>46010</c:v>
                </c:pt>
                <c:pt idx="2">
                  <c:v>46031</c:v>
                </c:pt>
                <c:pt idx="3">
                  <c:v>46038</c:v>
                </c:pt>
                <c:pt idx="4">
                  <c:v>46045</c:v>
                </c:pt>
                <c:pt idx="5">
                  <c:v>46052</c:v>
                </c:pt>
                <c:pt idx="6">
                  <c:v>46059</c:v>
                </c:pt>
                <c:pt idx="7">
                  <c:v>46066</c:v>
                </c:pt>
                <c:pt idx="8">
                  <c:v>46073</c:v>
                </c:pt>
                <c:pt idx="9">
                  <c:v>46080</c:v>
                </c:pt>
                <c:pt idx="10">
                  <c:v>46087</c:v>
                </c:pt>
                <c:pt idx="11">
                  <c:v>46094</c:v>
                </c:pt>
                <c:pt idx="12">
                  <c:v>46101</c:v>
                </c:pt>
                <c:pt idx="13">
                  <c:v>46108</c:v>
                </c:pt>
                <c:pt idx="14">
                  <c:v>46122</c:v>
                </c:pt>
                <c:pt idx="15">
                  <c:v>46129</c:v>
                </c:pt>
                <c:pt idx="16">
                  <c:v>46136</c:v>
                </c:pt>
                <c:pt idx="17">
                  <c:v>46150</c:v>
                </c:pt>
                <c:pt idx="18">
                  <c:v>46157</c:v>
                </c:pt>
                <c:pt idx="19">
                  <c:v>46164</c:v>
                </c:pt>
                <c:pt idx="20">
                  <c:v>46171</c:v>
                </c:pt>
                <c:pt idx="21">
                  <c:v>46178</c:v>
                </c:pt>
                <c:pt idx="22">
                  <c:v>46185</c:v>
                </c:pt>
                <c:pt idx="23">
                  <c:v>46192</c:v>
                </c:pt>
                <c:pt idx="24">
                  <c:v>46199</c:v>
                </c:pt>
                <c:pt idx="25">
                  <c:v>46206</c:v>
                </c:pt>
                <c:pt idx="26">
                  <c:v>46213</c:v>
                </c:pt>
                <c:pt idx="27">
                  <c:v>46220</c:v>
                </c:pt>
                <c:pt idx="28">
                  <c:v>46227</c:v>
                </c:pt>
                <c:pt idx="29">
                  <c:v>46234</c:v>
                </c:pt>
                <c:pt idx="30">
                  <c:v>46241</c:v>
                </c:pt>
                <c:pt idx="31">
                  <c:v>46248</c:v>
                </c:pt>
                <c:pt idx="32">
                  <c:v>46255</c:v>
                </c:pt>
                <c:pt idx="33">
                  <c:v>46262</c:v>
                </c:pt>
                <c:pt idx="34">
                  <c:v>46269</c:v>
                </c:pt>
                <c:pt idx="35">
                  <c:v>46276</c:v>
                </c:pt>
                <c:pt idx="36">
                  <c:v>46283</c:v>
                </c:pt>
                <c:pt idx="37">
                  <c:v>46290</c:v>
                </c:pt>
                <c:pt idx="38">
                  <c:v>46297</c:v>
                </c:pt>
                <c:pt idx="39">
                  <c:v>46304</c:v>
                </c:pt>
                <c:pt idx="40">
                  <c:v>46311</c:v>
                </c:pt>
                <c:pt idx="41">
                  <c:v>46318</c:v>
                </c:pt>
              </c:numCache>
            </c:numRef>
          </c:cat>
          <c:val>
            <c:numRef>
              <c:f>'Stats 2026'!$I$110:$I$151</c:f>
              <c:numCache>
                <c:formatCode>#,##0</c:formatCode>
                <c:ptCount val="42"/>
                <c:pt idx="0" formatCode="General">
                  <c:v>1</c:v>
                </c:pt>
                <c:pt idx="1">
                  <c:v>2</c:v>
                </c:pt>
                <c:pt idx="2">
                  <c:v>3</c:v>
                </c:pt>
                <c:pt idx="3">
                  <c:v>3</c:v>
                </c:pt>
                <c:pt idx="4">
                  <c:v>4</c:v>
                </c:pt>
                <c:pt idx="5">
                  <c:v>5</c:v>
                </c:pt>
                <c:pt idx="6">
                  <c:v>6</c:v>
                </c:pt>
                <c:pt idx="7">
                  <c:v>7</c:v>
                </c:pt>
                <c:pt idx="8">
                  <c:v>8</c:v>
                </c:pt>
                <c:pt idx="9">
                  <c:v>9</c:v>
                </c:pt>
                <c:pt idx="10">
                  <c:v>10</c:v>
                </c:pt>
                <c:pt idx="11">
                  <c:v>11</c:v>
                </c:pt>
                <c:pt idx="12">
                  <c:v>11</c:v>
                </c:pt>
                <c:pt idx="13">
                  <c:v>12</c:v>
                </c:pt>
                <c:pt idx="14">
                  <c:v>13</c:v>
                </c:pt>
                <c:pt idx="15">
                  <c:v>14</c:v>
                </c:pt>
                <c:pt idx="16">
                  <c:v>15</c:v>
                </c:pt>
                <c:pt idx="17">
                  <c:v>15</c:v>
                </c:pt>
                <c:pt idx="18">
                  <c:v>16</c:v>
                </c:pt>
                <c:pt idx="19">
                  <c:v>16</c:v>
                </c:pt>
                <c:pt idx="20">
                  <c:v>16</c:v>
                </c:pt>
                <c:pt idx="21">
                  <c:v>17</c:v>
                </c:pt>
                <c:pt idx="22">
                  <c:v>17</c:v>
                </c:pt>
                <c:pt idx="23">
                  <c:v>17</c:v>
                </c:pt>
                <c:pt idx="24">
                  <c:v>18</c:v>
                </c:pt>
                <c:pt idx="25">
                  <c:v>19</c:v>
                </c:pt>
                <c:pt idx="26">
                  <c:v>20</c:v>
                </c:pt>
                <c:pt idx="27">
                  <c:v>21</c:v>
                </c:pt>
                <c:pt idx="28">
                  <c:v>22</c:v>
                </c:pt>
                <c:pt idx="29">
                  <c:v>23</c:v>
                </c:pt>
                <c:pt idx="30">
                  <c:v>24</c:v>
                </c:pt>
                <c:pt idx="31">
                  <c:v>25</c:v>
                </c:pt>
                <c:pt idx="32">
                  <c:v>26</c:v>
                </c:pt>
                <c:pt idx="33">
                  <c:v>27</c:v>
                </c:pt>
                <c:pt idx="34">
                  <c:v>27</c:v>
                </c:pt>
                <c:pt idx="35">
                  <c:v>28</c:v>
                </c:pt>
                <c:pt idx="36">
                  <c:v>28</c:v>
                </c:pt>
                <c:pt idx="37">
                  <c:v>29</c:v>
                </c:pt>
                <c:pt idx="38">
                  <c:v>29</c:v>
                </c:pt>
                <c:pt idx="39">
                  <c:v>29</c:v>
                </c:pt>
                <c:pt idx="40">
                  <c:v>29</c:v>
                </c:pt>
                <c:pt idx="41">
                  <c:v>29</c:v>
                </c:pt>
              </c:numCache>
            </c:numRef>
          </c:val>
          <c:smooth val="0"/>
          <c:extLst>
            <c:ext xmlns:c16="http://schemas.microsoft.com/office/drawing/2014/chart" uri="{C3380CC4-5D6E-409C-BE32-E72D297353CC}">
              <c16:uniqueId val="{00000004-03F7-4379-8496-EB20BF97F45A}"/>
            </c:ext>
          </c:extLst>
        </c:ser>
        <c:ser>
          <c:idx val="5"/>
          <c:order val="5"/>
          <c:tx>
            <c:strRef>
              <c:f>'Stats 2026'!$J$109</c:f>
              <c:strCache>
                <c:ptCount val="1"/>
                <c:pt idx="0">
                  <c:v>MSO</c:v>
                </c:pt>
              </c:strCache>
            </c:strRef>
          </c:tx>
          <c:spPr>
            <a:ln w="28575" cap="rnd">
              <a:solidFill>
                <a:srgbClr val="FFE101"/>
              </a:solidFill>
              <a:round/>
            </a:ln>
            <a:effectLst/>
          </c:spPr>
          <c:marker>
            <c:symbol val="none"/>
          </c:marker>
          <c:cat>
            <c:numRef>
              <c:f>'Stats 2026'!$D$110:$D$151</c:f>
              <c:numCache>
                <c:formatCode>m/d/yyyy</c:formatCode>
                <c:ptCount val="42"/>
                <c:pt idx="0">
                  <c:v>46003</c:v>
                </c:pt>
                <c:pt idx="1">
                  <c:v>46010</c:v>
                </c:pt>
                <c:pt idx="2">
                  <c:v>46031</c:v>
                </c:pt>
                <c:pt idx="3">
                  <c:v>46038</c:v>
                </c:pt>
                <c:pt idx="4">
                  <c:v>46045</c:v>
                </c:pt>
                <c:pt idx="5">
                  <c:v>46052</c:v>
                </c:pt>
                <c:pt idx="6">
                  <c:v>46059</c:v>
                </c:pt>
                <c:pt idx="7">
                  <c:v>46066</c:v>
                </c:pt>
                <c:pt idx="8">
                  <c:v>46073</c:v>
                </c:pt>
                <c:pt idx="9">
                  <c:v>46080</c:v>
                </c:pt>
                <c:pt idx="10">
                  <c:v>46087</c:v>
                </c:pt>
                <c:pt idx="11">
                  <c:v>46094</c:v>
                </c:pt>
                <c:pt idx="12">
                  <c:v>46101</c:v>
                </c:pt>
                <c:pt idx="13">
                  <c:v>46108</c:v>
                </c:pt>
                <c:pt idx="14">
                  <c:v>46122</c:v>
                </c:pt>
                <c:pt idx="15">
                  <c:v>46129</c:v>
                </c:pt>
                <c:pt idx="16">
                  <c:v>46136</c:v>
                </c:pt>
                <c:pt idx="17">
                  <c:v>46150</c:v>
                </c:pt>
                <c:pt idx="18">
                  <c:v>46157</c:v>
                </c:pt>
                <c:pt idx="19">
                  <c:v>46164</c:v>
                </c:pt>
                <c:pt idx="20">
                  <c:v>46171</c:v>
                </c:pt>
                <c:pt idx="21">
                  <c:v>46178</c:v>
                </c:pt>
                <c:pt idx="22">
                  <c:v>46185</c:v>
                </c:pt>
                <c:pt idx="23">
                  <c:v>46192</c:v>
                </c:pt>
                <c:pt idx="24">
                  <c:v>46199</c:v>
                </c:pt>
                <c:pt idx="25">
                  <c:v>46206</c:v>
                </c:pt>
                <c:pt idx="26">
                  <c:v>46213</c:v>
                </c:pt>
                <c:pt idx="27">
                  <c:v>46220</c:v>
                </c:pt>
                <c:pt idx="28">
                  <c:v>46227</c:v>
                </c:pt>
                <c:pt idx="29">
                  <c:v>46234</c:v>
                </c:pt>
                <c:pt idx="30">
                  <c:v>46241</c:v>
                </c:pt>
                <c:pt idx="31">
                  <c:v>46248</c:v>
                </c:pt>
                <c:pt idx="32">
                  <c:v>46255</c:v>
                </c:pt>
                <c:pt idx="33">
                  <c:v>46262</c:v>
                </c:pt>
                <c:pt idx="34">
                  <c:v>46269</c:v>
                </c:pt>
                <c:pt idx="35">
                  <c:v>46276</c:v>
                </c:pt>
                <c:pt idx="36">
                  <c:v>46283</c:v>
                </c:pt>
                <c:pt idx="37">
                  <c:v>46290</c:v>
                </c:pt>
                <c:pt idx="38">
                  <c:v>46297</c:v>
                </c:pt>
                <c:pt idx="39">
                  <c:v>46304</c:v>
                </c:pt>
                <c:pt idx="40">
                  <c:v>46311</c:v>
                </c:pt>
                <c:pt idx="41">
                  <c:v>46318</c:v>
                </c:pt>
              </c:numCache>
            </c:numRef>
          </c:cat>
          <c:val>
            <c:numRef>
              <c:f>'Stats 2026'!$J$110:$J$151</c:f>
              <c:numCache>
                <c:formatCode>#,##0</c:formatCode>
                <c:ptCount val="42"/>
                <c:pt idx="0" formatCode="General">
                  <c:v>1</c:v>
                </c:pt>
                <c:pt idx="1">
                  <c:v>2</c:v>
                </c:pt>
                <c:pt idx="2">
                  <c:v>2</c:v>
                </c:pt>
                <c:pt idx="3">
                  <c:v>2</c:v>
                </c:pt>
                <c:pt idx="4">
                  <c:v>3</c:v>
                </c:pt>
                <c:pt idx="5">
                  <c:v>4</c:v>
                </c:pt>
                <c:pt idx="6">
                  <c:v>5</c:v>
                </c:pt>
                <c:pt idx="7">
                  <c:v>6</c:v>
                </c:pt>
                <c:pt idx="8">
                  <c:v>7</c:v>
                </c:pt>
                <c:pt idx="9">
                  <c:v>7</c:v>
                </c:pt>
                <c:pt idx="10">
                  <c:v>8</c:v>
                </c:pt>
                <c:pt idx="11">
                  <c:v>9</c:v>
                </c:pt>
                <c:pt idx="12">
                  <c:v>10</c:v>
                </c:pt>
                <c:pt idx="13">
                  <c:v>11</c:v>
                </c:pt>
                <c:pt idx="14">
                  <c:v>12</c:v>
                </c:pt>
                <c:pt idx="15">
                  <c:v>13</c:v>
                </c:pt>
                <c:pt idx="16">
                  <c:v>14</c:v>
                </c:pt>
                <c:pt idx="17">
                  <c:v>15</c:v>
                </c:pt>
                <c:pt idx="18">
                  <c:v>16</c:v>
                </c:pt>
                <c:pt idx="19">
                  <c:v>17</c:v>
                </c:pt>
                <c:pt idx="20">
                  <c:v>18</c:v>
                </c:pt>
                <c:pt idx="21">
                  <c:v>18</c:v>
                </c:pt>
                <c:pt idx="22">
                  <c:v>19</c:v>
                </c:pt>
                <c:pt idx="23">
                  <c:v>20</c:v>
                </c:pt>
                <c:pt idx="24">
                  <c:v>21</c:v>
                </c:pt>
                <c:pt idx="25">
                  <c:v>22</c:v>
                </c:pt>
                <c:pt idx="26">
                  <c:v>23</c:v>
                </c:pt>
                <c:pt idx="27">
                  <c:v>23</c:v>
                </c:pt>
                <c:pt idx="28">
                  <c:v>24</c:v>
                </c:pt>
                <c:pt idx="29">
                  <c:v>25</c:v>
                </c:pt>
                <c:pt idx="30">
                  <c:v>26</c:v>
                </c:pt>
                <c:pt idx="31">
                  <c:v>27</c:v>
                </c:pt>
                <c:pt idx="32">
                  <c:v>27</c:v>
                </c:pt>
                <c:pt idx="33">
                  <c:v>28</c:v>
                </c:pt>
                <c:pt idx="34">
                  <c:v>29</c:v>
                </c:pt>
                <c:pt idx="35">
                  <c:v>30</c:v>
                </c:pt>
                <c:pt idx="36">
                  <c:v>30</c:v>
                </c:pt>
                <c:pt idx="37">
                  <c:v>30</c:v>
                </c:pt>
                <c:pt idx="38">
                  <c:v>31</c:v>
                </c:pt>
                <c:pt idx="39">
                  <c:v>32</c:v>
                </c:pt>
                <c:pt idx="40">
                  <c:v>33</c:v>
                </c:pt>
                <c:pt idx="41">
                  <c:v>34</c:v>
                </c:pt>
              </c:numCache>
            </c:numRef>
          </c:val>
          <c:smooth val="0"/>
          <c:extLst>
            <c:ext xmlns:c16="http://schemas.microsoft.com/office/drawing/2014/chart" uri="{C3380CC4-5D6E-409C-BE32-E72D297353CC}">
              <c16:uniqueId val="{00000005-03F7-4379-8496-EB20BF97F45A}"/>
            </c:ext>
          </c:extLst>
        </c:ser>
        <c:dLbls>
          <c:showLegendKey val="0"/>
          <c:showVal val="0"/>
          <c:showCatName val="0"/>
          <c:showSerName val="0"/>
          <c:showPercent val="0"/>
          <c:showBubbleSize val="0"/>
        </c:dLbls>
        <c:smooth val="0"/>
        <c:axId val="225906528"/>
        <c:axId val="1977905759"/>
      </c:lineChart>
      <c:dateAx>
        <c:axId val="225906528"/>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77905759"/>
        <c:crosses val="autoZero"/>
        <c:auto val="1"/>
        <c:lblOffset val="100"/>
        <c:baseTimeUnit val="days"/>
      </c:dateAx>
      <c:valAx>
        <c:axId val="1977905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25906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3996759493955545E-2"/>
          <c:y val="1.6862544164697551E-2"/>
          <c:w val="0.86044048763112824"/>
          <c:h val="0.93550821371243764"/>
        </c:manualLayout>
      </c:layout>
      <c:lineChart>
        <c:grouping val="standard"/>
        <c:varyColors val="0"/>
        <c:ser>
          <c:idx val="0"/>
          <c:order val="0"/>
          <c:tx>
            <c:strRef>
              <c:f>'All-time DF Stats'!$A$19</c:f>
              <c:strCache>
                <c:ptCount val="1"/>
                <c:pt idx="0">
                  <c:v>MSO/MST</c:v>
                </c:pt>
              </c:strCache>
            </c:strRef>
          </c:tx>
          <c:spPr>
            <a:ln w="38100" cap="rnd">
              <a:solidFill>
                <a:srgbClr val="FFE101"/>
              </a:solidFill>
              <a:prstDash val="solid"/>
              <a:round/>
            </a:ln>
            <a:effectLst/>
          </c:spPr>
          <c:marker>
            <c:symbol val="circle"/>
            <c:size val="5"/>
            <c:spPr>
              <a:solidFill>
                <a:srgbClr val="FFFF00"/>
              </a:solidFill>
              <a:ln w="9525">
                <a:noFill/>
              </a:ln>
              <a:effectLst/>
            </c:spPr>
          </c:marker>
          <c:cat>
            <c:numRef>
              <c:f>'All-time DF Stats'!$AD$65:$AN$65</c:f>
              <c:numCache>
                <c:formatCode>0</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'All-time DF Stats'!$AD$66:$AN$66</c:f>
              <c:numCache>
                <c:formatCode>0</c:formatCode>
                <c:ptCount val="11"/>
                <c:pt idx="0">
                  <c:v>25</c:v>
                </c:pt>
                <c:pt idx="1">
                  <c:v>66</c:v>
                </c:pt>
                <c:pt idx="2">
                  <c:v>117</c:v>
                </c:pt>
                <c:pt idx="3">
                  <c:v>153.0001</c:v>
                </c:pt>
                <c:pt idx="4">
                  <c:v>213.00020000000001</c:v>
                </c:pt>
                <c:pt idx="5">
                  <c:v>248.00030000000001</c:v>
                </c:pt>
                <c:pt idx="6">
                  <c:v>281.00040000000001</c:v>
                </c:pt>
                <c:pt idx="7">
                  <c:v>317.00049999999999</c:v>
                </c:pt>
                <c:pt idx="8">
                  <c:v>354.00059999999996</c:v>
                </c:pt>
                <c:pt idx="9">
                  <c:v>384.00069999999994</c:v>
                </c:pt>
                <c:pt idx="10">
                  <c:v>418.00079999999991</c:v>
                </c:pt>
              </c:numCache>
            </c:numRef>
          </c:val>
          <c:smooth val="0"/>
          <c:extLst>
            <c:ext xmlns:c16="http://schemas.microsoft.com/office/drawing/2014/chart" uri="{C3380CC4-5D6E-409C-BE32-E72D297353CC}">
              <c16:uniqueId val="{00000000-4056-4BCC-B965-9175B12D0AD7}"/>
            </c:ext>
          </c:extLst>
        </c:ser>
        <c:ser>
          <c:idx val="1"/>
          <c:order val="1"/>
          <c:tx>
            <c:strRef>
              <c:f>'All-time DF Stats'!$AC$67</c:f>
              <c:strCache>
                <c:ptCount val="1"/>
                <c:pt idx="0">
                  <c:v>PKN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'All-time DF Stats'!$AD$65:$AN$65</c:f>
              <c:numCache>
                <c:formatCode>0</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'All-time DF Stats'!$AD$67:$AN$67</c:f>
              <c:numCache>
                <c:formatCode>0</c:formatCode>
                <c:ptCount val="11"/>
                <c:pt idx="0">
                  <c:v>30</c:v>
                </c:pt>
                <c:pt idx="1">
                  <c:v>64</c:v>
                </c:pt>
                <c:pt idx="2">
                  <c:v>108</c:v>
                </c:pt>
                <c:pt idx="3">
                  <c:v>148.00008</c:v>
                </c:pt>
                <c:pt idx="4">
                  <c:v>201.00015999999999</c:v>
                </c:pt>
                <c:pt idx="5">
                  <c:v>231.00023999999999</c:v>
                </c:pt>
                <c:pt idx="6">
                  <c:v>255.00031999999999</c:v>
                </c:pt>
                <c:pt idx="7">
                  <c:v>282.00040000000001</c:v>
                </c:pt>
                <c:pt idx="8">
                  <c:v>304.00048000000004</c:v>
                </c:pt>
                <c:pt idx="9">
                  <c:v>325.00053000000003</c:v>
                </c:pt>
                <c:pt idx="10">
                  <c:v>344.00058000000001</c:v>
                </c:pt>
              </c:numCache>
            </c:numRef>
          </c:val>
          <c:smooth val="0"/>
          <c:extLst>
            <c:ext xmlns:c16="http://schemas.microsoft.com/office/drawing/2014/chart" uri="{C3380CC4-5D6E-409C-BE32-E72D297353CC}">
              <c16:uniqueId val="{00000001-4056-4BCC-B965-9175B12D0AD7}"/>
            </c:ext>
          </c:extLst>
        </c:ser>
        <c:ser>
          <c:idx val="2"/>
          <c:order val="2"/>
          <c:tx>
            <c:strRef>
              <c:f>'All-time DF Stats'!$AC$68</c:f>
              <c:strCache>
                <c:ptCount val="1"/>
                <c:pt idx="0">
                  <c:v>JWU</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'All-time DF Stats'!$AD$65:$AN$65</c:f>
              <c:numCache>
                <c:formatCode>0</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'All-time DF Stats'!$AD$68:$AN$68</c:f>
              <c:numCache>
                <c:formatCode>0</c:formatCode>
                <c:ptCount val="11"/>
                <c:pt idx="0">
                  <c:v>28</c:v>
                </c:pt>
                <c:pt idx="1">
                  <c:v>66</c:v>
                </c:pt>
                <c:pt idx="2">
                  <c:v>111</c:v>
                </c:pt>
                <c:pt idx="3">
                  <c:v>144.00006999999999</c:v>
                </c:pt>
                <c:pt idx="4">
                  <c:v>199.00013999999999</c:v>
                </c:pt>
                <c:pt idx="5">
                  <c:v>230.00020999999998</c:v>
                </c:pt>
                <c:pt idx="6">
                  <c:v>250.00027999999998</c:v>
                </c:pt>
                <c:pt idx="7">
                  <c:v>272.00034999999997</c:v>
                </c:pt>
                <c:pt idx="8">
                  <c:v>312.00041999999996</c:v>
                </c:pt>
                <c:pt idx="9">
                  <c:v>348.00043999999997</c:v>
                </c:pt>
                <c:pt idx="10">
                  <c:v>371.00045999999998</c:v>
                </c:pt>
              </c:numCache>
            </c:numRef>
          </c:val>
          <c:smooth val="0"/>
          <c:extLst>
            <c:ext xmlns:c16="http://schemas.microsoft.com/office/drawing/2014/chart" uri="{C3380CC4-5D6E-409C-BE32-E72D297353CC}">
              <c16:uniqueId val="{00000002-4056-4BCC-B965-9175B12D0AD7}"/>
            </c:ext>
          </c:extLst>
        </c:ser>
        <c:ser>
          <c:idx val="3"/>
          <c:order val="3"/>
          <c:tx>
            <c:strRef>
              <c:f>'All-time DF Stats'!$AC$69</c:f>
              <c:strCache>
                <c:ptCount val="1"/>
                <c:pt idx="0">
                  <c:v>SJU</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'All-time DF Stats'!$AD$65:$AN$65</c:f>
              <c:numCache>
                <c:formatCode>0</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'All-time DF Stats'!$AD$69:$AN$69</c:f>
              <c:numCache>
                <c:formatCode>0</c:formatCode>
                <c:ptCount val="11"/>
                <c:pt idx="0">
                  <c:v>27</c:v>
                </c:pt>
                <c:pt idx="1">
                  <c:v>63</c:v>
                </c:pt>
                <c:pt idx="2">
                  <c:v>102</c:v>
                </c:pt>
                <c:pt idx="3">
                  <c:v>141.00009</c:v>
                </c:pt>
                <c:pt idx="4">
                  <c:v>195.00018</c:v>
                </c:pt>
                <c:pt idx="5">
                  <c:v>227.00027</c:v>
                </c:pt>
                <c:pt idx="6">
                  <c:v>263.00036</c:v>
                </c:pt>
                <c:pt idx="7">
                  <c:v>302.00045</c:v>
                </c:pt>
                <c:pt idx="8">
                  <c:v>340.00054</c:v>
                </c:pt>
                <c:pt idx="9">
                  <c:v>376.00063</c:v>
                </c:pt>
                <c:pt idx="10">
                  <c:v>405.00072</c:v>
                </c:pt>
              </c:numCache>
            </c:numRef>
          </c:val>
          <c:smooth val="0"/>
          <c:extLst>
            <c:ext xmlns:c16="http://schemas.microsoft.com/office/drawing/2014/chart" uri="{C3380CC4-5D6E-409C-BE32-E72D297353CC}">
              <c16:uniqueId val="{00000003-4056-4BCC-B965-9175B12D0AD7}"/>
            </c:ext>
          </c:extLst>
        </c:ser>
        <c:ser>
          <c:idx val="4"/>
          <c:order val="4"/>
          <c:tx>
            <c:strRef>
              <c:f>'All-time DF Stats'!$AC$70</c:f>
              <c:strCache>
                <c:ptCount val="1"/>
                <c:pt idx="0">
                  <c:v>YMI</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'All-time DF Stats'!$AD$65:$AN$65</c:f>
              <c:numCache>
                <c:formatCode>0</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'All-time DF Stats'!$AD$70:$AN$70</c:f>
              <c:numCache>
                <c:formatCode>0</c:formatCode>
                <c:ptCount val="11"/>
                <c:pt idx="0">
                  <c:v>27</c:v>
                </c:pt>
                <c:pt idx="1">
                  <c:v>63</c:v>
                </c:pt>
                <c:pt idx="2">
                  <c:v>82</c:v>
                </c:pt>
                <c:pt idx="3">
                  <c:v>92.000050000000002</c:v>
                </c:pt>
                <c:pt idx="4">
                  <c:v>117.0001</c:v>
                </c:pt>
                <c:pt idx="5">
                  <c:v>136.00015999999999</c:v>
                </c:pt>
                <c:pt idx="6">
                  <c:v>142.00021999999998</c:v>
                </c:pt>
                <c:pt idx="7">
                  <c:v>158.00027999999998</c:v>
                </c:pt>
                <c:pt idx="8">
                  <c:v>178.00033999999997</c:v>
                </c:pt>
                <c:pt idx="9">
                  <c:v>201.00039999999996</c:v>
                </c:pt>
                <c:pt idx="10">
                  <c:v>223.00045999999995</c:v>
                </c:pt>
              </c:numCache>
            </c:numRef>
          </c:val>
          <c:smooth val="0"/>
          <c:extLst>
            <c:ext xmlns:c16="http://schemas.microsoft.com/office/drawing/2014/chart" uri="{C3380CC4-5D6E-409C-BE32-E72D297353CC}">
              <c16:uniqueId val="{00000004-4056-4BCC-B965-9175B12D0AD7}"/>
            </c:ext>
          </c:extLst>
        </c:ser>
        <c:ser>
          <c:idx val="5"/>
          <c:order val="5"/>
          <c:tx>
            <c:strRef>
              <c:f>'All-time DF Stats'!$AC$71</c:f>
              <c:strCache>
                <c:ptCount val="1"/>
                <c:pt idx="0">
                  <c:v>CBO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'All-time DF Stats'!$AD$65:$AN$65</c:f>
              <c:numCache>
                <c:formatCode>0</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'All-time DF Stats'!$AD$71:$AN$71</c:f>
              <c:numCache>
                <c:formatCode>0</c:formatCode>
                <c:ptCount val="11"/>
                <c:pt idx="0">
                  <c:v>28</c:v>
                </c:pt>
                <c:pt idx="1">
                  <c:v>42</c:v>
                </c:pt>
                <c:pt idx="2">
                  <c:v>44</c:v>
                </c:pt>
                <c:pt idx="3">
                  <c:v>46.000059999999998</c:v>
                </c:pt>
                <c:pt idx="4">
                  <c:v>72.000119999999995</c:v>
                </c:pt>
                <c:pt idx="5">
                  <c:v>98.000169999999997</c:v>
                </c:pt>
                <c:pt idx="6">
                  <c:v>128.00022000000001</c:v>
                </c:pt>
                <c:pt idx="7">
                  <c:v>161.00027</c:v>
                </c:pt>
                <c:pt idx="8">
                  <c:v>178.00033999999997</c:v>
                </c:pt>
                <c:pt idx="9">
                  <c:v>223.00036999999998</c:v>
                </c:pt>
                <c:pt idx="10">
                  <c:v>238.00041999999996</c:v>
                </c:pt>
              </c:numCache>
            </c:numRef>
          </c:val>
          <c:smooth val="0"/>
          <c:extLst>
            <c:ext xmlns:c16="http://schemas.microsoft.com/office/drawing/2014/chart" uri="{C3380CC4-5D6E-409C-BE32-E72D297353CC}">
              <c16:uniqueId val="{00000005-4056-4BCC-B965-9175B12D0AD7}"/>
            </c:ext>
          </c:extLst>
        </c:ser>
        <c:dLbls>
          <c:showLegendKey val="0"/>
          <c:showVal val="0"/>
          <c:showCatName val="0"/>
          <c:showSerName val="0"/>
          <c:showPercent val="0"/>
          <c:showBubbleSize val="0"/>
        </c:dLbls>
        <c:marker val="1"/>
        <c:smooth val="0"/>
        <c:axId val="1519243423"/>
        <c:axId val="1519263807"/>
      </c:lineChart>
      <c:catAx>
        <c:axId val="1519243423"/>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de-DE"/>
          </a:p>
        </c:txPr>
        <c:crossAx val="1519263807"/>
        <c:crosses val="autoZero"/>
        <c:auto val="1"/>
        <c:lblAlgn val="ctr"/>
        <c:lblOffset val="100"/>
        <c:noMultiLvlLbl val="0"/>
      </c:catAx>
      <c:valAx>
        <c:axId val="1519263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de-DE"/>
          </a:p>
        </c:txPr>
        <c:crossAx val="1519243423"/>
        <c:crosses val="autoZero"/>
        <c:crossBetween val="between"/>
      </c:valAx>
      <c:spPr>
        <a:noFill/>
        <a:ln>
          <a:noFill/>
        </a:ln>
        <a:effectLst/>
      </c:spPr>
    </c:plotArea>
    <c:legend>
      <c:legendPos val="r"/>
      <c:layout>
        <c:manualLayout>
          <c:xMode val="edge"/>
          <c:yMode val="edge"/>
          <c:x val="0.87694680290665805"/>
          <c:y val="0.35571447582530064"/>
          <c:w val="0.10857260931576879"/>
          <c:h val="0.288570823935047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de-CH">
                <a:latin typeface="Comic Sans MS" panose="030F0702030302020204" pitchFamily="66" charset="0"/>
              </a:rPr>
              <a:t>DF Participation Rate per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de-DE"/>
        </a:p>
      </c:txPr>
    </c:title>
    <c:autoTitleDeleted val="0"/>
    <c:plotArea>
      <c:layout/>
      <c:lineChart>
        <c:grouping val="standard"/>
        <c:varyColors val="0"/>
        <c:ser>
          <c:idx val="0"/>
          <c:order val="0"/>
          <c:tx>
            <c:v>MSO/MST</c:v>
          </c:tx>
          <c:spPr>
            <a:ln w="31750" cap="rnd">
              <a:solidFill>
                <a:srgbClr val="FFFF00"/>
              </a:solidFill>
              <a:round/>
            </a:ln>
            <a:effectLst>
              <a:outerShdw blurRad="40000" dist="23000" dir="5400000" rotWithShape="0">
                <a:srgbClr val="000000">
                  <a:alpha val="35000"/>
                </a:srgbClr>
              </a:outerShdw>
            </a:effectLst>
          </c:spPr>
          <c:marker>
            <c:symbol val="none"/>
          </c:marker>
          <c:cat>
            <c:strRef>
              <c:f>'All-time DF Stats'!$F$1:$P$1</c:f>
              <c:strCache>
                <c:ptCount val="11"/>
                <c:pt idx="0">
                  <c:v>PR% 16</c:v>
                </c:pt>
                <c:pt idx="1">
                  <c:v>PR% 17</c:v>
                </c:pt>
                <c:pt idx="2">
                  <c:v>PR% 18</c:v>
                </c:pt>
                <c:pt idx="3">
                  <c:v>PR% 19</c:v>
                </c:pt>
                <c:pt idx="4">
                  <c:v>PR% 20</c:v>
                </c:pt>
                <c:pt idx="5">
                  <c:v>PR% 21</c:v>
                </c:pt>
                <c:pt idx="6">
                  <c:v>PR% 22</c:v>
                </c:pt>
                <c:pt idx="7">
                  <c:v>PR% 23</c:v>
                </c:pt>
                <c:pt idx="8">
                  <c:v>PR% 24</c:v>
                </c:pt>
                <c:pt idx="9">
                  <c:v>PR% 25</c:v>
                </c:pt>
                <c:pt idx="10">
                  <c:v>PR% 26</c:v>
                </c:pt>
              </c:strCache>
            </c:strRef>
          </c:cat>
          <c:val>
            <c:numRef>
              <c:f>'All-time DF Stats'!$F$2:$P$2</c:f>
              <c:numCache>
                <c:formatCode>0.0%</c:formatCode>
                <c:ptCount val="11"/>
                <c:pt idx="0">
                  <c:v>0.86206896551724133</c:v>
                </c:pt>
                <c:pt idx="1">
                  <c:v>0.80392156862745101</c:v>
                </c:pt>
                <c:pt idx="2">
                  <c:v>0.83050847457627119</c:v>
                </c:pt>
                <c:pt idx="3">
                  <c:v>0.76595957446808516</c:v>
                </c:pt>
                <c:pt idx="4">
                  <c:v>0.90909242424242431</c:v>
                </c:pt>
                <c:pt idx="5">
                  <c:v>0.8333357142857144</c:v>
                </c:pt>
                <c:pt idx="6">
                  <c:v>0.73913260869565223</c:v>
                </c:pt>
                <c:pt idx="7">
                  <c:v>0.66037924528301895</c:v>
                </c:pt>
                <c:pt idx="8">
                  <c:v>0.75510408163265308</c:v>
                </c:pt>
                <c:pt idx="9">
                  <c:v>0.69767674418604653</c:v>
                </c:pt>
                <c:pt idx="10">
                  <c:v>0.80952619047619057</c:v>
                </c:pt>
              </c:numCache>
            </c:numRef>
          </c:val>
          <c:smooth val="0"/>
          <c:extLst>
            <c:ext xmlns:c16="http://schemas.microsoft.com/office/drawing/2014/chart" uri="{C3380CC4-5D6E-409C-BE32-E72D297353CC}">
              <c16:uniqueId val="{00000000-830F-4409-A22A-6960E120F2AA}"/>
            </c:ext>
          </c:extLst>
        </c:ser>
        <c:ser>
          <c:idx val="1"/>
          <c:order val="1"/>
          <c:tx>
            <c:v>SJU</c:v>
          </c:tx>
          <c:spPr>
            <a:ln w="31750" cap="rnd">
              <a:solidFill>
                <a:schemeClr val="accent4"/>
              </a:solidFill>
              <a:round/>
            </a:ln>
            <a:effectLst>
              <a:outerShdw blurRad="40000" dist="23000" dir="5400000" rotWithShape="0">
                <a:srgbClr val="000000">
                  <a:alpha val="35000"/>
                </a:srgbClr>
              </a:outerShdw>
            </a:effectLst>
          </c:spPr>
          <c:marker>
            <c:symbol val="none"/>
          </c:marker>
          <c:cat>
            <c:strRef>
              <c:f>'All-time DF Stats'!$F$1:$P$1</c:f>
              <c:strCache>
                <c:ptCount val="11"/>
                <c:pt idx="0">
                  <c:v>PR% 16</c:v>
                </c:pt>
                <c:pt idx="1">
                  <c:v>PR% 17</c:v>
                </c:pt>
                <c:pt idx="2">
                  <c:v>PR% 18</c:v>
                </c:pt>
                <c:pt idx="3">
                  <c:v>PR% 19</c:v>
                </c:pt>
                <c:pt idx="4">
                  <c:v>PR% 20</c:v>
                </c:pt>
                <c:pt idx="5">
                  <c:v>PR% 21</c:v>
                </c:pt>
                <c:pt idx="6">
                  <c:v>PR% 22</c:v>
                </c:pt>
                <c:pt idx="7">
                  <c:v>PR% 23</c:v>
                </c:pt>
                <c:pt idx="8">
                  <c:v>PR% 24</c:v>
                </c:pt>
                <c:pt idx="9">
                  <c:v>PR% 25</c:v>
                </c:pt>
                <c:pt idx="10">
                  <c:v>PR% 26</c:v>
                </c:pt>
              </c:strCache>
            </c:strRef>
          </c:cat>
          <c:val>
            <c:numRef>
              <c:f>'All-time DF Stats'!$F$3:$P$3</c:f>
              <c:numCache>
                <c:formatCode>0.0%</c:formatCode>
                <c:ptCount val="11"/>
                <c:pt idx="0">
                  <c:v>0.75</c:v>
                </c:pt>
                <c:pt idx="1">
                  <c:v>0.70588235294117652</c:v>
                </c:pt>
                <c:pt idx="2">
                  <c:v>0.66101694915254239</c:v>
                </c:pt>
                <c:pt idx="3">
                  <c:v>0.82978914893617017</c:v>
                </c:pt>
                <c:pt idx="4">
                  <c:v>0.81818318181818184</c:v>
                </c:pt>
                <c:pt idx="5">
                  <c:v>0.76190690476190481</c:v>
                </c:pt>
                <c:pt idx="6">
                  <c:v>0.82608891304347831</c:v>
                </c:pt>
                <c:pt idx="7">
                  <c:v>0.69811490566037737</c:v>
                </c:pt>
                <c:pt idx="8">
                  <c:v>0.77551204081632652</c:v>
                </c:pt>
                <c:pt idx="9">
                  <c:v>0.83721139534883726</c:v>
                </c:pt>
                <c:pt idx="10">
                  <c:v>0.69047833333333331</c:v>
                </c:pt>
              </c:numCache>
            </c:numRef>
          </c:val>
          <c:smooth val="0"/>
          <c:extLst>
            <c:ext xmlns:c16="http://schemas.microsoft.com/office/drawing/2014/chart" uri="{C3380CC4-5D6E-409C-BE32-E72D297353CC}">
              <c16:uniqueId val="{00000001-830F-4409-A22A-6960E120F2AA}"/>
            </c:ext>
          </c:extLst>
        </c:ser>
        <c:ser>
          <c:idx val="2"/>
          <c:order val="2"/>
          <c:tx>
            <c:v>PKN</c:v>
          </c:tx>
          <c:spPr>
            <a:ln w="31750" cap="rnd">
              <a:solidFill>
                <a:srgbClr val="C00000"/>
              </a:solidFill>
              <a:round/>
            </a:ln>
            <a:effectLst>
              <a:outerShdw blurRad="40000" dist="23000" dir="5400000" rotWithShape="0">
                <a:srgbClr val="000000">
                  <a:alpha val="35000"/>
                </a:srgbClr>
              </a:outerShdw>
            </a:effectLst>
          </c:spPr>
          <c:marker>
            <c:symbol val="none"/>
          </c:marker>
          <c:cat>
            <c:strRef>
              <c:f>'All-time DF Stats'!$F$1:$P$1</c:f>
              <c:strCache>
                <c:ptCount val="11"/>
                <c:pt idx="0">
                  <c:v>PR% 16</c:v>
                </c:pt>
                <c:pt idx="1">
                  <c:v>PR% 17</c:v>
                </c:pt>
                <c:pt idx="2">
                  <c:v>PR% 18</c:v>
                </c:pt>
                <c:pt idx="3">
                  <c:v>PR% 19</c:v>
                </c:pt>
                <c:pt idx="4">
                  <c:v>PR% 20</c:v>
                </c:pt>
                <c:pt idx="5">
                  <c:v>PR% 21</c:v>
                </c:pt>
                <c:pt idx="6">
                  <c:v>PR% 22</c:v>
                </c:pt>
                <c:pt idx="7">
                  <c:v>PR% 23</c:v>
                </c:pt>
                <c:pt idx="8">
                  <c:v>PR% 24</c:v>
                </c:pt>
                <c:pt idx="9">
                  <c:v>PR% 25</c:v>
                </c:pt>
                <c:pt idx="10">
                  <c:v>PR% 26</c:v>
                </c:pt>
              </c:strCache>
            </c:strRef>
          </c:cat>
          <c:val>
            <c:numRef>
              <c:f>'All-time DF Stats'!$F$5:$P$5</c:f>
              <c:numCache>
                <c:formatCode>0.0%</c:formatCode>
                <c:ptCount val="11"/>
                <c:pt idx="0">
                  <c:v>0.83333333333333337</c:v>
                </c:pt>
                <c:pt idx="1">
                  <c:v>0.66666666666666663</c:v>
                </c:pt>
                <c:pt idx="2">
                  <c:v>0.72881355932203384</c:v>
                </c:pt>
                <c:pt idx="3">
                  <c:v>0.85106553191489354</c:v>
                </c:pt>
                <c:pt idx="4">
                  <c:v>0.80303151515151505</c:v>
                </c:pt>
                <c:pt idx="5">
                  <c:v>0.71428761904761906</c:v>
                </c:pt>
                <c:pt idx="6">
                  <c:v>0.54347999999999996</c:v>
                </c:pt>
                <c:pt idx="7">
                  <c:v>0.49056754716981132</c:v>
                </c:pt>
                <c:pt idx="8">
                  <c:v>0.44898122448979594</c:v>
                </c:pt>
                <c:pt idx="9">
                  <c:v>0.48837325581395352</c:v>
                </c:pt>
                <c:pt idx="10">
                  <c:v>0.4523821428571429</c:v>
                </c:pt>
              </c:numCache>
            </c:numRef>
          </c:val>
          <c:smooth val="0"/>
          <c:extLst>
            <c:ext xmlns:c16="http://schemas.microsoft.com/office/drawing/2014/chart" uri="{C3380CC4-5D6E-409C-BE32-E72D297353CC}">
              <c16:uniqueId val="{00000002-830F-4409-A22A-6960E120F2AA}"/>
            </c:ext>
          </c:extLst>
        </c:ser>
        <c:ser>
          <c:idx val="3"/>
          <c:order val="3"/>
          <c:tx>
            <c:v>JWU</c:v>
          </c:tx>
          <c:spPr>
            <a:ln w="31750" cap="rnd">
              <a:solidFill>
                <a:srgbClr val="92D050"/>
              </a:solidFill>
              <a:round/>
            </a:ln>
            <a:effectLst>
              <a:outerShdw blurRad="40000" dist="23000" dir="5400000" rotWithShape="0">
                <a:srgbClr val="000000">
                  <a:alpha val="35000"/>
                </a:srgbClr>
              </a:outerShdw>
            </a:effectLst>
          </c:spPr>
          <c:marker>
            <c:symbol val="none"/>
          </c:marker>
          <c:cat>
            <c:strRef>
              <c:f>'All-time DF Stats'!$F$1:$P$1</c:f>
              <c:strCache>
                <c:ptCount val="11"/>
                <c:pt idx="0">
                  <c:v>PR% 16</c:v>
                </c:pt>
                <c:pt idx="1">
                  <c:v>PR% 17</c:v>
                </c:pt>
                <c:pt idx="2">
                  <c:v>PR% 18</c:v>
                </c:pt>
                <c:pt idx="3">
                  <c:v>PR% 19</c:v>
                </c:pt>
                <c:pt idx="4">
                  <c:v>PR% 20</c:v>
                </c:pt>
                <c:pt idx="5">
                  <c:v>PR% 21</c:v>
                </c:pt>
                <c:pt idx="6">
                  <c:v>PR% 22</c:v>
                </c:pt>
                <c:pt idx="7">
                  <c:v>PR% 23</c:v>
                </c:pt>
                <c:pt idx="8">
                  <c:v>PR% 24</c:v>
                </c:pt>
                <c:pt idx="9">
                  <c:v>PR% 25</c:v>
                </c:pt>
                <c:pt idx="10">
                  <c:v>PR% 26</c:v>
                </c:pt>
              </c:strCache>
            </c:strRef>
          </c:cat>
          <c:val>
            <c:numRef>
              <c:f>'All-time DF Stats'!$F$4:$P$4</c:f>
              <c:numCache>
                <c:formatCode>0.0%</c:formatCode>
                <c:ptCount val="11"/>
                <c:pt idx="0">
                  <c:v>0.77777777777777779</c:v>
                </c:pt>
                <c:pt idx="1">
                  <c:v>0.74509803921568629</c:v>
                </c:pt>
                <c:pt idx="2">
                  <c:v>0.74576271186440679</c:v>
                </c:pt>
                <c:pt idx="3">
                  <c:v>0.70212914893617018</c:v>
                </c:pt>
                <c:pt idx="4">
                  <c:v>0.8333343939393939</c:v>
                </c:pt>
                <c:pt idx="5">
                  <c:v>0.73809690476190482</c:v>
                </c:pt>
                <c:pt idx="6">
                  <c:v>0.45652326086956524</c:v>
                </c:pt>
                <c:pt idx="7">
                  <c:v>0.39622773584905663</c:v>
                </c:pt>
                <c:pt idx="8">
                  <c:v>0.81632795918367351</c:v>
                </c:pt>
                <c:pt idx="9">
                  <c:v>0.83720976744186049</c:v>
                </c:pt>
                <c:pt idx="10">
                  <c:v>0.54761952380952383</c:v>
                </c:pt>
              </c:numCache>
            </c:numRef>
          </c:val>
          <c:smooth val="0"/>
          <c:extLst>
            <c:ext xmlns:c16="http://schemas.microsoft.com/office/drawing/2014/chart" uri="{C3380CC4-5D6E-409C-BE32-E72D297353CC}">
              <c16:uniqueId val="{00000003-830F-4409-A22A-6960E120F2AA}"/>
            </c:ext>
          </c:extLst>
        </c:ser>
        <c:ser>
          <c:idx val="4"/>
          <c:order val="4"/>
          <c:tx>
            <c:v>CBO</c:v>
          </c:tx>
          <c:spPr>
            <a:ln w="31750" cap="rnd">
              <a:solidFill>
                <a:schemeClr val="accent6"/>
              </a:solidFill>
              <a:round/>
            </a:ln>
            <a:effectLst>
              <a:outerShdw blurRad="40000" dist="23000" dir="5400000" rotWithShape="0">
                <a:srgbClr val="000000">
                  <a:alpha val="35000"/>
                </a:srgbClr>
              </a:outerShdw>
            </a:effectLst>
          </c:spPr>
          <c:marker>
            <c:symbol val="none"/>
          </c:marker>
          <c:cat>
            <c:strRef>
              <c:f>'All-time DF Stats'!$F$1:$P$1</c:f>
              <c:strCache>
                <c:ptCount val="11"/>
                <c:pt idx="0">
                  <c:v>PR% 16</c:v>
                </c:pt>
                <c:pt idx="1">
                  <c:v>PR% 17</c:v>
                </c:pt>
                <c:pt idx="2">
                  <c:v>PR% 18</c:v>
                </c:pt>
                <c:pt idx="3">
                  <c:v>PR% 19</c:v>
                </c:pt>
                <c:pt idx="4">
                  <c:v>PR% 20</c:v>
                </c:pt>
                <c:pt idx="5">
                  <c:v>PR% 21</c:v>
                </c:pt>
                <c:pt idx="6">
                  <c:v>PR% 22</c:v>
                </c:pt>
                <c:pt idx="7">
                  <c:v>PR% 23</c:v>
                </c:pt>
                <c:pt idx="8">
                  <c:v>PR% 24</c:v>
                </c:pt>
                <c:pt idx="9">
                  <c:v>PR% 25</c:v>
                </c:pt>
                <c:pt idx="10">
                  <c:v>PR% 26</c:v>
                </c:pt>
              </c:strCache>
            </c:strRef>
          </c:cat>
          <c:val>
            <c:numRef>
              <c:f>'All-time DF Stats'!$F$6:$P$6</c:f>
              <c:numCache>
                <c:formatCode>0.0%</c:formatCode>
                <c:ptCount val="11"/>
                <c:pt idx="0">
                  <c:v>0.77777777777777779</c:v>
                </c:pt>
                <c:pt idx="1">
                  <c:v>0.27450980392156865</c:v>
                </c:pt>
                <c:pt idx="2">
                  <c:v>3.3898305084745763E-2</c:v>
                </c:pt>
                <c:pt idx="3">
                  <c:v>4.2554468085106385E-2</c:v>
                </c:pt>
                <c:pt idx="4">
                  <c:v>0.39394030303030303</c:v>
                </c:pt>
                <c:pt idx="5">
                  <c:v>0.61904880952380958</c:v>
                </c:pt>
                <c:pt idx="6">
                  <c:v>0.67391413043478265</c:v>
                </c:pt>
                <c:pt idx="7">
                  <c:v>0.60377452830188683</c:v>
                </c:pt>
                <c:pt idx="8">
                  <c:v>0.69387857142857146</c:v>
                </c:pt>
                <c:pt idx="9">
                  <c:v>0.65116395348837208</c:v>
                </c:pt>
                <c:pt idx="10">
                  <c:v>0.35714404761904761</c:v>
                </c:pt>
              </c:numCache>
            </c:numRef>
          </c:val>
          <c:smooth val="0"/>
          <c:extLst>
            <c:ext xmlns:c16="http://schemas.microsoft.com/office/drawing/2014/chart" uri="{C3380CC4-5D6E-409C-BE32-E72D297353CC}">
              <c16:uniqueId val="{00000004-830F-4409-A22A-6960E120F2AA}"/>
            </c:ext>
          </c:extLst>
        </c:ser>
        <c:ser>
          <c:idx val="5"/>
          <c:order val="5"/>
          <c:tx>
            <c:v>YMI</c:v>
          </c:tx>
          <c:spPr>
            <a:ln w="31750" cap="rnd">
              <a:solidFill>
                <a:schemeClr val="accent5"/>
              </a:solidFill>
              <a:round/>
            </a:ln>
            <a:effectLst>
              <a:outerShdw blurRad="40000" dist="23000" dir="5400000" rotWithShape="0">
                <a:srgbClr val="000000">
                  <a:alpha val="35000"/>
                </a:srgbClr>
              </a:outerShdw>
            </a:effectLst>
          </c:spPr>
          <c:marker>
            <c:symbol val="none"/>
          </c:marker>
          <c:cat>
            <c:strRef>
              <c:f>'All-time DF Stats'!$F$1:$P$1</c:f>
              <c:strCache>
                <c:ptCount val="11"/>
                <c:pt idx="0">
                  <c:v>PR% 16</c:v>
                </c:pt>
                <c:pt idx="1">
                  <c:v>PR% 17</c:v>
                </c:pt>
                <c:pt idx="2">
                  <c:v>PR% 18</c:v>
                </c:pt>
                <c:pt idx="3">
                  <c:v>PR% 19</c:v>
                </c:pt>
                <c:pt idx="4">
                  <c:v>PR% 20</c:v>
                </c:pt>
                <c:pt idx="5">
                  <c:v>PR% 21</c:v>
                </c:pt>
                <c:pt idx="6">
                  <c:v>PR% 22</c:v>
                </c:pt>
                <c:pt idx="7">
                  <c:v>PR% 23</c:v>
                </c:pt>
                <c:pt idx="8">
                  <c:v>PR% 24</c:v>
                </c:pt>
                <c:pt idx="9">
                  <c:v>PR% 25</c:v>
                </c:pt>
                <c:pt idx="10">
                  <c:v>PR% 26</c:v>
                </c:pt>
              </c:strCache>
            </c:strRef>
          </c:cat>
          <c:val>
            <c:numRef>
              <c:f>'All-time DF Stats'!$F$7:$P$7</c:f>
              <c:numCache>
                <c:formatCode>0.0%</c:formatCode>
                <c:ptCount val="11"/>
                <c:pt idx="0">
                  <c:v>0.75</c:v>
                </c:pt>
                <c:pt idx="1">
                  <c:v>0.70588235294117652</c:v>
                </c:pt>
                <c:pt idx="2">
                  <c:v>0.32203389830508472</c:v>
                </c:pt>
                <c:pt idx="3">
                  <c:v>0.21276702127659575</c:v>
                </c:pt>
                <c:pt idx="4">
                  <c:v>0.37878863636363641</c:v>
                </c:pt>
                <c:pt idx="5">
                  <c:v>0.45238238095238098</c:v>
                </c:pt>
                <c:pt idx="6">
                  <c:v>0.15217521739130435</c:v>
                </c:pt>
                <c:pt idx="7">
                  <c:v>0.28301999999999999</c:v>
                </c:pt>
                <c:pt idx="8">
                  <c:v>0.40816448979591841</c:v>
                </c:pt>
                <c:pt idx="9">
                  <c:v>0.53488511627906976</c:v>
                </c:pt>
                <c:pt idx="10">
                  <c:v>0.52381095238095243</c:v>
                </c:pt>
              </c:numCache>
            </c:numRef>
          </c:val>
          <c:smooth val="0"/>
          <c:extLst>
            <c:ext xmlns:c16="http://schemas.microsoft.com/office/drawing/2014/chart" uri="{C3380CC4-5D6E-409C-BE32-E72D297353CC}">
              <c16:uniqueId val="{00000005-830F-4409-A22A-6960E120F2AA}"/>
            </c:ext>
          </c:extLst>
        </c:ser>
        <c:ser>
          <c:idx val="6"/>
          <c:order val="6"/>
          <c:tx>
            <c:v>Average</c:v>
          </c:tx>
          <c:spPr>
            <a:ln w="31750" cap="rnd">
              <a:solidFill>
                <a:schemeClr val="tx1"/>
              </a:solidFill>
              <a:round/>
            </a:ln>
            <a:effectLst>
              <a:outerShdw blurRad="40000" dist="23000" dir="5400000" rotWithShape="0">
                <a:srgbClr val="000000">
                  <a:alpha val="35000"/>
                </a:srgbClr>
              </a:outerShdw>
            </a:effectLst>
          </c:spPr>
          <c:marker>
            <c:symbol val="none"/>
          </c:marker>
          <c:cat>
            <c:strRef>
              <c:f>'All-time DF Stats'!$F$1:$P$1</c:f>
              <c:strCache>
                <c:ptCount val="11"/>
                <c:pt idx="0">
                  <c:v>PR% 16</c:v>
                </c:pt>
                <c:pt idx="1">
                  <c:v>PR% 17</c:v>
                </c:pt>
                <c:pt idx="2">
                  <c:v>PR% 18</c:v>
                </c:pt>
                <c:pt idx="3">
                  <c:v>PR% 19</c:v>
                </c:pt>
                <c:pt idx="4">
                  <c:v>PR% 20</c:v>
                </c:pt>
                <c:pt idx="5">
                  <c:v>PR% 21</c:v>
                </c:pt>
                <c:pt idx="6">
                  <c:v>PR% 22</c:v>
                </c:pt>
                <c:pt idx="7">
                  <c:v>PR% 23</c:v>
                </c:pt>
                <c:pt idx="8">
                  <c:v>PR% 24</c:v>
                </c:pt>
                <c:pt idx="9">
                  <c:v>PR% 25</c:v>
                </c:pt>
                <c:pt idx="10">
                  <c:v>PR% 26</c:v>
                </c:pt>
              </c:strCache>
            </c:strRef>
          </c:cat>
          <c:val>
            <c:numRef>
              <c:f>'All-time DF Stats'!$F$9:$P$9</c:f>
              <c:numCache>
                <c:formatCode>0.0%</c:formatCode>
                <c:ptCount val="11"/>
                <c:pt idx="0">
                  <c:v>0.78947368421052633</c:v>
                </c:pt>
                <c:pt idx="1">
                  <c:v>0.69097222222222221</c:v>
                </c:pt>
                <c:pt idx="2">
                  <c:v>0.56497175141242939</c:v>
                </c:pt>
                <c:pt idx="3">
                  <c:v>0.56737748226950346</c:v>
                </c:pt>
                <c:pt idx="4">
                  <c:v>0.68939507575757575</c:v>
                </c:pt>
                <c:pt idx="5">
                  <c:v>0.68650972222222206</c:v>
                </c:pt>
                <c:pt idx="6">
                  <c:v>0.5652190217391303</c:v>
                </c:pt>
                <c:pt idx="7">
                  <c:v>0.52201399371069168</c:v>
                </c:pt>
                <c:pt idx="8">
                  <c:v>0.64966139455782301</c:v>
                </c:pt>
                <c:pt idx="9">
                  <c:v>0.67442003875968992</c:v>
                </c:pt>
                <c:pt idx="10">
                  <c:v>0.56349353174603178</c:v>
                </c:pt>
              </c:numCache>
            </c:numRef>
          </c:val>
          <c:smooth val="0"/>
          <c:extLst>
            <c:ext xmlns:c16="http://schemas.microsoft.com/office/drawing/2014/chart" uri="{C3380CC4-5D6E-409C-BE32-E72D297353CC}">
              <c16:uniqueId val="{00000006-830F-4409-A22A-6960E120F2AA}"/>
            </c:ext>
          </c:extLst>
        </c:ser>
        <c:dLbls>
          <c:showLegendKey val="0"/>
          <c:showVal val="0"/>
          <c:showCatName val="0"/>
          <c:showSerName val="0"/>
          <c:showPercent val="0"/>
          <c:showBubbleSize val="0"/>
        </c:dLbls>
        <c:smooth val="0"/>
        <c:axId val="1502736511"/>
        <c:axId val="1506164351"/>
      </c:lineChart>
      <c:catAx>
        <c:axId val="150273651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Comic Sans MS" panose="030F0702030302020204" pitchFamily="66" charset="0"/>
                <a:ea typeface="+mn-ea"/>
                <a:cs typeface="+mn-cs"/>
              </a:defRPr>
            </a:pPr>
            <a:endParaRPr lang="de-DE"/>
          </a:p>
        </c:txPr>
        <c:crossAx val="1506164351"/>
        <c:crosses val="autoZero"/>
        <c:auto val="1"/>
        <c:lblAlgn val="ctr"/>
        <c:lblOffset val="100"/>
        <c:noMultiLvlLbl val="0"/>
      </c:catAx>
      <c:valAx>
        <c:axId val="1506164351"/>
        <c:scaling>
          <c:orientation val="minMax"/>
          <c:max val="1"/>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Comic Sans MS" panose="030F0702030302020204" pitchFamily="66" charset="0"/>
                <a:ea typeface="+mn-ea"/>
                <a:cs typeface="+mn-cs"/>
              </a:defRPr>
            </a:pPr>
            <a:endParaRPr lang="de-DE"/>
          </a:p>
        </c:txPr>
        <c:crossAx val="1502736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Comic Sans MS" panose="030F0702030302020204" pitchFamily="66" charset="0"/>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GGG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strRef>
              <c:f>Participation!$L$1</c:f>
              <c:strCache>
                <c:ptCount val="1"/>
                <c:pt idx="0">
                  <c:v>JWU</c:v>
                </c:pt>
              </c:strCache>
            </c:strRef>
          </c:tx>
          <c:spPr>
            <a:ln w="28575" cap="rnd">
              <a:solidFill>
                <a:schemeClr val="accent1"/>
              </a:solidFill>
              <a:round/>
            </a:ln>
            <a:effectLst/>
          </c:spPr>
          <c:marker>
            <c:symbol val="none"/>
          </c:marker>
          <c:cat>
            <c:numRef>
              <c:f>Participation!$K$2:$K$533</c:f>
              <c:numCache>
                <c:formatCode>m/d/yyyy</c:formatCode>
                <c:ptCount val="532"/>
                <c:pt idx="0">
                  <c:v>42475</c:v>
                </c:pt>
                <c:pt idx="1">
                  <c:v>42482</c:v>
                </c:pt>
                <c:pt idx="2">
                  <c:v>42489</c:v>
                </c:pt>
                <c:pt idx="3">
                  <c:v>42496</c:v>
                </c:pt>
                <c:pt idx="4">
                  <c:v>42503</c:v>
                </c:pt>
                <c:pt idx="5">
                  <c:v>42510</c:v>
                </c:pt>
                <c:pt idx="6">
                  <c:v>42517</c:v>
                </c:pt>
                <c:pt idx="7">
                  <c:v>42524</c:v>
                </c:pt>
                <c:pt idx="8">
                  <c:v>42531</c:v>
                </c:pt>
                <c:pt idx="9">
                  <c:v>42538</c:v>
                </c:pt>
                <c:pt idx="10">
                  <c:v>42545</c:v>
                </c:pt>
                <c:pt idx="11">
                  <c:v>42552</c:v>
                </c:pt>
                <c:pt idx="12">
                  <c:v>42559</c:v>
                </c:pt>
                <c:pt idx="13">
                  <c:v>42566</c:v>
                </c:pt>
                <c:pt idx="14">
                  <c:v>42573</c:v>
                </c:pt>
                <c:pt idx="15">
                  <c:v>42580</c:v>
                </c:pt>
                <c:pt idx="16">
                  <c:v>42587</c:v>
                </c:pt>
                <c:pt idx="17">
                  <c:v>42594</c:v>
                </c:pt>
                <c:pt idx="18">
                  <c:v>42601</c:v>
                </c:pt>
                <c:pt idx="19">
                  <c:v>42608</c:v>
                </c:pt>
                <c:pt idx="20">
                  <c:v>42615</c:v>
                </c:pt>
                <c:pt idx="21">
                  <c:v>42622</c:v>
                </c:pt>
                <c:pt idx="22">
                  <c:v>42629</c:v>
                </c:pt>
                <c:pt idx="23">
                  <c:v>42636</c:v>
                </c:pt>
                <c:pt idx="24">
                  <c:v>42643</c:v>
                </c:pt>
                <c:pt idx="25">
                  <c:v>42650</c:v>
                </c:pt>
                <c:pt idx="26">
                  <c:v>42657</c:v>
                </c:pt>
                <c:pt idx="27">
                  <c:v>42664</c:v>
                </c:pt>
                <c:pt idx="28">
                  <c:v>42671</c:v>
                </c:pt>
                <c:pt idx="29">
                  <c:v>42678</c:v>
                </c:pt>
                <c:pt idx="30">
                  <c:v>42685</c:v>
                </c:pt>
                <c:pt idx="31">
                  <c:v>42692</c:v>
                </c:pt>
                <c:pt idx="32">
                  <c:v>42699</c:v>
                </c:pt>
                <c:pt idx="33">
                  <c:v>42706</c:v>
                </c:pt>
                <c:pt idx="34">
                  <c:v>42713</c:v>
                </c:pt>
                <c:pt idx="35">
                  <c:v>42720</c:v>
                </c:pt>
                <c:pt idx="36">
                  <c:v>42727</c:v>
                </c:pt>
                <c:pt idx="37">
                  <c:v>42734</c:v>
                </c:pt>
                <c:pt idx="38">
                  <c:v>42741</c:v>
                </c:pt>
                <c:pt idx="39">
                  <c:v>42748</c:v>
                </c:pt>
                <c:pt idx="40">
                  <c:v>42755</c:v>
                </c:pt>
                <c:pt idx="41">
                  <c:v>42762</c:v>
                </c:pt>
                <c:pt idx="42">
                  <c:v>42769</c:v>
                </c:pt>
                <c:pt idx="43">
                  <c:v>42776</c:v>
                </c:pt>
                <c:pt idx="44">
                  <c:v>42783</c:v>
                </c:pt>
                <c:pt idx="45">
                  <c:v>42790</c:v>
                </c:pt>
                <c:pt idx="46">
                  <c:v>42797</c:v>
                </c:pt>
                <c:pt idx="47">
                  <c:v>42804</c:v>
                </c:pt>
                <c:pt idx="48">
                  <c:v>42811</c:v>
                </c:pt>
                <c:pt idx="49">
                  <c:v>42818</c:v>
                </c:pt>
                <c:pt idx="50">
                  <c:v>42825</c:v>
                </c:pt>
                <c:pt idx="51">
                  <c:v>42832</c:v>
                </c:pt>
                <c:pt idx="52">
                  <c:v>42846</c:v>
                </c:pt>
                <c:pt idx="53">
                  <c:v>42853</c:v>
                </c:pt>
                <c:pt idx="54">
                  <c:v>42860</c:v>
                </c:pt>
                <c:pt idx="55">
                  <c:v>42867</c:v>
                </c:pt>
                <c:pt idx="56">
                  <c:v>42874</c:v>
                </c:pt>
                <c:pt idx="57">
                  <c:v>42881</c:v>
                </c:pt>
                <c:pt idx="58">
                  <c:v>42888</c:v>
                </c:pt>
                <c:pt idx="59">
                  <c:v>42895</c:v>
                </c:pt>
                <c:pt idx="60">
                  <c:v>42902</c:v>
                </c:pt>
                <c:pt idx="61">
                  <c:v>42909</c:v>
                </c:pt>
                <c:pt idx="62">
                  <c:v>42916</c:v>
                </c:pt>
                <c:pt idx="63">
                  <c:v>42923</c:v>
                </c:pt>
                <c:pt idx="64">
                  <c:v>42930</c:v>
                </c:pt>
                <c:pt idx="65">
                  <c:v>42937</c:v>
                </c:pt>
                <c:pt idx="66">
                  <c:v>42944</c:v>
                </c:pt>
                <c:pt idx="67">
                  <c:v>42951</c:v>
                </c:pt>
                <c:pt idx="68">
                  <c:v>42958</c:v>
                </c:pt>
                <c:pt idx="69">
                  <c:v>42965</c:v>
                </c:pt>
                <c:pt idx="70">
                  <c:v>42972</c:v>
                </c:pt>
                <c:pt idx="71">
                  <c:v>42979</c:v>
                </c:pt>
                <c:pt idx="72">
                  <c:v>42986</c:v>
                </c:pt>
                <c:pt idx="73">
                  <c:v>42993</c:v>
                </c:pt>
                <c:pt idx="74">
                  <c:v>43000</c:v>
                </c:pt>
                <c:pt idx="75">
                  <c:v>43007</c:v>
                </c:pt>
                <c:pt idx="76">
                  <c:v>43014</c:v>
                </c:pt>
                <c:pt idx="77">
                  <c:v>43021</c:v>
                </c:pt>
                <c:pt idx="78">
                  <c:v>43028</c:v>
                </c:pt>
                <c:pt idx="79">
                  <c:v>43035</c:v>
                </c:pt>
                <c:pt idx="80">
                  <c:v>43042</c:v>
                </c:pt>
                <c:pt idx="81">
                  <c:v>43049</c:v>
                </c:pt>
                <c:pt idx="82">
                  <c:v>43056</c:v>
                </c:pt>
                <c:pt idx="83">
                  <c:v>43063</c:v>
                </c:pt>
                <c:pt idx="84">
                  <c:v>43070</c:v>
                </c:pt>
                <c:pt idx="85">
                  <c:v>43077</c:v>
                </c:pt>
                <c:pt idx="86">
                  <c:v>43084</c:v>
                </c:pt>
                <c:pt idx="87">
                  <c:v>43091</c:v>
                </c:pt>
                <c:pt idx="88">
                  <c:v>43098</c:v>
                </c:pt>
                <c:pt idx="89">
                  <c:v>43105</c:v>
                </c:pt>
                <c:pt idx="90">
                  <c:v>43112</c:v>
                </c:pt>
                <c:pt idx="91">
                  <c:v>43119</c:v>
                </c:pt>
                <c:pt idx="92">
                  <c:v>43126</c:v>
                </c:pt>
                <c:pt idx="93">
                  <c:v>43133</c:v>
                </c:pt>
                <c:pt idx="94">
                  <c:v>43140</c:v>
                </c:pt>
                <c:pt idx="95">
                  <c:v>43147</c:v>
                </c:pt>
                <c:pt idx="96">
                  <c:v>43154</c:v>
                </c:pt>
                <c:pt idx="97">
                  <c:v>43161</c:v>
                </c:pt>
                <c:pt idx="98">
                  <c:v>43168</c:v>
                </c:pt>
                <c:pt idx="99">
                  <c:v>43175</c:v>
                </c:pt>
                <c:pt idx="100">
                  <c:v>43182</c:v>
                </c:pt>
                <c:pt idx="101">
                  <c:v>43196</c:v>
                </c:pt>
                <c:pt idx="102">
                  <c:v>43203</c:v>
                </c:pt>
                <c:pt idx="103">
                  <c:v>43210</c:v>
                </c:pt>
                <c:pt idx="104">
                  <c:v>43217</c:v>
                </c:pt>
                <c:pt idx="105">
                  <c:v>43224</c:v>
                </c:pt>
                <c:pt idx="106">
                  <c:v>43231</c:v>
                </c:pt>
                <c:pt idx="107">
                  <c:v>43238</c:v>
                </c:pt>
                <c:pt idx="108">
                  <c:v>43245</c:v>
                </c:pt>
                <c:pt idx="109">
                  <c:v>43252</c:v>
                </c:pt>
                <c:pt idx="110">
                  <c:v>43259</c:v>
                </c:pt>
                <c:pt idx="111">
                  <c:v>43266</c:v>
                </c:pt>
                <c:pt idx="112">
                  <c:v>43273</c:v>
                </c:pt>
                <c:pt idx="113">
                  <c:v>43280</c:v>
                </c:pt>
                <c:pt idx="114">
                  <c:v>43287</c:v>
                </c:pt>
                <c:pt idx="115">
                  <c:v>43294</c:v>
                </c:pt>
                <c:pt idx="116">
                  <c:v>43301</c:v>
                </c:pt>
                <c:pt idx="117">
                  <c:v>43308</c:v>
                </c:pt>
                <c:pt idx="118">
                  <c:v>43315</c:v>
                </c:pt>
                <c:pt idx="119">
                  <c:v>43322</c:v>
                </c:pt>
                <c:pt idx="120">
                  <c:v>43329</c:v>
                </c:pt>
                <c:pt idx="121">
                  <c:v>43336</c:v>
                </c:pt>
                <c:pt idx="122">
                  <c:v>43343</c:v>
                </c:pt>
                <c:pt idx="123">
                  <c:v>43350</c:v>
                </c:pt>
                <c:pt idx="124">
                  <c:v>43357</c:v>
                </c:pt>
                <c:pt idx="125">
                  <c:v>43364</c:v>
                </c:pt>
                <c:pt idx="126">
                  <c:v>43371</c:v>
                </c:pt>
                <c:pt idx="127">
                  <c:v>43378</c:v>
                </c:pt>
                <c:pt idx="128">
                  <c:v>43385</c:v>
                </c:pt>
                <c:pt idx="129">
                  <c:v>43392</c:v>
                </c:pt>
                <c:pt idx="130">
                  <c:v>43399</c:v>
                </c:pt>
                <c:pt idx="131">
                  <c:v>43406</c:v>
                </c:pt>
                <c:pt idx="132">
                  <c:v>43413</c:v>
                </c:pt>
                <c:pt idx="133">
                  <c:v>43420</c:v>
                </c:pt>
                <c:pt idx="134">
                  <c:v>43427</c:v>
                </c:pt>
                <c:pt idx="135">
                  <c:v>43434</c:v>
                </c:pt>
                <c:pt idx="136">
                  <c:v>43441</c:v>
                </c:pt>
                <c:pt idx="137">
                  <c:v>43448</c:v>
                </c:pt>
                <c:pt idx="138">
                  <c:v>43455</c:v>
                </c:pt>
                <c:pt idx="139">
                  <c:v>43462</c:v>
                </c:pt>
                <c:pt idx="140">
                  <c:v>43469</c:v>
                </c:pt>
                <c:pt idx="141">
                  <c:v>43476</c:v>
                </c:pt>
                <c:pt idx="142">
                  <c:v>43483</c:v>
                </c:pt>
                <c:pt idx="143">
                  <c:v>43490</c:v>
                </c:pt>
                <c:pt idx="144">
                  <c:v>43497</c:v>
                </c:pt>
                <c:pt idx="145">
                  <c:v>43504</c:v>
                </c:pt>
                <c:pt idx="146">
                  <c:v>43511</c:v>
                </c:pt>
                <c:pt idx="147">
                  <c:v>43518</c:v>
                </c:pt>
                <c:pt idx="148">
                  <c:v>43525</c:v>
                </c:pt>
                <c:pt idx="149">
                  <c:v>43532</c:v>
                </c:pt>
                <c:pt idx="150">
                  <c:v>43539</c:v>
                </c:pt>
                <c:pt idx="151">
                  <c:v>43546</c:v>
                </c:pt>
                <c:pt idx="152">
                  <c:v>43553</c:v>
                </c:pt>
                <c:pt idx="153">
                  <c:v>43560</c:v>
                </c:pt>
                <c:pt idx="154">
                  <c:v>43567</c:v>
                </c:pt>
                <c:pt idx="155">
                  <c:v>43581</c:v>
                </c:pt>
                <c:pt idx="156">
                  <c:v>43588</c:v>
                </c:pt>
                <c:pt idx="157">
                  <c:v>43595</c:v>
                </c:pt>
                <c:pt idx="158">
                  <c:v>43602</c:v>
                </c:pt>
                <c:pt idx="159">
                  <c:v>43609</c:v>
                </c:pt>
                <c:pt idx="160">
                  <c:v>43616</c:v>
                </c:pt>
                <c:pt idx="161">
                  <c:v>43623</c:v>
                </c:pt>
                <c:pt idx="162">
                  <c:v>43630</c:v>
                </c:pt>
                <c:pt idx="163">
                  <c:v>43637</c:v>
                </c:pt>
                <c:pt idx="164">
                  <c:v>43644</c:v>
                </c:pt>
                <c:pt idx="165">
                  <c:v>43651</c:v>
                </c:pt>
                <c:pt idx="166">
                  <c:v>43658</c:v>
                </c:pt>
                <c:pt idx="167">
                  <c:v>43665</c:v>
                </c:pt>
                <c:pt idx="168">
                  <c:v>43672</c:v>
                </c:pt>
                <c:pt idx="169">
                  <c:v>43679</c:v>
                </c:pt>
                <c:pt idx="170">
                  <c:v>43686</c:v>
                </c:pt>
                <c:pt idx="171">
                  <c:v>43693</c:v>
                </c:pt>
                <c:pt idx="172">
                  <c:v>43700</c:v>
                </c:pt>
                <c:pt idx="173">
                  <c:v>43707</c:v>
                </c:pt>
                <c:pt idx="174">
                  <c:v>43714</c:v>
                </c:pt>
                <c:pt idx="175">
                  <c:v>43721</c:v>
                </c:pt>
                <c:pt idx="176">
                  <c:v>43728</c:v>
                </c:pt>
                <c:pt idx="177">
                  <c:v>43735</c:v>
                </c:pt>
                <c:pt idx="178">
                  <c:v>43742</c:v>
                </c:pt>
                <c:pt idx="179">
                  <c:v>43749</c:v>
                </c:pt>
                <c:pt idx="180">
                  <c:v>43756</c:v>
                </c:pt>
                <c:pt idx="181">
                  <c:v>43763</c:v>
                </c:pt>
                <c:pt idx="182">
                  <c:v>43770</c:v>
                </c:pt>
                <c:pt idx="183">
                  <c:v>43777</c:v>
                </c:pt>
                <c:pt idx="184">
                  <c:v>43784</c:v>
                </c:pt>
                <c:pt idx="185">
                  <c:v>43791</c:v>
                </c:pt>
                <c:pt idx="186">
                  <c:v>43798</c:v>
                </c:pt>
                <c:pt idx="187">
                  <c:v>43805</c:v>
                </c:pt>
                <c:pt idx="188">
                  <c:v>43812</c:v>
                </c:pt>
                <c:pt idx="189">
                  <c:v>43819</c:v>
                </c:pt>
                <c:pt idx="190">
                  <c:v>43826</c:v>
                </c:pt>
                <c:pt idx="191">
                  <c:v>43833</c:v>
                </c:pt>
                <c:pt idx="192">
                  <c:v>43840</c:v>
                </c:pt>
                <c:pt idx="193">
                  <c:v>43854</c:v>
                </c:pt>
                <c:pt idx="194">
                  <c:v>43861</c:v>
                </c:pt>
                <c:pt idx="195">
                  <c:v>43868</c:v>
                </c:pt>
                <c:pt idx="196">
                  <c:v>43875</c:v>
                </c:pt>
                <c:pt idx="197">
                  <c:v>43882</c:v>
                </c:pt>
                <c:pt idx="198">
                  <c:v>43889</c:v>
                </c:pt>
                <c:pt idx="199">
                  <c:v>43896</c:v>
                </c:pt>
                <c:pt idx="200">
                  <c:v>43903</c:v>
                </c:pt>
                <c:pt idx="201">
                  <c:v>43910</c:v>
                </c:pt>
                <c:pt idx="202">
                  <c:v>43917</c:v>
                </c:pt>
                <c:pt idx="203">
                  <c:v>43924</c:v>
                </c:pt>
                <c:pt idx="204">
                  <c:v>43938</c:v>
                </c:pt>
                <c:pt idx="205">
                  <c:v>43945</c:v>
                </c:pt>
                <c:pt idx="206">
                  <c:v>43952</c:v>
                </c:pt>
                <c:pt idx="207">
                  <c:v>43959</c:v>
                </c:pt>
                <c:pt idx="208">
                  <c:v>43966</c:v>
                </c:pt>
                <c:pt idx="209">
                  <c:v>43973</c:v>
                </c:pt>
                <c:pt idx="210">
                  <c:v>43980</c:v>
                </c:pt>
                <c:pt idx="211">
                  <c:v>43987</c:v>
                </c:pt>
                <c:pt idx="212">
                  <c:v>43994</c:v>
                </c:pt>
                <c:pt idx="213">
                  <c:v>44001</c:v>
                </c:pt>
                <c:pt idx="214">
                  <c:v>44008</c:v>
                </c:pt>
                <c:pt idx="215">
                  <c:v>44015</c:v>
                </c:pt>
                <c:pt idx="216">
                  <c:v>44022</c:v>
                </c:pt>
                <c:pt idx="217">
                  <c:v>44029</c:v>
                </c:pt>
                <c:pt idx="218">
                  <c:v>44036</c:v>
                </c:pt>
                <c:pt idx="219">
                  <c:v>44043</c:v>
                </c:pt>
                <c:pt idx="220">
                  <c:v>44050</c:v>
                </c:pt>
                <c:pt idx="221">
                  <c:v>44057</c:v>
                </c:pt>
                <c:pt idx="222">
                  <c:v>44064</c:v>
                </c:pt>
                <c:pt idx="223">
                  <c:v>44071</c:v>
                </c:pt>
                <c:pt idx="224">
                  <c:v>44078</c:v>
                </c:pt>
                <c:pt idx="225">
                  <c:v>44085</c:v>
                </c:pt>
                <c:pt idx="226">
                  <c:v>44092</c:v>
                </c:pt>
                <c:pt idx="227">
                  <c:v>44099</c:v>
                </c:pt>
                <c:pt idx="228">
                  <c:v>44106</c:v>
                </c:pt>
                <c:pt idx="229">
                  <c:v>44113</c:v>
                </c:pt>
                <c:pt idx="230">
                  <c:v>44120</c:v>
                </c:pt>
                <c:pt idx="231">
                  <c:v>44127</c:v>
                </c:pt>
                <c:pt idx="232">
                  <c:v>44134</c:v>
                </c:pt>
                <c:pt idx="233">
                  <c:v>44141</c:v>
                </c:pt>
                <c:pt idx="234">
                  <c:v>44148</c:v>
                </c:pt>
                <c:pt idx="235">
                  <c:v>44155</c:v>
                </c:pt>
                <c:pt idx="236">
                  <c:v>44162</c:v>
                </c:pt>
                <c:pt idx="237">
                  <c:v>44169</c:v>
                </c:pt>
                <c:pt idx="238">
                  <c:v>44176</c:v>
                </c:pt>
                <c:pt idx="239">
                  <c:v>44183</c:v>
                </c:pt>
                <c:pt idx="240">
                  <c:v>44204</c:v>
                </c:pt>
                <c:pt idx="241">
                  <c:v>44211</c:v>
                </c:pt>
                <c:pt idx="242">
                  <c:v>44218</c:v>
                </c:pt>
                <c:pt idx="243">
                  <c:v>44225</c:v>
                </c:pt>
                <c:pt idx="244">
                  <c:v>44232</c:v>
                </c:pt>
                <c:pt idx="245">
                  <c:v>44239</c:v>
                </c:pt>
                <c:pt idx="246">
                  <c:v>44246</c:v>
                </c:pt>
                <c:pt idx="247">
                  <c:v>44253</c:v>
                </c:pt>
                <c:pt idx="248">
                  <c:v>44260</c:v>
                </c:pt>
                <c:pt idx="249">
                  <c:v>44267</c:v>
                </c:pt>
                <c:pt idx="250">
                  <c:v>44274</c:v>
                </c:pt>
                <c:pt idx="251">
                  <c:v>44281</c:v>
                </c:pt>
                <c:pt idx="252">
                  <c:v>44295</c:v>
                </c:pt>
                <c:pt idx="253">
                  <c:v>44302</c:v>
                </c:pt>
                <c:pt idx="254">
                  <c:v>44309</c:v>
                </c:pt>
                <c:pt idx="255">
                  <c:v>44316</c:v>
                </c:pt>
                <c:pt idx="256">
                  <c:v>44323</c:v>
                </c:pt>
                <c:pt idx="257">
                  <c:v>44330</c:v>
                </c:pt>
                <c:pt idx="258">
                  <c:v>44337</c:v>
                </c:pt>
                <c:pt idx="259">
                  <c:v>44344</c:v>
                </c:pt>
                <c:pt idx="260">
                  <c:v>44351</c:v>
                </c:pt>
                <c:pt idx="261">
                  <c:v>44358</c:v>
                </c:pt>
                <c:pt idx="262">
                  <c:v>44365</c:v>
                </c:pt>
                <c:pt idx="263">
                  <c:v>44372</c:v>
                </c:pt>
                <c:pt idx="264">
                  <c:v>44379</c:v>
                </c:pt>
                <c:pt idx="265">
                  <c:v>44386</c:v>
                </c:pt>
                <c:pt idx="266">
                  <c:v>44393</c:v>
                </c:pt>
                <c:pt idx="267">
                  <c:v>44400</c:v>
                </c:pt>
                <c:pt idx="268">
                  <c:v>44407</c:v>
                </c:pt>
                <c:pt idx="269">
                  <c:v>44414</c:v>
                </c:pt>
                <c:pt idx="270">
                  <c:v>44421</c:v>
                </c:pt>
                <c:pt idx="271">
                  <c:v>44428</c:v>
                </c:pt>
                <c:pt idx="272">
                  <c:v>44435</c:v>
                </c:pt>
                <c:pt idx="273">
                  <c:v>44442</c:v>
                </c:pt>
                <c:pt idx="274">
                  <c:v>44449</c:v>
                </c:pt>
                <c:pt idx="275">
                  <c:v>44456</c:v>
                </c:pt>
                <c:pt idx="276">
                  <c:v>44463</c:v>
                </c:pt>
                <c:pt idx="277">
                  <c:v>44470</c:v>
                </c:pt>
                <c:pt idx="278">
                  <c:v>44477</c:v>
                </c:pt>
                <c:pt idx="279">
                  <c:v>44484</c:v>
                </c:pt>
                <c:pt idx="280">
                  <c:v>44491</c:v>
                </c:pt>
                <c:pt idx="281">
                  <c:v>44498</c:v>
                </c:pt>
                <c:pt idx="282">
                  <c:v>44505</c:v>
                </c:pt>
                <c:pt idx="283">
                  <c:v>44512</c:v>
                </c:pt>
                <c:pt idx="284">
                  <c:v>44519</c:v>
                </c:pt>
                <c:pt idx="285">
                  <c:v>44526</c:v>
                </c:pt>
                <c:pt idx="286">
                  <c:v>44533</c:v>
                </c:pt>
                <c:pt idx="287">
                  <c:v>44540</c:v>
                </c:pt>
                <c:pt idx="288">
                  <c:v>44547</c:v>
                </c:pt>
                <c:pt idx="289">
                  <c:v>44554</c:v>
                </c:pt>
                <c:pt idx="290">
                  <c:v>44561</c:v>
                </c:pt>
                <c:pt idx="291">
                  <c:v>44568</c:v>
                </c:pt>
                <c:pt idx="292">
                  <c:v>44575</c:v>
                </c:pt>
                <c:pt idx="293">
                  <c:v>44582</c:v>
                </c:pt>
                <c:pt idx="294">
                  <c:v>44589</c:v>
                </c:pt>
                <c:pt idx="295">
                  <c:v>44596</c:v>
                </c:pt>
                <c:pt idx="296">
                  <c:v>44603</c:v>
                </c:pt>
                <c:pt idx="297">
                  <c:v>44610</c:v>
                </c:pt>
                <c:pt idx="298">
                  <c:v>44617</c:v>
                </c:pt>
                <c:pt idx="299">
                  <c:v>44624</c:v>
                </c:pt>
                <c:pt idx="300">
                  <c:v>44631</c:v>
                </c:pt>
                <c:pt idx="301">
                  <c:v>44638</c:v>
                </c:pt>
                <c:pt idx="302">
                  <c:v>44645</c:v>
                </c:pt>
                <c:pt idx="303">
                  <c:v>44652</c:v>
                </c:pt>
                <c:pt idx="304">
                  <c:v>44659</c:v>
                </c:pt>
                <c:pt idx="305">
                  <c:v>44673</c:v>
                </c:pt>
                <c:pt idx="306">
                  <c:v>44680</c:v>
                </c:pt>
                <c:pt idx="307">
                  <c:v>44687</c:v>
                </c:pt>
                <c:pt idx="308">
                  <c:v>44694</c:v>
                </c:pt>
                <c:pt idx="309">
                  <c:v>44701</c:v>
                </c:pt>
                <c:pt idx="310">
                  <c:v>44708</c:v>
                </c:pt>
                <c:pt idx="311">
                  <c:v>44715</c:v>
                </c:pt>
                <c:pt idx="312">
                  <c:v>44722</c:v>
                </c:pt>
                <c:pt idx="313">
                  <c:v>44729</c:v>
                </c:pt>
                <c:pt idx="314">
                  <c:v>44736</c:v>
                </c:pt>
                <c:pt idx="315">
                  <c:v>44743</c:v>
                </c:pt>
                <c:pt idx="316">
                  <c:v>44750</c:v>
                </c:pt>
                <c:pt idx="317">
                  <c:v>44757</c:v>
                </c:pt>
                <c:pt idx="318">
                  <c:v>44764</c:v>
                </c:pt>
                <c:pt idx="319">
                  <c:v>44771</c:v>
                </c:pt>
                <c:pt idx="320">
                  <c:v>44778</c:v>
                </c:pt>
                <c:pt idx="321">
                  <c:v>44785</c:v>
                </c:pt>
                <c:pt idx="322">
                  <c:v>44792</c:v>
                </c:pt>
                <c:pt idx="323">
                  <c:v>44799</c:v>
                </c:pt>
                <c:pt idx="324">
                  <c:v>44806</c:v>
                </c:pt>
                <c:pt idx="325">
                  <c:v>44813</c:v>
                </c:pt>
                <c:pt idx="326">
                  <c:v>44820</c:v>
                </c:pt>
                <c:pt idx="327">
                  <c:v>44827</c:v>
                </c:pt>
                <c:pt idx="328">
                  <c:v>44834</c:v>
                </c:pt>
                <c:pt idx="329">
                  <c:v>44841</c:v>
                </c:pt>
                <c:pt idx="330">
                  <c:v>44848</c:v>
                </c:pt>
                <c:pt idx="331">
                  <c:v>44855</c:v>
                </c:pt>
                <c:pt idx="332">
                  <c:v>44862</c:v>
                </c:pt>
                <c:pt idx="333">
                  <c:v>44869</c:v>
                </c:pt>
                <c:pt idx="334">
                  <c:v>44876</c:v>
                </c:pt>
                <c:pt idx="335">
                  <c:v>44883</c:v>
                </c:pt>
                <c:pt idx="336">
                  <c:v>44890</c:v>
                </c:pt>
                <c:pt idx="337">
                  <c:v>44897</c:v>
                </c:pt>
                <c:pt idx="338">
                  <c:v>44904</c:v>
                </c:pt>
                <c:pt idx="339">
                  <c:v>44911</c:v>
                </c:pt>
                <c:pt idx="340">
                  <c:v>44918</c:v>
                </c:pt>
                <c:pt idx="341">
                  <c:v>44925</c:v>
                </c:pt>
                <c:pt idx="342">
                  <c:v>44932</c:v>
                </c:pt>
                <c:pt idx="343">
                  <c:v>44939</c:v>
                </c:pt>
                <c:pt idx="344">
                  <c:v>44946</c:v>
                </c:pt>
                <c:pt idx="345">
                  <c:v>44953</c:v>
                </c:pt>
                <c:pt idx="346">
                  <c:v>44960</c:v>
                </c:pt>
                <c:pt idx="347">
                  <c:v>44967</c:v>
                </c:pt>
                <c:pt idx="348">
                  <c:v>44974</c:v>
                </c:pt>
                <c:pt idx="349">
                  <c:v>44981</c:v>
                </c:pt>
                <c:pt idx="350">
                  <c:v>44988</c:v>
                </c:pt>
                <c:pt idx="351">
                  <c:v>44995</c:v>
                </c:pt>
                <c:pt idx="352">
                  <c:v>45002</c:v>
                </c:pt>
                <c:pt idx="353">
                  <c:v>45009</c:v>
                </c:pt>
                <c:pt idx="354">
                  <c:v>45016</c:v>
                </c:pt>
                <c:pt idx="355">
                  <c:v>45030</c:v>
                </c:pt>
                <c:pt idx="356">
                  <c:v>45037</c:v>
                </c:pt>
                <c:pt idx="357">
                  <c:v>45044</c:v>
                </c:pt>
                <c:pt idx="358">
                  <c:v>45051</c:v>
                </c:pt>
                <c:pt idx="359">
                  <c:v>45058</c:v>
                </c:pt>
                <c:pt idx="360">
                  <c:v>45065</c:v>
                </c:pt>
                <c:pt idx="361">
                  <c:v>45072</c:v>
                </c:pt>
                <c:pt idx="362">
                  <c:v>45079</c:v>
                </c:pt>
                <c:pt idx="363">
                  <c:v>45086</c:v>
                </c:pt>
                <c:pt idx="364">
                  <c:v>45093</c:v>
                </c:pt>
                <c:pt idx="365">
                  <c:v>45100</c:v>
                </c:pt>
                <c:pt idx="366">
                  <c:v>45107</c:v>
                </c:pt>
                <c:pt idx="367">
                  <c:v>45114</c:v>
                </c:pt>
                <c:pt idx="368">
                  <c:v>45121</c:v>
                </c:pt>
                <c:pt idx="369">
                  <c:v>45128</c:v>
                </c:pt>
                <c:pt idx="370">
                  <c:v>45135</c:v>
                </c:pt>
                <c:pt idx="371">
                  <c:v>45142</c:v>
                </c:pt>
                <c:pt idx="372">
                  <c:v>45149</c:v>
                </c:pt>
                <c:pt idx="373">
                  <c:v>45163</c:v>
                </c:pt>
                <c:pt idx="374">
                  <c:v>45170</c:v>
                </c:pt>
                <c:pt idx="375">
                  <c:v>45177</c:v>
                </c:pt>
                <c:pt idx="376">
                  <c:v>45184</c:v>
                </c:pt>
                <c:pt idx="377">
                  <c:v>45191</c:v>
                </c:pt>
                <c:pt idx="378">
                  <c:v>45198</c:v>
                </c:pt>
                <c:pt idx="379">
                  <c:v>45205</c:v>
                </c:pt>
                <c:pt idx="380">
                  <c:v>45212</c:v>
                </c:pt>
                <c:pt idx="381">
                  <c:v>45219</c:v>
                </c:pt>
                <c:pt idx="382">
                  <c:v>45226</c:v>
                </c:pt>
                <c:pt idx="383">
                  <c:v>45233</c:v>
                </c:pt>
                <c:pt idx="384">
                  <c:v>45240</c:v>
                </c:pt>
                <c:pt idx="385">
                  <c:v>45247</c:v>
                </c:pt>
                <c:pt idx="386">
                  <c:v>45254</c:v>
                </c:pt>
                <c:pt idx="387">
                  <c:v>45261</c:v>
                </c:pt>
                <c:pt idx="388">
                  <c:v>45268</c:v>
                </c:pt>
                <c:pt idx="389">
                  <c:v>45275</c:v>
                </c:pt>
                <c:pt idx="390">
                  <c:v>45282</c:v>
                </c:pt>
                <c:pt idx="391">
                  <c:v>45289</c:v>
                </c:pt>
                <c:pt idx="392">
                  <c:v>45296</c:v>
                </c:pt>
                <c:pt idx="393">
                  <c:v>45303</c:v>
                </c:pt>
                <c:pt idx="394">
                  <c:v>45310</c:v>
                </c:pt>
                <c:pt idx="395">
                  <c:v>45317</c:v>
                </c:pt>
                <c:pt idx="396">
                  <c:v>45324</c:v>
                </c:pt>
                <c:pt idx="397">
                  <c:v>45331</c:v>
                </c:pt>
                <c:pt idx="398">
                  <c:v>45338</c:v>
                </c:pt>
                <c:pt idx="399">
                  <c:v>45345</c:v>
                </c:pt>
                <c:pt idx="400">
                  <c:v>45352</c:v>
                </c:pt>
                <c:pt idx="401">
                  <c:v>45359</c:v>
                </c:pt>
                <c:pt idx="402">
                  <c:v>45366</c:v>
                </c:pt>
                <c:pt idx="403">
                  <c:v>45373</c:v>
                </c:pt>
                <c:pt idx="404">
                  <c:v>45387</c:v>
                </c:pt>
                <c:pt idx="405">
                  <c:v>45394</c:v>
                </c:pt>
                <c:pt idx="406">
                  <c:v>45401</c:v>
                </c:pt>
                <c:pt idx="407">
                  <c:v>45408</c:v>
                </c:pt>
                <c:pt idx="408">
                  <c:v>45415</c:v>
                </c:pt>
                <c:pt idx="409">
                  <c:v>45422</c:v>
                </c:pt>
                <c:pt idx="410">
                  <c:v>45429</c:v>
                </c:pt>
                <c:pt idx="411">
                  <c:v>45436</c:v>
                </c:pt>
                <c:pt idx="412">
                  <c:v>45443</c:v>
                </c:pt>
                <c:pt idx="413">
                  <c:v>45450</c:v>
                </c:pt>
                <c:pt idx="414">
                  <c:v>45457</c:v>
                </c:pt>
                <c:pt idx="415">
                  <c:v>45464</c:v>
                </c:pt>
                <c:pt idx="416">
                  <c:v>45471</c:v>
                </c:pt>
                <c:pt idx="417">
                  <c:v>45478</c:v>
                </c:pt>
                <c:pt idx="418">
                  <c:v>45485</c:v>
                </c:pt>
                <c:pt idx="419">
                  <c:v>45492</c:v>
                </c:pt>
                <c:pt idx="420">
                  <c:v>45499</c:v>
                </c:pt>
                <c:pt idx="421">
                  <c:v>45506</c:v>
                </c:pt>
                <c:pt idx="422">
                  <c:v>45513</c:v>
                </c:pt>
                <c:pt idx="423">
                  <c:v>45520</c:v>
                </c:pt>
                <c:pt idx="424">
                  <c:v>45527</c:v>
                </c:pt>
                <c:pt idx="425">
                  <c:v>45534</c:v>
                </c:pt>
                <c:pt idx="426">
                  <c:v>45541</c:v>
                </c:pt>
                <c:pt idx="427">
                  <c:v>45548</c:v>
                </c:pt>
                <c:pt idx="428">
                  <c:v>45555</c:v>
                </c:pt>
                <c:pt idx="429">
                  <c:v>45562</c:v>
                </c:pt>
                <c:pt idx="430">
                  <c:v>45569</c:v>
                </c:pt>
                <c:pt idx="431">
                  <c:v>45576</c:v>
                </c:pt>
                <c:pt idx="432">
                  <c:v>45583</c:v>
                </c:pt>
                <c:pt idx="433">
                  <c:v>45590</c:v>
                </c:pt>
                <c:pt idx="434">
                  <c:v>45597</c:v>
                </c:pt>
                <c:pt idx="435">
                  <c:v>45604</c:v>
                </c:pt>
                <c:pt idx="436">
                  <c:v>45611</c:v>
                </c:pt>
                <c:pt idx="437">
                  <c:v>45618</c:v>
                </c:pt>
                <c:pt idx="438">
                  <c:v>45625</c:v>
                </c:pt>
                <c:pt idx="439">
                  <c:v>45632</c:v>
                </c:pt>
                <c:pt idx="440">
                  <c:v>45639</c:v>
                </c:pt>
                <c:pt idx="441">
                  <c:v>45646</c:v>
                </c:pt>
                <c:pt idx="442">
                  <c:v>45653</c:v>
                </c:pt>
                <c:pt idx="443">
                  <c:v>45660</c:v>
                </c:pt>
                <c:pt idx="444">
                  <c:v>45667</c:v>
                </c:pt>
                <c:pt idx="445">
                  <c:v>45674</c:v>
                </c:pt>
                <c:pt idx="446">
                  <c:v>45681</c:v>
                </c:pt>
                <c:pt idx="447">
                  <c:v>45688</c:v>
                </c:pt>
                <c:pt idx="448">
                  <c:v>45695</c:v>
                </c:pt>
                <c:pt idx="449">
                  <c:v>45702</c:v>
                </c:pt>
                <c:pt idx="450">
                  <c:v>45709</c:v>
                </c:pt>
                <c:pt idx="451">
                  <c:v>45716</c:v>
                </c:pt>
                <c:pt idx="452">
                  <c:v>45723</c:v>
                </c:pt>
                <c:pt idx="453">
                  <c:v>45730</c:v>
                </c:pt>
                <c:pt idx="454">
                  <c:v>45737</c:v>
                </c:pt>
                <c:pt idx="455">
                  <c:v>45744</c:v>
                </c:pt>
                <c:pt idx="456">
                  <c:v>45751</c:v>
                </c:pt>
                <c:pt idx="457">
                  <c:v>45758</c:v>
                </c:pt>
                <c:pt idx="458">
                  <c:v>45772</c:v>
                </c:pt>
                <c:pt idx="459">
                  <c:v>45779</c:v>
                </c:pt>
                <c:pt idx="460">
                  <c:v>45786</c:v>
                </c:pt>
                <c:pt idx="461">
                  <c:v>45793</c:v>
                </c:pt>
                <c:pt idx="462">
                  <c:v>45800</c:v>
                </c:pt>
                <c:pt idx="463">
                  <c:v>45807</c:v>
                </c:pt>
                <c:pt idx="464">
                  <c:v>45814</c:v>
                </c:pt>
                <c:pt idx="465">
                  <c:v>45821</c:v>
                </c:pt>
                <c:pt idx="466">
                  <c:v>45828</c:v>
                </c:pt>
                <c:pt idx="467">
                  <c:v>45835</c:v>
                </c:pt>
                <c:pt idx="468">
                  <c:v>45842</c:v>
                </c:pt>
                <c:pt idx="469">
                  <c:v>45849</c:v>
                </c:pt>
                <c:pt idx="470">
                  <c:v>45856</c:v>
                </c:pt>
                <c:pt idx="471">
                  <c:v>45863</c:v>
                </c:pt>
                <c:pt idx="472">
                  <c:v>45877</c:v>
                </c:pt>
                <c:pt idx="473">
                  <c:v>45884</c:v>
                </c:pt>
                <c:pt idx="474">
                  <c:v>45891</c:v>
                </c:pt>
                <c:pt idx="475">
                  <c:v>45898</c:v>
                </c:pt>
                <c:pt idx="476">
                  <c:v>45905</c:v>
                </c:pt>
                <c:pt idx="477">
                  <c:v>45912</c:v>
                </c:pt>
                <c:pt idx="478">
                  <c:v>45919</c:v>
                </c:pt>
                <c:pt idx="479">
                  <c:v>45926</c:v>
                </c:pt>
                <c:pt idx="480">
                  <c:v>45933</c:v>
                </c:pt>
                <c:pt idx="481">
                  <c:v>45940</c:v>
                </c:pt>
                <c:pt idx="482">
                  <c:v>45947</c:v>
                </c:pt>
                <c:pt idx="483">
                  <c:v>45954</c:v>
                </c:pt>
                <c:pt idx="484">
                  <c:v>45961</c:v>
                </c:pt>
                <c:pt idx="485">
                  <c:v>45968</c:v>
                </c:pt>
                <c:pt idx="486">
                  <c:v>45975</c:v>
                </c:pt>
                <c:pt idx="487">
                  <c:v>45982</c:v>
                </c:pt>
                <c:pt idx="488">
                  <c:v>45989</c:v>
                </c:pt>
                <c:pt idx="489">
                  <c:v>45996</c:v>
                </c:pt>
                <c:pt idx="490">
                  <c:v>46003</c:v>
                </c:pt>
                <c:pt idx="491">
                  <c:v>46010</c:v>
                </c:pt>
                <c:pt idx="492">
                  <c:v>46031</c:v>
                </c:pt>
                <c:pt idx="493">
                  <c:v>46038</c:v>
                </c:pt>
                <c:pt idx="494">
                  <c:v>46045</c:v>
                </c:pt>
                <c:pt idx="495">
                  <c:v>46052</c:v>
                </c:pt>
                <c:pt idx="496">
                  <c:v>46059</c:v>
                </c:pt>
                <c:pt idx="497">
                  <c:v>46066</c:v>
                </c:pt>
                <c:pt idx="498">
                  <c:v>46073</c:v>
                </c:pt>
                <c:pt idx="499">
                  <c:v>46080</c:v>
                </c:pt>
                <c:pt idx="500">
                  <c:v>46087</c:v>
                </c:pt>
                <c:pt idx="501">
                  <c:v>46094</c:v>
                </c:pt>
                <c:pt idx="502">
                  <c:v>46101</c:v>
                </c:pt>
                <c:pt idx="503">
                  <c:v>46108</c:v>
                </c:pt>
                <c:pt idx="504">
                  <c:v>46122</c:v>
                </c:pt>
                <c:pt idx="505">
                  <c:v>46129</c:v>
                </c:pt>
                <c:pt idx="506">
                  <c:v>46136</c:v>
                </c:pt>
                <c:pt idx="507">
                  <c:v>46150</c:v>
                </c:pt>
                <c:pt idx="508">
                  <c:v>46157</c:v>
                </c:pt>
                <c:pt idx="509">
                  <c:v>46164</c:v>
                </c:pt>
                <c:pt idx="510">
                  <c:v>46171</c:v>
                </c:pt>
                <c:pt idx="511">
                  <c:v>46178</c:v>
                </c:pt>
                <c:pt idx="512">
                  <c:v>46185</c:v>
                </c:pt>
                <c:pt idx="513">
                  <c:v>46192</c:v>
                </c:pt>
                <c:pt idx="514">
                  <c:v>46199</c:v>
                </c:pt>
                <c:pt idx="515">
                  <c:v>46206</c:v>
                </c:pt>
                <c:pt idx="516">
                  <c:v>46213</c:v>
                </c:pt>
                <c:pt idx="517">
                  <c:v>46220</c:v>
                </c:pt>
                <c:pt idx="518">
                  <c:v>46227</c:v>
                </c:pt>
                <c:pt idx="519">
                  <c:v>46234</c:v>
                </c:pt>
                <c:pt idx="520">
                  <c:v>46241</c:v>
                </c:pt>
                <c:pt idx="521">
                  <c:v>46248</c:v>
                </c:pt>
                <c:pt idx="522">
                  <c:v>46255</c:v>
                </c:pt>
                <c:pt idx="523">
                  <c:v>46262</c:v>
                </c:pt>
                <c:pt idx="524">
                  <c:v>46269</c:v>
                </c:pt>
                <c:pt idx="525">
                  <c:v>46276</c:v>
                </c:pt>
                <c:pt idx="526">
                  <c:v>46283</c:v>
                </c:pt>
                <c:pt idx="527">
                  <c:v>46290</c:v>
                </c:pt>
                <c:pt idx="528">
                  <c:v>46297</c:v>
                </c:pt>
                <c:pt idx="529">
                  <c:v>46304</c:v>
                </c:pt>
                <c:pt idx="530">
                  <c:v>46311</c:v>
                </c:pt>
                <c:pt idx="531">
                  <c:v>46318</c:v>
                </c:pt>
              </c:numCache>
            </c:numRef>
          </c:cat>
          <c:val>
            <c:numRef>
              <c:f>Participation!$L$2:$L$533</c:f>
              <c:numCache>
                <c:formatCode>0</c:formatCode>
                <c:ptCount val="532"/>
                <c:pt idx="0">
                  <c:v>0.77777777999999997</c:v>
                </c:pt>
                <c:pt idx="1">
                  <c:v>1.5555555599999999</c:v>
                </c:pt>
                <c:pt idx="2">
                  <c:v>2.3333333399999998</c:v>
                </c:pt>
                <c:pt idx="3">
                  <c:v>3.1111111199999999</c:v>
                </c:pt>
                <c:pt idx="4">
                  <c:v>3.8888889</c:v>
                </c:pt>
                <c:pt idx="5">
                  <c:v>4.6666666799999996</c:v>
                </c:pt>
                <c:pt idx="6">
                  <c:v>5.4444444599999997</c:v>
                </c:pt>
                <c:pt idx="7">
                  <c:v>6.2222222399999998</c:v>
                </c:pt>
                <c:pt idx="8">
                  <c:v>7.0000000199999999</c:v>
                </c:pt>
                <c:pt idx="9">
                  <c:v>7.7777778</c:v>
                </c:pt>
                <c:pt idx="10">
                  <c:v>8.55555558</c:v>
                </c:pt>
                <c:pt idx="11">
                  <c:v>9.3333333599999992</c:v>
                </c:pt>
                <c:pt idx="12">
                  <c:v>10.111111139999998</c:v>
                </c:pt>
                <c:pt idx="13">
                  <c:v>10.888888919999998</c:v>
                </c:pt>
                <c:pt idx="14">
                  <c:v>11.666666699999997</c:v>
                </c:pt>
                <c:pt idx="15">
                  <c:v>12.444444479999996</c:v>
                </c:pt>
                <c:pt idx="16">
                  <c:v>13.222222259999995</c:v>
                </c:pt>
                <c:pt idx="17">
                  <c:v>14.000000039999994</c:v>
                </c:pt>
                <c:pt idx="18">
                  <c:v>14.777777819999994</c:v>
                </c:pt>
                <c:pt idx="19">
                  <c:v>15.555555599999993</c:v>
                </c:pt>
                <c:pt idx="20">
                  <c:v>16.333333379999992</c:v>
                </c:pt>
                <c:pt idx="21">
                  <c:v>17.111111159999993</c:v>
                </c:pt>
                <c:pt idx="22">
                  <c:v>17.888888939999994</c:v>
                </c:pt>
                <c:pt idx="23">
                  <c:v>18.666666719999995</c:v>
                </c:pt>
                <c:pt idx="24">
                  <c:v>19.444444499999996</c:v>
                </c:pt>
                <c:pt idx="25">
                  <c:v>20.222222279999997</c:v>
                </c:pt>
                <c:pt idx="26">
                  <c:v>21.000000059999998</c:v>
                </c:pt>
                <c:pt idx="27">
                  <c:v>21.777777839999999</c:v>
                </c:pt>
                <c:pt idx="28">
                  <c:v>22.55555562</c:v>
                </c:pt>
                <c:pt idx="29">
                  <c:v>23.333333400000001</c:v>
                </c:pt>
                <c:pt idx="30">
                  <c:v>24.111111180000002</c:v>
                </c:pt>
                <c:pt idx="31">
                  <c:v>24.888888960000003</c:v>
                </c:pt>
                <c:pt idx="32">
                  <c:v>25.666666740000004</c:v>
                </c:pt>
                <c:pt idx="33">
                  <c:v>26.444444520000005</c:v>
                </c:pt>
                <c:pt idx="34">
                  <c:v>27.222222300000006</c:v>
                </c:pt>
                <c:pt idx="35">
                  <c:v>28.000000080000007</c:v>
                </c:pt>
                <c:pt idx="36">
                  <c:v>29.000000080000007</c:v>
                </c:pt>
                <c:pt idx="37">
                  <c:v>30.000000080000007</c:v>
                </c:pt>
                <c:pt idx="38">
                  <c:v>31.000000080000007</c:v>
                </c:pt>
                <c:pt idx="39">
                  <c:v>31.000000080000007</c:v>
                </c:pt>
                <c:pt idx="40">
                  <c:v>32.000000080000007</c:v>
                </c:pt>
                <c:pt idx="41">
                  <c:v>33.000000080000007</c:v>
                </c:pt>
                <c:pt idx="42">
                  <c:v>34.000000080000007</c:v>
                </c:pt>
                <c:pt idx="43">
                  <c:v>35.000000080000007</c:v>
                </c:pt>
                <c:pt idx="44">
                  <c:v>36.000000080000007</c:v>
                </c:pt>
                <c:pt idx="45">
                  <c:v>37.000000080000007</c:v>
                </c:pt>
                <c:pt idx="46">
                  <c:v>38.000000080000007</c:v>
                </c:pt>
                <c:pt idx="47">
                  <c:v>39.000000080000007</c:v>
                </c:pt>
                <c:pt idx="48">
                  <c:v>40.000000080000007</c:v>
                </c:pt>
                <c:pt idx="49">
                  <c:v>41.000000080000007</c:v>
                </c:pt>
                <c:pt idx="50">
                  <c:v>42.000000080000007</c:v>
                </c:pt>
                <c:pt idx="51">
                  <c:v>42.000000080000007</c:v>
                </c:pt>
                <c:pt idx="52">
                  <c:v>43.000000080000007</c:v>
                </c:pt>
                <c:pt idx="53">
                  <c:v>44.000000080000007</c:v>
                </c:pt>
                <c:pt idx="54">
                  <c:v>45.000000080000007</c:v>
                </c:pt>
                <c:pt idx="55">
                  <c:v>46.000000080000007</c:v>
                </c:pt>
                <c:pt idx="56">
                  <c:v>47.000000080000007</c:v>
                </c:pt>
                <c:pt idx="57">
                  <c:v>48.000000080000007</c:v>
                </c:pt>
                <c:pt idx="58">
                  <c:v>49.000000080000007</c:v>
                </c:pt>
                <c:pt idx="59">
                  <c:v>50.000000080000007</c:v>
                </c:pt>
                <c:pt idx="60">
                  <c:v>51.000000080000007</c:v>
                </c:pt>
                <c:pt idx="61">
                  <c:v>52.000000080000007</c:v>
                </c:pt>
                <c:pt idx="62">
                  <c:v>53.000000080000007</c:v>
                </c:pt>
                <c:pt idx="63">
                  <c:v>54.000000080000007</c:v>
                </c:pt>
                <c:pt idx="64">
                  <c:v>55.000000080000007</c:v>
                </c:pt>
                <c:pt idx="65">
                  <c:v>55.000000080000007</c:v>
                </c:pt>
                <c:pt idx="66">
                  <c:v>55.000000080000007</c:v>
                </c:pt>
                <c:pt idx="67">
                  <c:v>55.000000080000007</c:v>
                </c:pt>
                <c:pt idx="68">
                  <c:v>55.000000080000007</c:v>
                </c:pt>
                <c:pt idx="69">
                  <c:v>55.000000080000007</c:v>
                </c:pt>
                <c:pt idx="70">
                  <c:v>56.000000080000007</c:v>
                </c:pt>
                <c:pt idx="71">
                  <c:v>57.000000080000007</c:v>
                </c:pt>
                <c:pt idx="72">
                  <c:v>58.000000080000007</c:v>
                </c:pt>
                <c:pt idx="73">
                  <c:v>59.000000080000007</c:v>
                </c:pt>
                <c:pt idx="74">
                  <c:v>60.000000080000007</c:v>
                </c:pt>
                <c:pt idx="75">
                  <c:v>61.000000080000007</c:v>
                </c:pt>
                <c:pt idx="76">
                  <c:v>62.000000080000007</c:v>
                </c:pt>
                <c:pt idx="77">
                  <c:v>63.000000080000007</c:v>
                </c:pt>
                <c:pt idx="78">
                  <c:v>64.000000080000007</c:v>
                </c:pt>
                <c:pt idx="79">
                  <c:v>64.000000080000007</c:v>
                </c:pt>
                <c:pt idx="80">
                  <c:v>65.000000080000007</c:v>
                </c:pt>
                <c:pt idx="81">
                  <c:v>65.000000080000007</c:v>
                </c:pt>
                <c:pt idx="82">
                  <c:v>65.000000080000007</c:v>
                </c:pt>
                <c:pt idx="83">
                  <c:v>66.000000080000007</c:v>
                </c:pt>
                <c:pt idx="84">
                  <c:v>67.000000080000007</c:v>
                </c:pt>
                <c:pt idx="85">
                  <c:v>68.000000080000007</c:v>
                </c:pt>
                <c:pt idx="86">
                  <c:v>69.000000080000007</c:v>
                </c:pt>
                <c:pt idx="87">
                  <c:v>70.000000080000007</c:v>
                </c:pt>
                <c:pt idx="88">
                  <c:v>71.000000080000007</c:v>
                </c:pt>
                <c:pt idx="89">
                  <c:v>72.000000080000007</c:v>
                </c:pt>
                <c:pt idx="90">
                  <c:v>73.000000080000007</c:v>
                </c:pt>
                <c:pt idx="91">
                  <c:v>73.000000080000007</c:v>
                </c:pt>
                <c:pt idx="92">
                  <c:v>74.000000080000007</c:v>
                </c:pt>
                <c:pt idx="93">
                  <c:v>74.000000080000007</c:v>
                </c:pt>
                <c:pt idx="94">
                  <c:v>75.000000080000007</c:v>
                </c:pt>
                <c:pt idx="95">
                  <c:v>76.000000080000007</c:v>
                </c:pt>
                <c:pt idx="96">
                  <c:v>77.000000080000007</c:v>
                </c:pt>
                <c:pt idx="97">
                  <c:v>78.000000080000007</c:v>
                </c:pt>
                <c:pt idx="98">
                  <c:v>78.000000080000007</c:v>
                </c:pt>
                <c:pt idx="99">
                  <c:v>79.000000080000007</c:v>
                </c:pt>
                <c:pt idx="100">
                  <c:v>80.000000080000007</c:v>
                </c:pt>
                <c:pt idx="101">
                  <c:v>80.000000080000007</c:v>
                </c:pt>
                <c:pt idx="102">
                  <c:v>81.000000080000007</c:v>
                </c:pt>
                <c:pt idx="103">
                  <c:v>82.000000080000007</c:v>
                </c:pt>
                <c:pt idx="104">
                  <c:v>83.000000080000007</c:v>
                </c:pt>
                <c:pt idx="105">
                  <c:v>83.000000080000007</c:v>
                </c:pt>
                <c:pt idx="106">
                  <c:v>83.000000080000007</c:v>
                </c:pt>
                <c:pt idx="107">
                  <c:v>84.000000080000007</c:v>
                </c:pt>
                <c:pt idx="108">
                  <c:v>84.000000080000007</c:v>
                </c:pt>
                <c:pt idx="109">
                  <c:v>85.000000080000007</c:v>
                </c:pt>
                <c:pt idx="110">
                  <c:v>86.000000080000007</c:v>
                </c:pt>
                <c:pt idx="111">
                  <c:v>86.000000080000007</c:v>
                </c:pt>
                <c:pt idx="112">
                  <c:v>87.000000080000007</c:v>
                </c:pt>
                <c:pt idx="113">
                  <c:v>88.000000080000007</c:v>
                </c:pt>
                <c:pt idx="114">
                  <c:v>89.000000080000007</c:v>
                </c:pt>
                <c:pt idx="115">
                  <c:v>90.000000080000007</c:v>
                </c:pt>
                <c:pt idx="116">
                  <c:v>91.000000080000007</c:v>
                </c:pt>
                <c:pt idx="117">
                  <c:v>92.000000080000007</c:v>
                </c:pt>
                <c:pt idx="118">
                  <c:v>93.000000080000007</c:v>
                </c:pt>
                <c:pt idx="119">
                  <c:v>94.000000080000007</c:v>
                </c:pt>
                <c:pt idx="120">
                  <c:v>95.000000080000007</c:v>
                </c:pt>
                <c:pt idx="121">
                  <c:v>95.000000080000007</c:v>
                </c:pt>
                <c:pt idx="122">
                  <c:v>96.000000080000007</c:v>
                </c:pt>
                <c:pt idx="123">
                  <c:v>96.000000080000007</c:v>
                </c:pt>
                <c:pt idx="124">
                  <c:v>96.000000080000007</c:v>
                </c:pt>
                <c:pt idx="125">
                  <c:v>97.000000080000007</c:v>
                </c:pt>
                <c:pt idx="126">
                  <c:v>98.000000080000007</c:v>
                </c:pt>
                <c:pt idx="127">
                  <c:v>99.000000080000007</c:v>
                </c:pt>
                <c:pt idx="128">
                  <c:v>100.00000008000001</c:v>
                </c:pt>
                <c:pt idx="129">
                  <c:v>101.00000008000001</c:v>
                </c:pt>
                <c:pt idx="130">
                  <c:v>102.00000008000001</c:v>
                </c:pt>
                <c:pt idx="131">
                  <c:v>103.00000008000001</c:v>
                </c:pt>
                <c:pt idx="132">
                  <c:v>104.00000008000001</c:v>
                </c:pt>
                <c:pt idx="133">
                  <c:v>105.00000008000001</c:v>
                </c:pt>
                <c:pt idx="134">
                  <c:v>106.00000008000001</c:v>
                </c:pt>
                <c:pt idx="135">
                  <c:v>107.00000008000001</c:v>
                </c:pt>
                <c:pt idx="136">
                  <c:v>108.00000008000001</c:v>
                </c:pt>
                <c:pt idx="137">
                  <c:v>108.00000008000001</c:v>
                </c:pt>
                <c:pt idx="138">
                  <c:v>109.00000008000001</c:v>
                </c:pt>
                <c:pt idx="139">
                  <c:v>110.00000008000001</c:v>
                </c:pt>
                <c:pt idx="140">
                  <c:v>110.00000008000001</c:v>
                </c:pt>
                <c:pt idx="141">
                  <c:v>110.00000008000001</c:v>
                </c:pt>
                <c:pt idx="142">
                  <c:v>110.00000008000001</c:v>
                </c:pt>
                <c:pt idx="143">
                  <c:v>110.00000008000001</c:v>
                </c:pt>
                <c:pt idx="144">
                  <c:v>110.00000008000001</c:v>
                </c:pt>
                <c:pt idx="145">
                  <c:v>111.00000008000001</c:v>
                </c:pt>
                <c:pt idx="146">
                  <c:v>112.00000008000001</c:v>
                </c:pt>
                <c:pt idx="147">
                  <c:v>113.00000008000001</c:v>
                </c:pt>
                <c:pt idx="148">
                  <c:v>113.00000008000001</c:v>
                </c:pt>
                <c:pt idx="149">
                  <c:v>114.00000008000001</c:v>
                </c:pt>
                <c:pt idx="150">
                  <c:v>114.00000008000001</c:v>
                </c:pt>
                <c:pt idx="151">
                  <c:v>115.00000008000001</c:v>
                </c:pt>
                <c:pt idx="152">
                  <c:v>115.00000008000001</c:v>
                </c:pt>
                <c:pt idx="153">
                  <c:v>116.00000008000001</c:v>
                </c:pt>
                <c:pt idx="154">
                  <c:v>116.00000008000001</c:v>
                </c:pt>
                <c:pt idx="155">
                  <c:v>117.00000008000001</c:v>
                </c:pt>
                <c:pt idx="156">
                  <c:v>118.00000008000001</c:v>
                </c:pt>
                <c:pt idx="157">
                  <c:v>118.00000008000001</c:v>
                </c:pt>
                <c:pt idx="158">
                  <c:v>118.00000008000001</c:v>
                </c:pt>
                <c:pt idx="159">
                  <c:v>119.00000008000001</c:v>
                </c:pt>
                <c:pt idx="160">
                  <c:v>119.00000008000001</c:v>
                </c:pt>
                <c:pt idx="161">
                  <c:v>120.00000008000001</c:v>
                </c:pt>
                <c:pt idx="162">
                  <c:v>121.00000008000001</c:v>
                </c:pt>
                <c:pt idx="163">
                  <c:v>122.00000008000001</c:v>
                </c:pt>
                <c:pt idx="164">
                  <c:v>123.00000008000001</c:v>
                </c:pt>
                <c:pt idx="165">
                  <c:v>124.00000008000001</c:v>
                </c:pt>
                <c:pt idx="166">
                  <c:v>124.00000008000001</c:v>
                </c:pt>
                <c:pt idx="167">
                  <c:v>125.00000008000001</c:v>
                </c:pt>
                <c:pt idx="168">
                  <c:v>126.00000008000001</c:v>
                </c:pt>
                <c:pt idx="169">
                  <c:v>127.00000008000001</c:v>
                </c:pt>
                <c:pt idx="170">
                  <c:v>128.00000008000001</c:v>
                </c:pt>
                <c:pt idx="171">
                  <c:v>129.00000008000001</c:v>
                </c:pt>
                <c:pt idx="172">
                  <c:v>130.00000008000001</c:v>
                </c:pt>
                <c:pt idx="173">
                  <c:v>130.00000008000001</c:v>
                </c:pt>
                <c:pt idx="174">
                  <c:v>130.00000008000001</c:v>
                </c:pt>
                <c:pt idx="175">
                  <c:v>131.00000008000001</c:v>
                </c:pt>
                <c:pt idx="176">
                  <c:v>132.00000008000001</c:v>
                </c:pt>
                <c:pt idx="177">
                  <c:v>133.00000008000001</c:v>
                </c:pt>
                <c:pt idx="178">
                  <c:v>134.00000008000001</c:v>
                </c:pt>
                <c:pt idx="179">
                  <c:v>135.00000008000001</c:v>
                </c:pt>
                <c:pt idx="180">
                  <c:v>135.00000008000001</c:v>
                </c:pt>
                <c:pt idx="181">
                  <c:v>136.00000008000001</c:v>
                </c:pt>
                <c:pt idx="182">
                  <c:v>137.00000008000001</c:v>
                </c:pt>
                <c:pt idx="183">
                  <c:v>137.00000008000001</c:v>
                </c:pt>
                <c:pt idx="184">
                  <c:v>138.00000008000001</c:v>
                </c:pt>
                <c:pt idx="185">
                  <c:v>139.00000008000001</c:v>
                </c:pt>
                <c:pt idx="186">
                  <c:v>140.00000008000001</c:v>
                </c:pt>
                <c:pt idx="187">
                  <c:v>141.00000008000001</c:v>
                </c:pt>
                <c:pt idx="188">
                  <c:v>142.00000008000001</c:v>
                </c:pt>
                <c:pt idx="189">
                  <c:v>143.00000008000001</c:v>
                </c:pt>
                <c:pt idx="190">
                  <c:v>143.00000008000001</c:v>
                </c:pt>
                <c:pt idx="191">
                  <c:v>144.00000008000001</c:v>
                </c:pt>
                <c:pt idx="192">
                  <c:v>144.00000008000001</c:v>
                </c:pt>
                <c:pt idx="193">
                  <c:v>145.00000008000001</c:v>
                </c:pt>
                <c:pt idx="194">
                  <c:v>146.00000008000001</c:v>
                </c:pt>
                <c:pt idx="195">
                  <c:v>146.00000008000001</c:v>
                </c:pt>
                <c:pt idx="196">
                  <c:v>147.00000008000001</c:v>
                </c:pt>
                <c:pt idx="197">
                  <c:v>148.00000008000001</c:v>
                </c:pt>
                <c:pt idx="198">
                  <c:v>149.00000008000001</c:v>
                </c:pt>
                <c:pt idx="199">
                  <c:v>150.00000008000001</c:v>
                </c:pt>
                <c:pt idx="200">
                  <c:v>151.00000008000001</c:v>
                </c:pt>
                <c:pt idx="201">
                  <c:v>152.00000008000001</c:v>
                </c:pt>
                <c:pt idx="202">
                  <c:v>153.00000008000001</c:v>
                </c:pt>
                <c:pt idx="203">
                  <c:v>154.00000008000001</c:v>
                </c:pt>
                <c:pt idx="204">
                  <c:v>155.00000008000001</c:v>
                </c:pt>
                <c:pt idx="205">
                  <c:v>156.00000008000001</c:v>
                </c:pt>
                <c:pt idx="206">
                  <c:v>157.00000008000001</c:v>
                </c:pt>
                <c:pt idx="207">
                  <c:v>158.00000008000001</c:v>
                </c:pt>
                <c:pt idx="208">
                  <c:v>159.00000008000001</c:v>
                </c:pt>
                <c:pt idx="209">
                  <c:v>160.00000008000001</c:v>
                </c:pt>
                <c:pt idx="210">
                  <c:v>161.00000008000001</c:v>
                </c:pt>
                <c:pt idx="211">
                  <c:v>162.00000008000001</c:v>
                </c:pt>
                <c:pt idx="212">
                  <c:v>163.00000008000001</c:v>
                </c:pt>
                <c:pt idx="213">
                  <c:v>163.00000008000001</c:v>
                </c:pt>
                <c:pt idx="214">
                  <c:v>163.00000008000001</c:v>
                </c:pt>
                <c:pt idx="215">
                  <c:v>164.00000008000001</c:v>
                </c:pt>
                <c:pt idx="216">
                  <c:v>165.00000008000001</c:v>
                </c:pt>
                <c:pt idx="217">
                  <c:v>165.00000008000001</c:v>
                </c:pt>
                <c:pt idx="218">
                  <c:v>166.00000008000001</c:v>
                </c:pt>
                <c:pt idx="219">
                  <c:v>166.00000008000001</c:v>
                </c:pt>
                <c:pt idx="220">
                  <c:v>167.00000008000001</c:v>
                </c:pt>
                <c:pt idx="221">
                  <c:v>168.00000008000001</c:v>
                </c:pt>
                <c:pt idx="222">
                  <c:v>169.00000008000001</c:v>
                </c:pt>
                <c:pt idx="223">
                  <c:v>169.00000008000001</c:v>
                </c:pt>
                <c:pt idx="224">
                  <c:v>170.00000008000001</c:v>
                </c:pt>
                <c:pt idx="225">
                  <c:v>171.00000008000001</c:v>
                </c:pt>
                <c:pt idx="226">
                  <c:v>172.00000008000001</c:v>
                </c:pt>
                <c:pt idx="227">
                  <c:v>173.00000008000001</c:v>
                </c:pt>
                <c:pt idx="228">
                  <c:v>174.00000008000001</c:v>
                </c:pt>
                <c:pt idx="229">
                  <c:v>175.00000008000001</c:v>
                </c:pt>
                <c:pt idx="230">
                  <c:v>176.00000008000001</c:v>
                </c:pt>
                <c:pt idx="231">
                  <c:v>177.00000008000001</c:v>
                </c:pt>
                <c:pt idx="232">
                  <c:v>178.00000008000001</c:v>
                </c:pt>
                <c:pt idx="233">
                  <c:v>179.00000008000001</c:v>
                </c:pt>
                <c:pt idx="234">
                  <c:v>179.00000008000001</c:v>
                </c:pt>
                <c:pt idx="235">
                  <c:v>180.00000008000001</c:v>
                </c:pt>
                <c:pt idx="236">
                  <c:v>181.00000008000001</c:v>
                </c:pt>
                <c:pt idx="237">
                  <c:v>181.00000008000001</c:v>
                </c:pt>
                <c:pt idx="238">
                  <c:v>182.00000008000001</c:v>
                </c:pt>
                <c:pt idx="239">
                  <c:v>183.00000008000001</c:v>
                </c:pt>
                <c:pt idx="240">
                  <c:v>184.00000008000001</c:v>
                </c:pt>
                <c:pt idx="241">
                  <c:v>184.00000008000001</c:v>
                </c:pt>
                <c:pt idx="242">
                  <c:v>185.00000008000001</c:v>
                </c:pt>
                <c:pt idx="243">
                  <c:v>185.00000008000001</c:v>
                </c:pt>
                <c:pt idx="244">
                  <c:v>186.00000008000001</c:v>
                </c:pt>
                <c:pt idx="245">
                  <c:v>187.00000008000001</c:v>
                </c:pt>
                <c:pt idx="246">
                  <c:v>188.00000008000001</c:v>
                </c:pt>
                <c:pt idx="247">
                  <c:v>189.00000008000001</c:v>
                </c:pt>
                <c:pt idx="248">
                  <c:v>189.00000008000001</c:v>
                </c:pt>
                <c:pt idx="249">
                  <c:v>190.00000008000001</c:v>
                </c:pt>
                <c:pt idx="250">
                  <c:v>191.00000008000001</c:v>
                </c:pt>
                <c:pt idx="251">
                  <c:v>192.00000008000001</c:v>
                </c:pt>
                <c:pt idx="252">
                  <c:v>193.00000008000001</c:v>
                </c:pt>
                <c:pt idx="253">
                  <c:v>194.00000008000001</c:v>
                </c:pt>
                <c:pt idx="254">
                  <c:v>195.00000008000001</c:v>
                </c:pt>
                <c:pt idx="255">
                  <c:v>196.00000008000001</c:v>
                </c:pt>
                <c:pt idx="256">
                  <c:v>197.00000008000001</c:v>
                </c:pt>
                <c:pt idx="257">
                  <c:v>198.00000008000001</c:v>
                </c:pt>
                <c:pt idx="258">
                  <c:v>199.00000008000001</c:v>
                </c:pt>
                <c:pt idx="259">
                  <c:v>200.00000008000001</c:v>
                </c:pt>
                <c:pt idx="260">
                  <c:v>201.00000008000001</c:v>
                </c:pt>
                <c:pt idx="261">
                  <c:v>202.00000008000001</c:v>
                </c:pt>
                <c:pt idx="262">
                  <c:v>202.00000008000001</c:v>
                </c:pt>
                <c:pt idx="263">
                  <c:v>203.00000008000001</c:v>
                </c:pt>
                <c:pt idx="264">
                  <c:v>204.00000008000001</c:v>
                </c:pt>
                <c:pt idx="265">
                  <c:v>204.00000008000001</c:v>
                </c:pt>
                <c:pt idx="266">
                  <c:v>205.00000008000001</c:v>
                </c:pt>
                <c:pt idx="267">
                  <c:v>206.00000008000001</c:v>
                </c:pt>
                <c:pt idx="268">
                  <c:v>206.00000008000001</c:v>
                </c:pt>
                <c:pt idx="269">
                  <c:v>206.00000008000001</c:v>
                </c:pt>
                <c:pt idx="270">
                  <c:v>207.00000008000001</c:v>
                </c:pt>
                <c:pt idx="271">
                  <c:v>208.00000008000001</c:v>
                </c:pt>
                <c:pt idx="272">
                  <c:v>209.00000008000001</c:v>
                </c:pt>
                <c:pt idx="273">
                  <c:v>210.00000008000001</c:v>
                </c:pt>
                <c:pt idx="274">
                  <c:v>210.00000008000001</c:v>
                </c:pt>
                <c:pt idx="275">
                  <c:v>211.00000008000001</c:v>
                </c:pt>
                <c:pt idx="276">
                  <c:v>212.00000008000001</c:v>
                </c:pt>
                <c:pt idx="277">
                  <c:v>213.00000008000001</c:v>
                </c:pt>
                <c:pt idx="278">
                  <c:v>214.00000008000001</c:v>
                </c:pt>
                <c:pt idx="279">
                  <c:v>214.00000008000001</c:v>
                </c:pt>
                <c:pt idx="280">
                  <c:v>215.00000008000001</c:v>
                </c:pt>
                <c:pt idx="281">
                  <c:v>216.00000008000001</c:v>
                </c:pt>
                <c:pt idx="282">
                  <c:v>217.00000008000001</c:v>
                </c:pt>
                <c:pt idx="283">
                  <c:v>218.00000008000001</c:v>
                </c:pt>
                <c:pt idx="284">
                  <c:v>219.00000008000001</c:v>
                </c:pt>
                <c:pt idx="285">
                  <c:v>219.00000008000001</c:v>
                </c:pt>
                <c:pt idx="286">
                  <c:v>220.00000008000001</c:v>
                </c:pt>
                <c:pt idx="287">
                  <c:v>221.00000008000001</c:v>
                </c:pt>
                <c:pt idx="288">
                  <c:v>222.00000008000001</c:v>
                </c:pt>
                <c:pt idx="289">
                  <c:v>223.00000008000001</c:v>
                </c:pt>
                <c:pt idx="290">
                  <c:v>223.00000008000001</c:v>
                </c:pt>
                <c:pt idx="291">
                  <c:v>224.00000008000001</c:v>
                </c:pt>
                <c:pt idx="292">
                  <c:v>224.00000008000001</c:v>
                </c:pt>
                <c:pt idx="293">
                  <c:v>225.00000008000001</c:v>
                </c:pt>
                <c:pt idx="294">
                  <c:v>226.00000008000001</c:v>
                </c:pt>
                <c:pt idx="295">
                  <c:v>227.00000008000001</c:v>
                </c:pt>
                <c:pt idx="296">
                  <c:v>228.00000008000001</c:v>
                </c:pt>
                <c:pt idx="297">
                  <c:v>229.00000008000001</c:v>
                </c:pt>
                <c:pt idx="298">
                  <c:v>229.00000008000001</c:v>
                </c:pt>
                <c:pt idx="299">
                  <c:v>229.00000008000001</c:v>
                </c:pt>
                <c:pt idx="300">
                  <c:v>230.00000008000001</c:v>
                </c:pt>
                <c:pt idx="301">
                  <c:v>231.00000008000001</c:v>
                </c:pt>
                <c:pt idx="302">
                  <c:v>231.00000008000001</c:v>
                </c:pt>
                <c:pt idx="303">
                  <c:v>231.00000008000001</c:v>
                </c:pt>
                <c:pt idx="304">
                  <c:v>232.00000008000001</c:v>
                </c:pt>
                <c:pt idx="305">
                  <c:v>233.00000008000001</c:v>
                </c:pt>
                <c:pt idx="306">
                  <c:v>234.00000008000001</c:v>
                </c:pt>
                <c:pt idx="307">
                  <c:v>234.00000008000001</c:v>
                </c:pt>
                <c:pt idx="308">
                  <c:v>235.00000008000001</c:v>
                </c:pt>
                <c:pt idx="309">
                  <c:v>236.00000008000001</c:v>
                </c:pt>
                <c:pt idx="310">
                  <c:v>237.00000008000001</c:v>
                </c:pt>
                <c:pt idx="311">
                  <c:v>237.00000008000001</c:v>
                </c:pt>
                <c:pt idx="312">
                  <c:v>238.00000008000001</c:v>
                </c:pt>
                <c:pt idx="313">
                  <c:v>239.00000008000001</c:v>
                </c:pt>
                <c:pt idx="314">
                  <c:v>239.00000008000001</c:v>
                </c:pt>
                <c:pt idx="315">
                  <c:v>239.00000008000001</c:v>
                </c:pt>
                <c:pt idx="316">
                  <c:v>239.00000008000001</c:v>
                </c:pt>
                <c:pt idx="317">
                  <c:v>239.00000008000001</c:v>
                </c:pt>
                <c:pt idx="318">
                  <c:v>239.00000008000001</c:v>
                </c:pt>
                <c:pt idx="319">
                  <c:v>240.00000008000001</c:v>
                </c:pt>
                <c:pt idx="320">
                  <c:v>240.00000008000001</c:v>
                </c:pt>
                <c:pt idx="321">
                  <c:v>241.00000008000001</c:v>
                </c:pt>
                <c:pt idx="322">
                  <c:v>241.00000008000001</c:v>
                </c:pt>
                <c:pt idx="323">
                  <c:v>241.00000008000001</c:v>
                </c:pt>
                <c:pt idx="324">
                  <c:v>242.00000008000001</c:v>
                </c:pt>
                <c:pt idx="325">
                  <c:v>242.00000008000001</c:v>
                </c:pt>
                <c:pt idx="326">
                  <c:v>243.00000008000001</c:v>
                </c:pt>
                <c:pt idx="327">
                  <c:v>243.00000008000001</c:v>
                </c:pt>
                <c:pt idx="328">
                  <c:v>243.00000008000001</c:v>
                </c:pt>
                <c:pt idx="329">
                  <c:v>244.00000008000001</c:v>
                </c:pt>
                <c:pt idx="330">
                  <c:v>244.00000008000001</c:v>
                </c:pt>
                <c:pt idx="331">
                  <c:v>245.00000008000001</c:v>
                </c:pt>
                <c:pt idx="332">
                  <c:v>246.00000008000001</c:v>
                </c:pt>
                <c:pt idx="333">
                  <c:v>246.00000008000001</c:v>
                </c:pt>
                <c:pt idx="334">
                  <c:v>247.00000008000001</c:v>
                </c:pt>
                <c:pt idx="335">
                  <c:v>247.00000008000001</c:v>
                </c:pt>
                <c:pt idx="336">
                  <c:v>247.00000008000001</c:v>
                </c:pt>
                <c:pt idx="337">
                  <c:v>247.00000008000001</c:v>
                </c:pt>
                <c:pt idx="338">
                  <c:v>248.00000008000001</c:v>
                </c:pt>
                <c:pt idx="339">
                  <c:v>248.00000008000001</c:v>
                </c:pt>
                <c:pt idx="340">
                  <c:v>249.00000008000001</c:v>
                </c:pt>
                <c:pt idx="341">
                  <c:v>249.00000008000001</c:v>
                </c:pt>
                <c:pt idx="342">
                  <c:v>250.00000008000001</c:v>
                </c:pt>
                <c:pt idx="343">
                  <c:v>250.00000008000001</c:v>
                </c:pt>
                <c:pt idx="344">
                  <c:v>250.00000008000001</c:v>
                </c:pt>
                <c:pt idx="345">
                  <c:v>250.00000008000001</c:v>
                </c:pt>
                <c:pt idx="346">
                  <c:v>251.00000008000001</c:v>
                </c:pt>
                <c:pt idx="347">
                  <c:v>251.00000008000001</c:v>
                </c:pt>
                <c:pt idx="348">
                  <c:v>251.00000008000001</c:v>
                </c:pt>
                <c:pt idx="349">
                  <c:v>251.00000008000001</c:v>
                </c:pt>
                <c:pt idx="350">
                  <c:v>252.00000008000001</c:v>
                </c:pt>
                <c:pt idx="351">
                  <c:v>253.00000008000001</c:v>
                </c:pt>
                <c:pt idx="352">
                  <c:v>254.00000008000001</c:v>
                </c:pt>
                <c:pt idx="353">
                  <c:v>254.00000008000001</c:v>
                </c:pt>
                <c:pt idx="354">
                  <c:v>254.00000008000001</c:v>
                </c:pt>
                <c:pt idx="355">
                  <c:v>254.00000008000001</c:v>
                </c:pt>
                <c:pt idx="356">
                  <c:v>254.00000008000001</c:v>
                </c:pt>
                <c:pt idx="357">
                  <c:v>254.00000008000001</c:v>
                </c:pt>
                <c:pt idx="358">
                  <c:v>254.00000008000001</c:v>
                </c:pt>
                <c:pt idx="359">
                  <c:v>254.00000008000001</c:v>
                </c:pt>
                <c:pt idx="360">
                  <c:v>254.00000008000001</c:v>
                </c:pt>
                <c:pt idx="361">
                  <c:v>255.00000008000001</c:v>
                </c:pt>
                <c:pt idx="362">
                  <c:v>255.00000008000001</c:v>
                </c:pt>
                <c:pt idx="363">
                  <c:v>255.00000008000001</c:v>
                </c:pt>
                <c:pt idx="364">
                  <c:v>256.00000008000001</c:v>
                </c:pt>
                <c:pt idx="365">
                  <c:v>257.00000008000001</c:v>
                </c:pt>
                <c:pt idx="366">
                  <c:v>257.00000008000001</c:v>
                </c:pt>
                <c:pt idx="367">
                  <c:v>257.00000008000001</c:v>
                </c:pt>
                <c:pt idx="368">
                  <c:v>258.00000008000001</c:v>
                </c:pt>
                <c:pt idx="369">
                  <c:v>258.00000008000001</c:v>
                </c:pt>
                <c:pt idx="370">
                  <c:v>259.00000008000001</c:v>
                </c:pt>
                <c:pt idx="371">
                  <c:v>260.00000008000001</c:v>
                </c:pt>
                <c:pt idx="372">
                  <c:v>261.00000008000001</c:v>
                </c:pt>
                <c:pt idx="373">
                  <c:v>261.00000008000001</c:v>
                </c:pt>
                <c:pt idx="374">
                  <c:v>262.00000008000001</c:v>
                </c:pt>
                <c:pt idx="375">
                  <c:v>262.00000008000001</c:v>
                </c:pt>
                <c:pt idx="376">
                  <c:v>263.00000008000001</c:v>
                </c:pt>
                <c:pt idx="377">
                  <c:v>263.00000008000001</c:v>
                </c:pt>
                <c:pt idx="378">
                  <c:v>263.00000008000001</c:v>
                </c:pt>
                <c:pt idx="379">
                  <c:v>263.00000008000001</c:v>
                </c:pt>
                <c:pt idx="380">
                  <c:v>264.00000008000001</c:v>
                </c:pt>
                <c:pt idx="381">
                  <c:v>264.00000008000001</c:v>
                </c:pt>
                <c:pt idx="382">
                  <c:v>265.00000008000001</c:v>
                </c:pt>
                <c:pt idx="383">
                  <c:v>265.00000008000001</c:v>
                </c:pt>
                <c:pt idx="384">
                  <c:v>266.00000008000001</c:v>
                </c:pt>
                <c:pt idx="385">
                  <c:v>267.00000008000001</c:v>
                </c:pt>
                <c:pt idx="386">
                  <c:v>267.00000008000001</c:v>
                </c:pt>
                <c:pt idx="387">
                  <c:v>267.00000008000001</c:v>
                </c:pt>
                <c:pt idx="388">
                  <c:v>267.00000008000001</c:v>
                </c:pt>
                <c:pt idx="389">
                  <c:v>268.00000008000001</c:v>
                </c:pt>
                <c:pt idx="390">
                  <c:v>269.00000008000001</c:v>
                </c:pt>
                <c:pt idx="391">
                  <c:v>269.00000008000001</c:v>
                </c:pt>
                <c:pt idx="392">
                  <c:v>270.00000008000001</c:v>
                </c:pt>
                <c:pt idx="393">
                  <c:v>270.00000008000001</c:v>
                </c:pt>
                <c:pt idx="394">
                  <c:v>270.00000008000001</c:v>
                </c:pt>
                <c:pt idx="395">
                  <c:v>270.00000008000001</c:v>
                </c:pt>
                <c:pt idx="396">
                  <c:v>270.00000008000001</c:v>
                </c:pt>
                <c:pt idx="397">
                  <c:v>271.00000008000001</c:v>
                </c:pt>
                <c:pt idx="398">
                  <c:v>271.00000008000001</c:v>
                </c:pt>
                <c:pt idx="399">
                  <c:v>271.00000008000001</c:v>
                </c:pt>
                <c:pt idx="400">
                  <c:v>272.00000008000001</c:v>
                </c:pt>
                <c:pt idx="401">
                  <c:v>273.00000008000001</c:v>
                </c:pt>
                <c:pt idx="402">
                  <c:v>274.00000008000001</c:v>
                </c:pt>
                <c:pt idx="403">
                  <c:v>275.00000008000001</c:v>
                </c:pt>
                <c:pt idx="404">
                  <c:v>276.00000008000001</c:v>
                </c:pt>
                <c:pt idx="405">
                  <c:v>276.00000008000001</c:v>
                </c:pt>
                <c:pt idx="406">
                  <c:v>277.00000008000001</c:v>
                </c:pt>
                <c:pt idx="407">
                  <c:v>278.00000008000001</c:v>
                </c:pt>
                <c:pt idx="408">
                  <c:v>278.00000008000001</c:v>
                </c:pt>
                <c:pt idx="409">
                  <c:v>279.00000008000001</c:v>
                </c:pt>
                <c:pt idx="410">
                  <c:v>280.00000008000001</c:v>
                </c:pt>
                <c:pt idx="411">
                  <c:v>281.00000008000001</c:v>
                </c:pt>
                <c:pt idx="412">
                  <c:v>282.00000008000001</c:v>
                </c:pt>
                <c:pt idx="413">
                  <c:v>283.00000008000001</c:v>
                </c:pt>
                <c:pt idx="414">
                  <c:v>284.00000008000001</c:v>
                </c:pt>
                <c:pt idx="415">
                  <c:v>284.00000008000001</c:v>
                </c:pt>
                <c:pt idx="416">
                  <c:v>285.00000008000001</c:v>
                </c:pt>
                <c:pt idx="417">
                  <c:v>286.00000008000001</c:v>
                </c:pt>
                <c:pt idx="418">
                  <c:v>287.00000008000001</c:v>
                </c:pt>
                <c:pt idx="419">
                  <c:v>288.00000008000001</c:v>
                </c:pt>
                <c:pt idx="420">
                  <c:v>289.00000008000001</c:v>
                </c:pt>
                <c:pt idx="421">
                  <c:v>290.00000008000001</c:v>
                </c:pt>
                <c:pt idx="422">
                  <c:v>291.00000008000001</c:v>
                </c:pt>
                <c:pt idx="423">
                  <c:v>292.00000008000001</c:v>
                </c:pt>
                <c:pt idx="424">
                  <c:v>293.00000008000001</c:v>
                </c:pt>
                <c:pt idx="425">
                  <c:v>294.00000008000001</c:v>
                </c:pt>
                <c:pt idx="426">
                  <c:v>295.00000008000001</c:v>
                </c:pt>
                <c:pt idx="427">
                  <c:v>296.00000008000001</c:v>
                </c:pt>
                <c:pt idx="428">
                  <c:v>297.00000008000001</c:v>
                </c:pt>
                <c:pt idx="429">
                  <c:v>298.00000008000001</c:v>
                </c:pt>
                <c:pt idx="430">
                  <c:v>299.00000008000001</c:v>
                </c:pt>
                <c:pt idx="431">
                  <c:v>300.00000008000001</c:v>
                </c:pt>
                <c:pt idx="432">
                  <c:v>301.00000008000001</c:v>
                </c:pt>
                <c:pt idx="433">
                  <c:v>302.00000008000001</c:v>
                </c:pt>
                <c:pt idx="434">
                  <c:v>303.00000008000001</c:v>
                </c:pt>
                <c:pt idx="435">
                  <c:v>304.00000008000001</c:v>
                </c:pt>
                <c:pt idx="436">
                  <c:v>305.00000008000001</c:v>
                </c:pt>
                <c:pt idx="437">
                  <c:v>306.00000008000001</c:v>
                </c:pt>
                <c:pt idx="438">
                  <c:v>307.00000008000001</c:v>
                </c:pt>
                <c:pt idx="439">
                  <c:v>308.00000008000001</c:v>
                </c:pt>
                <c:pt idx="440">
                  <c:v>308.00000008000001</c:v>
                </c:pt>
                <c:pt idx="441">
                  <c:v>309.00000008000001</c:v>
                </c:pt>
                <c:pt idx="442">
                  <c:v>309.00000008000001</c:v>
                </c:pt>
                <c:pt idx="443">
                  <c:v>309.00000008000001</c:v>
                </c:pt>
                <c:pt idx="444">
                  <c:v>309.00000008000001</c:v>
                </c:pt>
                <c:pt idx="445">
                  <c:v>310.00000008000001</c:v>
                </c:pt>
                <c:pt idx="446">
                  <c:v>311.00000008000001</c:v>
                </c:pt>
                <c:pt idx="447">
                  <c:v>312.00000008000001</c:v>
                </c:pt>
                <c:pt idx="448">
                  <c:v>313.00000008000001</c:v>
                </c:pt>
                <c:pt idx="449">
                  <c:v>313.00000008000001</c:v>
                </c:pt>
                <c:pt idx="450">
                  <c:v>314.00000008000001</c:v>
                </c:pt>
                <c:pt idx="451">
                  <c:v>315.00000008000001</c:v>
                </c:pt>
                <c:pt idx="452">
                  <c:v>316.00000008000001</c:v>
                </c:pt>
                <c:pt idx="453">
                  <c:v>317.00000008000001</c:v>
                </c:pt>
                <c:pt idx="454">
                  <c:v>318.00000008000001</c:v>
                </c:pt>
                <c:pt idx="455">
                  <c:v>318.00000008000001</c:v>
                </c:pt>
                <c:pt idx="456">
                  <c:v>319.00000008000001</c:v>
                </c:pt>
                <c:pt idx="457">
                  <c:v>320.00000008000001</c:v>
                </c:pt>
                <c:pt idx="458">
                  <c:v>321.00000008000001</c:v>
                </c:pt>
                <c:pt idx="459">
                  <c:v>322.00000008000001</c:v>
                </c:pt>
                <c:pt idx="460">
                  <c:v>323.00000008000001</c:v>
                </c:pt>
                <c:pt idx="461">
                  <c:v>324.00000008000001</c:v>
                </c:pt>
                <c:pt idx="462">
                  <c:v>325.00000008000001</c:v>
                </c:pt>
                <c:pt idx="463">
                  <c:v>326.00000008000001</c:v>
                </c:pt>
                <c:pt idx="464">
                  <c:v>327.00000008000001</c:v>
                </c:pt>
                <c:pt idx="465">
                  <c:v>328.00000008000001</c:v>
                </c:pt>
                <c:pt idx="466">
                  <c:v>329.00000008000001</c:v>
                </c:pt>
                <c:pt idx="467">
                  <c:v>330.00000008000001</c:v>
                </c:pt>
                <c:pt idx="468">
                  <c:v>331.00000008000001</c:v>
                </c:pt>
                <c:pt idx="469">
                  <c:v>332.00000008000001</c:v>
                </c:pt>
                <c:pt idx="470">
                  <c:v>333.00000008000001</c:v>
                </c:pt>
                <c:pt idx="471">
                  <c:v>334.00000008000001</c:v>
                </c:pt>
                <c:pt idx="472">
                  <c:v>334.00000008000001</c:v>
                </c:pt>
                <c:pt idx="473">
                  <c:v>335.00000008000001</c:v>
                </c:pt>
                <c:pt idx="474">
                  <c:v>336.00000008000001</c:v>
                </c:pt>
                <c:pt idx="475">
                  <c:v>337.00000008000001</c:v>
                </c:pt>
                <c:pt idx="476">
                  <c:v>337.00000008000001</c:v>
                </c:pt>
                <c:pt idx="477">
                  <c:v>338.00000008000001</c:v>
                </c:pt>
                <c:pt idx="478">
                  <c:v>338.00000008000001</c:v>
                </c:pt>
                <c:pt idx="479">
                  <c:v>339.00000008000001</c:v>
                </c:pt>
                <c:pt idx="480">
                  <c:v>340.00000008000001</c:v>
                </c:pt>
                <c:pt idx="481">
                  <c:v>340.00000008000001</c:v>
                </c:pt>
                <c:pt idx="482">
                  <c:v>341.00000008000001</c:v>
                </c:pt>
                <c:pt idx="483">
                  <c:v>342.00000008000001</c:v>
                </c:pt>
                <c:pt idx="484">
                  <c:v>342.00000008000001</c:v>
                </c:pt>
                <c:pt idx="485">
                  <c:v>343.00000008000001</c:v>
                </c:pt>
                <c:pt idx="486">
                  <c:v>344.00000008000001</c:v>
                </c:pt>
                <c:pt idx="487">
                  <c:v>345.00000008000001</c:v>
                </c:pt>
                <c:pt idx="488">
                  <c:v>346.00000008000001</c:v>
                </c:pt>
                <c:pt idx="489">
                  <c:v>347.00000008000001</c:v>
                </c:pt>
                <c:pt idx="490">
                  <c:v>348.00000008000001</c:v>
                </c:pt>
                <c:pt idx="491">
                  <c:v>348.00000008000001</c:v>
                </c:pt>
                <c:pt idx="492">
                  <c:v>348.00000008000001</c:v>
                </c:pt>
                <c:pt idx="493">
                  <c:v>349.00000008000001</c:v>
                </c:pt>
                <c:pt idx="494">
                  <c:v>349.00000008000001</c:v>
                </c:pt>
                <c:pt idx="495">
                  <c:v>349.00000008000001</c:v>
                </c:pt>
                <c:pt idx="496">
                  <c:v>350.00000008000001</c:v>
                </c:pt>
                <c:pt idx="497">
                  <c:v>351.00000008000001</c:v>
                </c:pt>
                <c:pt idx="498">
                  <c:v>352.00000008000001</c:v>
                </c:pt>
                <c:pt idx="499">
                  <c:v>353.00000008000001</c:v>
                </c:pt>
                <c:pt idx="500">
                  <c:v>354.00000008000001</c:v>
                </c:pt>
                <c:pt idx="501">
                  <c:v>355.00000008000001</c:v>
                </c:pt>
                <c:pt idx="502">
                  <c:v>355.00000008000001</c:v>
                </c:pt>
                <c:pt idx="503">
                  <c:v>356.00000008000001</c:v>
                </c:pt>
                <c:pt idx="504">
                  <c:v>357.00000008000001</c:v>
                </c:pt>
                <c:pt idx="505">
                  <c:v>357.00000008000001</c:v>
                </c:pt>
                <c:pt idx="506">
                  <c:v>357.00000008000001</c:v>
                </c:pt>
                <c:pt idx="507">
                  <c:v>358.00000008000001</c:v>
                </c:pt>
                <c:pt idx="508">
                  <c:v>358.00000008000001</c:v>
                </c:pt>
                <c:pt idx="509">
                  <c:v>358.00000008000001</c:v>
                </c:pt>
                <c:pt idx="510">
                  <c:v>359.00000008000001</c:v>
                </c:pt>
                <c:pt idx="511">
                  <c:v>359.00000008000001</c:v>
                </c:pt>
                <c:pt idx="512">
                  <c:v>359.00000008000001</c:v>
                </c:pt>
                <c:pt idx="513">
                  <c:v>359.00000008000001</c:v>
                </c:pt>
                <c:pt idx="514">
                  <c:v>360.00000008000001</c:v>
                </c:pt>
                <c:pt idx="515">
                  <c:v>361.00000008000001</c:v>
                </c:pt>
                <c:pt idx="516">
                  <c:v>362.00000008000001</c:v>
                </c:pt>
                <c:pt idx="517">
                  <c:v>363.00000008000001</c:v>
                </c:pt>
                <c:pt idx="518">
                  <c:v>364.00000008000001</c:v>
                </c:pt>
                <c:pt idx="519">
                  <c:v>365.00000008000001</c:v>
                </c:pt>
                <c:pt idx="520">
                  <c:v>365.00000008000001</c:v>
                </c:pt>
                <c:pt idx="521">
                  <c:v>365.00000008000001</c:v>
                </c:pt>
                <c:pt idx="522">
                  <c:v>365.00000008000001</c:v>
                </c:pt>
                <c:pt idx="523">
                  <c:v>365.00000008000001</c:v>
                </c:pt>
                <c:pt idx="524">
                  <c:v>366.00000008000001</c:v>
                </c:pt>
                <c:pt idx="525">
                  <c:v>366.00000008000001</c:v>
                </c:pt>
                <c:pt idx="526">
                  <c:v>366.00000008000001</c:v>
                </c:pt>
                <c:pt idx="527">
                  <c:v>367.00000008000001</c:v>
                </c:pt>
                <c:pt idx="528">
                  <c:v>368.00000008000001</c:v>
                </c:pt>
                <c:pt idx="529">
                  <c:v>369.00000008000001</c:v>
                </c:pt>
                <c:pt idx="530">
                  <c:v>370.00000008000001</c:v>
                </c:pt>
                <c:pt idx="531">
                  <c:v>371.00000008000001</c:v>
                </c:pt>
              </c:numCache>
            </c:numRef>
          </c:val>
          <c:smooth val="0"/>
          <c:extLst>
            <c:ext xmlns:c16="http://schemas.microsoft.com/office/drawing/2014/chart" uri="{C3380CC4-5D6E-409C-BE32-E72D297353CC}">
              <c16:uniqueId val="{00000000-E375-4AF9-BB6A-A3C2377400CB}"/>
            </c:ext>
          </c:extLst>
        </c:ser>
        <c:ser>
          <c:idx val="1"/>
          <c:order val="1"/>
          <c:tx>
            <c:strRef>
              <c:f>Participation!$M$1</c:f>
              <c:strCache>
                <c:ptCount val="1"/>
                <c:pt idx="0">
                  <c:v>CBO</c:v>
                </c:pt>
              </c:strCache>
            </c:strRef>
          </c:tx>
          <c:spPr>
            <a:ln w="28575" cap="rnd">
              <a:solidFill>
                <a:schemeClr val="accent2"/>
              </a:solidFill>
              <a:round/>
            </a:ln>
            <a:effectLst/>
          </c:spPr>
          <c:marker>
            <c:symbol val="none"/>
          </c:marker>
          <c:cat>
            <c:numRef>
              <c:f>Participation!$K$2:$K$533</c:f>
              <c:numCache>
                <c:formatCode>m/d/yyyy</c:formatCode>
                <c:ptCount val="532"/>
                <c:pt idx="0">
                  <c:v>42475</c:v>
                </c:pt>
                <c:pt idx="1">
                  <c:v>42482</c:v>
                </c:pt>
                <c:pt idx="2">
                  <c:v>42489</c:v>
                </c:pt>
                <c:pt idx="3">
                  <c:v>42496</c:v>
                </c:pt>
                <c:pt idx="4">
                  <c:v>42503</c:v>
                </c:pt>
                <c:pt idx="5">
                  <c:v>42510</c:v>
                </c:pt>
                <c:pt idx="6">
                  <c:v>42517</c:v>
                </c:pt>
                <c:pt idx="7">
                  <c:v>42524</c:v>
                </c:pt>
                <c:pt idx="8">
                  <c:v>42531</c:v>
                </c:pt>
                <c:pt idx="9">
                  <c:v>42538</c:v>
                </c:pt>
                <c:pt idx="10">
                  <c:v>42545</c:v>
                </c:pt>
                <c:pt idx="11">
                  <c:v>42552</c:v>
                </c:pt>
                <c:pt idx="12">
                  <c:v>42559</c:v>
                </c:pt>
                <c:pt idx="13">
                  <c:v>42566</c:v>
                </c:pt>
                <c:pt idx="14">
                  <c:v>42573</c:v>
                </c:pt>
                <c:pt idx="15">
                  <c:v>42580</c:v>
                </c:pt>
                <c:pt idx="16">
                  <c:v>42587</c:v>
                </c:pt>
                <c:pt idx="17">
                  <c:v>42594</c:v>
                </c:pt>
                <c:pt idx="18">
                  <c:v>42601</c:v>
                </c:pt>
                <c:pt idx="19">
                  <c:v>42608</c:v>
                </c:pt>
                <c:pt idx="20">
                  <c:v>42615</c:v>
                </c:pt>
                <c:pt idx="21">
                  <c:v>42622</c:v>
                </c:pt>
                <c:pt idx="22">
                  <c:v>42629</c:v>
                </c:pt>
                <c:pt idx="23">
                  <c:v>42636</c:v>
                </c:pt>
                <c:pt idx="24">
                  <c:v>42643</c:v>
                </c:pt>
                <c:pt idx="25">
                  <c:v>42650</c:v>
                </c:pt>
                <c:pt idx="26">
                  <c:v>42657</c:v>
                </c:pt>
                <c:pt idx="27">
                  <c:v>42664</c:v>
                </c:pt>
                <c:pt idx="28">
                  <c:v>42671</c:v>
                </c:pt>
                <c:pt idx="29">
                  <c:v>42678</c:v>
                </c:pt>
                <c:pt idx="30">
                  <c:v>42685</c:v>
                </c:pt>
                <c:pt idx="31">
                  <c:v>42692</c:v>
                </c:pt>
                <c:pt idx="32">
                  <c:v>42699</c:v>
                </c:pt>
                <c:pt idx="33">
                  <c:v>42706</c:v>
                </c:pt>
                <c:pt idx="34">
                  <c:v>42713</c:v>
                </c:pt>
                <c:pt idx="35">
                  <c:v>42720</c:v>
                </c:pt>
                <c:pt idx="36">
                  <c:v>42727</c:v>
                </c:pt>
                <c:pt idx="37">
                  <c:v>42734</c:v>
                </c:pt>
                <c:pt idx="38">
                  <c:v>42741</c:v>
                </c:pt>
                <c:pt idx="39">
                  <c:v>42748</c:v>
                </c:pt>
                <c:pt idx="40">
                  <c:v>42755</c:v>
                </c:pt>
                <c:pt idx="41">
                  <c:v>42762</c:v>
                </c:pt>
                <c:pt idx="42">
                  <c:v>42769</c:v>
                </c:pt>
                <c:pt idx="43">
                  <c:v>42776</c:v>
                </c:pt>
                <c:pt idx="44">
                  <c:v>42783</c:v>
                </c:pt>
                <c:pt idx="45">
                  <c:v>42790</c:v>
                </c:pt>
                <c:pt idx="46">
                  <c:v>42797</c:v>
                </c:pt>
                <c:pt idx="47">
                  <c:v>42804</c:v>
                </c:pt>
                <c:pt idx="48">
                  <c:v>42811</c:v>
                </c:pt>
                <c:pt idx="49">
                  <c:v>42818</c:v>
                </c:pt>
                <c:pt idx="50">
                  <c:v>42825</c:v>
                </c:pt>
                <c:pt idx="51">
                  <c:v>42832</c:v>
                </c:pt>
                <c:pt idx="52">
                  <c:v>42846</c:v>
                </c:pt>
                <c:pt idx="53">
                  <c:v>42853</c:v>
                </c:pt>
                <c:pt idx="54">
                  <c:v>42860</c:v>
                </c:pt>
                <c:pt idx="55">
                  <c:v>42867</c:v>
                </c:pt>
                <c:pt idx="56">
                  <c:v>42874</c:v>
                </c:pt>
                <c:pt idx="57">
                  <c:v>42881</c:v>
                </c:pt>
                <c:pt idx="58">
                  <c:v>42888</c:v>
                </c:pt>
                <c:pt idx="59">
                  <c:v>42895</c:v>
                </c:pt>
                <c:pt idx="60">
                  <c:v>42902</c:v>
                </c:pt>
                <c:pt idx="61">
                  <c:v>42909</c:v>
                </c:pt>
                <c:pt idx="62">
                  <c:v>42916</c:v>
                </c:pt>
                <c:pt idx="63">
                  <c:v>42923</c:v>
                </c:pt>
                <c:pt idx="64">
                  <c:v>42930</c:v>
                </c:pt>
                <c:pt idx="65">
                  <c:v>42937</c:v>
                </c:pt>
                <c:pt idx="66">
                  <c:v>42944</c:v>
                </c:pt>
                <c:pt idx="67">
                  <c:v>42951</c:v>
                </c:pt>
                <c:pt idx="68">
                  <c:v>42958</c:v>
                </c:pt>
                <c:pt idx="69">
                  <c:v>42965</c:v>
                </c:pt>
                <c:pt idx="70">
                  <c:v>42972</c:v>
                </c:pt>
                <c:pt idx="71">
                  <c:v>42979</c:v>
                </c:pt>
                <c:pt idx="72">
                  <c:v>42986</c:v>
                </c:pt>
                <c:pt idx="73">
                  <c:v>42993</c:v>
                </c:pt>
                <c:pt idx="74">
                  <c:v>43000</c:v>
                </c:pt>
                <c:pt idx="75">
                  <c:v>43007</c:v>
                </c:pt>
                <c:pt idx="76">
                  <c:v>43014</c:v>
                </c:pt>
                <c:pt idx="77">
                  <c:v>43021</c:v>
                </c:pt>
                <c:pt idx="78">
                  <c:v>43028</c:v>
                </c:pt>
                <c:pt idx="79">
                  <c:v>43035</c:v>
                </c:pt>
                <c:pt idx="80">
                  <c:v>43042</c:v>
                </c:pt>
                <c:pt idx="81">
                  <c:v>43049</c:v>
                </c:pt>
                <c:pt idx="82">
                  <c:v>43056</c:v>
                </c:pt>
                <c:pt idx="83">
                  <c:v>43063</c:v>
                </c:pt>
                <c:pt idx="84">
                  <c:v>43070</c:v>
                </c:pt>
                <c:pt idx="85">
                  <c:v>43077</c:v>
                </c:pt>
                <c:pt idx="86">
                  <c:v>43084</c:v>
                </c:pt>
                <c:pt idx="87">
                  <c:v>43091</c:v>
                </c:pt>
                <c:pt idx="88">
                  <c:v>43098</c:v>
                </c:pt>
                <c:pt idx="89">
                  <c:v>43105</c:v>
                </c:pt>
                <c:pt idx="90">
                  <c:v>43112</c:v>
                </c:pt>
                <c:pt idx="91">
                  <c:v>43119</c:v>
                </c:pt>
                <c:pt idx="92">
                  <c:v>43126</c:v>
                </c:pt>
                <c:pt idx="93">
                  <c:v>43133</c:v>
                </c:pt>
                <c:pt idx="94">
                  <c:v>43140</c:v>
                </c:pt>
                <c:pt idx="95">
                  <c:v>43147</c:v>
                </c:pt>
                <c:pt idx="96">
                  <c:v>43154</c:v>
                </c:pt>
                <c:pt idx="97">
                  <c:v>43161</c:v>
                </c:pt>
                <c:pt idx="98">
                  <c:v>43168</c:v>
                </c:pt>
                <c:pt idx="99">
                  <c:v>43175</c:v>
                </c:pt>
                <c:pt idx="100">
                  <c:v>43182</c:v>
                </c:pt>
                <c:pt idx="101">
                  <c:v>43196</c:v>
                </c:pt>
                <c:pt idx="102">
                  <c:v>43203</c:v>
                </c:pt>
                <c:pt idx="103">
                  <c:v>43210</c:v>
                </c:pt>
                <c:pt idx="104">
                  <c:v>43217</c:v>
                </c:pt>
                <c:pt idx="105">
                  <c:v>43224</c:v>
                </c:pt>
                <c:pt idx="106">
                  <c:v>43231</c:v>
                </c:pt>
                <c:pt idx="107">
                  <c:v>43238</c:v>
                </c:pt>
                <c:pt idx="108">
                  <c:v>43245</c:v>
                </c:pt>
                <c:pt idx="109">
                  <c:v>43252</c:v>
                </c:pt>
                <c:pt idx="110">
                  <c:v>43259</c:v>
                </c:pt>
                <c:pt idx="111">
                  <c:v>43266</c:v>
                </c:pt>
                <c:pt idx="112">
                  <c:v>43273</c:v>
                </c:pt>
                <c:pt idx="113">
                  <c:v>43280</c:v>
                </c:pt>
                <c:pt idx="114">
                  <c:v>43287</c:v>
                </c:pt>
                <c:pt idx="115">
                  <c:v>43294</c:v>
                </c:pt>
                <c:pt idx="116">
                  <c:v>43301</c:v>
                </c:pt>
                <c:pt idx="117">
                  <c:v>43308</c:v>
                </c:pt>
                <c:pt idx="118">
                  <c:v>43315</c:v>
                </c:pt>
                <c:pt idx="119">
                  <c:v>43322</c:v>
                </c:pt>
                <c:pt idx="120">
                  <c:v>43329</c:v>
                </c:pt>
                <c:pt idx="121">
                  <c:v>43336</c:v>
                </c:pt>
                <c:pt idx="122">
                  <c:v>43343</c:v>
                </c:pt>
                <c:pt idx="123">
                  <c:v>43350</c:v>
                </c:pt>
                <c:pt idx="124">
                  <c:v>43357</c:v>
                </c:pt>
                <c:pt idx="125">
                  <c:v>43364</c:v>
                </c:pt>
                <c:pt idx="126">
                  <c:v>43371</c:v>
                </c:pt>
                <c:pt idx="127">
                  <c:v>43378</c:v>
                </c:pt>
                <c:pt idx="128">
                  <c:v>43385</c:v>
                </c:pt>
                <c:pt idx="129">
                  <c:v>43392</c:v>
                </c:pt>
                <c:pt idx="130">
                  <c:v>43399</c:v>
                </c:pt>
                <c:pt idx="131">
                  <c:v>43406</c:v>
                </c:pt>
                <c:pt idx="132">
                  <c:v>43413</c:v>
                </c:pt>
                <c:pt idx="133">
                  <c:v>43420</c:v>
                </c:pt>
                <c:pt idx="134">
                  <c:v>43427</c:v>
                </c:pt>
                <c:pt idx="135">
                  <c:v>43434</c:v>
                </c:pt>
                <c:pt idx="136">
                  <c:v>43441</c:v>
                </c:pt>
                <c:pt idx="137">
                  <c:v>43448</c:v>
                </c:pt>
                <c:pt idx="138">
                  <c:v>43455</c:v>
                </c:pt>
                <c:pt idx="139">
                  <c:v>43462</c:v>
                </c:pt>
                <c:pt idx="140">
                  <c:v>43469</c:v>
                </c:pt>
                <c:pt idx="141">
                  <c:v>43476</c:v>
                </c:pt>
                <c:pt idx="142">
                  <c:v>43483</c:v>
                </c:pt>
                <c:pt idx="143">
                  <c:v>43490</c:v>
                </c:pt>
                <c:pt idx="144">
                  <c:v>43497</c:v>
                </c:pt>
                <c:pt idx="145">
                  <c:v>43504</c:v>
                </c:pt>
                <c:pt idx="146">
                  <c:v>43511</c:v>
                </c:pt>
                <c:pt idx="147">
                  <c:v>43518</c:v>
                </c:pt>
                <c:pt idx="148">
                  <c:v>43525</c:v>
                </c:pt>
                <c:pt idx="149">
                  <c:v>43532</c:v>
                </c:pt>
                <c:pt idx="150">
                  <c:v>43539</c:v>
                </c:pt>
                <c:pt idx="151">
                  <c:v>43546</c:v>
                </c:pt>
                <c:pt idx="152">
                  <c:v>43553</c:v>
                </c:pt>
                <c:pt idx="153">
                  <c:v>43560</c:v>
                </c:pt>
                <c:pt idx="154">
                  <c:v>43567</c:v>
                </c:pt>
                <c:pt idx="155">
                  <c:v>43581</c:v>
                </c:pt>
                <c:pt idx="156">
                  <c:v>43588</c:v>
                </c:pt>
                <c:pt idx="157">
                  <c:v>43595</c:v>
                </c:pt>
                <c:pt idx="158">
                  <c:v>43602</c:v>
                </c:pt>
                <c:pt idx="159">
                  <c:v>43609</c:v>
                </c:pt>
                <c:pt idx="160">
                  <c:v>43616</c:v>
                </c:pt>
                <c:pt idx="161">
                  <c:v>43623</c:v>
                </c:pt>
                <c:pt idx="162">
                  <c:v>43630</c:v>
                </c:pt>
                <c:pt idx="163">
                  <c:v>43637</c:v>
                </c:pt>
                <c:pt idx="164">
                  <c:v>43644</c:v>
                </c:pt>
                <c:pt idx="165">
                  <c:v>43651</c:v>
                </c:pt>
                <c:pt idx="166">
                  <c:v>43658</c:v>
                </c:pt>
                <c:pt idx="167">
                  <c:v>43665</c:v>
                </c:pt>
                <c:pt idx="168">
                  <c:v>43672</c:v>
                </c:pt>
                <c:pt idx="169">
                  <c:v>43679</c:v>
                </c:pt>
                <c:pt idx="170">
                  <c:v>43686</c:v>
                </c:pt>
                <c:pt idx="171">
                  <c:v>43693</c:v>
                </c:pt>
                <c:pt idx="172">
                  <c:v>43700</c:v>
                </c:pt>
                <c:pt idx="173">
                  <c:v>43707</c:v>
                </c:pt>
                <c:pt idx="174">
                  <c:v>43714</c:v>
                </c:pt>
                <c:pt idx="175">
                  <c:v>43721</c:v>
                </c:pt>
                <c:pt idx="176">
                  <c:v>43728</c:v>
                </c:pt>
                <c:pt idx="177">
                  <c:v>43735</c:v>
                </c:pt>
                <c:pt idx="178">
                  <c:v>43742</c:v>
                </c:pt>
                <c:pt idx="179">
                  <c:v>43749</c:v>
                </c:pt>
                <c:pt idx="180">
                  <c:v>43756</c:v>
                </c:pt>
                <c:pt idx="181">
                  <c:v>43763</c:v>
                </c:pt>
                <c:pt idx="182">
                  <c:v>43770</c:v>
                </c:pt>
                <c:pt idx="183">
                  <c:v>43777</c:v>
                </c:pt>
                <c:pt idx="184">
                  <c:v>43784</c:v>
                </c:pt>
                <c:pt idx="185">
                  <c:v>43791</c:v>
                </c:pt>
                <c:pt idx="186">
                  <c:v>43798</c:v>
                </c:pt>
                <c:pt idx="187">
                  <c:v>43805</c:v>
                </c:pt>
                <c:pt idx="188">
                  <c:v>43812</c:v>
                </c:pt>
                <c:pt idx="189">
                  <c:v>43819</c:v>
                </c:pt>
                <c:pt idx="190">
                  <c:v>43826</c:v>
                </c:pt>
                <c:pt idx="191">
                  <c:v>43833</c:v>
                </c:pt>
                <c:pt idx="192">
                  <c:v>43840</c:v>
                </c:pt>
                <c:pt idx="193">
                  <c:v>43854</c:v>
                </c:pt>
                <c:pt idx="194">
                  <c:v>43861</c:v>
                </c:pt>
                <c:pt idx="195">
                  <c:v>43868</c:v>
                </c:pt>
                <c:pt idx="196">
                  <c:v>43875</c:v>
                </c:pt>
                <c:pt idx="197">
                  <c:v>43882</c:v>
                </c:pt>
                <c:pt idx="198">
                  <c:v>43889</c:v>
                </c:pt>
                <c:pt idx="199">
                  <c:v>43896</c:v>
                </c:pt>
                <c:pt idx="200">
                  <c:v>43903</c:v>
                </c:pt>
                <c:pt idx="201">
                  <c:v>43910</c:v>
                </c:pt>
                <c:pt idx="202">
                  <c:v>43917</c:v>
                </c:pt>
                <c:pt idx="203">
                  <c:v>43924</c:v>
                </c:pt>
                <c:pt idx="204">
                  <c:v>43938</c:v>
                </c:pt>
                <c:pt idx="205">
                  <c:v>43945</c:v>
                </c:pt>
                <c:pt idx="206">
                  <c:v>43952</c:v>
                </c:pt>
                <c:pt idx="207">
                  <c:v>43959</c:v>
                </c:pt>
                <c:pt idx="208">
                  <c:v>43966</c:v>
                </c:pt>
                <c:pt idx="209">
                  <c:v>43973</c:v>
                </c:pt>
                <c:pt idx="210">
                  <c:v>43980</c:v>
                </c:pt>
                <c:pt idx="211">
                  <c:v>43987</c:v>
                </c:pt>
                <c:pt idx="212">
                  <c:v>43994</c:v>
                </c:pt>
                <c:pt idx="213">
                  <c:v>44001</c:v>
                </c:pt>
                <c:pt idx="214">
                  <c:v>44008</c:v>
                </c:pt>
                <c:pt idx="215">
                  <c:v>44015</c:v>
                </c:pt>
                <c:pt idx="216">
                  <c:v>44022</c:v>
                </c:pt>
                <c:pt idx="217">
                  <c:v>44029</c:v>
                </c:pt>
                <c:pt idx="218">
                  <c:v>44036</c:v>
                </c:pt>
                <c:pt idx="219">
                  <c:v>44043</c:v>
                </c:pt>
                <c:pt idx="220">
                  <c:v>44050</c:v>
                </c:pt>
                <c:pt idx="221">
                  <c:v>44057</c:v>
                </c:pt>
                <c:pt idx="222">
                  <c:v>44064</c:v>
                </c:pt>
                <c:pt idx="223">
                  <c:v>44071</c:v>
                </c:pt>
                <c:pt idx="224">
                  <c:v>44078</c:v>
                </c:pt>
                <c:pt idx="225">
                  <c:v>44085</c:v>
                </c:pt>
                <c:pt idx="226">
                  <c:v>44092</c:v>
                </c:pt>
                <c:pt idx="227">
                  <c:v>44099</c:v>
                </c:pt>
                <c:pt idx="228">
                  <c:v>44106</c:v>
                </c:pt>
                <c:pt idx="229">
                  <c:v>44113</c:v>
                </c:pt>
                <c:pt idx="230">
                  <c:v>44120</c:v>
                </c:pt>
                <c:pt idx="231">
                  <c:v>44127</c:v>
                </c:pt>
                <c:pt idx="232">
                  <c:v>44134</c:v>
                </c:pt>
                <c:pt idx="233">
                  <c:v>44141</c:v>
                </c:pt>
                <c:pt idx="234">
                  <c:v>44148</c:v>
                </c:pt>
                <c:pt idx="235">
                  <c:v>44155</c:v>
                </c:pt>
                <c:pt idx="236">
                  <c:v>44162</c:v>
                </c:pt>
                <c:pt idx="237">
                  <c:v>44169</c:v>
                </c:pt>
                <c:pt idx="238">
                  <c:v>44176</c:v>
                </c:pt>
                <c:pt idx="239">
                  <c:v>44183</c:v>
                </c:pt>
                <c:pt idx="240">
                  <c:v>44204</c:v>
                </c:pt>
                <c:pt idx="241">
                  <c:v>44211</c:v>
                </c:pt>
                <c:pt idx="242">
                  <c:v>44218</c:v>
                </c:pt>
                <c:pt idx="243">
                  <c:v>44225</c:v>
                </c:pt>
                <c:pt idx="244">
                  <c:v>44232</c:v>
                </c:pt>
                <c:pt idx="245">
                  <c:v>44239</c:v>
                </c:pt>
                <c:pt idx="246">
                  <c:v>44246</c:v>
                </c:pt>
                <c:pt idx="247">
                  <c:v>44253</c:v>
                </c:pt>
                <c:pt idx="248">
                  <c:v>44260</c:v>
                </c:pt>
                <c:pt idx="249">
                  <c:v>44267</c:v>
                </c:pt>
                <c:pt idx="250">
                  <c:v>44274</c:v>
                </c:pt>
                <c:pt idx="251">
                  <c:v>44281</c:v>
                </c:pt>
                <c:pt idx="252">
                  <c:v>44295</c:v>
                </c:pt>
                <c:pt idx="253">
                  <c:v>44302</c:v>
                </c:pt>
                <c:pt idx="254">
                  <c:v>44309</c:v>
                </c:pt>
                <c:pt idx="255">
                  <c:v>44316</c:v>
                </c:pt>
                <c:pt idx="256">
                  <c:v>44323</c:v>
                </c:pt>
                <c:pt idx="257">
                  <c:v>44330</c:v>
                </c:pt>
                <c:pt idx="258">
                  <c:v>44337</c:v>
                </c:pt>
                <c:pt idx="259">
                  <c:v>44344</c:v>
                </c:pt>
                <c:pt idx="260">
                  <c:v>44351</c:v>
                </c:pt>
                <c:pt idx="261">
                  <c:v>44358</c:v>
                </c:pt>
                <c:pt idx="262">
                  <c:v>44365</c:v>
                </c:pt>
                <c:pt idx="263">
                  <c:v>44372</c:v>
                </c:pt>
                <c:pt idx="264">
                  <c:v>44379</c:v>
                </c:pt>
                <c:pt idx="265">
                  <c:v>44386</c:v>
                </c:pt>
                <c:pt idx="266">
                  <c:v>44393</c:v>
                </c:pt>
                <c:pt idx="267">
                  <c:v>44400</c:v>
                </c:pt>
                <c:pt idx="268">
                  <c:v>44407</c:v>
                </c:pt>
                <c:pt idx="269">
                  <c:v>44414</c:v>
                </c:pt>
                <c:pt idx="270">
                  <c:v>44421</c:v>
                </c:pt>
                <c:pt idx="271">
                  <c:v>44428</c:v>
                </c:pt>
                <c:pt idx="272">
                  <c:v>44435</c:v>
                </c:pt>
                <c:pt idx="273">
                  <c:v>44442</c:v>
                </c:pt>
                <c:pt idx="274">
                  <c:v>44449</c:v>
                </c:pt>
                <c:pt idx="275">
                  <c:v>44456</c:v>
                </c:pt>
                <c:pt idx="276">
                  <c:v>44463</c:v>
                </c:pt>
                <c:pt idx="277">
                  <c:v>44470</c:v>
                </c:pt>
                <c:pt idx="278">
                  <c:v>44477</c:v>
                </c:pt>
                <c:pt idx="279">
                  <c:v>44484</c:v>
                </c:pt>
                <c:pt idx="280">
                  <c:v>44491</c:v>
                </c:pt>
                <c:pt idx="281">
                  <c:v>44498</c:v>
                </c:pt>
                <c:pt idx="282">
                  <c:v>44505</c:v>
                </c:pt>
                <c:pt idx="283">
                  <c:v>44512</c:v>
                </c:pt>
                <c:pt idx="284">
                  <c:v>44519</c:v>
                </c:pt>
                <c:pt idx="285">
                  <c:v>44526</c:v>
                </c:pt>
                <c:pt idx="286">
                  <c:v>44533</c:v>
                </c:pt>
                <c:pt idx="287">
                  <c:v>44540</c:v>
                </c:pt>
                <c:pt idx="288">
                  <c:v>44547</c:v>
                </c:pt>
                <c:pt idx="289">
                  <c:v>44554</c:v>
                </c:pt>
                <c:pt idx="290">
                  <c:v>44561</c:v>
                </c:pt>
                <c:pt idx="291">
                  <c:v>44568</c:v>
                </c:pt>
                <c:pt idx="292">
                  <c:v>44575</c:v>
                </c:pt>
                <c:pt idx="293">
                  <c:v>44582</c:v>
                </c:pt>
                <c:pt idx="294">
                  <c:v>44589</c:v>
                </c:pt>
                <c:pt idx="295">
                  <c:v>44596</c:v>
                </c:pt>
                <c:pt idx="296">
                  <c:v>44603</c:v>
                </c:pt>
                <c:pt idx="297">
                  <c:v>44610</c:v>
                </c:pt>
                <c:pt idx="298">
                  <c:v>44617</c:v>
                </c:pt>
                <c:pt idx="299">
                  <c:v>44624</c:v>
                </c:pt>
                <c:pt idx="300">
                  <c:v>44631</c:v>
                </c:pt>
                <c:pt idx="301">
                  <c:v>44638</c:v>
                </c:pt>
                <c:pt idx="302">
                  <c:v>44645</c:v>
                </c:pt>
                <c:pt idx="303">
                  <c:v>44652</c:v>
                </c:pt>
                <c:pt idx="304">
                  <c:v>44659</c:v>
                </c:pt>
                <c:pt idx="305">
                  <c:v>44673</c:v>
                </c:pt>
                <c:pt idx="306">
                  <c:v>44680</c:v>
                </c:pt>
                <c:pt idx="307">
                  <c:v>44687</c:v>
                </c:pt>
                <c:pt idx="308">
                  <c:v>44694</c:v>
                </c:pt>
                <c:pt idx="309">
                  <c:v>44701</c:v>
                </c:pt>
                <c:pt idx="310">
                  <c:v>44708</c:v>
                </c:pt>
                <c:pt idx="311">
                  <c:v>44715</c:v>
                </c:pt>
                <c:pt idx="312">
                  <c:v>44722</c:v>
                </c:pt>
                <c:pt idx="313">
                  <c:v>44729</c:v>
                </c:pt>
                <c:pt idx="314">
                  <c:v>44736</c:v>
                </c:pt>
                <c:pt idx="315">
                  <c:v>44743</c:v>
                </c:pt>
                <c:pt idx="316">
                  <c:v>44750</c:v>
                </c:pt>
                <c:pt idx="317">
                  <c:v>44757</c:v>
                </c:pt>
                <c:pt idx="318">
                  <c:v>44764</c:v>
                </c:pt>
                <c:pt idx="319">
                  <c:v>44771</c:v>
                </c:pt>
                <c:pt idx="320">
                  <c:v>44778</c:v>
                </c:pt>
                <c:pt idx="321">
                  <c:v>44785</c:v>
                </c:pt>
                <c:pt idx="322">
                  <c:v>44792</c:v>
                </c:pt>
                <c:pt idx="323">
                  <c:v>44799</c:v>
                </c:pt>
                <c:pt idx="324">
                  <c:v>44806</c:v>
                </c:pt>
                <c:pt idx="325">
                  <c:v>44813</c:v>
                </c:pt>
                <c:pt idx="326">
                  <c:v>44820</c:v>
                </c:pt>
                <c:pt idx="327">
                  <c:v>44827</c:v>
                </c:pt>
                <c:pt idx="328">
                  <c:v>44834</c:v>
                </c:pt>
                <c:pt idx="329">
                  <c:v>44841</c:v>
                </c:pt>
                <c:pt idx="330">
                  <c:v>44848</c:v>
                </c:pt>
                <c:pt idx="331">
                  <c:v>44855</c:v>
                </c:pt>
                <c:pt idx="332">
                  <c:v>44862</c:v>
                </c:pt>
                <c:pt idx="333">
                  <c:v>44869</c:v>
                </c:pt>
                <c:pt idx="334">
                  <c:v>44876</c:v>
                </c:pt>
                <c:pt idx="335">
                  <c:v>44883</c:v>
                </c:pt>
                <c:pt idx="336">
                  <c:v>44890</c:v>
                </c:pt>
                <c:pt idx="337">
                  <c:v>44897</c:v>
                </c:pt>
                <c:pt idx="338">
                  <c:v>44904</c:v>
                </c:pt>
                <c:pt idx="339">
                  <c:v>44911</c:v>
                </c:pt>
                <c:pt idx="340">
                  <c:v>44918</c:v>
                </c:pt>
                <c:pt idx="341">
                  <c:v>44925</c:v>
                </c:pt>
                <c:pt idx="342">
                  <c:v>44932</c:v>
                </c:pt>
                <c:pt idx="343">
                  <c:v>44939</c:v>
                </c:pt>
                <c:pt idx="344">
                  <c:v>44946</c:v>
                </c:pt>
                <c:pt idx="345">
                  <c:v>44953</c:v>
                </c:pt>
                <c:pt idx="346">
                  <c:v>44960</c:v>
                </c:pt>
                <c:pt idx="347">
                  <c:v>44967</c:v>
                </c:pt>
                <c:pt idx="348">
                  <c:v>44974</c:v>
                </c:pt>
                <c:pt idx="349">
                  <c:v>44981</c:v>
                </c:pt>
                <c:pt idx="350">
                  <c:v>44988</c:v>
                </c:pt>
                <c:pt idx="351">
                  <c:v>44995</c:v>
                </c:pt>
                <c:pt idx="352">
                  <c:v>45002</c:v>
                </c:pt>
                <c:pt idx="353">
                  <c:v>45009</c:v>
                </c:pt>
                <c:pt idx="354">
                  <c:v>45016</c:v>
                </c:pt>
                <c:pt idx="355">
                  <c:v>45030</c:v>
                </c:pt>
                <c:pt idx="356">
                  <c:v>45037</c:v>
                </c:pt>
                <c:pt idx="357">
                  <c:v>45044</c:v>
                </c:pt>
                <c:pt idx="358">
                  <c:v>45051</c:v>
                </c:pt>
                <c:pt idx="359">
                  <c:v>45058</c:v>
                </c:pt>
                <c:pt idx="360">
                  <c:v>45065</c:v>
                </c:pt>
                <c:pt idx="361">
                  <c:v>45072</c:v>
                </c:pt>
                <c:pt idx="362">
                  <c:v>45079</c:v>
                </c:pt>
                <c:pt idx="363">
                  <c:v>45086</c:v>
                </c:pt>
                <c:pt idx="364">
                  <c:v>45093</c:v>
                </c:pt>
                <c:pt idx="365">
                  <c:v>45100</c:v>
                </c:pt>
                <c:pt idx="366">
                  <c:v>45107</c:v>
                </c:pt>
                <c:pt idx="367">
                  <c:v>45114</c:v>
                </c:pt>
                <c:pt idx="368">
                  <c:v>45121</c:v>
                </c:pt>
                <c:pt idx="369">
                  <c:v>45128</c:v>
                </c:pt>
                <c:pt idx="370">
                  <c:v>45135</c:v>
                </c:pt>
                <c:pt idx="371">
                  <c:v>45142</c:v>
                </c:pt>
                <c:pt idx="372">
                  <c:v>45149</c:v>
                </c:pt>
                <c:pt idx="373">
                  <c:v>45163</c:v>
                </c:pt>
                <c:pt idx="374">
                  <c:v>45170</c:v>
                </c:pt>
                <c:pt idx="375">
                  <c:v>45177</c:v>
                </c:pt>
                <c:pt idx="376">
                  <c:v>45184</c:v>
                </c:pt>
                <c:pt idx="377">
                  <c:v>45191</c:v>
                </c:pt>
                <c:pt idx="378">
                  <c:v>45198</c:v>
                </c:pt>
                <c:pt idx="379">
                  <c:v>45205</c:v>
                </c:pt>
                <c:pt idx="380">
                  <c:v>45212</c:v>
                </c:pt>
                <c:pt idx="381">
                  <c:v>45219</c:v>
                </c:pt>
                <c:pt idx="382">
                  <c:v>45226</c:v>
                </c:pt>
                <c:pt idx="383">
                  <c:v>45233</c:v>
                </c:pt>
                <c:pt idx="384">
                  <c:v>45240</c:v>
                </c:pt>
                <c:pt idx="385">
                  <c:v>45247</c:v>
                </c:pt>
                <c:pt idx="386">
                  <c:v>45254</c:v>
                </c:pt>
                <c:pt idx="387">
                  <c:v>45261</c:v>
                </c:pt>
                <c:pt idx="388">
                  <c:v>45268</c:v>
                </c:pt>
                <c:pt idx="389">
                  <c:v>45275</c:v>
                </c:pt>
                <c:pt idx="390">
                  <c:v>45282</c:v>
                </c:pt>
                <c:pt idx="391">
                  <c:v>45289</c:v>
                </c:pt>
                <c:pt idx="392">
                  <c:v>45296</c:v>
                </c:pt>
                <c:pt idx="393">
                  <c:v>45303</c:v>
                </c:pt>
                <c:pt idx="394">
                  <c:v>45310</c:v>
                </c:pt>
                <c:pt idx="395">
                  <c:v>45317</c:v>
                </c:pt>
                <c:pt idx="396">
                  <c:v>45324</c:v>
                </c:pt>
                <c:pt idx="397">
                  <c:v>45331</c:v>
                </c:pt>
                <c:pt idx="398">
                  <c:v>45338</c:v>
                </c:pt>
                <c:pt idx="399">
                  <c:v>45345</c:v>
                </c:pt>
                <c:pt idx="400">
                  <c:v>45352</c:v>
                </c:pt>
                <c:pt idx="401">
                  <c:v>45359</c:v>
                </c:pt>
                <c:pt idx="402">
                  <c:v>45366</c:v>
                </c:pt>
                <c:pt idx="403">
                  <c:v>45373</c:v>
                </c:pt>
                <c:pt idx="404">
                  <c:v>45387</c:v>
                </c:pt>
                <c:pt idx="405">
                  <c:v>45394</c:v>
                </c:pt>
                <c:pt idx="406">
                  <c:v>45401</c:v>
                </c:pt>
                <c:pt idx="407">
                  <c:v>45408</c:v>
                </c:pt>
                <c:pt idx="408">
                  <c:v>45415</c:v>
                </c:pt>
                <c:pt idx="409">
                  <c:v>45422</c:v>
                </c:pt>
                <c:pt idx="410">
                  <c:v>45429</c:v>
                </c:pt>
                <c:pt idx="411">
                  <c:v>45436</c:v>
                </c:pt>
                <c:pt idx="412">
                  <c:v>45443</c:v>
                </c:pt>
                <c:pt idx="413">
                  <c:v>45450</c:v>
                </c:pt>
                <c:pt idx="414">
                  <c:v>45457</c:v>
                </c:pt>
                <c:pt idx="415">
                  <c:v>45464</c:v>
                </c:pt>
                <c:pt idx="416">
                  <c:v>45471</c:v>
                </c:pt>
                <c:pt idx="417">
                  <c:v>45478</c:v>
                </c:pt>
                <c:pt idx="418">
                  <c:v>45485</c:v>
                </c:pt>
                <c:pt idx="419">
                  <c:v>45492</c:v>
                </c:pt>
                <c:pt idx="420">
                  <c:v>45499</c:v>
                </c:pt>
                <c:pt idx="421">
                  <c:v>45506</c:v>
                </c:pt>
                <c:pt idx="422">
                  <c:v>45513</c:v>
                </c:pt>
                <c:pt idx="423">
                  <c:v>45520</c:v>
                </c:pt>
                <c:pt idx="424">
                  <c:v>45527</c:v>
                </c:pt>
                <c:pt idx="425">
                  <c:v>45534</c:v>
                </c:pt>
                <c:pt idx="426">
                  <c:v>45541</c:v>
                </c:pt>
                <c:pt idx="427">
                  <c:v>45548</c:v>
                </c:pt>
                <c:pt idx="428">
                  <c:v>45555</c:v>
                </c:pt>
                <c:pt idx="429">
                  <c:v>45562</c:v>
                </c:pt>
                <c:pt idx="430">
                  <c:v>45569</c:v>
                </c:pt>
                <c:pt idx="431">
                  <c:v>45576</c:v>
                </c:pt>
                <c:pt idx="432">
                  <c:v>45583</c:v>
                </c:pt>
                <c:pt idx="433">
                  <c:v>45590</c:v>
                </c:pt>
                <c:pt idx="434">
                  <c:v>45597</c:v>
                </c:pt>
                <c:pt idx="435">
                  <c:v>45604</c:v>
                </c:pt>
                <c:pt idx="436">
                  <c:v>45611</c:v>
                </c:pt>
                <c:pt idx="437">
                  <c:v>45618</c:v>
                </c:pt>
                <c:pt idx="438">
                  <c:v>45625</c:v>
                </c:pt>
                <c:pt idx="439">
                  <c:v>45632</c:v>
                </c:pt>
                <c:pt idx="440">
                  <c:v>45639</c:v>
                </c:pt>
                <c:pt idx="441">
                  <c:v>45646</c:v>
                </c:pt>
                <c:pt idx="442">
                  <c:v>45653</c:v>
                </c:pt>
                <c:pt idx="443">
                  <c:v>45660</c:v>
                </c:pt>
                <c:pt idx="444">
                  <c:v>45667</c:v>
                </c:pt>
                <c:pt idx="445">
                  <c:v>45674</c:v>
                </c:pt>
                <c:pt idx="446">
                  <c:v>45681</c:v>
                </c:pt>
                <c:pt idx="447">
                  <c:v>45688</c:v>
                </c:pt>
                <c:pt idx="448">
                  <c:v>45695</c:v>
                </c:pt>
                <c:pt idx="449">
                  <c:v>45702</c:v>
                </c:pt>
                <c:pt idx="450">
                  <c:v>45709</c:v>
                </c:pt>
                <c:pt idx="451">
                  <c:v>45716</c:v>
                </c:pt>
                <c:pt idx="452">
                  <c:v>45723</c:v>
                </c:pt>
                <c:pt idx="453">
                  <c:v>45730</c:v>
                </c:pt>
                <c:pt idx="454">
                  <c:v>45737</c:v>
                </c:pt>
                <c:pt idx="455">
                  <c:v>45744</c:v>
                </c:pt>
                <c:pt idx="456">
                  <c:v>45751</c:v>
                </c:pt>
                <c:pt idx="457">
                  <c:v>45758</c:v>
                </c:pt>
                <c:pt idx="458">
                  <c:v>45772</c:v>
                </c:pt>
                <c:pt idx="459">
                  <c:v>45779</c:v>
                </c:pt>
                <c:pt idx="460">
                  <c:v>45786</c:v>
                </c:pt>
                <c:pt idx="461">
                  <c:v>45793</c:v>
                </c:pt>
                <c:pt idx="462">
                  <c:v>45800</c:v>
                </c:pt>
                <c:pt idx="463">
                  <c:v>45807</c:v>
                </c:pt>
                <c:pt idx="464">
                  <c:v>45814</c:v>
                </c:pt>
                <c:pt idx="465">
                  <c:v>45821</c:v>
                </c:pt>
                <c:pt idx="466">
                  <c:v>45828</c:v>
                </c:pt>
                <c:pt idx="467">
                  <c:v>45835</c:v>
                </c:pt>
                <c:pt idx="468">
                  <c:v>45842</c:v>
                </c:pt>
                <c:pt idx="469">
                  <c:v>45849</c:v>
                </c:pt>
                <c:pt idx="470">
                  <c:v>45856</c:v>
                </c:pt>
                <c:pt idx="471">
                  <c:v>45863</c:v>
                </c:pt>
                <c:pt idx="472">
                  <c:v>45877</c:v>
                </c:pt>
                <c:pt idx="473">
                  <c:v>45884</c:v>
                </c:pt>
                <c:pt idx="474">
                  <c:v>45891</c:v>
                </c:pt>
                <c:pt idx="475">
                  <c:v>45898</c:v>
                </c:pt>
                <c:pt idx="476">
                  <c:v>45905</c:v>
                </c:pt>
                <c:pt idx="477">
                  <c:v>45912</c:v>
                </c:pt>
                <c:pt idx="478">
                  <c:v>45919</c:v>
                </c:pt>
                <c:pt idx="479">
                  <c:v>45926</c:v>
                </c:pt>
                <c:pt idx="480">
                  <c:v>45933</c:v>
                </c:pt>
                <c:pt idx="481">
                  <c:v>45940</c:v>
                </c:pt>
                <c:pt idx="482">
                  <c:v>45947</c:v>
                </c:pt>
                <c:pt idx="483">
                  <c:v>45954</c:v>
                </c:pt>
                <c:pt idx="484">
                  <c:v>45961</c:v>
                </c:pt>
                <c:pt idx="485">
                  <c:v>45968</c:v>
                </c:pt>
                <c:pt idx="486">
                  <c:v>45975</c:v>
                </c:pt>
                <c:pt idx="487">
                  <c:v>45982</c:v>
                </c:pt>
                <c:pt idx="488">
                  <c:v>45989</c:v>
                </c:pt>
                <c:pt idx="489">
                  <c:v>45996</c:v>
                </c:pt>
                <c:pt idx="490">
                  <c:v>46003</c:v>
                </c:pt>
                <c:pt idx="491">
                  <c:v>46010</c:v>
                </c:pt>
                <c:pt idx="492">
                  <c:v>46031</c:v>
                </c:pt>
                <c:pt idx="493">
                  <c:v>46038</c:v>
                </c:pt>
                <c:pt idx="494">
                  <c:v>46045</c:v>
                </c:pt>
                <c:pt idx="495">
                  <c:v>46052</c:v>
                </c:pt>
                <c:pt idx="496">
                  <c:v>46059</c:v>
                </c:pt>
                <c:pt idx="497">
                  <c:v>46066</c:v>
                </c:pt>
                <c:pt idx="498">
                  <c:v>46073</c:v>
                </c:pt>
                <c:pt idx="499">
                  <c:v>46080</c:v>
                </c:pt>
                <c:pt idx="500">
                  <c:v>46087</c:v>
                </c:pt>
                <c:pt idx="501">
                  <c:v>46094</c:v>
                </c:pt>
                <c:pt idx="502">
                  <c:v>46101</c:v>
                </c:pt>
                <c:pt idx="503">
                  <c:v>46108</c:v>
                </c:pt>
                <c:pt idx="504">
                  <c:v>46122</c:v>
                </c:pt>
                <c:pt idx="505">
                  <c:v>46129</c:v>
                </c:pt>
                <c:pt idx="506">
                  <c:v>46136</c:v>
                </c:pt>
                <c:pt idx="507">
                  <c:v>46150</c:v>
                </c:pt>
                <c:pt idx="508">
                  <c:v>46157</c:v>
                </c:pt>
                <c:pt idx="509">
                  <c:v>46164</c:v>
                </c:pt>
                <c:pt idx="510">
                  <c:v>46171</c:v>
                </c:pt>
                <c:pt idx="511">
                  <c:v>46178</c:v>
                </c:pt>
                <c:pt idx="512">
                  <c:v>46185</c:v>
                </c:pt>
                <c:pt idx="513">
                  <c:v>46192</c:v>
                </c:pt>
                <c:pt idx="514">
                  <c:v>46199</c:v>
                </c:pt>
                <c:pt idx="515">
                  <c:v>46206</c:v>
                </c:pt>
                <c:pt idx="516">
                  <c:v>46213</c:v>
                </c:pt>
                <c:pt idx="517">
                  <c:v>46220</c:v>
                </c:pt>
                <c:pt idx="518">
                  <c:v>46227</c:v>
                </c:pt>
                <c:pt idx="519">
                  <c:v>46234</c:v>
                </c:pt>
                <c:pt idx="520">
                  <c:v>46241</c:v>
                </c:pt>
                <c:pt idx="521">
                  <c:v>46248</c:v>
                </c:pt>
                <c:pt idx="522">
                  <c:v>46255</c:v>
                </c:pt>
                <c:pt idx="523">
                  <c:v>46262</c:v>
                </c:pt>
                <c:pt idx="524">
                  <c:v>46269</c:v>
                </c:pt>
                <c:pt idx="525">
                  <c:v>46276</c:v>
                </c:pt>
                <c:pt idx="526">
                  <c:v>46283</c:v>
                </c:pt>
                <c:pt idx="527">
                  <c:v>46290</c:v>
                </c:pt>
                <c:pt idx="528">
                  <c:v>46297</c:v>
                </c:pt>
                <c:pt idx="529">
                  <c:v>46304</c:v>
                </c:pt>
                <c:pt idx="530">
                  <c:v>46311</c:v>
                </c:pt>
                <c:pt idx="531">
                  <c:v>46318</c:v>
                </c:pt>
              </c:numCache>
            </c:numRef>
          </c:cat>
          <c:val>
            <c:numRef>
              <c:f>Participation!$M$2:$M$533</c:f>
              <c:numCache>
                <c:formatCode>0</c:formatCode>
                <c:ptCount val="532"/>
                <c:pt idx="0">
                  <c:v>0.77777777999999997</c:v>
                </c:pt>
                <c:pt idx="1">
                  <c:v>1.5555555599999999</c:v>
                </c:pt>
                <c:pt idx="2">
                  <c:v>2.3333333399999998</c:v>
                </c:pt>
                <c:pt idx="3">
                  <c:v>3.1111111199999999</c:v>
                </c:pt>
                <c:pt idx="4">
                  <c:v>3.8888889</c:v>
                </c:pt>
                <c:pt idx="5">
                  <c:v>4.6666666799999996</c:v>
                </c:pt>
                <c:pt idx="6">
                  <c:v>5.4444444599999997</c:v>
                </c:pt>
                <c:pt idx="7">
                  <c:v>6.2222222399999998</c:v>
                </c:pt>
                <c:pt idx="8">
                  <c:v>7.0000000199999999</c:v>
                </c:pt>
                <c:pt idx="9">
                  <c:v>7.7777778</c:v>
                </c:pt>
                <c:pt idx="10">
                  <c:v>8.55555558</c:v>
                </c:pt>
                <c:pt idx="11">
                  <c:v>9.3333333599999992</c:v>
                </c:pt>
                <c:pt idx="12">
                  <c:v>10.111111139999998</c:v>
                </c:pt>
                <c:pt idx="13">
                  <c:v>10.888888919999998</c:v>
                </c:pt>
                <c:pt idx="14">
                  <c:v>11.666666699999997</c:v>
                </c:pt>
                <c:pt idx="15">
                  <c:v>12.444444479999996</c:v>
                </c:pt>
                <c:pt idx="16">
                  <c:v>13.222222259999995</c:v>
                </c:pt>
                <c:pt idx="17">
                  <c:v>14.000000039999994</c:v>
                </c:pt>
                <c:pt idx="18">
                  <c:v>14.777777819999994</c:v>
                </c:pt>
                <c:pt idx="19">
                  <c:v>15.555555599999993</c:v>
                </c:pt>
                <c:pt idx="20">
                  <c:v>16.333333379999992</c:v>
                </c:pt>
                <c:pt idx="21">
                  <c:v>17.111111159999993</c:v>
                </c:pt>
                <c:pt idx="22">
                  <c:v>17.888888939999994</c:v>
                </c:pt>
                <c:pt idx="23">
                  <c:v>18.666666719999995</c:v>
                </c:pt>
                <c:pt idx="24">
                  <c:v>19.444444499999996</c:v>
                </c:pt>
                <c:pt idx="25">
                  <c:v>20.222222279999997</c:v>
                </c:pt>
                <c:pt idx="26">
                  <c:v>21.000000059999998</c:v>
                </c:pt>
                <c:pt idx="27">
                  <c:v>21.777777839999999</c:v>
                </c:pt>
                <c:pt idx="28">
                  <c:v>22.55555562</c:v>
                </c:pt>
                <c:pt idx="29">
                  <c:v>23.333333400000001</c:v>
                </c:pt>
                <c:pt idx="30">
                  <c:v>24.111111180000002</c:v>
                </c:pt>
                <c:pt idx="31">
                  <c:v>24.888888960000003</c:v>
                </c:pt>
                <c:pt idx="32">
                  <c:v>25.666666740000004</c:v>
                </c:pt>
                <c:pt idx="33">
                  <c:v>26.444444520000005</c:v>
                </c:pt>
                <c:pt idx="34">
                  <c:v>27.222222300000006</c:v>
                </c:pt>
                <c:pt idx="35">
                  <c:v>28.000000080000007</c:v>
                </c:pt>
                <c:pt idx="36">
                  <c:v>29.000000080000007</c:v>
                </c:pt>
                <c:pt idx="37">
                  <c:v>29.000000080000007</c:v>
                </c:pt>
                <c:pt idx="38">
                  <c:v>30.000000080000007</c:v>
                </c:pt>
                <c:pt idx="39">
                  <c:v>31.000000080000007</c:v>
                </c:pt>
                <c:pt idx="40">
                  <c:v>32.000000080000007</c:v>
                </c:pt>
                <c:pt idx="41">
                  <c:v>33.000000080000007</c:v>
                </c:pt>
                <c:pt idx="42">
                  <c:v>33.000000080000007</c:v>
                </c:pt>
                <c:pt idx="43">
                  <c:v>34.000000080000007</c:v>
                </c:pt>
                <c:pt idx="44">
                  <c:v>35.000000080000007</c:v>
                </c:pt>
                <c:pt idx="45">
                  <c:v>36.000000080000007</c:v>
                </c:pt>
                <c:pt idx="46">
                  <c:v>37.000000080000007</c:v>
                </c:pt>
                <c:pt idx="47">
                  <c:v>38.000000080000007</c:v>
                </c:pt>
                <c:pt idx="48">
                  <c:v>39.000000080000007</c:v>
                </c:pt>
                <c:pt idx="49">
                  <c:v>40.000000080000007</c:v>
                </c:pt>
                <c:pt idx="50">
                  <c:v>40.000000080000007</c:v>
                </c:pt>
                <c:pt idx="51">
                  <c:v>40.000000080000007</c:v>
                </c:pt>
                <c:pt idx="52">
                  <c:v>40.000000080000007</c:v>
                </c:pt>
                <c:pt idx="53">
                  <c:v>40.000000080000007</c:v>
                </c:pt>
                <c:pt idx="54">
                  <c:v>40.000000080000007</c:v>
                </c:pt>
                <c:pt idx="55">
                  <c:v>40.000000080000007</c:v>
                </c:pt>
                <c:pt idx="56">
                  <c:v>40.000000080000007</c:v>
                </c:pt>
                <c:pt idx="57">
                  <c:v>40.000000080000007</c:v>
                </c:pt>
                <c:pt idx="58">
                  <c:v>40.000000080000007</c:v>
                </c:pt>
                <c:pt idx="59">
                  <c:v>40.000000080000007</c:v>
                </c:pt>
                <c:pt idx="60">
                  <c:v>40.000000080000007</c:v>
                </c:pt>
                <c:pt idx="61">
                  <c:v>40.000000080000007</c:v>
                </c:pt>
                <c:pt idx="62">
                  <c:v>40.000000080000007</c:v>
                </c:pt>
                <c:pt idx="63">
                  <c:v>40.000000080000007</c:v>
                </c:pt>
                <c:pt idx="64">
                  <c:v>40.000000080000007</c:v>
                </c:pt>
                <c:pt idx="65">
                  <c:v>40.000000080000007</c:v>
                </c:pt>
                <c:pt idx="66">
                  <c:v>40.000000080000007</c:v>
                </c:pt>
                <c:pt idx="67">
                  <c:v>40.000000080000007</c:v>
                </c:pt>
                <c:pt idx="68">
                  <c:v>41.000000080000007</c:v>
                </c:pt>
                <c:pt idx="69">
                  <c:v>41.000000080000007</c:v>
                </c:pt>
                <c:pt idx="70">
                  <c:v>41.000000080000007</c:v>
                </c:pt>
                <c:pt idx="71">
                  <c:v>41.000000080000007</c:v>
                </c:pt>
                <c:pt idx="72">
                  <c:v>41.000000080000007</c:v>
                </c:pt>
                <c:pt idx="73">
                  <c:v>41.000000080000007</c:v>
                </c:pt>
                <c:pt idx="74">
                  <c:v>41.000000080000007</c:v>
                </c:pt>
                <c:pt idx="75">
                  <c:v>41.000000080000007</c:v>
                </c:pt>
                <c:pt idx="76">
                  <c:v>41.000000080000007</c:v>
                </c:pt>
                <c:pt idx="77">
                  <c:v>41.000000080000007</c:v>
                </c:pt>
                <c:pt idx="78">
                  <c:v>41.000000080000007</c:v>
                </c:pt>
                <c:pt idx="79">
                  <c:v>41.000000080000007</c:v>
                </c:pt>
                <c:pt idx="80">
                  <c:v>41.000000080000007</c:v>
                </c:pt>
                <c:pt idx="81">
                  <c:v>41.000000080000007</c:v>
                </c:pt>
                <c:pt idx="82">
                  <c:v>41.000000080000007</c:v>
                </c:pt>
                <c:pt idx="83">
                  <c:v>42.000000080000007</c:v>
                </c:pt>
                <c:pt idx="84">
                  <c:v>42.000000080000007</c:v>
                </c:pt>
                <c:pt idx="85">
                  <c:v>42.000000080000007</c:v>
                </c:pt>
                <c:pt idx="86">
                  <c:v>42.000000080000007</c:v>
                </c:pt>
                <c:pt idx="87">
                  <c:v>42.000000080000007</c:v>
                </c:pt>
                <c:pt idx="88">
                  <c:v>42.000000080000007</c:v>
                </c:pt>
                <c:pt idx="89">
                  <c:v>42.000000080000007</c:v>
                </c:pt>
                <c:pt idx="90">
                  <c:v>42.000000080000007</c:v>
                </c:pt>
                <c:pt idx="91">
                  <c:v>42.000000080000007</c:v>
                </c:pt>
                <c:pt idx="92">
                  <c:v>42.000000080000007</c:v>
                </c:pt>
                <c:pt idx="93">
                  <c:v>42.000000080000007</c:v>
                </c:pt>
                <c:pt idx="94">
                  <c:v>42.000000080000007</c:v>
                </c:pt>
                <c:pt idx="95">
                  <c:v>42.000000080000007</c:v>
                </c:pt>
                <c:pt idx="96">
                  <c:v>42.000000080000007</c:v>
                </c:pt>
                <c:pt idx="97">
                  <c:v>42.000000080000007</c:v>
                </c:pt>
                <c:pt idx="98">
                  <c:v>42.000000080000007</c:v>
                </c:pt>
                <c:pt idx="99">
                  <c:v>42.000000080000007</c:v>
                </c:pt>
                <c:pt idx="100">
                  <c:v>42.000000080000007</c:v>
                </c:pt>
                <c:pt idx="101">
                  <c:v>42.000000080000007</c:v>
                </c:pt>
                <c:pt idx="102">
                  <c:v>42.000000080000007</c:v>
                </c:pt>
                <c:pt idx="103">
                  <c:v>42.000000080000007</c:v>
                </c:pt>
                <c:pt idx="104">
                  <c:v>43.000000080000007</c:v>
                </c:pt>
                <c:pt idx="105">
                  <c:v>43.000000080000007</c:v>
                </c:pt>
                <c:pt idx="106">
                  <c:v>43.000000080000007</c:v>
                </c:pt>
                <c:pt idx="107">
                  <c:v>43.000000080000007</c:v>
                </c:pt>
                <c:pt idx="108">
                  <c:v>43.000000080000007</c:v>
                </c:pt>
                <c:pt idx="109">
                  <c:v>43.000000080000007</c:v>
                </c:pt>
                <c:pt idx="110">
                  <c:v>43.000000080000007</c:v>
                </c:pt>
                <c:pt idx="111">
                  <c:v>43.000000080000007</c:v>
                </c:pt>
                <c:pt idx="112">
                  <c:v>43.000000080000007</c:v>
                </c:pt>
                <c:pt idx="113">
                  <c:v>43.000000080000007</c:v>
                </c:pt>
                <c:pt idx="114">
                  <c:v>43.000000080000007</c:v>
                </c:pt>
                <c:pt idx="115">
                  <c:v>43.000000080000007</c:v>
                </c:pt>
                <c:pt idx="116">
                  <c:v>43.000000080000007</c:v>
                </c:pt>
                <c:pt idx="117">
                  <c:v>43.000000080000007</c:v>
                </c:pt>
                <c:pt idx="118">
                  <c:v>43.000000080000007</c:v>
                </c:pt>
                <c:pt idx="119">
                  <c:v>43.000000080000007</c:v>
                </c:pt>
                <c:pt idx="120">
                  <c:v>43.000000080000007</c:v>
                </c:pt>
                <c:pt idx="121">
                  <c:v>43.000000080000007</c:v>
                </c:pt>
                <c:pt idx="122">
                  <c:v>43.000000080000007</c:v>
                </c:pt>
                <c:pt idx="123">
                  <c:v>43.000000080000007</c:v>
                </c:pt>
                <c:pt idx="124">
                  <c:v>43.000000080000007</c:v>
                </c:pt>
                <c:pt idx="125">
                  <c:v>43.000000080000007</c:v>
                </c:pt>
                <c:pt idx="126">
                  <c:v>43.000000080000007</c:v>
                </c:pt>
                <c:pt idx="127">
                  <c:v>43.000000080000007</c:v>
                </c:pt>
                <c:pt idx="128">
                  <c:v>43.000000080000007</c:v>
                </c:pt>
                <c:pt idx="129">
                  <c:v>43.000000080000007</c:v>
                </c:pt>
                <c:pt idx="130">
                  <c:v>43.000000080000007</c:v>
                </c:pt>
                <c:pt idx="131">
                  <c:v>43.000000080000007</c:v>
                </c:pt>
                <c:pt idx="132">
                  <c:v>43.000000080000007</c:v>
                </c:pt>
                <c:pt idx="133">
                  <c:v>43.000000080000007</c:v>
                </c:pt>
                <c:pt idx="134">
                  <c:v>43.000000080000007</c:v>
                </c:pt>
                <c:pt idx="135">
                  <c:v>43.000000080000007</c:v>
                </c:pt>
                <c:pt idx="136">
                  <c:v>43.000000080000007</c:v>
                </c:pt>
                <c:pt idx="137">
                  <c:v>44.000000080000007</c:v>
                </c:pt>
                <c:pt idx="138">
                  <c:v>44.000000080000007</c:v>
                </c:pt>
                <c:pt idx="139">
                  <c:v>44.000000080000007</c:v>
                </c:pt>
                <c:pt idx="140">
                  <c:v>44.000000080000007</c:v>
                </c:pt>
                <c:pt idx="141">
                  <c:v>44.000000080000007</c:v>
                </c:pt>
                <c:pt idx="142">
                  <c:v>44.000000080000007</c:v>
                </c:pt>
                <c:pt idx="143">
                  <c:v>44.000000080000007</c:v>
                </c:pt>
                <c:pt idx="144">
                  <c:v>44.000000080000007</c:v>
                </c:pt>
                <c:pt idx="145">
                  <c:v>44.000000080000007</c:v>
                </c:pt>
                <c:pt idx="146">
                  <c:v>44.000000080000007</c:v>
                </c:pt>
                <c:pt idx="147">
                  <c:v>44.000000080000007</c:v>
                </c:pt>
                <c:pt idx="148">
                  <c:v>44.000000080000007</c:v>
                </c:pt>
                <c:pt idx="149">
                  <c:v>45.000000080000007</c:v>
                </c:pt>
                <c:pt idx="150">
                  <c:v>45.000000080000007</c:v>
                </c:pt>
                <c:pt idx="151">
                  <c:v>45.000000080000007</c:v>
                </c:pt>
                <c:pt idx="152">
                  <c:v>45.000000080000007</c:v>
                </c:pt>
                <c:pt idx="153">
                  <c:v>45.000000080000007</c:v>
                </c:pt>
                <c:pt idx="154">
                  <c:v>45.000000080000007</c:v>
                </c:pt>
                <c:pt idx="155">
                  <c:v>45.000000080000007</c:v>
                </c:pt>
                <c:pt idx="156">
                  <c:v>45.000000080000007</c:v>
                </c:pt>
                <c:pt idx="157">
                  <c:v>45.000000080000007</c:v>
                </c:pt>
                <c:pt idx="158">
                  <c:v>45.000000080000007</c:v>
                </c:pt>
                <c:pt idx="159">
                  <c:v>45.000000080000007</c:v>
                </c:pt>
                <c:pt idx="160">
                  <c:v>45.000000080000007</c:v>
                </c:pt>
                <c:pt idx="161">
                  <c:v>46.000000080000007</c:v>
                </c:pt>
                <c:pt idx="162">
                  <c:v>46.000000080000007</c:v>
                </c:pt>
                <c:pt idx="163">
                  <c:v>46.000000080000007</c:v>
                </c:pt>
                <c:pt idx="164">
                  <c:v>46.000000080000007</c:v>
                </c:pt>
                <c:pt idx="165">
                  <c:v>46.000000080000007</c:v>
                </c:pt>
                <c:pt idx="166">
                  <c:v>46.000000080000007</c:v>
                </c:pt>
                <c:pt idx="167">
                  <c:v>46.000000080000007</c:v>
                </c:pt>
                <c:pt idx="168">
                  <c:v>46.000000080000007</c:v>
                </c:pt>
                <c:pt idx="169">
                  <c:v>46.000000080000007</c:v>
                </c:pt>
                <c:pt idx="170">
                  <c:v>46.000000080000007</c:v>
                </c:pt>
                <c:pt idx="171">
                  <c:v>46.000000080000007</c:v>
                </c:pt>
                <c:pt idx="172">
                  <c:v>46.000000080000007</c:v>
                </c:pt>
                <c:pt idx="173">
                  <c:v>46.000000080000007</c:v>
                </c:pt>
                <c:pt idx="174">
                  <c:v>46.000000080000007</c:v>
                </c:pt>
                <c:pt idx="175">
                  <c:v>46.000000080000007</c:v>
                </c:pt>
                <c:pt idx="176">
                  <c:v>46.000000080000007</c:v>
                </c:pt>
                <c:pt idx="177">
                  <c:v>46.000000080000007</c:v>
                </c:pt>
                <c:pt idx="178">
                  <c:v>46.000000080000007</c:v>
                </c:pt>
                <c:pt idx="179">
                  <c:v>46.000000080000007</c:v>
                </c:pt>
                <c:pt idx="180">
                  <c:v>46.000000080000007</c:v>
                </c:pt>
                <c:pt idx="181">
                  <c:v>46.000000080000007</c:v>
                </c:pt>
                <c:pt idx="182">
                  <c:v>46.000000080000007</c:v>
                </c:pt>
                <c:pt idx="183">
                  <c:v>46.000000080000007</c:v>
                </c:pt>
                <c:pt idx="184">
                  <c:v>46.000000080000007</c:v>
                </c:pt>
                <c:pt idx="185">
                  <c:v>46.000000080000007</c:v>
                </c:pt>
                <c:pt idx="186">
                  <c:v>46.000000080000007</c:v>
                </c:pt>
                <c:pt idx="187">
                  <c:v>46.000000080000007</c:v>
                </c:pt>
                <c:pt idx="188">
                  <c:v>46.000000080000007</c:v>
                </c:pt>
                <c:pt idx="189">
                  <c:v>46.000000080000007</c:v>
                </c:pt>
                <c:pt idx="190">
                  <c:v>46.000000080000007</c:v>
                </c:pt>
                <c:pt idx="191">
                  <c:v>46.000000080000007</c:v>
                </c:pt>
                <c:pt idx="192">
                  <c:v>46.000000080000007</c:v>
                </c:pt>
                <c:pt idx="193">
                  <c:v>46.000000080000007</c:v>
                </c:pt>
                <c:pt idx="194">
                  <c:v>46.000000080000007</c:v>
                </c:pt>
                <c:pt idx="195">
                  <c:v>46.000000080000007</c:v>
                </c:pt>
                <c:pt idx="196">
                  <c:v>46.000000080000007</c:v>
                </c:pt>
                <c:pt idx="197">
                  <c:v>46.000000080000007</c:v>
                </c:pt>
                <c:pt idx="198">
                  <c:v>46.000000080000007</c:v>
                </c:pt>
                <c:pt idx="199">
                  <c:v>46.000000080000007</c:v>
                </c:pt>
                <c:pt idx="200">
                  <c:v>46.000000080000007</c:v>
                </c:pt>
                <c:pt idx="201">
                  <c:v>46.000000080000007</c:v>
                </c:pt>
                <c:pt idx="202">
                  <c:v>47.000000080000007</c:v>
                </c:pt>
                <c:pt idx="203">
                  <c:v>47.000000080000007</c:v>
                </c:pt>
                <c:pt idx="204">
                  <c:v>47.000000080000007</c:v>
                </c:pt>
                <c:pt idx="205">
                  <c:v>47.000000080000007</c:v>
                </c:pt>
                <c:pt idx="206">
                  <c:v>47.000000080000007</c:v>
                </c:pt>
                <c:pt idx="207">
                  <c:v>47.000000080000007</c:v>
                </c:pt>
                <c:pt idx="208">
                  <c:v>47.000000080000007</c:v>
                </c:pt>
                <c:pt idx="209">
                  <c:v>47.000000080000007</c:v>
                </c:pt>
                <c:pt idx="210">
                  <c:v>47.000000080000007</c:v>
                </c:pt>
                <c:pt idx="211">
                  <c:v>47.000000080000007</c:v>
                </c:pt>
                <c:pt idx="212">
                  <c:v>47.000000080000007</c:v>
                </c:pt>
                <c:pt idx="213">
                  <c:v>47.000000080000007</c:v>
                </c:pt>
                <c:pt idx="214">
                  <c:v>47.000000080000007</c:v>
                </c:pt>
                <c:pt idx="215">
                  <c:v>47.000000080000007</c:v>
                </c:pt>
                <c:pt idx="216">
                  <c:v>47.000000080000007</c:v>
                </c:pt>
                <c:pt idx="217">
                  <c:v>47.000000080000007</c:v>
                </c:pt>
                <c:pt idx="218">
                  <c:v>48.000000080000007</c:v>
                </c:pt>
                <c:pt idx="219">
                  <c:v>48.000000080000007</c:v>
                </c:pt>
                <c:pt idx="220">
                  <c:v>48.000000080000007</c:v>
                </c:pt>
                <c:pt idx="221">
                  <c:v>49.000000080000007</c:v>
                </c:pt>
                <c:pt idx="222">
                  <c:v>49.000000080000007</c:v>
                </c:pt>
                <c:pt idx="223">
                  <c:v>49.000000080000007</c:v>
                </c:pt>
                <c:pt idx="224">
                  <c:v>49.000000080000007</c:v>
                </c:pt>
                <c:pt idx="225">
                  <c:v>49.000000080000007</c:v>
                </c:pt>
                <c:pt idx="226">
                  <c:v>49.000000080000007</c:v>
                </c:pt>
                <c:pt idx="227">
                  <c:v>49.000000080000007</c:v>
                </c:pt>
                <c:pt idx="228">
                  <c:v>49.000000080000007</c:v>
                </c:pt>
                <c:pt idx="229">
                  <c:v>49.000000080000007</c:v>
                </c:pt>
                <c:pt idx="230">
                  <c:v>49.000000080000007</c:v>
                </c:pt>
                <c:pt idx="231">
                  <c:v>50.000000080000007</c:v>
                </c:pt>
                <c:pt idx="232">
                  <c:v>51.000000080000007</c:v>
                </c:pt>
                <c:pt idx="233">
                  <c:v>52.000000080000007</c:v>
                </c:pt>
                <c:pt idx="234">
                  <c:v>53.000000080000007</c:v>
                </c:pt>
                <c:pt idx="235">
                  <c:v>54.000000080000007</c:v>
                </c:pt>
                <c:pt idx="236">
                  <c:v>54.000000080000007</c:v>
                </c:pt>
                <c:pt idx="237">
                  <c:v>55.000000080000007</c:v>
                </c:pt>
                <c:pt idx="238">
                  <c:v>56.000000080000007</c:v>
                </c:pt>
                <c:pt idx="239">
                  <c:v>57.000000080000007</c:v>
                </c:pt>
                <c:pt idx="240">
                  <c:v>57.000000080000007</c:v>
                </c:pt>
                <c:pt idx="241">
                  <c:v>58.000000080000007</c:v>
                </c:pt>
                <c:pt idx="242">
                  <c:v>59.000000080000007</c:v>
                </c:pt>
                <c:pt idx="243">
                  <c:v>59.000000080000007</c:v>
                </c:pt>
                <c:pt idx="244">
                  <c:v>60.000000080000007</c:v>
                </c:pt>
                <c:pt idx="245">
                  <c:v>61.000000080000007</c:v>
                </c:pt>
                <c:pt idx="246">
                  <c:v>62.000000080000007</c:v>
                </c:pt>
                <c:pt idx="247">
                  <c:v>63.000000080000007</c:v>
                </c:pt>
                <c:pt idx="248">
                  <c:v>64.000000080000007</c:v>
                </c:pt>
                <c:pt idx="249">
                  <c:v>65.000000080000007</c:v>
                </c:pt>
                <c:pt idx="250">
                  <c:v>65.000000080000007</c:v>
                </c:pt>
                <c:pt idx="251">
                  <c:v>66.000000080000007</c:v>
                </c:pt>
                <c:pt idx="252">
                  <c:v>67.000000080000007</c:v>
                </c:pt>
                <c:pt idx="253">
                  <c:v>68.000000080000007</c:v>
                </c:pt>
                <c:pt idx="254">
                  <c:v>69.000000080000007</c:v>
                </c:pt>
                <c:pt idx="255">
                  <c:v>70.000000080000007</c:v>
                </c:pt>
                <c:pt idx="256">
                  <c:v>71.000000080000007</c:v>
                </c:pt>
                <c:pt idx="257">
                  <c:v>71.000000080000007</c:v>
                </c:pt>
                <c:pt idx="258">
                  <c:v>72.000000080000007</c:v>
                </c:pt>
                <c:pt idx="259">
                  <c:v>73.000000080000007</c:v>
                </c:pt>
                <c:pt idx="260">
                  <c:v>74.000000080000007</c:v>
                </c:pt>
                <c:pt idx="261">
                  <c:v>75.000000080000007</c:v>
                </c:pt>
                <c:pt idx="262">
                  <c:v>76.000000080000007</c:v>
                </c:pt>
                <c:pt idx="263">
                  <c:v>76.000000080000007</c:v>
                </c:pt>
                <c:pt idx="264">
                  <c:v>76.000000080000007</c:v>
                </c:pt>
                <c:pt idx="265">
                  <c:v>77.000000080000007</c:v>
                </c:pt>
                <c:pt idx="266">
                  <c:v>77.000000080000007</c:v>
                </c:pt>
                <c:pt idx="267">
                  <c:v>78.000000080000007</c:v>
                </c:pt>
                <c:pt idx="268">
                  <c:v>79.000000080000007</c:v>
                </c:pt>
                <c:pt idx="269">
                  <c:v>80.000000080000007</c:v>
                </c:pt>
                <c:pt idx="270">
                  <c:v>81.000000080000007</c:v>
                </c:pt>
                <c:pt idx="271">
                  <c:v>81.000000080000007</c:v>
                </c:pt>
                <c:pt idx="272">
                  <c:v>81.000000080000007</c:v>
                </c:pt>
                <c:pt idx="273">
                  <c:v>81.000000080000007</c:v>
                </c:pt>
                <c:pt idx="274">
                  <c:v>81.000000080000007</c:v>
                </c:pt>
                <c:pt idx="275">
                  <c:v>82.000000080000007</c:v>
                </c:pt>
                <c:pt idx="276">
                  <c:v>83.000000080000007</c:v>
                </c:pt>
                <c:pt idx="277">
                  <c:v>84.000000080000007</c:v>
                </c:pt>
                <c:pt idx="278">
                  <c:v>84.000000080000007</c:v>
                </c:pt>
                <c:pt idx="279">
                  <c:v>85.000000080000007</c:v>
                </c:pt>
                <c:pt idx="280">
                  <c:v>86.000000080000007</c:v>
                </c:pt>
                <c:pt idx="281">
                  <c:v>87.000000080000007</c:v>
                </c:pt>
                <c:pt idx="282">
                  <c:v>88.000000080000007</c:v>
                </c:pt>
                <c:pt idx="283">
                  <c:v>88.000000080000007</c:v>
                </c:pt>
                <c:pt idx="284">
                  <c:v>88.000000080000007</c:v>
                </c:pt>
                <c:pt idx="285">
                  <c:v>88.000000080000007</c:v>
                </c:pt>
                <c:pt idx="286">
                  <c:v>88.000000080000007</c:v>
                </c:pt>
                <c:pt idx="287">
                  <c:v>89.000000080000007</c:v>
                </c:pt>
                <c:pt idx="288">
                  <c:v>90.000000080000007</c:v>
                </c:pt>
                <c:pt idx="289">
                  <c:v>91.000000080000007</c:v>
                </c:pt>
                <c:pt idx="290">
                  <c:v>92.000000080000007</c:v>
                </c:pt>
                <c:pt idx="291">
                  <c:v>92.000000080000007</c:v>
                </c:pt>
                <c:pt idx="292">
                  <c:v>93.000000080000007</c:v>
                </c:pt>
                <c:pt idx="293">
                  <c:v>94.000000080000007</c:v>
                </c:pt>
                <c:pt idx="294">
                  <c:v>94.000000080000007</c:v>
                </c:pt>
                <c:pt idx="295">
                  <c:v>95.000000080000007</c:v>
                </c:pt>
                <c:pt idx="296">
                  <c:v>96.000000080000007</c:v>
                </c:pt>
                <c:pt idx="297">
                  <c:v>96.000000080000007</c:v>
                </c:pt>
                <c:pt idx="298">
                  <c:v>96.000000080000007</c:v>
                </c:pt>
                <c:pt idx="299">
                  <c:v>97.000000080000007</c:v>
                </c:pt>
                <c:pt idx="300">
                  <c:v>98.000000080000007</c:v>
                </c:pt>
                <c:pt idx="301">
                  <c:v>99.000000080000007</c:v>
                </c:pt>
                <c:pt idx="302">
                  <c:v>99.000000080000007</c:v>
                </c:pt>
                <c:pt idx="303">
                  <c:v>99.000000080000007</c:v>
                </c:pt>
                <c:pt idx="304">
                  <c:v>99.000000080000007</c:v>
                </c:pt>
                <c:pt idx="305">
                  <c:v>100.00000008000001</c:v>
                </c:pt>
                <c:pt idx="306">
                  <c:v>101.00000008000001</c:v>
                </c:pt>
                <c:pt idx="307">
                  <c:v>102.00000008000001</c:v>
                </c:pt>
                <c:pt idx="308">
                  <c:v>103.00000008000001</c:v>
                </c:pt>
                <c:pt idx="309">
                  <c:v>104.00000008000001</c:v>
                </c:pt>
                <c:pt idx="310">
                  <c:v>105.00000008000001</c:v>
                </c:pt>
                <c:pt idx="311">
                  <c:v>106.00000008000001</c:v>
                </c:pt>
                <c:pt idx="312">
                  <c:v>107.00000008000001</c:v>
                </c:pt>
                <c:pt idx="313">
                  <c:v>108.00000008000001</c:v>
                </c:pt>
                <c:pt idx="314">
                  <c:v>109.00000008000001</c:v>
                </c:pt>
                <c:pt idx="315">
                  <c:v>110.00000008000001</c:v>
                </c:pt>
                <c:pt idx="316">
                  <c:v>110.00000008000001</c:v>
                </c:pt>
                <c:pt idx="317">
                  <c:v>111.00000008000001</c:v>
                </c:pt>
                <c:pt idx="318">
                  <c:v>112.00000008000001</c:v>
                </c:pt>
                <c:pt idx="319">
                  <c:v>113.00000008000001</c:v>
                </c:pt>
                <c:pt idx="320">
                  <c:v>114.00000008000001</c:v>
                </c:pt>
                <c:pt idx="321">
                  <c:v>115.00000008000001</c:v>
                </c:pt>
                <c:pt idx="322">
                  <c:v>116.00000008000001</c:v>
                </c:pt>
                <c:pt idx="323">
                  <c:v>117.00000008000001</c:v>
                </c:pt>
                <c:pt idx="324">
                  <c:v>117.00000008000001</c:v>
                </c:pt>
                <c:pt idx="325">
                  <c:v>117.00000008000001</c:v>
                </c:pt>
                <c:pt idx="326">
                  <c:v>118.00000008000001</c:v>
                </c:pt>
                <c:pt idx="327">
                  <c:v>119.00000008000001</c:v>
                </c:pt>
                <c:pt idx="328">
                  <c:v>120.00000008000001</c:v>
                </c:pt>
                <c:pt idx="329">
                  <c:v>120.00000008000001</c:v>
                </c:pt>
                <c:pt idx="330">
                  <c:v>121.00000008000001</c:v>
                </c:pt>
                <c:pt idx="331">
                  <c:v>121.00000008000001</c:v>
                </c:pt>
                <c:pt idx="332">
                  <c:v>122.00000008000001</c:v>
                </c:pt>
                <c:pt idx="333">
                  <c:v>123.00000008000001</c:v>
                </c:pt>
                <c:pt idx="334">
                  <c:v>124.00000008000001</c:v>
                </c:pt>
                <c:pt idx="335">
                  <c:v>125.00000008000001</c:v>
                </c:pt>
                <c:pt idx="336">
                  <c:v>126.00000008000001</c:v>
                </c:pt>
                <c:pt idx="337">
                  <c:v>126.00000008000001</c:v>
                </c:pt>
                <c:pt idx="338">
                  <c:v>126.00000008000001</c:v>
                </c:pt>
                <c:pt idx="339">
                  <c:v>126.00000008000001</c:v>
                </c:pt>
                <c:pt idx="340">
                  <c:v>127.00000008000001</c:v>
                </c:pt>
                <c:pt idx="341">
                  <c:v>127.00000008000001</c:v>
                </c:pt>
                <c:pt idx="342">
                  <c:v>127.00000008000001</c:v>
                </c:pt>
                <c:pt idx="343">
                  <c:v>128.00000008000001</c:v>
                </c:pt>
                <c:pt idx="344">
                  <c:v>128.00000008000001</c:v>
                </c:pt>
                <c:pt idx="345">
                  <c:v>129.00000008000001</c:v>
                </c:pt>
                <c:pt idx="346">
                  <c:v>129.00000008000001</c:v>
                </c:pt>
                <c:pt idx="347">
                  <c:v>129.00000008000001</c:v>
                </c:pt>
                <c:pt idx="348">
                  <c:v>130.00000008000001</c:v>
                </c:pt>
                <c:pt idx="349">
                  <c:v>130.00000008000001</c:v>
                </c:pt>
                <c:pt idx="350">
                  <c:v>131.00000008000001</c:v>
                </c:pt>
                <c:pt idx="351">
                  <c:v>131.00000008000001</c:v>
                </c:pt>
                <c:pt idx="352">
                  <c:v>131.00000008000001</c:v>
                </c:pt>
                <c:pt idx="353">
                  <c:v>132.00000008000001</c:v>
                </c:pt>
                <c:pt idx="354">
                  <c:v>133.00000008000001</c:v>
                </c:pt>
                <c:pt idx="355">
                  <c:v>134.00000008000001</c:v>
                </c:pt>
                <c:pt idx="356">
                  <c:v>134.00000008000001</c:v>
                </c:pt>
                <c:pt idx="357">
                  <c:v>134.00000008000001</c:v>
                </c:pt>
                <c:pt idx="358">
                  <c:v>135.00000008000001</c:v>
                </c:pt>
                <c:pt idx="359">
                  <c:v>136.00000008000001</c:v>
                </c:pt>
                <c:pt idx="360">
                  <c:v>137.00000008000001</c:v>
                </c:pt>
                <c:pt idx="361">
                  <c:v>138.00000008000001</c:v>
                </c:pt>
                <c:pt idx="362">
                  <c:v>139.00000008000001</c:v>
                </c:pt>
                <c:pt idx="363">
                  <c:v>140.00000008000001</c:v>
                </c:pt>
                <c:pt idx="364">
                  <c:v>141.00000008000001</c:v>
                </c:pt>
                <c:pt idx="365">
                  <c:v>142.00000008000001</c:v>
                </c:pt>
                <c:pt idx="366">
                  <c:v>143.00000008000001</c:v>
                </c:pt>
                <c:pt idx="367">
                  <c:v>144.00000008000001</c:v>
                </c:pt>
                <c:pt idx="368">
                  <c:v>145.00000008000001</c:v>
                </c:pt>
                <c:pt idx="369">
                  <c:v>146.00000008000001</c:v>
                </c:pt>
                <c:pt idx="370">
                  <c:v>146.00000008000001</c:v>
                </c:pt>
                <c:pt idx="371">
                  <c:v>147.00000008000001</c:v>
                </c:pt>
                <c:pt idx="372">
                  <c:v>148.00000008000001</c:v>
                </c:pt>
                <c:pt idx="373">
                  <c:v>149.00000008000001</c:v>
                </c:pt>
                <c:pt idx="374">
                  <c:v>150.00000008000001</c:v>
                </c:pt>
                <c:pt idx="375">
                  <c:v>151.00000008000001</c:v>
                </c:pt>
                <c:pt idx="376">
                  <c:v>151.00000008000001</c:v>
                </c:pt>
                <c:pt idx="377">
                  <c:v>151.00000008000001</c:v>
                </c:pt>
                <c:pt idx="378">
                  <c:v>151.00000008000001</c:v>
                </c:pt>
                <c:pt idx="379">
                  <c:v>152.00000008000001</c:v>
                </c:pt>
                <c:pt idx="380">
                  <c:v>152.00000008000001</c:v>
                </c:pt>
                <c:pt idx="381">
                  <c:v>152.00000008000001</c:v>
                </c:pt>
                <c:pt idx="382">
                  <c:v>152.00000008000001</c:v>
                </c:pt>
                <c:pt idx="383">
                  <c:v>153.00000008000001</c:v>
                </c:pt>
                <c:pt idx="384">
                  <c:v>154.00000008000001</c:v>
                </c:pt>
                <c:pt idx="385">
                  <c:v>154.00000008000001</c:v>
                </c:pt>
                <c:pt idx="386">
                  <c:v>154.00000008000001</c:v>
                </c:pt>
                <c:pt idx="387">
                  <c:v>155.00000008000001</c:v>
                </c:pt>
                <c:pt idx="388">
                  <c:v>155.00000008000001</c:v>
                </c:pt>
                <c:pt idx="389">
                  <c:v>155.00000008000001</c:v>
                </c:pt>
                <c:pt idx="390">
                  <c:v>156.00000008000001</c:v>
                </c:pt>
                <c:pt idx="391">
                  <c:v>156.00000008000001</c:v>
                </c:pt>
                <c:pt idx="392">
                  <c:v>157.00000008000001</c:v>
                </c:pt>
                <c:pt idx="393">
                  <c:v>158.00000008000001</c:v>
                </c:pt>
                <c:pt idx="394">
                  <c:v>159.00000008000001</c:v>
                </c:pt>
                <c:pt idx="395">
                  <c:v>159.00000008000001</c:v>
                </c:pt>
                <c:pt idx="396">
                  <c:v>160.00000008000001</c:v>
                </c:pt>
                <c:pt idx="397">
                  <c:v>160.00000008000001</c:v>
                </c:pt>
                <c:pt idx="398">
                  <c:v>161.00000008000001</c:v>
                </c:pt>
                <c:pt idx="399">
                  <c:v>162.00000008000001</c:v>
                </c:pt>
                <c:pt idx="400">
                  <c:v>163.00000008000001</c:v>
                </c:pt>
                <c:pt idx="401">
                  <c:v>164.00000008000001</c:v>
                </c:pt>
                <c:pt idx="402">
                  <c:v>165.00000008000001</c:v>
                </c:pt>
                <c:pt idx="403">
                  <c:v>166.00000008000001</c:v>
                </c:pt>
                <c:pt idx="404">
                  <c:v>167.00000008000001</c:v>
                </c:pt>
                <c:pt idx="405">
                  <c:v>168.00000008000001</c:v>
                </c:pt>
                <c:pt idx="406">
                  <c:v>169.00000008000001</c:v>
                </c:pt>
                <c:pt idx="407">
                  <c:v>170.00000008000001</c:v>
                </c:pt>
                <c:pt idx="408">
                  <c:v>170.00000008000001</c:v>
                </c:pt>
                <c:pt idx="409">
                  <c:v>170.00000008000001</c:v>
                </c:pt>
                <c:pt idx="410">
                  <c:v>170.00000008000001</c:v>
                </c:pt>
                <c:pt idx="411">
                  <c:v>170.00000008000001</c:v>
                </c:pt>
                <c:pt idx="412">
                  <c:v>171.00000008000001</c:v>
                </c:pt>
                <c:pt idx="413">
                  <c:v>172.00000008000001</c:v>
                </c:pt>
                <c:pt idx="414">
                  <c:v>172.00000008000001</c:v>
                </c:pt>
                <c:pt idx="415">
                  <c:v>173.00000008000001</c:v>
                </c:pt>
                <c:pt idx="416">
                  <c:v>174.00000008000001</c:v>
                </c:pt>
                <c:pt idx="417">
                  <c:v>175.00000008000001</c:v>
                </c:pt>
                <c:pt idx="418">
                  <c:v>175.00000008000001</c:v>
                </c:pt>
                <c:pt idx="419">
                  <c:v>175.00000008000001</c:v>
                </c:pt>
                <c:pt idx="420">
                  <c:v>176.00000008000001</c:v>
                </c:pt>
                <c:pt idx="421">
                  <c:v>176.00000008000001</c:v>
                </c:pt>
                <c:pt idx="422">
                  <c:v>177.00000008000001</c:v>
                </c:pt>
                <c:pt idx="423">
                  <c:v>178.00000008000001</c:v>
                </c:pt>
                <c:pt idx="424">
                  <c:v>178.00000008000001</c:v>
                </c:pt>
                <c:pt idx="425">
                  <c:v>178.00000008000001</c:v>
                </c:pt>
                <c:pt idx="426">
                  <c:v>179.00000008000001</c:v>
                </c:pt>
                <c:pt idx="427">
                  <c:v>180.00000008000001</c:v>
                </c:pt>
                <c:pt idx="428">
                  <c:v>181.00000008000001</c:v>
                </c:pt>
                <c:pt idx="429">
                  <c:v>182.00000008000001</c:v>
                </c:pt>
                <c:pt idx="430">
                  <c:v>183.00000008000001</c:v>
                </c:pt>
                <c:pt idx="431">
                  <c:v>184.00000008000001</c:v>
                </c:pt>
                <c:pt idx="432">
                  <c:v>185.00000008000001</c:v>
                </c:pt>
                <c:pt idx="433">
                  <c:v>185.00000008000001</c:v>
                </c:pt>
                <c:pt idx="434">
                  <c:v>185.00000008000001</c:v>
                </c:pt>
                <c:pt idx="435">
                  <c:v>186.00000008000001</c:v>
                </c:pt>
                <c:pt idx="436">
                  <c:v>187.00000008000001</c:v>
                </c:pt>
                <c:pt idx="437">
                  <c:v>188.00000008000001</c:v>
                </c:pt>
                <c:pt idx="438">
                  <c:v>188.00000008000001</c:v>
                </c:pt>
                <c:pt idx="439">
                  <c:v>189.00000008000001</c:v>
                </c:pt>
                <c:pt idx="440">
                  <c:v>189.00000008000001</c:v>
                </c:pt>
                <c:pt idx="441">
                  <c:v>190.00000008000001</c:v>
                </c:pt>
                <c:pt idx="442">
                  <c:v>190.00000008000001</c:v>
                </c:pt>
                <c:pt idx="443">
                  <c:v>191.00000008000001</c:v>
                </c:pt>
                <c:pt idx="444">
                  <c:v>192.00000008000001</c:v>
                </c:pt>
                <c:pt idx="445">
                  <c:v>193.00000008000001</c:v>
                </c:pt>
                <c:pt idx="446">
                  <c:v>194.00000008000001</c:v>
                </c:pt>
                <c:pt idx="447">
                  <c:v>195.00000008000001</c:v>
                </c:pt>
                <c:pt idx="448">
                  <c:v>196.00000008000001</c:v>
                </c:pt>
                <c:pt idx="449">
                  <c:v>197.00000008000001</c:v>
                </c:pt>
                <c:pt idx="450">
                  <c:v>198.00000008000001</c:v>
                </c:pt>
                <c:pt idx="451">
                  <c:v>198.00000008000001</c:v>
                </c:pt>
                <c:pt idx="452">
                  <c:v>199.00000008000001</c:v>
                </c:pt>
                <c:pt idx="453">
                  <c:v>200.00000008000001</c:v>
                </c:pt>
                <c:pt idx="454">
                  <c:v>200.00000008000001</c:v>
                </c:pt>
                <c:pt idx="455">
                  <c:v>201.00000008000001</c:v>
                </c:pt>
                <c:pt idx="456">
                  <c:v>202.00000008000001</c:v>
                </c:pt>
                <c:pt idx="457">
                  <c:v>203.00000008000001</c:v>
                </c:pt>
                <c:pt idx="458">
                  <c:v>204.00000008000001</c:v>
                </c:pt>
                <c:pt idx="459">
                  <c:v>205.00000008000001</c:v>
                </c:pt>
                <c:pt idx="460">
                  <c:v>206.00000008000001</c:v>
                </c:pt>
                <c:pt idx="461">
                  <c:v>207.00000008000001</c:v>
                </c:pt>
                <c:pt idx="462">
                  <c:v>208.00000008000001</c:v>
                </c:pt>
                <c:pt idx="463">
                  <c:v>208.00000008000001</c:v>
                </c:pt>
                <c:pt idx="464">
                  <c:v>208.00000008000001</c:v>
                </c:pt>
                <c:pt idx="465">
                  <c:v>208.00000008000001</c:v>
                </c:pt>
                <c:pt idx="466">
                  <c:v>209.00000008000001</c:v>
                </c:pt>
                <c:pt idx="467">
                  <c:v>210.00000008000001</c:v>
                </c:pt>
                <c:pt idx="468">
                  <c:v>210.00000008000001</c:v>
                </c:pt>
                <c:pt idx="469">
                  <c:v>211.00000008000001</c:v>
                </c:pt>
                <c:pt idx="470">
                  <c:v>212.00000008000001</c:v>
                </c:pt>
                <c:pt idx="471">
                  <c:v>213.00000008000001</c:v>
                </c:pt>
                <c:pt idx="472">
                  <c:v>214.00000008000001</c:v>
                </c:pt>
                <c:pt idx="473">
                  <c:v>214.00000008000001</c:v>
                </c:pt>
                <c:pt idx="474">
                  <c:v>214.00000008000001</c:v>
                </c:pt>
                <c:pt idx="475">
                  <c:v>214.00000008000001</c:v>
                </c:pt>
                <c:pt idx="476">
                  <c:v>214.00000008000001</c:v>
                </c:pt>
                <c:pt idx="477">
                  <c:v>215.00000008000001</c:v>
                </c:pt>
                <c:pt idx="478">
                  <c:v>216.00000008000001</c:v>
                </c:pt>
                <c:pt idx="479">
                  <c:v>216.00000008000001</c:v>
                </c:pt>
                <c:pt idx="480">
                  <c:v>217.00000008000001</c:v>
                </c:pt>
                <c:pt idx="481">
                  <c:v>218.00000008000001</c:v>
                </c:pt>
                <c:pt idx="482">
                  <c:v>218.00000008000001</c:v>
                </c:pt>
                <c:pt idx="483">
                  <c:v>218.00000008000001</c:v>
                </c:pt>
                <c:pt idx="484">
                  <c:v>219.00000008000001</c:v>
                </c:pt>
                <c:pt idx="485">
                  <c:v>220.00000008000001</c:v>
                </c:pt>
                <c:pt idx="486">
                  <c:v>221.00000008000001</c:v>
                </c:pt>
                <c:pt idx="487">
                  <c:v>222.00000008000001</c:v>
                </c:pt>
                <c:pt idx="488">
                  <c:v>222.00000008000001</c:v>
                </c:pt>
                <c:pt idx="489">
                  <c:v>222.00000008000001</c:v>
                </c:pt>
                <c:pt idx="490">
                  <c:v>223.00000008000001</c:v>
                </c:pt>
                <c:pt idx="491">
                  <c:v>224.00000008000001</c:v>
                </c:pt>
                <c:pt idx="492">
                  <c:v>225.00000008000001</c:v>
                </c:pt>
                <c:pt idx="493">
                  <c:v>225.00000008000001</c:v>
                </c:pt>
                <c:pt idx="494">
                  <c:v>225.00000008000001</c:v>
                </c:pt>
                <c:pt idx="495">
                  <c:v>226.00000008000001</c:v>
                </c:pt>
                <c:pt idx="496">
                  <c:v>227.00000008000001</c:v>
                </c:pt>
                <c:pt idx="497">
                  <c:v>228.00000008000001</c:v>
                </c:pt>
                <c:pt idx="498">
                  <c:v>229.00000008000001</c:v>
                </c:pt>
                <c:pt idx="499">
                  <c:v>230.00000008000001</c:v>
                </c:pt>
                <c:pt idx="500">
                  <c:v>231.00000008000001</c:v>
                </c:pt>
                <c:pt idx="501">
                  <c:v>232.00000008000001</c:v>
                </c:pt>
                <c:pt idx="502">
                  <c:v>233.00000008000001</c:v>
                </c:pt>
                <c:pt idx="503">
                  <c:v>233.00000008000001</c:v>
                </c:pt>
                <c:pt idx="504">
                  <c:v>233.00000008000001</c:v>
                </c:pt>
                <c:pt idx="505">
                  <c:v>235.00000008000001</c:v>
                </c:pt>
                <c:pt idx="506">
                  <c:v>236.00000008000001</c:v>
                </c:pt>
                <c:pt idx="507">
                  <c:v>237.00000008000001</c:v>
                </c:pt>
                <c:pt idx="508">
                  <c:v>237.00000008000001</c:v>
                </c:pt>
                <c:pt idx="509">
                  <c:v>237.00000008000001</c:v>
                </c:pt>
                <c:pt idx="510">
                  <c:v>237.00000008000001</c:v>
                </c:pt>
                <c:pt idx="511">
                  <c:v>237.00000008000001</c:v>
                </c:pt>
                <c:pt idx="512">
                  <c:v>237.00000008000001</c:v>
                </c:pt>
                <c:pt idx="513">
                  <c:v>237.00000008000001</c:v>
                </c:pt>
                <c:pt idx="514">
                  <c:v>237.00000008000001</c:v>
                </c:pt>
                <c:pt idx="515">
                  <c:v>237.00000008000001</c:v>
                </c:pt>
                <c:pt idx="516">
                  <c:v>237.00000008000001</c:v>
                </c:pt>
                <c:pt idx="517">
                  <c:v>237.00000008000001</c:v>
                </c:pt>
                <c:pt idx="518">
                  <c:v>237.00000008000001</c:v>
                </c:pt>
                <c:pt idx="519">
                  <c:v>238.00000008000001</c:v>
                </c:pt>
                <c:pt idx="520">
                  <c:v>238.00000008000001</c:v>
                </c:pt>
                <c:pt idx="521">
                  <c:v>238.00000008000001</c:v>
                </c:pt>
                <c:pt idx="522">
                  <c:v>238.00000008000001</c:v>
                </c:pt>
                <c:pt idx="523">
                  <c:v>238.00000008000001</c:v>
                </c:pt>
                <c:pt idx="524">
                  <c:v>238.00000008000001</c:v>
                </c:pt>
                <c:pt idx="525">
                  <c:v>238.00000008000001</c:v>
                </c:pt>
                <c:pt idx="526">
                  <c:v>238.00000008000001</c:v>
                </c:pt>
                <c:pt idx="527">
                  <c:v>238.00000008000001</c:v>
                </c:pt>
                <c:pt idx="528">
                  <c:v>238.00000008000001</c:v>
                </c:pt>
                <c:pt idx="529">
                  <c:v>238.00000008000001</c:v>
                </c:pt>
                <c:pt idx="530">
                  <c:v>238.00000008000001</c:v>
                </c:pt>
                <c:pt idx="531">
                  <c:v>238.00000008000001</c:v>
                </c:pt>
              </c:numCache>
            </c:numRef>
          </c:val>
          <c:smooth val="0"/>
          <c:extLst>
            <c:ext xmlns:c16="http://schemas.microsoft.com/office/drawing/2014/chart" uri="{C3380CC4-5D6E-409C-BE32-E72D297353CC}">
              <c16:uniqueId val="{00000001-E375-4AF9-BB6A-A3C2377400CB}"/>
            </c:ext>
          </c:extLst>
        </c:ser>
        <c:ser>
          <c:idx val="2"/>
          <c:order val="2"/>
          <c:tx>
            <c:strRef>
              <c:f>Participation!$N$1</c:f>
              <c:strCache>
                <c:ptCount val="1"/>
                <c:pt idx="0">
                  <c:v>PKN</c:v>
                </c:pt>
              </c:strCache>
            </c:strRef>
          </c:tx>
          <c:spPr>
            <a:ln w="28575" cap="rnd">
              <a:solidFill>
                <a:schemeClr val="accent3"/>
              </a:solidFill>
              <a:round/>
            </a:ln>
            <a:effectLst/>
          </c:spPr>
          <c:marker>
            <c:symbol val="none"/>
          </c:marker>
          <c:cat>
            <c:numRef>
              <c:f>Participation!$K$2:$K$533</c:f>
              <c:numCache>
                <c:formatCode>m/d/yyyy</c:formatCode>
                <c:ptCount val="532"/>
                <c:pt idx="0">
                  <c:v>42475</c:v>
                </c:pt>
                <c:pt idx="1">
                  <c:v>42482</c:v>
                </c:pt>
                <c:pt idx="2">
                  <c:v>42489</c:v>
                </c:pt>
                <c:pt idx="3">
                  <c:v>42496</c:v>
                </c:pt>
                <c:pt idx="4">
                  <c:v>42503</c:v>
                </c:pt>
                <c:pt idx="5">
                  <c:v>42510</c:v>
                </c:pt>
                <c:pt idx="6">
                  <c:v>42517</c:v>
                </c:pt>
                <c:pt idx="7">
                  <c:v>42524</c:v>
                </c:pt>
                <c:pt idx="8">
                  <c:v>42531</c:v>
                </c:pt>
                <c:pt idx="9">
                  <c:v>42538</c:v>
                </c:pt>
                <c:pt idx="10">
                  <c:v>42545</c:v>
                </c:pt>
                <c:pt idx="11">
                  <c:v>42552</c:v>
                </c:pt>
                <c:pt idx="12">
                  <c:v>42559</c:v>
                </c:pt>
                <c:pt idx="13">
                  <c:v>42566</c:v>
                </c:pt>
                <c:pt idx="14">
                  <c:v>42573</c:v>
                </c:pt>
                <c:pt idx="15">
                  <c:v>42580</c:v>
                </c:pt>
                <c:pt idx="16">
                  <c:v>42587</c:v>
                </c:pt>
                <c:pt idx="17">
                  <c:v>42594</c:v>
                </c:pt>
                <c:pt idx="18">
                  <c:v>42601</c:v>
                </c:pt>
                <c:pt idx="19">
                  <c:v>42608</c:v>
                </c:pt>
                <c:pt idx="20">
                  <c:v>42615</c:v>
                </c:pt>
                <c:pt idx="21">
                  <c:v>42622</c:v>
                </c:pt>
                <c:pt idx="22">
                  <c:v>42629</c:v>
                </c:pt>
                <c:pt idx="23">
                  <c:v>42636</c:v>
                </c:pt>
                <c:pt idx="24">
                  <c:v>42643</c:v>
                </c:pt>
                <c:pt idx="25">
                  <c:v>42650</c:v>
                </c:pt>
                <c:pt idx="26">
                  <c:v>42657</c:v>
                </c:pt>
                <c:pt idx="27">
                  <c:v>42664</c:v>
                </c:pt>
                <c:pt idx="28">
                  <c:v>42671</c:v>
                </c:pt>
                <c:pt idx="29">
                  <c:v>42678</c:v>
                </c:pt>
                <c:pt idx="30">
                  <c:v>42685</c:v>
                </c:pt>
                <c:pt idx="31">
                  <c:v>42692</c:v>
                </c:pt>
                <c:pt idx="32">
                  <c:v>42699</c:v>
                </c:pt>
                <c:pt idx="33">
                  <c:v>42706</c:v>
                </c:pt>
                <c:pt idx="34">
                  <c:v>42713</c:v>
                </c:pt>
                <c:pt idx="35">
                  <c:v>42720</c:v>
                </c:pt>
                <c:pt idx="36">
                  <c:v>42727</c:v>
                </c:pt>
                <c:pt idx="37">
                  <c:v>42734</c:v>
                </c:pt>
                <c:pt idx="38">
                  <c:v>42741</c:v>
                </c:pt>
                <c:pt idx="39">
                  <c:v>42748</c:v>
                </c:pt>
                <c:pt idx="40">
                  <c:v>42755</c:v>
                </c:pt>
                <c:pt idx="41">
                  <c:v>42762</c:v>
                </c:pt>
                <c:pt idx="42">
                  <c:v>42769</c:v>
                </c:pt>
                <c:pt idx="43">
                  <c:v>42776</c:v>
                </c:pt>
                <c:pt idx="44">
                  <c:v>42783</c:v>
                </c:pt>
                <c:pt idx="45">
                  <c:v>42790</c:v>
                </c:pt>
                <c:pt idx="46">
                  <c:v>42797</c:v>
                </c:pt>
                <c:pt idx="47">
                  <c:v>42804</c:v>
                </c:pt>
                <c:pt idx="48">
                  <c:v>42811</c:v>
                </c:pt>
                <c:pt idx="49">
                  <c:v>42818</c:v>
                </c:pt>
                <c:pt idx="50">
                  <c:v>42825</c:v>
                </c:pt>
                <c:pt idx="51">
                  <c:v>42832</c:v>
                </c:pt>
                <c:pt idx="52">
                  <c:v>42846</c:v>
                </c:pt>
                <c:pt idx="53">
                  <c:v>42853</c:v>
                </c:pt>
                <c:pt idx="54">
                  <c:v>42860</c:v>
                </c:pt>
                <c:pt idx="55">
                  <c:v>42867</c:v>
                </c:pt>
                <c:pt idx="56">
                  <c:v>42874</c:v>
                </c:pt>
                <c:pt idx="57">
                  <c:v>42881</c:v>
                </c:pt>
                <c:pt idx="58">
                  <c:v>42888</c:v>
                </c:pt>
                <c:pt idx="59">
                  <c:v>42895</c:v>
                </c:pt>
                <c:pt idx="60">
                  <c:v>42902</c:v>
                </c:pt>
                <c:pt idx="61">
                  <c:v>42909</c:v>
                </c:pt>
                <c:pt idx="62">
                  <c:v>42916</c:v>
                </c:pt>
                <c:pt idx="63">
                  <c:v>42923</c:v>
                </c:pt>
                <c:pt idx="64">
                  <c:v>42930</c:v>
                </c:pt>
                <c:pt idx="65">
                  <c:v>42937</c:v>
                </c:pt>
                <c:pt idx="66">
                  <c:v>42944</c:v>
                </c:pt>
                <c:pt idx="67">
                  <c:v>42951</c:v>
                </c:pt>
                <c:pt idx="68">
                  <c:v>42958</c:v>
                </c:pt>
                <c:pt idx="69">
                  <c:v>42965</c:v>
                </c:pt>
                <c:pt idx="70">
                  <c:v>42972</c:v>
                </c:pt>
                <c:pt idx="71">
                  <c:v>42979</c:v>
                </c:pt>
                <c:pt idx="72">
                  <c:v>42986</c:v>
                </c:pt>
                <c:pt idx="73">
                  <c:v>42993</c:v>
                </c:pt>
                <c:pt idx="74">
                  <c:v>43000</c:v>
                </c:pt>
                <c:pt idx="75">
                  <c:v>43007</c:v>
                </c:pt>
                <c:pt idx="76">
                  <c:v>43014</c:v>
                </c:pt>
                <c:pt idx="77">
                  <c:v>43021</c:v>
                </c:pt>
                <c:pt idx="78">
                  <c:v>43028</c:v>
                </c:pt>
                <c:pt idx="79">
                  <c:v>43035</c:v>
                </c:pt>
                <c:pt idx="80">
                  <c:v>43042</c:v>
                </c:pt>
                <c:pt idx="81">
                  <c:v>43049</c:v>
                </c:pt>
                <c:pt idx="82">
                  <c:v>43056</c:v>
                </c:pt>
                <c:pt idx="83">
                  <c:v>43063</c:v>
                </c:pt>
                <c:pt idx="84">
                  <c:v>43070</c:v>
                </c:pt>
                <c:pt idx="85">
                  <c:v>43077</c:v>
                </c:pt>
                <c:pt idx="86">
                  <c:v>43084</c:v>
                </c:pt>
                <c:pt idx="87">
                  <c:v>43091</c:v>
                </c:pt>
                <c:pt idx="88">
                  <c:v>43098</c:v>
                </c:pt>
                <c:pt idx="89">
                  <c:v>43105</c:v>
                </c:pt>
                <c:pt idx="90">
                  <c:v>43112</c:v>
                </c:pt>
                <c:pt idx="91">
                  <c:v>43119</c:v>
                </c:pt>
                <c:pt idx="92">
                  <c:v>43126</c:v>
                </c:pt>
                <c:pt idx="93">
                  <c:v>43133</c:v>
                </c:pt>
                <c:pt idx="94">
                  <c:v>43140</c:v>
                </c:pt>
                <c:pt idx="95">
                  <c:v>43147</c:v>
                </c:pt>
                <c:pt idx="96">
                  <c:v>43154</c:v>
                </c:pt>
                <c:pt idx="97">
                  <c:v>43161</c:v>
                </c:pt>
                <c:pt idx="98">
                  <c:v>43168</c:v>
                </c:pt>
                <c:pt idx="99">
                  <c:v>43175</c:v>
                </c:pt>
                <c:pt idx="100">
                  <c:v>43182</c:v>
                </c:pt>
                <c:pt idx="101">
                  <c:v>43196</c:v>
                </c:pt>
                <c:pt idx="102">
                  <c:v>43203</c:v>
                </c:pt>
                <c:pt idx="103">
                  <c:v>43210</c:v>
                </c:pt>
                <c:pt idx="104">
                  <c:v>43217</c:v>
                </c:pt>
                <c:pt idx="105">
                  <c:v>43224</c:v>
                </c:pt>
                <c:pt idx="106">
                  <c:v>43231</c:v>
                </c:pt>
                <c:pt idx="107">
                  <c:v>43238</c:v>
                </c:pt>
                <c:pt idx="108">
                  <c:v>43245</c:v>
                </c:pt>
                <c:pt idx="109">
                  <c:v>43252</c:v>
                </c:pt>
                <c:pt idx="110">
                  <c:v>43259</c:v>
                </c:pt>
                <c:pt idx="111">
                  <c:v>43266</c:v>
                </c:pt>
                <c:pt idx="112">
                  <c:v>43273</c:v>
                </c:pt>
                <c:pt idx="113">
                  <c:v>43280</c:v>
                </c:pt>
                <c:pt idx="114">
                  <c:v>43287</c:v>
                </c:pt>
                <c:pt idx="115">
                  <c:v>43294</c:v>
                </c:pt>
                <c:pt idx="116">
                  <c:v>43301</c:v>
                </c:pt>
                <c:pt idx="117">
                  <c:v>43308</c:v>
                </c:pt>
                <c:pt idx="118">
                  <c:v>43315</c:v>
                </c:pt>
                <c:pt idx="119">
                  <c:v>43322</c:v>
                </c:pt>
                <c:pt idx="120">
                  <c:v>43329</c:v>
                </c:pt>
                <c:pt idx="121">
                  <c:v>43336</c:v>
                </c:pt>
                <c:pt idx="122">
                  <c:v>43343</c:v>
                </c:pt>
                <c:pt idx="123">
                  <c:v>43350</c:v>
                </c:pt>
                <c:pt idx="124">
                  <c:v>43357</c:v>
                </c:pt>
                <c:pt idx="125">
                  <c:v>43364</c:v>
                </c:pt>
                <c:pt idx="126">
                  <c:v>43371</c:v>
                </c:pt>
                <c:pt idx="127">
                  <c:v>43378</c:v>
                </c:pt>
                <c:pt idx="128">
                  <c:v>43385</c:v>
                </c:pt>
                <c:pt idx="129">
                  <c:v>43392</c:v>
                </c:pt>
                <c:pt idx="130">
                  <c:v>43399</c:v>
                </c:pt>
                <c:pt idx="131">
                  <c:v>43406</c:v>
                </c:pt>
                <c:pt idx="132">
                  <c:v>43413</c:v>
                </c:pt>
                <c:pt idx="133">
                  <c:v>43420</c:v>
                </c:pt>
                <c:pt idx="134">
                  <c:v>43427</c:v>
                </c:pt>
                <c:pt idx="135">
                  <c:v>43434</c:v>
                </c:pt>
                <c:pt idx="136">
                  <c:v>43441</c:v>
                </c:pt>
                <c:pt idx="137">
                  <c:v>43448</c:v>
                </c:pt>
                <c:pt idx="138">
                  <c:v>43455</c:v>
                </c:pt>
                <c:pt idx="139">
                  <c:v>43462</c:v>
                </c:pt>
                <c:pt idx="140">
                  <c:v>43469</c:v>
                </c:pt>
                <c:pt idx="141">
                  <c:v>43476</c:v>
                </c:pt>
                <c:pt idx="142">
                  <c:v>43483</c:v>
                </c:pt>
                <c:pt idx="143">
                  <c:v>43490</c:v>
                </c:pt>
                <c:pt idx="144">
                  <c:v>43497</c:v>
                </c:pt>
                <c:pt idx="145">
                  <c:v>43504</c:v>
                </c:pt>
                <c:pt idx="146">
                  <c:v>43511</c:v>
                </c:pt>
                <c:pt idx="147">
                  <c:v>43518</c:v>
                </c:pt>
                <c:pt idx="148">
                  <c:v>43525</c:v>
                </c:pt>
                <c:pt idx="149">
                  <c:v>43532</c:v>
                </c:pt>
                <c:pt idx="150">
                  <c:v>43539</c:v>
                </c:pt>
                <c:pt idx="151">
                  <c:v>43546</c:v>
                </c:pt>
                <c:pt idx="152">
                  <c:v>43553</c:v>
                </c:pt>
                <c:pt idx="153">
                  <c:v>43560</c:v>
                </c:pt>
                <c:pt idx="154">
                  <c:v>43567</c:v>
                </c:pt>
                <c:pt idx="155">
                  <c:v>43581</c:v>
                </c:pt>
                <c:pt idx="156">
                  <c:v>43588</c:v>
                </c:pt>
                <c:pt idx="157">
                  <c:v>43595</c:v>
                </c:pt>
                <c:pt idx="158">
                  <c:v>43602</c:v>
                </c:pt>
                <c:pt idx="159">
                  <c:v>43609</c:v>
                </c:pt>
                <c:pt idx="160">
                  <c:v>43616</c:v>
                </c:pt>
                <c:pt idx="161">
                  <c:v>43623</c:v>
                </c:pt>
                <c:pt idx="162">
                  <c:v>43630</c:v>
                </c:pt>
                <c:pt idx="163">
                  <c:v>43637</c:v>
                </c:pt>
                <c:pt idx="164">
                  <c:v>43644</c:v>
                </c:pt>
                <c:pt idx="165">
                  <c:v>43651</c:v>
                </c:pt>
                <c:pt idx="166">
                  <c:v>43658</c:v>
                </c:pt>
                <c:pt idx="167">
                  <c:v>43665</c:v>
                </c:pt>
                <c:pt idx="168">
                  <c:v>43672</c:v>
                </c:pt>
                <c:pt idx="169">
                  <c:v>43679</c:v>
                </c:pt>
                <c:pt idx="170">
                  <c:v>43686</c:v>
                </c:pt>
                <c:pt idx="171">
                  <c:v>43693</c:v>
                </c:pt>
                <c:pt idx="172">
                  <c:v>43700</c:v>
                </c:pt>
                <c:pt idx="173">
                  <c:v>43707</c:v>
                </c:pt>
                <c:pt idx="174">
                  <c:v>43714</c:v>
                </c:pt>
                <c:pt idx="175">
                  <c:v>43721</c:v>
                </c:pt>
                <c:pt idx="176">
                  <c:v>43728</c:v>
                </c:pt>
                <c:pt idx="177">
                  <c:v>43735</c:v>
                </c:pt>
                <c:pt idx="178">
                  <c:v>43742</c:v>
                </c:pt>
                <c:pt idx="179">
                  <c:v>43749</c:v>
                </c:pt>
                <c:pt idx="180">
                  <c:v>43756</c:v>
                </c:pt>
                <c:pt idx="181">
                  <c:v>43763</c:v>
                </c:pt>
                <c:pt idx="182">
                  <c:v>43770</c:v>
                </c:pt>
                <c:pt idx="183">
                  <c:v>43777</c:v>
                </c:pt>
                <c:pt idx="184">
                  <c:v>43784</c:v>
                </c:pt>
                <c:pt idx="185">
                  <c:v>43791</c:v>
                </c:pt>
                <c:pt idx="186">
                  <c:v>43798</c:v>
                </c:pt>
                <c:pt idx="187">
                  <c:v>43805</c:v>
                </c:pt>
                <c:pt idx="188">
                  <c:v>43812</c:v>
                </c:pt>
                <c:pt idx="189">
                  <c:v>43819</c:v>
                </c:pt>
                <c:pt idx="190">
                  <c:v>43826</c:v>
                </c:pt>
                <c:pt idx="191">
                  <c:v>43833</c:v>
                </c:pt>
                <c:pt idx="192">
                  <c:v>43840</c:v>
                </c:pt>
                <c:pt idx="193">
                  <c:v>43854</c:v>
                </c:pt>
                <c:pt idx="194">
                  <c:v>43861</c:v>
                </c:pt>
                <c:pt idx="195">
                  <c:v>43868</c:v>
                </c:pt>
                <c:pt idx="196">
                  <c:v>43875</c:v>
                </c:pt>
                <c:pt idx="197">
                  <c:v>43882</c:v>
                </c:pt>
                <c:pt idx="198">
                  <c:v>43889</c:v>
                </c:pt>
                <c:pt idx="199">
                  <c:v>43896</c:v>
                </c:pt>
                <c:pt idx="200">
                  <c:v>43903</c:v>
                </c:pt>
                <c:pt idx="201">
                  <c:v>43910</c:v>
                </c:pt>
                <c:pt idx="202">
                  <c:v>43917</c:v>
                </c:pt>
                <c:pt idx="203">
                  <c:v>43924</c:v>
                </c:pt>
                <c:pt idx="204">
                  <c:v>43938</c:v>
                </c:pt>
                <c:pt idx="205">
                  <c:v>43945</c:v>
                </c:pt>
                <c:pt idx="206">
                  <c:v>43952</c:v>
                </c:pt>
                <c:pt idx="207">
                  <c:v>43959</c:v>
                </c:pt>
                <c:pt idx="208">
                  <c:v>43966</c:v>
                </c:pt>
                <c:pt idx="209">
                  <c:v>43973</c:v>
                </c:pt>
                <c:pt idx="210">
                  <c:v>43980</c:v>
                </c:pt>
                <c:pt idx="211">
                  <c:v>43987</c:v>
                </c:pt>
                <c:pt idx="212">
                  <c:v>43994</c:v>
                </c:pt>
                <c:pt idx="213">
                  <c:v>44001</c:v>
                </c:pt>
                <c:pt idx="214">
                  <c:v>44008</c:v>
                </c:pt>
                <c:pt idx="215">
                  <c:v>44015</c:v>
                </c:pt>
                <c:pt idx="216">
                  <c:v>44022</c:v>
                </c:pt>
                <c:pt idx="217">
                  <c:v>44029</c:v>
                </c:pt>
                <c:pt idx="218">
                  <c:v>44036</c:v>
                </c:pt>
                <c:pt idx="219">
                  <c:v>44043</c:v>
                </c:pt>
                <c:pt idx="220">
                  <c:v>44050</c:v>
                </c:pt>
                <c:pt idx="221">
                  <c:v>44057</c:v>
                </c:pt>
                <c:pt idx="222">
                  <c:v>44064</c:v>
                </c:pt>
                <c:pt idx="223">
                  <c:v>44071</c:v>
                </c:pt>
                <c:pt idx="224">
                  <c:v>44078</c:v>
                </c:pt>
                <c:pt idx="225">
                  <c:v>44085</c:v>
                </c:pt>
                <c:pt idx="226">
                  <c:v>44092</c:v>
                </c:pt>
                <c:pt idx="227">
                  <c:v>44099</c:v>
                </c:pt>
                <c:pt idx="228">
                  <c:v>44106</c:v>
                </c:pt>
                <c:pt idx="229">
                  <c:v>44113</c:v>
                </c:pt>
                <c:pt idx="230">
                  <c:v>44120</c:v>
                </c:pt>
                <c:pt idx="231">
                  <c:v>44127</c:v>
                </c:pt>
                <c:pt idx="232">
                  <c:v>44134</c:v>
                </c:pt>
                <c:pt idx="233">
                  <c:v>44141</c:v>
                </c:pt>
                <c:pt idx="234">
                  <c:v>44148</c:v>
                </c:pt>
                <c:pt idx="235">
                  <c:v>44155</c:v>
                </c:pt>
                <c:pt idx="236">
                  <c:v>44162</c:v>
                </c:pt>
                <c:pt idx="237">
                  <c:v>44169</c:v>
                </c:pt>
                <c:pt idx="238">
                  <c:v>44176</c:v>
                </c:pt>
                <c:pt idx="239">
                  <c:v>44183</c:v>
                </c:pt>
                <c:pt idx="240">
                  <c:v>44204</c:v>
                </c:pt>
                <c:pt idx="241">
                  <c:v>44211</c:v>
                </c:pt>
                <c:pt idx="242">
                  <c:v>44218</c:v>
                </c:pt>
                <c:pt idx="243">
                  <c:v>44225</c:v>
                </c:pt>
                <c:pt idx="244">
                  <c:v>44232</c:v>
                </c:pt>
                <c:pt idx="245">
                  <c:v>44239</c:v>
                </c:pt>
                <c:pt idx="246">
                  <c:v>44246</c:v>
                </c:pt>
                <c:pt idx="247">
                  <c:v>44253</c:v>
                </c:pt>
                <c:pt idx="248">
                  <c:v>44260</c:v>
                </c:pt>
                <c:pt idx="249">
                  <c:v>44267</c:v>
                </c:pt>
                <c:pt idx="250">
                  <c:v>44274</c:v>
                </c:pt>
                <c:pt idx="251">
                  <c:v>44281</c:v>
                </c:pt>
                <c:pt idx="252">
                  <c:v>44295</c:v>
                </c:pt>
                <c:pt idx="253">
                  <c:v>44302</c:v>
                </c:pt>
                <c:pt idx="254">
                  <c:v>44309</c:v>
                </c:pt>
                <c:pt idx="255">
                  <c:v>44316</c:v>
                </c:pt>
                <c:pt idx="256">
                  <c:v>44323</c:v>
                </c:pt>
                <c:pt idx="257">
                  <c:v>44330</c:v>
                </c:pt>
                <c:pt idx="258">
                  <c:v>44337</c:v>
                </c:pt>
                <c:pt idx="259">
                  <c:v>44344</c:v>
                </c:pt>
                <c:pt idx="260">
                  <c:v>44351</c:v>
                </c:pt>
                <c:pt idx="261">
                  <c:v>44358</c:v>
                </c:pt>
                <c:pt idx="262">
                  <c:v>44365</c:v>
                </c:pt>
                <c:pt idx="263">
                  <c:v>44372</c:v>
                </c:pt>
                <c:pt idx="264">
                  <c:v>44379</c:v>
                </c:pt>
                <c:pt idx="265">
                  <c:v>44386</c:v>
                </c:pt>
                <c:pt idx="266">
                  <c:v>44393</c:v>
                </c:pt>
                <c:pt idx="267">
                  <c:v>44400</c:v>
                </c:pt>
                <c:pt idx="268">
                  <c:v>44407</c:v>
                </c:pt>
                <c:pt idx="269">
                  <c:v>44414</c:v>
                </c:pt>
                <c:pt idx="270">
                  <c:v>44421</c:v>
                </c:pt>
                <c:pt idx="271">
                  <c:v>44428</c:v>
                </c:pt>
                <c:pt idx="272">
                  <c:v>44435</c:v>
                </c:pt>
                <c:pt idx="273">
                  <c:v>44442</c:v>
                </c:pt>
                <c:pt idx="274">
                  <c:v>44449</c:v>
                </c:pt>
                <c:pt idx="275">
                  <c:v>44456</c:v>
                </c:pt>
                <c:pt idx="276">
                  <c:v>44463</c:v>
                </c:pt>
                <c:pt idx="277">
                  <c:v>44470</c:v>
                </c:pt>
                <c:pt idx="278">
                  <c:v>44477</c:v>
                </c:pt>
                <c:pt idx="279">
                  <c:v>44484</c:v>
                </c:pt>
                <c:pt idx="280">
                  <c:v>44491</c:v>
                </c:pt>
                <c:pt idx="281">
                  <c:v>44498</c:v>
                </c:pt>
                <c:pt idx="282">
                  <c:v>44505</c:v>
                </c:pt>
                <c:pt idx="283">
                  <c:v>44512</c:v>
                </c:pt>
                <c:pt idx="284">
                  <c:v>44519</c:v>
                </c:pt>
                <c:pt idx="285">
                  <c:v>44526</c:v>
                </c:pt>
                <c:pt idx="286">
                  <c:v>44533</c:v>
                </c:pt>
                <c:pt idx="287">
                  <c:v>44540</c:v>
                </c:pt>
                <c:pt idx="288">
                  <c:v>44547</c:v>
                </c:pt>
                <c:pt idx="289">
                  <c:v>44554</c:v>
                </c:pt>
                <c:pt idx="290">
                  <c:v>44561</c:v>
                </c:pt>
                <c:pt idx="291">
                  <c:v>44568</c:v>
                </c:pt>
                <c:pt idx="292">
                  <c:v>44575</c:v>
                </c:pt>
                <c:pt idx="293">
                  <c:v>44582</c:v>
                </c:pt>
                <c:pt idx="294">
                  <c:v>44589</c:v>
                </c:pt>
                <c:pt idx="295">
                  <c:v>44596</c:v>
                </c:pt>
                <c:pt idx="296">
                  <c:v>44603</c:v>
                </c:pt>
                <c:pt idx="297">
                  <c:v>44610</c:v>
                </c:pt>
                <c:pt idx="298">
                  <c:v>44617</c:v>
                </c:pt>
                <c:pt idx="299">
                  <c:v>44624</c:v>
                </c:pt>
                <c:pt idx="300">
                  <c:v>44631</c:v>
                </c:pt>
                <c:pt idx="301">
                  <c:v>44638</c:v>
                </c:pt>
                <c:pt idx="302">
                  <c:v>44645</c:v>
                </c:pt>
                <c:pt idx="303">
                  <c:v>44652</c:v>
                </c:pt>
                <c:pt idx="304">
                  <c:v>44659</c:v>
                </c:pt>
                <c:pt idx="305">
                  <c:v>44673</c:v>
                </c:pt>
                <c:pt idx="306">
                  <c:v>44680</c:v>
                </c:pt>
                <c:pt idx="307">
                  <c:v>44687</c:v>
                </c:pt>
                <c:pt idx="308">
                  <c:v>44694</c:v>
                </c:pt>
                <c:pt idx="309">
                  <c:v>44701</c:v>
                </c:pt>
                <c:pt idx="310">
                  <c:v>44708</c:v>
                </c:pt>
                <c:pt idx="311">
                  <c:v>44715</c:v>
                </c:pt>
                <c:pt idx="312">
                  <c:v>44722</c:v>
                </c:pt>
                <c:pt idx="313">
                  <c:v>44729</c:v>
                </c:pt>
                <c:pt idx="314">
                  <c:v>44736</c:v>
                </c:pt>
                <c:pt idx="315">
                  <c:v>44743</c:v>
                </c:pt>
                <c:pt idx="316">
                  <c:v>44750</c:v>
                </c:pt>
                <c:pt idx="317">
                  <c:v>44757</c:v>
                </c:pt>
                <c:pt idx="318">
                  <c:v>44764</c:v>
                </c:pt>
                <c:pt idx="319">
                  <c:v>44771</c:v>
                </c:pt>
                <c:pt idx="320">
                  <c:v>44778</c:v>
                </c:pt>
                <c:pt idx="321">
                  <c:v>44785</c:v>
                </c:pt>
                <c:pt idx="322">
                  <c:v>44792</c:v>
                </c:pt>
                <c:pt idx="323">
                  <c:v>44799</c:v>
                </c:pt>
                <c:pt idx="324">
                  <c:v>44806</c:v>
                </c:pt>
                <c:pt idx="325">
                  <c:v>44813</c:v>
                </c:pt>
                <c:pt idx="326">
                  <c:v>44820</c:v>
                </c:pt>
                <c:pt idx="327">
                  <c:v>44827</c:v>
                </c:pt>
                <c:pt idx="328">
                  <c:v>44834</c:v>
                </c:pt>
                <c:pt idx="329">
                  <c:v>44841</c:v>
                </c:pt>
                <c:pt idx="330">
                  <c:v>44848</c:v>
                </c:pt>
                <c:pt idx="331">
                  <c:v>44855</c:v>
                </c:pt>
                <c:pt idx="332">
                  <c:v>44862</c:v>
                </c:pt>
                <c:pt idx="333">
                  <c:v>44869</c:v>
                </c:pt>
                <c:pt idx="334">
                  <c:v>44876</c:v>
                </c:pt>
                <c:pt idx="335">
                  <c:v>44883</c:v>
                </c:pt>
                <c:pt idx="336">
                  <c:v>44890</c:v>
                </c:pt>
                <c:pt idx="337">
                  <c:v>44897</c:v>
                </c:pt>
                <c:pt idx="338">
                  <c:v>44904</c:v>
                </c:pt>
                <c:pt idx="339">
                  <c:v>44911</c:v>
                </c:pt>
                <c:pt idx="340">
                  <c:v>44918</c:v>
                </c:pt>
                <c:pt idx="341">
                  <c:v>44925</c:v>
                </c:pt>
                <c:pt idx="342">
                  <c:v>44932</c:v>
                </c:pt>
                <c:pt idx="343">
                  <c:v>44939</c:v>
                </c:pt>
                <c:pt idx="344">
                  <c:v>44946</c:v>
                </c:pt>
                <c:pt idx="345">
                  <c:v>44953</c:v>
                </c:pt>
                <c:pt idx="346">
                  <c:v>44960</c:v>
                </c:pt>
                <c:pt idx="347">
                  <c:v>44967</c:v>
                </c:pt>
                <c:pt idx="348">
                  <c:v>44974</c:v>
                </c:pt>
                <c:pt idx="349">
                  <c:v>44981</c:v>
                </c:pt>
                <c:pt idx="350">
                  <c:v>44988</c:v>
                </c:pt>
                <c:pt idx="351">
                  <c:v>44995</c:v>
                </c:pt>
                <c:pt idx="352">
                  <c:v>45002</c:v>
                </c:pt>
                <c:pt idx="353">
                  <c:v>45009</c:v>
                </c:pt>
                <c:pt idx="354">
                  <c:v>45016</c:v>
                </c:pt>
                <c:pt idx="355">
                  <c:v>45030</c:v>
                </c:pt>
                <c:pt idx="356">
                  <c:v>45037</c:v>
                </c:pt>
                <c:pt idx="357">
                  <c:v>45044</c:v>
                </c:pt>
                <c:pt idx="358">
                  <c:v>45051</c:v>
                </c:pt>
                <c:pt idx="359">
                  <c:v>45058</c:v>
                </c:pt>
                <c:pt idx="360">
                  <c:v>45065</c:v>
                </c:pt>
                <c:pt idx="361">
                  <c:v>45072</c:v>
                </c:pt>
                <c:pt idx="362">
                  <c:v>45079</c:v>
                </c:pt>
                <c:pt idx="363">
                  <c:v>45086</c:v>
                </c:pt>
                <c:pt idx="364">
                  <c:v>45093</c:v>
                </c:pt>
                <c:pt idx="365">
                  <c:v>45100</c:v>
                </c:pt>
                <c:pt idx="366">
                  <c:v>45107</c:v>
                </c:pt>
                <c:pt idx="367">
                  <c:v>45114</c:v>
                </c:pt>
                <c:pt idx="368">
                  <c:v>45121</c:v>
                </c:pt>
                <c:pt idx="369">
                  <c:v>45128</c:v>
                </c:pt>
                <c:pt idx="370">
                  <c:v>45135</c:v>
                </c:pt>
                <c:pt idx="371">
                  <c:v>45142</c:v>
                </c:pt>
                <c:pt idx="372">
                  <c:v>45149</c:v>
                </c:pt>
                <c:pt idx="373">
                  <c:v>45163</c:v>
                </c:pt>
                <c:pt idx="374">
                  <c:v>45170</c:v>
                </c:pt>
                <c:pt idx="375">
                  <c:v>45177</c:v>
                </c:pt>
                <c:pt idx="376">
                  <c:v>45184</c:v>
                </c:pt>
                <c:pt idx="377">
                  <c:v>45191</c:v>
                </c:pt>
                <c:pt idx="378">
                  <c:v>45198</c:v>
                </c:pt>
                <c:pt idx="379">
                  <c:v>45205</c:v>
                </c:pt>
                <c:pt idx="380">
                  <c:v>45212</c:v>
                </c:pt>
                <c:pt idx="381">
                  <c:v>45219</c:v>
                </c:pt>
                <c:pt idx="382">
                  <c:v>45226</c:v>
                </c:pt>
                <c:pt idx="383">
                  <c:v>45233</c:v>
                </c:pt>
                <c:pt idx="384">
                  <c:v>45240</c:v>
                </c:pt>
                <c:pt idx="385">
                  <c:v>45247</c:v>
                </c:pt>
                <c:pt idx="386">
                  <c:v>45254</c:v>
                </c:pt>
                <c:pt idx="387">
                  <c:v>45261</c:v>
                </c:pt>
                <c:pt idx="388">
                  <c:v>45268</c:v>
                </c:pt>
                <c:pt idx="389">
                  <c:v>45275</c:v>
                </c:pt>
                <c:pt idx="390">
                  <c:v>45282</c:v>
                </c:pt>
                <c:pt idx="391">
                  <c:v>45289</c:v>
                </c:pt>
                <c:pt idx="392">
                  <c:v>45296</c:v>
                </c:pt>
                <c:pt idx="393">
                  <c:v>45303</c:v>
                </c:pt>
                <c:pt idx="394">
                  <c:v>45310</c:v>
                </c:pt>
                <c:pt idx="395">
                  <c:v>45317</c:v>
                </c:pt>
                <c:pt idx="396">
                  <c:v>45324</c:v>
                </c:pt>
                <c:pt idx="397">
                  <c:v>45331</c:v>
                </c:pt>
                <c:pt idx="398">
                  <c:v>45338</c:v>
                </c:pt>
                <c:pt idx="399">
                  <c:v>45345</c:v>
                </c:pt>
                <c:pt idx="400">
                  <c:v>45352</c:v>
                </c:pt>
                <c:pt idx="401">
                  <c:v>45359</c:v>
                </c:pt>
                <c:pt idx="402">
                  <c:v>45366</c:v>
                </c:pt>
                <c:pt idx="403">
                  <c:v>45373</c:v>
                </c:pt>
                <c:pt idx="404">
                  <c:v>45387</c:v>
                </c:pt>
                <c:pt idx="405">
                  <c:v>45394</c:v>
                </c:pt>
                <c:pt idx="406">
                  <c:v>45401</c:v>
                </c:pt>
                <c:pt idx="407">
                  <c:v>45408</c:v>
                </c:pt>
                <c:pt idx="408">
                  <c:v>45415</c:v>
                </c:pt>
                <c:pt idx="409">
                  <c:v>45422</c:v>
                </c:pt>
                <c:pt idx="410">
                  <c:v>45429</c:v>
                </c:pt>
                <c:pt idx="411">
                  <c:v>45436</c:v>
                </c:pt>
                <c:pt idx="412">
                  <c:v>45443</c:v>
                </c:pt>
                <c:pt idx="413">
                  <c:v>45450</c:v>
                </c:pt>
                <c:pt idx="414">
                  <c:v>45457</c:v>
                </c:pt>
                <c:pt idx="415">
                  <c:v>45464</c:v>
                </c:pt>
                <c:pt idx="416">
                  <c:v>45471</c:v>
                </c:pt>
                <c:pt idx="417">
                  <c:v>45478</c:v>
                </c:pt>
                <c:pt idx="418">
                  <c:v>45485</c:v>
                </c:pt>
                <c:pt idx="419">
                  <c:v>45492</c:v>
                </c:pt>
                <c:pt idx="420">
                  <c:v>45499</c:v>
                </c:pt>
                <c:pt idx="421">
                  <c:v>45506</c:v>
                </c:pt>
                <c:pt idx="422">
                  <c:v>45513</c:v>
                </c:pt>
                <c:pt idx="423">
                  <c:v>45520</c:v>
                </c:pt>
                <c:pt idx="424">
                  <c:v>45527</c:v>
                </c:pt>
                <c:pt idx="425">
                  <c:v>45534</c:v>
                </c:pt>
                <c:pt idx="426">
                  <c:v>45541</c:v>
                </c:pt>
                <c:pt idx="427">
                  <c:v>45548</c:v>
                </c:pt>
                <c:pt idx="428">
                  <c:v>45555</c:v>
                </c:pt>
                <c:pt idx="429">
                  <c:v>45562</c:v>
                </c:pt>
                <c:pt idx="430">
                  <c:v>45569</c:v>
                </c:pt>
                <c:pt idx="431">
                  <c:v>45576</c:v>
                </c:pt>
                <c:pt idx="432">
                  <c:v>45583</c:v>
                </c:pt>
                <c:pt idx="433">
                  <c:v>45590</c:v>
                </c:pt>
                <c:pt idx="434">
                  <c:v>45597</c:v>
                </c:pt>
                <c:pt idx="435">
                  <c:v>45604</c:v>
                </c:pt>
                <c:pt idx="436">
                  <c:v>45611</c:v>
                </c:pt>
                <c:pt idx="437">
                  <c:v>45618</c:v>
                </c:pt>
                <c:pt idx="438">
                  <c:v>45625</c:v>
                </c:pt>
                <c:pt idx="439">
                  <c:v>45632</c:v>
                </c:pt>
                <c:pt idx="440">
                  <c:v>45639</c:v>
                </c:pt>
                <c:pt idx="441">
                  <c:v>45646</c:v>
                </c:pt>
                <c:pt idx="442">
                  <c:v>45653</c:v>
                </c:pt>
                <c:pt idx="443">
                  <c:v>45660</c:v>
                </c:pt>
                <c:pt idx="444">
                  <c:v>45667</c:v>
                </c:pt>
                <c:pt idx="445">
                  <c:v>45674</c:v>
                </c:pt>
                <c:pt idx="446">
                  <c:v>45681</c:v>
                </c:pt>
                <c:pt idx="447">
                  <c:v>45688</c:v>
                </c:pt>
                <c:pt idx="448">
                  <c:v>45695</c:v>
                </c:pt>
                <c:pt idx="449">
                  <c:v>45702</c:v>
                </c:pt>
                <c:pt idx="450">
                  <c:v>45709</c:v>
                </c:pt>
                <c:pt idx="451">
                  <c:v>45716</c:v>
                </c:pt>
                <c:pt idx="452">
                  <c:v>45723</c:v>
                </c:pt>
                <c:pt idx="453">
                  <c:v>45730</c:v>
                </c:pt>
                <c:pt idx="454">
                  <c:v>45737</c:v>
                </c:pt>
                <c:pt idx="455">
                  <c:v>45744</c:v>
                </c:pt>
                <c:pt idx="456">
                  <c:v>45751</c:v>
                </c:pt>
                <c:pt idx="457">
                  <c:v>45758</c:v>
                </c:pt>
                <c:pt idx="458">
                  <c:v>45772</c:v>
                </c:pt>
                <c:pt idx="459">
                  <c:v>45779</c:v>
                </c:pt>
                <c:pt idx="460">
                  <c:v>45786</c:v>
                </c:pt>
                <c:pt idx="461">
                  <c:v>45793</c:v>
                </c:pt>
                <c:pt idx="462">
                  <c:v>45800</c:v>
                </c:pt>
                <c:pt idx="463">
                  <c:v>45807</c:v>
                </c:pt>
                <c:pt idx="464">
                  <c:v>45814</c:v>
                </c:pt>
                <c:pt idx="465">
                  <c:v>45821</c:v>
                </c:pt>
                <c:pt idx="466">
                  <c:v>45828</c:v>
                </c:pt>
                <c:pt idx="467">
                  <c:v>45835</c:v>
                </c:pt>
                <c:pt idx="468">
                  <c:v>45842</c:v>
                </c:pt>
                <c:pt idx="469">
                  <c:v>45849</c:v>
                </c:pt>
                <c:pt idx="470">
                  <c:v>45856</c:v>
                </c:pt>
                <c:pt idx="471">
                  <c:v>45863</c:v>
                </c:pt>
                <c:pt idx="472">
                  <c:v>45877</c:v>
                </c:pt>
                <c:pt idx="473">
                  <c:v>45884</c:v>
                </c:pt>
                <c:pt idx="474">
                  <c:v>45891</c:v>
                </c:pt>
                <c:pt idx="475">
                  <c:v>45898</c:v>
                </c:pt>
                <c:pt idx="476">
                  <c:v>45905</c:v>
                </c:pt>
                <c:pt idx="477">
                  <c:v>45912</c:v>
                </c:pt>
                <c:pt idx="478">
                  <c:v>45919</c:v>
                </c:pt>
                <c:pt idx="479">
                  <c:v>45926</c:v>
                </c:pt>
                <c:pt idx="480">
                  <c:v>45933</c:v>
                </c:pt>
                <c:pt idx="481">
                  <c:v>45940</c:v>
                </c:pt>
                <c:pt idx="482">
                  <c:v>45947</c:v>
                </c:pt>
                <c:pt idx="483">
                  <c:v>45954</c:v>
                </c:pt>
                <c:pt idx="484">
                  <c:v>45961</c:v>
                </c:pt>
                <c:pt idx="485">
                  <c:v>45968</c:v>
                </c:pt>
                <c:pt idx="486">
                  <c:v>45975</c:v>
                </c:pt>
                <c:pt idx="487">
                  <c:v>45982</c:v>
                </c:pt>
                <c:pt idx="488">
                  <c:v>45989</c:v>
                </c:pt>
                <c:pt idx="489">
                  <c:v>45996</c:v>
                </c:pt>
                <c:pt idx="490">
                  <c:v>46003</c:v>
                </c:pt>
                <c:pt idx="491">
                  <c:v>46010</c:v>
                </c:pt>
                <c:pt idx="492">
                  <c:v>46031</c:v>
                </c:pt>
                <c:pt idx="493">
                  <c:v>46038</c:v>
                </c:pt>
                <c:pt idx="494">
                  <c:v>46045</c:v>
                </c:pt>
                <c:pt idx="495">
                  <c:v>46052</c:v>
                </c:pt>
                <c:pt idx="496">
                  <c:v>46059</c:v>
                </c:pt>
                <c:pt idx="497">
                  <c:v>46066</c:v>
                </c:pt>
                <c:pt idx="498">
                  <c:v>46073</c:v>
                </c:pt>
                <c:pt idx="499">
                  <c:v>46080</c:v>
                </c:pt>
                <c:pt idx="500">
                  <c:v>46087</c:v>
                </c:pt>
                <c:pt idx="501">
                  <c:v>46094</c:v>
                </c:pt>
                <c:pt idx="502">
                  <c:v>46101</c:v>
                </c:pt>
                <c:pt idx="503">
                  <c:v>46108</c:v>
                </c:pt>
                <c:pt idx="504">
                  <c:v>46122</c:v>
                </c:pt>
                <c:pt idx="505">
                  <c:v>46129</c:v>
                </c:pt>
                <c:pt idx="506">
                  <c:v>46136</c:v>
                </c:pt>
                <c:pt idx="507">
                  <c:v>46150</c:v>
                </c:pt>
                <c:pt idx="508">
                  <c:v>46157</c:v>
                </c:pt>
                <c:pt idx="509">
                  <c:v>46164</c:v>
                </c:pt>
                <c:pt idx="510">
                  <c:v>46171</c:v>
                </c:pt>
                <c:pt idx="511">
                  <c:v>46178</c:v>
                </c:pt>
                <c:pt idx="512">
                  <c:v>46185</c:v>
                </c:pt>
                <c:pt idx="513">
                  <c:v>46192</c:v>
                </c:pt>
                <c:pt idx="514">
                  <c:v>46199</c:v>
                </c:pt>
                <c:pt idx="515">
                  <c:v>46206</c:v>
                </c:pt>
                <c:pt idx="516">
                  <c:v>46213</c:v>
                </c:pt>
                <c:pt idx="517">
                  <c:v>46220</c:v>
                </c:pt>
                <c:pt idx="518">
                  <c:v>46227</c:v>
                </c:pt>
                <c:pt idx="519">
                  <c:v>46234</c:v>
                </c:pt>
                <c:pt idx="520">
                  <c:v>46241</c:v>
                </c:pt>
                <c:pt idx="521">
                  <c:v>46248</c:v>
                </c:pt>
                <c:pt idx="522">
                  <c:v>46255</c:v>
                </c:pt>
                <c:pt idx="523">
                  <c:v>46262</c:v>
                </c:pt>
                <c:pt idx="524">
                  <c:v>46269</c:v>
                </c:pt>
                <c:pt idx="525">
                  <c:v>46276</c:v>
                </c:pt>
                <c:pt idx="526">
                  <c:v>46283</c:v>
                </c:pt>
                <c:pt idx="527">
                  <c:v>46290</c:v>
                </c:pt>
                <c:pt idx="528">
                  <c:v>46297</c:v>
                </c:pt>
                <c:pt idx="529">
                  <c:v>46304</c:v>
                </c:pt>
                <c:pt idx="530">
                  <c:v>46311</c:v>
                </c:pt>
                <c:pt idx="531">
                  <c:v>46318</c:v>
                </c:pt>
              </c:numCache>
            </c:numRef>
          </c:cat>
          <c:val>
            <c:numRef>
              <c:f>Participation!$N$2:$N$533</c:f>
              <c:numCache>
                <c:formatCode>0</c:formatCode>
                <c:ptCount val="532"/>
                <c:pt idx="0">
                  <c:v>0.83333333333333337</c:v>
                </c:pt>
                <c:pt idx="1">
                  <c:v>1.6666666666666667</c:v>
                </c:pt>
                <c:pt idx="2">
                  <c:v>2.5</c:v>
                </c:pt>
                <c:pt idx="3">
                  <c:v>3.3333333333333335</c:v>
                </c:pt>
                <c:pt idx="4">
                  <c:v>4.166666666666667</c:v>
                </c:pt>
                <c:pt idx="5">
                  <c:v>5</c:v>
                </c:pt>
                <c:pt idx="6">
                  <c:v>5.833333333333333</c:v>
                </c:pt>
                <c:pt idx="7">
                  <c:v>6.6666666666666661</c:v>
                </c:pt>
                <c:pt idx="8">
                  <c:v>7.4999999999999991</c:v>
                </c:pt>
                <c:pt idx="9">
                  <c:v>8.3333333333333321</c:v>
                </c:pt>
                <c:pt idx="10">
                  <c:v>9.1666666666666661</c:v>
                </c:pt>
                <c:pt idx="11">
                  <c:v>10</c:v>
                </c:pt>
                <c:pt idx="12">
                  <c:v>10.833333333333334</c:v>
                </c:pt>
                <c:pt idx="13">
                  <c:v>11.666666666666668</c:v>
                </c:pt>
                <c:pt idx="14">
                  <c:v>12.500000000000002</c:v>
                </c:pt>
                <c:pt idx="15">
                  <c:v>13.333333333333336</c:v>
                </c:pt>
                <c:pt idx="16">
                  <c:v>14.16666666666667</c:v>
                </c:pt>
                <c:pt idx="17">
                  <c:v>15.000000000000004</c:v>
                </c:pt>
                <c:pt idx="18">
                  <c:v>15.833333333333337</c:v>
                </c:pt>
                <c:pt idx="19">
                  <c:v>16.666666666666671</c:v>
                </c:pt>
                <c:pt idx="20">
                  <c:v>17.500000000000004</c:v>
                </c:pt>
                <c:pt idx="21">
                  <c:v>18.333333333333336</c:v>
                </c:pt>
                <c:pt idx="22">
                  <c:v>19.166666666666668</c:v>
                </c:pt>
                <c:pt idx="23">
                  <c:v>20</c:v>
                </c:pt>
                <c:pt idx="24">
                  <c:v>20.833333333333332</c:v>
                </c:pt>
                <c:pt idx="25">
                  <c:v>21.666666666666664</c:v>
                </c:pt>
                <c:pt idx="26">
                  <c:v>22.499999999999996</c:v>
                </c:pt>
                <c:pt idx="27">
                  <c:v>23.333333333333329</c:v>
                </c:pt>
                <c:pt idx="28">
                  <c:v>24.166666666666661</c:v>
                </c:pt>
                <c:pt idx="29">
                  <c:v>24.999999999999993</c:v>
                </c:pt>
                <c:pt idx="30">
                  <c:v>25.833333333333325</c:v>
                </c:pt>
                <c:pt idx="31">
                  <c:v>26.666666666666657</c:v>
                </c:pt>
                <c:pt idx="32">
                  <c:v>27.499999999999989</c:v>
                </c:pt>
                <c:pt idx="33">
                  <c:v>28.333333333333321</c:v>
                </c:pt>
                <c:pt idx="34">
                  <c:v>29.166666666666654</c:v>
                </c:pt>
                <c:pt idx="35">
                  <c:v>29.999999999999986</c:v>
                </c:pt>
                <c:pt idx="36">
                  <c:v>30.999999999999986</c:v>
                </c:pt>
                <c:pt idx="37">
                  <c:v>31.999999999999986</c:v>
                </c:pt>
                <c:pt idx="38">
                  <c:v>32.999999999999986</c:v>
                </c:pt>
                <c:pt idx="39">
                  <c:v>33.999999999999986</c:v>
                </c:pt>
                <c:pt idx="40">
                  <c:v>34.999999999999986</c:v>
                </c:pt>
                <c:pt idx="41">
                  <c:v>35.999999999999986</c:v>
                </c:pt>
                <c:pt idx="42">
                  <c:v>36.999999999999986</c:v>
                </c:pt>
                <c:pt idx="43">
                  <c:v>36.999999999999986</c:v>
                </c:pt>
                <c:pt idx="44">
                  <c:v>36.999999999999986</c:v>
                </c:pt>
                <c:pt idx="45">
                  <c:v>37.999999999999986</c:v>
                </c:pt>
                <c:pt idx="46">
                  <c:v>38.999999999999986</c:v>
                </c:pt>
                <c:pt idx="47">
                  <c:v>38.999999999999986</c:v>
                </c:pt>
                <c:pt idx="48">
                  <c:v>39.999999999999986</c:v>
                </c:pt>
                <c:pt idx="49">
                  <c:v>39.999999999999986</c:v>
                </c:pt>
                <c:pt idx="50">
                  <c:v>39.999999999999986</c:v>
                </c:pt>
                <c:pt idx="51">
                  <c:v>40.999999999999986</c:v>
                </c:pt>
                <c:pt idx="52">
                  <c:v>41.999999999999986</c:v>
                </c:pt>
                <c:pt idx="53">
                  <c:v>42.999999999999986</c:v>
                </c:pt>
                <c:pt idx="54">
                  <c:v>43.999999999999986</c:v>
                </c:pt>
                <c:pt idx="55">
                  <c:v>44.999999999999986</c:v>
                </c:pt>
                <c:pt idx="56">
                  <c:v>44.999999999999986</c:v>
                </c:pt>
                <c:pt idx="57">
                  <c:v>44.999999999999986</c:v>
                </c:pt>
                <c:pt idx="58">
                  <c:v>44.999999999999986</c:v>
                </c:pt>
                <c:pt idx="59">
                  <c:v>44.999999999999986</c:v>
                </c:pt>
                <c:pt idx="60">
                  <c:v>45.999999999999986</c:v>
                </c:pt>
                <c:pt idx="61">
                  <c:v>46.999999999999986</c:v>
                </c:pt>
                <c:pt idx="62">
                  <c:v>47.999999999999986</c:v>
                </c:pt>
                <c:pt idx="63">
                  <c:v>48.999999999999986</c:v>
                </c:pt>
                <c:pt idx="64">
                  <c:v>49.999999999999986</c:v>
                </c:pt>
                <c:pt idx="65">
                  <c:v>50.999999999999986</c:v>
                </c:pt>
                <c:pt idx="66">
                  <c:v>51.999999999999986</c:v>
                </c:pt>
                <c:pt idx="67">
                  <c:v>52.999999999999986</c:v>
                </c:pt>
                <c:pt idx="68">
                  <c:v>53.999999999999986</c:v>
                </c:pt>
                <c:pt idx="69">
                  <c:v>53.999999999999986</c:v>
                </c:pt>
                <c:pt idx="70">
                  <c:v>54.999999999999986</c:v>
                </c:pt>
                <c:pt idx="71">
                  <c:v>55.999999999999986</c:v>
                </c:pt>
                <c:pt idx="72">
                  <c:v>55.999999999999986</c:v>
                </c:pt>
                <c:pt idx="73">
                  <c:v>56.999999999999986</c:v>
                </c:pt>
                <c:pt idx="74">
                  <c:v>57.999999999999986</c:v>
                </c:pt>
                <c:pt idx="75">
                  <c:v>57.999999999999986</c:v>
                </c:pt>
                <c:pt idx="76">
                  <c:v>58.999999999999986</c:v>
                </c:pt>
                <c:pt idx="77">
                  <c:v>58.999999999999986</c:v>
                </c:pt>
                <c:pt idx="78">
                  <c:v>59.999999999999986</c:v>
                </c:pt>
                <c:pt idx="79">
                  <c:v>60.999999999999986</c:v>
                </c:pt>
                <c:pt idx="80">
                  <c:v>61.999999999999986</c:v>
                </c:pt>
                <c:pt idx="81">
                  <c:v>62.999999999999986</c:v>
                </c:pt>
                <c:pt idx="82">
                  <c:v>62.999999999999986</c:v>
                </c:pt>
                <c:pt idx="83">
                  <c:v>63.999999999999986</c:v>
                </c:pt>
                <c:pt idx="84">
                  <c:v>64.999999999999986</c:v>
                </c:pt>
                <c:pt idx="85">
                  <c:v>65.999999999999986</c:v>
                </c:pt>
                <c:pt idx="86">
                  <c:v>66.999999999999986</c:v>
                </c:pt>
                <c:pt idx="87">
                  <c:v>67.999999999999986</c:v>
                </c:pt>
                <c:pt idx="88">
                  <c:v>67.999999999999986</c:v>
                </c:pt>
                <c:pt idx="89">
                  <c:v>67.999999999999986</c:v>
                </c:pt>
                <c:pt idx="90">
                  <c:v>67.999999999999986</c:v>
                </c:pt>
                <c:pt idx="91">
                  <c:v>68.999999999999986</c:v>
                </c:pt>
                <c:pt idx="92">
                  <c:v>69.999999999999986</c:v>
                </c:pt>
                <c:pt idx="93">
                  <c:v>69.999999999999986</c:v>
                </c:pt>
                <c:pt idx="94">
                  <c:v>70.999999999999986</c:v>
                </c:pt>
                <c:pt idx="95">
                  <c:v>71.999999999999986</c:v>
                </c:pt>
                <c:pt idx="96">
                  <c:v>72.999999999999986</c:v>
                </c:pt>
                <c:pt idx="97">
                  <c:v>73.999999999999986</c:v>
                </c:pt>
                <c:pt idx="98">
                  <c:v>74.999999999999986</c:v>
                </c:pt>
                <c:pt idx="99">
                  <c:v>75.999999999999986</c:v>
                </c:pt>
                <c:pt idx="100">
                  <c:v>76.999999999999986</c:v>
                </c:pt>
                <c:pt idx="101">
                  <c:v>77.999999999999986</c:v>
                </c:pt>
                <c:pt idx="102">
                  <c:v>78.999999999999986</c:v>
                </c:pt>
                <c:pt idx="103">
                  <c:v>79.999999999999986</c:v>
                </c:pt>
                <c:pt idx="104">
                  <c:v>79.999999999999986</c:v>
                </c:pt>
                <c:pt idx="105">
                  <c:v>79.999999999999986</c:v>
                </c:pt>
                <c:pt idx="106">
                  <c:v>80.999999999999986</c:v>
                </c:pt>
                <c:pt idx="107">
                  <c:v>80.999999999999986</c:v>
                </c:pt>
                <c:pt idx="108">
                  <c:v>80.999999999999986</c:v>
                </c:pt>
                <c:pt idx="109">
                  <c:v>80.999999999999986</c:v>
                </c:pt>
                <c:pt idx="110">
                  <c:v>81.999999999999986</c:v>
                </c:pt>
                <c:pt idx="111">
                  <c:v>82.999999999999986</c:v>
                </c:pt>
                <c:pt idx="112">
                  <c:v>83.999999999999986</c:v>
                </c:pt>
                <c:pt idx="113">
                  <c:v>84.999999999999986</c:v>
                </c:pt>
                <c:pt idx="114">
                  <c:v>84.999999999999986</c:v>
                </c:pt>
                <c:pt idx="115">
                  <c:v>85.999999999999986</c:v>
                </c:pt>
                <c:pt idx="116">
                  <c:v>86.999999999999986</c:v>
                </c:pt>
                <c:pt idx="117">
                  <c:v>87.999999999999986</c:v>
                </c:pt>
                <c:pt idx="118">
                  <c:v>88.999999999999986</c:v>
                </c:pt>
                <c:pt idx="119">
                  <c:v>89.999999999999986</c:v>
                </c:pt>
                <c:pt idx="120">
                  <c:v>90.999999999999986</c:v>
                </c:pt>
                <c:pt idx="121">
                  <c:v>90.999999999999986</c:v>
                </c:pt>
                <c:pt idx="122">
                  <c:v>90.999999999999986</c:v>
                </c:pt>
                <c:pt idx="123">
                  <c:v>91.999999999999986</c:v>
                </c:pt>
                <c:pt idx="124">
                  <c:v>92.999999999999986</c:v>
                </c:pt>
                <c:pt idx="125">
                  <c:v>93.999999999999986</c:v>
                </c:pt>
                <c:pt idx="126">
                  <c:v>93.999999999999986</c:v>
                </c:pt>
                <c:pt idx="127">
                  <c:v>94.999999999999986</c:v>
                </c:pt>
                <c:pt idx="128">
                  <c:v>95.999999999999986</c:v>
                </c:pt>
                <c:pt idx="129">
                  <c:v>96.999999999999986</c:v>
                </c:pt>
                <c:pt idx="130">
                  <c:v>97.999999999999986</c:v>
                </c:pt>
                <c:pt idx="131">
                  <c:v>98.999999999999986</c:v>
                </c:pt>
                <c:pt idx="132">
                  <c:v>99.999999999999986</c:v>
                </c:pt>
                <c:pt idx="133">
                  <c:v>99.999999999999986</c:v>
                </c:pt>
                <c:pt idx="134">
                  <c:v>100.99999999999999</c:v>
                </c:pt>
                <c:pt idx="135">
                  <c:v>101.99999999999999</c:v>
                </c:pt>
                <c:pt idx="136">
                  <c:v>101.99999999999999</c:v>
                </c:pt>
                <c:pt idx="137">
                  <c:v>102.99999999999999</c:v>
                </c:pt>
                <c:pt idx="138">
                  <c:v>103.99999999999999</c:v>
                </c:pt>
                <c:pt idx="139">
                  <c:v>103.99999999999999</c:v>
                </c:pt>
                <c:pt idx="140">
                  <c:v>104.99999999999999</c:v>
                </c:pt>
                <c:pt idx="141">
                  <c:v>105.99999999999999</c:v>
                </c:pt>
                <c:pt idx="142">
                  <c:v>106.99999999999999</c:v>
                </c:pt>
                <c:pt idx="143">
                  <c:v>107.99999999999999</c:v>
                </c:pt>
                <c:pt idx="144">
                  <c:v>107.99999999999999</c:v>
                </c:pt>
                <c:pt idx="145">
                  <c:v>107.99999999999999</c:v>
                </c:pt>
                <c:pt idx="146">
                  <c:v>108.99999999999999</c:v>
                </c:pt>
                <c:pt idx="147">
                  <c:v>109.99999999999999</c:v>
                </c:pt>
                <c:pt idx="148">
                  <c:v>110.99999999999999</c:v>
                </c:pt>
                <c:pt idx="149">
                  <c:v>111.99999999999999</c:v>
                </c:pt>
                <c:pt idx="150">
                  <c:v>112.99999999999999</c:v>
                </c:pt>
                <c:pt idx="151">
                  <c:v>113.99999999999999</c:v>
                </c:pt>
                <c:pt idx="152">
                  <c:v>114.99999999999999</c:v>
                </c:pt>
                <c:pt idx="153">
                  <c:v>115.99999999999999</c:v>
                </c:pt>
                <c:pt idx="154">
                  <c:v>116.99999999999999</c:v>
                </c:pt>
                <c:pt idx="155">
                  <c:v>117.99999999999999</c:v>
                </c:pt>
                <c:pt idx="156">
                  <c:v>118.99999999999999</c:v>
                </c:pt>
                <c:pt idx="157">
                  <c:v>119.99999999999999</c:v>
                </c:pt>
                <c:pt idx="158">
                  <c:v>119.99999999999999</c:v>
                </c:pt>
                <c:pt idx="159">
                  <c:v>120.99999999999999</c:v>
                </c:pt>
                <c:pt idx="160">
                  <c:v>121.99999999999999</c:v>
                </c:pt>
                <c:pt idx="161">
                  <c:v>122.99999999999999</c:v>
                </c:pt>
                <c:pt idx="162">
                  <c:v>123.99999999999999</c:v>
                </c:pt>
                <c:pt idx="163">
                  <c:v>124.99999999999999</c:v>
                </c:pt>
                <c:pt idx="164">
                  <c:v>125.99999999999999</c:v>
                </c:pt>
                <c:pt idx="165">
                  <c:v>125.99999999999999</c:v>
                </c:pt>
                <c:pt idx="166">
                  <c:v>125.99999999999999</c:v>
                </c:pt>
                <c:pt idx="167">
                  <c:v>125.99999999999999</c:v>
                </c:pt>
                <c:pt idx="168">
                  <c:v>126.99999999999999</c:v>
                </c:pt>
                <c:pt idx="169">
                  <c:v>127.99999999999999</c:v>
                </c:pt>
                <c:pt idx="170">
                  <c:v>129</c:v>
                </c:pt>
                <c:pt idx="171">
                  <c:v>130</c:v>
                </c:pt>
                <c:pt idx="172">
                  <c:v>131</c:v>
                </c:pt>
                <c:pt idx="173">
                  <c:v>132</c:v>
                </c:pt>
                <c:pt idx="174">
                  <c:v>133</c:v>
                </c:pt>
                <c:pt idx="175">
                  <c:v>134</c:v>
                </c:pt>
                <c:pt idx="176">
                  <c:v>134</c:v>
                </c:pt>
                <c:pt idx="177">
                  <c:v>135</c:v>
                </c:pt>
                <c:pt idx="178">
                  <c:v>136</c:v>
                </c:pt>
                <c:pt idx="179">
                  <c:v>137</c:v>
                </c:pt>
                <c:pt idx="180">
                  <c:v>138</c:v>
                </c:pt>
                <c:pt idx="181">
                  <c:v>139</c:v>
                </c:pt>
                <c:pt idx="182">
                  <c:v>140</c:v>
                </c:pt>
                <c:pt idx="183">
                  <c:v>141</c:v>
                </c:pt>
                <c:pt idx="184">
                  <c:v>141</c:v>
                </c:pt>
                <c:pt idx="185">
                  <c:v>142</c:v>
                </c:pt>
                <c:pt idx="186">
                  <c:v>143</c:v>
                </c:pt>
                <c:pt idx="187">
                  <c:v>144</c:v>
                </c:pt>
                <c:pt idx="188">
                  <c:v>145</c:v>
                </c:pt>
                <c:pt idx="189">
                  <c:v>145</c:v>
                </c:pt>
                <c:pt idx="190">
                  <c:v>146</c:v>
                </c:pt>
                <c:pt idx="191">
                  <c:v>147</c:v>
                </c:pt>
                <c:pt idx="192">
                  <c:v>148</c:v>
                </c:pt>
                <c:pt idx="193">
                  <c:v>149</c:v>
                </c:pt>
                <c:pt idx="194">
                  <c:v>150</c:v>
                </c:pt>
                <c:pt idx="195">
                  <c:v>151</c:v>
                </c:pt>
                <c:pt idx="196">
                  <c:v>152</c:v>
                </c:pt>
                <c:pt idx="197">
                  <c:v>153</c:v>
                </c:pt>
                <c:pt idx="198">
                  <c:v>153</c:v>
                </c:pt>
                <c:pt idx="199">
                  <c:v>154</c:v>
                </c:pt>
                <c:pt idx="200">
                  <c:v>154</c:v>
                </c:pt>
                <c:pt idx="201">
                  <c:v>155</c:v>
                </c:pt>
                <c:pt idx="202">
                  <c:v>156</c:v>
                </c:pt>
                <c:pt idx="203">
                  <c:v>157</c:v>
                </c:pt>
                <c:pt idx="204">
                  <c:v>158</c:v>
                </c:pt>
                <c:pt idx="205">
                  <c:v>159</c:v>
                </c:pt>
                <c:pt idx="206">
                  <c:v>160</c:v>
                </c:pt>
                <c:pt idx="207">
                  <c:v>161</c:v>
                </c:pt>
                <c:pt idx="208">
                  <c:v>162</c:v>
                </c:pt>
                <c:pt idx="209">
                  <c:v>163</c:v>
                </c:pt>
                <c:pt idx="210">
                  <c:v>164</c:v>
                </c:pt>
                <c:pt idx="211">
                  <c:v>165</c:v>
                </c:pt>
                <c:pt idx="212">
                  <c:v>166</c:v>
                </c:pt>
                <c:pt idx="213">
                  <c:v>167</c:v>
                </c:pt>
                <c:pt idx="214">
                  <c:v>168</c:v>
                </c:pt>
                <c:pt idx="215">
                  <c:v>169</c:v>
                </c:pt>
                <c:pt idx="216">
                  <c:v>170</c:v>
                </c:pt>
                <c:pt idx="217">
                  <c:v>170</c:v>
                </c:pt>
                <c:pt idx="218">
                  <c:v>171</c:v>
                </c:pt>
                <c:pt idx="219">
                  <c:v>172</c:v>
                </c:pt>
                <c:pt idx="220">
                  <c:v>173</c:v>
                </c:pt>
                <c:pt idx="221">
                  <c:v>174</c:v>
                </c:pt>
                <c:pt idx="222">
                  <c:v>174</c:v>
                </c:pt>
                <c:pt idx="223">
                  <c:v>175</c:v>
                </c:pt>
                <c:pt idx="224">
                  <c:v>176</c:v>
                </c:pt>
                <c:pt idx="225">
                  <c:v>177</c:v>
                </c:pt>
                <c:pt idx="226">
                  <c:v>178</c:v>
                </c:pt>
                <c:pt idx="227">
                  <c:v>179</c:v>
                </c:pt>
                <c:pt idx="228">
                  <c:v>180</c:v>
                </c:pt>
                <c:pt idx="229">
                  <c:v>180</c:v>
                </c:pt>
                <c:pt idx="230">
                  <c:v>181</c:v>
                </c:pt>
                <c:pt idx="231">
                  <c:v>181</c:v>
                </c:pt>
                <c:pt idx="232">
                  <c:v>182</c:v>
                </c:pt>
                <c:pt idx="233">
                  <c:v>182</c:v>
                </c:pt>
                <c:pt idx="234">
                  <c:v>183</c:v>
                </c:pt>
                <c:pt idx="235">
                  <c:v>184</c:v>
                </c:pt>
                <c:pt idx="236">
                  <c:v>185</c:v>
                </c:pt>
                <c:pt idx="237">
                  <c:v>186</c:v>
                </c:pt>
                <c:pt idx="238">
                  <c:v>187</c:v>
                </c:pt>
                <c:pt idx="239">
                  <c:v>187</c:v>
                </c:pt>
                <c:pt idx="240">
                  <c:v>187</c:v>
                </c:pt>
                <c:pt idx="241">
                  <c:v>187</c:v>
                </c:pt>
                <c:pt idx="242">
                  <c:v>188</c:v>
                </c:pt>
                <c:pt idx="243">
                  <c:v>189</c:v>
                </c:pt>
                <c:pt idx="244">
                  <c:v>190</c:v>
                </c:pt>
                <c:pt idx="245">
                  <c:v>191</c:v>
                </c:pt>
                <c:pt idx="246">
                  <c:v>191</c:v>
                </c:pt>
                <c:pt idx="247">
                  <c:v>192</c:v>
                </c:pt>
                <c:pt idx="248">
                  <c:v>193</c:v>
                </c:pt>
                <c:pt idx="249">
                  <c:v>194</c:v>
                </c:pt>
                <c:pt idx="250">
                  <c:v>195</c:v>
                </c:pt>
                <c:pt idx="251">
                  <c:v>196</c:v>
                </c:pt>
                <c:pt idx="252">
                  <c:v>197</c:v>
                </c:pt>
                <c:pt idx="253">
                  <c:v>198</c:v>
                </c:pt>
                <c:pt idx="254">
                  <c:v>199</c:v>
                </c:pt>
                <c:pt idx="255">
                  <c:v>199</c:v>
                </c:pt>
                <c:pt idx="256">
                  <c:v>200</c:v>
                </c:pt>
                <c:pt idx="257">
                  <c:v>201</c:v>
                </c:pt>
                <c:pt idx="258">
                  <c:v>201</c:v>
                </c:pt>
                <c:pt idx="259">
                  <c:v>201</c:v>
                </c:pt>
                <c:pt idx="260">
                  <c:v>202</c:v>
                </c:pt>
                <c:pt idx="261">
                  <c:v>203</c:v>
                </c:pt>
                <c:pt idx="262">
                  <c:v>204</c:v>
                </c:pt>
                <c:pt idx="263">
                  <c:v>205</c:v>
                </c:pt>
                <c:pt idx="264">
                  <c:v>205</c:v>
                </c:pt>
                <c:pt idx="265">
                  <c:v>206</c:v>
                </c:pt>
                <c:pt idx="266">
                  <c:v>206</c:v>
                </c:pt>
                <c:pt idx="267">
                  <c:v>206</c:v>
                </c:pt>
                <c:pt idx="268">
                  <c:v>207</c:v>
                </c:pt>
                <c:pt idx="269">
                  <c:v>208</c:v>
                </c:pt>
                <c:pt idx="270">
                  <c:v>209</c:v>
                </c:pt>
                <c:pt idx="271">
                  <c:v>210</c:v>
                </c:pt>
                <c:pt idx="272">
                  <c:v>211</c:v>
                </c:pt>
                <c:pt idx="273">
                  <c:v>211</c:v>
                </c:pt>
                <c:pt idx="274">
                  <c:v>212</c:v>
                </c:pt>
                <c:pt idx="275">
                  <c:v>213</c:v>
                </c:pt>
                <c:pt idx="276">
                  <c:v>214</c:v>
                </c:pt>
                <c:pt idx="277">
                  <c:v>214</c:v>
                </c:pt>
                <c:pt idx="278">
                  <c:v>215</c:v>
                </c:pt>
                <c:pt idx="279">
                  <c:v>215</c:v>
                </c:pt>
                <c:pt idx="280">
                  <c:v>216</c:v>
                </c:pt>
                <c:pt idx="281">
                  <c:v>217</c:v>
                </c:pt>
                <c:pt idx="282">
                  <c:v>217</c:v>
                </c:pt>
                <c:pt idx="283">
                  <c:v>218</c:v>
                </c:pt>
                <c:pt idx="284">
                  <c:v>219</c:v>
                </c:pt>
                <c:pt idx="285">
                  <c:v>220</c:v>
                </c:pt>
                <c:pt idx="286">
                  <c:v>220</c:v>
                </c:pt>
                <c:pt idx="287">
                  <c:v>221</c:v>
                </c:pt>
                <c:pt idx="288">
                  <c:v>222</c:v>
                </c:pt>
                <c:pt idx="289">
                  <c:v>223</c:v>
                </c:pt>
                <c:pt idx="290">
                  <c:v>224</c:v>
                </c:pt>
                <c:pt idx="291">
                  <c:v>224</c:v>
                </c:pt>
                <c:pt idx="292">
                  <c:v>225</c:v>
                </c:pt>
                <c:pt idx="293">
                  <c:v>226</c:v>
                </c:pt>
                <c:pt idx="294">
                  <c:v>227</c:v>
                </c:pt>
                <c:pt idx="295">
                  <c:v>227</c:v>
                </c:pt>
                <c:pt idx="296">
                  <c:v>228</c:v>
                </c:pt>
                <c:pt idx="297">
                  <c:v>229</c:v>
                </c:pt>
                <c:pt idx="298">
                  <c:v>230</c:v>
                </c:pt>
                <c:pt idx="299">
                  <c:v>230</c:v>
                </c:pt>
                <c:pt idx="300">
                  <c:v>231</c:v>
                </c:pt>
                <c:pt idx="301">
                  <c:v>232</c:v>
                </c:pt>
                <c:pt idx="302">
                  <c:v>232</c:v>
                </c:pt>
                <c:pt idx="303">
                  <c:v>232</c:v>
                </c:pt>
                <c:pt idx="304">
                  <c:v>233</c:v>
                </c:pt>
                <c:pt idx="305">
                  <c:v>234</c:v>
                </c:pt>
                <c:pt idx="306">
                  <c:v>235</c:v>
                </c:pt>
                <c:pt idx="307">
                  <c:v>235</c:v>
                </c:pt>
                <c:pt idx="308">
                  <c:v>236</c:v>
                </c:pt>
                <c:pt idx="309">
                  <c:v>237</c:v>
                </c:pt>
                <c:pt idx="310">
                  <c:v>237</c:v>
                </c:pt>
                <c:pt idx="311">
                  <c:v>237</c:v>
                </c:pt>
                <c:pt idx="312">
                  <c:v>237</c:v>
                </c:pt>
                <c:pt idx="313">
                  <c:v>238</c:v>
                </c:pt>
                <c:pt idx="314">
                  <c:v>239</c:v>
                </c:pt>
                <c:pt idx="315">
                  <c:v>240</c:v>
                </c:pt>
                <c:pt idx="316">
                  <c:v>240</c:v>
                </c:pt>
                <c:pt idx="317">
                  <c:v>240</c:v>
                </c:pt>
                <c:pt idx="318">
                  <c:v>240</c:v>
                </c:pt>
                <c:pt idx="319">
                  <c:v>241</c:v>
                </c:pt>
                <c:pt idx="320">
                  <c:v>242</c:v>
                </c:pt>
                <c:pt idx="321">
                  <c:v>243</c:v>
                </c:pt>
                <c:pt idx="322">
                  <c:v>243</c:v>
                </c:pt>
                <c:pt idx="323">
                  <c:v>244</c:v>
                </c:pt>
                <c:pt idx="324">
                  <c:v>245</c:v>
                </c:pt>
                <c:pt idx="325">
                  <c:v>246</c:v>
                </c:pt>
                <c:pt idx="326">
                  <c:v>246</c:v>
                </c:pt>
                <c:pt idx="327">
                  <c:v>247</c:v>
                </c:pt>
                <c:pt idx="328">
                  <c:v>248</c:v>
                </c:pt>
                <c:pt idx="329">
                  <c:v>249</c:v>
                </c:pt>
                <c:pt idx="330">
                  <c:v>250</c:v>
                </c:pt>
                <c:pt idx="331">
                  <c:v>251</c:v>
                </c:pt>
                <c:pt idx="332">
                  <c:v>251</c:v>
                </c:pt>
                <c:pt idx="333">
                  <c:v>251</c:v>
                </c:pt>
                <c:pt idx="334">
                  <c:v>251</c:v>
                </c:pt>
                <c:pt idx="335">
                  <c:v>251</c:v>
                </c:pt>
                <c:pt idx="336">
                  <c:v>251</c:v>
                </c:pt>
                <c:pt idx="337">
                  <c:v>251</c:v>
                </c:pt>
                <c:pt idx="338">
                  <c:v>252</c:v>
                </c:pt>
                <c:pt idx="339">
                  <c:v>252</c:v>
                </c:pt>
                <c:pt idx="340">
                  <c:v>253</c:v>
                </c:pt>
                <c:pt idx="341">
                  <c:v>253</c:v>
                </c:pt>
                <c:pt idx="342">
                  <c:v>254</c:v>
                </c:pt>
                <c:pt idx="343">
                  <c:v>255</c:v>
                </c:pt>
                <c:pt idx="344">
                  <c:v>256</c:v>
                </c:pt>
                <c:pt idx="345">
                  <c:v>257</c:v>
                </c:pt>
                <c:pt idx="346">
                  <c:v>257</c:v>
                </c:pt>
                <c:pt idx="347">
                  <c:v>258</c:v>
                </c:pt>
                <c:pt idx="348">
                  <c:v>258</c:v>
                </c:pt>
                <c:pt idx="349">
                  <c:v>259</c:v>
                </c:pt>
                <c:pt idx="350">
                  <c:v>260</c:v>
                </c:pt>
                <c:pt idx="351">
                  <c:v>260</c:v>
                </c:pt>
                <c:pt idx="352">
                  <c:v>260</c:v>
                </c:pt>
                <c:pt idx="353">
                  <c:v>260</c:v>
                </c:pt>
                <c:pt idx="354">
                  <c:v>260</c:v>
                </c:pt>
                <c:pt idx="355">
                  <c:v>260</c:v>
                </c:pt>
                <c:pt idx="356">
                  <c:v>260</c:v>
                </c:pt>
                <c:pt idx="357">
                  <c:v>261</c:v>
                </c:pt>
                <c:pt idx="358">
                  <c:v>262</c:v>
                </c:pt>
                <c:pt idx="359">
                  <c:v>262</c:v>
                </c:pt>
                <c:pt idx="360">
                  <c:v>262</c:v>
                </c:pt>
                <c:pt idx="361">
                  <c:v>263</c:v>
                </c:pt>
                <c:pt idx="362">
                  <c:v>263</c:v>
                </c:pt>
                <c:pt idx="363">
                  <c:v>264</c:v>
                </c:pt>
                <c:pt idx="364">
                  <c:v>265</c:v>
                </c:pt>
                <c:pt idx="365">
                  <c:v>266</c:v>
                </c:pt>
                <c:pt idx="366">
                  <c:v>266</c:v>
                </c:pt>
                <c:pt idx="367">
                  <c:v>267</c:v>
                </c:pt>
                <c:pt idx="368">
                  <c:v>268</c:v>
                </c:pt>
                <c:pt idx="369">
                  <c:v>268</c:v>
                </c:pt>
                <c:pt idx="370">
                  <c:v>269</c:v>
                </c:pt>
                <c:pt idx="371">
                  <c:v>269</c:v>
                </c:pt>
                <c:pt idx="372">
                  <c:v>270</c:v>
                </c:pt>
                <c:pt idx="373">
                  <c:v>270</c:v>
                </c:pt>
                <c:pt idx="374">
                  <c:v>271</c:v>
                </c:pt>
                <c:pt idx="375">
                  <c:v>271</c:v>
                </c:pt>
                <c:pt idx="376">
                  <c:v>271</c:v>
                </c:pt>
                <c:pt idx="377">
                  <c:v>272</c:v>
                </c:pt>
                <c:pt idx="378">
                  <c:v>272</c:v>
                </c:pt>
                <c:pt idx="379">
                  <c:v>272</c:v>
                </c:pt>
                <c:pt idx="380">
                  <c:v>273</c:v>
                </c:pt>
                <c:pt idx="381">
                  <c:v>273</c:v>
                </c:pt>
                <c:pt idx="382">
                  <c:v>274</c:v>
                </c:pt>
                <c:pt idx="383">
                  <c:v>275</c:v>
                </c:pt>
                <c:pt idx="384">
                  <c:v>275</c:v>
                </c:pt>
                <c:pt idx="385">
                  <c:v>276</c:v>
                </c:pt>
                <c:pt idx="386">
                  <c:v>276</c:v>
                </c:pt>
                <c:pt idx="387">
                  <c:v>277</c:v>
                </c:pt>
                <c:pt idx="388">
                  <c:v>277</c:v>
                </c:pt>
                <c:pt idx="389">
                  <c:v>278</c:v>
                </c:pt>
                <c:pt idx="390">
                  <c:v>279</c:v>
                </c:pt>
                <c:pt idx="391">
                  <c:v>279</c:v>
                </c:pt>
                <c:pt idx="392">
                  <c:v>279</c:v>
                </c:pt>
                <c:pt idx="393">
                  <c:v>280</c:v>
                </c:pt>
                <c:pt idx="394">
                  <c:v>280</c:v>
                </c:pt>
                <c:pt idx="395">
                  <c:v>280</c:v>
                </c:pt>
                <c:pt idx="396">
                  <c:v>281</c:v>
                </c:pt>
                <c:pt idx="397">
                  <c:v>282</c:v>
                </c:pt>
                <c:pt idx="398">
                  <c:v>283</c:v>
                </c:pt>
                <c:pt idx="399">
                  <c:v>283</c:v>
                </c:pt>
                <c:pt idx="400">
                  <c:v>284</c:v>
                </c:pt>
                <c:pt idx="401">
                  <c:v>284</c:v>
                </c:pt>
                <c:pt idx="402">
                  <c:v>284</c:v>
                </c:pt>
                <c:pt idx="403">
                  <c:v>285</c:v>
                </c:pt>
                <c:pt idx="404">
                  <c:v>285</c:v>
                </c:pt>
                <c:pt idx="405">
                  <c:v>286</c:v>
                </c:pt>
                <c:pt idx="406">
                  <c:v>287</c:v>
                </c:pt>
                <c:pt idx="407">
                  <c:v>287</c:v>
                </c:pt>
                <c:pt idx="408">
                  <c:v>288</c:v>
                </c:pt>
                <c:pt idx="409">
                  <c:v>288</c:v>
                </c:pt>
                <c:pt idx="410">
                  <c:v>289</c:v>
                </c:pt>
                <c:pt idx="411">
                  <c:v>289</c:v>
                </c:pt>
                <c:pt idx="412">
                  <c:v>290</c:v>
                </c:pt>
                <c:pt idx="413">
                  <c:v>291</c:v>
                </c:pt>
                <c:pt idx="414">
                  <c:v>291</c:v>
                </c:pt>
                <c:pt idx="415">
                  <c:v>292</c:v>
                </c:pt>
                <c:pt idx="416">
                  <c:v>293</c:v>
                </c:pt>
                <c:pt idx="417">
                  <c:v>293</c:v>
                </c:pt>
                <c:pt idx="418">
                  <c:v>293</c:v>
                </c:pt>
                <c:pt idx="419">
                  <c:v>293</c:v>
                </c:pt>
                <c:pt idx="420">
                  <c:v>294</c:v>
                </c:pt>
                <c:pt idx="421">
                  <c:v>294</c:v>
                </c:pt>
                <c:pt idx="422">
                  <c:v>295</c:v>
                </c:pt>
                <c:pt idx="423">
                  <c:v>296</c:v>
                </c:pt>
                <c:pt idx="424">
                  <c:v>297</c:v>
                </c:pt>
                <c:pt idx="425">
                  <c:v>298</c:v>
                </c:pt>
                <c:pt idx="426">
                  <c:v>298</c:v>
                </c:pt>
                <c:pt idx="427">
                  <c:v>299</c:v>
                </c:pt>
                <c:pt idx="428">
                  <c:v>300</c:v>
                </c:pt>
                <c:pt idx="429">
                  <c:v>300</c:v>
                </c:pt>
                <c:pt idx="430">
                  <c:v>300</c:v>
                </c:pt>
                <c:pt idx="431">
                  <c:v>300</c:v>
                </c:pt>
                <c:pt idx="432">
                  <c:v>300</c:v>
                </c:pt>
                <c:pt idx="433">
                  <c:v>300</c:v>
                </c:pt>
                <c:pt idx="434">
                  <c:v>300</c:v>
                </c:pt>
                <c:pt idx="435">
                  <c:v>300</c:v>
                </c:pt>
                <c:pt idx="436">
                  <c:v>301</c:v>
                </c:pt>
                <c:pt idx="437">
                  <c:v>301</c:v>
                </c:pt>
                <c:pt idx="438">
                  <c:v>302</c:v>
                </c:pt>
                <c:pt idx="439">
                  <c:v>302</c:v>
                </c:pt>
                <c:pt idx="440">
                  <c:v>302</c:v>
                </c:pt>
                <c:pt idx="441">
                  <c:v>303</c:v>
                </c:pt>
                <c:pt idx="442">
                  <c:v>303</c:v>
                </c:pt>
                <c:pt idx="443">
                  <c:v>303</c:v>
                </c:pt>
                <c:pt idx="444">
                  <c:v>303</c:v>
                </c:pt>
                <c:pt idx="445">
                  <c:v>303</c:v>
                </c:pt>
                <c:pt idx="446">
                  <c:v>304</c:v>
                </c:pt>
                <c:pt idx="447">
                  <c:v>304</c:v>
                </c:pt>
                <c:pt idx="448">
                  <c:v>305</c:v>
                </c:pt>
                <c:pt idx="449">
                  <c:v>306</c:v>
                </c:pt>
                <c:pt idx="450">
                  <c:v>307</c:v>
                </c:pt>
                <c:pt idx="451">
                  <c:v>307</c:v>
                </c:pt>
                <c:pt idx="452">
                  <c:v>308</c:v>
                </c:pt>
                <c:pt idx="453">
                  <c:v>309</c:v>
                </c:pt>
                <c:pt idx="454">
                  <c:v>310</c:v>
                </c:pt>
                <c:pt idx="455">
                  <c:v>311</c:v>
                </c:pt>
                <c:pt idx="456">
                  <c:v>311</c:v>
                </c:pt>
                <c:pt idx="457">
                  <c:v>312</c:v>
                </c:pt>
                <c:pt idx="458">
                  <c:v>312</c:v>
                </c:pt>
                <c:pt idx="459">
                  <c:v>312</c:v>
                </c:pt>
                <c:pt idx="460">
                  <c:v>312</c:v>
                </c:pt>
                <c:pt idx="461">
                  <c:v>312</c:v>
                </c:pt>
                <c:pt idx="462">
                  <c:v>312</c:v>
                </c:pt>
                <c:pt idx="463">
                  <c:v>312</c:v>
                </c:pt>
                <c:pt idx="464">
                  <c:v>313</c:v>
                </c:pt>
                <c:pt idx="465">
                  <c:v>314</c:v>
                </c:pt>
                <c:pt idx="466">
                  <c:v>315</c:v>
                </c:pt>
                <c:pt idx="467">
                  <c:v>315</c:v>
                </c:pt>
                <c:pt idx="468">
                  <c:v>316</c:v>
                </c:pt>
                <c:pt idx="469">
                  <c:v>316</c:v>
                </c:pt>
                <c:pt idx="470">
                  <c:v>317</c:v>
                </c:pt>
                <c:pt idx="471">
                  <c:v>318</c:v>
                </c:pt>
                <c:pt idx="472">
                  <c:v>318</c:v>
                </c:pt>
                <c:pt idx="473">
                  <c:v>318</c:v>
                </c:pt>
                <c:pt idx="474">
                  <c:v>319</c:v>
                </c:pt>
                <c:pt idx="475">
                  <c:v>319</c:v>
                </c:pt>
                <c:pt idx="476">
                  <c:v>320</c:v>
                </c:pt>
                <c:pt idx="477">
                  <c:v>320</c:v>
                </c:pt>
                <c:pt idx="478">
                  <c:v>321</c:v>
                </c:pt>
                <c:pt idx="479">
                  <c:v>321</c:v>
                </c:pt>
                <c:pt idx="480">
                  <c:v>321</c:v>
                </c:pt>
                <c:pt idx="481">
                  <c:v>321</c:v>
                </c:pt>
                <c:pt idx="482">
                  <c:v>322</c:v>
                </c:pt>
                <c:pt idx="483">
                  <c:v>322</c:v>
                </c:pt>
                <c:pt idx="484">
                  <c:v>323</c:v>
                </c:pt>
                <c:pt idx="485">
                  <c:v>324</c:v>
                </c:pt>
                <c:pt idx="486">
                  <c:v>325</c:v>
                </c:pt>
                <c:pt idx="487">
                  <c:v>325</c:v>
                </c:pt>
                <c:pt idx="488">
                  <c:v>325</c:v>
                </c:pt>
                <c:pt idx="489">
                  <c:v>325</c:v>
                </c:pt>
                <c:pt idx="490">
                  <c:v>326</c:v>
                </c:pt>
                <c:pt idx="491">
                  <c:v>327</c:v>
                </c:pt>
                <c:pt idx="492">
                  <c:v>327</c:v>
                </c:pt>
                <c:pt idx="493">
                  <c:v>328</c:v>
                </c:pt>
                <c:pt idx="494">
                  <c:v>329</c:v>
                </c:pt>
                <c:pt idx="495">
                  <c:v>329</c:v>
                </c:pt>
                <c:pt idx="496">
                  <c:v>329</c:v>
                </c:pt>
                <c:pt idx="497">
                  <c:v>330</c:v>
                </c:pt>
                <c:pt idx="498">
                  <c:v>330</c:v>
                </c:pt>
                <c:pt idx="499">
                  <c:v>331</c:v>
                </c:pt>
                <c:pt idx="500">
                  <c:v>331</c:v>
                </c:pt>
                <c:pt idx="501">
                  <c:v>332</c:v>
                </c:pt>
                <c:pt idx="502">
                  <c:v>332</c:v>
                </c:pt>
                <c:pt idx="503">
                  <c:v>333</c:v>
                </c:pt>
                <c:pt idx="504">
                  <c:v>333</c:v>
                </c:pt>
                <c:pt idx="505">
                  <c:v>333</c:v>
                </c:pt>
                <c:pt idx="506">
                  <c:v>334</c:v>
                </c:pt>
                <c:pt idx="507">
                  <c:v>335</c:v>
                </c:pt>
                <c:pt idx="508">
                  <c:v>336</c:v>
                </c:pt>
                <c:pt idx="509">
                  <c:v>336</c:v>
                </c:pt>
                <c:pt idx="510">
                  <c:v>336</c:v>
                </c:pt>
                <c:pt idx="511">
                  <c:v>336</c:v>
                </c:pt>
                <c:pt idx="512">
                  <c:v>336</c:v>
                </c:pt>
                <c:pt idx="513">
                  <c:v>336</c:v>
                </c:pt>
                <c:pt idx="514">
                  <c:v>336</c:v>
                </c:pt>
                <c:pt idx="515">
                  <c:v>337</c:v>
                </c:pt>
                <c:pt idx="516">
                  <c:v>338</c:v>
                </c:pt>
                <c:pt idx="517">
                  <c:v>338</c:v>
                </c:pt>
                <c:pt idx="518">
                  <c:v>338</c:v>
                </c:pt>
                <c:pt idx="519">
                  <c:v>338</c:v>
                </c:pt>
                <c:pt idx="520">
                  <c:v>338</c:v>
                </c:pt>
                <c:pt idx="521">
                  <c:v>339</c:v>
                </c:pt>
                <c:pt idx="522">
                  <c:v>339</c:v>
                </c:pt>
                <c:pt idx="523">
                  <c:v>340</c:v>
                </c:pt>
                <c:pt idx="524">
                  <c:v>340</c:v>
                </c:pt>
                <c:pt idx="525">
                  <c:v>340</c:v>
                </c:pt>
                <c:pt idx="526">
                  <c:v>340</c:v>
                </c:pt>
                <c:pt idx="527">
                  <c:v>341</c:v>
                </c:pt>
                <c:pt idx="528">
                  <c:v>342</c:v>
                </c:pt>
                <c:pt idx="529">
                  <c:v>343</c:v>
                </c:pt>
                <c:pt idx="530">
                  <c:v>344</c:v>
                </c:pt>
                <c:pt idx="531">
                  <c:v>344</c:v>
                </c:pt>
              </c:numCache>
            </c:numRef>
          </c:val>
          <c:smooth val="0"/>
          <c:extLst>
            <c:ext xmlns:c16="http://schemas.microsoft.com/office/drawing/2014/chart" uri="{C3380CC4-5D6E-409C-BE32-E72D297353CC}">
              <c16:uniqueId val="{00000002-E375-4AF9-BB6A-A3C2377400CB}"/>
            </c:ext>
          </c:extLst>
        </c:ser>
        <c:ser>
          <c:idx val="3"/>
          <c:order val="3"/>
          <c:tx>
            <c:strRef>
              <c:f>Participation!$O$1</c:f>
              <c:strCache>
                <c:ptCount val="1"/>
                <c:pt idx="0">
                  <c:v>YMI</c:v>
                </c:pt>
              </c:strCache>
            </c:strRef>
          </c:tx>
          <c:spPr>
            <a:ln w="28575" cap="rnd">
              <a:solidFill>
                <a:schemeClr val="accent4"/>
              </a:solidFill>
              <a:round/>
            </a:ln>
            <a:effectLst/>
          </c:spPr>
          <c:marker>
            <c:symbol val="none"/>
          </c:marker>
          <c:cat>
            <c:numRef>
              <c:f>Participation!$K$2:$K$533</c:f>
              <c:numCache>
                <c:formatCode>m/d/yyyy</c:formatCode>
                <c:ptCount val="532"/>
                <c:pt idx="0">
                  <c:v>42475</c:v>
                </c:pt>
                <c:pt idx="1">
                  <c:v>42482</c:v>
                </c:pt>
                <c:pt idx="2">
                  <c:v>42489</c:v>
                </c:pt>
                <c:pt idx="3">
                  <c:v>42496</c:v>
                </c:pt>
                <c:pt idx="4">
                  <c:v>42503</c:v>
                </c:pt>
                <c:pt idx="5">
                  <c:v>42510</c:v>
                </c:pt>
                <c:pt idx="6">
                  <c:v>42517</c:v>
                </c:pt>
                <c:pt idx="7">
                  <c:v>42524</c:v>
                </c:pt>
                <c:pt idx="8">
                  <c:v>42531</c:v>
                </c:pt>
                <c:pt idx="9">
                  <c:v>42538</c:v>
                </c:pt>
                <c:pt idx="10">
                  <c:v>42545</c:v>
                </c:pt>
                <c:pt idx="11">
                  <c:v>42552</c:v>
                </c:pt>
                <c:pt idx="12">
                  <c:v>42559</c:v>
                </c:pt>
                <c:pt idx="13">
                  <c:v>42566</c:v>
                </c:pt>
                <c:pt idx="14">
                  <c:v>42573</c:v>
                </c:pt>
                <c:pt idx="15">
                  <c:v>42580</c:v>
                </c:pt>
                <c:pt idx="16">
                  <c:v>42587</c:v>
                </c:pt>
                <c:pt idx="17">
                  <c:v>42594</c:v>
                </c:pt>
                <c:pt idx="18">
                  <c:v>42601</c:v>
                </c:pt>
                <c:pt idx="19">
                  <c:v>42608</c:v>
                </c:pt>
                <c:pt idx="20">
                  <c:v>42615</c:v>
                </c:pt>
                <c:pt idx="21">
                  <c:v>42622</c:v>
                </c:pt>
                <c:pt idx="22">
                  <c:v>42629</c:v>
                </c:pt>
                <c:pt idx="23">
                  <c:v>42636</c:v>
                </c:pt>
                <c:pt idx="24">
                  <c:v>42643</c:v>
                </c:pt>
                <c:pt idx="25">
                  <c:v>42650</c:v>
                </c:pt>
                <c:pt idx="26">
                  <c:v>42657</c:v>
                </c:pt>
                <c:pt idx="27">
                  <c:v>42664</c:v>
                </c:pt>
                <c:pt idx="28">
                  <c:v>42671</c:v>
                </c:pt>
                <c:pt idx="29">
                  <c:v>42678</c:v>
                </c:pt>
                <c:pt idx="30">
                  <c:v>42685</c:v>
                </c:pt>
                <c:pt idx="31">
                  <c:v>42692</c:v>
                </c:pt>
                <c:pt idx="32">
                  <c:v>42699</c:v>
                </c:pt>
                <c:pt idx="33">
                  <c:v>42706</c:v>
                </c:pt>
                <c:pt idx="34">
                  <c:v>42713</c:v>
                </c:pt>
                <c:pt idx="35">
                  <c:v>42720</c:v>
                </c:pt>
                <c:pt idx="36">
                  <c:v>42727</c:v>
                </c:pt>
                <c:pt idx="37">
                  <c:v>42734</c:v>
                </c:pt>
                <c:pt idx="38">
                  <c:v>42741</c:v>
                </c:pt>
                <c:pt idx="39">
                  <c:v>42748</c:v>
                </c:pt>
                <c:pt idx="40">
                  <c:v>42755</c:v>
                </c:pt>
                <c:pt idx="41">
                  <c:v>42762</c:v>
                </c:pt>
                <c:pt idx="42">
                  <c:v>42769</c:v>
                </c:pt>
                <c:pt idx="43">
                  <c:v>42776</c:v>
                </c:pt>
                <c:pt idx="44">
                  <c:v>42783</c:v>
                </c:pt>
                <c:pt idx="45">
                  <c:v>42790</c:v>
                </c:pt>
                <c:pt idx="46">
                  <c:v>42797</c:v>
                </c:pt>
                <c:pt idx="47">
                  <c:v>42804</c:v>
                </c:pt>
                <c:pt idx="48">
                  <c:v>42811</c:v>
                </c:pt>
                <c:pt idx="49">
                  <c:v>42818</c:v>
                </c:pt>
                <c:pt idx="50">
                  <c:v>42825</c:v>
                </c:pt>
                <c:pt idx="51">
                  <c:v>42832</c:v>
                </c:pt>
                <c:pt idx="52">
                  <c:v>42846</c:v>
                </c:pt>
                <c:pt idx="53">
                  <c:v>42853</c:v>
                </c:pt>
                <c:pt idx="54">
                  <c:v>42860</c:v>
                </c:pt>
                <c:pt idx="55">
                  <c:v>42867</c:v>
                </c:pt>
                <c:pt idx="56">
                  <c:v>42874</c:v>
                </c:pt>
                <c:pt idx="57">
                  <c:v>42881</c:v>
                </c:pt>
                <c:pt idx="58">
                  <c:v>42888</c:v>
                </c:pt>
                <c:pt idx="59">
                  <c:v>42895</c:v>
                </c:pt>
                <c:pt idx="60">
                  <c:v>42902</c:v>
                </c:pt>
                <c:pt idx="61">
                  <c:v>42909</c:v>
                </c:pt>
                <c:pt idx="62">
                  <c:v>42916</c:v>
                </c:pt>
                <c:pt idx="63">
                  <c:v>42923</c:v>
                </c:pt>
                <c:pt idx="64">
                  <c:v>42930</c:v>
                </c:pt>
                <c:pt idx="65">
                  <c:v>42937</c:v>
                </c:pt>
                <c:pt idx="66">
                  <c:v>42944</c:v>
                </c:pt>
                <c:pt idx="67">
                  <c:v>42951</c:v>
                </c:pt>
                <c:pt idx="68">
                  <c:v>42958</c:v>
                </c:pt>
                <c:pt idx="69">
                  <c:v>42965</c:v>
                </c:pt>
                <c:pt idx="70">
                  <c:v>42972</c:v>
                </c:pt>
                <c:pt idx="71">
                  <c:v>42979</c:v>
                </c:pt>
                <c:pt idx="72">
                  <c:v>42986</c:v>
                </c:pt>
                <c:pt idx="73">
                  <c:v>42993</c:v>
                </c:pt>
                <c:pt idx="74">
                  <c:v>43000</c:v>
                </c:pt>
                <c:pt idx="75">
                  <c:v>43007</c:v>
                </c:pt>
                <c:pt idx="76">
                  <c:v>43014</c:v>
                </c:pt>
                <c:pt idx="77">
                  <c:v>43021</c:v>
                </c:pt>
                <c:pt idx="78">
                  <c:v>43028</c:v>
                </c:pt>
                <c:pt idx="79">
                  <c:v>43035</c:v>
                </c:pt>
                <c:pt idx="80">
                  <c:v>43042</c:v>
                </c:pt>
                <c:pt idx="81">
                  <c:v>43049</c:v>
                </c:pt>
                <c:pt idx="82">
                  <c:v>43056</c:v>
                </c:pt>
                <c:pt idx="83">
                  <c:v>43063</c:v>
                </c:pt>
                <c:pt idx="84">
                  <c:v>43070</c:v>
                </c:pt>
                <c:pt idx="85">
                  <c:v>43077</c:v>
                </c:pt>
                <c:pt idx="86">
                  <c:v>43084</c:v>
                </c:pt>
                <c:pt idx="87">
                  <c:v>43091</c:v>
                </c:pt>
                <c:pt idx="88">
                  <c:v>43098</c:v>
                </c:pt>
                <c:pt idx="89">
                  <c:v>43105</c:v>
                </c:pt>
                <c:pt idx="90">
                  <c:v>43112</c:v>
                </c:pt>
                <c:pt idx="91">
                  <c:v>43119</c:v>
                </c:pt>
                <c:pt idx="92">
                  <c:v>43126</c:v>
                </c:pt>
                <c:pt idx="93">
                  <c:v>43133</c:v>
                </c:pt>
                <c:pt idx="94">
                  <c:v>43140</c:v>
                </c:pt>
                <c:pt idx="95">
                  <c:v>43147</c:v>
                </c:pt>
                <c:pt idx="96">
                  <c:v>43154</c:v>
                </c:pt>
                <c:pt idx="97">
                  <c:v>43161</c:v>
                </c:pt>
                <c:pt idx="98">
                  <c:v>43168</c:v>
                </c:pt>
                <c:pt idx="99">
                  <c:v>43175</c:v>
                </c:pt>
                <c:pt idx="100">
                  <c:v>43182</c:v>
                </c:pt>
                <c:pt idx="101">
                  <c:v>43196</c:v>
                </c:pt>
                <c:pt idx="102">
                  <c:v>43203</c:v>
                </c:pt>
                <c:pt idx="103">
                  <c:v>43210</c:v>
                </c:pt>
                <c:pt idx="104">
                  <c:v>43217</c:v>
                </c:pt>
                <c:pt idx="105">
                  <c:v>43224</c:v>
                </c:pt>
                <c:pt idx="106">
                  <c:v>43231</c:v>
                </c:pt>
                <c:pt idx="107">
                  <c:v>43238</c:v>
                </c:pt>
                <c:pt idx="108">
                  <c:v>43245</c:v>
                </c:pt>
                <c:pt idx="109">
                  <c:v>43252</c:v>
                </c:pt>
                <c:pt idx="110">
                  <c:v>43259</c:v>
                </c:pt>
                <c:pt idx="111">
                  <c:v>43266</c:v>
                </c:pt>
                <c:pt idx="112">
                  <c:v>43273</c:v>
                </c:pt>
                <c:pt idx="113">
                  <c:v>43280</c:v>
                </c:pt>
                <c:pt idx="114">
                  <c:v>43287</c:v>
                </c:pt>
                <c:pt idx="115">
                  <c:v>43294</c:v>
                </c:pt>
                <c:pt idx="116">
                  <c:v>43301</c:v>
                </c:pt>
                <c:pt idx="117">
                  <c:v>43308</c:v>
                </c:pt>
                <c:pt idx="118">
                  <c:v>43315</c:v>
                </c:pt>
                <c:pt idx="119">
                  <c:v>43322</c:v>
                </c:pt>
                <c:pt idx="120">
                  <c:v>43329</c:v>
                </c:pt>
                <c:pt idx="121">
                  <c:v>43336</c:v>
                </c:pt>
                <c:pt idx="122">
                  <c:v>43343</c:v>
                </c:pt>
                <c:pt idx="123">
                  <c:v>43350</c:v>
                </c:pt>
                <c:pt idx="124">
                  <c:v>43357</c:v>
                </c:pt>
                <c:pt idx="125">
                  <c:v>43364</c:v>
                </c:pt>
                <c:pt idx="126">
                  <c:v>43371</c:v>
                </c:pt>
                <c:pt idx="127">
                  <c:v>43378</c:v>
                </c:pt>
                <c:pt idx="128">
                  <c:v>43385</c:v>
                </c:pt>
                <c:pt idx="129">
                  <c:v>43392</c:v>
                </c:pt>
                <c:pt idx="130">
                  <c:v>43399</c:v>
                </c:pt>
                <c:pt idx="131">
                  <c:v>43406</c:v>
                </c:pt>
                <c:pt idx="132">
                  <c:v>43413</c:v>
                </c:pt>
                <c:pt idx="133">
                  <c:v>43420</c:v>
                </c:pt>
                <c:pt idx="134">
                  <c:v>43427</c:v>
                </c:pt>
                <c:pt idx="135">
                  <c:v>43434</c:v>
                </c:pt>
                <c:pt idx="136">
                  <c:v>43441</c:v>
                </c:pt>
                <c:pt idx="137">
                  <c:v>43448</c:v>
                </c:pt>
                <c:pt idx="138">
                  <c:v>43455</c:v>
                </c:pt>
                <c:pt idx="139">
                  <c:v>43462</c:v>
                </c:pt>
                <c:pt idx="140">
                  <c:v>43469</c:v>
                </c:pt>
                <c:pt idx="141">
                  <c:v>43476</c:v>
                </c:pt>
                <c:pt idx="142">
                  <c:v>43483</c:v>
                </c:pt>
                <c:pt idx="143">
                  <c:v>43490</c:v>
                </c:pt>
                <c:pt idx="144">
                  <c:v>43497</c:v>
                </c:pt>
                <c:pt idx="145">
                  <c:v>43504</c:v>
                </c:pt>
                <c:pt idx="146">
                  <c:v>43511</c:v>
                </c:pt>
                <c:pt idx="147">
                  <c:v>43518</c:v>
                </c:pt>
                <c:pt idx="148">
                  <c:v>43525</c:v>
                </c:pt>
                <c:pt idx="149">
                  <c:v>43532</c:v>
                </c:pt>
                <c:pt idx="150">
                  <c:v>43539</c:v>
                </c:pt>
                <c:pt idx="151">
                  <c:v>43546</c:v>
                </c:pt>
                <c:pt idx="152">
                  <c:v>43553</c:v>
                </c:pt>
                <c:pt idx="153">
                  <c:v>43560</c:v>
                </c:pt>
                <c:pt idx="154">
                  <c:v>43567</c:v>
                </c:pt>
                <c:pt idx="155">
                  <c:v>43581</c:v>
                </c:pt>
                <c:pt idx="156">
                  <c:v>43588</c:v>
                </c:pt>
                <c:pt idx="157">
                  <c:v>43595</c:v>
                </c:pt>
                <c:pt idx="158">
                  <c:v>43602</c:v>
                </c:pt>
                <c:pt idx="159">
                  <c:v>43609</c:v>
                </c:pt>
                <c:pt idx="160">
                  <c:v>43616</c:v>
                </c:pt>
                <c:pt idx="161">
                  <c:v>43623</c:v>
                </c:pt>
                <c:pt idx="162">
                  <c:v>43630</c:v>
                </c:pt>
                <c:pt idx="163">
                  <c:v>43637</c:v>
                </c:pt>
                <c:pt idx="164">
                  <c:v>43644</c:v>
                </c:pt>
                <c:pt idx="165">
                  <c:v>43651</c:v>
                </c:pt>
                <c:pt idx="166">
                  <c:v>43658</c:v>
                </c:pt>
                <c:pt idx="167">
                  <c:v>43665</c:v>
                </c:pt>
                <c:pt idx="168">
                  <c:v>43672</c:v>
                </c:pt>
                <c:pt idx="169">
                  <c:v>43679</c:v>
                </c:pt>
                <c:pt idx="170">
                  <c:v>43686</c:v>
                </c:pt>
                <c:pt idx="171">
                  <c:v>43693</c:v>
                </c:pt>
                <c:pt idx="172">
                  <c:v>43700</c:v>
                </c:pt>
                <c:pt idx="173">
                  <c:v>43707</c:v>
                </c:pt>
                <c:pt idx="174">
                  <c:v>43714</c:v>
                </c:pt>
                <c:pt idx="175">
                  <c:v>43721</c:v>
                </c:pt>
                <c:pt idx="176">
                  <c:v>43728</c:v>
                </c:pt>
                <c:pt idx="177">
                  <c:v>43735</c:v>
                </c:pt>
                <c:pt idx="178">
                  <c:v>43742</c:v>
                </c:pt>
                <c:pt idx="179">
                  <c:v>43749</c:v>
                </c:pt>
                <c:pt idx="180">
                  <c:v>43756</c:v>
                </c:pt>
                <c:pt idx="181">
                  <c:v>43763</c:v>
                </c:pt>
                <c:pt idx="182">
                  <c:v>43770</c:v>
                </c:pt>
                <c:pt idx="183">
                  <c:v>43777</c:v>
                </c:pt>
                <c:pt idx="184">
                  <c:v>43784</c:v>
                </c:pt>
                <c:pt idx="185">
                  <c:v>43791</c:v>
                </c:pt>
                <c:pt idx="186">
                  <c:v>43798</c:v>
                </c:pt>
                <c:pt idx="187">
                  <c:v>43805</c:v>
                </c:pt>
                <c:pt idx="188">
                  <c:v>43812</c:v>
                </c:pt>
                <c:pt idx="189">
                  <c:v>43819</c:v>
                </c:pt>
                <c:pt idx="190">
                  <c:v>43826</c:v>
                </c:pt>
                <c:pt idx="191">
                  <c:v>43833</c:v>
                </c:pt>
                <c:pt idx="192">
                  <c:v>43840</c:v>
                </c:pt>
                <c:pt idx="193">
                  <c:v>43854</c:v>
                </c:pt>
                <c:pt idx="194">
                  <c:v>43861</c:v>
                </c:pt>
                <c:pt idx="195">
                  <c:v>43868</c:v>
                </c:pt>
                <c:pt idx="196">
                  <c:v>43875</c:v>
                </c:pt>
                <c:pt idx="197">
                  <c:v>43882</c:v>
                </c:pt>
                <c:pt idx="198">
                  <c:v>43889</c:v>
                </c:pt>
                <c:pt idx="199">
                  <c:v>43896</c:v>
                </c:pt>
                <c:pt idx="200">
                  <c:v>43903</c:v>
                </c:pt>
                <c:pt idx="201">
                  <c:v>43910</c:v>
                </c:pt>
                <c:pt idx="202">
                  <c:v>43917</c:v>
                </c:pt>
                <c:pt idx="203">
                  <c:v>43924</c:v>
                </c:pt>
                <c:pt idx="204">
                  <c:v>43938</c:v>
                </c:pt>
                <c:pt idx="205">
                  <c:v>43945</c:v>
                </c:pt>
                <c:pt idx="206">
                  <c:v>43952</c:v>
                </c:pt>
                <c:pt idx="207">
                  <c:v>43959</c:v>
                </c:pt>
                <c:pt idx="208">
                  <c:v>43966</c:v>
                </c:pt>
                <c:pt idx="209">
                  <c:v>43973</c:v>
                </c:pt>
                <c:pt idx="210">
                  <c:v>43980</c:v>
                </c:pt>
                <c:pt idx="211">
                  <c:v>43987</c:v>
                </c:pt>
                <c:pt idx="212">
                  <c:v>43994</c:v>
                </c:pt>
                <c:pt idx="213">
                  <c:v>44001</c:v>
                </c:pt>
                <c:pt idx="214">
                  <c:v>44008</c:v>
                </c:pt>
                <c:pt idx="215">
                  <c:v>44015</c:v>
                </c:pt>
                <c:pt idx="216">
                  <c:v>44022</c:v>
                </c:pt>
                <c:pt idx="217">
                  <c:v>44029</c:v>
                </c:pt>
                <c:pt idx="218">
                  <c:v>44036</c:v>
                </c:pt>
                <c:pt idx="219">
                  <c:v>44043</c:v>
                </c:pt>
                <c:pt idx="220">
                  <c:v>44050</c:v>
                </c:pt>
                <c:pt idx="221">
                  <c:v>44057</c:v>
                </c:pt>
                <c:pt idx="222">
                  <c:v>44064</c:v>
                </c:pt>
                <c:pt idx="223">
                  <c:v>44071</c:v>
                </c:pt>
                <c:pt idx="224">
                  <c:v>44078</c:v>
                </c:pt>
                <c:pt idx="225">
                  <c:v>44085</c:v>
                </c:pt>
                <c:pt idx="226">
                  <c:v>44092</c:v>
                </c:pt>
                <c:pt idx="227">
                  <c:v>44099</c:v>
                </c:pt>
                <c:pt idx="228">
                  <c:v>44106</c:v>
                </c:pt>
                <c:pt idx="229">
                  <c:v>44113</c:v>
                </c:pt>
                <c:pt idx="230">
                  <c:v>44120</c:v>
                </c:pt>
                <c:pt idx="231">
                  <c:v>44127</c:v>
                </c:pt>
                <c:pt idx="232">
                  <c:v>44134</c:v>
                </c:pt>
                <c:pt idx="233">
                  <c:v>44141</c:v>
                </c:pt>
                <c:pt idx="234">
                  <c:v>44148</c:v>
                </c:pt>
                <c:pt idx="235">
                  <c:v>44155</c:v>
                </c:pt>
                <c:pt idx="236">
                  <c:v>44162</c:v>
                </c:pt>
                <c:pt idx="237">
                  <c:v>44169</c:v>
                </c:pt>
                <c:pt idx="238">
                  <c:v>44176</c:v>
                </c:pt>
                <c:pt idx="239">
                  <c:v>44183</c:v>
                </c:pt>
                <c:pt idx="240">
                  <c:v>44204</c:v>
                </c:pt>
                <c:pt idx="241">
                  <c:v>44211</c:v>
                </c:pt>
                <c:pt idx="242">
                  <c:v>44218</c:v>
                </c:pt>
                <c:pt idx="243">
                  <c:v>44225</c:v>
                </c:pt>
                <c:pt idx="244">
                  <c:v>44232</c:v>
                </c:pt>
                <c:pt idx="245">
                  <c:v>44239</c:v>
                </c:pt>
                <c:pt idx="246">
                  <c:v>44246</c:v>
                </c:pt>
                <c:pt idx="247">
                  <c:v>44253</c:v>
                </c:pt>
                <c:pt idx="248">
                  <c:v>44260</c:v>
                </c:pt>
                <c:pt idx="249">
                  <c:v>44267</c:v>
                </c:pt>
                <c:pt idx="250">
                  <c:v>44274</c:v>
                </c:pt>
                <c:pt idx="251">
                  <c:v>44281</c:v>
                </c:pt>
                <c:pt idx="252">
                  <c:v>44295</c:v>
                </c:pt>
                <c:pt idx="253">
                  <c:v>44302</c:v>
                </c:pt>
                <c:pt idx="254">
                  <c:v>44309</c:v>
                </c:pt>
                <c:pt idx="255">
                  <c:v>44316</c:v>
                </c:pt>
                <c:pt idx="256">
                  <c:v>44323</c:v>
                </c:pt>
                <c:pt idx="257">
                  <c:v>44330</c:v>
                </c:pt>
                <c:pt idx="258">
                  <c:v>44337</c:v>
                </c:pt>
                <c:pt idx="259">
                  <c:v>44344</c:v>
                </c:pt>
                <c:pt idx="260">
                  <c:v>44351</c:v>
                </c:pt>
                <c:pt idx="261">
                  <c:v>44358</c:v>
                </c:pt>
                <c:pt idx="262">
                  <c:v>44365</c:v>
                </c:pt>
                <c:pt idx="263">
                  <c:v>44372</c:v>
                </c:pt>
                <c:pt idx="264">
                  <c:v>44379</c:v>
                </c:pt>
                <c:pt idx="265">
                  <c:v>44386</c:v>
                </c:pt>
                <c:pt idx="266">
                  <c:v>44393</c:v>
                </c:pt>
                <c:pt idx="267">
                  <c:v>44400</c:v>
                </c:pt>
                <c:pt idx="268">
                  <c:v>44407</c:v>
                </c:pt>
                <c:pt idx="269">
                  <c:v>44414</c:v>
                </c:pt>
                <c:pt idx="270">
                  <c:v>44421</c:v>
                </c:pt>
                <c:pt idx="271">
                  <c:v>44428</c:v>
                </c:pt>
                <c:pt idx="272">
                  <c:v>44435</c:v>
                </c:pt>
                <c:pt idx="273">
                  <c:v>44442</c:v>
                </c:pt>
                <c:pt idx="274">
                  <c:v>44449</c:v>
                </c:pt>
                <c:pt idx="275">
                  <c:v>44456</c:v>
                </c:pt>
                <c:pt idx="276">
                  <c:v>44463</c:v>
                </c:pt>
                <c:pt idx="277">
                  <c:v>44470</c:v>
                </c:pt>
                <c:pt idx="278">
                  <c:v>44477</c:v>
                </c:pt>
                <c:pt idx="279">
                  <c:v>44484</c:v>
                </c:pt>
                <c:pt idx="280">
                  <c:v>44491</c:v>
                </c:pt>
                <c:pt idx="281">
                  <c:v>44498</c:v>
                </c:pt>
                <c:pt idx="282">
                  <c:v>44505</c:v>
                </c:pt>
                <c:pt idx="283">
                  <c:v>44512</c:v>
                </c:pt>
                <c:pt idx="284">
                  <c:v>44519</c:v>
                </c:pt>
                <c:pt idx="285">
                  <c:v>44526</c:v>
                </c:pt>
                <c:pt idx="286">
                  <c:v>44533</c:v>
                </c:pt>
                <c:pt idx="287">
                  <c:v>44540</c:v>
                </c:pt>
                <c:pt idx="288">
                  <c:v>44547</c:v>
                </c:pt>
                <c:pt idx="289">
                  <c:v>44554</c:v>
                </c:pt>
                <c:pt idx="290">
                  <c:v>44561</c:v>
                </c:pt>
                <c:pt idx="291">
                  <c:v>44568</c:v>
                </c:pt>
                <c:pt idx="292">
                  <c:v>44575</c:v>
                </c:pt>
                <c:pt idx="293">
                  <c:v>44582</c:v>
                </c:pt>
                <c:pt idx="294">
                  <c:v>44589</c:v>
                </c:pt>
                <c:pt idx="295">
                  <c:v>44596</c:v>
                </c:pt>
                <c:pt idx="296">
                  <c:v>44603</c:v>
                </c:pt>
                <c:pt idx="297">
                  <c:v>44610</c:v>
                </c:pt>
                <c:pt idx="298">
                  <c:v>44617</c:v>
                </c:pt>
                <c:pt idx="299">
                  <c:v>44624</c:v>
                </c:pt>
                <c:pt idx="300">
                  <c:v>44631</c:v>
                </c:pt>
                <c:pt idx="301">
                  <c:v>44638</c:v>
                </c:pt>
                <c:pt idx="302">
                  <c:v>44645</c:v>
                </c:pt>
                <c:pt idx="303">
                  <c:v>44652</c:v>
                </c:pt>
                <c:pt idx="304">
                  <c:v>44659</c:v>
                </c:pt>
                <c:pt idx="305">
                  <c:v>44673</c:v>
                </c:pt>
                <c:pt idx="306">
                  <c:v>44680</c:v>
                </c:pt>
                <c:pt idx="307">
                  <c:v>44687</c:v>
                </c:pt>
                <c:pt idx="308">
                  <c:v>44694</c:v>
                </c:pt>
                <c:pt idx="309">
                  <c:v>44701</c:v>
                </c:pt>
                <c:pt idx="310">
                  <c:v>44708</c:v>
                </c:pt>
                <c:pt idx="311">
                  <c:v>44715</c:v>
                </c:pt>
                <c:pt idx="312">
                  <c:v>44722</c:v>
                </c:pt>
                <c:pt idx="313">
                  <c:v>44729</c:v>
                </c:pt>
                <c:pt idx="314">
                  <c:v>44736</c:v>
                </c:pt>
                <c:pt idx="315">
                  <c:v>44743</c:v>
                </c:pt>
                <c:pt idx="316">
                  <c:v>44750</c:v>
                </c:pt>
                <c:pt idx="317">
                  <c:v>44757</c:v>
                </c:pt>
                <c:pt idx="318">
                  <c:v>44764</c:v>
                </c:pt>
                <c:pt idx="319">
                  <c:v>44771</c:v>
                </c:pt>
                <c:pt idx="320">
                  <c:v>44778</c:v>
                </c:pt>
                <c:pt idx="321">
                  <c:v>44785</c:v>
                </c:pt>
                <c:pt idx="322">
                  <c:v>44792</c:v>
                </c:pt>
                <c:pt idx="323">
                  <c:v>44799</c:v>
                </c:pt>
                <c:pt idx="324">
                  <c:v>44806</c:v>
                </c:pt>
                <c:pt idx="325">
                  <c:v>44813</c:v>
                </c:pt>
                <c:pt idx="326">
                  <c:v>44820</c:v>
                </c:pt>
                <c:pt idx="327">
                  <c:v>44827</c:v>
                </c:pt>
                <c:pt idx="328">
                  <c:v>44834</c:v>
                </c:pt>
                <c:pt idx="329">
                  <c:v>44841</c:v>
                </c:pt>
                <c:pt idx="330">
                  <c:v>44848</c:v>
                </c:pt>
                <c:pt idx="331">
                  <c:v>44855</c:v>
                </c:pt>
                <c:pt idx="332">
                  <c:v>44862</c:v>
                </c:pt>
                <c:pt idx="333">
                  <c:v>44869</c:v>
                </c:pt>
                <c:pt idx="334">
                  <c:v>44876</c:v>
                </c:pt>
                <c:pt idx="335">
                  <c:v>44883</c:v>
                </c:pt>
                <c:pt idx="336">
                  <c:v>44890</c:v>
                </c:pt>
                <c:pt idx="337">
                  <c:v>44897</c:v>
                </c:pt>
                <c:pt idx="338">
                  <c:v>44904</c:v>
                </c:pt>
                <c:pt idx="339">
                  <c:v>44911</c:v>
                </c:pt>
                <c:pt idx="340">
                  <c:v>44918</c:v>
                </c:pt>
                <c:pt idx="341">
                  <c:v>44925</c:v>
                </c:pt>
                <c:pt idx="342">
                  <c:v>44932</c:v>
                </c:pt>
                <c:pt idx="343">
                  <c:v>44939</c:v>
                </c:pt>
                <c:pt idx="344">
                  <c:v>44946</c:v>
                </c:pt>
                <c:pt idx="345">
                  <c:v>44953</c:v>
                </c:pt>
                <c:pt idx="346">
                  <c:v>44960</c:v>
                </c:pt>
                <c:pt idx="347">
                  <c:v>44967</c:v>
                </c:pt>
                <c:pt idx="348">
                  <c:v>44974</c:v>
                </c:pt>
                <c:pt idx="349">
                  <c:v>44981</c:v>
                </c:pt>
                <c:pt idx="350">
                  <c:v>44988</c:v>
                </c:pt>
                <c:pt idx="351">
                  <c:v>44995</c:v>
                </c:pt>
                <c:pt idx="352">
                  <c:v>45002</c:v>
                </c:pt>
                <c:pt idx="353">
                  <c:v>45009</c:v>
                </c:pt>
                <c:pt idx="354">
                  <c:v>45016</c:v>
                </c:pt>
                <c:pt idx="355">
                  <c:v>45030</c:v>
                </c:pt>
                <c:pt idx="356">
                  <c:v>45037</c:v>
                </c:pt>
                <c:pt idx="357">
                  <c:v>45044</c:v>
                </c:pt>
                <c:pt idx="358">
                  <c:v>45051</c:v>
                </c:pt>
                <c:pt idx="359">
                  <c:v>45058</c:v>
                </c:pt>
                <c:pt idx="360">
                  <c:v>45065</c:v>
                </c:pt>
                <c:pt idx="361">
                  <c:v>45072</c:v>
                </c:pt>
                <c:pt idx="362">
                  <c:v>45079</c:v>
                </c:pt>
                <c:pt idx="363">
                  <c:v>45086</c:v>
                </c:pt>
                <c:pt idx="364">
                  <c:v>45093</c:v>
                </c:pt>
                <c:pt idx="365">
                  <c:v>45100</c:v>
                </c:pt>
                <c:pt idx="366">
                  <c:v>45107</c:v>
                </c:pt>
                <c:pt idx="367">
                  <c:v>45114</c:v>
                </c:pt>
                <c:pt idx="368">
                  <c:v>45121</c:v>
                </c:pt>
                <c:pt idx="369">
                  <c:v>45128</c:v>
                </c:pt>
                <c:pt idx="370">
                  <c:v>45135</c:v>
                </c:pt>
                <c:pt idx="371">
                  <c:v>45142</c:v>
                </c:pt>
                <c:pt idx="372">
                  <c:v>45149</c:v>
                </c:pt>
                <c:pt idx="373">
                  <c:v>45163</c:v>
                </c:pt>
                <c:pt idx="374">
                  <c:v>45170</c:v>
                </c:pt>
                <c:pt idx="375">
                  <c:v>45177</c:v>
                </c:pt>
                <c:pt idx="376">
                  <c:v>45184</c:v>
                </c:pt>
                <c:pt idx="377">
                  <c:v>45191</c:v>
                </c:pt>
                <c:pt idx="378">
                  <c:v>45198</c:v>
                </c:pt>
                <c:pt idx="379">
                  <c:v>45205</c:v>
                </c:pt>
                <c:pt idx="380">
                  <c:v>45212</c:v>
                </c:pt>
                <c:pt idx="381">
                  <c:v>45219</c:v>
                </c:pt>
                <c:pt idx="382">
                  <c:v>45226</c:v>
                </c:pt>
                <c:pt idx="383">
                  <c:v>45233</c:v>
                </c:pt>
                <c:pt idx="384">
                  <c:v>45240</c:v>
                </c:pt>
                <c:pt idx="385">
                  <c:v>45247</c:v>
                </c:pt>
                <c:pt idx="386">
                  <c:v>45254</c:v>
                </c:pt>
                <c:pt idx="387">
                  <c:v>45261</c:v>
                </c:pt>
                <c:pt idx="388">
                  <c:v>45268</c:v>
                </c:pt>
                <c:pt idx="389">
                  <c:v>45275</c:v>
                </c:pt>
                <c:pt idx="390">
                  <c:v>45282</c:v>
                </c:pt>
                <c:pt idx="391">
                  <c:v>45289</c:v>
                </c:pt>
                <c:pt idx="392">
                  <c:v>45296</c:v>
                </c:pt>
                <c:pt idx="393">
                  <c:v>45303</c:v>
                </c:pt>
                <c:pt idx="394">
                  <c:v>45310</c:v>
                </c:pt>
                <c:pt idx="395">
                  <c:v>45317</c:v>
                </c:pt>
                <c:pt idx="396">
                  <c:v>45324</c:v>
                </c:pt>
                <c:pt idx="397">
                  <c:v>45331</c:v>
                </c:pt>
                <c:pt idx="398">
                  <c:v>45338</c:v>
                </c:pt>
                <c:pt idx="399">
                  <c:v>45345</c:v>
                </c:pt>
                <c:pt idx="400">
                  <c:v>45352</c:v>
                </c:pt>
                <c:pt idx="401">
                  <c:v>45359</c:v>
                </c:pt>
                <c:pt idx="402">
                  <c:v>45366</c:v>
                </c:pt>
                <c:pt idx="403">
                  <c:v>45373</c:v>
                </c:pt>
                <c:pt idx="404">
                  <c:v>45387</c:v>
                </c:pt>
                <c:pt idx="405">
                  <c:v>45394</c:v>
                </c:pt>
                <c:pt idx="406">
                  <c:v>45401</c:v>
                </c:pt>
                <c:pt idx="407">
                  <c:v>45408</c:v>
                </c:pt>
                <c:pt idx="408">
                  <c:v>45415</c:v>
                </c:pt>
                <c:pt idx="409">
                  <c:v>45422</c:v>
                </c:pt>
                <c:pt idx="410">
                  <c:v>45429</c:v>
                </c:pt>
                <c:pt idx="411">
                  <c:v>45436</c:v>
                </c:pt>
                <c:pt idx="412">
                  <c:v>45443</c:v>
                </c:pt>
                <c:pt idx="413">
                  <c:v>45450</c:v>
                </c:pt>
                <c:pt idx="414">
                  <c:v>45457</c:v>
                </c:pt>
                <c:pt idx="415">
                  <c:v>45464</c:v>
                </c:pt>
                <c:pt idx="416">
                  <c:v>45471</c:v>
                </c:pt>
                <c:pt idx="417">
                  <c:v>45478</c:v>
                </c:pt>
                <c:pt idx="418">
                  <c:v>45485</c:v>
                </c:pt>
                <c:pt idx="419">
                  <c:v>45492</c:v>
                </c:pt>
                <c:pt idx="420">
                  <c:v>45499</c:v>
                </c:pt>
                <c:pt idx="421">
                  <c:v>45506</c:v>
                </c:pt>
                <c:pt idx="422">
                  <c:v>45513</c:v>
                </c:pt>
                <c:pt idx="423">
                  <c:v>45520</c:v>
                </c:pt>
                <c:pt idx="424">
                  <c:v>45527</c:v>
                </c:pt>
                <c:pt idx="425">
                  <c:v>45534</c:v>
                </c:pt>
                <c:pt idx="426">
                  <c:v>45541</c:v>
                </c:pt>
                <c:pt idx="427">
                  <c:v>45548</c:v>
                </c:pt>
                <c:pt idx="428">
                  <c:v>45555</c:v>
                </c:pt>
                <c:pt idx="429">
                  <c:v>45562</c:v>
                </c:pt>
                <c:pt idx="430">
                  <c:v>45569</c:v>
                </c:pt>
                <c:pt idx="431">
                  <c:v>45576</c:v>
                </c:pt>
                <c:pt idx="432">
                  <c:v>45583</c:v>
                </c:pt>
                <c:pt idx="433">
                  <c:v>45590</c:v>
                </c:pt>
                <c:pt idx="434">
                  <c:v>45597</c:v>
                </c:pt>
                <c:pt idx="435">
                  <c:v>45604</c:v>
                </c:pt>
                <c:pt idx="436">
                  <c:v>45611</c:v>
                </c:pt>
                <c:pt idx="437">
                  <c:v>45618</c:v>
                </c:pt>
                <c:pt idx="438">
                  <c:v>45625</c:v>
                </c:pt>
                <c:pt idx="439">
                  <c:v>45632</c:v>
                </c:pt>
                <c:pt idx="440">
                  <c:v>45639</c:v>
                </c:pt>
                <c:pt idx="441">
                  <c:v>45646</c:v>
                </c:pt>
                <c:pt idx="442">
                  <c:v>45653</c:v>
                </c:pt>
                <c:pt idx="443">
                  <c:v>45660</c:v>
                </c:pt>
                <c:pt idx="444">
                  <c:v>45667</c:v>
                </c:pt>
                <c:pt idx="445">
                  <c:v>45674</c:v>
                </c:pt>
                <c:pt idx="446">
                  <c:v>45681</c:v>
                </c:pt>
                <c:pt idx="447">
                  <c:v>45688</c:v>
                </c:pt>
                <c:pt idx="448">
                  <c:v>45695</c:v>
                </c:pt>
                <c:pt idx="449">
                  <c:v>45702</c:v>
                </c:pt>
                <c:pt idx="450">
                  <c:v>45709</c:v>
                </c:pt>
                <c:pt idx="451">
                  <c:v>45716</c:v>
                </c:pt>
                <c:pt idx="452">
                  <c:v>45723</c:v>
                </c:pt>
                <c:pt idx="453">
                  <c:v>45730</c:v>
                </c:pt>
                <c:pt idx="454">
                  <c:v>45737</c:v>
                </c:pt>
                <c:pt idx="455">
                  <c:v>45744</c:v>
                </c:pt>
                <c:pt idx="456">
                  <c:v>45751</c:v>
                </c:pt>
                <c:pt idx="457">
                  <c:v>45758</c:v>
                </c:pt>
                <c:pt idx="458">
                  <c:v>45772</c:v>
                </c:pt>
                <c:pt idx="459">
                  <c:v>45779</c:v>
                </c:pt>
                <c:pt idx="460">
                  <c:v>45786</c:v>
                </c:pt>
                <c:pt idx="461">
                  <c:v>45793</c:v>
                </c:pt>
                <c:pt idx="462">
                  <c:v>45800</c:v>
                </c:pt>
                <c:pt idx="463">
                  <c:v>45807</c:v>
                </c:pt>
                <c:pt idx="464">
                  <c:v>45814</c:v>
                </c:pt>
                <c:pt idx="465">
                  <c:v>45821</c:v>
                </c:pt>
                <c:pt idx="466">
                  <c:v>45828</c:v>
                </c:pt>
                <c:pt idx="467">
                  <c:v>45835</c:v>
                </c:pt>
                <c:pt idx="468">
                  <c:v>45842</c:v>
                </c:pt>
                <c:pt idx="469">
                  <c:v>45849</c:v>
                </c:pt>
                <c:pt idx="470">
                  <c:v>45856</c:v>
                </c:pt>
                <c:pt idx="471">
                  <c:v>45863</c:v>
                </c:pt>
                <c:pt idx="472">
                  <c:v>45877</c:v>
                </c:pt>
                <c:pt idx="473">
                  <c:v>45884</c:v>
                </c:pt>
                <c:pt idx="474">
                  <c:v>45891</c:v>
                </c:pt>
                <c:pt idx="475">
                  <c:v>45898</c:v>
                </c:pt>
                <c:pt idx="476">
                  <c:v>45905</c:v>
                </c:pt>
                <c:pt idx="477">
                  <c:v>45912</c:v>
                </c:pt>
                <c:pt idx="478">
                  <c:v>45919</c:v>
                </c:pt>
                <c:pt idx="479">
                  <c:v>45926</c:v>
                </c:pt>
                <c:pt idx="480">
                  <c:v>45933</c:v>
                </c:pt>
                <c:pt idx="481">
                  <c:v>45940</c:v>
                </c:pt>
                <c:pt idx="482">
                  <c:v>45947</c:v>
                </c:pt>
                <c:pt idx="483">
                  <c:v>45954</c:v>
                </c:pt>
                <c:pt idx="484">
                  <c:v>45961</c:v>
                </c:pt>
                <c:pt idx="485">
                  <c:v>45968</c:v>
                </c:pt>
                <c:pt idx="486">
                  <c:v>45975</c:v>
                </c:pt>
                <c:pt idx="487">
                  <c:v>45982</c:v>
                </c:pt>
                <c:pt idx="488">
                  <c:v>45989</c:v>
                </c:pt>
                <c:pt idx="489">
                  <c:v>45996</c:v>
                </c:pt>
                <c:pt idx="490">
                  <c:v>46003</c:v>
                </c:pt>
                <c:pt idx="491">
                  <c:v>46010</c:v>
                </c:pt>
                <c:pt idx="492">
                  <c:v>46031</c:v>
                </c:pt>
                <c:pt idx="493">
                  <c:v>46038</c:v>
                </c:pt>
                <c:pt idx="494">
                  <c:v>46045</c:v>
                </c:pt>
                <c:pt idx="495">
                  <c:v>46052</c:v>
                </c:pt>
                <c:pt idx="496">
                  <c:v>46059</c:v>
                </c:pt>
                <c:pt idx="497">
                  <c:v>46066</c:v>
                </c:pt>
                <c:pt idx="498">
                  <c:v>46073</c:v>
                </c:pt>
                <c:pt idx="499">
                  <c:v>46080</c:v>
                </c:pt>
                <c:pt idx="500">
                  <c:v>46087</c:v>
                </c:pt>
                <c:pt idx="501">
                  <c:v>46094</c:v>
                </c:pt>
                <c:pt idx="502">
                  <c:v>46101</c:v>
                </c:pt>
                <c:pt idx="503">
                  <c:v>46108</c:v>
                </c:pt>
                <c:pt idx="504">
                  <c:v>46122</c:v>
                </c:pt>
                <c:pt idx="505">
                  <c:v>46129</c:v>
                </c:pt>
                <c:pt idx="506">
                  <c:v>46136</c:v>
                </c:pt>
                <c:pt idx="507">
                  <c:v>46150</c:v>
                </c:pt>
                <c:pt idx="508">
                  <c:v>46157</c:v>
                </c:pt>
                <c:pt idx="509">
                  <c:v>46164</c:v>
                </c:pt>
                <c:pt idx="510">
                  <c:v>46171</c:v>
                </c:pt>
                <c:pt idx="511">
                  <c:v>46178</c:v>
                </c:pt>
                <c:pt idx="512">
                  <c:v>46185</c:v>
                </c:pt>
                <c:pt idx="513">
                  <c:v>46192</c:v>
                </c:pt>
                <c:pt idx="514">
                  <c:v>46199</c:v>
                </c:pt>
                <c:pt idx="515">
                  <c:v>46206</c:v>
                </c:pt>
                <c:pt idx="516">
                  <c:v>46213</c:v>
                </c:pt>
                <c:pt idx="517">
                  <c:v>46220</c:v>
                </c:pt>
                <c:pt idx="518">
                  <c:v>46227</c:v>
                </c:pt>
                <c:pt idx="519">
                  <c:v>46234</c:v>
                </c:pt>
                <c:pt idx="520">
                  <c:v>46241</c:v>
                </c:pt>
                <c:pt idx="521">
                  <c:v>46248</c:v>
                </c:pt>
                <c:pt idx="522">
                  <c:v>46255</c:v>
                </c:pt>
                <c:pt idx="523">
                  <c:v>46262</c:v>
                </c:pt>
                <c:pt idx="524">
                  <c:v>46269</c:v>
                </c:pt>
                <c:pt idx="525">
                  <c:v>46276</c:v>
                </c:pt>
                <c:pt idx="526">
                  <c:v>46283</c:v>
                </c:pt>
                <c:pt idx="527">
                  <c:v>46290</c:v>
                </c:pt>
                <c:pt idx="528">
                  <c:v>46297</c:v>
                </c:pt>
                <c:pt idx="529">
                  <c:v>46304</c:v>
                </c:pt>
                <c:pt idx="530">
                  <c:v>46311</c:v>
                </c:pt>
                <c:pt idx="531">
                  <c:v>46318</c:v>
                </c:pt>
              </c:numCache>
            </c:numRef>
          </c:cat>
          <c:val>
            <c:numRef>
              <c:f>Participation!$O$2:$O$533</c:f>
              <c:numCache>
                <c:formatCode>0</c:formatCode>
                <c:ptCount val="532"/>
                <c:pt idx="0">
                  <c:v>0.75</c:v>
                </c:pt>
                <c:pt idx="1">
                  <c:v>1.5</c:v>
                </c:pt>
                <c:pt idx="2">
                  <c:v>2.25</c:v>
                </c:pt>
                <c:pt idx="3">
                  <c:v>3</c:v>
                </c:pt>
                <c:pt idx="4">
                  <c:v>3.75</c:v>
                </c:pt>
                <c:pt idx="5">
                  <c:v>4.5</c:v>
                </c:pt>
                <c:pt idx="6">
                  <c:v>5.25</c:v>
                </c:pt>
                <c:pt idx="7">
                  <c:v>6</c:v>
                </c:pt>
                <c:pt idx="8">
                  <c:v>6.75</c:v>
                </c:pt>
                <c:pt idx="9">
                  <c:v>7.5</c:v>
                </c:pt>
                <c:pt idx="10">
                  <c:v>8.25</c:v>
                </c:pt>
                <c:pt idx="11">
                  <c:v>9</c:v>
                </c:pt>
                <c:pt idx="12">
                  <c:v>9.75</c:v>
                </c:pt>
                <c:pt idx="13">
                  <c:v>10.5</c:v>
                </c:pt>
                <c:pt idx="14">
                  <c:v>11.25</c:v>
                </c:pt>
                <c:pt idx="15">
                  <c:v>12</c:v>
                </c:pt>
                <c:pt idx="16">
                  <c:v>12.75</c:v>
                </c:pt>
                <c:pt idx="17">
                  <c:v>13.5</c:v>
                </c:pt>
                <c:pt idx="18">
                  <c:v>14.25</c:v>
                </c:pt>
                <c:pt idx="19">
                  <c:v>15</c:v>
                </c:pt>
                <c:pt idx="20">
                  <c:v>15.75</c:v>
                </c:pt>
                <c:pt idx="21">
                  <c:v>16.5</c:v>
                </c:pt>
                <c:pt idx="22">
                  <c:v>17.25</c:v>
                </c:pt>
                <c:pt idx="23">
                  <c:v>18</c:v>
                </c:pt>
                <c:pt idx="24">
                  <c:v>18.75</c:v>
                </c:pt>
                <c:pt idx="25">
                  <c:v>19.5</c:v>
                </c:pt>
                <c:pt idx="26">
                  <c:v>20.25</c:v>
                </c:pt>
                <c:pt idx="27">
                  <c:v>21</c:v>
                </c:pt>
                <c:pt idx="28">
                  <c:v>21.75</c:v>
                </c:pt>
                <c:pt idx="29">
                  <c:v>22.5</c:v>
                </c:pt>
                <c:pt idx="30">
                  <c:v>23.25</c:v>
                </c:pt>
                <c:pt idx="31">
                  <c:v>24</c:v>
                </c:pt>
                <c:pt idx="32">
                  <c:v>24.75</c:v>
                </c:pt>
                <c:pt idx="33">
                  <c:v>25.5</c:v>
                </c:pt>
                <c:pt idx="34">
                  <c:v>26.25</c:v>
                </c:pt>
                <c:pt idx="35">
                  <c:v>27</c:v>
                </c:pt>
                <c:pt idx="36">
                  <c:v>28</c:v>
                </c:pt>
                <c:pt idx="37">
                  <c:v>29</c:v>
                </c:pt>
                <c:pt idx="38">
                  <c:v>30</c:v>
                </c:pt>
                <c:pt idx="39">
                  <c:v>31</c:v>
                </c:pt>
                <c:pt idx="40">
                  <c:v>31</c:v>
                </c:pt>
                <c:pt idx="41">
                  <c:v>32</c:v>
                </c:pt>
                <c:pt idx="42">
                  <c:v>32</c:v>
                </c:pt>
                <c:pt idx="43">
                  <c:v>33</c:v>
                </c:pt>
                <c:pt idx="44">
                  <c:v>34</c:v>
                </c:pt>
                <c:pt idx="45">
                  <c:v>35</c:v>
                </c:pt>
                <c:pt idx="46">
                  <c:v>36</c:v>
                </c:pt>
                <c:pt idx="47">
                  <c:v>37</c:v>
                </c:pt>
                <c:pt idx="48">
                  <c:v>38</c:v>
                </c:pt>
                <c:pt idx="49">
                  <c:v>39</c:v>
                </c:pt>
                <c:pt idx="50">
                  <c:v>39</c:v>
                </c:pt>
                <c:pt idx="51">
                  <c:v>40</c:v>
                </c:pt>
                <c:pt idx="52">
                  <c:v>41</c:v>
                </c:pt>
                <c:pt idx="53">
                  <c:v>42</c:v>
                </c:pt>
                <c:pt idx="54">
                  <c:v>43</c:v>
                </c:pt>
                <c:pt idx="55">
                  <c:v>44</c:v>
                </c:pt>
                <c:pt idx="56">
                  <c:v>45</c:v>
                </c:pt>
                <c:pt idx="57">
                  <c:v>46</c:v>
                </c:pt>
                <c:pt idx="58">
                  <c:v>47</c:v>
                </c:pt>
                <c:pt idx="59">
                  <c:v>48</c:v>
                </c:pt>
                <c:pt idx="60">
                  <c:v>48</c:v>
                </c:pt>
                <c:pt idx="61">
                  <c:v>49</c:v>
                </c:pt>
                <c:pt idx="62">
                  <c:v>50</c:v>
                </c:pt>
                <c:pt idx="63">
                  <c:v>51</c:v>
                </c:pt>
                <c:pt idx="64">
                  <c:v>52</c:v>
                </c:pt>
                <c:pt idx="65">
                  <c:v>52</c:v>
                </c:pt>
                <c:pt idx="66">
                  <c:v>52</c:v>
                </c:pt>
                <c:pt idx="67">
                  <c:v>52</c:v>
                </c:pt>
                <c:pt idx="68">
                  <c:v>52</c:v>
                </c:pt>
                <c:pt idx="69">
                  <c:v>52</c:v>
                </c:pt>
                <c:pt idx="70">
                  <c:v>53</c:v>
                </c:pt>
                <c:pt idx="71">
                  <c:v>54</c:v>
                </c:pt>
                <c:pt idx="72">
                  <c:v>55</c:v>
                </c:pt>
                <c:pt idx="73">
                  <c:v>56</c:v>
                </c:pt>
                <c:pt idx="74">
                  <c:v>57</c:v>
                </c:pt>
                <c:pt idx="75">
                  <c:v>58</c:v>
                </c:pt>
                <c:pt idx="76">
                  <c:v>59</c:v>
                </c:pt>
                <c:pt idx="77">
                  <c:v>59</c:v>
                </c:pt>
                <c:pt idx="78">
                  <c:v>60</c:v>
                </c:pt>
                <c:pt idx="79">
                  <c:v>61</c:v>
                </c:pt>
                <c:pt idx="80">
                  <c:v>61</c:v>
                </c:pt>
                <c:pt idx="81">
                  <c:v>62</c:v>
                </c:pt>
                <c:pt idx="82">
                  <c:v>62</c:v>
                </c:pt>
                <c:pt idx="83">
                  <c:v>63</c:v>
                </c:pt>
                <c:pt idx="84">
                  <c:v>64</c:v>
                </c:pt>
                <c:pt idx="85">
                  <c:v>65</c:v>
                </c:pt>
                <c:pt idx="86">
                  <c:v>66</c:v>
                </c:pt>
                <c:pt idx="87">
                  <c:v>67</c:v>
                </c:pt>
                <c:pt idx="88">
                  <c:v>67</c:v>
                </c:pt>
                <c:pt idx="89">
                  <c:v>68</c:v>
                </c:pt>
                <c:pt idx="90">
                  <c:v>68</c:v>
                </c:pt>
                <c:pt idx="91">
                  <c:v>69</c:v>
                </c:pt>
                <c:pt idx="92">
                  <c:v>69</c:v>
                </c:pt>
                <c:pt idx="93">
                  <c:v>69</c:v>
                </c:pt>
                <c:pt idx="94">
                  <c:v>70</c:v>
                </c:pt>
                <c:pt idx="95">
                  <c:v>70</c:v>
                </c:pt>
                <c:pt idx="96">
                  <c:v>71</c:v>
                </c:pt>
                <c:pt idx="97">
                  <c:v>72</c:v>
                </c:pt>
                <c:pt idx="98">
                  <c:v>73</c:v>
                </c:pt>
                <c:pt idx="99">
                  <c:v>74</c:v>
                </c:pt>
                <c:pt idx="100">
                  <c:v>74</c:v>
                </c:pt>
                <c:pt idx="101">
                  <c:v>75</c:v>
                </c:pt>
                <c:pt idx="102">
                  <c:v>76</c:v>
                </c:pt>
                <c:pt idx="103">
                  <c:v>77</c:v>
                </c:pt>
                <c:pt idx="104">
                  <c:v>78</c:v>
                </c:pt>
                <c:pt idx="105">
                  <c:v>78</c:v>
                </c:pt>
                <c:pt idx="106">
                  <c:v>79</c:v>
                </c:pt>
                <c:pt idx="107">
                  <c:v>79</c:v>
                </c:pt>
                <c:pt idx="108">
                  <c:v>79</c:v>
                </c:pt>
                <c:pt idx="109">
                  <c:v>79</c:v>
                </c:pt>
                <c:pt idx="110">
                  <c:v>79</c:v>
                </c:pt>
                <c:pt idx="111">
                  <c:v>79</c:v>
                </c:pt>
                <c:pt idx="112">
                  <c:v>79</c:v>
                </c:pt>
                <c:pt idx="113">
                  <c:v>79</c:v>
                </c:pt>
                <c:pt idx="114">
                  <c:v>79</c:v>
                </c:pt>
                <c:pt idx="115">
                  <c:v>79</c:v>
                </c:pt>
                <c:pt idx="116">
                  <c:v>79</c:v>
                </c:pt>
                <c:pt idx="117">
                  <c:v>80</c:v>
                </c:pt>
                <c:pt idx="118">
                  <c:v>80</c:v>
                </c:pt>
                <c:pt idx="119">
                  <c:v>80</c:v>
                </c:pt>
                <c:pt idx="120">
                  <c:v>80</c:v>
                </c:pt>
                <c:pt idx="121">
                  <c:v>80</c:v>
                </c:pt>
                <c:pt idx="122">
                  <c:v>81</c:v>
                </c:pt>
                <c:pt idx="123">
                  <c:v>81</c:v>
                </c:pt>
                <c:pt idx="124">
                  <c:v>82</c:v>
                </c:pt>
                <c:pt idx="125">
                  <c:v>82</c:v>
                </c:pt>
                <c:pt idx="126">
                  <c:v>82</c:v>
                </c:pt>
                <c:pt idx="127">
                  <c:v>82</c:v>
                </c:pt>
                <c:pt idx="128">
                  <c:v>82</c:v>
                </c:pt>
                <c:pt idx="129">
                  <c:v>82</c:v>
                </c:pt>
                <c:pt idx="130">
                  <c:v>82</c:v>
                </c:pt>
                <c:pt idx="131">
                  <c:v>82</c:v>
                </c:pt>
                <c:pt idx="132">
                  <c:v>82</c:v>
                </c:pt>
                <c:pt idx="133">
                  <c:v>82</c:v>
                </c:pt>
                <c:pt idx="134">
                  <c:v>82</c:v>
                </c:pt>
                <c:pt idx="135">
                  <c:v>82</c:v>
                </c:pt>
                <c:pt idx="136">
                  <c:v>82</c:v>
                </c:pt>
                <c:pt idx="137">
                  <c:v>82</c:v>
                </c:pt>
                <c:pt idx="138">
                  <c:v>82</c:v>
                </c:pt>
                <c:pt idx="139">
                  <c:v>82</c:v>
                </c:pt>
                <c:pt idx="140">
                  <c:v>82</c:v>
                </c:pt>
                <c:pt idx="141">
                  <c:v>82</c:v>
                </c:pt>
                <c:pt idx="142">
                  <c:v>82</c:v>
                </c:pt>
                <c:pt idx="143">
                  <c:v>82</c:v>
                </c:pt>
                <c:pt idx="144">
                  <c:v>82</c:v>
                </c:pt>
                <c:pt idx="145">
                  <c:v>82</c:v>
                </c:pt>
                <c:pt idx="146">
                  <c:v>82</c:v>
                </c:pt>
                <c:pt idx="147">
                  <c:v>82</c:v>
                </c:pt>
                <c:pt idx="148">
                  <c:v>82</c:v>
                </c:pt>
                <c:pt idx="149">
                  <c:v>82</c:v>
                </c:pt>
                <c:pt idx="150">
                  <c:v>82</c:v>
                </c:pt>
                <c:pt idx="151">
                  <c:v>82</c:v>
                </c:pt>
                <c:pt idx="152">
                  <c:v>82</c:v>
                </c:pt>
                <c:pt idx="153">
                  <c:v>83</c:v>
                </c:pt>
                <c:pt idx="154">
                  <c:v>83</c:v>
                </c:pt>
                <c:pt idx="155">
                  <c:v>83</c:v>
                </c:pt>
                <c:pt idx="156">
                  <c:v>83</c:v>
                </c:pt>
                <c:pt idx="157">
                  <c:v>83</c:v>
                </c:pt>
                <c:pt idx="158">
                  <c:v>83</c:v>
                </c:pt>
                <c:pt idx="159">
                  <c:v>84</c:v>
                </c:pt>
                <c:pt idx="160">
                  <c:v>84</c:v>
                </c:pt>
                <c:pt idx="161">
                  <c:v>84</c:v>
                </c:pt>
                <c:pt idx="162">
                  <c:v>84</c:v>
                </c:pt>
                <c:pt idx="163">
                  <c:v>84</c:v>
                </c:pt>
                <c:pt idx="164">
                  <c:v>85</c:v>
                </c:pt>
                <c:pt idx="165">
                  <c:v>85</c:v>
                </c:pt>
                <c:pt idx="166">
                  <c:v>85</c:v>
                </c:pt>
                <c:pt idx="167">
                  <c:v>85</c:v>
                </c:pt>
                <c:pt idx="168">
                  <c:v>86</c:v>
                </c:pt>
                <c:pt idx="169">
                  <c:v>86</c:v>
                </c:pt>
                <c:pt idx="170">
                  <c:v>87</c:v>
                </c:pt>
                <c:pt idx="171">
                  <c:v>87</c:v>
                </c:pt>
                <c:pt idx="172">
                  <c:v>87</c:v>
                </c:pt>
                <c:pt idx="173">
                  <c:v>88</c:v>
                </c:pt>
                <c:pt idx="174">
                  <c:v>88</c:v>
                </c:pt>
                <c:pt idx="175">
                  <c:v>88</c:v>
                </c:pt>
                <c:pt idx="176">
                  <c:v>88</c:v>
                </c:pt>
                <c:pt idx="177">
                  <c:v>89</c:v>
                </c:pt>
                <c:pt idx="178">
                  <c:v>89</c:v>
                </c:pt>
                <c:pt idx="179">
                  <c:v>90</c:v>
                </c:pt>
                <c:pt idx="180">
                  <c:v>90</c:v>
                </c:pt>
                <c:pt idx="181">
                  <c:v>90</c:v>
                </c:pt>
                <c:pt idx="182">
                  <c:v>90</c:v>
                </c:pt>
                <c:pt idx="183">
                  <c:v>90</c:v>
                </c:pt>
                <c:pt idx="184">
                  <c:v>91</c:v>
                </c:pt>
                <c:pt idx="185">
                  <c:v>91</c:v>
                </c:pt>
                <c:pt idx="186">
                  <c:v>91</c:v>
                </c:pt>
                <c:pt idx="187">
                  <c:v>91</c:v>
                </c:pt>
                <c:pt idx="188">
                  <c:v>91</c:v>
                </c:pt>
                <c:pt idx="189">
                  <c:v>92</c:v>
                </c:pt>
                <c:pt idx="190">
                  <c:v>92</c:v>
                </c:pt>
                <c:pt idx="191">
                  <c:v>92</c:v>
                </c:pt>
                <c:pt idx="192">
                  <c:v>92</c:v>
                </c:pt>
                <c:pt idx="193">
                  <c:v>92</c:v>
                </c:pt>
                <c:pt idx="194">
                  <c:v>92</c:v>
                </c:pt>
                <c:pt idx="195">
                  <c:v>92</c:v>
                </c:pt>
                <c:pt idx="196">
                  <c:v>92</c:v>
                </c:pt>
                <c:pt idx="197">
                  <c:v>92</c:v>
                </c:pt>
                <c:pt idx="198">
                  <c:v>92</c:v>
                </c:pt>
                <c:pt idx="199">
                  <c:v>92</c:v>
                </c:pt>
                <c:pt idx="200">
                  <c:v>92</c:v>
                </c:pt>
                <c:pt idx="201">
                  <c:v>93</c:v>
                </c:pt>
                <c:pt idx="202">
                  <c:v>94</c:v>
                </c:pt>
                <c:pt idx="203">
                  <c:v>95</c:v>
                </c:pt>
                <c:pt idx="204">
                  <c:v>95</c:v>
                </c:pt>
                <c:pt idx="205">
                  <c:v>96</c:v>
                </c:pt>
                <c:pt idx="206">
                  <c:v>97</c:v>
                </c:pt>
                <c:pt idx="207">
                  <c:v>97</c:v>
                </c:pt>
                <c:pt idx="208">
                  <c:v>97</c:v>
                </c:pt>
                <c:pt idx="209">
                  <c:v>97</c:v>
                </c:pt>
                <c:pt idx="210">
                  <c:v>97</c:v>
                </c:pt>
                <c:pt idx="211">
                  <c:v>97</c:v>
                </c:pt>
                <c:pt idx="212">
                  <c:v>98</c:v>
                </c:pt>
                <c:pt idx="213">
                  <c:v>99</c:v>
                </c:pt>
                <c:pt idx="214">
                  <c:v>99</c:v>
                </c:pt>
                <c:pt idx="215">
                  <c:v>99</c:v>
                </c:pt>
                <c:pt idx="216">
                  <c:v>99</c:v>
                </c:pt>
                <c:pt idx="217">
                  <c:v>99</c:v>
                </c:pt>
                <c:pt idx="218">
                  <c:v>100</c:v>
                </c:pt>
                <c:pt idx="219">
                  <c:v>100</c:v>
                </c:pt>
                <c:pt idx="220">
                  <c:v>100</c:v>
                </c:pt>
                <c:pt idx="221">
                  <c:v>100</c:v>
                </c:pt>
                <c:pt idx="222">
                  <c:v>101</c:v>
                </c:pt>
                <c:pt idx="223">
                  <c:v>102</c:v>
                </c:pt>
                <c:pt idx="224">
                  <c:v>103</c:v>
                </c:pt>
                <c:pt idx="225">
                  <c:v>103</c:v>
                </c:pt>
                <c:pt idx="226">
                  <c:v>104</c:v>
                </c:pt>
                <c:pt idx="227">
                  <c:v>104</c:v>
                </c:pt>
                <c:pt idx="228">
                  <c:v>104</c:v>
                </c:pt>
                <c:pt idx="229">
                  <c:v>104</c:v>
                </c:pt>
                <c:pt idx="230">
                  <c:v>104</c:v>
                </c:pt>
                <c:pt idx="231">
                  <c:v>104</c:v>
                </c:pt>
                <c:pt idx="232">
                  <c:v>105</c:v>
                </c:pt>
                <c:pt idx="233">
                  <c:v>105</c:v>
                </c:pt>
                <c:pt idx="234">
                  <c:v>105</c:v>
                </c:pt>
                <c:pt idx="235">
                  <c:v>106</c:v>
                </c:pt>
                <c:pt idx="236">
                  <c:v>107</c:v>
                </c:pt>
                <c:pt idx="237">
                  <c:v>107</c:v>
                </c:pt>
                <c:pt idx="238">
                  <c:v>107</c:v>
                </c:pt>
                <c:pt idx="239">
                  <c:v>108</c:v>
                </c:pt>
                <c:pt idx="240">
                  <c:v>108</c:v>
                </c:pt>
                <c:pt idx="241">
                  <c:v>109</c:v>
                </c:pt>
                <c:pt idx="242">
                  <c:v>110</c:v>
                </c:pt>
                <c:pt idx="243">
                  <c:v>110</c:v>
                </c:pt>
                <c:pt idx="244">
                  <c:v>111</c:v>
                </c:pt>
                <c:pt idx="245">
                  <c:v>111</c:v>
                </c:pt>
                <c:pt idx="246">
                  <c:v>111</c:v>
                </c:pt>
                <c:pt idx="247">
                  <c:v>112</c:v>
                </c:pt>
                <c:pt idx="248">
                  <c:v>112</c:v>
                </c:pt>
                <c:pt idx="249">
                  <c:v>113</c:v>
                </c:pt>
                <c:pt idx="250">
                  <c:v>114</c:v>
                </c:pt>
                <c:pt idx="251">
                  <c:v>114</c:v>
                </c:pt>
                <c:pt idx="252">
                  <c:v>115</c:v>
                </c:pt>
                <c:pt idx="253">
                  <c:v>116</c:v>
                </c:pt>
                <c:pt idx="254">
                  <c:v>116</c:v>
                </c:pt>
                <c:pt idx="255">
                  <c:v>116</c:v>
                </c:pt>
                <c:pt idx="256">
                  <c:v>116</c:v>
                </c:pt>
                <c:pt idx="257">
                  <c:v>116</c:v>
                </c:pt>
                <c:pt idx="258">
                  <c:v>117</c:v>
                </c:pt>
                <c:pt idx="259">
                  <c:v>118</c:v>
                </c:pt>
                <c:pt idx="260">
                  <c:v>118</c:v>
                </c:pt>
                <c:pt idx="261">
                  <c:v>118</c:v>
                </c:pt>
                <c:pt idx="262">
                  <c:v>119</c:v>
                </c:pt>
                <c:pt idx="263">
                  <c:v>119</c:v>
                </c:pt>
                <c:pt idx="264">
                  <c:v>119</c:v>
                </c:pt>
                <c:pt idx="265">
                  <c:v>119</c:v>
                </c:pt>
                <c:pt idx="266">
                  <c:v>119</c:v>
                </c:pt>
                <c:pt idx="267">
                  <c:v>119</c:v>
                </c:pt>
                <c:pt idx="268">
                  <c:v>120</c:v>
                </c:pt>
                <c:pt idx="269">
                  <c:v>121</c:v>
                </c:pt>
                <c:pt idx="270">
                  <c:v>122</c:v>
                </c:pt>
                <c:pt idx="271">
                  <c:v>123</c:v>
                </c:pt>
                <c:pt idx="272">
                  <c:v>124</c:v>
                </c:pt>
                <c:pt idx="273">
                  <c:v>124</c:v>
                </c:pt>
                <c:pt idx="274">
                  <c:v>124</c:v>
                </c:pt>
                <c:pt idx="275">
                  <c:v>124</c:v>
                </c:pt>
                <c:pt idx="276">
                  <c:v>124</c:v>
                </c:pt>
                <c:pt idx="277">
                  <c:v>125</c:v>
                </c:pt>
                <c:pt idx="278">
                  <c:v>125</c:v>
                </c:pt>
                <c:pt idx="279">
                  <c:v>126</c:v>
                </c:pt>
                <c:pt idx="280">
                  <c:v>126</c:v>
                </c:pt>
                <c:pt idx="281">
                  <c:v>126</c:v>
                </c:pt>
                <c:pt idx="282">
                  <c:v>127</c:v>
                </c:pt>
                <c:pt idx="283">
                  <c:v>128</c:v>
                </c:pt>
                <c:pt idx="284">
                  <c:v>129</c:v>
                </c:pt>
                <c:pt idx="285">
                  <c:v>129</c:v>
                </c:pt>
                <c:pt idx="286">
                  <c:v>130</c:v>
                </c:pt>
                <c:pt idx="287">
                  <c:v>131</c:v>
                </c:pt>
                <c:pt idx="288">
                  <c:v>132</c:v>
                </c:pt>
                <c:pt idx="289">
                  <c:v>133</c:v>
                </c:pt>
                <c:pt idx="290">
                  <c:v>133</c:v>
                </c:pt>
                <c:pt idx="291">
                  <c:v>134</c:v>
                </c:pt>
                <c:pt idx="292">
                  <c:v>134</c:v>
                </c:pt>
                <c:pt idx="293">
                  <c:v>135</c:v>
                </c:pt>
                <c:pt idx="294">
                  <c:v>135</c:v>
                </c:pt>
                <c:pt idx="295">
                  <c:v>135</c:v>
                </c:pt>
                <c:pt idx="296">
                  <c:v>135</c:v>
                </c:pt>
                <c:pt idx="297">
                  <c:v>135</c:v>
                </c:pt>
                <c:pt idx="298">
                  <c:v>136</c:v>
                </c:pt>
                <c:pt idx="299">
                  <c:v>136</c:v>
                </c:pt>
                <c:pt idx="300">
                  <c:v>136</c:v>
                </c:pt>
                <c:pt idx="301">
                  <c:v>137</c:v>
                </c:pt>
                <c:pt idx="302">
                  <c:v>137</c:v>
                </c:pt>
                <c:pt idx="303">
                  <c:v>137</c:v>
                </c:pt>
                <c:pt idx="304">
                  <c:v>137</c:v>
                </c:pt>
                <c:pt idx="305">
                  <c:v>137</c:v>
                </c:pt>
                <c:pt idx="306">
                  <c:v>137</c:v>
                </c:pt>
                <c:pt idx="307">
                  <c:v>137</c:v>
                </c:pt>
                <c:pt idx="308">
                  <c:v>138</c:v>
                </c:pt>
                <c:pt idx="309">
                  <c:v>139</c:v>
                </c:pt>
                <c:pt idx="310">
                  <c:v>139</c:v>
                </c:pt>
                <c:pt idx="311">
                  <c:v>139</c:v>
                </c:pt>
                <c:pt idx="312">
                  <c:v>139</c:v>
                </c:pt>
                <c:pt idx="313">
                  <c:v>139</c:v>
                </c:pt>
                <c:pt idx="314">
                  <c:v>139</c:v>
                </c:pt>
                <c:pt idx="315">
                  <c:v>139</c:v>
                </c:pt>
                <c:pt idx="316">
                  <c:v>139</c:v>
                </c:pt>
                <c:pt idx="317">
                  <c:v>140</c:v>
                </c:pt>
                <c:pt idx="318">
                  <c:v>141</c:v>
                </c:pt>
                <c:pt idx="319">
                  <c:v>142</c:v>
                </c:pt>
                <c:pt idx="320">
                  <c:v>142</c:v>
                </c:pt>
                <c:pt idx="321">
                  <c:v>142</c:v>
                </c:pt>
                <c:pt idx="322">
                  <c:v>142</c:v>
                </c:pt>
                <c:pt idx="323">
                  <c:v>142</c:v>
                </c:pt>
                <c:pt idx="324">
                  <c:v>142</c:v>
                </c:pt>
                <c:pt idx="325">
                  <c:v>142</c:v>
                </c:pt>
                <c:pt idx="326">
                  <c:v>142</c:v>
                </c:pt>
                <c:pt idx="327">
                  <c:v>142</c:v>
                </c:pt>
                <c:pt idx="328">
                  <c:v>142</c:v>
                </c:pt>
                <c:pt idx="329">
                  <c:v>142</c:v>
                </c:pt>
                <c:pt idx="330">
                  <c:v>142</c:v>
                </c:pt>
                <c:pt idx="331">
                  <c:v>142</c:v>
                </c:pt>
                <c:pt idx="332">
                  <c:v>142</c:v>
                </c:pt>
                <c:pt idx="333">
                  <c:v>142</c:v>
                </c:pt>
                <c:pt idx="334">
                  <c:v>142</c:v>
                </c:pt>
                <c:pt idx="335">
                  <c:v>142</c:v>
                </c:pt>
                <c:pt idx="336">
                  <c:v>142</c:v>
                </c:pt>
                <c:pt idx="337">
                  <c:v>142</c:v>
                </c:pt>
                <c:pt idx="338">
                  <c:v>142</c:v>
                </c:pt>
                <c:pt idx="339">
                  <c:v>142</c:v>
                </c:pt>
                <c:pt idx="340">
                  <c:v>142</c:v>
                </c:pt>
                <c:pt idx="341">
                  <c:v>142</c:v>
                </c:pt>
                <c:pt idx="342">
                  <c:v>142</c:v>
                </c:pt>
                <c:pt idx="343">
                  <c:v>142</c:v>
                </c:pt>
                <c:pt idx="344">
                  <c:v>142</c:v>
                </c:pt>
                <c:pt idx="345">
                  <c:v>143</c:v>
                </c:pt>
                <c:pt idx="346">
                  <c:v>144</c:v>
                </c:pt>
                <c:pt idx="347">
                  <c:v>144</c:v>
                </c:pt>
                <c:pt idx="348">
                  <c:v>144</c:v>
                </c:pt>
                <c:pt idx="349">
                  <c:v>144</c:v>
                </c:pt>
                <c:pt idx="350">
                  <c:v>144</c:v>
                </c:pt>
                <c:pt idx="351">
                  <c:v>144</c:v>
                </c:pt>
                <c:pt idx="352">
                  <c:v>144</c:v>
                </c:pt>
                <c:pt idx="353">
                  <c:v>144</c:v>
                </c:pt>
                <c:pt idx="354">
                  <c:v>144</c:v>
                </c:pt>
                <c:pt idx="355">
                  <c:v>144</c:v>
                </c:pt>
                <c:pt idx="356">
                  <c:v>144</c:v>
                </c:pt>
                <c:pt idx="357">
                  <c:v>144</c:v>
                </c:pt>
                <c:pt idx="358">
                  <c:v>144</c:v>
                </c:pt>
                <c:pt idx="359">
                  <c:v>145</c:v>
                </c:pt>
                <c:pt idx="360">
                  <c:v>145</c:v>
                </c:pt>
                <c:pt idx="361">
                  <c:v>145</c:v>
                </c:pt>
                <c:pt idx="362">
                  <c:v>146</c:v>
                </c:pt>
                <c:pt idx="363">
                  <c:v>146</c:v>
                </c:pt>
                <c:pt idx="364">
                  <c:v>146</c:v>
                </c:pt>
                <c:pt idx="365">
                  <c:v>147</c:v>
                </c:pt>
                <c:pt idx="366">
                  <c:v>147</c:v>
                </c:pt>
                <c:pt idx="367">
                  <c:v>147</c:v>
                </c:pt>
                <c:pt idx="368">
                  <c:v>148</c:v>
                </c:pt>
                <c:pt idx="369">
                  <c:v>148</c:v>
                </c:pt>
                <c:pt idx="370">
                  <c:v>148</c:v>
                </c:pt>
                <c:pt idx="371">
                  <c:v>148</c:v>
                </c:pt>
                <c:pt idx="372">
                  <c:v>149</c:v>
                </c:pt>
                <c:pt idx="373">
                  <c:v>149</c:v>
                </c:pt>
                <c:pt idx="374">
                  <c:v>149</c:v>
                </c:pt>
                <c:pt idx="375">
                  <c:v>150</c:v>
                </c:pt>
                <c:pt idx="376">
                  <c:v>150</c:v>
                </c:pt>
                <c:pt idx="377">
                  <c:v>151</c:v>
                </c:pt>
                <c:pt idx="378">
                  <c:v>151</c:v>
                </c:pt>
                <c:pt idx="379">
                  <c:v>152</c:v>
                </c:pt>
                <c:pt idx="380">
                  <c:v>152</c:v>
                </c:pt>
                <c:pt idx="381">
                  <c:v>152</c:v>
                </c:pt>
                <c:pt idx="382">
                  <c:v>152</c:v>
                </c:pt>
                <c:pt idx="383">
                  <c:v>153</c:v>
                </c:pt>
                <c:pt idx="384">
                  <c:v>153</c:v>
                </c:pt>
                <c:pt idx="385">
                  <c:v>154</c:v>
                </c:pt>
                <c:pt idx="386">
                  <c:v>154</c:v>
                </c:pt>
                <c:pt idx="387">
                  <c:v>154</c:v>
                </c:pt>
                <c:pt idx="388">
                  <c:v>155</c:v>
                </c:pt>
                <c:pt idx="389">
                  <c:v>155</c:v>
                </c:pt>
                <c:pt idx="390">
                  <c:v>155</c:v>
                </c:pt>
                <c:pt idx="391">
                  <c:v>155</c:v>
                </c:pt>
                <c:pt idx="392">
                  <c:v>156</c:v>
                </c:pt>
                <c:pt idx="393">
                  <c:v>156</c:v>
                </c:pt>
                <c:pt idx="394">
                  <c:v>156</c:v>
                </c:pt>
                <c:pt idx="395">
                  <c:v>157</c:v>
                </c:pt>
                <c:pt idx="396">
                  <c:v>158</c:v>
                </c:pt>
                <c:pt idx="397">
                  <c:v>159</c:v>
                </c:pt>
                <c:pt idx="398">
                  <c:v>160</c:v>
                </c:pt>
                <c:pt idx="399">
                  <c:v>160</c:v>
                </c:pt>
                <c:pt idx="400">
                  <c:v>160</c:v>
                </c:pt>
                <c:pt idx="401">
                  <c:v>160</c:v>
                </c:pt>
                <c:pt idx="402">
                  <c:v>161</c:v>
                </c:pt>
                <c:pt idx="403">
                  <c:v>162</c:v>
                </c:pt>
                <c:pt idx="404">
                  <c:v>162</c:v>
                </c:pt>
                <c:pt idx="405">
                  <c:v>163</c:v>
                </c:pt>
                <c:pt idx="406">
                  <c:v>164</c:v>
                </c:pt>
                <c:pt idx="407">
                  <c:v>165</c:v>
                </c:pt>
                <c:pt idx="408">
                  <c:v>165</c:v>
                </c:pt>
                <c:pt idx="409">
                  <c:v>166</c:v>
                </c:pt>
                <c:pt idx="410">
                  <c:v>167</c:v>
                </c:pt>
                <c:pt idx="411">
                  <c:v>167</c:v>
                </c:pt>
                <c:pt idx="412">
                  <c:v>168</c:v>
                </c:pt>
                <c:pt idx="413">
                  <c:v>168</c:v>
                </c:pt>
                <c:pt idx="414">
                  <c:v>168</c:v>
                </c:pt>
                <c:pt idx="415">
                  <c:v>168</c:v>
                </c:pt>
                <c:pt idx="416">
                  <c:v>168</c:v>
                </c:pt>
                <c:pt idx="417">
                  <c:v>168</c:v>
                </c:pt>
                <c:pt idx="418">
                  <c:v>168</c:v>
                </c:pt>
                <c:pt idx="419">
                  <c:v>168</c:v>
                </c:pt>
                <c:pt idx="420">
                  <c:v>169</c:v>
                </c:pt>
                <c:pt idx="421">
                  <c:v>169</c:v>
                </c:pt>
                <c:pt idx="422">
                  <c:v>169</c:v>
                </c:pt>
                <c:pt idx="423">
                  <c:v>170</c:v>
                </c:pt>
                <c:pt idx="424">
                  <c:v>170</c:v>
                </c:pt>
                <c:pt idx="425">
                  <c:v>170</c:v>
                </c:pt>
                <c:pt idx="426">
                  <c:v>170</c:v>
                </c:pt>
                <c:pt idx="427">
                  <c:v>170</c:v>
                </c:pt>
                <c:pt idx="428">
                  <c:v>170</c:v>
                </c:pt>
                <c:pt idx="429">
                  <c:v>171</c:v>
                </c:pt>
                <c:pt idx="430">
                  <c:v>171</c:v>
                </c:pt>
                <c:pt idx="431">
                  <c:v>172</c:v>
                </c:pt>
                <c:pt idx="432">
                  <c:v>173</c:v>
                </c:pt>
                <c:pt idx="433">
                  <c:v>173</c:v>
                </c:pt>
                <c:pt idx="434">
                  <c:v>173</c:v>
                </c:pt>
                <c:pt idx="435">
                  <c:v>173</c:v>
                </c:pt>
                <c:pt idx="436">
                  <c:v>173</c:v>
                </c:pt>
                <c:pt idx="437">
                  <c:v>174</c:v>
                </c:pt>
                <c:pt idx="438">
                  <c:v>174</c:v>
                </c:pt>
                <c:pt idx="439">
                  <c:v>175</c:v>
                </c:pt>
                <c:pt idx="440">
                  <c:v>175</c:v>
                </c:pt>
                <c:pt idx="441">
                  <c:v>176</c:v>
                </c:pt>
                <c:pt idx="442">
                  <c:v>177</c:v>
                </c:pt>
                <c:pt idx="443">
                  <c:v>177</c:v>
                </c:pt>
                <c:pt idx="444">
                  <c:v>178</c:v>
                </c:pt>
                <c:pt idx="445">
                  <c:v>179</c:v>
                </c:pt>
                <c:pt idx="446">
                  <c:v>179</c:v>
                </c:pt>
                <c:pt idx="447">
                  <c:v>180</c:v>
                </c:pt>
                <c:pt idx="448">
                  <c:v>181</c:v>
                </c:pt>
                <c:pt idx="449">
                  <c:v>182</c:v>
                </c:pt>
                <c:pt idx="450">
                  <c:v>183</c:v>
                </c:pt>
                <c:pt idx="451">
                  <c:v>183</c:v>
                </c:pt>
                <c:pt idx="452">
                  <c:v>184</c:v>
                </c:pt>
                <c:pt idx="453">
                  <c:v>184</c:v>
                </c:pt>
                <c:pt idx="454">
                  <c:v>184</c:v>
                </c:pt>
                <c:pt idx="455">
                  <c:v>184</c:v>
                </c:pt>
                <c:pt idx="456">
                  <c:v>184</c:v>
                </c:pt>
                <c:pt idx="457">
                  <c:v>184</c:v>
                </c:pt>
                <c:pt idx="458">
                  <c:v>185</c:v>
                </c:pt>
                <c:pt idx="459">
                  <c:v>185</c:v>
                </c:pt>
                <c:pt idx="460">
                  <c:v>186</c:v>
                </c:pt>
                <c:pt idx="461">
                  <c:v>186</c:v>
                </c:pt>
                <c:pt idx="462">
                  <c:v>187</c:v>
                </c:pt>
                <c:pt idx="463">
                  <c:v>187</c:v>
                </c:pt>
                <c:pt idx="464">
                  <c:v>187</c:v>
                </c:pt>
                <c:pt idx="465">
                  <c:v>188</c:v>
                </c:pt>
                <c:pt idx="466">
                  <c:v>188</c:v>
                </c:pt>
                <c:pt idx="467">
                  <c:v>188</c:v>
                </c:pt>
                <c:pt idx="468">
                  <c:v>189</c:v>
                </c:pt>
                <c:pt idx="469">
                  <c:v>190</c:v>
                </c:pt>
                <c:pt idx="470">
                  <c:v>191</c:v>
                </c:pt>
                <c:pt idx="471">
                  <c:v>191</c:v>
                </c:pt>
                <c:pt idx="472">
                  <c:v>192</c:v>
                </c:pt>
                <c:pt idx="473">
                  <c:v>193</c:v>
                </c:pt>
                <c:pt idx="474">
                  <c:v>193</c:v>
                </c:pt>
                <c:pt idx="475">
                  <c:v>193</c:v>
                </c:pt>
                <c:pt idx="476">
                  <c:v>193</c:v>
                </c:pt>
                <c:pt idx="477">
                  <c:v>193</c:v>
                </c:pt>
                <c:pt idx="478">
                  <c:v>194</c:v>
                </c:pt>
                <c:pt idx="479">
                  <c:v>195</c:v>
                </c:pt>
                <c:pt idx="480">
                  <c:v>196</c:v>
                </c:pt>
                <c:pt idx="481">
                  <c:v>197</c:v>
                </c:pt>
                <c:pt idx="482">
                  <c:v>197</c:v>
                </c:pt>
                <c:pt idx="483">
                  <c:v>198</c:v>
                </c:pt>
                <c:pt idx="484">
                  <c:v>199</c:v>
                </c:pt>
                <c:pt idx="485">
                  <c:v>200</c:v>
                </c:pt>
                <c:pt idx="486">
                  <c:v>201</c:v>
                </c:pt>
                <c:pt idx="487">
                  <c:v>202</c:v>
                </c:pt>
                <c:pt idx="488">
                  <c:v>202</c:v>
                </c:pt>
                <c:pt idx="489">
                  <c:v>202</c:v>
                </c:pt>
                <c:pt idx="490">
                  <c:v>203</c:v>
                </c:pt>
                <c:pt idx="491">
                  <c:v>204</c:v>
                </c:pt>
                <c:pt idx="492">
                  <c:v>205</c:v>
                </c:pt>
                <c:pt idx="493">
                  <c:v>205</c:v>
                </c:pt>
                <c:pt idx="494">
                  <c:v>206</c:v>
                </c:pt>
                <c:pt idx="495">
                  <c:v>207</c:v>
                </c:pt>
                <c:pt idx="496">
                  <c:v>207</c:v>
                </c:pt>
                <c:pt idx="497">
                  <c:v>207</c:v>
                </c:pt>
                <c:pt idx="498">
                  <c:v>208</c:v>
                </c:pt>
                <c:pt idx="499">
                  <c:v>208</c:v>
                </c:pt>
                <c:pt idx="500">
                  <c:v>208</c:v>
                </c:pt>
                <c:pt idx="501">
                  <c:v>208</c:v>
                </c:pt>
                <c:pt idx="502">
                  <c:v>208</c:v>
                </c:pt>
                <c:pt idx="503">
                  <c:v>209</c:v>
                </c:pt>
                <c:pt idx="504">
                  <c:v>209</c:v>
                </c:pt>
                <c:pt idx="505">
                  <c:v>209</c:v>
                </c:pt>
                <c:pt idx="506">
                  <c:v>210</c:v>
                </c:pt>
                <c:pt idx="507">
                  <c:v>210</c:v>
                </c:pt>
                <c:pt idx="508">
                  <c:v>211</c:v>
                </c:pt>
                <c:pt idx="509">
                  <c:v>211</c:v>
                </c:pt>
                <c:pt idx="510">
                  <c:v>211</c:v>
                </c:pt>
                <c:pt idx="511">
                  <c:v>212</c:v>
                </c:pt>
                <c:pt idx="512">
                  <c:v>213</c:v>
                </c:pt>
                <c:pt idx="513">
                  <c:v>214</c:v>
                </c:pt>
                <c:pt idx="514">
                  <c:v>214</c:v>
                </c:pt>
                <c:pt idx="515">
                  <c:v>214</c:v>
                </c:pt>
                <c:pt idx="516">
                  <c:v>215</c:v>
                </c:pt>
                <c:pt idx="517">
                  <c:v>216</c:v>
                </c:pt>
                <c:pt idx="518">
                  <c:v>216</c:v>
                </c:pt>
                <c:pt idx="519">
                  <c:v>216</c:v>
                </c:pt>
                <c:pt idx="520">
                  <c:v>217</c:v>
                </c:pt>
                <c:pt idx="521">
                  <c:v>218</c:v>
                </c:pt>
                <c:pt idx="522">
                  <c:v>219</c:v>
                </c:pt>
                <c:pt idx="523">
                  <c:v>220</c:v>
                </c:pt>
                <c:pt idx="524">
                  <c:v>221</c:v>
                </c:pt>
                <c:pt idx="525">
                  <c:v>222</c:v>
                </c:pt>
                <c:pt idx="526">
                  <c:v>223</c:v>
                </c:pt>
                <c:pt idx="527">
                  <c:v>223</c:v>
                </c:pt>
                <c:pt idx="528">
                  <c:v>223</c:v>
                </c:pt>
                <c:pt idx="529">
                  <c:v>223</c:v>
                </c:pt>
                <c:pt idx="530">
                  <c:v>222</c:v>
                </c:pt>
                <c:pt idx="531">
                  <c:v>223</c:v>
                </c:pt>
              </c:numCache>
            </c:numRef>
          </c:val>
          <c:smooth val="0"/>
          <c:extLst>
            <c:ext xmlns:c16="http://schemas.microsoft.com/office/drawing/2014/chart" uri="{C3380CC4-5D6E-409C-BE32-E72D297353CC}">
              <c16:uniqueId val="{00000003-E375-4AF9-BB6A-A3C2377400CB}"/>
            </c:ext>
          </c:extLst>
        </c:ser>
        <c:ser>
          <c:idx val="4"/>
          <c:order val="4"/>
          <c:tx>
            <c:strRef>
              <c:f>Participation!$P$1</c:f>
              <c:strCache>
                <c:ptCount val="1"/>
                <c:pt idx="0">
                  <c:v>SJU</c:v>
                </c:pt>
              </c:strCache>
            </c:strRef>
          </c:tx>
          <c:spPr>
            <a:ln w="28575" cap="rnd">
              <a:solidFill>
                <a:schemeClr val="accent5"/>
              </a:solidFill>
              <a:round/>
            </a:ln>
            <a:effectLst/>
          </c:spPr>
          <c:marker>
            <c:symbol val="none"/>
          </c:marker>
          <c:cat>
            <c:numRef>
              <c:f>Participation!$K$2:$K$533</c:f>
              <c:numCache>
                <c:formatCode>m/d/yyyy</c:formatCode>
                <c:ptCount val="532"/>
                <c:pt idx="0">
                  <c:v>42475</c:v>
                </c:pt>
                <c:pt idx="1">
                  <c:v>42482</c:v>
                </c:pt>
                <c:pt idx="2">
                  <c:v>42489</c:v>
                </c:pt>
                <c:pt idx="3">
                  <c:v>42496</c:v>
                </c:pt>
                <c:pt idx="4">
                  <c:v>42503</c:v>
                </c:pt>
                <c:pt idx="5">
                  <c:v>42510</c:v>
                </c:pt>
                <c:pt idx="6">
                  <c:v>42517</c:v>
                </c:pt>
                <c:pt idx="7">
                  <c:v>42524</c:v>
                </c:pt>
                <c:pt idx="8">
                  <c:v>42531</c:v>
                </c:pt>
                <c:pt idx="9">
                  <c:v>42538</c:v>
                </c:pt>
                <c:pt idx="10">
                  <c:v>42545</c:v>
                </c:pt>
                <c:pt idx="11">
                  <c:v>42552</c:v>
                </c:pt>
                <c:pt idx="12">
                  <c:v>42559</c:v>
                </c:pt>
                <c:pt idx="13">
                  <c:v>42566</c:v>
                </c:pt>
                <c:pt idx="14">
                  <c:v>42573</c:v>
                </c:pt>
                <c:pt idx="15">
                  <c:v>42580</c:v>
                </c:pt>
                <c:pt idx="16">
                  <c:v>42587</c:v>
                </c:pt>
                <c:pt idx="17">
                  <c:v>42594</c:v>
                </c:pt>
                <c:pt idx="18">
                  <c:v>42601</c:v>
                </c:pt>
                <c:pt idx="19">
                  <c:v>42608</c:v>
                </c:pt>
                <c:pt idx="20">
                  <c:v>42615</c:v>
                </c:pt>
                <c:pt idx="21">
                  <c:v>42622</c:v>
                </c:pt>
                <c:pt idx="22">
                  <c:v>42629</c:v>
                </c:pt>
                <c:pt idx="23">
                  <c:v>42636</c:v>
                </c:pt>
                <c:pt idx="24">
                  <c:v>42643</c:v>
                </c:pt>
                <c:pt idx="25">
                  <c:v>42650</c:v>
                </c:pt>
                <c:pt idx="26">
                  <c:v>42657</c:v>
                </c:pt>
                <c:pt idx="27">
                  <c:v>42664</c:v>
                </c:pt>
                <c:pt idx="28">
                  <c:v>42671</c:v>
                </c:pt>
                <c:pt idx="29">
                  <c:v>42678</c:v>
                </c:pt>
                <c:pt idx="30">
                  <c:v>42685</c:v>
                </c:pt>
                <c:pt idx="31">
                  <c:v>42692</c:v>
                </c:pt>
                <c:pt idx="32">
                  <c:v>42699</c:v>
                </c:pt>
                <c:pt idx="33">
                  <c:v>42706</c:v>
                </c:pt>
                <c:pt idx="34">
                  <c:v>42713</c:v>
                </c:pt>
                <c:pt idx="35">
                  <c:v>42720</c:v>
                </c:pt>
                <c:pt idx="36">
                  <c:v>42727</c:v>
                </c:pt>
                <c:pt idx="37">
                  <c:v>42734</c:v>
                </c:pt>
                <c:pt idx="38">
                  <c:v>42741</c:v>
                </c:pt>
                <c:pt idx="39">
                  <c:v>42748</c:v>
                </c:pt>
                <c:pt idx="40">
                  <c:v>42755</c:v>
                </c:pt>
                <c:pt idx="41">
                  <c:v>42762</c:v>
                </c:pt>
                <c:pt idx="42">
                  <c:v>42769</c:v>
                </c:pt>
                <c:pt idx="43">
                  <c:v>42776</c:v>
                </c:pt>
                <c:pt idx="44">
                  <c:v>42783</c:v>
                </c:pt>
                <c:pt idx="45">
                  <c:v>42790</c:v>
                </c:pt>
                <c:pt idx="46">
                  <c:v>42797</c:v>
                </c:pt>
                <c:pt idx="47">
                  <c:v>42804</c:v>
                </c:pt>
                <c:pt idx="48">
                  <c:v>42811</c:v>
                </c:pt>
                <c:pt idx="49">
                  <c:v>42818</c:v>
                </c:pt>
                <c:pt idx="50">
                  <c:v>42825</c:v>
                </c:pt>
                <c:pt idx="51">
                  <c:v>42832</c:v>
                </c:pt>
                <c:pt idx="52">
                  <c:v>42846</c:v>
                </c:pt>
                <c:pt idx="53">
                  <c:v>42853</c:v>
                </c:pt>
                <c:pt idx="54">
                  <c:v>42860</c:v>
                </c:pt>
                <c:pt idx="55">
                  <c:v>42867</c:v>
                </c:pt>
                <c:pt idx="56">
                  <c:v>42874</c:v>
                </c:pt>
                <c:pt idx="57">
                  <c:v>42881</c:v>
                </c:pt>
                <c:pt idx="58">
                  <c:v>42888</c:v>
                </c:pt>
                <c:pt idx="59">
                  <c:v>42895</c:v>
                </c:pt>
                <c:pt idx="60">
                  <c:v>42902</c:v>
                </c:pt>
                <c:pt idx="61">
                  <c:v>42909</c:v>
                </c:pt>
                <c:pt idx="62">
                  <c:v>42916</c:v>
                </c:pt>
                <c:pt idx="63">
                  <c:v>42923</c:v>
                </c:pt>
                <c:pt idx="64">
                  <c:v>42930</c:v>
                </c:pt>
                <c:pt idx="65">
                  <c:v>42937</c:v>
                </c:pt>
                <c:pt idx="66">
                  <c:v>42944</c:v>
                </c:pt>
                <c:pt idx="67">
                  <c:v>42951</c:v>
                </c:pt>
                <c:pt idx="68">
                  <c:v>42958</c:v>
                </c:pt>
                <c:pt idx="69">
                  <c:v>42965</c:v>
                </c:pt>
                <c:pt idx="70">
                  <c:v>42972</c:v>
                </c:pt>
                <c:pt idx="71">
                  <c:v>42979</c:v>
                </c:pt>
                <c:pt idx="72">
                  <c:v>42986</c:v>
                </c:pt>
                <c:pt idx="73">
                  <c:v>42993</c:v>
                </c:pt>
                <c:pt idx="74">
                  <c:v>43000</c:v>
                </c:pt>
                <c:pt idx="75">
                  <c:v>43007</c:v>
                </c:pt>
                <c:pt idx="76">
                  <c:v>43014</c:v>
                </c:pt>
                <c:pt idx="77">
                  <c:v>43021</c:v>
                </c:pt>
                <c:pt idx="78">
                  <c:v>43028</c:v>
                </c:pt>
                <c:pt idx="79">
                  <c:v>43035</c:v>
                </c:pt>
                <c:pt idx="80">
                  <c:v>43042</c:v>
                </c:pt>
                <c:pt idx="81">
                  <c:v>43049</c:v>
                </c:pt>
                <c:pt idx="82">
                  <c:v>43056</c:v>
                </c:pt>
                <c:pt idx="83">
                  <c:v>43063</c:v>
                </c:pt>
                <c:pt idx="84">
                  <c:v>43070</c:v>
                </c:pt>
                <c:pt idx="85">
                  <c:v>43077</c:v>
                </c:pt>
                <c:pt idx="86">
                  <c:v>43084</c:v>
                </c:pt>
                <c:pt idx="87">
                  <c:v>43091</c:v>
                </c:pt>
                <c:pt idx="88">
                  <c:v>43098</c:v>
                </c:pt>
                <c:pt idx="89">
                  <c:v>43105</c:v>
                </c:pt>
                <c:pt idx="90">
                  <c:v>43112</c:v>
                </c:pt>
                <c:pt idx="91">
                  <c:v>43119</c:v>
                </c:pt>
                <c:pt idx="92">
                  <c:v>43126</c:v>
                </c:pt>
                <c:pt idx="93">
                  <c:v>43133</c:v>
                </c:pt>
                <c:pt idx="94">
                  <c:v>43140</c:v>
                </c:pt>
                <c:pt idx="95">
                  <c:v>43147</c:v>
                </c:pt>
                <c:pt idx="96">
                  <c:v>43154</c:v>
                </c:pt>
                <c:pt idx="97">
                  <c:v>43161</c:v>
                </c:pt>
                <c:pt idx="98">
                  <c:v>43168</c:v>
                </c:pt>
                <c:pt idx="99">
                  <c:v>43175</c:v>
                </c:pt>
                <c:pt idx="100">
                  <c:v>43182</c:v>
                </c:pt>
                <c:pt idx="101">
                  <c:v>43196</c:v>
                </c:pt>
                <c:pt idx="102">
                  <c:v>43203</c:v>
                </c:pt>
                <c:pt idx="103">
                  <c:v>43210</c:v>
                </c:pt>
                <c:pt idx="104">
                  <c:v>43217</c:v>
                </c:pt>
                <c:pt idx="105">
                  <c:v>43224</c:v>
                </c:pt>
                <c:pt idx="106">
                  <c:v>43231</c:v>
                </c:pt>
                <c:pt idx="107">
                  <c:v>43238</c:v>
                </c:pt>
                <c:pt idx="108">
                  <c:v>43245</c:v>
                </c:pt>
                <c:pt idx="109">
                  <c:v>43252</c:v>
                </c:pt>
                <c:pt idx="110">
                  <c:v>43259</c:v>
                </c:pt>
                <c:pt idx="111">
                  <c:v>43266</c:v>
                </c:pt>
                <c:pt idx="112">
                  <c:v>43273</c:v>
                </c:pt>
                <c:pt idx="113">
                  <c:v>43280</c:v>
                </c:pt>
                <c:pt idx="114">
                  <c:v>43287</c:v>
                </c:pt>
                <c:pt idx="115">
                  <c:v>43294</c:v>
                </c:pt>
                <c:pt idx="116">
                  <c:v>43301</c:v>
                </c:pt>
                <c:pt idx="117">
                  <c:v>43308</c:v>
                </c:pt>
                <c:pt idx="118">
                  <c:v>43315</c:v>
                </c:pt>
                <c:pt idx="119">
                  <c:v>43322</c:v>
                </c:pt>
                <c:pt idx="120">
                  <c:v>43329</c:v>
                </c:pt>
                <c:pt idx="121">
                  <c:v>43336</c:v>
                </c:pt>
                <c:pt idx="122">
                  <c:v>43343</c:v>
                </c:pt>
                <c:pt idx="123">
                  <c:v>43350</c:v>
                </c:pt>
                <c:pt idx="124">
                  <c:v>43357</c:v>
                </c:pt>
                <c:pt idx="125">
                  <c:v>43364</c:v>
                </c:pt>
                <c:pt idx="126">
                  <c:v>43371</c:v>
                </c:pt>
                <c:pt idx="127">
                  <c:v>43378</c:v>
                </c:pt>
                <c:pt idx="128">
                  <c:v>43385</c:v>
                </c:pt>
                <c:pt idx="129">
                  <c:v>43392</c:v>
                </c:pt>
                <c:pt idx="130">
                  <c:v>43399</c:v>
                </c:pt>
                <c:pt idx="131">
                  <c:v>43406</c:v>
                </c:pt>
                <c:pt idx="132">
                  <c:v>43413</c:v>
                </c:pt>
                <c:pt idx="133">
                  <c:v>43420</c:v>
                </c:pt>
                <c:pt idx="134">
                  <c:v>43427</c:v>
                </c:pt>
                <c:pt idx="135">
                  <c:v>43434</c:v>
                </c:pt>
                <c:pt idx="136">
                  <c:v>43441</c:v>
                </c:pt>
                <c:pt idx="137">
                  <c:v>43448</c:v>
                </c:pt>
                <c:pt idx="138">
                  <c:v>43455</c:v>
                </c:pt>
                <c:pt idx="139">
                  <c:v>43462</c:v>
                </c:pt>
                <c:pt idx="140">
                  <c:v>43469</c:v>
                </c:pt>
                <c:pt idx="141">
                  <c:v>43476</c:v>
                </c:pt>
                <c:pt idx="142">
                  <c:v>43483</c:v>
                </c:pt>
                <c:pt idx="143">
                  <c:v>43490</c:v>
                </c:pt>
                <c:pt idx="144">
                  <c:v>43497</c:v>
                </c:pt>
                <c:pt idx="145">
                  <c:v>43504</c:v>
                </c:pt>
                <c:pt idx="146">
                  <c:v>43511</c:v>
                </c:pt>
                <c:pt idx="147">
                  <c:v>43518</c:v>
                </c:pt>
                <c:pt idx="148">
                  <c:v>43525</c:v>
                </c:pt>
                <c:pt idx="149">
                  <c:v>43532</c:v>
                </c:pt>
                <c:pt idx="150">
                  <c:v>43539</c:v>
                </c:pt>
                <c:pt idx="151">
                  <c:v>43546</c:v>
                </c:pt>
                <c:pt idx="152">
                  <c:v>43553</c:v>
                </c:pt>
                <c:pt idx="153">
                  <c:v>43560</c:v>
                </c:pt>
                <c:pt idx="154">
                  <c:v>43567</c:v>
                </c:pt>
                <c:pt idx="155">
                  <c:v>43581</c:v>
                </c:pt>
                <c:pt idx="156">
                  <c:v>43588</c:v>
                </c:pt>
                <c:pt idx="157">
                  <c:v>43595</c:v>
                </c:pt>
                <c:pt idx="158">
                  <c:v>43602</c:v>
                </c:pt>
                <c:pt idx="159">
                  <c:v>43609</c:v>
                </c:pt>
                <c:pt idx="160">
                  <c:v>43616</c:v>
                </c:pt>
                <c:pt idx="161">
                  <c:v>43623</c:v>
                </c:pt>
                <c:pt idx="162">
                  <c:v>43630</c:v>
                </c:pt>
                <c:pt idx="163">
                  <c:v>43637</c:v>
                </c:pt>
                <c:pt idx="164">
                  <c:v>43644</c:v>
                </c:pt>
                <c:pt idx="165">
                  <c:v>43651</c:v>
                </c:pt>
                <c:pt idx="166">
                  <c:v>43658</c:v>
                </c:pt>
                <c:pt idx="167">
                  <c:v>43665</c:v>
                </c:pt>
                <c:pt idx="168">
                  <c:v>43672</c:v>
                </c:pt>
                <c:pt idx="169">
                  <c:v>43679</c:v>
                </c:pt>
                <c:pt idx="170">
                  <c:v>43686</c:v>
                </c:pt>
                <c:pt idx="171">
                  <c:v>43693</c:v>
                </c:pt>
                <c:pt idx="172">
                  <c:v>43700</c:v>
                </c:pt>
                <c:pt idx="173">
                  <c:v>43707</c:v>
                </c:pt>
                <c:pt idx="174">
                  <c:v>43714</c:v>
                </c:pt>
                <c:pt idx="175">
                  <c:v>43721</c:v>
                </c:pt>
                <c:pt idx="176">
                  <c:v>43728</c:v>
                </c:pt>
                <c:pt idx="177">
                  <c:v>43735</c:v>
                </c:pt>
                <c:pt idx="178">
                  <c:v>43742</c:v>
                </c:pt>
                <c:pt idx="179">
                  <c:v>43749</c:v>
                </c:pt>
                <c:pt idx="180">
                  <c:v>43756</c:v>
                </c:pt>
                <c:pt idx="181">
                  <c:v>43763</c:v>
                </c:pt>
                <c:pt idx="182">
                  <c:v>43770</c:v>
                </c:pt>
                <c:pt idx="183">
                  <c:v>43777</c:v>
                </c:pt>
                <c:pt idx="184">
                  <c:v>43784</c:v>
                </c:pt>
                <c:pt idx="185">
                  <c:v>43791</c:v>
                </c:pt>
                <c:pt idx="186">
                  <c:v>43798</c:v>
                </c:pt>
                <c:pt idx="187">
                  <c:v>43805</c:v>
                </c:pt>
                <c:pt idx="188">
                  <c:v>43812</c:v>
                </c:pt>
                <c:pt idx="189">
                  <c:v>43819</c:v>
                </c:pt>
                <c:pt idx="190">
                  <c:v>43826</c:v>
                </c:pt>
                <c:pt idx="191">
                  <c:v>43833</c:v>
                </c:pt>
                <c:pt idx="192">
                  <c:v>43840</c:v>
                </c:pt>
                <c:pt idx="193">
                  <c:v>43854</c:v>
                </c:pt>
                <c:pt idx="194">
                  <c:v>43861</c:v>
                </c:pt>
                <c:pt idx="195">
                  <c:v>43868</c:v>
                </c:pt>
                <c:pt idx="196">
                  <c:v>43875</c:v>
                </c:pt>
                <c:pt idx="197">
                  <c:v>43882</c:v>
                </c:pt>
                <c:pt idx="198">
                  <c:v>43889</c:v>
                </c:pt>
                <c:pt idx="199">
                  <c:v>43896</c:v>
                </c:pt>
                <c:pt idx="200">
                  <c:v>43903</c:v>
                </c:pt>
                <c:pt idx="201">
                  <c:v>43910</c:v>
                </c:pt>
                <c:pt idx="202">
                  <c:v>43917</c:v>
                </c:pt>
                <c:pt idx="203">
                  <c:v>43924</c:v>
                </c:pt>
                <c:pt idx="204">
                  <c:v>43938</c:v>
                </c:pt>
                <c:pt idx="205">
                  <c:v>43945</c:v>
                </c:pt>
                <c:pt idx="206">
                  <c:v>43952</c:v>
                </c:pt>
                <c:pt idx="207">
                  <c:v>43959</c:v>
                </c:pt>
                <c:pt idx="208">
                  <c:v>43966</c:v>
                </c:pt>
                <c:pt idx="209">
                  <c:v>43973</c:v>
                </c:pt>
                <c:pt idx="210">
                  <c:v>43980</c:v>
                </c:pt>
                <c:pt idx="211">
                  <c:v>43987</c:v>
                </c:pt>
                <c:pt idx="212">
                  <c:v>43994</c:v>
                </c:pt>
                <c:pt idx="213">
                  <c:v>44001</c:v>
                </c:pt>
                <c:pt idx="214">
                  <c:v>44008</c:v>
                </c:pt>
                <c:pt idx="215">
                  <c:v>44015</c:v>
                </c:pt>
                <c:pt idx="216">
                  <c:v>44022</c:v>
                </c:pt>
                <c:pt idx="217">
                  <c:v>44029</c:v>
                </c:pt>
                <c:pt idx="218">
                  <c:v>44036</c:v>
                </c:pt>
                <c:pt idx="219">
                  <c:v>44043</c:v>
                </c:pt>
                <c:pt idx="220">
                  <c:v>44050</c:v>
                </c:pt>
                <c:pt idx="221">
                  <c:v>44057</c:v>
                </c:pt>
                <c:pt idx="222">
                  <c:v>44064</c:v>
                </c:pt>
                <c:pt idx="223">
                  <c:v>44071</c:v>
                </c:pt>
                <c:pt idx="224">
                  <c:v>44078</c:v>
                </c:pt>
                <c:pt idx="225">
                  <c:v>44085</c:v>
                </c:pt>
                <c:pt idx="226">
                  <c:v>44092</c:v>
                </c:pt>
                <c:pt idx="227">
                  <c:v>44099</c:v>
                </c:pt>
                <c:pt idx="228">
                  <c:v>44106</c:v>
                </c:pt>
                <c:pt idx="229">
                  <c:v>44113</c:v>
                </c:pt>
                <c:pt idx="230">
                  <c:v>44120</c:v>
                </c:pt>
                <c:pt idx="231">
                  <c:v>44127</c:v>
                </c:pt>
                <c:pt idx="232">
                  <c:v>44134</c:v>
                </c:pt>
                <c:pt idx="233">
                  <c:v>44141</c:v>
                </c:pt>
                <c:pt idx="234">
                  <c:v>44148</c:v>
                </c:pt>
                <c:pt idx="235">
                  <c:v>44155</c:v>
                </c:pt>
                <c:pt idx="236">
                  <c:v>44162</c:v>
                </c:pt>
                <c:pt idx="237">
                  <c:v>44169</c:v>
                </c:pt>
                <c:pt idx="238">
                  <c:v>44176</c:v>
                </c:pt>
                <c:pt idx="239">
                  <c:v>44183</c:v>
                </c:pt>
                <c:pt idx="240">
                  <c:v>44204</c:v>
                </c:pt>
                <c:pt idx="241">
                  <c:v>44211</c:v>
                </c:pt>
                <c:pt idx="242">
                  <c:v>44218</c:v>
                </c:pt>
                <c:pt idx="243">
                  <c:v>44225</c:v>
                </c:pt>
                <c:pt idx="244">
                  <c:v>44232</c:v>
                </c:pt>
                <c:pt idx="245">
                  <c:v>44239</c:v>
                </c:pt>
                <c:pt idx="246">
                  <c:v>44246</c:v>
                </c:pt>
                <c:pt idx="247">
                  <c:v>44253</c:v>
                </c:pt>
                <c:pt idx="248">
                  <c:v>44260</c:v>
                </c:pt>
                <c:pt idx="249">
                  <c:v>44267</c:v>
                </c:pt>
                <c:pt idx="250">
                  <c:v>44274</c:v>
                </c:pt>
                <c:pt idx="251">
                  <c:v>44281</c:v>
                </c:pt>
                <c:pt idx="252">
                  <c:v>44295</c:v>
                </c:pt>
                <c:pt idx="253">
                  <c:v>44302</c:v>
                </c:pt>
                <c:pt idx="254">
                  <c:v>44309</c:v>
                </c:pt>
                <c:pt idx="255">
                  <c:v>44316</c:v>
                </c:pt>
                <c:pt idx="256">
                  <c:v>44323</c:v>
                </c:pt>
                <c:pt idx="257">
                  <c:v>44330</c:v>
                </c:pt>
                <c:pt idx="258">
                  <c:v>44337</c:v>
                </c:pt>
                <c:pt idx="259">
                  <c:v>44344</c:v>
                </c:pt>
                <c:pt idx="260">
                  <c:v>44351</c:v>
                </c:pt>
                <c:pt idx="261">
                  <c:v>44358</c:v>
                </c:pt>
                <c:pt idx="262">
                  <c:v>44365</c:v>
                </c:pt>
                <c:pt idx="263">
                  <c:v>44372</c:v>
                </c:pt>
                <c:pt idx="264">
                  <c:v>44379</c:v>
                </c:pt>
                <c:pt idx="265">
                  <c:v>44386</c:v>
                </c:pt>
                <c:pt idx="266">
                  <c:v>44393</c:v>
                </c:pt>
                <c:pt idx="267">
                  <c:v>44400</c:v>
                </c:pt>
                <c:pt idx="268">
                  <c:v>44407</c:v>
                </c:pt>
                <c:pt idx="269">
                  <c:v>44414</c:v>
                </c:pt>
                <c:pt idx="270">
                  <c:v>44421</c:v>
                </c:pt>
                <c:pt idx="271">
                  <c:v>44428</c:v>
                </c:pt>
                <c:pt idx="272">
                  <c:v>44435</c:v>
                </c:pt>
                <c:pt idx="273">
                  <c:v>44442</c:v>
                </c:pt>
                <c:pt idx="274">
                  <c:v>44449</c:v>
                </c:pt>
                <c:pt idx="275">
                  <c:v>44456</c:v>
                </c:pt>
                <c:pt idx="276">
                  <c:v>44463</c:v>
                </c:pt>
                <c:pt idx="277">
                  <c:v>44470</c:v>
                </c:pt>
                <c:pt idx="278">
                  <c:v>44477</c:v>
                </c:pt>
                <c:pt idx="279">
                  <c:v>44484</c:v>
                </c:pt>
                <c:pt idx="280">
                  <c:v>44491</c:v>
                </c:pt>
                <c:pt idx="281">
                  <c:v>44498</c:v>
                </c:pt>
                <c:pt idx="282">
                  <c:v>44505</c:v>
                </c:pt>
                <c:pt idx="283">
                  <c:v>44512</c:v>
                </c:pt>
                <c:pt idx="284">
                  <c:v>44519</c:v>
                </c:pt>
                <c:pt idx="285">
                  <c:v>44526</c:v>
                </c:pt>
                <c:pt idx="286">
                  <c:v>44533</c:v>
                </c:pt>
                <c:pt idx="287">
                  <c:v>44540</c:v>
                </c:pt>
                <c:pt idx="288">
                  <c:v>44547</c:v>
                </c:pt>
                <c:pt idx="289">
                  <c:v>44554</c:v>
                </c:pt>
                <c:pt idx="290">
                  <c:v>44561</c:v>
                </c:pt>
                <c:pt idx="291">
                  <c:v>44568</c:v>
                </c:pt>
                <c:pt idx="292">
                  <c:v>44575</c:v>
                </c:pt>
                <c:pt idx="293">
                  <c:v>44582</c:v>
                </c:pt>
                <c:pt idx="294">
                  <c:v>44589</c:v>
                </c:pt>
                <c:pt idx="295">
                  <c:v>44596</c:v>
                </c:pt>
                <c:pt idx="296">
                  <c:v>44603</c:v>
                </c:pt>
                <c:pt idx="297">
                  <c:v>44610</c:v>
                </c:pt>
                <c:pt idx="298">
                  <c:v>44617</c:v>
                </c:pt>
                <c:pt idx="299">
                  <c:v>44624</c:v>
                </c:pt>
                <c:pt idx="300">
                  <c:v>44631</c:v>
                </c:pt>
                <c:pt idx="301">
                  <c:v>44638</c:v>
                </c:pt>
                <c:pt idx="302">
                  <c:v>44645</c:v>
                </c:pt>
                <c:pt idx="303">
                  <c:v>44652</c:v>
                </c:pt>
                <c:pt idx="304">
                  <c:v>44659</c:v>
                </c:pt>
                <c:pt idx="305">
                  <c:v>44673</c:v>
                </c:pt>
                <c:pt idx="306">
                  <c:v>44680</c:v>
                </c:pt>
                <c:pt idx="307">
                  <c:v>44687</c:v>
                </c:pt>
                <c:pt idx="308">
                  <c:v>44694</c:v>
                </c:pt>
                <c:pt idx="309">
                  <c:v>44701</c:v>
                </c:pt>
                <c:pt idx="310">
                  <c:v>44708</c:v>
                </c:pt>
                <c:pt idx="311">
                  <c:v>44715</c:v>
                </c:pt>
                <c:pt idx="312">
                  <c:v>44722</c:v>
                </c:pt>
                <c:pt idx="313">
                  <c:v>44729</c:v>
                </c:pt>
                <c:pt idx="314">
                  <c:v>44736</c:v>
                </c:pt>
                <c:pt idx="315">
                  <c:v>44743</c:v>
                </c:pt>
                <c:pt idx="316">
                  <c:v>44750</c:v>
                </c:pt>
                <c:pt idx="317">
                  <c:v>44757</c:v>
                </c:pt>
                <c:pt idx="318">
                  <c:v>44764</c:v>
                </c:pt>
                <c:pt idx="319">
                  <c:v>44771</c:v>
                </c:pt>
                <c:pt idx="320">
                  <c:v>44778</c:v>
                </c:pt>
                <c:pt idx="321">
                  <c:v>44785</c:v>
                </c:pt>
                <c:pt idx="322">
                  <c:v>44792</c:v>
                </c:pt>
                <c:pt idx="323">
                  <c:v>44799</c:v>
                </c:pt>
                <c:pt idx="324">
                  <c:v>44806</c:v>
                </c:pt>
                <c:pt idx="325">
                  <c:v>44813</c:v>
                </c:pt>
                <c:pt idx="326">
                  <c:v>44820</c:v>
                </c:pt>
                <c:pt idx="327">
                  <c:v>44827</c:v>
                </c:pt>
                <c:pt idx="328">
                  <c:v>44834</c:v>
                </c:pt>
                <c:pt idx="329">
                  <c:v>44841</c:v>
                </c:pt>
                <c:pt idx="330">
                  <c:v>44848</c:v>
                </c:pt>
                <c:pt idx="331">
                  <c:v>44855</c:v>
                </c:pt>
                <c:pt idx="332">
                  <c:v>44862</c:v>
                </c:pt>
                <c:pt idx="333">
                  <c:v>44869</c:v>
                </c:pt>
                <c:pt idx="334">
                  <c:v>44876</c:v>
                </c:pt>
                <c:pt idx="335">
                  <c:v>44883</c:v>
                </c:pt>
                <c:pt idx="336">
                  <c:v>44890</c:v>
                </c:pt>
                <c:pt idx="337">
                  <c:v>44897</c:v>
                </c:pt>
                <c:pt idx="338">
                  <c:v>44904</c:v>
                </c:pt>
                <c:pt idx="339">
                  <c:v>44911</c:v>
                </c:pt>
                <c:pt idx="340">
                  <c:v>44918</c:v>
                </c:pt>
                <c:pt idx="341">
                  <c:v>44925</c:v>
                </c:pt>
                <c:pt idx="342">
                  <c:v>44932</c:v>
                </c:pt>
                <c:pt idx="343">
                  <c:v>44939</c:v>
                </c:pt>
                <c:pt idx="344">
                  <c:v>44946</c:v>
                </c:pt>
                <c:pt idx="345">
                  <c:v>44953</c:v>
                </c:pt>
                <c:pt idx="346">
                  <c:v>44960</c:v>
                </c:pt>
                <c:pt idx="347">
                  <c:v>44967</c:v>
                </c:pt>
                <c:pt idx="348">
                  <c:v>44974</c:v>
                </c:pt>
                <c:pt idx="349">
                  <c:v>44981</c:v>
                </c:pt>
                <c:pt idx="350">
                  <c:v>44988</c:v>
                </c:pt>
                <c:pt idx="351">
                  <c:v>44995</c:v>
                </c:pt>
                <c:pt idx="352">
                  <c:v>45002</c:v>
                </c:pt>
                <c:pt idx="353">
                  <c:v>45009</c:v>
                </c:pt>
                <c:pt idx="354">
                  <c:v>45016</c:v>
                </c:pt>
                <c:pt idx="355">
                  <c:v>45030</c:v>
                </c:pt>
                <c:pt idx="356">
                  <c:v>45037</c:v>
                </c:pt>
                <c:pt idx="357">
                  <c:v>45044</c:v>
                </c:pt>
                <c:pt idx="358">
                  <c:v>45051</c:v>
                </c:pt>
                <c:pt idx="359">
                  <c:v>45058</c:v>
                </c:pt>
                <c:pt idx="360">
                  <c:v>45065</c:v>
                </c:pt>
                <c:pt idx="361">
                  <c:v>45072</c:v>
                </c:pt>
                <c:pt idx="362">
                  <c:v>45079</c:v>
                </c:pt>
                <c:pt idx="363">
                  <c:v>45086</c:v>
                </c:pt>
                <c:pt idx="364">
                  <c:v>45093</c:v>
                </c:pt>
                <c:pt idx="365">
                  <c:v>45100</c:v>
                </c:pt>
                <c:pt idx="366">
                  <c:v>45107</c:v>
                </c:pt>
                <c:pt idx="367">
                  <c:v>45114</c:v>
                </c:pt>
                <c:pt idx="368">
                  <c:v>45121</c:v>
                </c:pt>
                <c:pt idx="369">
                  <c:v>45128</c:v>
                </c:pt>
                <c:pt idx="370">
                  <c:v>45135</c:v>
                </c:pt>
                <c:pt idx="371">
                  <c:v>45142</c:v>
                </c:pt>
                <c:pt idx="372">
                  <c:v>45149</c:v>
                </c:pt>
                <c:pt idx="373">
                  <c:v>45163</c:v>
                </c:pt>
                <c:pt idx="374">
                  <c:v>45170</c:v>
                </c:pt>
                <c:pt idx="375">
                  <c:v>45177</c:v>
                </c:pt>
                <c:pt idx="376">
                  <c:v>45184</c:v>
                </c:pt>
                <c:pt idx="377">
                  <c:v>45191</c:v>
                </c:pt>
                <c:pt idx="378">
                  <c:v>45198</c:v>
                </c:pt>
                <c:pt idx="379">
                  <c:v>45205</c:v>
                </c:pt>
                <c:pt idx="380">
                  <c:v>45212</c:v>
                </c:pt>
                <c:pt idx="381">
                  <c:v>45219</c:v>
                </c:pt>
                <c:pt idx="382">
                  <c:v>45226</c:v>
                </c:pt>
                <c:pt idx="383">
                  <c:v>45233</c:v>
                </c:pt>
                <c:pt idx="384">
                  <c:v>45240</c:v>
                </c:pt>
                <c:pt idx="385">
                  <c:v>45247</c:v>
                </c:pt>
                <c:pt idx="386">
                  <c:v>45254</c:v>
                </c:pt>
                <c:pt idx="387">
                  <c:v>45261</c:v>
                </c:pt>
                <c:pt idx="388">
                  <c:v>45268</c:v>
                </c:pt>
                <c:pt idx="389">
                  <c:v>45275</c:v>
                </c:pt>
                <c:pt idx="390">
                  <c:v>45282</c:v>
                </c:pt>
                <c:pt idx="391">
                  <c:v>45289</c:v>
                </c:pt>
                <c:pt idx="392">
                  <c:v>45296</c:v>
                </c:pt>
                <c:pt idx="393">
                  <c:v>45303</c:v>
                </c:pt>
                <c:pt idx="394">
                  <c:v>45310</c:v>
                </c:pt>
                <c:pt idx="395">
                  <c:v>45317</c:v>
                </c:pt>
                <c:pt idx="396">
                  <c:v>45324</c:v>
                </c:pt>
                <c:pt idx="397">
                  <c:v>45331</c:v>
                </c:pt>
                <c:pt idx="398">
                  <c:v>45338</c:v>
                </c:pt>
                <c:pt idx="399">
                  <c:v>45345</c:v>
                </c:pt>
                <c:pt idx="400">
                  <c:v>45352</c:v>
                </c:pt>
                <c:pt idx="401">
                  <c:v>45359</c:v>
                </c:pt>
                <c:pt idx="402">
                  <c:v>45366</c:v>
                </c:pt>
                <c:pt idx="403">
                  <c:v>45373</c:v>
                </c:pt>
                <c:pt idx="404">
                  <c:v>45387</c:v>
                </c:pt>
                <c:pt idx="405">
                  <c:v>45394</c:v>
                </c:pt>
                <c:pt idx="406">
                  <c:v>45401</c:v>
                </c:pt>
                <c:pt idx="407">
                  <c:v>45408</c:v>
                </c:pt>
                <c:pt idx="408">
                  <c:v>45415</c:v>
                </c:pt>
                <c:pt idx="409">
                  <c:v>45422</c:v>
                </c:pt>
                <c:pt idx="410">
                  <c:v>45429</c:v>
                </c:pt>
                <c:pt idx="411">
                  <c:v>45436</c:v>
                </c:pt>
                <c:pt idx="412">
                  <c:v>45443</c:v>
                </c:pt>
                <c:pt idx="413">
                  <c:v>45450</c:v>
                </c:pt>
                <c:pt idx="414">
                  <c:v>45457</c:v>
                </c:pt>
                <c:pt idx="415">
                  <c:v>45464</c:v>
                </c:pt>
                <c:pt idx="416">
                  <c:v>45471</c:v>
                </c:pt>
                <c:pt idx="417">
                  <c:v>45478</c:v>
                </c:pt>
                <c:pt idx="418">
                  <c:v>45485</c:v>
                </c:pt>
                <c:pt idx="419">
                  <c:v>45492</c:v>
                </c:pt>
                <c:pt idx="420">
                  <c:v>45499</c:v>
                </c:pt>
                <c:pt idx="421">
                  <c:v>45506</c:v>
                </c:pt>
                <c:pt idx="422">
                  <c:v>45513</c:v>
                </c:pt>
                <c:pt idx="423">
                  <c:v>45520</c:v>
                </c:pt>
                <c:pt idx="424">
                  <c:v>45527</c:v>
                </c:pt>
                <c:pt idx="425">
                  <c:v>45534</c:v>
                </c:pt>
                <c:pt idx="426">
                  <c:v>45541</c:v>
                </c:pt>
                <c:pt idx="427">
                  <c:v>45548</c:v>
                </c:pt>
                <c:pt idx="428">
                  <c:v>45555</c:v>
                </c:pt>
                <c:pt idx="429">
                  <c:v>45562</c:v>
                </c:pt>
                <c:pt idx="430">
                  <c:v>45569</c:v>
                </c:pt>
                <c:pt idx="431">
                  <c:v>45576</c:v>
                </c:pt>
                <c:pt idx="432">
                  <c:v>45583</c:v>
                </c:pt>
                <c:pt idx="433">
                  <c:v>45590</c:v>
                </c:pt>
                <c:pt idx="434">
                  <c:v>45597</c:v>
                </c:pt>
                <c:pt idx="435">
                  <c:v>45604</c:v>
                </c:pt>
                <c:pt idx="436">
                  <c:v>45611</c:v>
                </c:pt>
                <c:pt idx="437">
                  <c:v>45618</c:v>
                </c:pt>
                <c:pt idx="438">
                  <c:v>45625</c:v>
                </c:pt>
                <c:pt idx="439">
                  <c:v>45632</c:v>
                </c:pt>
                <c:pt idx="440">
                  <c:v>45639</c:v>
                </c:pt>
                <c:pt idx="441">
                  <c:v>45646</c:v>
                </c:pt>
                <c:pt idx="442">
                  <c:v>45653</c:v>
                </c:pt>
                <c:pt idx="443">
                  <c:v>45660</c:v>
                </c:pt>
                <c:pt idx="444">
                  <c:v>45667</c:v>
                </c:pt>
                <c:pt idx="445">
                  <c:v>45674</c:v>
                </c:pt>
                <c:pt idx="446">
                  <c:v>45681</c:v>
                </c:pt>
                <c:pt idx="447">
                  <c:v>45688</c:v>
                </c:pt>
                <c:pt idx="448">
                  <c:v>45695</c:v>
                </c:pt>
                <c:pt idx="449">
                  <c:v>45702</c:v>
                </c:pt>
                <c:pt idx="450">
                  <c:v>45709</c:v>
                </c:pt>
                <c:pt idx="451">
                  <c:v>45716</c:v>
                </c:pt>
                <c:pt idx="452">
                  <c:v>45723</c:v>
                </c:pt>
                <c:pt idx="453">
                  <c:v>45730</c:v>
                </c:pt>
                <c:pt idx="454">
                  <c:v>45737</c:v>
                </c:pt>
                <c:pt idx="455">
                  <c:v>45744</c:v>
                </c:pt>
                <c:pt idx="456">
                  <c:v>45751</c:v>
                </c:pt>
                <c:pt idx="457">
                  <c:v>45758</c:v>
                </c:pt>
                <c:pt idx="458">
                  <c:v>45772</c:v>
                </c:pt>
                <c:pt idx="459">
                  <c:v>45779</c:v>
                </c:pt>
                <c:pt idx="460">
                  <c:v>45786</c:v>
                </c:pt>
                <c:pt idx="461">
                  <c:v>45793</c:v>
                </c:pt>
                <c:pt idx="462">
                  <c:v>45800</c:v>
                </c:pt>
                <c:pt idx="463">
                  <c:v>45807</c:v>
                </c:pt>
                <c:pt idx="464">
                  <c:v>45814</c:v>
                </c:pt>
                <c:pt idx="465">
                  <c:v>45821</c:v>
                </c:pt>
                <c:pt idx="466">
                  <c:v>45828</c:v>
                </c:pt>
                <c:pt idx="467">
                  <c:v>45835</c:v>
                </c:pt>
                <c:pt idx="468">
                  <c:v>45842</c:v>
                </c:pt>
                <c:pt idx="469">
                  <c:v>45849</c:v>
                </c:pt>
                <c:pt idx="470">
                  <c:v>45856</c:v>
                </c:pt>
                <c:pt idx="471">
                  <c:v>45863</c:v>
                </c:pt>
                <c:pt idx="472">
                  <c:v>45877</c:v>
                </c:pt>
                <c:pt idx="473">
                  <c:v>45884</c:v>
                </c:pt>
                <c:pt idx="474">
                  <c:v>45891</c:v>
                </c:pt>
                <c:pt idx="475">
                  <c:v>45898</c:v>
                </c:pt>
                <c:pt idx="476">
                  <c:v>45905</c:v>
                </c:pt>
                <c:pt idx="477">
                  <c:v>45912</c:v>
                </c:pt>
                <c:pt idx="478">
                  <c:v>45919</c:v>
                </c:pt>
                <c:pt idx="479">
                  <c:v>45926</c:v>
                </c:pt>
                <c:pt idx="480">
                  <c:v>45933</c:v>
                </c:pt>
                <c:pt idx="481">
                  <c:v>45940</c:v>
                </c:pt>
                <c:pt idx="482">
                  <c:v>45947</c:v>
                </c:pt>
                <c:pt idx="483">
                  <c:v>45954</c:v>
                </c:pt>
                <c:pt idx="484">
                  <c:v>45961</c:v>
                </c:pt>
                <c:pt idx="485">
                  <c:v>45968</c:v>
                </c:pt>
                <c:pt idx="486">
                  <c:v>45975</c:v>
                </c:pt>
                <c:pt idx="487">
                  <c:v>45982</c:v>
                </c:pt>
                <c:pt idx="488">
                  <c:v>45989</c:v>
                </c:pt>
                <c:pt idx="489">
                  <c:v>45996</c:v>
                </c:pt>
                <c:pt idx="490">
                  <c:v>46003</c:v>
                </c:pt>
                <c:pt idx="491">
                  <c:v>46010</c:v>
                </c:pt>
                <c:pt idx="492">
                  <c:v>46031</c:v>
                </c:pt>
                <c:pt idx="493">
                  <c:v>46038</c:v>
                </c:pt>
                <c:pt idx="494">
                  <c:v>46045</c:v>
                </c:pt>
                <c:pt idx="495">
                  <c:v>46052</c:v>
                </c:pt>
                <c:pt idx="496">
                  <c:v>46059</c:v>
                </c:pt>
                <c:pt idx="497">
                  <c:v>46066</c:v>
                </c:pt>
                <c:pt idx="498">
                  <c:v>46073</c:v>
                </c:pt>
                <c:pt idx="499">
                  <c:v>46080</c:v>
                </c:pt>
                <c:pt idx="500">
                  <c:v>46087</c:v>
                </c:pt>
                <c:pt idx="501">
                  <c:v>46094</c:v>
                </c:pt>
                <c:pt idx="502">
                  <c:v>46101</c:v>
                </c:pt>
                <c:pt idx="503">
                  <c:v>46108</c:v>
                </c:pt>
                <c:pt idx="504">
                  <c:v>46122</c:v>
                </c:pt>
                <c:pt idx="505">
                  <c:v>46129</c:v>
                </c:pt>
                <c:pt idx="506">
                  <c:v>46136</c:v>
                </c:pt>
                <c:pt idx="507">
                  <c:v>46150</c:v>
                </c:pt>
                <c:pt idx="508">
                  <c:v>46157</c:v>
                </c:pt>
                <c:pt idx="509">
                  <c:v>46164</c:v>
                </c:pt>
                <c:pt idx="510">
                  <c:v>46171</c:v>
                </c:pt>
                <c:pt idx="511">
                  <c:v>46178</c:v>
                </c:pt>
                <c:pt idx="512">
                  <c:v>46185</c:v>
                </c:pt>
                <c:pt idx="513">
                  <c:v>46192</c:v>
                </c:pt>
                <c:pt idx="514">
                  <c:v>46199</c:v>
                </c:pt>
                <c:pt idx="515">
                  <c:v>46206</c:v>
                </c:pt>
                <c:pt idx="516">
                  <c:v>46213</c:v>
                </c:pt>
                <c:pt idx="517">
                  <c:v>46220</c:v>
                </c:pt>
                <c:pt idx="518">
                  <c:v>46227</c:v>
                </c:pt>
                <c:pt idx="519">
                  <c:v>46234</c:v>
                </c:pt>
                <c:pt idx="520">
                  <c:v>46241</c:v>
                </c:pt>
                <c:pt idx="521">
                  <c:v>46248</c:v>
                </c:pt>
                <c:pt idx="522">
                  <c:v>46255</c:v>
                </c:pt>
                <c:pt idx="523">
                  <c:v>46262</c:v>
                </c:pt>
                <c:pt idx="524">
                  <c:v>46269</c:v>
                </c:pt>
                <c:pt idx="525">
                  <c:v>46276</c:v>
                </c:pt>
                <c:pt idx="526">
                  <c:v>46283</c:v>
                </c:pt>
                <c:pt idx="527">
                  <c:v>46290</c:v>
                </c:pt>
                <c:pt idx="528">
                  <c:v>46297</c:v>
                </c:pt>
                <c:pt idx="529">
                  <c:v>46304</c:v>
                </c:pt>
                <c:pt idx="530">
                  <c:v>46311</c:v>
                </c:pt>
                <c:pt idx="531">
                  <c:v>46318</c:v>
                </c:pt>
              </c:numCache>
            </c:numRef>
          </c:cat>
          <c:val>
            <c:numRef>
              <c:f>Participation!$P$2:$P$533</c:f>
              <c:numCache>
                <c:formatCode>0</c:formatCode>
                <c:ptCount val="532"/>
                <c:pt idx="0">
                  <c:v>0.75</c:v>
                </c:pt>
                <c:pt idx="1">
                  <c:v>1.5</c:v>
                </c:pt>
                <c:pt idx="2">
                  <c:v>2.25</c:v>
                </c:pt>
                <c:pt idx="3">
                  <c:v>3</c:v>
                </c:pt>
                <c:pt idx="4">
                  <c:v>3.75</c:v>
                </c:pt>
                <c:pt idx="5">
                  <c:v>4.5</c:v>
                </c:pt>
                <c:pt idx="6">
                  <c:v>5.25</c:v>
                </c:pt>
                <c:pt idx="7">
                  <c:v>6</c:v>
                </c:pt>
                <c:pt idx="8">
                  <c:v>6.75</c:v>
                </c:pt>
                <c:pt idx="9">
                  <c:v>7.5</c:v>
                </c:pt>
                <c:pt idx="10">
                  <c:v>8.25</c:v>
                </c:pt>
                <c:pt idx="11">
                  <c:v>9</c:v>
                </c:pt>
                <c:pt idx="12">
                  <c:v>9.75</c:v>
                </c:pt>
                <c:pt idx="13">
                  <c:v>10.5</c:v>
                </c:pt>
                <c:pt idx="14">
                  <c:v>11.25</c:v>
                </c:pt>
                <c:pt idx="15">
                  <c:v>12</c:v>
                </c:pt>
                <c:pt idx="16">
                  <c:v>12.75</c:v>
                </c:pt>
                <c:pt idx="17">
                  <c:v>13.5</c:v>
                </c:pt>
                <c:pt idx="18">
                  <c:v>14.25</c:v>
                </c:pt>
                <c:pt idx="19">
                  <c:v>15</c:v>
                </c:pt>
                <c:pt idx="20">
                  <c:v>15.75</c:v>
                </c:pt>
                <c:pt idx="21">
                  <c:v>16.5</c:v>
                </c:pt>
                <c:pt idx="22">
                  <c:v>17.25</c:v>
                </c:pt>
                <c:pt idx="23">
                  <c:v>18</c:v>
                </c:pt>
                <c:pt idx="24">
                  <c:v>18.75</c:v>
                </c:pt>
                <c:pt idx="25">
                  <c:v>19.5</c:v>
                </c:pt>
                <c:pt idx="26">
                  <c:v>20.25</c:v>
                </c:pt>
                <c:pt idx="27">
                  <c:v>21</c:v>
                </c:pt>
                <c:pt idx="28">
                  <c:v>21.75</c:v>
                </c:pt>
                <c:pt idx="29">
                  <c:v>22.5</c:v>
                </c:pt>
                <c:pt idx="30">
                  <c:v>23.25</c:v>
                </c:pt>
                <c:pt idx="31">
                  <c:v>24</c:v>
                </c:pt>
                <c:pt idx="32">
                  <c:v>24.75</c:v>
                </c:pt>
                <c:pt idx="33">
                  <c:v>25.5</c:v>
                </c:pt>
                <c:pt idx="34">
                  <c:v>26.25</c:v>
                </c:pt>
                <c:pt idx="35">
                  <c:v>27</c:v>
                </c:pt>
                <c:pt idx="36">
                  <c:v>28</c:v>
                </c:pt>
                <c:pt idx="37">
                  <c:v>29</c:v>
                </c:pt>
                <c:pt idx="38">
                  <c:v>30</c:v>
                </c:pt>
                <c:pt idx="39">
                  <c:v>31</c:v>
                </c:pt>
                <c:pt idx="40">
                  <c:v>32</c:v>
                </c:pt>
                <c:pt idx="41">
                  <c:v>33</c:v>
                </c:pt>
                <c:pt idx="42">
                  <c:v>33</c:v>
                </c:pt>
                <c:pt idx="43">
                  <c:v>34</c:v>
                </c:pt>
                <c:pt idx="44">
                  <c:v>35</c:v>
                </c:pt>
                <c:pt idx="45">
                  <c:v>35</c:v>
                </c:pt>
                <c:pt idx="46">
                  <c:v>35</c:v>
                </c:pt>
                <c:pt idx="47">
                  <c:v>36</c:v>
                </c:pt>
                <c:pt idx="48">
                  <c:v>37</c:v>
                </c:pt>
                <c:pt idx="49">
                  <c:v>38</c:v>
                </c:pt>
                <c:pt idx="50">
                  <c:v>39</c:v>
                </c:pt>
                <c:pt idx="51">
                  <c:v>40</c:v>
                </c:pt>
                <c:pt idx="52">
                  <c:v>41</c:v>
                </c:pt>
                <c:pt idx="53">
                  <c:v>42</c:v>
                </c:pt>
                <c:pt idx="54">
                  <c:v>43</c:v>
                </c:pt>
                <c:pt idx="55">
                  <c:v>44</c:v>
                </c:pt>
                <c:pt idx="56">
                  <c:v>45</c:v>
                </c:pt>
                <c:pt idx="57">
                  <c:v>45</c:v>
                </c:pt>
                <c:pt idx="58">
                  <c:v>45</c:v>
                </c:pt>
                <c:pt idx="59">
                  <c:v>45</c:v>
                </c:pt>
                <c:pt idx="60">
                  <c:v>45</c:v>
                </c:pt>
                <c:pt idx="61">
                  <c:v>45</c:v>
                </c:pt>
                <c:pt idx="62">
                  <c:v>46</c:v>
                </c:pt>
                <c:pt idx="63">
                  <c:v>47</c:v>
                </c:pt>
                <c:pt idx="64">
                  <c:v>48</c:v>
                </c:pt>
                <c:pt idx="65">
                  <c:v>49</c:v>
                </c:pt>
                <c:pt idx="66">
                  <c:v>50</c:v>
                </c:pt>
                <c:pt idx="67">
                  <c:v>51</c:v>
                </c:pt>
                <c:pt idx="68">
                  <c:v>52</c:v>
                </c:pt>
                <c:pt idx="69">
                  <c:v>53</c:v>
                </c:pt>
                <c:pt idx="70">
                  <c:v>54</c:v>
                </c:pt>
                <c:pt idx="71">
                  <c:v>54</c:v>
                </c:pt>
                <c:pt idx="72">
                  <c:v>55</c:v>
                </c:pt>
                <c:pt idx="73">
                  <c:v>55</c:v>
                </c:pt>
                <c:pt idx="74">
                  <c:v>56</c:v>
                </c:pt>
                <c:pt idx="75">
                  <c:v>57</c:v>
                </c:pt>
                <c:pt idx="76">
                  <c:v>57</c:v>
                </c:pt>
                <c:pt idx="77">
                  <c:v>58</c:v>
                </c:pt>
                <c:pt idx="78">
                  <c:v>59</c:v>
                </c:pt>
                <c:pt idx="79">
                  <c:v>60</c:v>
                </c:pt>
                <c:pt idx="80">
                  <c:v>61</c:v>
                </c:pt>
                <c:pt idx="81">
                  <c:v>62</c:v>
                </c:pt>
                <c:pt idx="82">
                  <c:v>62</c:v>
                </c:pt>
                <c:pt idx="83">
                  <c:v>63</c:v>
                </c:pt>
                <c:pt idx="84">
                  <c:v>64</c:v>
                </c:pt>
                <c:pt idx="85">
                  <c:v>65</c:v>
                </c:pt>
                <c:pt idx="86">
                  <c:v>66</c:v>
                </c:pt>
                <c:pt idx="87">
                  <c:v>67</c:v>
                </c:pt>
                <c:pt idx="88">
                  <c:v>68</c:v>
                </c:pt>
                <c:pt idx="89">
                  <c:v>69</c:v>
                </c:pt>
                <c:pt idx="90">
                  <c:v>70</c:v>
                </c:pt>
                <c:pt idx="91">
                  <c:v>71</c:v>
                </c:pt>
                <c:pt idx="92">
                  <c:v>72</c:v>
                </c:pt>
                <c:pt idx="93">
                  <c:v>72</c:v>
                </c:pt>
                <c:pt idx="94">
                  <c:v>72</c:v>
                </c:pt>
                <c:pt idx="95">
                  <c:v>73</c:v>
                </c:pt>
                <c:pt idx="96">
                  <c:v>73</c:v>
                </c:pt>
                <c:pt idx="97">
                  <c:v>74</c:v>
                </c:pt>
                <c:pt idx="98">
                  <c:v>75</c:v>
                </c:pt>
                <c:pt idx="99">
                  <c:v>76</c:v>
                </c:pt>
                <c:pt idx="100">
                  <c:v>77</c:v>
                </c:pt>
                <c:pt idx="101">
                  <c:v>78</c:v>
                </c:pt>
                <c:pt idx="102">
                  <c:v>79</c:v>
                </c:pt>
                <c:pt idx="103">
                  <c:v>79</c:v>
                </c:pt>
                <c:pt idx="104">
                  <c:v>80</c:v>
                </c:pt>
                <c:pt idx="105">
                  <c:v>80</c:v>
                </c:pt>
                <c:pt idx="106">
                  <c:v>80</c:v>
                </c:pt>
                <c:pt idx="107">
                  <c:v>80</c:v>
                </c:pt>
                <c:pt idx="108">
                  <c:v>81</c:v>
                </c:pt>
                <c:pt idx="109">
                  <c:v>82</c:v>
                </c:pt>
                <c:pt idx="110">
                  <c:v>82</c:v>
                </c:pt>
                <c:pt idx="111">
                  <c:v>83</c:v>
                </c:pt>
                <c:pt idx="112">
                  <c:v>84</c:v>
                </c:pt>
                <c:pt idx="113">
                  <c:v>84</c:v>
                </c:pt>
                <c:pt idx="114">
                  <c:v>84</c:v>
                </c:pt>
                <c:pt idx="115">
                  <c:v>84</c:v>
                </c:pt>
                <c:pt idx="116">
                  <c:v>84</c:v>
                </c:pt>
                <c:pt idx="117">
                  <c:v>84</c:v>
                </c:pt>
                <c:pt idx="118">
                  <c:v>84</c:v>
                </c:pt>
                <c:pt idx="119">
                  <c:v>84</c:v>
                </c:pt>
                <c:pt idx="120">
                  <c:v>84</c:v>
                </c:pt>
                <c:pt idx="121">
                  <c:v>84</c:v>
                </c:pt>
                <c:pt idx="122">
                  <c:v>85</c:v>
                </c:pt>
                <c:pt idx="123">
                  <c:v>86</c:v>
                </c:pt>
                <c:pt idx="124">
                  <c:v>87</c:v>
                </c:pt>
                <c:pt idx="125">
                  <c:v>88</c:v>
                </c:pt>
                <c:pt idx="126">
                  <c:v>89</c:v>
                </c:pt>
                <c:pt idx="127">
                  <c:v>90</c:v>
                </c:pt>
                <c:pt idx="128">
                  <c:v>91</c:v>
                </c:pt>
                <c:pt idx="129">
                  <c:v>92</c:v>
                </c:pt>
                <c:pt idx="130">
                  <c:v>93</c:v>
                </c:pt>
                <c:pt idx="131">
                  <c:v>94</c:v>
                </c:pt>
                <c:pt idx="132">
                  <c:v>95</c:v>
                </c:pt>
                <c:pt idx="133">
                  <c:v>96</c:v>
                </c:pt>
                <c:pt idx="134">
                  <c:v>97</c:v>
                </c:pt>
                <c:pt idx="135">
                  <c:v>97</c:v>
                </c:pt>
                <c:pt idx="136">
                  <c:v>98</c:v>
                </c:pt>
                <c:pt idx="137">
                  <c:v>99</c:v>
                </c:pt>
                <c:pt idx="138">
                  <c:v>100</c:v>
                </c:pt>
                <c:pt idx="139">
                  <c:v>101</c:v>
                </c:pt>
                <c:pt idx="140">
                  <c:v>101</c:v>
                </c:pt>
                <c:pt idx="141">
                  <c:v>102</c:v>
                </c:pt>
                <c:pt idx="142">
                  <c:v>102</c:v>
                </c:pt>
                <c:pt idx="143">
                  <c:v>102</c:v>
                </c:pt>
                <c:pt idx="144">
                  <c:v>102</c:v>
                </c:pt>
                <c:pt idx="145">
                  <c:v>103</c:v>
                </c:pt>
                <c:pt idx="146">
                  <c:v>104</c:v>
                </c:pt>
                <c:pt idx="147">
                  <c:v>104</c:v>
                </c:pt>
                <c:pt idx="148">
                  <c:v>105</c:v>
                </c:pt>
                <c:pt idx="149">
                  <c:v>106</c:v>
                </c:pt>
                <c:pt idx="150">
                  <c:v>107</c:v>
                </c:pt>
                <c:pt idx="151">
                  <c:v>108</c:v>
                </c:pt>
                <c:pt idx="152">
                  <c:v>109</c:v>
                </c:pt>
                <c:pt idx="153">
                  <c:v>110</c:v>
                </c:pt>
                <c:pt idx="154">
                  <c:v>111</c:v>
                </c:pt>
                <c:pt idx="155">
                  <c:v>112</c:v>
                </c:pt>
                <c:pt idx="156">
                  <c:v>113</c:v>
                </c:pt>
                <c:pt idx="157">
                  <c:v>113</c:v>
                </c:pt>
                <c:pt idx="158">
                  <c:v>113</c:v>
                </c:pt>
                <c:pt idx="159">
                  <c:v>114</c:v>
                </c:pt>
                <c:pt idx="160">
                  <c:v>115</c:v>
                </c:pt>
                <c:pt idx="161">
                  <c:v>116</c:v>
                </c:pt>
                <c:pt idx="162">
                  <c:v>116</c:v>
                </c:pt>
                <c:pt idx="163">
                  <c:v>116</c:v>
                </c:pt>
                <c:pt idx="164">
                  <c:v>117</c:v>
                </c:pt>
                <c:pt idx="165">
                  <c:v>118</c:v>
                </c:pt>
                <c:pt idx="166">
                  <c:v>119</c:v>
                </c:pt>
                <c:pt idx="167">
                  <c:v>120</c:v>
                </c:pt>
                <c:pt idx="168">
                  <c:v>121</c:v>
                </c:pt>
                <c:pt idx="169">
                  <c:v>121</c:v>
                </c:pt>
                <c:pt idx="170">
                  <c:v>122</c:v>
                </c:pt>
                <c:pt idx="171">
                  <c:v>123</c:v>
                </c:pt>
                <c:pt idx="172">
                  <c:v>124</c:v>
                </c:pt>
                <c:pt idx="173">
                  <c:v>125</c:v>
                </c:pt>
                <c:pt idx="174">
                  <c:v>125</c:v>
                </c:pt>
                <c:pt idx="175">
                  <c:v>126</c:v>
                </c:pt>
                <c:pt idx="176">
                  <c:v>127</c:v>
                </c:pt>
                <c:pt idx="177">
                  <c:v>128</c:v>
                </c:pt>
                <c:pt idx="178">
                  <c:v>129</c:v>
                </c:pt>
                <c:pt idx="179">
                  <c:v>129</c:v>
                </c:pt>
                <c:pt idx="180">
                  <c:v>130</c:v>
                </c:pt>
                <c:pt idx="181">
                  <c:v>131</c:v>
                </c:pt>
                <c:pt idx="182">
                  <c:v>132</c:v>
                </c:pt>
                <c:pt idx="183">
                  <c:v>133</c:v>
                </c:pt>
                <c:pt idx="184">
                  <c:v>134</c:v>
                </c:pt>
                <c:pt idx="185">
                  <c:v>135</c:v>
                </c:pt>
                <c:pt idx="186">
                  <c:v>136</c:v>
                </c:pt>
                <c:pt idx="187">
                  <c:v>137</c:v>
                </c:pt>
                <c:pt idx="188">
                  <c:v>138</c:v>
                </c:pt>
                <c:pt idx="189">
                  <c:v>139</c:v>
                </c:pt>
                <c:pt idx="190">
                  <c:v>140</c:v>
                </c:pt>
                <c:pt idx="191">
                  <c:v>141</c:v>
                </c:pt>
                <c:pt idx="192">
                  <c:v>142</c:v>
                </c:pt>
                <c:pt idx="193">
                  <c:v>143</c:v>
                </c:pt>
                <c:pt idx="194">
                  <c:v>143</c:v>
                </c:pt>
                <c:pt idx="195">
                  <c:v>143</c:v>
                </c:pt>
                <c:pt idx="196">
                  <c:v>143</c:v>
                </c:pt>
                <c:pt idx="197">
                  <c:v>144</c:v>
                </c:pt>
                <c:pt idx="198">
                  <c:v>145</c:v>
                </c:pt>
                <c:pt idx="199">
                  <c:v>146</c:v>
                </c:pt>
                <c:pt idx="200">
                  <c:v>147</c:v>
                </c:pt>
                <c:pt idx="201">
                  <c:v>148</c:v>
                </c:pt>
                <c:pt idx="202">
                  <c:v>149</c:v>
                </c:pt>
                <c:pt idx="203">
                  <c:v>150</c:v>
                </c:pt>
                <c:pt idx="204">
                  <c:v>151</c:v>
                </c:pt>
                <c:pt idx="205">
                  <c:v>152</c:v>
                </c:pt>
                <c:pt idx="206">
                  <c:v>153</c:v>
                </c:pt>
                <c:pt idx="207">
                  <c:v>154</c:v>
                </c:pt>
                <c:pt idx="208">
                  <c:v>155</c:v>
                </c:pt>
                <c:pt idx="209">
                  <c:v>156</c:v>
                </c:pt>
                <c:pt idx="210">
                  <c:v>157</c:v>
                </c:pt>
                <c:pt idx="211">
                  <c:v>158</c:v>
                </c:pt>
                <c:pt idx="212">
                  <c:v>159</c:v>
                </c:pt>
                <c:pt idx="213">
                  <c:v>160</c:v>
                </c:pt>
                <c:pt idx="214">
                  <c:v>161</c:v>
                </c:pt>
                <c:pt idx="215">
                  <c:v>162</c:v>
                </c:pt>
                <c:pt idx="216">
                  <c:v>162</c:v>
                </c:pt>
                <c:pt idx="217">
                  <c:v>163</c:v>
                </c:pt>
                <c:pt idx="218">
                  <c:v>164</c:v>
                </c:pt>
                <c:pt idx="219">
                  <c:v>165</c:v>
                </c:pt>
                <c:pt idx="220">
                  <c:v>166</c:v>
                </c:pt>
                <c:pt idx="221">
                  <c:v>167</c:v>
                </c:pt>
                <c:pt idx="222">
                  <c:v>168</c:v>
                </c:pt>
                <c:pt idx="223">
                  <c:v>168</c:v>
                </c:pt>
                <c:pt idx="224">
                  <c:v>169</c:v>
                </c:pt>
                <c:pt idx="225">
                  <c:v>170</c:v>
                </c:pt>
                <c:pt idx="226">
                  <c:v>170</c:v>
                </c:pt>
                <c:pt idx="227">
                  <c:v>171</c:v>
                </c:pt>
                <c:pt idx="228">
                  <c:v>172</c:v>
                </c:pt>
                <c:pt idx="229">
                  <c:v>173</c:v>
                </c:pt>
                <c:pt idx="230">
                  <c:v>174</c:v>
                </c:pt>
                <c:pt idx="231">
                  <c:v>174</c:v>
                </c:pt>
                <c:pt idx="232">
                  <c:v>175</c:v>
                </c:pt>
                <c:pt idx="233">
                  <c:v>176</c:v>
                </c:pt>
                <c:pt idx="234">
                  <c:v>177</c:v>
                </c:pt>
                <c:pt idx="235">
                  <c:v>178</c:v>
                </c:pt>
                <c:pt idx="236">
                  <c:v>179</c:v>
                </c:pt>
                <c:pt idx="237">
                  <c:v>180</c:v>
                </c:pt>
                <c:pt idx="238">
                  <c:v>181</c:v>
                </c:pt>
                <c:pt idx="239">
                  <c:v>181</c:v>
                </c:pt>
                <c:pt idx="240">
                  <c:v>181</c:v>
                </c:pt>
                <c:pt idx="241">
                  <c:v>181</c:v>
                </c:pt>
                <c:pt idx="242">
                  <c:v>182</c:v>
                </c:pt>
                <c:pt idx="243">
                  <c:v>183</c:v>
                </c:pt>
                <c:pt idx="244">
                  <c:v>184</c:v>
                </c:pt>
                <c:pt idx="245">
                  <c:v>185</c:v>
                </c:pt>
                <c:pt idx="246">
                  <c:v>185</c:v>
                </c:pt>
                <c:pt idx="247">
                  <c:v>186</c:v>
                </c:pt>
                <c:pt idx="248">
                  <c:v>187</c:v>
                </c:pt>
                <c:pt idx="249">
                  <c:v>188</c:v>
                </c:pt>
                <c:pt idx="250">
                  <c:v>189</c:v>
                </c:pt>
                <c:pt idx="251">
                  <c:v>190</c:v>
                </c:pt>
                <c:pt idx="252">
                  <c:v>191</c:v>
                </c:pt>
                <c:pt idx="253">
                  <c:v>192</c:v>
                </c:pt>
                <c:pt idx="254">
                  <c:v>193</c:v>
                </c:pt>
                <c:pt idx="255">
                  <c:v>194</c:v>
                </c:pt>
                <c:pt idx="256">
                  <c:v>194</c:v>
                </c:pt>
                <c:pt idx="257">
                  <c:v>195</c:v>
                </c:pt>
                <c:pt idx="258">
                  <c:v>196</c:v>
                </c:pt>
                <c:pt idx="259">
                  <c:v>197</c:v>
                </c:pt>
                <c:pt idx="260">
                  <c:v>197</c:v>
                </c:pt>
                <c:pt idx="261">
                  <c:v>197</c:v>
                </c:pt>
                <c:pt idx="262">
                  <c:v>198</c:v>
                </c:pt>
                <c:pt idx="263">
                  <c:v>199</c:v>
                </c:pt>
                <c:pt idx="264">
                  <c:v>199</c:v>
                </c:pt>
                <c:pt idx="265">
                  <c:v>200</c:v>
                </c:pt>
                <c:pt idx="266">
                  <c:v>201</c:v>
                </c:pt>
                <c:pt idx="267">
                  <c:v>202</c:v>
                </c:pt>
                <c:pt idx="268">
                  <c:v>203</c:v>
                </c:pt>
                <c:pt idx="269">
                  <c:v>204</c:v>
                </c:pt>
                <c:pt idx="270">
                  <c:v>204</c:v>
                </c:pt>
                <c:pt idx="271">
                  <c:v>205</c:v>
                </c:pt>
                <c:pt idx="272">
                  <c:v>205</c:v>
                </c:pt>
                <c:pt idx="273">
                  <c:v>206</c:v>
                </c:pt>
                <c:pt idx="274">
                  <c:v>207</c:v>
                </c:pt>
                <c:pt idx="275">
                  <c:v>208</c:v>
                </c:pt>
                <c:pt idx="276">
                  <c:v>209</c:v>
                </c:pt>
                <c:pt idx="277">
                  <c:v>210</c:v>
                </c:pt>
                <c:pt idx="278">
                  <c:v>210</c:v>
                </c:pt>
                <c:pt idx="279">
                  <c:v>211</c:v>
                </c:pt>
                <c:pt idx="280">
                  <c:v>212</c:v>
                </c:pt>
                <c:pt idx="281">
                  <c:v>213</c:v>
                </c:pt>
                <c:pt idx="282">
                  <c:v>214</c:v>
                </c:pt>
                <c:pt idx="283">
                  <c:v>215</c:v>
                </c:pt>
                <c:pt idx="284">
                  <c:v>216</c:v>
                </c:pt>
                <c:pt idx="285">
                  <c:v>217</c:v>
                </c:pt>
                <c:pt idx="286">
                  <c:v>218</c:v>
                </c:pt>
                <c:pt idx="287">
                  <c:v>219</c:v>
                </c:pt>
                <c:pt idx="288">
                  <c:v>220</c:v>
                </c:pt>
                <c:pt idx="289">
                  <c:v>221</c:v>
                </c:pt>
                <c:pt idx="290">
                  <c:v>221</c:v>
                </c:pt>
                <c:pt idx="291">
                  <c:v>221</c:v>
                </c:pt>
                <c:pt idx="292">
                  <c:v>221</c:v>
                </c:pt>
                <c:pt idx="293">
                  <c:v>222</c:v>
                </c:pt>
                <c:pt idx="294">
                  <c:v>223</c:v>
                </c:pt>
                <c:pt idx="295">
                  <c:v>223</c:v>
                </c:pt>
                <c:pt idx="296">
                  <c:v>224</c:v>
                </c:pt>
                <c:pt idx="297">
                  <c:v>225</c:v>
                </c:pt>
                <c:pt idx="298">
                  <c:v>226</c:v>
                </c:pt>
                <c:pt idx="299">
                  <c:v>227</c:v>
                </c:pt>
                <c:pt idx="300">
                  <c:v>228</c:v>
                </c:pt>
                <c:pt idx="301">
                  <c:v>229</c:v>
                </c:pt>
                <c:pt idx="302">
                  <c:v>230</c:v>
                </c:pt>
                <c:pt idx="303">
                  <c:v>231</c:v>
                </c:pt>
                <c:pt idx="304">
                  <c:v>232</c:v>
                </c:pt>
                <c:pt idx="305">
                  <c:v>233</c:v>
                </c:pt>
                <c:pt idx="306">
                  <c:v>234</c:v>
                </c:pt>
                <c:pt idx="307">
                  <c:v>234</c:v>
                </c:pt>
                <c:pt idx="308">
                  <c:v>235</c:v>
                </c:pt>
                <c:pt idx="309">
                  <c:v>236</c:v>
                </c:pt>
                <c:pt idx="310">
                  <c:v>237</c:v>
                </c:pt>
                <c:pt idx="311">
                  <c:v>237</c:v>
                </c:pt>
                <c:pt idx="312">
                  <c:v>237</c:v>
                </c:pt>
                <c:pt idx="313">
                  <c:v>237</c:v>
                </c:pt>
                <c:pt idx="314">
                  <c:v>238</c:v>
                </c:pt>
                <c:pt idx="315">
                  <c:v>239</c:v>
                </c:pt>
                <c:pt idx="316">
                  <c:v>240</c:v>
                </c:pt>
                <c:pt idx="317">
                  <c:v>241</c:v>
                </c:pt>
                <c:pt idx="318">
                  <c:v>242</c:v>
                </c:pt>
                <c:pt idx="319">
                  <c:v>243</c:v>
                </c:pt>
                <c:pt idx="320">
                  <c:v>244</c:v>
                </c:pt>
                <c:pt idx="321">
                  <c:v>245</c:v>
                </c:pt>
                <c:pt idx="322">
                  <c:v>246</c:v>
                </c:pt>
                <c:pt idx="323">
                  <c:v>247</c:v>
                </c:pt>
                <c:pt idx="324">
                  <c:v>248</c:v>
                </c:pt>
                <c:pt idx="325">
                  <c:v>249</c:v>
                </c:pt>
                <c:pt idx="326">
                  <c:v>250</c:v>
                </c:pt>
                <c:pt idx="327">
                  <c:v>251</c:v>
                </c:pt>
                <c:pt idx="328">
                  <c:v>252</c:v>
                </c:pt>
                <c:pt idx="329">
                  <c:v>252</c:v>
                </c:pt>
                <c:pt idx="330">
                  <c:v>253</c:v>
                </c:pt>
                <c:pt idx="331">
                  <c:v>254</c:v>
                </c:pt>
                <c:pt idx="332">
                  <c:v>255</c:v>
                </c:pt>
                <c:pt idx="333">
                  <c:v>256</c:v>
                </c:pt>
                <c:pt idx="334">
                  <c:v>257</c:v>
                </c:pt>
                <c:pt idx="335">
                  <c:v>257</c:v>
                </c:pt>
                <c:pt idx="336">
                  <c:v>258</c:v>
                </c:pt>
                <c:pt idx="337">
                  <c:v>258</c:v>
                </c:pt>
                <c:pt idx="338">
                  <c:v>258</c:v>
                </c:pt>
                <c:pt idx="339">
                  <c:v>259</c:v>
                </c:pt>
                <c:pt idx="340">
                  <c:v>260</c:v>
                </c:pt>
                <c:pt idx="341">
                  <c:v>261</c:v>
                </c:pt>
                <c:pt idx="342">
                  <c:v>262</c:v>
                </c:pt>
                <c:pt idx="343">
                  <c:v>263</c:v>
                </c:pt>
                <c:pt idx="344">
                  <c:v>264</c:v>
                </c:pt>
                <c:pt idx="345">
                  <c:v>265</c:v>
                </c:pt>
                <c:pt idx="346">
                  <c:v>266</c:v>
                </c:pt>
                <c:pt idx="347">
                  <c:v>267</c:v>
                </c:pt>
                <c:pt idx="348">
                  <c:v>268</c:v>
                </c:pt>
                <c:pt idx="349">
                  <c:v>269</c:v>
                </c:pt>
                <c:pt idx="350">
                  <c:v>270</c:v>
                </c:pt>
                <c:pt idx="351">
                  <c:v>270</c:v>
                </c:pt>
                <c:pt idx="352">
                  <c:v>270</c:v>
                </c:pt>
                <c:pt idx="353">
                  <c:v>271</c:v>
                </c:pt>
                <c:pt idx="354">
                  <c:v>272</c:v>
                </c:pt>
                <c:pt idx="355">
                  <c:v>273</c:v>
                </c:pt>
                <c:pt idx="356">
                  <c:v>273</c:v>
                </c:pt>
                <c:pt idx="357">
                  <c:v>274</c:v>
                </c:pt>
                <c:pt idx="358">
                  <c:v>275</c:v>
                </c:pt>
                <c:pt idx="359">
                  <c:v>276</c:v>
                </c:pt>
                <c:pt idx="360">
                  <c:v>276</c:v>
                </c:pt>
                <c:pt idx="361">
                  <c:v>277</c:v>
                </c:pt>
                <c:pt idx="362">
                  <c:v>278</c:v>
                </c:pt>
                <c:pt idx="363">
                  <c:v>279</c:v>
                </c:pt>
                <c:pt idx="364">
                  <c:v>280</c:v>
                </c:pt>
                <c:pt idx="365">
                  <c:v>281</c:v>
                </c:pt>
                <c:pt idx="366">
                  <c:v>282</c:v>
                </c:pt>
                <c:pt idx="367">
                  <c:v>282</c:v>
                </c:pt>
                <c:pt idx="368">
                  <c:v>283</c:v>
                </c:pt>
                <c:pt idx="369">
                  <c:v>284</c:v>
                </c:pt>
                <c:pt idx="370">
                  <c:v>285</c:v>
                </c:pt>
                <c:pt idx="371">
                  <c:v>286</c:v>
                </c:pt>
                <c:pt idx="372">
                  <c:v>286</c:v>
                </c:pt>
                <c:pt idx="373">
                  <c:v>287</c:v>
                </c:pt>
                <c:pt idx="374">
                  <c:v>288</c:v>
                </c:pt>
                <c:pt idx="375">
                  <c:v>289</c:v>
                </c:pt>
                <c:pt idx="376">
                  <c:v>290</c:v>
                </c:pt>
                <c:pt idx="377">
                  <c:v>291</c:v>
                </c:pt>
                <c:pt idx="378">
                  <c:v>291</c:v>
                </c:pt>
                <c:pt idx="379">
                  <c:v>292</c:v>
                </c:pt>
                <c:pt idx="380">
                  <c:v>292</c:v>
                </c:pt>
                <c:pt idx="381">
                  <c:v>292</c:v>
                </c:pt>
                <c:pt idx="382">
                  <c:v>292</c:v>
                </c:pt>
                <c:pt idx="383">
                  <c:v>293</c:v>
                </c:pt>
                <c:pt idx="384">
                  <c:v>294</c:v>
                </c:pt>
                <c:pt idx="385">
                  <c:v>294</c:v>
                </c:pt>
                <c:pt idx="386">
                  <c:v>294</c:v>
                </c:pt>
                <c:pt idx="387">
                  <c:v>295</c:v>
                </c:pt>
                <c:pt idx="388">
                  <c:v>296</c:v>
                </c:pt>
                <c:pt idx="389">
                  <c:v>297</c:v>
                </c:pt>
                <c:pt idx="390">
                  <c:v>297</c:v>
                </c:pt>
                <c:pt idx="391">
                  <c:v>298</c:v>
                </c:pt>
                <c:pt idx="392">
                  <c:v>299</c:v>
                </c:pt>
                <c:pt idx="393">
                  <c:v>299</c:v>
                </c:pt>
                <c:pt idx="394">
                  <c:v>300</c:v>
                </c:pt>
                <c:pt idx="395">
                  <c:v>300</c:v>
                </c:pt>
                <c:pt idx="396">
                  <c:v>301</c:v>
                </c:pt>
                <c:pt idx="397">
                  <c:v>302</c:v>
                </c:pt>
                <c:pt idx="398">
                  <c:v>303</c:v>
                </c:pt>
                <c:pt idx="399">
                  <c:v>304</c:v>
                </c:pt>
                <c:pt idx="400">
                  <c:v>304</c:v>
                </c:pt>
                <c:pt idx="401">
                  <c:v>304</c:v>
                </c:pt>
                <c:pt idx="402">
                  <c:v>305</c:v>
                </c:pt>
                <c:pt idx="403">
                  <c:v>306</c:v>
                </c:pt>
                <c:pt idx="404">
                  <c:v>307</c:v>
                </c:pt>
                <c:pt idx="405">
                  <c:v>308</c:v>
                </c:pt>
                <c:pt idx="406">
                  <c:v>309</c:v>
                </c:pt>
                <c:pt idx="407">
                  <c:v>310</c:v>
                </c:pt>
                <c:pt idx="408">
                  <c:v>311</c:v>
                </c:pt>
                <c:pt idx="409">
                  <c:v>312</c:v>
                </c:pt>
                <c:pt idx="410">
                  <c:v>313</c:v>
                </c:pt>
                <c:pt idx="411">
                  <c:v>314</c:v>
                </c:pt>
                <c:pt idx="412">
                  <c:v>315</c:v>
                </c:pt>
                <c:pt idx="413">
                  <c:v>315</c:v>
                </c:pt>
                <c:pt idx="414">
                  <c:v>316</c:v>
                </c:pt>
                <c:pt idx="415">
                  <c:v>316</c:v>
                </c:pt>
                <c:pt idx="416">
                  <c:v>316</c:v>
                </c:pt>
                <c:pt idx="417">
                  <c:v>317</c:v>
                </c:pt>
                <c:pt idx="418">
                  <c:v>318</c:v>
                </c:pt>
                <c:pt idx="419">
                  <c:v>319</c:v>
                </c:pt>
                <c:pt idx="420">
                  <c:v>320</c:v>
                </c:pt>
                <c:pt idx="421">
                  <c:v>321</c:v>
                </c:pt>
                <c:pt idx="422">
                  <c:v>321</c:v>
                </c:pt>
                <c:pt idx="423">
                  <c:v>322</c:v>
                </c:pt>
                <c:pt idx="424">
                  <c:v>323</c:v>
                </c:pt>
                <c:pt idx="425">
                  <c:v>324</c:v>
                </c:pt>
                <c:pt idx="426">
                  <c:v>324</c:v>
                </c:pt>
                <c:pt idx="427">
                  <c:v>324</c:v>
                </c:pt>
                <c:pt idx="428">
                  <c:v>325</c:v>
                </c:pt>
                <c:pt idx="429">
                  <c:v>326</c:v>
                </c:pt>
                <c:pt idx="430">
                  <c:v>326</c:v>
                </c:pt>
                <c:pt idx="431">
                  <c:v>327</c:v>
                </c:pt>
                <c:pt idx="432">
                  <c:v>328</c:v>
                </c:pt>
                <c:pt idx="433">
                  <c:v>328</c:v>
                </c:pt>
                <c:pt idx="434">
                  <c:v>329</c:v>
                </c:pt>
                <c:pt idx="435">
                  <c:v>330</c:v>
                </c:pt>
                <c:pt idx="436">
                  <c:v>331</c:v>
                </c:pt>
                <c:pt idx="437">
                  <c:v>332</c:v>
                </c:pt>
                <c:pt idx="438">
                  <c:v>333</c:v>
                </c:pt>
                <c:pt idx="439">
                  <c:v>334</c:v>
                </c:pt>
                <c:pt idx="440">
                  <c:v>335</c:v>
                </c:pt>
                <c:pt idx="441">
                  <c:v>336</c:v>
                </c:pt>
                <c:pt idx="442">
                  <c:v>336</c:v>
                </c:pt>
                <c:pt idx="443">
                  <c:v>337</c:v>
                </c:pt>
                <c:pt idx="444">
                  <c:v>338</c:v>
                </c:pt>
                <c:pt idx="445">
                  <c:v>339</c:v>
                </c:pt>
                <c:pt idx="446">
                  <c:v>340</c:v>
                </c:pt>
                <c:pt idx="447">
                  <c:v>341</c:v>
                </c:pt>
                <c:pt idx="448">
                  <c:v>342</c:v>
                </c:pt>
                <c:pt idx="449">
                  <c:v>343</c:v>
                </c:pt>
                <c:pt idx="450">
                  <c:v>344</c:v>
                </c:pt>
                <c:pt idx="451">
                  <c:v>345</c:v>
                </c:pt>
                <c:pt idx="452">
                  <c:v>345</c:v>
                </c:pt>
                <c:pt idx="453">
                  <c:v>346</c:v>
                </c:pt>
                <c:pt idx="454">
                  <c:v>347</c:v>
                </c:pt>
                <c:pt idx="455">
                  <c:v>348</c:v>
                </c:pt>
                <c:pt idx="456">
                  <c:v>349</c:v>
                </c:pt>
                <c:pt idx="457">
                  <c:v>350</c:v>
                </c:pt>
                <c:pt idx="458">
                  <c:v>351</c:v>
                </c:pt>
                <c:pt idx="459">
                  <c:v>352</c:v>
                </c:pt>
                <c:pt idx="460">
                  <c:v>352</c:v>
                </c:pt>
                <c:pt idx="461">
                  <c:v>353</c:v>
                </c:pt>
                <c:pt idx="462">
                  <c:v>354</c:v>
                </c:pt>
                <c:pt idx="463">
                  <c:v>355</c:v>
                </c:pt>
                <c:pt idx="464">
                  <c:v>356</c:v>
                </c:pt>
                <c:pt idx="465">
                  <c:v>357</c:v>
                </c:pt>
                <c:pt idx="466">
                  <c:v>358</c:v>
                </c:pt>
                <c:pt idx="467">
                  <c:v>359</c:v>
                </c:pt>
                <c:pt idx="468">
                  <c:v>360</c:v>
                </c:pt>
                <c:pt idx="469">
                  <c:v>361</c:v>
                </c:pt>
                <c:pt idx="470">
                  <c:v>362</c:v>
                </c:pt>
                <c:pt idx="471">
                  <c:v>363</c:v>
                </c:pt>
                <c:pt idx="472">
                  <c:v>363</c:v>
                </c:pt>
                <c:pt idx="473">
                  <c:v>363</c:v>
                </c:pt>
                <c:pt idx="474">
                  <c:v>363</c:v>
                </c:pt>
                <c:pt idx="475">
                  <c:v>364</c:v>
                </c:pt>
                <c:pt idx="476">
                  <c:v>364</c:v>
                </c:pt>
                <c:pt idx="477">
                  <c:v>365</c:v>
                </c:pt>
                <c:pt idx="478">
                  <c:v>366</c:v>
                </c:pt>
                <c:pt idx="479">
                  <c:v>367</c:v>
                </c:pt>
                <c:pt idx="480">
                  <c:v>368</c:v>
                </c:pt>
                <c:pt idx="481">
                  <c:v>369</c:v>
                </c:pt>
                <c:pt idx="482">
                  <c:v>370</c:v>
                </c:pt>
                <c:pt idx="483">
                  <c:v>370</c:v>
                </c:pt>
                <c:pt idx="484">
                  <c:v>371</c:v>
                </c:pt>
                <c:pt idx="485">
                  <c:v>372</c:v>
                </c:pt>
                <c:pt idx="486">
                  <c:v>373</c:v>
                </c:pt>
                <c:pt idx="487">
                  <c:v>374</c:v>
                </c:pt>
                <c:pt idx="488">
                  <c:v>375</c:v>
                </c:pt>
                <c:pt idx="489">
                  <c:v>376</c:v>
                </c:pt>
                <c:pt idx="490">
                  <c:v>377</c:v>
                </c:pt>
                <c:pt idx="491">
                  <c:v>378</c:v>
                </c:pt>
                <c:pt idx="492">
                  <c:v>379</c:v>
                </c:pt>
                <c:pt idx="493">
                  <c:v>379</c:v>
                </c:pt>
                <c:pt idx="494">
                  <c:v>380</c:v>
                </c:pt>
                <c:pt idx="495">
                  <c:v>381</c:v>
                </c:pt>
                <c:pt idx="496">
                  <c:v>382</c:v>
                </c:pt>
                <c:pt idx="497">
                  <c:v>383</c:v>
                </c:pt>
                <c:pt idx="498">
                  <c:v>384</c:v>
                </c:pt>
                <c:pt idx="499">
                  <c:v>385</c:v>
                </c:pt>
                <c:pt idx="500">
                  <c:v>386</c:v>
                </c:pt>
                <c:pt idx="501">
                  <c:v>387</c:v>
                </c:pt>
                <c:pt idx="502">
                  <c:v>387</c:v>
                </c:pt>
                <c:pt idx="503">
                  <c:v>388</c:v>
                </c:pt>
                <c:pt idx="504">
                  <c:v>389</c:v>
                </c:pt>
                <c:pt idx="505">
                  <c:v>390</c:v>
                </c:pt>
                <c:pt idx="506">
                  <c:v>391</c:v>
                </c:pt>
                <c:pt idx="507">
                  <c:v>391</c:v>
                </c:pt>
                <c:pt idx="508">
                  <c:v>392</c:v>
                </c:pt>
                <c:pt idx="509">
                  <c:v>392</c:v>
                </c:pt>
                <c:pt idx="510">
                  <c:v>392</c:v>
                </c:pt>
                <c:pt idx="511">
                  <c:v>393</c:v>
                </c:pt>
                <c:pt idx="512">
                  <c:v>393</c:v>
                </c:pt>
                <c:pt idx="513">
                  <c:v>393</c:v>
                </c:pt>
                <c:pt idx="514">
                  <c:v>394</c:v>
                </c:pt>
                <c:pt idx="515">
                  <c:v>395</c:v>
                </c:pt>
                <c:pt idx="516">
                  <c:v>396</c:v>
                </c:pt>
                <c:pt idx="517">
                  <c:v>397</c:v>
                </c:pt>
                <c:pt idx="518">
                  <c:v>398</c:v>
                </c:pt>
                <c:pt idx="519">
                  <c:v>399</c:v>
                </c:pt>
                <c:pt idx="520">
                  <c:v>400</c:v>
                </c:pt>
                <c:pt idx="521">
                  <c:v>401</c:v>
                </c:pt>
                <c:pt idx="522">
                  <c:v>402</c:v>
                </c:pt>
                <c:pt idx="523">
                  <c:v>403</c:v>
                </c:pt>
                <c:pt idx="524">
                  <c:v>403</c:v>
                </c:pt>
                <c:pt idx="525">
                  <c:v>404</c:v>
                </c:pt>
                <c:pt idx="526">
                  <c:v>404</c:v>
                </c:pt>
                <c:pt idx="527">
                  <c:v>405</c:v>
                </c:pt>
                <c:pt idx="528">
                  <c:v>405</c:v>
                </c:pt>
                <c:pt idx="529">
                  <c:v>405</c:v>
                </c:pt>
                <c:pt idx="530">
                  <c:v>405</c:v>
                </c:pt>
                <c:pt idx="531">
                  <c:v>405</c:v>
                </c:pt>
              </c:numCache>
            </c:numRef>
          </c:val>
          <c:smooth val="0"/>
          <c:extLst>
            <c:ext xmlns:c16="http://schemas.microsoft.com/office/drawing/2014/chart" uri="{C3380CC4-5D6E-409C-BE32-E72D297353CC}">
              <c16:uniqueId val="{00000004-E375-4AF9-BB6A-A3C2377400CB}"/>
            </c:ext>
          </c:extLst>
        </c:ser>
        <c:ser>
          <c:idx val="5"/>
          <c:order val="5"/>
          <c:tx>
            <c:strRef>
              <c:f>Participation!$Q$1</c:f>
              <c:strCache>
                <c:ptCount val="1"/>
                <c:pt idx="0">
                  <c:v>MSO</c:v>
                </c:pt>
              </c:strCache>
            </c:strRef>
          </c:tx>
          <c:spPr>
            <a:ln w="28575" cap="rnd">
              <a:solidFill>
                <a:schemeClr val="accent6"/>
              </a:solidFill>
              <a:round/>
            </a:ln>
            <a:effectLst/>
          </c:spPr>
          <c:marker>
            <c:symbol val="none"/>
          </c:marker>
          <c:cat>
            <c:numRef>
              <c:f>Participation!$K$2:$K$533</c:f>
              <c:numCache>
                <c:formatCode>m/d/yyyy</c:formatCode>
                <c:ptCount val="532"/>
                <c:pt idx="0">
                  <c:v>42475</c:v>
                </c:pt>
                <c:pt idx="1">
                  <c:v>42482</c:v>
                </c:pt>
                <c:pt idx="2">
                  <c:v>42489</c:v>
                </c:pt>
                <c:pt idx="3">
                  <c:v>42496</c:v>
                </c:pt>
                <c:pt idx="4">
                  <c:v>42503</c:v>
                </c:pt>
                <c:pt idx="5">
                  <c:v>42510</c:v>
                </c:pt>
                <c:pt idx="6">
                  <c:v>42517</c:v>
                </c:pt>
                <c:pt idx="7">
                  <c:v>42524</c:v>
                </c:pt>
                <c:pt idx="8">
                  <c:v>42531</c:v>
                </c:pt>
                <c:pt idx="9">
                  <c:v>42538</c:v>
                </c:pt>
                <c:pt idx="10">
                  <c:v>42545</c:v>
                </c:pt>
                <c:pt idx="11">
                  <c:v>42552</c:v>
                </c:pt>
                <c:pt idx="12">
                  <c:v>42559</c:v>
                </c:pt>
                <c:pt idx="13">
                  <c:v>42566</c:v>
                </c:pt>
                <c:pt idx="14">
                  <c:v>42573</c:v>
                </c:pt>
                <c:pt idx="15">
                  <c:v>42580</c:v>
                </c:pt>
                <c:pt idx="16">
                  <c:v>42587</c:v>
                </c:pt>
                <c:pt idx="17">
                  <c:v>42594</c:v>
                </c:pt>
                <c:pt idx="18">
                  <c:v>42601</c:v>
                </c:pt>
                <c:pt idx="19">
                  <c:v>42608</c:v>
                </c:pt>
                <c:pt idx="20">
                  <c:v>42615</c:v>
                </c:pt>
                <c:pt idx="21">
                  <c:v>42622</c:v>
                </c:pt>
                <c:pt idx="22">
                  <c:v>42629</c:v>
                </c:pt>
                <c:pt idx="23">
                  <c:v>42636</c:v>
                </c:pt>
                <c:pt idx="24">
                  <c:v>42643</c:v>
                </c:pt>
                <c:pt idx="25">
                  <c:v>42650</c:v>
                </c:pt>
                <c:pt idx="26">
                  <c:v>42657</c:v>
                </c:pt>
                <c:pt idx="27">
                  <c:v>42664</c:v>
                </c:pt>
                <c:pt idx="28">
                  <c:v>42671</c:v>
                </c:pt>
                <c:pt idx="29">
                  <c:v>42678</c:v>
                </c:pt>
                <c:pt idx="30">
                  <c:v>42685</c:v>
                </c:pt>
                <c:pt idx="31">
                  <c:v>42692</c:v>
                </c:pt>
                <c:pt idx="32">
                  <c:v>42699</c:v>
                </c:pt>
                <c:pt idx="33">
                  <c:v>42706</c:v>
                </c:pt>
                <c:pt idx="34">
                  <c:v>42713</c:v>
                </c:pt>
                <c:pt idx="35">
                  <c:v>42720</c:v>
                </c:pt>
                <c:pt idx="36">
                  <c:v>42727</c:v>
                </c:pt>
                <c:pt idx="37">
                  <c:v>42734</c:v>
                </c:pt>
                <c:pt idx="38">
                  <c:v>42741</c:v>
                </c:pt>
                <c:pt idx="39">
                  <c:v>42748</c:v>
                </c:pt>
                <c:pt idx="40">
                  <c:v>42755</c:v>
                </c:pt>
                <c:pt idx="41">
                  <c:v>42762</c:v>
                </c:pt>
                <c:pt idx="42">
                  <c:v>42769</c:v>
                </c:pt>
                <c:pt idx="43">
                  <c:v>42776</c:v>
                </c:pt>
                <c:pt idx="44">
                  <c:v>42783</c:v>
                </c:pt>
                <c:pt idx="45">
                  <c:v>42790</c:v>
                </c:pt>
                <c:pt idx="46">
                  <c:v>42797</c:v>
                </c:pt>
                <c:pt idx="47">
                  <c:v>42804</c:v>
                </c:pt>
                <c:pt idx="48">
                  <c:v>42811</c:v>
                </c:pt>
                <c:pt idx="49">
                  <c:v>42818</c:v>
                </c:pt>
                <c:pt idx="50">
                  <c:v>42825</c:v>
                </c:pt>
                <c:pt idx="51">
                  <c:v>42832</c:v>
                </c:pt>
                <c:pt idx="52">
                  <c:v>42846</c:v>
                </c:pt>
                <c:pt idx="53">
                  <c:v>42853</c:v>
                </c:pt>
                <c:pt idx="54">
                  <c:v>42860</c:v>
                </c:pt>
                <c:pt idx="55">
                  <c:v>42867</c:v>
                </c:pt>
                <c:pt idx="56">
                  <c:v>42874</c:v>
                </c:pt>
                <c:pt idx="57">
                  <c:v>42881</c:v>
                </c:pt>
                <c:pt idx="58">
                  <c:v>42888</c:v>
                </c:pt>
                <c:pt idx="59">
                  <c:v>42895</c:v>
                </c:pt>
                <c:pt idx="60">
                  <c:v>42902</c:v>
                </c:pt>
                <c:pt idx="61">
                  <c:v>42909</c:v>
                </c:pt>
                <c:pt idx="62">
                  <c:v>42916</c:v>
                </c:pt>
                <c:pt idx="63">
                  <c:v>42923</c:v>
                </c:pt>
                <c:pt idx="64">
                  <c:v>42930</c:v>
                </c:pt>
                <c:pt idx="65">
                  <c:v>42937</c:v>
                </c:pt>
                <c:pt idx="66">
                  <c:v>42944</c:v>
                </c:pt>
                <c:pt idx="67">
                  <c:v>42951</c:v>
                </c:pt>
                <c:pt idx="68">
                  <c:v>42958</c:v>
                </c:pt>
                <c:pt idx="69">
                  <c:v>42965</c:v>
                </c:pt>
                <c:pt idx="70">
                  <c:v>42972</c:v>
                </c:pt>
                <c:pt idx="71">
                  <c:v>42979</c:v>
                </c:pt>
                <c:pt idx="72">
                  <c:v>42986</c:v>
                </c:pt>
                <c:pt idx="73">
                  <c:v>42993</c:v>
                </c:pt>
                <c:pt idx="74">
                  <c:v>43000</c:v>
                </c:pt>
                <c:pt idx="75">
                  <c:v>43007</c:v>
                </c:pt>
                <c:pt idx="76">
                  <c:v>43014</c:v>
                </c:pt>
                <c:pt idx="77">
                  <c:v>43021</c:v>
                </c:pt>
                <c:pt idx="78">
                  <c:v>43028</c:v>
                </c:pt>
                <c:pt idx="79">
                  <c:v>43035</c:v>
                </c:pt>
                <c:pt idx="80">
                  <c:v>43042</c:v>
                </c:pt>
                <c:pt idx="81">
                  <c:v>43049</c:v>
                </c:pt>
                <c:pt idx="82">
                  <c:v>43056</c:v>
                </c:pt>
                <c:pt idx="83">
                  <c:v>43063</c:v>
                </c:pt>
                <c:pt idx="84">
                  <c:v>43070</c:v>
                </c:pt>
                <c:pt idx="85">
                  <c:v>43077</c:v>
                </c:pt>
                <c:pt idx="86">
                  <c:v>43084</c:v>
                </c:pt>
                <c:pt idx="87">
                  <c:v>43091</c:v>
                </c:pt>
                <c:pt idx="88">
                  <c:v>43098</c:v>
                </c:pt>
                <c:pt idx="89">
                  <c:v>43105</c:v>
                </c:pt>
                <c:pt idx="90">
                  <c:v>43112</c:v>
                </c:pt>
                <c:pt idx="91">
                  <c:v>43119</c:v>
                </c:pt>
                <c:pt idx="92">
                  <c:v>43126</c:v>
                </c:pt>
                <c:pt idx="93">
                  <c:v>43133</c:v>
                </c:pt>
                <c:pt idx="94">
                  <c:v>43140</c:v>
                </c:pt>
                <c:pt idx="95">
                  <c:v>43147</c:v>
                </c:pt>
                <c:pt idx="96">
                  <c:v>43154</c:v>
                </c:pt>
                <c:pt idx="97">
                  <c:v>43161</c:v>
                </c:pt>
                <c:pt idx="98">
                  <c:v>43168</c:v>
                </c:pt>
                <c:pt idx="99">
                  <c:v>43175</c:v>
                </c:pt>
                <c:pt idx="100">
                  <c:v>43182</c:v>
                </c:pt>
                <c:pt idx="101">
                  <c:v>43196</c:v>
                </c:pt>
                <c:pt idx="102">
                  <c:v>43203</c:v>
                </c:pt>
                <c:pt idx="103">
                  <c:v>43210</c:v>
                </c:pt>
                <c:pt idx="104">
                  <c:v>43217</c:v>
                </c:pt>
                <c:pt idx="105">
                  <c:v>43224</c:v>
                </c:pt>
                <c:pt idx="106">
                  <c:v>43231</c:v>
                </c:pt>
                <c:pt idx="107">
                  <c:v>43238</c:v>
                </c:pt>
                <c:pt idx="108">
                  <c:v>43245</c:v>
                </c:pt>
                <c:pt idx="109">
                  <c:v>43252</c:v>
                </c:pt>
                <c:pt idx="110">
                  <c:v>43259</c:v>
                </c:pt>
                <c:pt idx="111">
                  <c:v>43266</c:v>
                </c:pt>
                <c:pt idx="112">
                  <c:v>43273</c:v>
                </c:pt>
                <c:pt idx="113">
                  <c:v>43280</c:v>
                </c:pt>
                <c:pt idx="114">
                  <c:v>43287</c:v>
                </c:pt>
                <c:pt idx="115">
                  <c:v>43294</c:v>
                </c:pt>
                <c:pt idx="116">
                  <c:v>43301</c:v>
                </c:pt>
                <c:pt idx="117">
                  <c:v>43308</c:v>
                </c:pt>
                <c:pt idx="118">
                  <c:v>43315</c:v>
                </c:pt>
                <c:pt idx="119">
                  <c:v>43322</c:v>
                </c:pt>
                <c:pt idx="120">
                  <c:v>43329</c:v>
                </c:pt>
                <c:pt idx="121">
                  <c:v>43336</c:v>
                </c:pt>
                <c:pt idx="122">
                  <c:v>43343</c:v>
                </c:pt>
                <c:pt idx="123">
                  <c:v>43350</c:v>
                </c:pt>
                <c:pt idx="124">
                  <c:v>43357</c:v>
                </c:pt>
                <c:pt idx="125">
                  <c:v>43364</c:v>
                </c:pt>
                <c:pt idx="126">
                  <c:v>43371</c:v>
                </c:pt>
                <c:pt idx="127">
                  <c:v>43378</c:v>
                </c:pt>
                <c:pt idx="128">
                  <c:v>43385</c:v>
                </c:pt>
                <c:pt idx="129">
                  <c:v>43392</c:v>
                </c:pt>
                <c:pt idx="130">
                  <c:v>43399</c:v>
                </c:pt>
                <c:pt idx="131">
                  <c:v>43406</c:v>
                </c:pt>
                <c:pt idx="132">
                  <c:v>43413</c:v>
                </c:pt>
                <c:pt idx="133">
                  <c:v>43420</c:v>
                </c:pt>
                <c:pt idx="134">
                  <c:v>43427</c:v>
                </c:pt>
                <c:pt idx="135">
                  <c:v>43434</c:v>
                </c:pt>
                <c:pt idx="136">
                  <c:v>43441</c:v>
                </c:pt>
                <c:pt idx="137">
                  <c:v>43448</c:v>
                </c:pt>
                <c:pt idx="138">
                  <c:v>43455</c:v>
                </c:pt>
                <c:pt idx="139">
                  <c:v>43462</c:v>
                </c:pt>
                <c:pt idx="140">
                  <c:v>43469</c:v>
                </c:pt>
                <c:pt idx="141">
                  <c:v>43476</c:v>
                </c:pt>
                <c:pt idx="142">
                  <c:v>43483</c:v>
                </c:pt>
                <c:pt idx="143">
                  <c:v>43490</c:v>
                </c:pt>
                <c:pt idx="144">
                  <c:v>43497</c:v>
                </c:pt>
                <c:pt idx="145">
                  <c:v>43504</c:v>
                </c:pt>
                <c:pt idx="146">
                  <c:v>43511</c:v>
                </c:pt>
                <c:pt idx="147">
                  <c:v>43518</c:v>
                </c:pt>
                <c:pt idx="148">
                  <c:v>43525</c:v>
                </c:pt>
                <c:pt idx="149">
                  <c:v>43532</c:v>
                </c:pt>
                <c:pt idx="150">
                  <c:v>43539</c:v>
                </c:pt>
                <c:pt idx="151">
                  <c:v>43546</c:v>
                </c:pt>
                <c:pt idx="152">
                  <c:v>43553</c:v>
                </c:pt>
                <c:pt idx="153">
                  <c:v>43560</c:v>
                </c:pt>
                <c:pt idx="154">
                  <c:v>43567</c:v>
                </c:pt>
                <c:pt idx="155">
                  <c:v>43581</c:v>
                </c:pt>
                <c:pt idx="156">
                  <c:v>43588</c:v>
                </c:pt>
                <c:pt idx="157">
                  <c:v>43595</c:v>
                </c:pt>
                <c:pt idx="158">
                  <c:v>43602</c:v>
                </c:pt>
                <c:pt idx="159">
                  <c:v>43609</c:v>
                </c:pt>
                <c:pt idx="160">
                  <c:v>43616</c:v>
                </c:pt>
                <c:pt idx="161">
                  <c:v>43623</c:v>
                </c:pt>
                <c:pt idx="162">
                  <c:v>43630</c:v>
                </c:pt>
                <c:pt idx="163">
                  <c:v>43637</c:v>
                </c:pt>
                <c:pt idx="164">
                  <c:v>43644</c:v>
                </c:pt>
                <c:pt idx="165">
                  <c:v>43651</c:v>
                </c:pt>
                <c:pt idx="166">
                  <c:v>43658</c:v>
                </c:pt>
                <c:pt idx="167">
                  <c:v>43665</c:v>
                </c:pt>
                <c:pt idx="168">
                  <c:v>43672</c:v>
                </c:pt>
                <c:pt idx="169">
                  <c:v>43679</c:v>
                </c:pt>
                <c:pt idx="170">
                  <c:v>43686</c:v>
                </c:pt>
                <c:pt idx="171">
                  <c:v>43693</c:v>
                </c:pt>
                <c:pt idx="172">
                  <c:v>43700</c:v>
                </c:pt>
                <c:pt idx="173">
                  <c:v>43707</c:v>
                </c:pt>
                <c:pt idx="174">
                  <c:v>43714</c:v>
                </c:pt>
                <c:pt idx="175">
                  <c:v>43721</c:v>
                </c:pt>
                <c:pt idx="176">
                  <c:v>43728</c:v>
                </c:pt>
                <c:pt idx="177">
                  <c:v>43735</c:v>
                </c:pt>
                <c:pt idx="178">
                  <c:v>43742</c:v>
                </c:pt>
                <c:pt idx="179">
                  <c:v>43749</c:v>
                </c:pt>
                <c:pt idx="180">
                  <c:v>43756</c:v>
                </c:pt>
                <c:pt idx="181">
                  <c:v>43763</c:v>
                </c:pt>
                <c:pt idx="182">
                  <c:v>43770</c:v>
                </c:pt>
                <c:pt idx="183">
                  <c:v>43777</c:v>
                </c:pt>
                <c:pt idx="184">
                  <c:v>43784</c:v>
                </c:pt>
                <c:pt idx="185">
                  <c:v>43791</c:v>
                </c:pt>
                <c:pt idx="186">
                  <c:v>43798</c:v>
                </c:pt>
                <c:pt idx="187">
                  <c:v>43805</c:v>
                </c:pt>
                <c:pt idx="188">
                  <c:v>43812</c:v>
                </c:pt>
                <c:pt idx="189">
                  <c:v>43819</c:v>
                </c:pt>
                <c:pt idx="190">
                  <c:v>43826</c:v>
                </c:pt>
                <c:pt idx="191">
                  <c:v>43833</c:v>
                </c:pt>
                <c:pt idx="192">
                  <c:v>43840</c:v>
                </c:pt>
                <c:pt idx="193">
                  <c:v>43854</c:v>
                </c:pt>
                <c:pt idx="194">
                  <c:v>43861</c:v>
                </c:pt>
                <c:pt idx="195">
                  <c:v>43868</c:v>
                </c:pt>
                <c:pt idx="196">
                  <c:v>43875</c:v>
                </c:pt>
                <c:pt idx="197">
                  <c:v>43882</c:v>
                </c:pt>
                <c:pt idx="198">
                  <c:v>43889</c:v>
                </c:pt>
                <c:pt idx="199">
                  <c:v>43896</c:v>
                </c:pt>
                <c:pt idx="200">
                  <c:v>43903</c:v>
                </c:pt>
                <c:pt idx="201">
                  <c:v>43910</c:v>
                </c:pt>
                <c:pt idx="202">
                  <c:v>43917</c:v>
                </c:pt>
                <c:pt idx="203">
                  <c:v>43924</c:v>
                </c:pt>
                <c:pt idx="204">
                  <c:v>43938</c:v>
                </c:pt>
                <c:pt idx="205">
                  <c:v>43945</c:v>
                </c:pt>
                <c:pt idx="206">
                  <c:v>43952</c:v>
                </c:pt>
                <c:pt idx="207">
                  <c:v>43959</c:v>
                </c:pt>
                <c:pt idx="208">
                  <c:v>43966</c:v>
                </c:pt>
                <c:pt idx="209">
                  <c:v>43973</c:v>
                </c:pt>
                <c:pt idx="210">
                  <c:v>43980</c:v>
                </c:pt>
                <c:pt idx="211">
                  <c:v>43987</c:v>
                </c:pt>
                <c:pt idx="212">
                  <c:v>43994</c:v>
                </c:pt>
                <c:pt idx="213">
                  <c:v>44001</c:v>
                </c:pt>
                <c:pt idx="214">
                  <c:v>44008</c:v>
                </c:pt>
                <c:pt idx="215">
                  <c:v>44015</c:v>
                </c:pt>
                <c:pt idx="216">
                  <c:v>44022</c:v>
                </c:pt>
                <c:pt idx="217">
                  <c:v>44029</c:v>
                </c:pt>
                <c:pt idx="218">
                  <c:v>44036</c:v>
                </c:pt>
                <c:pt idx="219">
                  <c:v>44043</c:v>
                </c:pt>
                <c:pt idx="220">
                  <c:v>44050</c:v>
                </c:pt>
                <c:pt idx="221">
                  <c:v>44057</c:v>
                </c:pt>
                <c:pt idx="222">
                  <c:v>44064</c:v>
                </c:pt>
                <c:pt idx="223">
                  <c:v>44071</c:v>
                </c:pt>
                <c:pt idx="224">
                  <c:v>44078</c:v>
                </c:pt>
                <c:pt idx="225">
                  <c:v>44085</c:v>
                </c:pt>
                <c:pt idx="226">
                  <c:v>44092</c:v>
                </c:pt>
                <c:pt idx="227">
                  <c:v>44099</c:v>
                </c:pt>
                <c:pt idx="228">
                  <c:v>44106</c:v>
                </c:pt>
                <c:pt idx="229">
                  <c:v>44113</c:v>
                </c:pt>
                <c:pt idx="230">
                  <c:v>44120</c:v>
                </c:pt>
                <c:pt idx="231">
                  <c:v>44127</c:v>
                </c:pt>
                <c:pt idx="232">
                  <c:v>44134</c:v>
                </c:pt>
                <c:pt idx="233">
                  <c:v>44141</c:v>
                </c:pt>
                <c:pt idx="234">
                  <c:v>44148</c:v>
                </c:pt>
                <c:pt idx="235">
                  <c:v>44155</c:v>
                </c:pt>
                <c:pt idx="236">
                  <c:v>44162</c:v>
                </c:pt>
                <c:pt idx="237">
                  <c:v>44169</c:v>
                </c:pt>
                <c:pt idx="238">
                  <c:v>44176</c:v>
                </c:pt>
                <c:pt idx="239">
                  <c:v>44183</c:v>
                </c:pt>
                <c:pt idx="240">
                  <c:v>44204</c:v>
                </c:pt>
                <c:pt idx="241">
                  <c:v>44211</c:v>
                </c:pt>
                <c:pt idx="242">
                  <c:v>44218</c:v>
                </c:pt>
                <c:pt idx="243">
                  <c:v>44225</c:v>
                </c:pt>
                <c:pt idx="244">
                  <c:v>44232</c:v>
                </c:pt>
                <c:pt idx="245">
                  <c:v>44239</c:v>
                </c:pt>
                <c:pt idx="246">
                  <c:v>44246</c:v>
                </c:pt>
                <c:pt idx="247">
                  <c:v>44253</c:v>
                </c:pt>
                <c:pt idx="248">
                  <c:v>44260</c:v>
                </c:pt>
                <c:pt idx="249">
                  <c:v>44267</c:v>
                </c:pt>
                <c:pt idx="250">
                  <c:v>44274</c:v>
                </c:pt>
                <c:pt idx="251">
                  <c:v>44281</c:v>
                </c:pt>
                <c:pt idx="252">
                  <c:v>44295</c:v>
                </c:pt>
                <c:pt idx="253">
                  <c:v>44302</c:v>
                </c:pt>
                <c:pt idx="254">
                  <c:v>44309</c:v>
                </c:pt>
                <c:pt idx="255">
                  <c:v>44316</c:v>
                </c:pt>
                <c:pt idx="256">
                  <c:v>44323</c:v>
                </c:pt>
                <c:pt idx="257">
                  <c:v>44330</c:v>
                </c:pt>
                <c:pt idx="258">
                  <c:v>44337</c:v>
                </c:pt>
                <c:pt idx="259">
                  <c:v>44344</c:v>
                </c:pt>
                <c:pt idx="260">
                  <c:v>44351</c:v>
                </c:pt>
                <c:pt idx="261">
                  <c:v>44358</c:v>
                </c:pt>
                <c:pt idx="262">
                  <c:v>44365</c:v>
                </c:pt>
                <c:pt idx="263">
                  <c:v>44372</c:v>
                </c:pt>
                <c:pt idx="264">
                  <c:v>44379</c:v>
                </c:pt>
                <c:pt idx="265">
                  <c:v>44386</c:v>
                </c:pt>
                <c:pt idx="266">
                  <c:v>44393</c:v>
                </c:pt>
                <c:pt idx="267">
                  <c:v>44400</c:v>
                </c:pt>
                <c:pt idx="268">
                  <c:v>44407</c:v>
                </c:pt>
                <c:pt idx="269">
                  <c:v>44414</c:v>
                </c:pt>
                <c:pt idx="270">
                  <c:v>44421</c:v>
                </c:pt>
                <c:pt idx="271">
                  <c:v>44428</c:v>
                </c:pt>
                <c:pt idx="272">
                  <c:v>44435</c:v>
                </c:pt>
                <c:pt idx="273">
                  <c:v>44442</c:v>
                </c:pt>
                <c:pt idx="274">
                  <c:v>44449</c:v>
                </c:pt>
                <c:pt idx="275">
                  <c:v>44456</c:v>
                </c:pt>
                <c:pt idx="276">
                  <c:v>44463</c:v>
                </c:pt>
                <c:pt idx="277">
                  <c:v>44470</c:v>
                </c:pt>
                <c:pt idx="278">
                  <c:v>44477</c:v>
                </c:pt>
                <c:pt idx="279">
                  <c:v>44484</c:v>
                </c:pt>
                <c:pt idx="280">
                  <c:v>44491</c:v>
                </c:pt>
                <c:pt idx="281">
                  <c:v>44498</c:v>
                </c:pt>
                <c:pt idx="282">
                  <c:v>44505</c:v>
                </c:pt>
                <c:pt idx="283">
                  <c:v>44512</c:v>
                </c:pt>
                <c:pt idx="284">
                  <c:v>44519</c:v>
                </c:pt>
                <c:pt idx="285">
                  <c:v>44526</c:v>
                </c:pt>
                <c:pt idx="286">
                  <c:v>44533</c:v>
                </c:pt>
                <c:pt idx="287">
                  <c:v>44540</c:v>
                </c:pt>
                <c:pt idx="288">
                  <c:v>44547</c:v>
                </c:pt>
                <c:pt idx="289">
                  <c:v>44554</c:v>
                </c:pt>
                <c:pt idx="290">
                  <c:v>44561</c:v>
                </c:pt>
                <c:pt idx="291">
                  <c:v>44568</c:v>
                </c:pt>
                <c:pt idx="292">
                  <c:v>44575</c:v>
                </c:pt>
                <c:pt idx="293">
                  <c:v>44582</c:v>
                </c:pt>
                <c:pt idx="294">
                  <c:v>44589</c:v>
                </c:pt>
                <c:pt idx="295">
                  <c:v>44596</c:v>
                </c:pt>
                <c:pt idx="296">
                  <c:v>44603</c:v>
                </c:pt>
                <c:pt idx="297">
                  <c:v>44610</c:v>
                </c:pt>
                <c:pt idx="298">
                  <c:v>44617</c:v>
                </c:pt>
                <c:pt idx="299">
                  <c:v>44624</c:v>
                </c:pt>
                <c:pt idx="300">
                  <c:v>44631</c:v>
                </c:pt>
                <c:pt idx="301">
                  <c:v>44638</c:v>
                </c:pt>
                <c:pt idx="302">
                  <c:v>44645</c:v>
                </c:pt>
                <c:pt idx="303">
                  <c:v>44652</c:v>
                </c:pt>
                <c:pt idx="304">
                  <c:v>44659</c:v>
                </c:pt>
                <c:pt idx="305">
                  <c:v>44673</c:v>
                </c:pt>
                <c:pt idx="306">
                  <c:v>44680</c:v>
                </c:pt>
                <c:pt idx="307">
                  <c:v>44687</c:v>
                </c:pt>
                <c:pt idx="308">
                  <c:v>44694</c:v>
                </c:pt>
                <c:pt idx="309">
                  <c:v>44701</c:v>
                </c:pt>
                <c:pt idx="310">
                  <c:v>44708</c:v>
                </c:pt>
                <c:pt idx="311">
                  <c:v>44715</c:v>
                </c:pt>
                <c:pt idx="312">
                  <c:v>44722</c:v>
                </c:pt>
                <c:pt idx="313">
                  <c:v>44729</c:v>
                </c:pt>
                <c:pt idx="314">
                  <c:v>44736</c:v>
                </c:pt>
                <c:pt idx="315">
                  <c:v>44743</c:v>
                </c:pt>
                <c:pt idx="316">
                  <c:v>44750</c:v>
                </c:pt>
                <c:pt idx="317">
                  <c:v>44757</c:v>
                </c:pt>
                <c:pt idx="318">
                  <c:v>44764</c:v>
                </c:pt>
                <c:pt idx="319">
                  <c:v>44771</c:v>
                </c:pt>
                <c:pt idx="320">
                  <c:v>44778</c:v>
                </c:pt>
                <c:pt idx="321">
                  <c:v>44785</c:v>
                </c:pt>
                <c:pt idx="322">
                  <c:v>44792</c:v>
                </c:pt>
                <c:pt idx="323">
                  <c:v>44799</c:v>
                </c:pt>
                <c:pt idx="324">
                  <c:v>44806</c:v>
                </c:pt>
                <c:pt idx="325">
                  <c:v>44813</c:v>
                </c:pt>
                <c:pt idx="326">
                  <c:v>44820</c:v>
                </c:pt>
                <c:pt idx="327">
                  <c:v>44827</c:v>
                </c:pt>
                <c:pt idx="328">
                  <c:v>44834</c:v>
                </c:pt>
                <c:pt idx="329">
                  <c:v>44841</c:v>
                </c:pt>
                <c:pt idx="330">
                  <c:v>44848</c:v>
                </c:pt>
                <c:pt idx="331">
                  <c:v>44855</c:v>
                </c:pt>
                <c:pt idx="332">
                  <c:v>44862</c:v>
                </c:pt>
                <c:pt idx="333">
                  <c:v>44869</c:v>
                </c:pt>
                <c:pt idx="334">
                  <c:v>44876</c:v>
                </c:pt>
                <c:pt idx="335">
                  <c:v>44883</c:v>
                </c:pt>
                <c:pt idx="336">
                  <c:v>44890</c:v>
                </c:pt>
                <c:pt idx="337">
                  <c:v>44897</c:v>
                </c:pt>
                <c:pt idx="338">
                  <c:v>44904</c:v>
                </c:pt>
                <c:pt idx="339">
                  <c:v>44911</c:v>
                </c:pt>
                <c:pt idx="340">
                  <c:v>44918</c:v>
                </c:pt>
                <c:pt idx="341">
                  <c:v>44925</c:v>
                </c:pt>
                <c:pt idx="342">
                  <c:v>44932</c:v>
                </c:pt>
                <c:pt idx="343">
                  <c:v>44939</c:v>
                </c:pt>
                <c:pt idx="344">
                  <c:v>44946</c:v>
                </c:pt>
                <c:pt idx="345">
                  <c:v>44953</c:v>
                </c:pt>
                <c:pt idx="346">
                  <c:v>44960</c:v>
                </c:pt>
                <c:pt idx="347">
                  <c:v>44967</c:v>
                </c:pt>
                <c:pt idx="348">
                  <c:v>44974</c:v>
                </c:pt>
                <c:pt idx="349">
                  <c:v>44981</c:v>
                </c:pt>
                <c:pt idx="350">
                  <c:v>44988</c:v>
                </c:pt>
                <c:pt idx="351">
                  <c:v>44995</c:v>
                </c:pt>
                <c:pt idx="352">
                  <c:v>45002</c:v>
                </c:pt>
                <c:pt idx="353">
                  <c:v>45009</c:v>
                </c:pt>
                <c:pt idx="354">
                  <c:v>45016</c:v>
                </c:pt>
                <c:pt idx="355">
                  <c:v>45030</c:v>
                </c:pt>
                <c:pt idx="356">
                  <c:v>45037</c:v>
                </c:pt>
                <c:pt idx="357">
                  <c:v>45044</c:v>
                </c:pt>
                <c:pt idx="358">
                  <c:v>45051</c:v>
                </c:pt>
                <c:pt idx="359">
                  <c:v>45058</c:v>
                </c:pt>
                <c:pt idx="360">
                  <c:v>45065</c:v>
                </c:pt>
                <c:pt idx="361">
                  <c:v>45072</c:v>
                </c:pt>
                <c:pt idx="362">
                  <c:v>45079</c:v>
                </c:pt>
                <c:pt idx="363">
                  <c:v>45086</c:v>
                </c:pt>
                <c:pt idx="364">
                  <c:v>45093</c:v>
                </c:pt>
                <c:pt idx="365">
                  <c:v>45100</c:v>
                </c:pt>
                <c:pt idx="366">
                  <c:v>45107</c:v>
                </c:pt>
                <c:pt idx="367">
                  <c:v>45114</c:v>
                </c:pt>
                <c:pt idx="368">
                  <c:v>45121</c:v>
                </c:pt>
                <c:pt idx="369">
                  <c:v>45128</c:v>
                </c:pt>
                <c:pt idx="370">
                  <c:v>45135</c:v>
                </c:pt>
                <c:pt idx="371">
                  <c:v>45142</c:v>
                </c:pt>
                <c:pt idx="372">
                  <c:v>45149</c:v>
                </c:pt>
                <c:pt idx="373">
                  <c:v>45163</c:v>
                </c:pt>
                <c:pt idx="374">
                  <c:v>45170</c:v>
                </c:pt>
                <c:pt idx="375">
                  <c:v>45177</c:v>
                </c:pt>
                <c:pt idx="376">
                  <c:v>45184</c:v>
                </c:pt>
                <c:pt idx="377">
                  <c:v>45191</c:v>
                </c:pt>
                <c:pt idx="378">
                  <c:v>45198</c:v>
                </c:pt>
                <c:pt idx="379">
                  <c:v>45205</c:v>
                </c:pt>
                <c:pt idx="380">
                  <c:v>45212</c:v>
                </c:pt>
                <c:pt idx="381">
                  <c:v>45219</c:v>
                </c:pt>
                <c:pt idx="382">
                  <c:v>45226</c:v>
                </c:pt>
                <c:pt idx="383">
                  <c:v>45233</c:v>
                </c:pt>
                <c:pt idx="384">
                  <c:v>45240</c:v>
                </c:pt>
                <c:pt idx="385">
                  <c:v>45247</c:v>
                </c:pt>
                <c:pt idx="386">
                  <c:v>45254</c:v>
                </c:pt>
                <c:pt idx="387">
                  <c:v>45261</c:v>
                </c:pt>
                <c:pt idx="388">
                  <c:v>45268</c:v>
                </c:pt>
                <c:pt idx="389">
                  <c:v>45275</c:v>
                </c:pt>
                <c:pt idx="390">
                  <c:v>45282</c:v>
                </c:pt>
                <c:pt idx="391">
                  <c:v>45289</c:v>
                </c:pt>
                <c:pt idx="392">
                  <c:v>45296</c:v>
                </c:pt>
                <c:pt idx="393">
                  <c:v>45303</c:v>
                </c:pt>
                <c:pt idx="394">
                  <c:v>45310</c:v>
                </c:pt>
                <c:pt idx="395">
                  <c:v>45317</c:v>
                </c:pt>
                <c:pt idx="396">
                  <c:v>45324</c:v>
                </c:pt>
                <c:pt idx="397">
                  <c:v>45331</c:v>
                </c:pt>
                <c:pt idx="398">
                  <c:v>45338</c:v>
                </c:pt>
                <c:pt idx="399">
                  <c:v>45345</c:v>
                </c:pt>
                <c:pt idx="400">
                  <c:v>45352</c:v>
                </c:pt>
                <c:pt idx="401">
                  <c:v>45359</c:v>
                </c:pt>
                <c:pt idx="402">
                  <c:v>45366</c:v>
                </c:pt>
                <c:pt idx="403">
                  <c:v>45373</c:v>
                </c:pt>
                <c:pt idx="404">
                  <c:v>45387</c:v>
                </c:pt>
                <c:pt idx="405">
                  <c:v>45394</c:v>
                </c:pt>
                <c:pt idx="406">
                  <c:v>45401</c:v>
                </c:pt>
                <c:pt idx="407">
                  <c:v>45408</c:v>
                </c:pt>
                <c:pt idx="408">
                  <c:v>45415</c:v>
                </c:pt>
                <c:pt idx="409">
                  <c:v>45422</c:v>
                </c:pt>
                <c:pt idx="410">
                  <c:v>45429</c:v>
                </c:pt>
                <c:pt idx="411">
                  <c:v>45436</c:v>
                </c:pt>
                <c:pt idx="412">
                  <c:v>45443</c:v>
                </c:pt>
                <c:pt idx="413">
                  <c:v>45450</c:v>
                </c:pt>
                <c:pt idx="414">
                  <c:v>45457</c:v>
                </c:pt>
                <c:pt idx="415">
                  <c:v>45464</c:v>
                </c:pt>
                <c:pt idx="416">
                  <c:v>45471</c:v>
                </c:pt>
                <c:pt idx="417">
                  <c:v>45478</c:v>
                </c:pt>
                <c:pt idx="418">
                  <c:v>45485</c:v>
                </c:pt>
                <c:pt idx="419">
                  <c:v>45492</c:v>
                </c:pt>
                <c:pt idx="420">
                  <c:v>45499</c:v>
                </c:pt>
                <c:pt idx="421">
                  <c:v>45506</c:v>
                </c:pt>
                <c:pt idx="422">
                  <c:v>45513</c:v>
                </c:pt>
                <c:pt idx="423">
                  <c:v>45520</c:v>
                </c:pt>
                <c:pt idx="424">
                  <c:v>45527</c:v>
                </c:pt>
                <c:pt idx="425">
                  <c:v>45534</c:v>
                </c:pt>
                <c:pt idx="426">
                  <c:v>45541</c:v>
                </c:pt>
                <c:pt idx="427">
                  <c:v>45548</c:v>
                </c:pt>
                <c:pt idx="428">
                  <c:v>45555</c:v>
                </c:pt>
                <c:pt idx="429">
                  <c:v>45562</c:v>
                </c:pt>
                <c:pt idx="430">
                  <c:v>45569</c:v>
                </c:pt>
                <c:pt idx="431">
                  <c:v>45576</c:v>
                </c:pt>
                <c:pt idx="432">
                  <c:v>45583</c:v>
                </c:pt>
                <c:pt idx="433">
                  <c:v>45590</c:v>
                </c:pt>
                <c:pt idx="434">
                  <c:v>45597</c:v>
                </c:pt>
                <c:pt idx="435">
                  <c:v>45604</c:v>
                </c:pt>
                <c:pt idx="436">
                  <c:v>45611</c:v>
                </c:pt>
                <c:pt idx="437">
                  <c:v>45618</c:v>
                </c:pt>
                <c:pt idx="438">
                  <c:v>45625</c:v>
                </c:pt>
                <c:pt idx="439">
                  <c:v>45632</c:v>
                </c:pt>
                <c:pt idx="440">
                  <c:v>45639</c:v>
                </c:pt>
                <c:pt idx="441">
                  <c:v>45646</c:v>
                </c:pt>
                <c:pt idx="442">
                  <c:v>45653</c:v>
                </c:pt>
                <c:pt idx="443">
                  <c:v>45660</c:v>
                </c:pt>
                <c:pt idx="444">
                  <c:v>45667</c:v>
                </c:pt>
                <c:pt idx="445">
                  <c:v>45674</c:v>
                </c:pt>
                <c:pt idx="446">
                  <c:v>45681</c:v>
                </c:pt>
                <c:pt idx="447">
                  <c:v>45688</c:v>
                </c:pt>
                <c:pt idx="448">
                  <c:v>45695</c:v>
                </c:pt>
                <c:pt idx="449">
                  <c:v>45702</c:v>
                </c:pt>
                <c:pt idx="450">
                  <c:v>45709</c:v>
                </c:pt>
                <c:pt idx="451">
                  <c:v>45716</c:v>
                </c:pt>
                <c:pt idx="452">
                  <c:v>45723</c:v>
                </c:pt>
                <c:pt idx="453">
                  <c:v>45730</c:v>
                </c:pt>
                <c:pt idx="454">
                  <c:v>45737</c:v>
                </c:pt>
                <c:pt idx="455">
                  <c:v>45744</c:v>
                </c:pt>
                <c:pt idx="456">
                  <c:v>45751</c:v>
                </c:pt>
                <c:pt idx="457">
                  <c:v>45758</c:v>
                </c:pt>
                <c:pt idx="458">
                  <c:v>45772</c:v>
                </c:pt>
                <c:pt idx="459">
                  <c:v>45779</c:v>
                </c:pt>
                <c:pt idx="460">
                  <c:v>45786</c:v>
                </c:pt>
                <c:pt idx="461">
                  <c:v>45793</c:v>
                </c:pt>
                <c:pt idx="462">
                  <c:v>45800</c:v>
                </c:pt>
                <c:pt idx="463">
                  <c:v>45807</c:v>
                </c:pt>
                <c:pt idx="464">
                  <c:v>45814</c:v>
                </c:pt>
                <c:pt idx="465">
                  <c:v>45821</c:v>
                </c:pt>
                <c:pt idx="466">
                  <c:v>45828</c:v>
                </c:pt>
                <c:pt idx="467">
                  <c:v>45835</c:v>
                </c:pt>
                <c:pt idx="468">
                  <c:v>45842</c:v>
                </c:pt>
                <c:pt idx="469">
                  <c:v>45849</c:v>
                </c:pt>
                <c:pt idx="470">
                  <c:v>45856</c:v>
                </c:pt>
                <c:pt idx="471">
                  <c:v>45863</c:v>
                </c:pt>
                <c:pt idx="472">
                  <c:v>45877</c:v>
                </c:pt>
                <c:pt idx="473">
                  <c:v>45884</c:v>
                </c:pt>
                <c:pt idx="474">
                  <c:v>45891</c:v>
                </c:pt>
                <c:pt idx="475">
                  <c:v>45898</c:v>
                </c:pt>
                <c:pt idx="476">
                  <c:v>45905</c:v>
                </c:pt>
                <c:pt idx="477">
                  <c:v>45912</c:v>
                </c:pt>
                <c:pt idx="478">
                  <c:v>45919</c:v>
                </c:pt>
                <c:pt idx="479">
                  <c:v>45926</c:v>
                </c:pt>
                <c:pt idx="480">
                  <c:v>45933</c:v>
                </c:pt>
                <c:pt idx="481">
                  <c:v>45940</c:v>
                </c:pt>
                <c:pt idx="482">
                  <c:v>45947</c:v>
                </c:pt>
                <c:pt idx="483">
                  <c:v>45954</c:v>
                </c:pt>
                <c:pt idx="484">
                  <c:v>45961</c:v>
                </c:pt>
                <c:pt idx="485">
                  <c:v>45968</c:v>
                </c:pt>
                <c:pt idx="486">
                  <c:v>45975</c:v>
                </c:pt>
                <c:pt idx="487">
                  <c:v>45982</c:v>
                </c:pt>
                <c:pt idx="488">
                  <c:v>45989</c:v>
                </c:pt>
                <c:pt idx="489">
                  <c:v>45996</c:v>
                </c:pt>
                <c:pt idx="490">
                  <c:v>46003</c:v>
                </c:pt>
                <c:pt idx="491">
                  <c:v>46010</c:v>
                </c:pt>
                <c:pt idx="492">
                  <c:v>46031</c:v>
                </c:pt>
                <c:pt idx="493">
                  <c:v>46038</c:v>
                </c:pt>
                <c:pt idx="494">
                  <c:v>46045</c:v>
                </c:pt>
                <c:pt idx="495">
                  <c:v>46052</c:v>
                </c:pt>
                <c:pt idx="496">
                  <c:v>46059</c:v>
                </c:pt>
                <c:pt idx="497">
                  <c:v>46066</c:v>
                </c:pt>
                <c:pt idx="498">
                  <c:v>46073</c:v>
                </c:pt>
                <c:pt idx="499">
                  <c:v>46080</c:v>
                </c:pt>
                <c:pt idx="500">
                  <c:v>46087</c:v>
                </c:pt>
                <c:pt idx="501">
                  <c:v>46094</c:v>
                </c:pt>
                <c:pt idx="502">
                  <c:v>46101</c:v>
                </c:pt>
                <c:pt idx="503">
                  <c:v>46108</c:v>
                </c:pt>
                <c:pt idx="504">
                  <c:v>46122</c:v>
                </c:pt>
                <c:pt idx="505">
                  <c:v>46129</c:v>
                </c:pt>
                <c:pt idx="506">
                  <c:v>46136</c:v>
                </c:pt>
                <c:pt idx="507">
                  <c:v>46150</c:v>
                </c:pt>
                <c:pt idx="508">
                  <c:v>46157</c:v>
                </c:pt>
                <c:pt idx="509">
                  <c:v>46164</c:v>
                </c:pt>
                <c:pt idx="510">
                  <c:v>46171</c:v>
                </c:pt>
                <c:pt idx="511">
                  <c:v>46178</c:v>
                </c:pt>
                <c:pt idx="512">
                  <c:v>46185</c:v>
                </c:pt>
                <c:pt idx="513">
                  <c:v>46192</c:v>
                </c:pt>
                <c:pt idx="514">
                  <c:v>46199</c:v>
                </c:pt>
                <c:pt idx="515">
                  <c:v>46206</c:v>
                </c:pt>
                <c:pt idx="516">
                  <c:v>46213</c:v>
                </c:pt>
                <c:pt idx="517">
                  <c:v>46220</c:v>
                </c:pt>
                <c:pt idx="518">
                  <c:v>46227</c:v>
                </c:pt>
                <c:pt idx="519">
                  <c:v>46234</c:v>
                </c:pt>
                <c:pt idx="520">
                  <c:v>46241</c:v>
                </c:pt>
                <c:pt idx="521">
                  <c:v>46248</c:v>
                </c:pt>
                <c:pt idx="522">
                  <c:v>46255</c:v>
                </c:pt>
                <c:pt idx="523">
                  <c:v>46262</c:v>
                </c:pt>
                <c:pt idx="524">
                  <c:v>46269</c:v>
                </c:pt>
                <c:pt idx="525">
                  <c:v>46276</c:v>
                </c:pt>
                <c:pt idx="526">
                  <c:v>46283</c:v>
                </c:pt>
                <c:pt idx="527">
                  <c:v>46290</c:v>
                </c:pt>
                <c:pt idx="528">
                  <c:v>46297</c:v>
                </c:pt>
                <c:pt idx="529">
                  <c:v>46304</c:v>
                </c:pt>
                <c:pt idx="530">
                  <c:v>46311</c:v>
                </c:pt>
                <c:pt idx="531">
                  <c:v>46318</c:v>
                </c:pt>
              </c:numCache>
            </c:numRef>
          </c:cat>
          <c:val>
            <c:numRef>
              <c:f>Participation!$Q$2:$Q$533</c:f>
              <c:numCache>
                <c:formatCode>0</c:formatCode>
                <c:ptCount val="532"/>
                <c:pt idx="0">
                  <c:v>0</c:v>
                </c:pt>
                <c:pt idx="1">
                  <c:v>0</c:v>
                </c:pt>
                <c:pt idx="2">
                  <c:v>0</c:v>
                </c:pt>
                <c:pt idx="3">
                  <c:v>0</c:v>
                </c:pt>
                <c:pt idx="4">
                  <c:v>0</c:v>
                </c:pt>
                <c:pt idx="5">
                  <c:v>0</c:v>
                </c:pt>
                <c:pt idx="6">
                  <c:v>0</c:v>
                </c:pt>
                <c:pt idx="7">
                  <c:v>0.86206896551724133</c:v>
                </c:pt>
                <c:pt idx="8">
                  <c:v>1.7241379310344827</c:v>
                </c:pt>
                <c:pt idx="9">
                  <c:v>2.5862068965517242</c:v>
                </c:pt>
                <c:pt idx="10">
                  <c:v>3.4482758620689653</c:v>
                </c:pt>
                <c:pt idx="11">
                  <c:v>4.3103448275862064</c:v>
                </c:pt>
                <c:pt idx="12">
                  <c:v>5.1724137931034475</c:v>
                </c:pt>
                <c:pt idx="13">
                  <c:v>6.0344827586206886</c:v>
                </c:pt>
                <c:pt idx="14">
                  <c:v>6.8965517241379297</c:v>
                </c:pt>
                <c:pt idx="15">
                  <c:v>7.7586206896551708</c:v>
                </c:pt>
                <c:pt idx="16">
                  <c:v>8.6206896551724128</c:v>
                </c:pt>
                <c:pt idx="17">
                  <c:v>9.4827586206896548</c:v>
                </c:pt>
                <c:pt idx="18">
                  <c:v>10.344827586206897</c:v>
                </c:pt>
                <c:pt idx="19">
                  <c:v>11.206896551724139</c:v>
                </c:pt>
                <c:pt idx="20">
                  <c:v>12.068965517241381</c:v>
                </c:pt>
                <c:pt idx="21">
                  <c:v>12.931034482758623</c:v>
                </c:pt>
                <c:pt idx="22">
                  <c:v>13.793103448275865</c:v>
                </c:pt>
                <c:pt idx="23">
                  <c:v>14.655172413793107</c:v>
                </c:pt>
                <c:pt idx="24">
                  <c:v>15.517241379310349</c:v>
                </c:pt>
                <c:pt idx="25">
                  <c:v>16.379310344827591</c:v>
                </c:pt>
                <c:pt idx="26">
                  <c:v>17.241379310344833</c:v>
                </c:pt>
                <c:pt idx="27">
                  <c:v>18.103448275862075</c:v>
                </c:pt>
                <c:pt idx="28">
                  <c:v>18.965517241379317</c:v>
                </c:pt>
                <c:pt idx="29">
                  <c:v>19.827586206896559</c:v>
                </c:pt>
                <c:pt idx="30">
                  <c:v>20.689655172413801</c:v>
                </c:pt>
                <c:pt idx="31">
                  <c:v>21.551724137931043</c:v>
                </c:pt>
                <c:pt idx="32">
                  <c:v>22.413793103448285</c:v>
                </c:pt>
                <c:pt idx="33">
                  <c:v>23.275862068965527</c:v>
                </c:pt>
                <c:pt idx="34">
                  <c:v>24.137931034482769</c:v>
                </c:pt>
                <c:pt idx="35">
                  <c:v>25.000000000000011</c:v>
                </c:pt>
                <c:pt idx="36">
                  <c:v>26.000000000000011</c:v>
                </c:pt>
                <c:pt idx="37">
                  <c:v>26.000000000000011</c:v>
                </c:pt>
                <c:pt idx="38">
                  <c:v>27.000000000000011</c:v>
                </c:pt>
                <c:pt idx="39">
                  <c:v>28.000000000000011</c:v>
                </c:pt>
                <c:pt idx="40">
                  <c:v>28.000000000000011</c:v>
                </c:pt>
                <c:pt idx="41">
                  <c:v>29.000000000000011</c:v>
                </c:pt>
                <c:pt idx="42">
                  <c:v>30.000000000000011</c:v>
                </c:pt>
                <c:pt idx="43">
                  <c:v>31.000000000000011</c:v>
                </c:pt>
                <c:pt idx="44">
                  <c:v>32.000000000000014</c:v>
                </c:pt>
                <c:pt idx="45">
                  <c:v>33.000000000000014</c:v>
                </c:pt>
                <c:pt idx="46">
                  <c:v>34.000000000000014</c:v>
                </c:pt>
                <c:pt idx="47">
                  <c:v>35.000000000000014</c:v>
                </c:pt>
                <c:pt idx="48">
                  <c:v>36.000000000000014</c:v>
                </c:pt>
                <c:pt idx="49">
                  <c:v>37.000000000000014</c:v>
                </c:pt>
                <c:pt idx="50">
                  <c:v>38.000000000000014</c:v>
                </c:pt>
                <c:pt idx="51">
                  <c:v>39.000000000000014</c:v>
                </c:pt>
                <c:pt idx="52">
                  <c:v>40.000000000000014</c:v>
                </c:pt>
                <c:pt idx="53">
                  <c:v>41.000000000000014</c:v>
                </c:pt>
                <c:pt idx="54">
                  <c:v>42.000000000000014</c:v>
                </c:pt>
                <c:pt idx="55">
                  <c:v>43.000000000000014</c:v>
                </c:pt>
                <c:pt idx="56">
                  <c:v>44.000000000000014</c:v>
                </c:pt>
                <c:pt idx="57">
                  <c:v>45.000000000000014</c:v>
                </c:pt>
                <c:pt idx="58">
                  <c:v>46.000000000000014</c:v>
                </c:pt>
                <c:pt idx="59">
                  <c:v>47.000000000000014</c:v>
                </c:pt>
                <c:pt idx="60">
                  <c:v>48.000000000000014</c:v>
                </c:pt>
                <c:pt idx="61">
                  <c:v>48.000000000000014</c:v>
                </c:pt>
                <c:pt idx="62">
                  <c:v>48.000000000000014</c:v>
                </c:pt>
                <c:pt idx="63">
                  <c:v>48.000000000000014</c:v>
                </c:pt>
                <c:pt idx="64">
                  <c:v>49.000000000000014</c:v>
                </c:pt>
                <c:pt idx="65">
                  <c:v>50.000000000000014</c:v>
                </c:pt>
                <c:pt idx="66">
                  <c:v>51.000000000000014</c:v>
                </c:pt>
                <c:pt idx="67">
                  <c:v>52.000000000000014</c:v>
                </c:pt>
                <c:pt idx="68">
                  <c:v>53.000000000000014</c:v>
                </c:pt>
                <c:pt idx="69">
                  <c:v>54.000000000000014</c:v>
                </c:pt>
                <c:pt idx="70">
                  <c:v>55.000000000000014</c:v>
                </c:pt>
                <c:pt idx="71">
                  <c:v>56.000000000000014</c:v>
                </c:pt>
                <c:pt idx="72">
                  <c:v>57.000000000000014</c:v>
                </c:pt>
                <c:pt idx="73">
                  <c:v>58.000000000000014</c:v>
                </c:pt>
                <c:pt idx="74">
                  <c:v>59.000000000000014</c:v>
                </c:pt>
                <c:pt idx="75">
                  <c:v>60.000000000000014</c:v>
                </c:pt>
                <c:pt idx="76">
                  <c:v>61.000000000000014</c:v>
                </c:pt>
                <c:pt idx="77">
                  <c:v>62.000000000000014</c:v>
                </c:pt>
                <c:pt idx="78">
                  <c:v>63.000000000000014</c:v>
                </c:pt>
                <c:pt idx="79">
                  <c:v>63.000000000000014</c:v>
                </c:pt>
                <c:pt idx="80">
                  <c:v>64.000000000000014</c:v>
                </c:pt>
                <c:pt idx="81">
                  <c:v>65.000000000000014</c:v>
                </c:pt>
                <c:pt idx="82">
                  <c:v>65.000000000000014</c:v>
                </c:pt>
                <c:pt idx="83">
                  <c:v>66.000000000000014</c:v>
                </c:pt>
                <c:pt idx="84">
                  <c:v>67.000000000000014</c:v>
                </c:pt>
                <c:pt idx="85">
                  <c:v>68.000000000000014</c:v>
                </c:pt>
                <c:pt idx="86">
                  <c:v>69.000000000000014</c:v>
                </c:pt>
                <c:pt idx="87">
                  <c:v>70.000000000000014</c:v>
                </c:pt>
                <c:pt idx="88">
                  <c:v>70.000000000000014</c:v>
                </c:pt>
                <c:pt idx="89">
                  <c:v>70.000000000000014</c:v>
                </c:pt>
                <c:pt idx="90">
                  <c:v>71.000000000000014</c:v>
                </c:pt>
                <c:pt idx="91">
                  <c:v>72.000000000000014</c:v>
                </c:pt>
                <c:pt idx="92">
                  <c:v>72.000000000000014</c:v>
                </c:pt>
                <c:pt idx="93">
                  <c:v>73.000000000000014</c:v>
                </c:pt>
                <c:pt idx="94">
                  <c:v>74.000000000000014</c:v>
                </c:pt>
                <c:pt idx="95">
                  <c:v>75.000000000000014</c:v>
                </c:pt>
                <c:pt idx="96">
                  <c:v>76.000000000000014</c:v>
                </c:pt>
                <c:pt idx="97">
                  <c:v>77.000000000000014</c:v>
                </c:pt>
                <c:pt idx="98">
                  <c:v>77.000000000000014</c:v>
                </c:pt>
                <c:pt idx="99">
                  <c:v>77.000000000000014</c:v>
                </c:pt>
                <c:pt idx="100">
                  <c:v>78.000000000000014</c:v>
                </c:pt>
                <c:pt idx="101">
                  <c:v>79.000000000000014</c:v>
                </c:pt>
                <c:pt idx="102">
                  <c:v>80.000000000000014</c:v>
                </c:pt>
                <c:pt idx="103">
                  <c:v>81.000000000000014</c:v>
                </c:pt>
                <c:pt idx="104">
                  <c:v>82.000000000000014</c:v>
                </c:pt>
                <c:pt idx="105">
                  <c:v>82.000000000000014</c:v>
                </c:pt>
                <c:pt idx="106">
                  <c:v>83.000000000000014</c:v>
                </c:pt>
                <c:pt idx="107">
                  <c:v>84.000000000000014</c:v>
                </c:pt>
                <c:pt idx="108">
                  <c:v>85.000000000000014</c:v>
                </c:pt>
                <c:pt idx="109">
                  <c:v>86.000000000000014</c:v>
                </c:pt>
                <c:pt idx="110">
                  <c:v>87.000000000000014</c:v>
                </c:pt>
                <c:pt idx="111">
                  <c:v>88.000000000000014</c:v>
                </c:pt>
                <c:pt idx="112">
                  <c:v>89.000000000000014</c:v>
                </c:pt>
                <c:pt idx="113">
                  <c:v>90.000000000000014</c:v>
                </c:pt>
                <c:pt idx="114">
                  <c:v>91.000000000000014</c:v>
                </c:pt>
                <c:pt idx="115">
                  <c:v>92.000000000000014</c:v>
                </c:pt>
                <c:pt idx="116">
                  <c:v>93.000000000000014</c:v>
                </c:pt>
                <c:pt idx="117">
                  <c:v>94.000000000000014</c:v>
                </c:pt>
                <c:pt idx="118">
                  <c:v>95.000000000000014</c:v>
                </c:pt>
                <c:pt idx="119">
                  <c:v>96.000000000000014</c:v>
                </c:pt>
                <c:pt idx="120">
                  <c:v>97.000000000000014</c:v>
                </c:pt>
                <c:pt idx="121">
                  <c:v>98.000000000000014</c:v>
                </c:pt>
                <c:pt idx="122">
                  <c:v>99.000000000000014</c:v>
                </c:pt>
                <c:pt idx="123">
                  <c:v>100.00000000000001</c:v>
                </c:pt>
                <c:pt idx="124">
                  <c:v>101.00000000000001</c:v>
                </c:pt>
                <c:pt idx="125">
                  <c:v>102.00000000000001</c:v>
                </c:pt>
                <c:pt idx="126">
                  <c:v>102.00000000000001</c:v>
                </c:pt>
                <c:pt idx="127">
                  <c:v>103.00000000000001</c:v>
                </c:pt>
                <c:pt idx="128">
                  <c:v>104.00000000000001</c:v>
                </c:pt>
                <c:pt idx="129">
                  <c:v>105.00000000000001</c:v>
                </c:pt>
                <c:pt idx="130">
                  <c:v>106.00000000000001</c:v>
                </c:pt>
                <c:pt idx="131">
                  <c:v>107.00000000000001</c:v>
                </c:pt>
                <c:pt idx="132">
                  <c:v>107.00000000000001</c:v>
                </c:pt>
                <c:pt idx="133">
                  <c:v>108.00000000000001</c:v>
                </c:pt>
                <c:pt idx="134">
                  <c:v>109.00000000000001</c:v>
                </c:pt>
                <c:pt idx="135">
                  <c:v>110.00000000000001</c:v>
                </c:pt>
                <c:pt idx="136">
                  <c:v>111.00000000000001</c:v>
                </c:pt>
                <c:pt idx="137">
                  <c:v>112.00000000000001</c:v>
                </c:pt>
                <c:pt idx="138">
                  <c:v>113.00000000000001</c:v>
                </c:pt>
                <c:pt idx="139">
                  <c:v>113.00000000000001</c:v>
                </c:pt>
                <c:pt idx="140">
                  <c:v>113.00000000000001</c:v>
                </c:pt>
                <c:pt idx="141">
                  <c:v>114.00000000000001</c:v>
                </c:pt>
                <c:pt idx="142">
                  <c:v>115.00000000000001</c:v>
                </c:pt>
                <c:pt idx="143">
                  <c:v>116.00000000000001</c:v>
                </c:pt>
                <c:pt idx="144">
                  <c:v>116.00000000000001</c:v>
                </c:pt>
                <c:pt idx="145">
                  <c:v>117.00000000000001</c:v>
                </c:pt>
                <c:pt idx="146">
                  <c:v>118.00000000000001</c:v>
                </c:pt>
                <c:pt idx="147">
                  <c:v>119.00000000000001</c:v>
                </c:pt>
                <c:pt idx="148">
                  <c:v>120.00000000000001</c:v>
                </c:pt>
                <c:pt idx="149">
                  <c:v>121.00000000000001</c:v>
                </c:pt>
                <c:pt idx="150">
                  <c:v>122.00000000000001</c:v>
                </c:pt>
                <c:pt idx="151">
                  <c:v>122.00000000000001</c:v>
                </c:pt>
                <c:pt idx="152">
                  <c:v>123.00000000000001</c:v>
                </c:pt>
                <c:pt idx="153">
                  <c:v>124.00000000000001</c:v>
                </c:pt>
                <c:pt idx="154">
                  <c:v>125.00000000000001</c:v>
                </c:pt>
                <c:pt idx="155">
                  <c:v>126.00000000000001</c:v>
                </c:pt>
                <c:pt idx="156">
                  <c:v>127.00000000000001</c:v>
                </c:pt>
                <c:pt idx="157">
                  <c:v>128</c:v>
                </c:pt>
                <c:pt idx="158">
                  <c:v>128</c:v>
                </c:pt>
                <c:pt idx="159">
                  <c:v>129</c:v>
                </c:pt>
                <c:pt idx="160">
                  <c:v>129</c:v>
                </c:pt>
                <c:pt idx="161">
                  <c:v>130</c:v>
                </c:pt>
                <c:pt idx="162">
                  <c:v>131</c:v>
                </c:pt>
                <c:pt idx="163">
                  <c:v>132</c:v>
                </c:pt>
                <c:pt idx="164">
                  <c:v>133</c:v>
                </c:pt>
                <c:pt idx="165">
                  <c:v>133</c:v>
                </c:pt>
                <c:pt idx="166">
                  <c:v>133</c:v>
                </c:pt>
                <c:pt idx="167">
                  <c:v>134</c:v>
                </c:pt>
                <c:pt idx="168">
                  <c:v>134</c:v>
                </c:pt>
                <c:pt idx="169">
                  <c:v>135</c:v>
                </c:pt>
                <c:pt idx="170">
                  <c:v>136</c:v>
                </c:pt>
                <c:pt idx="171">
                  <c:v>137</c:v>
                </c:pt>
                <c:pt idx="172">
                  <c:v>138</c:v>
                </c:pt>
                <c:pt idx="173">
                  <c:v>139</c:v>
                </c:pt>
                <c:pt idx="174">
                  <c:v>140</c:v>
                </c:pt>
                <c:pt idx="175">
                  <c:v>140</c:v>
                </c:pt>
                <c:pt idx="176">
                  <c:v>141</c:v>
                </c:pt>
                <c:pt idx="177">
                  <c:v>142</c:v>
                </c:pt>
                <c:pt idx="178">
                  <c:v>143</c:v>
                </c:pt>
                <c:pt idx="179">
                  <c:v>144</c:v>
                </c:pt>
                <c:pt idx="180">
                  <c:v>145</c:v>
                </c:pt>
                <c:pt idx="181">
                  <c:v>145</c:v>
                </c:pt>
                <c:pt idx="182">
                  <c:v>146</c:v>
                </c:pt>
                <c:pt idx="183">
                  <c:v>147</c:v>
                </c:pt>
                <c:pt idx="184">
                  <c:v>148</c:v>
                </c:pt>
                <c:pt idx="185">
                  <c:v>149</c:v>
                </c:pt>
                <c:pt idx="186">
                  <c:v>150</c:v>
                </c:pt>
                <c:pt idx="187">
                  <c:v>151</c:v>
                </c:pt>
                <c:pt idx="188">
                  <c:v>151</c:v>
                </c:pt>
                <c:pt idx="189">
                  <c:v>151</c:v>
                </c:pt>
                <c:pt idx="190">
                  <c:v>151</c:v>
                </c:pt>
                <c:pt idx="191">
                  <c:v>152</c:v>
                </c:pt>
                <c:pt idx="192">
                  <c:v>153</c:v>
                </c:pt>
                <c:pt idx="193">
                  <c:v>154</c:v>
                </c:pt>
                <c:pt idx="194">
                  <c:v>155</c:v>
                </c:pt>
                <c:pt idx="195">
                  <c:v>156</c:v>
                </c:pt>
                <c:pt idx="196">
                  <c:v>157</c:v>
                </c:pt>
                <c:pt idx="197">
                  <c:v>158</c:v>
                </c:pt>
                <c:pt idx="198">
                  <c:v>158</c:v>
                </c:pt>
                <c:pt idx="199">
                  <c:v>159</c:v>
                </c:pt>
                <c:pt idx="200">
                  <c:v>160</c:v>
                </c:pt>
                <c:pt idx="201">
                  <c:v>161</c:v>
                </c:pt>
                <c:pt idx="202">
                  <c:v>162</c:v>
                </c:pt>
                <c:pt idx="203">
                  <c:v>163</c:v>
                </c:pt>
                <c:pt idx="204">
                  <c:v>164</c:v>
                </c:pt>
                <c:pt idx="205">
                  <c:v>165</c:v>
                </c:pt>
                <c:pt idx="206">
                  <c:v>166</c:v>
                </c:pt>
                <c:pt idx="207">
                  <c:v>167</c:v>
                </c:pt>
                <c:pt idx="208">
                  <c:v>168</c:v>
                </c:pt>
                <c:pt idx="209">
                  <c:v>168</c:v>
                </c:pt>
                <c:pt idx="210">
                  <c:v>169</c:v>
                </c:pt>
                <c:pt idx="211">
                  <c:v>170</c:v>
                </c:pt>
                <c:pt idx="212">
                  <c:v>171</c:v>
                </c:pt>
                <c:pt idx="213">
                  <c:v>172</c:v>
                </c:pt>
                <c:pt idx="214">
                  <c:v>173</c:v>
                </c:pt>
                <c:pt idx="215">
                  <c:v>174</c:v>
                </c:pt>
                <c:pt idx="216">
                  <c:v>175</c:v>
                </c:pt>
                <c:pt idx="217">
                  <c:v>176</c:v>
                </c:pt>
                <c:pt idx="218">
                  <c:v>176</c:v>
                </c:pt>
                <c:pt idx="219">
                  <c:v>177</c:v>
                </c:pt>
                <c:pt idx="220">
                  <c:v>178</c:v>
                </c:pt>
                <c:pt idx="221">
                  <c:v>179</c:v>
                </c:pt>
                <c:pt idx="222">
                  <c:v>180</c:v>
                </c:pt>
                <c:pt idx="223">
                  <c:v>181</c:v>
                </c:pt>
                <c:pt idx="224">
                  <c:v>182</c:v>
                </c:pt>
                <c:pt idx="225">
                  <c:v>183</c:v>
                </c:pt>
                <c:pt idx="226">
                  <c:v>184</c:v>
                </c:pt>
                <c:pt idx="227">
                  <c:v>185</c:v>
                </c:pt>
                <c:pt idx="228">
                  <c:v>186</c:v>
                </c:pt>
                <c:pt idx="229">
                  <c:v>187</c:v>
                </c:pt>
                <c:pt idx="230">
                  <c:v>188</c:v>
                </c:pt>
                <c:pt idx="231">
                  <c:v>189</c:v>
                </c:pt>
                <c:pt idx="232">
                  <c:v>190</c:v>
                </c:pt>
                <c:pt idx="233">
                  <c:v>191</c:v>
                </c:pt>
                <c:pt idx="234">
                  <c:v>192</c:v>
                </c:pt>
                <c:pt idx="235">
                  <c:v>193</c:v>
                </c:pt>
                <c:pt idx="236">
                  <c:v>194</c:v>
                </c:pt>
                <c:pt idx="237">
                  <c:v>195</c:v>
                </c:pt>
                <c:pt idx="238">
                  <c:v>196</c:v>
                </c:pt>
                <c:pt idx="239">
                  <c:v>197</c:v>
                </c:pt>
                <c:pt idx="240">
                  <c:v>198</c:v>
                </c:pt>
                <c:pt idx="241">
                  <c:v>199</c:v>
                </c:pt>
                <c:pt idx="242">
                  <c:v>200</c:v>
                </c:pt>
                <c:pt idx="243">
                  <c:v>200</c:v>
                </c:pt>
                <c:pt idx="244">
                  <c:v>201</c:v>
                </c:pt>
                <c:pt idx="245">
                  <c:v>202</c:v>
                </c:pt>
                <c:pt idx="246">
                  <c:v>203</c:v>
                </c:pt>
                <c:pt idx="247">
                  <c:v>203</c:v>
                </c:pt>
                <c:pt idx="248">
                  <c:v>204</c:v>
                </c:pt>
                <c:pt idx="249">
                  <c:v>205</c:v>
                </c:pt>
                <c:pt idx="250">
                  <c:v>206</c:v>
                </c:pt>
                <c:pt idx="251">
                  <c:v>206</c:v>
                </c:pt>
                <c:pt idx="252">
                  <c:v>207</c:v>
                </c:pt>
                <c:pt idx="253">
                  <c:v>208</c:v>
                </c:pt>
                <c:pt idx="254">
                  <c:v>209</c:v>
                </c:pt>
                <c:pt idx="255">
                  <c:v>210</c:v>
                </c:pt>
                <c:pt idx="256">
                  <c:v>211</c:v>
                </c:pt>
                <c:pt idx="257">
                  <c:v>212</c:v>
                </c:pt>
                <c:pt idx="258">
                  <c:v>213</c:v>
                </c:pt>
                <c:pt idx="259">
                  <c:v>214</c:v>
                </c:pt>
                <c:pt idx="260">
                  <c:v>215</c:v>
                </c:pt>
                <c:pt idx="261">
                  <c:v>216</c:v>
                </c:pt>
                <c:pt idx="262">
                  <c:v>217</c:v>
                </c:pt>
                <c:pt idx="263">
                  <c:v>218</c:v>
                </c:pt>
                <c:pt idx="264">
                  <c:v>219</c:v>
                </c:pt>
                <c:pt idx="265">
                  <c:v>220</c:v>
                </c:pt>
                <c:pt idx="266">
                  <c:v>221</c:v>
                </c:pt>
                <c:pt idx="267">
                  <c:v>221</c:v>
                </c:pt>
                <c:pt idx="268">
                  <c:v>222</c:v>
                </c:pt>
                <c:pt idx="269">
                  <c:v>223</c:v>
                </c:pt>
                <c:pt idx="270">
                  <c:v>224</c:v>
                </c:pt>
                <c:pt idx="271">
                  <c:v>224</c:v>
                </c:pt>
                <c:pt idx="272">
                  <c:v>225</c:v>
                </c:pt>
                <c:pt idx="273">
                  <c:v>226</c:v>
                </c:pt>
                <c:pt idx="274">
                  <c:v>226</c:v>
                </c:pt>
                <c:pt idx="275">
                  <c:v>227</c:v>
                </c:pt>
                <c:pt idx="276">
                  <c:v>228</c:v>
                </c:pt>
                <c:pt idx="277">
                  <c:v>229</c:v>
                </c:pt>
                <c:pt idx="278">
                  <c:v>230</c:v>
                </c:pt>
                <c:pt idx="279">
                  <c:v>231</c:v>
                </c:pt>
                <c:pt idx="280">
                  <c:v>231</c:v>
                </c:pt>
                <c:pt idx="281">
                  <c:v>231</c:v>
                </c:pt>
                <c:pt idx="282">
                  <c:v>232</c:v>
                </c:pt>
                <c:pt idx="283">
                  <c:v>233</c:v>
                </c:pt>
                <c:pt idx="284">
                  <c:v>234</c:v>
                </c:pt>
                <c:pt idx="285">
                  <c:v>235</c:v>
                </c:pt>
                <c:pt idx="286">
                  <c:v>236</c:v>
                </c:pt>
                <c:pt idx="287">
                  <c:v>237</c:v>
                </c:pt>
                <c:pt idx="288">
                  <c:v>237</c:v>
                </c:pt>
                <c:pt idx="289">
                  <c:v>238</c:v>
                </c:pt>
                <c:pt idx="290">
                  <c:v>238</c:v>
                </c:pt>
                <c:pt idx="291">
                  <c:v>239</c:v>
                </c:pt>
                <c:pt idx="292">
                  <c:v>240</c:v>
                </c:pt>
                <c:pt idx="293">
                  <c:v>241</c:v>
                </c:pt>
                <c:pt idx="294">
                  <c:v>242</c:v>
                </c:pt>
                <c:pt idx="295">
                  <c:v>243</c:v>
                </c:pt>
                <c:pt idx="296">
                  <c:v>244</c:v>
                </c:pt>
                <c:pt idx="297">
                  <c:v>245</c:v>
                </c:pt>
                <c:pt idx="298">
                  <c:v>246</c:v>
                </c:pt>
                <c:pt idx="299">
                  <c:v>247</c:v>
                </c:pt>
                <c:pt idx="300">
                  <c:v>248</c:v>
                </c:pt>
                <c:pt idx="301">
                  <c:v>248</c:v>
                </c:pt>
                <c:pt idx="302">
                  <c:v>249</c:v>
                </c:pt>
                <c:pt idx="303">
                  <c:v>250</c:v>
                </c:pt>
                <c:pt idx="304">
                  <c:v>251</c:v>
                </c:pt>
                <c:pt idx="305">
                  <c:v>252</c:v>
                </c:pt>
                <c:pt idx="306">
                  <c:v>253</c:v>
                </c:pt>
                <c:pt idx="307">
                  <c:v>254</c:v>
                </c:pt>
                <c:pt idx="308">
                  <c:v>254</c:v>
                </c:pt>
                <c:pt idx="309">
                  <c:v>254</c:v>
                </c:pt>
                <c:pt idx="310">
                  <c:v>255</c:v>
                </c:pt>
                <c:pt idx="311">
                  <c:v>256</c:v>
                </c:pt>
                <c:pt idx="312">
                  <c:v>257</c:v>
                </c:pt>
                <c:pt idx="313">
                  <c:v>257</c:v>
                </c:pt>
                <c:pt idx="314">
                  <c:v>258</c:v>
                </c:pt>
                <c:pt idx="315">
                  <c:v>259</c:v>
                </c:pt>
                <c:pt idx="316">
                  <c:v>260</c:v>
                </c:pt>
                <c:pt idx="317">
                  <c:v>261</c:v>
                </c:pt>
                <c:pt idx="318">
                  <c:v>261</c:v>
                </c:pt>
                <c:pt idx="319">
                  <c:v>262</c:v>
                </c:pt>
                <c:pt idx="320">
                  <c:v>263</c:v>
                </c:pt>
                <c:pt idx="321">
                  <c:v>264</c:v>
                </c:pt>
                <c:pt idx="322">
                  <c:v>265</c:v>
                </c:pt>
                <c:pt idx="323">
                  <c:v>266</c:v>
                </c:pt>
                <c:pt idx="324">
                  <c:v>267</c:v>
                </c:pt>
                <c:pt idx="325">
                  <c:v>268</c:v>
                </c:pt>
                <c:pt idx="326">
                  <c:v>268</c:v>
                </c:pt>
                <c:pt idx="327">
                  <c:v>269</c:v>
                </c:pt>
                <c:pt idx="328">
                  <c:v>270</c:v>
                </c:pt>
                <c:pt idx="329">
                  <c:v>270</c:v>
                </c:pt>
                <c:pt idx="330">
                  <c:v>271</c:v>
                </c:pt>
                <c:pt idx="331">
                  <c:v>272</c:v>
                </c:pt>
                <c:pt idx="332">
                  <c:v>273</c:v>
                </c:pt>
                <c:pt idx="333">
                  <c:v>274</c:v>
                </c:pt>
                <c:pt idx="334">
                  <c:v>274</c:v>
                </c:pt>
                <c:pt idx="335">
                  <c:v>275</c:v>
                </c:pt>
                <c:pt idx="336">
                  <c:v>276</c:v>
                </c:pt>
                <c:pt idx="337">
                  <c:v>277</c:v>
                </c:pt>
                <c:pt idx="338">
                  <c:v>278</c:v>
                </c:pt>
                <c:pt idx="339">
                  <c:v>279</c:v>
                </c:pt>
                <c:pt idx="340">
                  <c:v>280</c:v>
                </c:pt>
                <c:pt idx="341">
                  <c:v>280</c:v>
                </c:pt>
                <c:pt idx="342">
                  <c:v>281</c:v>
                </c:pt>
                <c:pt idx="343">
                  <c:v>281</c:v>
                </c:pt>
                <c:pt idx="344">
                  <c:v>281</c:v>
                </c:pt>
                <c:pt idx="345">
                  <c:v>281</c:v>
                </c:pt>
                <c:pt idx="346">
                  <c:v>282</c:v>
                </c:pt>
                <c:pt idx="347">
                  <c:v>283</c:v>
                </c:pt>
                <c:pt idx="348">
                  <c:v>283</c:v>
                </c:pt>
                <c:pt idx="349">
                  <c:v>284</c:v>
                </c:pt>
                <c:pt idx="350">
                  <c:v>284</c:v>
                </c:pt>
                <c:pt idx="351">
                  <c:v>285</c:v>
                </c:pt>
                <c:pt idx="352">
                  <c:v>285</c:v>
                </c:pt>
                <c:pt idx="353">
                  <c:v>286</c:v>
                </c:pt>
                <c:pt idx="354">
                  <c:v>287</c:v>
                </c:pt>
                <c:pt idx="355">
                  <c:v>287</c:v>
                </c:pt>
                <c:pt idx="356">
                  <c:v>288</c:v>
                </c:pt>
                <c:pt idx="357">
                  <c:v>289</c:v>
                </c:pt>
                <c:pt idx="358">
                  <c:v>290</c:v>
                </c:pt>
                <c:pt idx="359">
                  <c:v>290</c:v>
                </c:pt>
                <c:pt idx="360">
                  <c:v>290</c:v>
                </c:pt>
                <c:pt idx="361">
                  <c:v>291</c:v>
                </c:pt>
                <c:pt idx="362">
                  <c:v>292</c:v>
                </c:pt>
                <c:pt idx="363">
                  <c:v>293</c:v>
                </c:pt>
                <c:pt idx="364">
                  <c:v>294</c:v>
                </c:pt>
                <c:pt idx="365">
                  <c:v>295</c:v>
                </c:pt>
                <c:pt idx="366">
                  <c:v>296</c:v>
                </c:pt>
                <c:pt idx="367">
                  <c:v>297</c:v>
                </c:pt>
                <c:pt idx="368">
                  <c:v>298</c:v>
                </c:pt>
                <c:pt idx="369">
                  <c:v>299</c:v>
                </c:pt>
                <c:pt idx="370">
                  <c:v>300</c:v>
                </c:pt>
                <c:pt idx="371">
                  <c:v>301</c:v>
                </c:pt>
                <c:pt idx="372">
                  <c:v>302</c:v>
                </c:pt>
                <c:pt idx="373">
                  <c:v>303</c:v>
                </c:pt>
                <c:pt idx="374">
                  <c:v>303</c:v>
                </c:pt>
                <c:pt idx="375">
                  <c:v>304</c:v>
                </c:pt>
                <c:pt idx="376">
                  <c:v>305</c:v>
                </c:pt>
                <c:pt idx="377">
                  <c:v>306</c:v>
                </c:pt>
                <c:pt idx="378">
                  <c:v>307</c:v>
                </c:pt>
                <c:pt idx="379">
                  <c:v>307</c:v>
                </c:pt>
                <c:pt idx="380">
                  <c:v>308</c:v>
                </c:pt>
                <c:pt idx="381">
                  <c:v>308</c:v>
                </c:pt>
                <c:pt idx="382">
                  <c:v>309</c:v>
                </c:pt>
                <c:pt idx="383">
                  <c:v>310</c:v>
                </c:pt>
                <c:pt idx="384">
                  <c:v>311</c:v>
                </c:pt>
                <c:pt idx="385">
                  <c:v>312</c:v>
                </c:pt>
                <c:pt idx="386">
                  <c:v>312</c:v>
                </c:pt>
                <c:pt idx="387">
                  <c:v>312</c:v>
                </c:pt>
                <c:pt idx="388">
                  <c:v>313</c:v>
                </c:pt>
                <c:pt idx="389">
                  <c:v>314</c:v>
                </c:pt>
                <c:pt idx="390">
                  <c:v>314</c:v>
                </c:pt>
                <c:pt idx="391">
                  <c:v>314</c:v>
                </c:pt>
                <c:pt idx="392">
                  <c:v>315</c:v>
                </c:pt>
                <c:pt idx="393">
                  <c:v>315</c:v>
                </c:pt>
                <c:pt idx="394">
                  <c:v>315</c:v>
                </c:pt>
                <c:pt idx="395">
                  <c:v>315</c:v>
                </c:pt>
                <c:pt idx="396">
                  <c:v>315</c:v>
                </c:pt>
                <c:pt idx="397">
                  <c:v>316</c:v>
                </c:pt>
                <c:pt idx="398">
                  <c:v>317</c:v>
                </c:pt>
                <c:pt idx="399">
                  <c:v>318</c:v>
                </c:pt>
                <c:pt idx="400">
                  <c:v>319</c:v>
                </c:pt>
                <c:pt idx="401">
                  <c:v>319</c:v>
                </c:pt>
                <c:pt idx="402">
                  <c:v>319</c:v>
                </c:pt>
                <c:pt idx="403">
                  <c:v>320</c:v>
                </c:pt>
                <c:pt idx="404">
                  <c:v>321</c:v>
                </c:pt>
                <c:pt idx="405">
                  <c:v>321</c:v>
                </c:pt>
                <c:pt idx="406">
                  <c:v>321</c:v>
                </c:pt>
                <c:pt idx="407">
                  <c:v>321</c:v>
                </c:pt>
                <c:pt idx="408">
                  <c:v>322</c:v>
                </c:pt>
                <c:pt idx="409">
                  <c:v>323</c:v>
                </c:pt>
                <c:pt idx="410">
                  <c:v>324</c:v>
                </c:pt>
                <c:pt idx="411">
                  <c:v>325</c:v>
                </c:pt>
                <c:pt idx="412">
                  <c:v>326</c:v>
                </c:pt>
                <c:pt idx="413">
                  <c:v>326</c:v>
                </c:pt>
                <c:pt idx="414">
                  <c:v>326</c:v>
                </c:pt>
                <c:pt idx="415">
                  <c:v>327</c:v>
                </c:pt>
                <c:pt idx="416">
                  <c:v>328</c:v>
                </c:pt>
                <c:pt idx="417">
                  <c:v>329</c:v>
                </c:pt>
                <c:pt idx="418">
                  <c:v>330</c:v>
                </c:pt>
                <c:pt idx="419">
                  <c:v>331</c:v>
                </c:pt>
                <c:pt idx="420">
                  <c:v>332</c:v>
                </c:pt>
                <c:pt idx="421">
                  <c:v>333</c:v>
                </c:pt>
                <c:pt idx="422">
                  <c:v>334</c:v>
                </c:pt>
                <c:pt idx="423">
                  <c:v>335</c:v>
                </c:pt>
                <c:pt idx="424">
                  <c:v>336</c:v>
                </c:pt>
                <c:pt idx="425">
                  <c:v>337</c:v>
                </c:pt>
                <c:pt idx="426">
                  <c:v>338</c:v>
                </c:pt>
                <c:pt idx="427">
                  <c:v>338</c:v>
                </c:pt>
                <c:pt idx="428">
                  <c:v>338</c:v>
                </c:pt>
                <c:pt idx="429">
                  <c:v>339</c:v>
                </c:pt>
                <c:pt idx="430">
                  <c:v>340</c:v>
                </c:pt>
                <c:pt idx="431">
                  <c:v>341</c:v>
                </c:pt>
                <c:pt idx="432">
                  <c:v>342</c:v>
                </c:pt>
                <c:pt idx="433">
                  <c:v>343</c:v>
                </c:pt>
                <c:pt idx="434">
                  <c:v>343</c:v>
                </c:pt>
                <c:pt idx="435">
                  <c:v>344</c:v>
                </c:pt>
                <c:pt idx="436">
                  <c:v>345</c:v>
                </c:pt>
                <c:pt idx="437">
                  <c:v>346</c:v>
                </c:pt>
                <c:pt idx="438">
                  <c:v>346</c:v>
                </c:pt>
                <c:pt idx="439">
                  <c:v>347</c:v>
                </c:pt>
                <c:pt idx="440">
                  <c:v>348</c:v>
                </c:pt>
                <c:pt idx="441">
                  <c:v>349</c:v>
                </c:pt>
                <c:pt idx="442">
                  <c:v>349</c:v>
                </c:pt>
                <c:pt idx="443">
                  <c:v>350</c:v>
                </c:pt>
                <c:pt idx="444">
                  <c:v>351</c:v>
                </c:pt>
                <c:pt idx="445">
                  <c:v>352</c:v>
                </c:pt>
                <c:pt idx="446">
                  <c:v>353</c:v>
                </c:pt>
                <c:pt idx="447">
                  <c:v>354</c:v>
                </c:pt>
                <c:pt idx="448">
                  <c:v>355</c:v>
                </c:pt>
                <c:pt idx="449">
                  <c:v>356</c:v>
                </c:pt>
                <c:pt idx="450">
                  <c:v>357</c:v>
                </c:pt>
                <c:pt idx="451">
                  <c:v>357</c:v>
                </c:pt>
                <c:pt idx="452">
                  <c:v>358</c:v>
                </c:pt>
                <c:pt idx="453">
                  <c:v>359</c:v>
                </c:pt>
                <c:pt idx="454">
                  <c:v>360</c:v>
                </c:pt>
                <c:pt idx="455">
                  <c:v>360</c:v>
                </c:pt>
                <c:pt idx="456">
                  <c:v>360</c:v>
                </c:pt>
                <c:pt idx="457">
                  <c:v>361</c:v>
                </c:pt>
                <c:pt idx="458">
                  <c:v>362</c:v>
                </c:pt>
                <c:pt idx="459">
                  <c:v>363</c:v>
                </c:pt>
                <c:pt idx="460">
                  <c:v>364</c:v>
                </c:pt>
                <c:pt idx="461">
                  <c:v>364</c:v>
                </c:pt>
                <c:pt idx="462">
                  <c:v>365</c:v>
                </c:pt>
                <c:pt idx="463">
                  <c:v>365</c:v>
                </c:pt>
                <c:pt idx="464">
                  <c:v>366</c:v>
                </c:pt>
                <c:pt idx="465">
                  <c:v>366</c:v>
                </c:pt>
                <c:pt idx="466">
                  <c:v>367</c:v>
                </c:pt>
                <c:pt idx="467">
                  <c:v>368</c:v>
                </c:pt>
                <c:pt idx="468">
                  <c:v>368</c:v>
                </c:pt>
                <c:pt idx="469">
                  <c:v>369</c:v>
                </c:pt>
                <c:pt idx="470">
                  <c:v>370</c:v>
                </c:pt>
                <c:pt idx="471">
                  <c:v>370</c:v>
                </c:pt>
                <c:pt idx="472">
                  <c:v>371</c:v>
                </c:pt>
                <c:pt idx="473">
                  <c:v>372</c:v>
                </c:pt>
                <c:pt idx="474">
                  <c:v>372</c:v>
                </c:pt>
                <c:pt idx="475">
                  <c:v>372</c:v>
                </c:pt>
                <c:pt idx="476">
                  <c:v>373</c:v>
                </c:pt>
                <c:pt idx="477">
                  <c:v>373</c:v>
                </c:pt>
                <c:pt idx="478">
                  <c:v>374</c:v>
                </c:pt>
                <c:pt idx="479">
                  <c:v>375</c:v>
                </c:pt>
                <c:pt idx="480">
                  <c:v>376</c:v>
                </c:pt>
                <c:pt idx="481">
                  <c:v>377</c:v>
                </c:pt>
                <c:pt idx="482">
                  <c:v>377</c:v>
                </c:pt>
                <c:pt idx="483">
                  <c:v>378</c:v>
                </c:pt>
                <c:pt idx="484">
                  <c:v>379</c:v>
                </c:pt>
                <c:pt idx="485">
                  <c:v>380</c:v>
                </c:pt>
                <c:pt idx="486">
                  <c:v>381</c:v>
                </c:pt>
                <c:pt idx="487">
                  <c:v>382</c:v>
                </c:pt>
                <c:pt idx="488">
                  <c:v>382</c:v>
                </c:pt>
                <c:pt idx="489">
                  <c:v>383</c:v>
                </c:pt>
                <c:pt idx="490">
                  <c:v>384</c:v>
                </c:pt>
                <c:pt idx="491">
                  <c:v>385</c:v>
                </c:pt>
                <c:pt idx="492">
                  <c:v>385</c:v>
                </c:pt>
                <c:pt idx="493">
                  <c:v>385</c:v>
                </c:pt>
                <c:pt idx="494">
                  <c:v>386</c:v>
                </c:pt>
                <c:pt idx="495">
                  <c:v>387</c:v>
                </c:pt>
                <c:pt idx="496">
                  <c:v>388</c:v>
                </c:pt>
                <c:pt idx="497">
                  <c:v>389</c:v>
                </c:pt>
                <c:pt idx="498">
                  <c:v>390</c:v>
                </c:pt>
                <c:pt idx="499">
                  <c:v>390</c:v>
                </c:pt>
                <c:pt idx="500">
                  <c:v>391</c:v>
                </c:pt>
                <c:pt idx="501">
                  <c:v>392</c:v>
                </c:pt>
                <c:pt idx="502">
                  <c:v>393</c:v>
                </c:pt>
                <c:pt idx="503">
                  <c:v>394</c:v>
                </c:pt>
                <c:pt idx="504">
                  <c:v>395</c:v>
                </c:pt>
                <c:pt idx="505">
                  <c:v>396</c:v>
                </c:pt>
                <c:pt idx="506">
                  <c:v>397</c:v>
                </c:pt>
                <c:pt idx="507">
                  <c:v>398</c:v>
                </c:pt>
                <c:pt idx="508">
                  <c:v>399</c:v>
                </c:pt>
                <c:pt idx="509">
                  <c:v>400</c:v>
                </c:pt>
                <c:pt idx="510">
                  <c:v>401</c:v>
                </c:pt>
                <c:pt idx="511">
                  <c:v>401</c:v>
                </c:pt>
                <c:pt idx="512">
                  <c:v>402</c:v>
                </c:pt>
                <c:pt idx="513">
                  <c:v>403</c:v>
                </c:pt>
                <c:pt idx="514">
                  <c:v>404</c:v>
                </c:pt>
                <c:pt idx="515">
                  <c:v>405</c:v>
                </c:pt>
                <c:pt idx="516">
                  <c:v>406</c:v>
                </c:pt>
                <c:pt idx="517">
                  <c:v>406</c:v>
                </c:pt>
                <c:pt idx="518">
                  <c:v>407</c:v>
                </c:pt>
                <c:pt idx="519">
                  <c:v>408</c:v>
                </c:pt>
                <c:pt idx="520">
                  <c:v>409</c:v>
                </c:pt>
                <c:pt idx="521">
                  <c:v>410</c:v>
                </c:pt>
                <c:pt idx="522">
                  <c:v>410</c:v>
                </c:pt>
                <c:pt idx="523">
                  <c:v>411</c:v>
                </c:pt>
                <c:pt idx="524">
                  <c:v>412</c:v>
                </c:pt>
                <c:pt idx="525">
                  <c:v>413</c:v>
                </c:pt>
                <c:pt idx="526">
                  <c:v>413</c:v>
                </c:pt>
                <c:pt idx="527">
                  <c:v>413</c:v>
                </c:pt>
                <c:pt idx="528">
                  <c:v>414</c:v>
                </c:pt>
                <c:pt idx="529">
                  <c:v>415</c:v>
                </c:pt>
                <c:pt idx="530">
                  <c:v>417</c:v>
                </c:pt>
                <c:pt idx="531">
                  <c:v>418</c:v>
                </c:pt>
              </c:numCache>
            </c:numRef>
          </c:val>
          <c:smooth val="0"/>
          <c:extLst>
            <c:ext xmlns:c16="http://schemas.microsoft.com/office/drawing/2014/chart" uri="{C3380CC4-5D6E-409C-BE32-E72D297353CC}">
              <c16:uniqueId val="{00000005-E375-4AF9-BB6A-A3C2377400CB}"/>
            </c:ext>
          </c:extLst>
        </c:ser>
        <c:dLbls>
          <c:showLegendKey val="0"/>
          <c:showVal val="0"/>
          <c:showCatName val="0"/>
          <c:showSerName val="0"/>
          <c:showPercent val="0"/>
          <c:showBubbleSize val="0"/>
        </c:dLbls>
        <c:smooth val="0"/>
        <c:axId val="2054183088"/>
        <c:axId val="2054185168"/>
      </c:lineChart>
      <c:dateAx>
        <c:axId val="2054183088"/>
        <c:scaling>
          <c:orientation val="minMax"/>
        </c:scaling>
        <c:delete val="1"/>
        <c:axPos val="b"/>
        <c:numFmt formatCode="m/d/yyyy" sourceLinked="1"/>
        <c:majorTickMark val="out"/>
        <c:minorTickMark val="none"/>
        <c:tickLblPos val="nextTo"/>
        <c:crossAx val="2054185168"/>
        <c:crosses val="autoZero"/>
        <c:auto val="1"/>
        <c:lblOffset val="100"/>
        <c:baseTimeUnit val="days"/>
      </c:dateAx>
      <c:valAx>
        <c:axId val="20541851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54183088"/>
        <c:crosses val="autoZero"/>
        <c:crossBetween val="between"/>
        <c:min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de-CH" b="1"/>
              <a:t>From  Zero to Hero - The MSO/MST</a:t>
            </a:r>
            <a:r>
              <a:rPr lang="de-CH" b="1" baseline="0"/>
              <a:t> Success Story: Lead to best DF-Member</a:t>
            </a:r>
            <a:endParaRPr lang="de-CH" b="1"/>
          </a:p>
        </c:rich>
      </c:tx>
      <c:layout>
        <c:manualLayout>
          <c:xMode val="edge"/>
          <c:yMode val="edge"/>
          <c:x val="0.22557578528779187"/>
          <c:y val="2.240713482973171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lineChart>
        <c:grouping val="standard"/>
        <c:varyColors val="0"/>
        <c:ser>
          <c:idx val="0"/>
          <c:order val="0"/>
          <c:spPr>
            <a:ln w="28575" cap="rnd">
              <a:solidFill>
                <a:schemeClr val="accent1"/>
              </a:solidFill>
              <a:round/>
            </a:ln>
            <a:effectLst/>
          </c:spPr>
          <c:marker>
            <c:symbol val="none"/>
          </c:marker>
          <c:cat>
            <c:numRef>
              <c:f>Participation!$K$2:$K$533</c:f>
              <c:numCache>
                <c:formatCode>m/d/yyyy</c:formatCode>
                <c:ptCount val="532"/>
                <c:pt idx="0">
                  <c:v>42475</c:v>
                </c:pt>
                <c:pt idx="1">
                  <c:v>42482</c:v>
                </c:pt>
                <c:pt idx="2">
                  <c:v>42489</c:v>
                </c:pt>
                <c:pt idx="3">
                  <c:v>42496</c:v>
                </c:pt>
                <c:pt idx="4">
                  <c:v>42503</c:v>
                </c:pt>
                <c:pt idx="5">
                  <c:v>42510</c:v>
                </c:pt>
                <c:pt idx="6">
                  <c:v>42517</c:v>
                </c:pt>
                <c:pt idx="7">
                  <c:v>42524</c:v>
                </c:pt>
                <c:pt idx="8">
                  <c:v>42531</c:v>
                </c:pt>
                <c:pt idx="9">
                  <c:v>42538</c:v>
                </c:pt>
                <c:pt idx="10">
                  <c:v>42545</c:v>
                </c:pt>
                <c:pt idx="11">
                  <c:v>42552</c:v>
                </c:pt>
                <c:pt idx="12">
                  <c:v>42559</c:v>
                </c:pt>
                <c:pt idx="13">
                  <c:v>42566</c:v>
                </c:pt>
                <c:pt idx="14">
                  <c:v>42573</c:v>
                </c:pt>
                <c:pt idx="15">
                  <c:v>42580</c:v>
                </c:pt>
                <c:pt idx="16">
                  <c:v>42587</c:v>
                </c:pt>
                <c:pt idx="17">
                  <c:v>42594</c:v>
                </c:pt>
                <c:pt idx="18">
                  <c:v>42601</c:v>
                </c:pt>
                <c:pt idx="19">
                  <c:v>42608</c:v>
                </c:pt>
                <c:pt idx="20">
                  <c:v>42615</c:v>
                </c:pt>
                <c:pt idx="21">
                  <c:v>42622</c:v>
                </c:pt>
                <c:pt idx="22">
                  <c:v>42629</c:v>
                </c:pt>
                <c:pt idx="23">
                  <c:v>42636</c:v>
                </c:pt>
                <c:pt idx="24">
                  <c:v>42643</c:v>
                </c:pt>
                <c:pt idx="25">
                  <c:v>42650</c:v>
                </c:pt>
                <c:pt idx="26">
                  <c:v>42657</c:v>
                </c:pt>
                <c:pt idx="27">
                  <c:v>42664</c:v>
                </c:pt>
                <c:pt idx="28">
                  <c:v>42671</c:v>
                </c:pt>
                <c:pt idx="29">
                  <c:v>42678</c:v>
                </c:pt>
                <c:pt idx="30">
                  <c:v>42685</c:v>
                </c:pt>
                <c:pt idx="31">
                  <c:v>42692</c:v>
                </c:pt>
                <c:pt idx="32">
                  <c:v>42699</c:v>
                </c:pt>
                <c:pt idx="33">
                  <c:v>42706</c:v>
                </c:pt>
                <c:pt idx="34">
                  <c:v>42713</c:v>
                </c:pt>
                <c:pt idx="35">
                  <c:v>42720</c:v>
                </c:pt>
                <c:pt idx="36">
                  <c:v>42727</c:v>
                </c:pt>
                <c:pt idx="37">
                  <c:v>42734</c:v>
                </c:pt>
                <c:pt idx="38">
                  <c:v>42741</c:v>
                </c:pt>
                <c:pt idx="39">
                  <c:v>42748</c:v>
                </c:pt>
                <c:pt idx="40">
                  <c:v>42755</c:v>
                </c:pt>
                <c:pt idx="41">
                  <c:v>42762</c:v>
                </c:pt>
                <c:pt idx="42">
                  <c:v>42769</c:v>
                </c:pt>
                <c:pt idx="43">
                  <c:v>42776</c:v>
                </c:pt>
                <c:pt idx="44">
                  <c:v>42783</c:v>
                </c:pt>
                <c:pt idx="45">
                  <c:v>42790</c:v>
                </c:pt>
                <c:pt idx="46">
                  <c:v>42797</c:v>
                </c:pt>
                <c:pt idx="47">
                  <c:v>42804</c:v>
                </c:pt>
                <c:pt idx="48">
                  <c:v>42811</c:v>
                </c:pt>
                <c:pt idx="49">
                  <c:v>42818</c:v>
                </c:pt>
                <c:pt idx="50">
                  <c:v>42825</c:v>
                </c:pt>
                <c:pt idx="51">
                  <c:v>42832</c:v>
                </c:pt>
                <c:pt idx="52">
                  <c:v>42846</c:v>
                </c:pt>
                <c:pt idx="53">
                  <c:v>42853</c:v>
                </c:pt>
                <c:pt idx="54">
                  <c:v>42860</c:v>
                </c:pt>
                <c:pt idx="55">
                  <c:v>42867</c:v>
                </c:pt>
                <c:pt idx="56">
                  <c:v>42874</c:v>
                </c:pt>
                <c:pt idx="57">
                  <c:v>42881</c:v>
                </c:pt>
                <c:pt idx="58">
                  <c:v>42888</c:v>
                </c:pt>
                <c:pt idx="59">
                  <c:v>42895</c:v>
                </c:pt>
                <c:pt idx="60">
                  <c:v>42902</c:v>
                </c:pt>
                <c:pt idx="61">
                  <c:v>42909</c:v>
                </c:pt>
                <c:pt idx="62">
                  <c:v>42916</c:v>
                </c:pt>
                <c:pt idx="63">
                  <c:v>42923</c:v>
                </c:pt>
                <c:pt idx="64">
                  <c:v>42930</c:v>
                </c:pt>
                <c:pt idx="65">
                  <c:v>42937</c:v>
                </c:pt>
                <c:pt idx="66">
                  <c:v>42944</c:v>
                </c:pt>
                <c:pt idx="67">
                  <c:v>42951</c:v>
                </c:pt>
                <c:pt idx="68">
                  <c:v>42958</c:v>
                </c:pt>
                <c:pt idx="69">
                  <c:v>42965</c:v>
                </c:pt>
                <c:pt idx="70">
                  <c:v>42972</c:v>
                </c:pt>
                <c:pt idx="71">
                  <c:v>42979</c:v>
                </c:pt>
                <c:pt idx="72">
                  <c:v>42986</c:v>
                </c:pt>
                <c:pt idx="73">
                  <c:v>42993</c:v>
                </c:pt>
                <c:pt idx="74">
                  <c:v>43000</c:v>
                </c:pt>
                <c:pt idx="75">
                  <c:v>43007</c:v>
                </c:pt>
                <c:pt idx="76">
                  <c:v>43014</c:v>
                </c:pt>
                <c:pt idx="77">
                  <c:v>43021</c:v>
                </c:pt>
                <c:pt idx="78">
                  <c:v>43028</c:v>
                </c:pt>
                <c:pt idx="79">
                  <c:v>43035</c:v>
                </c:pt>
                <c:pt idx="80">
                  <c:v>43042</c:v>
                </c:pt>
                <c:pt idx="81">
                  <c:v>43049</c:v>
                </c:pt>
                <c:pt idx="82">
                  <c:v>43056</c:v>
                </c:pt>
                <c:pt idx="83">
                  <c:v>43063</c:v>
                </c:pt>
                <c:pt idx="84">
                  <c:v>43070</c:v>
                </c:pt>
                <c:pt idx="85">
                  <c:v>43077</c:v>
                </c:pt>
                <c:pt idx="86">
                  <c:v>43084</c:v>
                </c:pt>
                <c:pt idx="87">
                  <c:v>43091</c:v>
                </c:pt>
                <c:pt idx="88">
                  <c:v>43098</c:v>
                </c:pt>
                <c:pt idx="89">
                  <c:v>43105</c:v>
                </c:pt>
                <c:pt idx="90">
                  <c:v>43112</c:v>
                </c:pt>
                <c:pt idx="91">
                  <c:v>43119</c:v>
                </c:pt>
                <c:pt idx="92">
                  <c:v>43126</c:v>
                </c:pt>
                <c:pt idx="93">
                  <c:v>43133</c:v>
                </c:pt>
                <c:pt idx="94">
                  <c:v>43140</c:v>
                </c:pt>
                <c:pt idx="95">
                  <c:v>43147</c:v>
                </c:pt>
                <c:pt idx="96">
                  <c:v>43154</c:v>
                </c:pt>
                <c:pt idx="97">
                  <c:v>43161</c:v>
                </c:pt>
                <c:pt idx="98">
                  <c:v>43168</c:v>
                </c:pt>
                <c:pt idx="99">
                  <c:v>43175</c:v>
                </c:pt>
                <c:pt idx="100">
                  <c:v>43182</c:v>
                </c:pt>
                <c:pt idx="101">
                  <c:v>43196</c:v>
                </c:pt>
                <c:pt idx="102">
                  <c:v>43203</c:v>
                </c:pt>
                <c:pt idx="103">
                  <c:v>43210</c:v>
                </c:pt>
                <c:pt idx="104">
                  <c:v>43217</c:v>
                </c:pt>
                <c:pt idx="105">
                  <c:v>43224</c:v>
                </c:pt>
                <c:pt idx="106">
                  <c:v>43231</c:v>
                </c:pt>
                <c:pt idx="107">
                  <c:v>43238</c:v>
                </c:pt>
                <c:pt idx="108">
                  <c:v>43245</c:v>
                </c:pt>
                <c:pt idx="109">
                  <c:v>43252</c:v>
                </c:pt>
                <c:pt idx="110">
                  <c:v>43259</c:v>
                </c:pt>
                <c:pt idx="111">
                  <c:v>43266</c:v>
                </c:pt>
                <c:pt idx="112">
                  <c:v>43273</c:v>
                </c:pt>
                <c:pt idx="113">
                  <c:v>43280</c:v>
                </c:pt>
                <c:pt idx="114">
                  <c:v>43287</c:v>
                </c:pt>
                <c:pt idx="115">
                  <c:v>43294</c:v>
                </c:pt>
                <c:pt idx="116">
                  <c:v>43301</c:v>
                </c:pt>
                <c:pt idx="117">
                  <c:v>43308</c:v>
                </c:pt>
                <c:pt idx="118">
                  <c:v>43315</c:v>
                </c:pt>
                <c:pt idx="119">
                  <c:v>43322</c:v>
                </c:pt>
                <c:pt idx="120">
                  <c:v>43329</c:v>
                </c:pt>
                <c:pt idx="121">
                  <c:v>43336</c:v>
                </c:pt>
                <c:pt idx="122">
                  <c:v>43343</c:v>
                </c:pt>
                <c:pt idx="123">
                  <c:v>43350</c:v>
                </c:pt>
                <c:pt idx="124">
                  <c:v>43357</c:v>
                </c:pt>
                <c:pt idx="125">
                  <c:v>43364</c:v>
                </c:pt>
                <c:pt idx="126">
                  <c:v>43371</c:v>
                </c:pt>
                <c:pt idx="127">
                  <c:v>43378</c:v>
                </c:pt>
                <c:pt idx="128">
                  <c:v>43385</c:v>
                </c:pt>
                <c:pt idx="129">
                  <c:v>43392</c:v>
                </c:pt>
                <c:pt idx="130">
                  <c:v>43399</c:v>
                </c:pt>
                <c:pt idx="131">
                  <c:v>43406</c:v>
                </c:pt>
                <c:pt idx="132">
                  <c:v>43413</c:v>
                </c:pt>
                <c:pt idx="133">
                  <c:v>43420</c:v>
                </c:pt>
                <c:pt idx="134">
                  <c:v>43427</c:v>
                </c:pt>
                <c:pt idx="135">
                  <c:v>43434</c:v>
                </c:pt>
                <c:pt idx="136">
                  <c:v>43441</c:v>
                </c:pt>
                <c:pt idx="137">
                  <c:v>43448</c:v>
                </c:pt>
                <c:pt idx="138">
                  <c:v>43455</c:v>
                </c:pt>
                <c:pt idx="139">
                  <c:v>43462</c:v>
                </c:pt>
                <c:pt idx="140">
                  <c:v>43469</c:v>
                </c:pt>
                <c:pt idx="141">
                  <c:v>43476</c:v>
                </c:pt>
                <c:pt idx="142">
                  <c:v>43483</c:v>
                </c:pt>
                <c:pt idx="143">
                  <c:v>43490</c:v>
                </c:pt>
                <c:pt idx="144">
                  <c:v>43497</c:v>
                </c:pt>
                <c:pt idx="145">
                  <c:v>43504</c:v>
                </c:pt>
                <c:pt idx="146">
                  <c:v>43511</c:v>
                </c:pt>
                <c:pt idx="147">
                  <c:v>43518</c:v>
                </c:pt>
                <c:pt idx="148">
                  <c:v>43525</c:v>
                </c:pt>
                <c:pt idx="149">
                  <c:v>43532</c:v>
                </c:pt>
                <c:pt idx="150">
                  <c:v>43539</c:v>
                </c:pt>
                <c:pt idx="151">
                  <c:v>43546</c:v>
                </c:pt>
                <c:pt idx="152">
                  <c:v>43553</c:v>
                </c:pt>
                <c:pt idx="153">
                  <c:v>43560</c:v>
                </c:pt>
                <c:pt idx="154">
                  <c:v>43567</c:v>
                </c:pt>
                <c:pt idx="155">
                  <c:v>43581</c:v>
                </c:pt>
                <c:pt idx="156">
                  <c:v>43588</c:v>
                </c:pt>
                <c:pt idx="157">
                  <c:v>43595</c:v>
                </c:pt>
                <c:pt idx="158">
                  <c:v>43602</c:v>
                </c:pt>
                <c:pt idx="159">
                  <c:v>43609</c:v>
                </c:pt>
                <c:pt idx="160">
                  <c:v>43616</c:v>
                </c:pt>
                <c:pt idx="161">
                  <c:v>43623</c:v>
                </c:pt>
                <c:pt idx="162">
                  <c:v>43630</c:v>
                </c:pt>
                <c:pt idx="163">
                  <c:v>43637</c:v>
                </c:pt>
                <c:pt idx="164">
                  <c:v>43644</c:v>
                </c:pt>
                <c:pt idx="165">
                  <c:v>43651</c:v>
                </c:pt>
                <c:pt idx="166">
                  <c:v>43658</c:v>
                </c:pt>
                <c:pt idx="167">
                  <c:v>43665</c:v>
                </c:pt>
                <c:pt idx="168">
                  <c:v>43672</c:v>
                </c:pt>
                <c:pt idx="169">
                  <c:v>43679</c:v>
                </c:pt>
                <c:pt idx="170">
                  <c:v>43686</c:v>
                </c:pt>
                <c:pt idx="171">
                  <c:v>43693</c:v>
                </c:pt>
                <c:pt idx="172">
                  <c:v>43700</c:v>
                </c:pt>
                <c:pt idx="173">
                  <c:v>43707</c:v>
                </c:pt>
                <c:pt idx="174">
                  <c:v>43714</c:v>
                </c:pt>
                <c:pt idx="175">
                  <c:v>43721</c:v>
                </c:pt>
                <c:pt idx="176">
                  <c:v>43728</c:v>
                </c:pt>
                <c:pt idx="177">
                  <c:v>43735</c:v>
                </c:pt>
                <c:pt idx="178">
                  <c:v>43742</c:v>
                </c:pt>
                <c:pt idx="179">
                  <c:v>43749</c:v>
                </c:pt>
                <c:pt idx="180">
                  <c:v>43756</c:v>
                </c:pt>
                <c:pt idx="181">
                  <c:v>43763</c:v>
                </c:pt>
                <c:pt idx="182">
                  <c:v>43770</c:v>
                </c:pt>
                <c:pt idx="183">
                  <c:v>43777</c:v>
                </c:pt>
                <c:pt idx="184">
                  <c:v>43784</c:v>
                </c:pt>
                <c:pt idx="185">
                  <c:v>43791</c:v>
                </c:pt>
                <c:pt idx="186">
                  <c:v>43798</c:v>
                </c:pt>
                <c:pt idx="187">
                  <c:v>43805</c:v>
                </c:pt>
                <c:pt idx="188">
                  <c:v>43812</c:v>
                </c:pt>
                <c:pt idx="189">
                  <c:v>43819</c:v>
                </c:pt>
                <c:pt idx="190">
                  <c:v>43826</c:v>
                </c:pt>
                <c:pt idx="191">
                  <c:v>43833</c:v>
                </c:pt>
                <c:pt idx="192">
                  <c:v>43840</c:v>
                </c:pt>
                <c:pt idx="193">
                  <c:v>43854</c:v>
                </c:pt>
                <c:pt idx="194">
                  <c:v>43861</c:v>
                </c:pt>
                <c:pt idx="195">
                  <c:v>43868</c:v>
                </c:pt>
                <c:pt idx="196">
                  <c:v>43875</c:v>
                </c:pt>
                <c:pt idx="197">
                  <c:v>43882</c:v>
                </c:pt>
                <c:pt idx="198">
                  <c:v>43889</c:v>
                </c:pt>
                <c:pt idx="199">
                  <c:v>43896</c:v>
                </c:pt>
                <c:pt idx="200">
                  <c:v>43903</c:v>
                </c:pt>
                <c:pt idx="201">
                  <c:v>43910</c:v>
                </c:pt>
                <c:pt idx="202">
                  <c:v>43917</c:v>
                </c:pt>
                <c:pt idx="203">
                  <c:v>43924</c:v>
                </c:pt>
                <c:pt idx="204">
                  <c:v>43938</c:v>
                </c:pt>
                <c:pt idx="205">
                  <c:v>43945</c:v>
                </c:pt>
                <c:pt idx="206">
                  <c:v>43952</c:v>
                </c:pt>
                <c:pt idx="207">
                  <c:v>43959</c:v>
                </c:pt>
                <c:pt idx="208">
                  <c:v>43966</c:v>
                </c:pt>
                <c:pt idx="209">
                  <c:v>43973</c:v>
                </c:pt>
                <c:pt idx="210">
                  <c:v>43980</c:v>
                </c:pt>
                <c:pt idx="211">
                  <c:v>43987</c:v>
                </c:pt>
                <c:pt idx="212">
                  <c:v>43994</c:v>
                </c:pt>
                <c:pt idx="213">
                  <c:v>44001</c:v>
                </c:pt>
                <c:pt idx="214">
                  <c:v>44008</c:v>
                </c:pt>
                <c:pt idx="215">
                  <c:v>44015</c:v>
                </c:pt>
                <c:pt idx="216">
                  <c:v>44022</c:v>
                </c:pt>
                <c:pt idx="217">
                  <c:v>44029</c:v>
                </c:pt>
                <c:pt idx="218">
                  <c:v>44036</c:v>
                </c:pt>
                <c:pt idx="219">
                  <c:v>44043</c:v>
                </c:pt>
                <c:pt idx="220">
                  <c:v>44050</c:v>
                </c:pt>
                <c:pt idx="221">
                  <c:v>44057</c:v>
                </c:pt>
                <c:pt idx="222">
                  <c:v>44064</c:v>
                </c:pt>
                <c:pt idx="223">
                  <c:v>44071</c:v>
                </c:pt>
                <c:pt idx="224">
                  <c:v>44078</c:v>
                </c:pt>
                <c:pt idx="225">
                  <c:v>44085</c:v>
                </c:pt>
                <c:pt idx="226">
                  <c:v>44092</c:v>
                </c:pt>
                <c:pt idx="227">
                  <c:v>44099</c:v>
                </c:pt>
                <c:pt idx="228">
                  <c:v>44106</c:v>
                </c:pt>
                <c:pt idx="229">
                  <c:v>44113</c:v>
                </c:pt>
                <c:pt idx="230">
                  <c:v>44120</c:v>
                </c:pt>
                <c:pt idx="231">
                  <c:v>44127</c:v>
                </c:pt>
                <c:pt idx="232">
                  <c:v>44134</c:v>
                </c:pt>
                <c:pt idx="233">
                  <c:v>44141</c:v>
                </c:pt>
                <c:pt idx="234">
                  <c:v>44148</c:v>
                </c:pt>
                <c:pt idx="235">
                  <c:v>44155</c:v>
                </c:pt>
                <c:pt idx="236">
                  <c:v>44162</c:v>
                </c:pt>
                <c:pt idx="237">
                  <c:v>44169</c:v>
                </c:pt>
                <c:pt idx="238">
                  <c:v>44176</c:v>
                </c:pt>
                <c:pt idx="239">
                  <c:v>44183</c:v>
                </c:pt>
                <c:pt idx="240">
                  <c:v>44204</c:v>
                </c:pt>
                <c:pt idx="241">
                  <c:v>44211</c:v>
                </c:pt>
                <c:pt idx="242">
                  <c:v>44218</c:v>
                </c:pt>
                <c:pt idx="243">
                  <c:v>44225</c:v>
                </c:pt>
                <c:pt idx="244">
                  <c:v>44232</c:v>
                </c:pt>
                <c:pt idx="245">
                  <c:v>44239</c:v>
                </c:pt>
                <c:pt idx="246">
                  <c:v>44246</c:v>
                </c:pt>
                <c:pt idx="247">
                  <c:v>44253</c:v>
                </c:pt>
                <c:pt idx="248">
                  <c:v>44260</c:v>
                </c:pt>
                <c:pt idx="249">
                  <c:v>44267</c:v>
                </c:pt>
                <c:pt idx="250">
                  <c:v>44274</c:v>
                </c:pt>
                <c:pt idx="251">
                  <c:v>44281</c:v>
                </c:pt>
                <c:pt idx="252">
                  <c:v>44295</c:v>
                </c:pt>
                <c:pt idx="253">
                  <c:v>44302</c:v>
                </c:pt>
                <c:pt idx="254">
                  <c:v>44309</c:v>
                </c:pt>
                <c:pt idx="255">
                  <c:v>44316</c:v>
                </c:pt>
                <c:pt idx="256">
                  <c:v>44323</c:v>
                </c:pt>
                <c:pt idx="257">
                  <c:v>44330</c:v>
                </c:pt>
                <c:pt idx="258">
                  <c:v>44337</c:v>
                </c:pt>
                <c:pt idx="259">
                  <c:v>44344</c:v>
                </c:pt>
                <c:pt idx="260">
                  <c:v>44351</c:v>
                </c:pt>
                <c:pt idx="261">
                  <c:v>44358</c:v>
                </c:pt>
                <c:pt idx="262">
                  <c:v>44365</c:v>
                </c:pt>
                <c:pt idx="263">
                  <c:v>44372</c:v>
                </c:pt>
                <c:pt idx="264">
                  <c:v>44379</c:v>
                </c:pt>
                <c:pt idx="265">
                  <c:v>44386</c:v>
                </c:pt>
                <c:pt idx="266">
                  <c:v>44393</c:v>
                </c:pt>
                <c:pt idx="267">
                  <c:v>44400</c:v>
                </c:pt>
                <c:pt idx="268">
                  <c:v>44407</c:v>
                </c:pt>
                <c:pt idx="269">
                  <c:v>44414</c:v>
                </c:pt>
                <c:pt idx="270">
                  <c:v>44421</c:v>
                </c:pt>
                <c:pt idx="271">
                  <c:v>44428</c:v>
                </c:pt>
                <c:pt idx="272">
                  <c:v>44435</c:v>
                </c:pt>
                <c:pt idx="273">
                  <c:v>44442</c:v>
                </c:pt>
                <c:pt idx="274">
                  <c:v>44449</c:v>
                </c:pt>
                <c:pt idx="275">
                  <c:v>44456</c:v>
                </c:pt>
                <c:pt idx="276">
                  <c:v>44463</c:v>
                </c:pt>
                <c:pt idx="277">
                  <c:v>44470</c:v>
                </c:pt>
                <c:pt idx="278">
                  <c:v>44477</c:v>
                </c:pt>
                <c:pt idx="279">
                  <c:v>44484</c:v>
                </c:pt>
                <c:pt idx="280">
                  <c:v>44491</c:v>
                </c:pt>
                <c:pt idx="281">
                  <c:v>44498</c:v>
                </c:pt>
                <c:pt idx="282">
                  <c:v>44505</c:v>
                </c:pt>
                <c:pt idx="283">
                  <c:v>44512</c:v>
                </c:pt>
                <c:pt idx="284">
                  <c:v>44519</c:v>
                </c:pt>
                <c:pt idx="285">
                  <c:v>44526</c:v>
                </c:pt>
                <c:pt idx="286">
                  <c:v>44533</c:v>
                </c:pt>
                <c:pt idx="287">
                  <c:v>44540</c:v>
                </c:pt>
                <c:pt idx="288">
                  <c:v>44547</c:v>
                </c:pt>
                <c:pt idx="289">
                  <c:v>44554</c:v>
                </c:pt>
                <c:pt idx="290">
                  <c:v>44561</c:v>
                </c:pt>
                <c:pt idx="291">
                  <c:v>44568</c:v>
                </c:pt>
                <c:pt idx="292">
                  <c:v>44575</c:v>
                </c:pt>
                <c:pt idx="293">
                  <c:v>44582</c:v>
                </c:pt>
                <c:pt idx="294">
                  <c:v>44589</c:v>
                </c:pt>
                <c:pt idx="295">
                  <c:v>44596</c:v>
                </c:pt>
                <c:pt idx="296">
                  <c:v>44603</c:v>
                </c:pt>
                <c:pt idx="297">
                  <c:v>44610</c:v>
                </c:pt>
                <c:pt idx="298">
                  <c:v>44617</c:v>
                </c:pt>
                <c:pt idx="299">
                  <c:v>44624</c:v>
                </c:pt>
                <c:pt idx="300">
                  <c:v>44631</c:v>
                </c:pt>
                <c:pt idx="301">
                  <c:v>44638</c:v>
                </c:pt>
                <c:pt idx="302">
                  <c:v>44645</c:v>
                </c:pt>
                <c:pt idx="303">
                  <c:v>44652</c:v>
                </c:pt>
                <c:pt idx="304">
                  <c:v>44659</c:v>
                </c:pt>
                <c:pt idx="305">
                  <c:v>44673</c:v>
                </c:pt>
                <c:pt idx="306">
                  <c:v>44680</c:v>
                </c:pt>
                <c:pt idx="307">
                  <c:v>44687</c:v>
                </c:pt>
                <c:pt idx="308">
                  <c:v>44694</c:v>
                </c:pt>
                <c:pt idx="309">
                  <c:v>44701</c:v>
                </c:pt>
                <c:pt idx="310">
                  <c:v>44708</c:v>
                </c:pt>
                <c:pt idx="311">
                  <c:v>44715</c:v>
                </c:pt>
                <c:pt idx="312">
                  <c:v>44722</c:v>
                </c:pt>
                <c:pt idx="313">
                  <c:v>44729</c:v>
                </c:pt>
                <c:pt idx="314">
                  <c:v>44736</c:v>
                </c:pt>
                <c:pt idx="315">
                  <c:v>44743</c:v>
                </c:pt>
                <c:pt idx="316">
                  <c:v>44750</c:v>
                </c:pt>
                <c:pt idx="317">
                  <c:v>44757</c:v>
                </c:pt>
                <c:pt idx="318">
                  <c:v>44764</c:v>
                </c:pt>
                <c:pt idx="319">
                  <c:v>44771</c:v>
                </c:pt>
                <c:pt idx="320">
                  <c:v>44778</c:v>
                </c:pt>
                <c:pt idx="321">
                  <c:v>44785</c:v>
                </c:pt>
                <c:pt idx="322">
                  <c:v>44792</c:v>
                </c:pt>
                <c:pt idx="323">
                  <c:v>44799</c:v>
                </c:pt>
                <c:pt idx="324">
                  <c:v>44806</c:v>
                </c:pt>
                <c:pt idx="325">
                  <c:v>44813</c:v>
                </c:pt>
                <c:pt idx="326">
                  <c:v>44820</c:v>
                </c:pt>
                <c:pt idx="327">
                  <c:v>44827</c:v>
                </c:pt>
                <c:pt idx="328">
                  <c:v>44834</c:v>
                </c:pt>
                <c:pt idx="329">
                  <c:v>44841</c:v>
                </c:pt>
                <c:pt idx="330">
                  <c:v>44848</c:v>
                </c:pt>
                <c:pt idx="331">
                  <c:v>44855</c:v>
                </c:pt>
                <c:pt idx="332">
                  <c:v>44862</c:v>
                </c:pt>
                <c:pt idx="333">
                  <c:v>44869</c:v>
                </c:pt>
                <c:pt idx="334">
                  <c:v>44876</c:v>
                </c:pt>
                <c:pt idx="335">
                  <c:v>44883</c:v>
                </c:pt>
                <c:pt idx="336">
                  <c:v>44890</c:v>
                </c:pt>
                <c:pt idx="337">
                  <c:v>44897</c:v>
                </c:pt>
                <c:pt idx="338">
                  <c:v>44904</c:v>
                </c:pt>
                <c:pt idx="339">
                  <c:v>44911</c:v>
                </c:pt>
                <c:pt idx="340">
                  <c:v>44918</c:v>
                </c:pt>
                <c:pt idx="341">
                  <c:v>44925</c:v>
                </c:pt>
                <c:pt idx="342">
                  <c:v>44932</c:v>
                </c:pt>
                <c:pt idx="343">
                  <c:v>44939</c:v>
                </c:pt>
                <c:pt idx="344">
                  <c:v>44946</c:v>
                </c:pt>
                <c:pt idx="345">
                  <c:v>44953</c:v>
                </c:pt>
                <c:pt idx="346">
                  <c:v>44960</c:v>
                </c:pt>
                <c:pt idx="347">
                  <c:v>44967</c:v>
                </c:pt>
                <c:pt idx="348">
                  <c:v>44974</c:v>
                </c:pt>
                <c:pt idx="349">
                  <c:v>44981</c:v>
                </c:pt>
                <c:pt idx="350">
                  <c:v>44988</c:v>
                </c:pt>
                <c:pt idx="351">
                  <c:v>44995</c:v>
                </c:pt>
                <c:pt idx="352">
                  <c:v>45002</c:v>
                </c:pt>
                <c:pt idx="353">
                  <c:v>45009</c:v>
                </c:pt>
                <c:pt idx="354">
                  <c:v>45016</c:v>
                </c:pt>
                <c:pt idx="355">
                  <c:v>45030</c:v>
                </c:pt>
                <c:pt idx="356">
                  <c:v>45037</c:v>
                </c:pt>
                <c:pt idx="357">
                  <c:v>45044</c:v>
                </c:pt>
                <c:pt idx="358">
                  <c:v>45051</c:v>
                </c:pt>
                <c:pt idx="359">
                  <c:v>45058</c:v>
                </c:pt>
                <c:pt idx="360">
                  <c:v>45065</c:v>
                </c:pt>
                <c:pt idx="361">
                  <c:v>45072</c:v>
                </c:pt>
                <c:pt idx="362">
                  <c:v>45079</c:v>
                </c:pt>
                <c:pt idx="363">
                  <c:v>45086</c:v>
                </c:pt>
                <c:pt idx="364">
                  <c:v>45093</c:v>
                </c:pt>
                <c:pt idx="365">
                  <c:v>45100</c:v>
                </c:pt>
                <c:pt idx="366">
                  <c:v>45107</c:v>
                </c:pt>
                <c:pt idx="367">
                  <c:v>45114</c:v>
                </c:pt>
                <c:pt idx="368">
                  <c:v>45121</c:v>
                </c:pt>
                <c:pt idx="369">
                  <c:v>45128</c:v>
                </c:pt>
                <c:pt idx="370">
                  <c:v>45135</c:v>
                </c:pt>
                <c:pt idx="371">
                  <c:v>45142</c:v>
                </c:pt>
                <c:pt idx="372">
                  <c:v>45149</c:v>
                </c:pt>
                <c:pt idx="373">
                  <c:v>45163</c:v>
                </c:pt>
                <c:pt idx="374">
                  <c:v>45170</c:v>
                </c:pt>
                <c:pt idx="375">
                  <c:v>45177</c:v>
                </c:pt>
                <c:pt idx="376">
                  <c:v>45184</c:v>
                </c:pt>
                <c:pt idx="377">
                  <c:v>45191</c:v>
                </c:pt>
                <c:pt idx="378">
                  <c:v>45198</c:v>
                </c:pt>
                <c:pt idx="379">
                  <c:v>45205</c:v>
                </c:pt>
                <c:pt idx="380">
                  <c:v>45212</c:v>
                </c:pt>
                <c:pt idx="381">
                  <c:v>45219</c:v>
                </c:pt>
                <c:pt idx="382">
                  <c:v>45226</c:v>
                </c:pt>
                <c:pt idx="383">
                  <c:v>45233</c:v>
                </c:pt>
                <c:pt idx="384">
                  <c:v>45240</c:v>
                </c:pt>
                <c:pt idx="385">
                  <c:v>45247</c:v>
                </c:pt>
                <c:pt idx="386">
                  <c:v>45254</c:v>
                </c:pt>
                <c:pt idx="387">
                  <c:v>45261</c:v>
                </c:pt>
                <c:pt idx="388">
                  <c:v>45268</c:v>
                </c:pt>
                <c:pt idx="389">
                  <c:v>45275</c:v>
                </c:pt>
                <c:pt idx="390">
                  <c:v>45282</c:v>
                </c:pt>
                <c:pt idx="391">
                  <c:v>45289</c:v>
                </c:pt>
                <c:pt idx="392">
                  <c:v>45296</c:v>
                </c:pt>
                <c:pt idx="393">
                  <c:v>45303</c:v>
                </c:pt>
                <c:pt idx="394">
                  <c:v>45310</c:v>
                </c:pt>
                <c:pt idx="395">
                  <c:v>45317</c:v>
                </c:pt>
                <c:pt idx="396">
                  <c:v>45324</c:v>
                </c:pt>
                <c:pt idx="397">
                  <c:v>45331</c:v>
                </c:pt>
                <c:pt idx="398">
                  <c:v>45338</c:v>
                </c:pt>
                <c:pt idx="399">
                  <c:v>45345</c:v>
                </c:pt>
                <c:pt idx="400">
                  <c:v>45352</c:v>
                </c:pt>
                <c:pt idx="401">
                  <c:v>45359</c:v>
                </c:pt>
                <c:pt idx="402">
                  <c:v>45366</c:v>
                </c:pt>
                <c:pt idx="403">
                  <c:v>45373</c:v>
                </c:pt>
                <c:pt idx="404">
                  <c:v>45387</c:v>
                </c:pt>
                <c:pt idx="405">
                  <c:v>45394</c:v>
                </c:pt>
                <c:pt idx="406">
                  <c:v>45401</c:v>
                </c:pt>
                <c:pt idx="407">
                  <c:v>45408</c:v>
                </c:pt>
                <c:pt idx="408">
                  <c:v>45415</c:v>
                </c:pt>
                <c:pt idx="409">
                  <c:v>45422</c:v>
                </c:pt>
                <c:pt idx="410">
                  <c:v>45429</c:v>
                </c:pt>
                <c:pt idx="411">
                  <c:v>45436</c:v>
                </c:pt>
                <c:pt idx="412">
                  <c:v>45443</c:v>
                </c:pt>
                <c:pt idx="413">
                  <c:v>45450</c:v>
                </c:pt>
                <c:pt idx="414">
                  <c:v>45457</c:v>
                </c:pt>
                <c:pt idx="415">
                  <c:v>45464</c:v>
                </c:pt>
                <c:pt idx="416">
                  <c:v>45471</c:v>
                </c:pt>
                <c:pt idx="417">
                  <c:v>45478</c:v>
                </c:pt>
                <c:pt idx="418">
                  <c:v>45485</c:v>
                </c:pt>
                <c:pt idx="419">
                  <c:v>45492</c:v>
                </c:pt>
                <c:pt idx="420">
                  <c:v>45499</c:v>
                </c:pt>
                <c:pt idx="421">
                  <c:v>45506</c:v>
                </c:pt>
                <c:pt idx="422">
                  <c:v>45513</c:v>
                </c:pt>
                <c:pt idx="423">
                  <c:v>45520</c:v>
                </c:pt>
                <c:pt idx="424">
                  <c:v>45527</c:v>
                </c:pt>
                <c:pt idx="425">
                  <c:v>45534</c:v>
                </c:pt>
                <c:pt idx="426">
                  <c:v>45541</c:v>
                </c:pt>
                <c:pt idx="427">
                  <c:v>45548</c:v>
                </c:pt>
                <c:pt idx="428">
                  <c:v>45555</c:v>
                </c:pt>
                <c:pt idx="429">
                  <c:v>45562</c:v>
                </c:pt>
                <c:pt idx="430">
                  <c:v>45569</c:v>
                </c:pt>
                <c:pt idx="431">
                  <c:v>45576</c:v>
                </c:pt>
                <c:pt idx="432">
                  <c:v>45583</c:v>
                </c:pt>
                <c:pt idx="433">
                  <c:v>45590</c:v>
                </c:pt>
                <c:pt idx="434">
                  <c:v>45597</c:v>
                </c:pt>
                <c:pt idx="435">
                  <c:v>45604</c:v>
                </c:pt>
                <c:pt idx="436">
                  <c:v>45611</c:v>
                </c:pt>
                <c:pt idx="437">
                  <c:v>45618</c:v>
                </c:pt>
                <c:pt idx="438">
                  <c:v>45625</c:v>
                </c:pt>
                <c:pt idx="439">
                  <c:v>45632</c:v>
                </c:pt>
                <c:pt idx="440">
                  <c:v>45639</c:v>
                </c:pt>
                <c:pt idx="441">
                  <c:v>45646</c:v>
                </c:pt>
                <c:pt idx="442">
                  <c:v>45653</c:v>
                </c:pt>
                <c:pt idx="443">
                  <c:v>45660</c:v>
                </c:pt>
                <c:pt idx="444">
                  <c:v>45667</c:v>
                </c:pt>
                <c:pt idx="445">
                  <c:v>45674</c:v>
                </c:pt>
                <c:pt idx="446">
                  <c:v>45681</c:v>
                </c:pt>
                <c:pt idx="447">
                  <c:v>45688</c:v>
                </c:pt>
                <c:pt idx="448">
                  <c:v>45695</c:v>
                </c:pt>
                <c:pt idx="449">
                  <c:v>45702</c:v>
                </c:pt>
                <c:pt idx="450">
                  <c:v>45709</c:v>
                </c:pt>
                <c:pt idx="451">
                  <c:v>45716</c:v>
                </c:pt>
                <c:pt idx="452">
                  <c:v>45723</c:v>
                </c:pt>
                <c:pt idx="453">
                  <c:v>45730</c:v>
                </c:pt>
                <c:pt idx="454">
                  <c:v>45737</c:v>
                </c:pt>
                <c:pt idx="455">
                  <c:v>45744</c:v>
                </c:pt>
                <c:pt idx="456">
                  <c:v>45751</c:v>
                </c:pt>
                <c:pt idx="457">
                  <c:v>45758</c:v>
                </c:pt>
                <c:pt idx="458">
                  <c:v>45772</c:v>
                </c:pt>
                <c:pt idx="459">
                  <c:v>45779</c:v>
                </c:pt>
                <c:pt idx="460">
                  <c:v>45786</c:v>
                </c:pt>
                <c:pt idx="461">
                  <c:v>45793</c:v>
                </c:pt>
                <c:pt idx="462">
                  <c:v>45800</c:v>
                </c:pt>
                <c:pt idx="463">
                  <c:v>45807</c:v>
                </c:pt>
                <c:pt idx="464">
                  <c:v>45814</c:v>
                </c:pt>
                <c:pt idx="465">
                  <c:v>45821</c:v>
                </c:pt>
                <c:pt idx="466">
                  <c:v>45828</c:v>
                </c:pt>
                <c:pt idx="467">
                  <c:v>45835</c:v>
                </c:pt>
                <c:pt idx="468">
                  <c:v>45842</c:v>
                </c:pt>
                <c:pt idx="469">
                  <c:v>45849</c:v>
                </c:pt>
                <c:pt idx="470">
                  <c:v>45856</c:v>
                </c:pt>
                <c:pt idx="471">
                  <c:v>45863</c:v>
                </c:pt>
                <c:pt idx="472">
                  <c:v>45877</c:v>
                </c:pt>
                <c:pt idx="473">
                  <c:v>45884</c:v>
                </c:pt>
                <c:pt idx="474">
                  <c:v>45891</c:v>
                </c:pt>
                <c:pt idx="475">
                  <c:v>45898</c:v>
                </c:pt>
                <c:pt idx="476">
                  <c:v>45905</c:v>
                </c:pt>
                <c:pt idx="477">
                  <c:v>45912</c:v>
                </c:pt>
                <c:pt idx="478">
                  <c:v>45919</c:v>
                </c:pt>
                <c:pt idx="479">
                  <c:v>45926</c:v>
                </c:pt>
                <c:pt idx="480">
                  <c:v>45933</c:v>
                </c:pt>
                <c:pt idx="481">
                  <c:v>45940</c:v>
                </c:pt>
                <c:pt idx="482">
                  <c:v>45947</c:v>
                </c:pt>
                <c:pt idx="483">
                  <c:v>45954</c:v>
                </c:pt>
                <c:pt idx="484">
                  <c:v>45961</c:v>
                </c:pt>
                <c:pt idx="485">
                  <c:v>45968</c:v>
                </c:pt>
                <c:pt idx="486">
                  <c:v>45975</c:v>
                </c:pt>
                <c:pt idx="487">
                  <c:v>45982</c:v>
                </c:pt>
                <c:pt idx="488">
                  <c:v>45989</c:v>
                </c:pt>
                <c:pt idx="489">
                  <c:v>45996</c:v>
                </c:pt>
                <c:pt idx="490">
                  <c:v>46003</c:v>
                </c:pt>
                <c:pt idx="491">
                  <c:v>46010</c:v>
                </c:pt>
                <c:pt idx="492">
                  <c:v>46031</c:v>
                </c:pt>
                <c:pt idx="493">
                  <c:v>46038</c:v>
                </c:pt>
                <c:pt idx="494">
                  <c:v>46045</c:v>
                </c:pt>
                <c:pt idx="495">
                  <c:v>46052</c:v>
                </c:pt>
                <c:pt idx="496">
                  <c:v>46059</c:v>
                </c:pt>
                <c:pt idx="497">
                  <c:v>46066</c:v>
                </c:pt>
                <c:pt idx="498">
                  <c:v>46073</c:v>
                </c:pt>
                <c:pt idx="499">
                  <c:v>46080</c:v>
                </c:pt>
                <c:pt idx="500">
                  <c:v>46087</c:v>
                </c:pt>
                <c:pt idx="501">
                  <c:v>46094</c:v>
                </c:pt>
                <c:pt idx="502">
                  <c:v>46101</c:v>
                </c:pt>
                <c:pt idx="503">
                  <c:v>46108</c:v>
                </c:pt>
                <c:pt idx="504">
                  <c:v>46122</c:v>
                </c:pt>
                <c:pt idx="505">
                  <c:v>46129</c:v>
                </c:pt>
                <c:pt idx="506">
                  <c:v>46136</c:v>
                </c:pt>
                <c:pt idx="507">
                  <c:v>46150</c:v>
                </c:pt>
                <c:pt idx="508">
                  <c:v>46157</c:v>
                </c:pt>
                <c:pt idx="509">
                  <c:v>46164</c:v>
                </c:pt>
                <c:pt idx="510">
                  <c:v>46171</c:v>
                </c:pt>
                <c:pt idx="511">
                  <c:v>46178</c:v>
                </c:pt>
                <c:pt idx="512">
                  <c:v>46185</c:v>
                </c:pt>
                <c:pt idx="513">
                  <c:v>46192</c:v>
                </c:pt>
                <c:pt idx="514">
                  <c:v>46199</c:v>
                </c:pt>
                <c:pt idx="515">
                  <c:v>46206</c:v>
                </c:pt>
                <c:pt idx="516">
                  <c:v>46213</c:v>
                </c:pt>
                <c:pt idx="517">
                  <c:v>46220</c:v>
                </c:pt>
                <c:pt idx="518">
                  <c:v>46227</c:v>
                </c:pt>
                <c:pt idx="519">
                  <c:v>46234</c:v>
                </c:pt>
                <c:pt idx="520">
                  <c:v>46241</c:v>
                </c:pt>
                <c:pt idx="521">
                  <c:v>46248</c:v>
                </c:pt>
                <c:pt idx="522">
                  <c:v>46255</c:v>
                </c:pt>
                <c:pt idx="523">
                  <c:v>46262</c:v>
                </c:pt>
                <c:pt idx="524">
                  <c:v>46269</c:v>
                </c:pt>
                <c:pt idx="525">
                  <c:v>46276</c:v>
                </c:pt>
                <c:pt idx="526">
                  <c:v>46283</c:v>
                </c:pt>
                <c:pt idx="527">
                  <c:v>46290</c:v>
                </c:pt>
                <c:pt idx="528">
                  <c:v>46297</c:v>
                </c:pt>
                <c:pt idx="529">
                  <c:v>46304</c:v>
                </c:pt>
                <c:pt idx="530">
                  <c:v>46311</c:v>
                </c:pt>
                <c:pt idx="531">
                  <c:v>46318</c:v>
                </c:pt>
              </c:numCache>
            </c:numRef>
          </c:cat>
          <c:val>
            <c:numRef>
              <c:f>Participation!$R$2:$R$533</c:f>
              <c:numCache>
                <c:formatCode>0</c:formatCode>
                <c:ptCount val="532"/>
                <c:pt idx="0">
                  <c:v>-0.83333333333333337</c:v>
                </c:pt>
                <c:pt idx="1">
                  <c:v>-1.6666666666666667</c:v>
                </c:pt>
                <c:pt idx="2">
                  <c:v>-2.5</c:v>
                </c:pt>
                <c:pt idx="3">
                  <c:v>-3.3333333333333335</c:v>
                </c:pt>
                <c:pt idx="4">
                  <c:v>-4.166666666666667</c:v>
                </c:pt>
                <c:pt idx="5">
                  <c:v>-5</c:v>
                </c:pt>
                <c:pt idx="6">
                  <c:v>-5.833333333333333</c:v>
                </c:pt>
                <c:pt idx="7">
                  <c:v>-5.804597701149425</c:v>
                </c:pt>
                <c:pt idx="8">
                  <c:v>-5.775862068965516</c:v>
                </c:pt>
                <c:pt idx="9">
                  <c:v>-5.7471264367816079</c:v>
                </c:pt>
                <c:pt idx="10">
                  <c:v>-5.7183908045977008</c:v>
                </c:pt>
                <c:pt idx="11">
                  <c:v>-5.6896551724137936</c:v>
                </c:pt>
                <c:pt idx="12">
                  <c:v>-5.6609195402298864</c:v>
                </c:pt>
                <c:pt idx="13">
                  <c:v>-5.6321839080459792</c:v>
                </c:pt>
                <c:pt idx="14">
                  <c:v>-5.6034482758620721</c:v>
                </c:pt>
                <c:pt idx="15">
                  <c:v>-5.5747126436781649</c:v>
                </c:pt>
                <c:pt idx="16">
                  <c:v>-5.5459770114942568</c:v>
                </c:pt>
                <c:pt idx="17">
                  <c:v>-5.5172413793103487</c:v>
                </c:pt>
                <c:pt idx="18">
                  <c:v>-5.4885057471264407</c:v>
                </c:pt>
                <c:pt idx="19">
                  <c:v>-5.4597701149425326</c:v>
                </c:pt>
                <c:pt idx="20">
                  <c:v>-5.4310344827586228</c:v>
                </c:pt>
                <c:pt idx="21">
                  <c:v>-5.4022988505747129</c:v>
                </c:pt>
                <c:pt idx="22">
                  <c:v>-5.3735632183908031</c:v>
                </c:pt>
                <c:pt idx="23">
                  <c:v>-5.3448275862068932</c:v>
                </c:pt>
                <c:pt idx="24">
                  <c:v>-5.3160919540229834</c:v>
                </c:pt>
                <c:pt idx="25">
                  <c:v>-5.2873563218390736</c:v>
                </c:pt>
                <c:pt idx="26">
                  <c:v>-5.2586206896551637</c:v>
                </c:pt>
                <c:pt idx="27">
                  <c:v>-5.2298850574712539</c:v>
                </c:pt>
                <c:pt idx="28">
                  <c:v>-5.201149425287344</c:v>
                </c:pt>
                <c:pt idx="29">
                  <c:v>-5.1724137931034342</c:v>
                </c:pt>
                <c:pt idx="30">
                  <c:v>-5.1436781609195243</c:v>
                </c:pt>
                <c:pt idx="31">
                  <c:v>-5.1149425287356145</c:v>
                </c:pt>
                <c:pt idx="32">
                  <c:v>-5.0862068965517047</c:v>
                </c:pt>
                <c:pt idx="33">
                  <c:v>-5.0574712643677948</c:v>
                </c:pt>
                <c:pt idx="34">
                  <c:v>-5.028735632183885</c:v>
                </c:pt>
                <c:pt idx="35">
                  <c:v>-4.9999999999999751</c:v>
                </c:pt>
                <c:pt idx="36">
                  <c:v>-4.9999999999999751</c:v>
                </c:pt>
                <c:pt idx="37">
                  <c:v>-5.9999999999999751</c:v>
                </c:pt>
                <c:pt idx="38">
                  <c:v>-5.9999999999999751</c:v>
                </c:pt>
                <c:pt idx="39">
                  <c:v>-5.9999999999999751</c:v>
                </c:pt>
                <c:pt idx="40">
                  <c:v>-6.9999999999999751</c:v>
                </c:pt>
                <c:pt idx="41">
                  <c:v>-6.9999999999999751</c:v>
                </c:pt>
                <c:pt idx="42">
                  <c:v>-6.9999999999999751</c:v>
                </c:pt>
                <c:pt idx="43">
                  <c:v>-5.9999999999999751</c:v>
                </c:pt>
                <c:pt idx="44">
                  <c:v>-4.9999999999999716</c:v>
                </c:pt>
                <c:pt idx="45">
                  <c:v>-4.9999999999999716</c:v>
                </c:pt>
                <c:pt idx="46">
                  <c:v>-4.9999999999999716</c:v>
                </c:pt>
                <c:pt idx="47">
                  <c:v>-4.0000000799999924</c:v>
                </c:pt>
                <c:pt idx="48">
                  <c:v>-4.0000000799999924</c:v>
                </c:pt>
                <c:pt idx="49">
                  <c:v>-4.0000000799999924</c:v>
                </c:pt>
                <c:pt idx="50">
                  <c:v>-4.0000000799999924</c:v>
                </c:pt>
                <c:pt idx="51">
                  <c:v>-3.0000000799999924</c:v>
                </c:pt>
                <c:pt idx="52">
                  <c:v>-3.0000000799999924</c:v>
                </c:pt>
                <c:pt idx="53">
                  <c:v>-3.0000000799999924</c:v>
                </c:pt>
                <c:pt idx="54">
                  <c:v>-3.0000000799999924</c:v>
                </c:pt>
                <c:pt idx="55">
                  <c:v>-3.0000000799999924</c:v>
                </c:pt>
                <c:pt idx="56">
                  <c:v>-3.0000000799999924</c:v>
                </c:pt>
                <c:pt idx="57">
                  <c:v>-3.0000000799999924</c:v>
                </c:pt>
                <c:pt idx="58">
                  <c:v>-3.0000000799999924</c:v>
                </c:pt>
                <c:pt idx="59">
                  <c:v>-3.0000000799999924</c:v>
                </c:pt>
                <c:pt idx="60">
                  <c:v>-3.0000000799999924</c:v>
                </c:pt>
                <c:pt idx="61">
                  <c:v>-4.0000000799999924</c:v>
                </c:pt>
                <c:pt idx="62">
                  <c:v>-5.0000000799999924</c:v>
                </c:pt>
                <c:pt idx="63">
                  <c:v>-6.0000000799999924</c:v>
                </c:pt>
                <c:pt idx="64">
                  <c:v>-6.0000000799999924</c:v>
                </c:pt>
                <c:pt idx="65">
                  <c:v>-5.0000000799999924</c:v>
                </c:pt>
                <c:pt idx="66">
                  <c:v>-4.0000000799999924</c:v>
                </c:pt>
                <c:pt idx="67">
                  <c:v>-3.0000000799999924</c:v>
                </c:pt>
                <c:pt idx="68">
                  <c:v>-2.0000000799999924</c:v>
                </c:pt>
                <c:pt idx="69">
                  <c:v>-1.0000000799999924</c:v>
                </c:pt>
                <c:pt idx="70">
                  <c:v>-1.0000000799999924</c:v>
                </c:pt>
                <c:pt idx="71">
                  <c:v>-1.0000000799999924</c:v>
                </c:pt>
                <c:pt idx="72">
                  <c:v>-1.0000000799999924</c:v>
                </c:pt>
                <c:pt idx="73">
                  <c:v>-1.0000000799999924</c:v>
                </c:pt>
                <c:pt idx="74">
                  <c:v>-1.0000000799999924</c:v>
                </c:pt>
                <c:pt idx="75">
                  <c:v>-1.0000000799999924</c:v>
                </c:pt>
                <c:pt idx="76">
                  <c:v>-1.0000000799999924</c:v>
                </c:pt>
                <c:pt idx="77">
                  <c:v>-1.0000000799999924</c:v>
                </c:pt>
                <c:pt idx="78">
                  <c:v>-1.0000000799999924</c:v>
                </c:pt>
                <c:pt idx="79">
                  <c:v>-1.0000000799999924</c:v>
                </c:pt>
                <c:pt idx="80">
                  <c:v>-1.0000000799999924</c:v>
                </c:pt>
                <c:pt idx="81">
                  <c:v>-7.9999992408374965E-8</c:v>
                </c:pt>
                <c:pt idx="82">
                  <c:v>-7.9999992408374965E-8</c:v>
                </c:pt>
                <c:pt idx="83">
                  <c:v>-7.9999992408374965E-8</c:v>
                </c:pt>
                <c:pt idx="84">
                  <c:v>-7.9999992408374965E-8</c:v>
                </c:pt>
                <c:pt idx="85">
                  <c:v>-7.9999992408374965E-8</c:v>
                </c:pt>
                <c:pt idx="86">
                  <c:v>-7.9999992408374965E-8</c:v>
                </c:pt>
                <c:pt idx="87">
                  <c:v>-7.9999992408374965E-8</c:v>
                </c:pt>
                <c:pt idx="88">
                  <c:v>-1.0000000799999924</c:v>
                </c:pt>
                <c:pt idx="89">
                  <c:v>-2.0000000799999924</c:v>
                </c:pt>
                <c:pt idx="90">
                  <c:v>-2.0000000799999924</c:v>
                </c:pt>
                <c:pt idx="91">
                  <c:v>-1.0000000799999924</c:v>
                </c:pt>
                <c:pt idx="92">
                  <c:v>-2.0000000799999924</c:v>
                </c:pt>
                <c:pt idx="93">
                  <c:v>-1.0000000799999924</c:v>
                </c:pt>
                <c:pt idx="94">
                  <c:v>-1.0000000799999924</c:v>
                </c:pt>
                <c:pt idx="95">
                  <c:v>-1.0000000799999924</c:v>
                </c:pt>
                <c:pt idx="96">
                  <c:v>-1.0000000799999924</c:v>
                </c:pt>
                <c:pt idx="97">
                  <c:v>-1.0000000799999924</c:v>
                </c:pt>
                <c:pt idx="98">
                  <c:v>-1.0000000799999924</c:v>
                </c:pt>
                <c:pt idx="99">
                  <c:v>-2.0000000799999924</c:v>
                </c:pt>
                <c:pt idx="100">
                  <c:v>-2.0000000799999924</c:v>
                </c:pt>
                <c:pt idx="101">
                  <c:v>-1.0000000799999924</c:v>
                </c:pt>
                <c:pt idx="102">
                  <c:v>-1.0000000799999924</c:v>
                </c:pt>
                <c:pt idx="103">
                  <c:v>-1.0000000799999924</c:v>
                </c:pt>
                <c:pt idx="104">
                  <c:v>-1.0000000799999924</c:v>
                </c:pt>
                <c:pt idx="105">
                  <c:v>-1.0000000799999924</c:v>
                </c:pt>
                <c:pt idx="106">
                  <c:v>-7.9999992408374965E-8</c:v>
                </c:pt>
                <c:pt idx="107">
                  <c:v>-7.9999992408374965E-8</c:v>
                </c:pt>
                <c:pt idx="108">
                  <c:v>0.99999992000000759</c:v>
                </c:pt>
                <c:pt idx="109">
                  <c:v>0.99999992000000759</c:v>
                </c:pt>
                <c:pt idx="110">
                  <c:v>0.99999992000000759</c:v>
                </c:pt>
                <c:pt idx="111">
                  <c:v>1.9999999200000076</c:v>
                </c:pt>
                <c:pt idx="112">
                  <c:v>1.9999999200000076</c:v>
                </c:pt>
                <c:pt idx="113">
                  <c:v>1.9999999200000076</c:v>
                </c:pt>
                <c:pt idx="114">
                  <c:v>1.9999999200000076</c:v>
                </c:pt>
                <c:pt idx="115">
                  <c:v>1.9999999200000076</c:v>
                </c:pt>
                <c:pt idx="116">
                  <c:v>1.9999999200000076</c:v>
                </c:pt>
                <c:pt idx="117">
                  <c:v>1.9999999200000076</c:v>
                </c:pt>
                <c:pt idx="118">
                  <c:v>1.9999999200000076</c:v>
                </c:pt>
                <c:pt idx="119">
                  <c:v>1.9999999200000076</c:v>
                </c:pt>
                <c:pt idx="120">
                  <c:v>1.9999999200000076</c:v>
                </c:pt>
                <c:pt idx="121">
                  <c:v>2.9999999200000076</c:v>
                </c:pt>
                <c:pt idx="122">
                  <c:v>2.9999999200000076</c:v>
                </c:pt>
                <c:pt idx="123">
                  <c:v>3.9999999200000076</c:v>
                </c:pt>
                <c:pt idx="124">
                  <c:v>4.9999999200000076</c:v>
                </c:pt>
                <c:pt idx="125">
                  <c:v>4.9999999200000076</c:v>
                </c:pt>
                <c:pt idx="126">
                  <c:v>3.9999999200000076</c:v>
                </c:pt>
                <c:pt idx="127">
                  <c:v>3.9999999200000076</c:v>
                </c:pt>
                <c:pt idx="128">
                  <c:v>3.9999999200000076</c:v>
                </c:pt>
                <c:pt idx="129">
                  <c:v>3.9999999200000076</c:v>
                </c:pt>
                <c:pt idx="130">
                  <c:v>3.9999999200000076</c:v>
                </c:pt>
                <c:pt idx="131">
                  <c:v>3.9999999200000076</c:v>
                </c:pt>
                <c:pt idx="132">
                  <c:v>2.9999999200000076</c:v>
                </c:pt>
                <c:pt idx="133">
                  <c:v>2.9999999200000076</c:v>
                </c:pt>
                <c:pt idx="134">
                  <c:v>2.9999999200000076</c:v>
                </c:pt>
                <c:pt idx="135">
                  <c:v>2.9999999200000076</c:v>
                </c:pt>
                <c:pt idx="136">
                  <c:v>2.9999999200000076</c:v>
                </c:pt>
                <c:pt idx="137">
                  <c:v>3.9999999200000076</c:v>
                </c:pt>
                <c:pt idx="138">
                  <c:v>3.9999999200000076</c:v>
                </c:pt>
                <c:pt idx="139">
                  <c:v>2.9999999200000076</c:v>
                </c:pt>
                <c:pt idx="140">
                  <c:v>2.9999999200000076</c:v>
                </c:pt>
                <c:pt idx="141">
                  <c:v>3.9999999200000076</c:v>
                </c:pt>
                <c:pt idx="142">
                  <c:v>4.9999999200000076</c:v>
                </c:pt>
                <c:pt idx="143">
                  <c:v>5.9999999200000076</c:v>
                </c:pt>
                <c:pt idx="144">
                  <c:v>5.9999999200000076</c:v>
                </c:pt>
                <c:pt idx="145">
                  <c:v>5.9999999200000076</c:v>
                </c:pt>
                <c:pt idx="146">
                  <c:v>5.9999999200000076</c:v>
                </c:pt>
                <c:pt idx="147">
                  <c:v>5.9999999200000076</c:v>
                </c:pt>
                <c:pt idx="148">
                  <c:v>6.9999999200000076</c:v>
                </c:pt>
                <c:pt idx="149">
                  <c:v>6.9999999200000076</c:v>
                </c:pt>
                <c:pt idx="150">
                  <c:v>7.9999999200000076</c:v>
                </c:pt>
                <c:pt idx="151">
                  <c:v>6.9999999200000076</c:v>
                </c:pt>
                <c:pt idx="152">
                  <c:v>7.9999999200000076</c:v>
                </c:pt>
                <c:pt idx="153">
                  <c:v>7.9999999200000076</c:v>
                </c:pt>
                <c:pt idx="154">
                  <c:v>8.0000000000000284</c:v>
                </c:pt>
                <c:pt idx="155">
                  <c:v>8.0000000000000284</c:v>
                </c:pt>
                <c:pt idx="156">
                  <c:v>8.0000000000000284</c:v>
                </c:pt>
                <c:pt idx="157">
                  <c:v>8.0000000000000142</c:v>
                </c:pt>
                <c:pt idx="158">
                  <c:v>8.0000000000000142</c:v>
                </c:pt>
                <c:pt idx="159">
                  <c:v>8.0000000000000142</c:v>
                </c:pt>
                <c:pt idx="160">
                  <c:v>7.0000000000000142</c:v>
                </c:pt>
                <c:pt idx="161">
                  <c:v>7.0000000000000142</c:v>
                </c:pt>
                <c:pt idx="162">
                  <c:v>7.0000000000000142</c:v>
                </c:pt>
                <c:pt idx="163">
                  <c:v>7.0000000000000142</c:v>
                </c:pt>
                <c:pt idx="164">
                  <c:v>7.0000000000000142</c:v>
                </c:pt>
                <c:pt idx="165">
                  <c:v>7.0000000000000142</c:v>
                </c:pt>
                <c:pt idx="166">
                  <c:v>7.0000000000000142</c:v>
                </c:pt>
                <c:pt idx="167">
                  <c:v>8.0000000000000142</c:v>
                </c:pt>
                <c:pt idx="168">
                  <c:v>7.0000000000000142</c:v>
                </c:pt>
                <c:pt idx="169">
                  <c:v>7.0000000000000142</c:v>
                </c:pt>
                <c:pt idx="170">
                  <c:v>7</c:v>
                </c:pt>
                <c:pt idx="171">
                  <c:v>7</c:v>
                </c:pt>
                <c:pt idx="172">
                  <c:v>7</c:v>
                </c:pt>
                <c:pt idx="173">
                  <c:v>7</c:v>
                </c:pt>
                <c:pt idx="174">
                  <c:v>7</c:v>
                </c:pt>
                <c:pt idx="175">
                  <c:v>6</c:v>
                </c:pt>
                <c:pt idx="176">
                  <c:v>7</c:v>
                </c:pt>
                <c:pt idx="177">
                  <c:v>7</c:v>
                </c:pt>
                <c:pt idx="178">
                  <c:v>7</c:v>
                </c:pt>
                <c:pt idx="179">
                  <c:v>7</c:v>
                </c:pt>
                <c:pt idx="180">
                  <c:v>7</c:v>
                </c:pt>
                <c:pt idx="181">
                  <c:v>6</c:v>
                </c:pt>
                <c:pt idx="182">
                  <c:v>6</c:v>
                </c:pt>
                <c:pt idx="183">
                  <c:v>6</c:v>
                </c:pt>
                <c:pt idx="184">
                  <c:v>7</c:v>
                </c:pt>
                <c:pt idx="185">
                  <c:v>7</c:v>
                </c:pt>
                <c:pt idx="186">
                  <c:v>7</c:v>
                </c:pt>
                <c:pt idx="187">
                  <c:v>7</c:v>
                </c:pt>
                <c:pt idx="188">
                  <c:v>6</c:v>
                </c:pt>
                <c:pt idx="189">
                  <c:v>6</c:v>
                </c:pt>
                <c:pt idx="190">
                  <c:v>5</c:v>
                </c:pt>
                <c:pt idx="191">
                  <c:v>5</c:v>
                </c:pt>
                <c:pt idx="192">
                  <c:v>5</c:v>
                </c:pt>
                <c:pt idx="193">
                  <c:v>5</c:v>
                </c:pt>
                <c:pt idx="194">
                  <c:v>5</c:v>
                </c:pt>
                <c:pt idx="195">
                  <c:v>5</c:v>
                </c:pt>
                <c:pt idx="196">
                  <c:v>5</c:v>
                </c:pt>
                <c:pt idx="197">
                  <c:v>5</c:v>
                </c:pt>
                <c:pt idx="198">
                  <c:v>5</c:v>
                </c:pt>
                <c:pt idx="199">
                  <c:v>5</c:v>
                </c:pt>
                <c:pt idx="200">
                  <c:v>6</c:v>
                </c:pt>
                <c:pt idx="201">
                  <c:v>6</c:v>
                </c:pt>
                <c:pt idx="202">
                  <c:v>6</c:v>
                </c:pt>
                <c:pt idx="203">
                  <c:v>6</c:v>
                </c:pt>
                <c:pt idx="204">
                  <c:v>6</c:v>
                </c:pt>
                <c:pt idx="205">
                  <c:v>6</c:v>
                </c:pt>
                <c:pt idx="206">
                  <c:v>6</c:v>
                </c:pt>
                <c:pt idx="207">
                  <c:v>6</c:v>
                </c:pt>
                <c:pt idx="208">
                  <c:v>6</c:v>
                </c:pt>
                <c:pt idx="209">
                  <c:v>5</c:v>
                </c:pt>
                <c:pt idx="210">
                  <c:v>5</c:v>
                </c:pt>
                <c:pt idx="211">
                  <c:v>5</c:v>
                </c:pt>
                <c:pt idx="212">
                  <c:v>5</c:v>
                </c:pt>
                <c:pt idx="213">
                  <c:v>5</c:v>
                </c:pt>
                <c:pt idx="214">
                  <c:v>5</c:v>
                </c:pt>
                <c:pt idx="215">
                  <c:v>5</c:v>
                </c:pt>
                <c:pt idx="216">
                  <c:v>5</c:v>
                </c:pt>
                <c:pt idx="217">
                  <c:v>6</c:v>
                </c:pt>
                <c:pt idx="218">
                  <c:v>5</c:v>
                </c:pt>
                <c:pt idx="219">
                  <c:v>5</c:v>
                </c:pt>
                <c:pt idx="220">
                  <c:v>5</c:v>
                </c:pt>
                <c:pt idx="221">
                  <c:v>5</c:v>
                </c:pt>
                <c:pt idx="222">
                  <c:v>6</c:v>
                </c:pt>
                <c:pt idx="223">
                  <c:v>6</c:v>
                </c:pt>
                <c:pt idx="224">
                  <c:v>6</c:v>
                </c:pt>
                <c:pt idx="225">
                  <c:v>6</c:v>
                </c:pt>
                <c:pt idx="226">
                  <c:v>6</c:v>
                </c:pt>
                <c:pt idx="227">
                  <c:v>6</c:v>
                </c:pt>
                <c:pt idx="228">
                  <c:v>6</c:v>
                </c:pt>
                <c:pt idx="229">
                  <c:v>7</c:v>
                </c:pt>
                <c:pt idx="230">
                  <c:v>7</c:v>
                </c:pt>
                <c:pt idx="231">
                  <c:v>8</c:v>
                </c:pt>
                <c:pt idx="232">
                  <c:v>8</c:v>
                </c:pt>
                <c:pt idx="233">
                  <c:v>9</c:v>
                </c:pt>
                <c:pt idx="234">
                  <c:v>9</c:v>
                </c:pt>
                <c:pt idx="235">
                  <c:v>9</c:v>
                </c:pt>
                <c:pt idx="236">
                  <c:v>9</c:v>
                </c:pt>
                <c:pt idx="237">
                  <c:v>9</c:v>
                </c:pt>
                <c:pt idx="238">
                  <c:v>9</c:v>
                </c:pt>
                <c:pt idx="239">
                  <c:v>10</c:v>
                </c:pt>
                <c:pt idx="240">
                  <c:v>11</c:v>
                </c:pt>
                <c:pt idx="241">
                  <c:v>12</c:v>
                </c:pt>
                <c:pt idx="242">
                  <c:v>12</c:v>
                </c:pt>
                <c:pt idx="243">
                  <c:v>11</c:v>
                </c:pt>
                <c:pt idx="244">
                  <c:v>11</c:v>
                </c:pt>
                <c:pt idx="245">
                  <c:v>11</c:v>
                </c:pt>
                <c:pt idx="246">
                  <c:v>12</c:v>
                </c:pt>
                <c:pt idx="247">
                  <c:v>11</c:v>
                </c:pt>
                <c:pt idx="248">
                  <c:v>11</c:v>
                </c:pt>
                <c:pt idx="249">
                  <c:v>11</c:v>
                </c:pt>
                <c:pt idx="250">
                  <c:v>11</c:v>
                </c:pt>
                <c:pt idx="251">
                  <c:v>10</c:v>
                </c:pt>
                <c:pt idx="252">
                  <c:v>10</c:v>
                </c:pt>
                <c:pt idx="253">
                  <c:v>10</c:v>
                </c:pt>
                <c:pt idx="254">
                  <c:v>10</c:v>
                </c:pt>
                <c:pt idx="255">
                  <c:v>11</c:v>
                </c:pt>
                <c:pt idx="256">
                  <c:v>11</c:v>
                </c:pt>
                <c:pt idx="257">
                  <c:v>11</c:v>
                </c:pt>
                <c:pt idx="258">
                  <c:v>12</c:v>
                </c:pt>
                <c:pt idx="259">
                  <c:v>13</c:v>
                </c:pt>
                <c:pt idx="260">
                  <c:v>13</c:v>
                </c:pt>
                <c:pt idx="261">
                  <c:v>13</c:v>
                </c:pt>
                <c:pt idx="262">
                  <c:v>13</c:v>
                </c:pt>
                <c:pt idx="263">
                  <c:v>13</c:v>
                </c:pt>
                <c:pt idx="264">
                  <c:v>14</c:v>
                </c:pt>
                <c:pt idx="265">
                  <c:v>14</c:v>
                </c:pt>
                <c:pt idx="266">
                  <c:v>15</c:v>
                </c:pt>
                <c:pt idx="267">
                  <c:v>14.999999919999993</c:v>
                </c:pt>
                <c:pt idx="268">
                  <c:v>15</c:v>
                </c:pt>
                <c:pt idx="269">
                  <c:v>15</c:v>
                </c:pt>
                <c:pt idx="270">
                  <c:v>15</c:v>
                </c:pt>
                <c:pt idx="271">
                  <c:v>14</c:v>
                </c:pt>
                <c:pt idx="272">
                  <c:v>14</c:v>
                </c:pt>
                <c:pt idx="273">
                  <c:v>15</c:v>
                </c:pt>
                <c:pt idx="274">
                  <c:v>14</c:v>
                </c:pt>
                <c:pt idx="275">
                  <c:v>14</c:v>
                </c:pt>
                <c:pt idx="276">
                  <c:v>14</c:v>
                </c:pt>
                <c:pt idx="277">
                  <c:v>15</c:v>
                </c:pt>
                <c:pt idx="278">
                  <c:v>15</c:v>
                </c:pt>
                <c:pt idx="279">
                  <c:v>16</c:v>
                </c:pt>
                <c:pt idx="280">
                  <c:v>15</c:v>
                </c:pt>
                <c:pt idx="281">
                  <c:v>14</c:v>
                </c:pt>
                <c:pt idx="282">
                  <c:v>14.999999919999993</c:v>
                </c:pt>
                <c:pt idx="283">
                  <c:v>14.999999919999993</c:v>
                </c:pt>
                <c:pt idx="284">
                  <c:v>14.999999919999993</c:v>
                </c:pt>
                <c:pt idx="285">
                  <c:v>15</c:v>
                </c:pt>
                <c:pt idx="286">
                  <c:v>15.999999919999993</c:v>
                </c:pt>
                <c:pt idx="287">
                  <c:v>15.999999919999993</c:v>
                </c:pt>
                <c:pt idx="288">
                  <c:v>14.999999919999993</c:v>
                </c:pt>
                <c:pt idx="289">
                  <c:v>14.999999919999993</c:v>
                </c:pt>
                <c:pt idx="290">
                  <c:v>14</c:v>
                </c:pt>
                <c:pt idx="291">
                  <c:v>14.999999919999993</c:v>
                </c:pt>
                <c:pt idx="292">
                  <c:v>15</c:v>
                </c:pt>
                <c:pt idx="293">
                  <c:v>15</c:v>
                </c:pt>
                <c:pt idx="294">
                  <c:v>15</c:v>
                </c:pt>
                <c:pt idx="295">
                  <c:v>15.999999919999993</c:v>
                </c:pt>
                <c:pt idx="296">
                  <c:v>15.999999919999993</c:v>
                </c:pt>
                <c:pt idx="297">
                  <c:v>15.999999919999993</c:v>
                </c:pt>
                <c:pt idx="298">
                  <c:v>16</c:v>
                </c:pt>
                <c:pt idx="299">
                  <c:v>17</c:v>
                </c:pt>
                <c:pt idx="300">
                  <c:v>17</c:v>
                </c:pt>
                <c:pt idx="301">
                  <c:v>16</c:v>
                </c:pt>
                <c:pt idx="302">
                  <c:v>17</c:v>
                </c:pt>
                <c:pt idx="303">
                  <c:v>18</c:v>
                </c:pt>
                <c:pt idx="304">
                  <c:v>18</c:v>
                </c:pt>
                <c:pt idx="305">
                  <c:v>18</c:v>
                </c:pt>
                <c:pt idx="306">
                  <c:v>18</c:v>
                </c:pt>
                <c:pt idx="307">
                  <c:v>19</c:v>
                </c:pt>
                <c:pt idx="308">
                  <c:v>18</c:v>
                </c:pt>
                <c:pt idx="309">
                  <c:v>17</c:v>
                </c:pt>
                <c:pt idx="310">
                  <c:v>17.999999919999993</c:v>
                </c:pt>
                <c:pt idx="311">
                  <c:v>18.999999919999993</c:v>
                </c:pt>
                <c:pt idx="312">
                  <c:v>18.999999919999993</c:v>
                </c:pt>
                <c:pt idx="313">
                  <c:v>17.999999919999993</c:v>
                </c:pt>
                <c:pt idx="314">
                  <c:v>18.999999919999993</c:v>
                </c:pt>
                <c:pt idx="315">
                  <c:v>19</c:v>
                </c:pt>
                <c:pt idx="316">
                  <c:v>20</c:v>
                </c:pt>
                <c:pt idx="317">
                  <c:v>20</c:v>
                </c:pt>
                <c:pt idx="318">
                  <c:v>19</c:v>
                </c:pt>
                <c:pt idx="319">
                  <c:v>19</c:v>
                </c:pt>
                <c:pt idx="320">
                  <c:v>19</c:v>
                </c:pt>
                <c:pt idx="321">
                  <c:v>19</c:v>
                </c:pt>
                <c:pt idx="322">
                  <c:v>19</c:v>
                </c:pt>
                <c:pt idx="323">
                  <c:v>19</c:v>
                </c:pt>
                <c:pt idx="324">
                  <c:v>19</c:v>
                </c:pt>
                <c:pt idx="325">
                  <c:v>19</c:v>
                </c:pt>
                <c:pt idx="326">
                  <c:v>18</c:v>
                </c:pt>
                <c:pt idx="327">
                  <c:v>18</c:v>
                </c:pt>
                <c:pt idx="328">
                  <c:v>18</c:v>
                </c:pt>
                <c:pt idx="329">
                  <c:v>18</c:v>
                </c:pt>
                <c:pt idx="330">
                  <c:v>18</c:v>
                </c:pt>
                <c:pt idx="331">
                  <c:v>18</c:v>
                </c:pt>
                <c:pt idx="332">
                  <c:v>18</c:v>
                </c:pt>
                <c:pt idx="333">
                  <c:v>18</c:v>
                </c:pt>
                <c:pt idx="334">
                  <c:v>17</c:v>
                </c:pt>
                <c:pt idx="335">
                  <c:v>18</c:v>
                </c:pt>
                <c:pt idx="336">
                  <c:v>18</c:v>
                </c:pt>
                <c:pt idx="337">
                  <c:v>19</c:v>
                </c:pt>
                <c:pt idx="338">
                  <c:v>20</c:v>
                </c:pt>
                <c:pt idx="339">
                  <c:v>20</c:v>
                </c:pt>
                <c:pt idx="340">
                  <c:v>20</c:v>
                </c:pt>
                <c:pt idx="341">
                  <c:v>19</c:v>
                </c:pt>
                <c:pt idx="342">
                  <c:v>19</c:v>
                </c:pt>
                <c:pt idx="343">
                  <c:v>18</c:v>
                </c:pt>
                <c:pt idx="344">
                  <c:v>17</c:v>
                </c:pt>
                <c:pt idx="345">
                  <c:v>16</c:v>
                </c:pt>
                <c:pt idx="346">
                  <c:v>16</c:v>
                </c:pt>
                <c:pt idx="347">
                  <c:v>16</c:v>
                </c:pt>
                <c:pt idx="348">
                  <c:v>15</c:v>
                </c:pt>
                <c:pt idx="349">
                  <c:v>15</c:v>
                </c:pt>
                <c:pt idx="350">
                  <c:v>14</c:v>
                </c:pt>
                <c:pt idx="351">
                  <c:v>15</c:v>
                </c:pt>
                <c:pt idx="352">
                  <c:v>15</c:v>
                </c:pt>
                <c:pt idx="353">
                  <c:v>15</c:v>
                </c:pt>
                <c:pt idx="354">
                  <c:v>15</c:v>
                </c:pt>
                <c:pt idx="355">
                  <c:v>14</c:v>
                </c:pt>
                <c:pt idx="356">
                  <c:v>15</c:v>
                </c:pt>
                <c:pt idx="357">
                  <c:v>15</c:v>
                </c:pt>
                <c:pt idx="358">
                  <c:v>15</c:v>
                </c:pt>
                <c:pt idx="359">
                  <c:v>14</c:v>
                </c:pt>
                <c:pt idx="360">
                  <c:v>14</c:v>
                </c:pt>
                <c:pt idx="361">
                  <c:v>14</c:v>
                </c:pt>
                <c:pt idx="362">
                  <c:v>14</c:v>
                </c:pt>
                <c:pt idx="363">
                  <c:v>14</c:v>
                </c:pt>
                <c:pt idx="364">
                  <c:v>14</c:v>
                </c:pt>
                <c:pt idx="365">
                  <c:v>14</c:v>
                </c:pt>
                <c:pt idx="366">
                  <c:v>14</c:v>
                </c:pt>
                <c:pt idx="367">
                  <c:v>15</c:v>
                </c:pt>
                <c:pt idx="368">
                  <c:v>15</c:v>
                </c:pt>
                <c:pt idx="369">
                  <c:v>15</c:v>
                </c:pt>
                <c:pt idx="370">
                  <c:v>15</c:v>
                </c:pt>
                <c:pt idx="371">
                  <c:v>15</c:v>
                </c:pt>
                <c:pt idx="372">
                  <c:v>16</c:v>
                </c:pt>
                <c:pt idx="373">
                  <c:v>16</c:v>
                </c:pt>
                <c:pt idx="374">
                  <c:v>15</c:v>
                </c:pt>
                <c:pt idx="375">
                  <c:v>15</c:v>
                </c:pt>
                <c:pt idx="376">
                  <c:v>15</c:v>
                </c:pt>
                <c:pt idx="377">
                  <c:v>15</c:v>
                </c:pt>
                <c:pt idx="378">
                  <c:v>16</c:v>
                </c:pt>
                <c:pt idx="379">
                  <c:v>15</c:v>
                </c:pt>
                <c:pt idx="380">
                  <c:v>16</c:v>
                </c:pt>
                <c:pt idx="381">
                  <c:v>16</c:v>
                </c:pt>
                <c:pt idx="382">
                  <c:v>17</c:v>
                </c:pt>
                <c:pt idx="383">
                  <c:v>17</c:v>
                </c:pt>
                <c:pt idx="384">
                  <c:v>17</c:v>
                </c:pt>
                <c:pt idx="385">
                  <c:v>18</c:v>
                </c:pt>
                <c:pt idx="386">
                  <c:v>18</c:v>
                </c:pt>
                <c:pt idx="387">
                  <c:v>17</c:v>
                </c:pt>
                <c:pt idx="388">
                  <c:v>17</c:v>
                </c:pt>
                <c:pt idx="389">
                  <c:v>17</c:v>
                </c:pt>
                <c:pt idx="390">
                  <c:v>17</c:v>
                </c:pt>
                <c:pt idx="391">
                  <c:v>16</c:v>
                </c:pt>
                <c:pt idx="392">
                  <c:v>16</c:v>
                </c:pt>
                <c:pt idx="393">
                  <c:v>16</c:v>
                </c:pt>
                <c:pt idx="394">
                  <c:v>15</c:v>
                </c:pt>
                <c:pt idx="395">
                  <c:v>15</c:v>
                </c:pt>
                <c:pt idx="396">
                  <c:v>14</c:v>
                </c:pt>
                <c:pt idx="397">
                  <c:v>14</c:v>
                </c:pt>
                <c:pt idx="398">
                  <c:v>14</c:v>
                </c:pt>
                <c:pt idx="399">
                  <c:v>14</c:v>
                </c:pt>
                <c:pt idx="400">
                  <c:v>15</c:v>
                </c:pt>
                <c:pt idx="401">
                  <c:v>15</c:v>
                </c:pt>
                <c:pt idx="402">
                  <c:v>14</c:v>
                </c:pt>
                <c:pt idx="403">
                  <c:v>14</c:v>
                </c:pt>
                <c:pt idx="404">
                  <c:v>14</c:v>
                </c:pt>
                <c:pt idx="405">
                  <c:v>13</c:v>
                </c:pt>
                <c:pt idx="406">
                  <c:v>12</c:v>
                </c:pt>
                <c:pt idx="407">
                  <c:v>11</c:v>
                </c:pt>
                <c:pt idx="408">
                  <c:v>11</c:v>
                </c:pt>
                <c:pt idx="409">
                  <c:v>11</c:v>
                </c:pt>
                <c:pt idx="410">
                  <c:v>11</c:v>
                </c:pt>
                <c:pt idx="411">
                  <c:v>11</c:v>
                </c:pt>
                <c:pt idx="412">
                  <c:v>11</c:v>
                </c:pt>
                <c:pt idx="413">
                  <c:v>11</c:v>
                </c:pt>
                <c:pt idx="414">
                  <c:v>10</c:v>
                </c:pt>
                <c:pt idx="415">
                  <c:v>11</c:v>
                </c:pt>
                <c:pt idx="416">
                  <c:v>12</c:v>
                </c:pt>
                <c:pt idx="417">
                  <c:v>12</c:v>
                </c:pt>
                <c:pt idx="418">
                  <c:v>12</c:v>
                </c:pt>
                <c:pt idx="419">
                  <c:v>12</c:v>
                </c:pt>
                <c:pt idx="420">
                  <c:v>12</c:v>
                </c:pt>
                <c:pt idx="421">
                  <c:v>12</c:v>
                </c:pt>
                <c:pt idx="422">
                  <c:v>13</c:v>
                </c:pt>
                <c:pt idx="423">
                  <c:v>13</c:v>
                </c:pt>
                <c:pt idx="424">
                  <c:v>13</c:v>
                </c:pt>
                <c:pt idx="425">
                  <c:v>13</c:v>
                </c:pt>
                <c:pt idx="426">
                  <c:v>14</c:v>
                </c:pt>
                <c:pt idx="427">
                  <c:v>14</c:v>
                </c:pt>
                <c:pt idx="428">
                  <c:v>13</c:v>
                </c:pt>
                <c:pt idx="429">
                  <c:v>13</c:v>
                </c:pt>
                <c:pt idx="430">
                  <c:v>14</c:v>
                </c:pt>
                <c:pt idx="431">
                  <c:v>14</c:v>
                </c:pt>
                <c:pt idx="432">
                  <c:v>14</c:v>
                </c:pt>
                <c:pt idx="433">
                  <c:v>15</c:v>
                </c:pt>
                <c:pt idx="434">
                  <c:v>14</c:v>
                </c:pt>
                <c:pt idx="435">
                  <c:v>14</c:v>
                </c:pt>
                <c:pt idx="436">
                  <c:v>14</c:v>
                </c:pt>
                <c:pt idx="437">
                  <c:v>14</c:v>
                </c:pt>
                <c:pt idx="438">
                  <c:v>13</c:v>
                </c:pt>
                <c:pt idx="439">
                  <c:v>13</c:v>
                </c:pt>
                <c:pt idx="440">
                  <c:v>13</c:v>
                </c:pt>
                <c:pt idx="441">
                  <c:v>13</c:v>
                </c:pt>
                <c:pt idx="442">
                  <c:v>13</c:v>
                </c:pt>
                <c:pt idx="443">
                  <c:v>13</c:v>
                </c:pt>
                <c:pt idx="444">
                  <c:v>13</c:v>
                </c:pt>
                <c:pt idx="445">
                  <c:v>13</c:v>
                </c:pt>
                <c:pt idx="446">
                  <c:v>13</c:v>
                </c:pt>
                <c:pt idx="447">
                  <c:v>13</c:v>
                </c:pt>
                <c:pt idx="448">
                  <c:v>13</c:v>
                </c:pt>
                <c:pt idx="449">
                  <c:v>13</c:v>
                </c:pt>
                <c:pt idx="450">
                  <c:v>13</c:v>
                </c:pt>
                <c:pt idx="451">
                  <c:v>12</c:v>
                </c:pt>
                <c:pt idx="452">
                  <c:v>13</c:v>
                </c:pt>
                <c:pt idx="453">
                  <c:v>13</c:v>
                </c:pt>
                <c:pt idx="454">
                  <c:v>13</c:v>
                </c:pt>
                <c:pt idx="455">
                  <c:v>12</c:v>
                </c:pt>
                <c:pt idx="456">
                  <c:v>11</c:v>
                </c:pt>
                <c:pt idx="457">
                  <c:v>11</c:v>
                </c:pt>
                <c:pt idx="458">
                  <c:v>11</c:v>
                </c:pt>
                <c:pt idx="459">
                  <c:v>11</c:v>
                </c:pt>
                <c:pt idx="460">
                  <c:v>12</c:v>
                </c:pt>
                <c:pt idx="461">
                  <c:v>11</c:v>
                </c:pt>
                <c:pt idx="462">
                  <c:v>11</c:v>
                </c:pt>
                <c:pt idx="463">
                  <c:v>10</c:v>
                </c:pt>
                <c:pt idx="464">
                  <c:v>10</c:v>
                </c:pt>
                <c:pt idx="465">
                  <c:v>9</c:v>
                </c:pt>
                <c:pt idx="466">
                  <c:v>9</c:v>
                </c:pt>
                <c:pt idx="467">
                  <c:v>9</c:v>
                </c:pt>
                <c:pt idx="468">
                  <c:v>8</c:v>
                </c:pt>
                <c:pt idx="469">
                  <c:v>8</c:v>
                </c:pt>
                <c:pt idx="470">
                  <c:v>8</c:v>
                </c:pt>
                <c:pt idx="471">
                  <c:v>7</c:v>
                </c:pt>
                <c:pt idx="472">
                  <c:v>8</c:v>
                </c:pt>
                <c:pt idx="473">
                  <c:v>9</c:v>
                </c:pt>
                <c:pt idx="474">
                  <c:v>9</c:v>
                </c:pt>
                <c:pt idx="475">
                  <c:v>8</c:v>
                </c:pt>
                <c:pt idx="476">
                  <c:v>9</c:v>
                </c:pt>
                <c:pt idx="477">
                  <c:v>8</c:v>
                </c:pt>
                <c:pt idx="478">
                  <c:v>8</c:v>
                </c:pt>
                <c:pt idx="479">
                  <c:v>8</c:v>
                </c:pt>
                <c:pt idx="480">
                  <c:v>8</c:v>
                </c:pt>
                <c:pt idx="481">
                  <c:v>8</c:v>
                </c:pt>
                <c:pt idx="482">
                  <c:v>7</c:v>
                </c:pt>
                <c:pt idx="483">
                  <c:v>8</c:v>
                </c:pt>
                <c:pt idx="484">
                  <c:v>8</c:v>
                </c:pt>
                <c:pt idx="485">
                  <c:v>8</c:v>
                </c:pt>
                <c:pt idx="486">
                  <c:v>8</c:v>
                </c:pt>
                <c:pt idx="487">
                  <c:v>8</c:v>
                </c:pt>
                <c:pt idx="488">
                  <c:v>7</c:v>
                </c:pt>
                <c:pt idx="489">
                  <c:v>7</c:v>
                </c:pt>
                <c:pt idx="490">
                  <c:v>7</c:v>
                </c:pt>
                <c:pt idx="491">
                  <c:v>7</c:v>
                </c:pt>
                <c:pt idx="492">
                  <c:v>6</c:v>
                </c:pt>
                <c:pt idx="493">
                  <c:v>6</c:v>
                </c:pt>
                <c:pt idx="494">
                  <c:v>6</c:v>
                </c:pt>
                <c:pt idx="495">
                  <c:v>6</c:v>
                </c:pt>
                <c:pt idx="496">
                  <c:v>6</c:v>
                </c:pt>
                <c:pt idx="497">
                  <c:v>6</c:v>
                </c:pt>
                <c:pt idx="498">
                  <c:v>6</c:v>
                </c:pt>
                <c:pt idx="499">
                  <c:v>5</c:v>
                </c:pt>
                <c:pt idx="500">
                  <c:v>5</c:v>
                </c:pt>
                <c:pt idx="501">
                  <c:v>5</c:v>
                </c:pt>
                <c:pt idx="502">
                  <c:v>6</c:v>
                </c:pt>
                <c:pt idx="503">
                  <c:v>6</c:v>
                </c:pt>
                <c:pt idx="504">
                  <c:v>6</c:v>
                </c:pt>
                <c:pt idx="505">
                  <c:v>6</c:v>
                </c:pt>
                <c:pt idx="506">
                  <c:v>6</c:v>
                </c:pt>
                <c:pt idx="507">
                  <c:v>7</c:v>
                </c:pt>
                <c:pt idx="508">
                  <c:v>7</c:v>
                </c:pt>
                <c:pt idx="509">
                  <c:v>8</c:v>
                </c:pt>
                <c:pt idx="510">
                  <c:v>9</c:v>
                </c:pt>
                <c:pt idx="511">
                  <c:v>8</c:v>
                </c:pt>
                <c:pt idx="512">
                  <c:v>9</c:v>
                </c:pt>
                <c:pt idx="513">
                  <c:v>10</c:v>
                </c:pt>
                <c:pt idx="514">
                  <c:v>10</c:v>
                </c:pt>
                <c:pt idx="515">
                  <c:v>10</c:v>
                </c:pt>
                <c:pt idx="516">
                  <c:v>10</c:v>
                </c:pt>
                <c:pt idx="517">
                  <c:v>9</c:v>
                </c:pt>
                <c:pt idx="518">
                  <c:v>9</c:v>
                </c:pt>
                <c:pt idx="519">
                  <c:v>9</c:v>
                </c:pt>
                <c:pt idx="520">
                  <c:v>9</c:v>
                </c:pt>
                <c:pt idx="521">
                  <c:v>9</c:v>
                </c:pt>
                <c:pt idx="522">
                  <c:v>8</c:v>
                </c:pt>
                <c:pt idx="523">
                  <c:v>8</c:v>
                </c:pt>
                <c:pt idx="524">
                  <c:v>9</c:v>
                </c:pt>
                <c:pt idx="525">
                  <c:v>9</c:v>
                </c:pt>
                <c:pt idx="526">
                  <c:v>9</c:v>
                </c:pt>
                <c:pt idx="527">
                  <c:v>8</c:v>
                </c:pt>
                <c:pt idx="528">
                  <c:v>9</c:v>
                </c:pt>
                <c:pt idx="529">
                  <c:v>10</c:v>
                </c:pt>
                <c:pt idx="530">
                  <c:v>12</c:v>
                </c:pt>
                <c:pt idx="531">
                  <c:v>13</c:v>
                </c:pt>
              </c:numCache>
            </c:numRef>
          </c:val>
          <c:smooth val="0"/>
          <c:extLst>
            <c:ext xmlns:c16="http://schemas.microsoft.com/office/drawing/2014/chart" uri="{C3380CC4-5D6E-409C-BE32-E72D297353CC}">
              <c16:uniqueId val="{00000000-9E2D-4435-8F50-B600EDC36854}"/>
            </c:ext>
          </c:extLst>
        </c:ser>
        <c:dLbls>
          <c:showLegendKey val="0"/>
          <c:showVal val="0"/>
          <c:showCatName val="0"/>
          <c:showSerName val="0"/>
          <c:showPercent val="0"/>
          <c:showBubbleSize val="0"/>
        </c:dLbls>
        <c:smooth val="0"/>
        <c:axId val="841434607"/>
        <c:axId val="841433775"/>
      </c:lineChart>
      <c:dateAx>
        <c:axId val="841434607"/>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41433775"/>
        <c:crosses val="autoZero"/>
        <c:auto val="1"/>
        <c:lblOffset val="100"/>
        <c:baseTimeUnit val="days"/>
      </c:dateAx>
      <c:valAx>
        <c:axId val="8414337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4143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jpeg"/><Relationship Id="rId2" Type="http://schemas.openxmlformats.org/officeDocument/2006/relationships/image" Target="../media/image3.png"/><Relationship Id="rId16" Type="http://schemas.openxmlformats.org/officeDocument/2006/relationships/chart" Target="../charts/chart3.xml"/><Relationship Id="rId1" Type="http://schemas.openxmlformats.org/officeDocument/2006/relationships/image" Target="../media/image2.jpe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3.xml.rels><?xml version="1.0" encoding="UTF-8" standalone="yes"?>
<Relationships xmlns="http://schemas.openxmlformats.org/package/2006/relationships"><Relationship Id="rId13" Type="http://schemas.openxmlformats.org/officeDocument/2006/relationships/chart" Target="../charts/chart5.xml"/><Relationship Id="rId3" Type="http://schemas.openxmlformats.org/officeDocument/2006/relationships/image" Target="../media/image17.png"/><Relationship Id="rId7" Type="http://schemas.openxmlformats.org/officeDocument/2006/relationships/customXml" Target="../ink/ink1.xml"/><Relationship Id="rId12" Type="http://schemas.openxmlformats.org/officeDocument/2006/relationships/image" Target="../media/image150.png"/><Relationship Id="rId2" Type="http://schemas.openxmlformats.org/officeDocument/2006/relationships/image" Target="../media/image5.png"/><Relationship Id="rId1" Type="http://schemas.openxmlformats.org/officeDocument/2006/relationships/image" Target="../media/image3.png"/><Relationship Id="rId6" Type="http://schemas.openxmlformats.org/officeDocument/2006/relationships/chart" Target="../charts/chart4.xml"/><Relationship Id="rId11" Type="http://schemas.openxmlformats.org/officeDocument/2006/relationships/customXml" Target="../ink/ink2.xml"/><Relationship Id="rId5" Type="http://schemas.openxmlformats.org/officeDocument/2006/relationships/image" Target="../media/image18.jpeg"/><Relationship Id="rId15" Type="http://schemas.openxmlformats.org/officeDocument/2006/relationships/image" Target="../media/image19.png"/><Relationship Id="rId10" Type="http://schemas.openxmlformats.org/officeDocument/2006/relationships/image" Target="../media/image140.png"/><Relationship Id="rId4" Type="http://schemas.openxmlformats.org/officeDocument/2006/relationships/image" Target="../media/image4.png"/><Relationship Id="rId14" Type="http://schemas.openxmlformats.org/officeDocument/2006/relationships/image" Target="../media/image11.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6.png"/><Relationship Id="rId1" Type="http://schemas.openxmlformats.org/officeDocument/2006/relationships/image" Target="../media/image3.png"/><Relationship Id="rId6" Type="http://schemas.openxmlformats.org/officeDocument/2006/relationships/image" Target="../media/image11.png"/><Relationship Id="rId5" Type="http://schemas.openxmlformats.org/officeDocument/2006/relationships/image" Target="../media/image5.png"/><Relationship Id="rId4" Type="http://schemas.openxmlformats.org/officeDocument/2006/relationships/image" Target="../media/image20.jpeg"/></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8" Type="http://schemas.openxmlformats.org/officeDocument/2006/relationships/image" Target="../media/image19.png"/><Relationship Id="rId13" Type="http://schemas.openxmlformats.org/officeDocument/2006/relationships/image" Target="../media/image8.png"/><Relationship Id="rId18" Type="http://schemas.openxmlformats.org/officeDocument/2006/relationships/image" Target="../media/image26.jpeg"/><Relationship Id="rId3" Type="http://schemas.openxmlformats.org/officeDocument/2006/relationships/image" Target="../media/image5.png"/><Relationship Id="rId7" Type="http://schemas.openxmlformats.org/officeDocument/2006/relationships/image" Target="../media/image4.png"/><Relationship Id="rId12" Type="http://schemas.openxmlformats.org/officeDocument/2006/relationships/image" Target="../media/image7.png"/><Relationship Id="rId17" Type="http://schemas.openxmlformats.org/officeDocument/2006/relationships/image" Target="../media/image12.png"/><Relationship Id="rId2" Type="http://schemas.openxmlformats.org/officeDocument/2006/relationships/image" Target="../media/image3.png"/><Relationship Id="rId16"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2.jpeg"/><Relationship Id="rId11" Type="http://schemas.openxmlformats.org/officeDocument/2006/relationships/image" Target="../media/image24.png"/><Relationship Id="rId5" Type="http://schemas.openxmlformats.org/officeDocument/2006/relationships/image" Target="../media/image21.jpeg"/><Relationship Id="rId15" Type="http://schemas.openxmlformats.org/officeDocument/2006/relationships/image" Target="../media/image9.png"/><Relationship Id="rId10" Type="http://schemas.openxmlformats.org/officeDocument/2006/relationships/image" Target="../media/image23.png"/><Relationship Id="rId19" Type="http://schemas.openxmlformats.org/officeDocument/2006/relationships/image" Target="../media/image13.jpeg"/><Relationship Id="rId4" Type="http://schemas.openxmlformats.org/officeDocument/2006/relationships/image" Target="../media/image6.png"/><Relationship Id="rId9" Type="http://schemas.openxmlformats.org/officeDocument/2006/relationships/image" Target="../media/image22.jpeg"/><Relationship Id="rId14" Type="http://schemas.openxmlformats.org/officeDocument/2006/relationships/image" Target="../media/image25.png"/></Relationships>
</file>

<file path=xl/drawings/_rels/drawing9.xml.rels><?xml version="1.0" encoding="UTF-8" standalone="yes"?>
<Relationships xmlns="http://schemas.openxmlformats.org/package/2006/relationships"><Relationship Id="rId8" Type="http://schemas.openxmlformats.org/officeDocument/2006/relationships/image" Target="../media/image22.jpeg"/><Relationship Id="rId13" Type="http://schemas.openxmlformats.org/officeDocument/2006/relationships/image" Target="../media/image8.png"/><Relationship Id="rId3" Type="http://schemas.openxmlformats.org/officeDocument/2006/relationships/image" Target="../media/image6.png"/><Relationship Id="rId7" Type="http://schemas.openxmlformats.org/officeDocument/2006/relationships/image" Target="../media/image19.png"/><Relationship Id="rId12" Type="http://schemas.openxmlformats.org/officeDocument/2006/relationships/image" Target="../media/image7.png"/><Relationship Id="rId17" Type="http://schemas.openxmlformats.org/officeDocument/2006/relationships/image" Target="../media/image12.png"/><Relationship Id="rId2" Type="http://schemas.openxmlformats.org/officeDocument/2006/relationships/image" Target="../media/image5.png"/><Relationship Id="rId16" Type="http://schemas.openxmlformats.org/officeDocument/2006/relationships/image" Target="../media/image11.png"/><Relationship Id="rId1" Type="http://schemas.openxmlformats.org/officeDocument/2006/relationships/image" Target="../media/image3.png"/><Relationship Id="rId6" Type="http://schemas.openxmlformats.org/officeDocument/2006/relationships/image" Target="../media/image4.png"/><Relationship Id="rId11" Type="http://schemas.openxmlformats.org/officeDocument/2006/relationships/image" Target="../media/image24.png"/><Relationship Id="rId5" Type="http://schemas.openxmlformats.org/officeDocument/2006/relationships/image" Target="../media/image27.jpeg"/><Relationship Id="rId15" Type="http://schemas.openxmlformats.org/officeDocument/2006/relationships/image" Target="../media/image9.png"/><Relationship Id="rId10" Type="http://schemas.openxmlformats.org/officeDocument/2006/relationships/image" Target="../media/image10.png"/><Relationship Id="rId4" Type="http://schemas.openxmlformats.org/officeDocument/2006/relationships/image" Target="../media/image21.jpeg"/><Relationship Id="rId9" Type="http://schemas.openxmlformats.org/officeDocument/2006/relationships/image" Target="../media/image23.png"/><Relationship Id="rId14" Type="http://schemas.openxmlformats.org/officeDocument/2006/relationships/image" Target="../media/image25.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9.png"/><Relationship Id="rId13" Type="http://schemas.openxmlformats.org/officeDocument/2006/relationships/image" Target="../media/image7.png"/><Relationship Id="rId3" Type="http://schemas.openxmlformats.org/officeDocument/2006/relationships/image" Target="../media/image6.png"/><Relationship Id="rId7" Type="http://schemas.openxmlformats.org/officeDocument/2006/relationships/image" Target="../media/image4.png"/><Relationship Id="rId12" Type="http://schemas.openxmlformats.org/officeDocument/2006/relationships/image" Target="../media/image24.png"/><Relationship Id="rId17" Type="http://schemas.openxmlformats.org/officeDocument/2006/relationships/image" Target="../media/image30.jfif"/><Relationship Id="rId2" Type="http://schemas.openxmlformats.org/officeDocument/2006/relationships/image" Target="../media/image5.png"/><Relationship Id="rId16" Type="http://schemas.openxmlformats.org/officeDocument/2006/relationships/image" Target="../media/image29.png"/><Relationship Id="rId1" Type="http://schemas.openxmlformats.org/officeDocument/2006/relationships/image" Target="../media/image3.png"/><Relationship Id="rId6" Type="http://schemas.openxmlformats.org/officeDocument/2006/relationships/image" Target="../media/image27.jpeg"/><Relationship Id="rId11" Type="http://schemas.openxmlformats.org/officeDocument/2006/relationships/image" Target="../media/image10.png"/><Relationship Id="rId5" Type="http://schemas.openxmlformats.org/officeDocument/2006/relationships/image" Target="../media/image21.jpeg"/><Relationship Id="rId15" Type="http://schemas.openxmlformats.org/officeDocument/2006/relationships/image" Target="../media/image8.png"/><Relationship Id="rId10" Type="http://schemas.openxmlformats.org/officeDocument/2006/relationships/image" Target="../media/image23.png"/><Relationship Id="rId4" Type="http://schemas.openxmlformats.org/officeDocument/2006/relationships/image" Target="../media/image28.png"/><Relationship Id="rId9" Type="http://schemas.openxmlformats.org/officeDocument/2006/relationships/image" Target="../media/image22.jpeg"/><Relationship Id="rId14" Type="http://schemas.openxmlformats.org/officeDocument/2006/relationships/image" Target="../media/image25.png"/></Relationships>
</file>

<file path=xl/drawings/_rels/drawing11.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6.png"/><Relationship Id="rId7" Type="http://schemas.openxmlformats.org/officeDocument/2006/relationships/image" Target="../media/image4.png"/><Relationship Id="rId2" Type="http://schemas.openxmlformats.org/officeDocument/2006/relationships/image" Target="../media/image5.png"/><Relationship Id="rId1" Type="http://schemas.openxmlformats.org/officeDocument/2006/relationships/image" Target="../media/image3.png"/><Relationship Id="rId6" Type="http://schemas.openxmlformats.org/officeDocument/2006/relationships/image" Target="../media/image31.jpeg"/><Relationship Id="rId5" Type="http://schemas.openxmlformats.org/officeDocument/2006/relationships/image" Target="../media/image21.jpeg"/><Relationship Id="rId10" Type="http://schemas.openxmlformats.org/officeDocument/2006/relationships/image" Target="../media/image23.png"/><Relationship Id="rId4" Type="http://schemas.openxmlformats.org/officeDocument/2006/relationships/image" Target="../media/image28.png"/><Relationship Id="rId9" Type="http://schemas.openxmlformats.org/officeDocument/2006/relationships/image" Target="../media/image22.jpeg"/></Relationships>
</file>

<file path=xl/drawings/_rels/drawing12.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6.png"/><Relationship Id="rId7" Type="http://schemas.openxmlformats.org/officeDocument/2006/relationships/image" Target="../media/image4.png"/><Relationship Id="rId2" Type="http://schemas.openxmlformats.org/officeDocument/2006/relationships/image" Target="../media/image5.png"/><Relationship Id="rId1" Type="http://schemas.openxmlformats.org/officeDocument/2006/relationships/image" Target="../media/image3.png"/><Relationship Id="rId6" Type="http://schemas.openxmlformats.org/officeDocument/2006/relationships/image" Target="../media/image31.jpeg"/><Relationship Id="rId5" Type="http://schemas.openxmlformats.org/officeDocument/2006/relationships/image" Target="../media/image21.jpeg"/><Relationship Id="rId10" Type="http://schemas.openxmlformats.org/officeDocument/2006/relationships/image" Target="../media/image23.png"/><Relationship Id="rId4" Type="http://schemas.openxmlformats.org/officeDocument/2006/relationships/image" Target="../media/image28.png"/><Relationship Id="rId9" Type="http://schemas.openxmlformats.org/officeDocument/2006/relationships/image" Target="../media/image22.jpeg"/></Relationships>
</file>

<file path=xl/drawings/_rels/drawing13.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23.png"/><Relationship Id="rId7" Type="http://schemas.openxmlformats.org/officeDocument/2006/relationships/image" Target="../media/image32.jpeg"/><Relationship Id="rId2" Type="http://schemas.openxmlformats.org/officeDocument/2006/relationships/image" Target="../media/image5.png"/><Relationship Id="rId1" Type="http://schemas.openxmlformats.org/officeDocument/2006/relationships/image" Target="../media/image3.png"/><Relationship Id="rId6" Type="http://schemas.openxmlformats.org/officeDocument/2006/relationships/image" Target="../media/image21.jpeg"/><Relationship Id="rId5" Type="http://schemas.openxmlformats.org/officeDocument/2006/relationships/image" Target="../media/image28.png"/><Relationship Id="rId10" Type="http://schemas.openxmlformats.org/officeDocument/2006/relationships/image" Target="../media/image22.jpeg"/><Relationship Id="rId4" Type="http://schemas.openxmlformats.org/officeDocument/2006/relationships/image" Target="../media/image6.png"/><Relationship Id="rId9" Type="http://schemas.openxmlformats.org/officeDocument/2006/relationships/image" Target="../media/image19.png"/></Relationships>
</file>

<file path=xl/drawings/_rels/drawing14.xml.rels><?xml version="1.0" encoding="UTF-8" standalone="yes"?>
<Relationships xmlns="http://schemas.openxmlformats.org/package/2006/relationships"><Relationship Id="rId8" Type="http://schemas.openxmlformats.org/officeDocument/2006/relationships/image" Target="../media/image21.jpeg"/><Relationship Id="rId3" Type="http://schemas.openxmlformats.org/officeDocument/2006/relationships/image" Target="../media/image23.png"/><Relationship Id="rId7" Type="http://schemas.openxmlformats.org/officeDocument/2006/relationships/image" Target="../media/image28.png"/><Relationship Id="rId2" Type="http://schemas.openxmlformats.org/officeDocument/2006/relationships/image" Target="../media/image5.png"/><Relationship Id="rId1" Type="http://schemas.openxmlformats.org/officeDocument/2006/relationships/image" Target="../media/image3.png"/><Relationship Id="rId6" Type="http://schemas.openxmlformats.org/officeDocument/2006/relationships/image" Target="../media/image4.png"/><Relationship Id="rId11" Type="http://schemas.openxmlformats.org/officeDocument/2006/relationships/image" Target="../media/image34.jpeg"/><Relationship Id="rId5" Type="http://schemas.openxmlformats.org/officeDocument/2006/relationships/image" Target="../media/image31.jpeg"/><Relationship Id="rId10" Type="http://schemas.openxmlformats.org/officeDocument/2006/relationships/image" Target="../media/image19.png"/><Relationship Id="rId4" Type="http://schemas.openxmlformats.org/officeDocument/2006/relationships/image" Target="../media/image6.png"/><Relationship Id="rId9" Type="http://schemas.openxmlformats.org/officeDocument/2006/relationships/image" Target="../media/image3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28</xdr:row>
      <xdr:rowOff>57557</xdr:rowOff>
    </xdr:from>
    <xdr:to>
      <xdr:col>14</xdr:col>
      <xdr:colOff>3962152</xdr:colOff>
      <xdr:row>55</xdr:row>
      <xdr:rowOff>188026</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122464</xdr:colOff>
      <xdr:row>27</xdr:row>
      <xdr:rowOff>157684</xdr:rowOff>
    </xdr:from>
    <xdr:to>
      <xdr:col>28</xdr:col>
      <xdr:colOff>645138</xdr:colOff>
      <xdr:row>55</xdr:row>
      <xdr:rowOff>68036</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605426</xdr:colOff>
      <xdr:row>10</xdr:row>
      <xdr:rowOff>20379</xdr:rowOff>
    </xdr:from>
    <xdr:to>
      <xdr:col>13</xdr:col>
      <xdr:colOff>792751</xdr:colOff>
      <xdr:row>11</xdr:row>
      <xdr:rowOff>1545</xdr:rowOff>
    </xdr:to>
    <xdr:pic>
      <xdr:nvPicPr>
        <xdr:cNvPr id="7" name="Picture 9">
          <a:extLst>
            <a:ext uri="{FF2B5EF4-FFF2-40B4-BE49-F238E27FC236}">
              <a16:creationId xmlns:a16="http://schemas.microsoft.com/office/drawing/2014/main" id="{785DD5E6-A3CA-4EA5-BEFC-D9716A4884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02712" y="2268279"/>
          <a:ext cx="190500" cy="193437"/>
        </a:xfrm>
        <a:prstGeom prst="rect">
          <a:avLst/>
        </a:prstGeom>
      </xdr:spPr>
    </xdr:pic>
    <xdr:clientData/>
  </xdr:twoCellAnchor>
  <xdr:twoCellAnchor editAs="oneCell">
    <xdr:from>
      <xdr:col>13</xdr:col>
      <xdr:colOff>542982</xdr:colOff>
      <xdr:row>12</xdr:row>
      <xdr:rowOff>24848</xdr:rowOff>
    </xdr:from>
    <xdr:to>
      <xdr:col>13</xdr:col>
      <xdr:colOff>836148</xdr:colOff>
      <xdr:row>13</xdr:row>
      <xdr:rowOff>881</xdr:rowOff>
    </xdr:to>
    <xdr:pic>
      <xdr:nvPicPr>
        <xdr:cNvPr id="8" name="Picture 10">
          <a:extLst>
            <a:ext uri="{FF2B5EF4-FFF2-40B4-BE49-F238E27FC236}">
              <a16:creationId xmlns:a16="http://schemas.microsoft.com/office/drawing/2014/main" id="{4D0E08F6-FED8-41A2-ADEC-DE16D5EE0387}"/>
            </a:ext>
          </a:extLst>
        </xdr:cNvPr>
        <xdr:cNvPicPr>
          <a:picLocks noChangeAspect="1"/>
        </xdr:cNvPicPr>
      </xdr:nvPicPr>
      <xdr:blipFill>
        <a:blip xmlns:r="http://schemas.openxmlformats.org/officeDocument/2006/relationships" r:embed="rId2"/>
        <a:stretch>
          <a:fillRect/>
        </a:stretch>
      </xdr:blipFill>
      <xdr:spPr>
        <a:xfrm>
          <a:off x="6040268" y="2697291"/>
          <a:ext cx="293166" cy="188304"/>
        </a:xfrm>
        <a:prstGeom prst="rect">
          <a:avLst/>
        </a:prstGeom>
      </xdr:spPr>
    </xdr:pic>
    <xdr:clientData/>
  </xdr:twoCellAnchor>
  <xdr:twoCellAnchor editAs="oneCell">
    <xdr:from>
      <xdr:col>13</xdr:col>
      <xdr:colOff>619390</xdr:colOff>
      <xdr:row>11</xdr:row>
      <xdr:rowOff>29052</xdr:rowOff>
    </xdr:from>
    <xdr:to>
      <xdr:col>13</xdr:col>
      <xdr:colOff>793265</xdr:colOff>
      <xdr:row>12</xdr:row>
      <xdr:rowOff>1995</xdr:rowOff>
    </xdr:to>
    <xdr:pic>
      <xdr:nvPicPr>
        <xdr:cNvPr id="9" name="Picture 11">
          <a:extLst>
            <a:ext uri="{FF2B5EF4-FFF2-40B4-BE49-F238E27FC236}">
              <a16:creationId xmlns:a16="http://schemas.microsoft.com/office/drawing/2014/main" id="{75EE1295-7E1A-4890-9FD4-A459D806663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16676" y="2489223"/>
          <a:ext cx="177050" cy="185215"/>
        </a:xfrm>
        <a:prstGeom prst="rect">
          <a:avLst/>
        </a:prstGeom>
      </xdr:spPr>
    </xdr:pic>
    <xdr:clientData/>
  </xdr:twoCellAnchor>
  <xdr:twoCellAnchor editAs="oneCell">
    <xdr:from>
      <xdr:col>13</xdr:col>
      <xdr:colOff>595830</xdr:colOff>
      <xdr:row>9</xdr:row>
      <xdr:rowOff>21225</xdr:rowOff>
    </xdr:from>
    <xdr:to>
      <xdr:col>13</xdr:col>
      <xdr:colOff>778994</xdr:colOff>
      <xdr:row>9</xdr:row>
      <xdr:rowOff>183701</xdr:rowOff>
    </xdr:to>
    <xdr:pic>
      <xdr:nvPicPr>
        <xdr:cNvPr id="10" name="Picture 12">
          <a:extLst>
            <a:ext uri="{FF2B5EF4-FFF2-40B4-BE49-F238E27FC236}">
              <a16:creationId xmlns:a16="http://schemas.microsoft.com/office/drawing/2014/main" id="{88468959-3298-4F27-A93A-3CD6539EF2D4}"/>
            </a:ext>
          </a:extLst>
        </xdr:cNvPr>
        <xdr:cNvPicPr>
          <a:picLocks noChangeAspect="1"/>
        </xdr:cNvPicPr>
      </xdr:nvPicPr>
      <xdr:blipFill>
        <a:blip xmlns:r="http://schemas.openxmlformats.org/officeDocument/2006/relationships" r:embed="rId4"/>
        <a:stretch>
          <a:fillRect/>
        </a:stretch>
      </xdr:blipFill>
      <xdr:spPr>
        <a:xfrm>
          <a:off x="6093116" y="2056854"/>
          <a:ext cx="183164" cy="165651"/>
        </a:xfrm>
        <a:prstGeom prst="rect">
          <a:avLst/>
        </a:prstGeom>
      </xdr:spPr>
    </xdr:pic>
    <xdr:clientData/>
  </xdr:twoCellAnchor>
  <xdr:twoCellAnchor>
    <xdr:from>
      <xdr:col>13</xdr:col>
      <xdr:colOff>572065</xdr:colOff>
      <xdr:row>8</xdr:row>
      <xdr:rowOff>1308</xdr:rowOff>
    </xdr:from>
    <xdr:to>
      <xdr:col>13</xdr:col>
      <xdr:colOff>779131</xdr:colOff>
      <xdr:row>8</xdr:row>
      <xdr:rowOff>205240</xdr:rowOff>
    </xdr:to>
    <xdr:pic>
      <xdr:nvPicPr>
        <xdr:cNvPr id="11" name="Picture 1" descr="https://static.thenounproject.com/png/200330-200.png">
          <a:extLst>
            <a:ext uri="{FF2B5EF4-FFF2-40B4-BE49-F238E27FC236}">
              <a16:creationId xmlns:a16="http://schemas.microsoft.com/office/drawing/2014/main" id="{45CA75D7-23D0-4EE6-928F-F372A7D24F4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069351" y="1824665"/>
          <a:ext cx="207066" cy="203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786829</xdr:colOff>
      <xdr:row>11</xdr:row>
      <xdr:rowOff>33224</xdr:rowOff>
    </xdr:from>
    <xdr:to>
      <xdr:col>13</xdr:col>
      <xdr:colOff>963879</xdr:colOff>
      <xdr:row>12</xdr:row>
      <xdr:rowOff>724</xdr:rowOff>
    </xdr:to>
    <xdr:pic>
      <xdr:nvPicPr>
        <xdr:cNvPr id="17" name="Picture 21">
          <a:extLst>
            <a:ext uri="{FF2B5EF4-FFF2-40B4-BE49-F238E27FC236}">
              <a16:creationId xmlns:a16="http://schemas.microsoft.com/office/drawing/2014/main" id="{BF65A292-73F2-4C16-9468-6DE417F5F6F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84115" y="2493395"/>
          <a:ext cx="180225" cy="179772"/>
        </a:xfrm>
        <a:prstGeom prst="rect">
          <a:avLst/>
        </a:prstGeom>
      </xdr:spPr>
    </xdr:pic>
    <xdr:clientData/>
  </xdr:twoCellAnchor>
  <xdr:twoCellAnchor editAs="oneCell">
    <xdr:from>
      <xdr:col>13</xdr:col>
      <xdr:colOff>761325</xdr:colOff>
      <xdr:row>6</xdr:row>
      <xdr:rowOff>203855</xdr:rowOff>
    </xdr:from>
    <xdr:to>
      <xdr:col>13</xdr:col>
      <xdr:colOff>963957</xdr:colOff>
      <xdr:row>7</xdr:row>
      <xdr:rowOff>189595</xdr:rowOff>
    </xdr:to>
    <xdr:pic>
      <xdr:nvPicPr>
        <xdr:cNvPr id="23" name="Picture 22">
          <a:extLst>
            <a:ext uri="{FF2B5EF4-FFF2-40B4-BE49-F238E27FC236}">
              <a16:creationId xmlns:a16="http://schemas.microsoft.com/office/drawing/2014/main" id="{465DA7C8-81DA-4ACC-A116-03A2B05FC2EA}"/>
            </a:ext>
          </a:extLst>
        </xdr:cNvPr>
        <xdr:cNvPicPr>
          <a:picLocks noChangeAspect="1"/>
        </xdr:cNvPicPr>
      </xdr:nvPicPr>
      <xdr:blipFill>
        <a:blip xmlns:r="http://schemas.openxmlformats.org/officeDocument/2006/relationships" r:embed="rId6"/>
        <a:stretch>
          <a:fillRect/>
        </a:stretch>
      </xdr:blipFill>
      <xdr:spPr>
        <a:xfrm>
          <a:off x="6258611" y="1608112"/>
          <a:ext cx="205807" cy="198012"/>
        </a:xfrm>
        <a:prstGeom prst="rect">
          <a:avLst/>
        </a:prstGeom>
      </xdr:spPr>
    </xdr:pic>
    <xdr:clientData/>
  </xdr:twoCellAnchor>
  <xdr:twoCellAnchor editAs="oneCell">
    <xdr:from>
      <xdr:col>13</xdr:col>
      <xdr:colOff>852872</xdr:colOff>
      <xdr:row>12</xdr:row>
      <xdr:rowOff>4022</xdr:rowOff>
    </xdr:from>
    <xdr:to>
      <xdr:col>13</xdr:col>
      <xdr:colOff>1059563</xdr:colOff>
      <xdr:row>13</xdr:row>
      <xdr:rowOff>2721</xdr:rowOff>
    </xdr:to>
    <xdr:pic>
      <xdr:nvPicPr>
        <xdr:cNvPr id="24" name="Picture 23">
          <a:extLst>
            <a:ext uri="{FF2B5EF4-FFF2-40B4-BE49-F238E27FC236}">
              <a16:creationId xmlns:a16="http://schemas.microsoft.com/office/drawing/2014/main" id="{E42788D1-C2E2-4D86-A670-E79BB2105D8E}"/>
            </a:ext>
          </a:extLst>
        </xdr:cNvPr>
        <xdr:cNvPicPr>
          <a:picLocks noChangeAspect="1"/>
        </xdr:cNvPicPr>
      </xdr:nvPicPr>
      <xdr:blipFill>
        <a:blip xmlns:r="http://schemas.openxmlformats.org/officeDocument/2006/relationships" r:embed="rId7"/>
        <a:stretch>
          <a:fillRect/>
        </a:stretch>
      </xdr:blipFill>
      <xdr:spPr>
        <a:xfrm>
          <a:off x="6350158" y="2676465"/>
          <a:ext cx="209866" cy="210970"/>
        </a:xfrm>
        <a:prstGeom prst="rect">
          <a:avLst/>
        </a:prstGeom>
      </xdr:spPr>
    </xdr:pic>
    <xdr:clientData/>
  </xdr:twoCellAnchor>
  <xdr:twoCellAnchor editAs="oneCell">
    <xdr:from>
      <xdr:col>13</xdr:col>
      <xdr:colOff>1011643</xdr:colOff>
      <xdr:row>11</xdr:row>
      <xdr:rowOff>13345</xdr:rowOff>
    </xdr:from>
    <xdr:to>
      <xdr:col>13</xdr:col>
      <xdr:colOff>1198218</xdr:colOff>
      <xdr:row>12</xdr:row>
      <xdr:rowOff>2419</xdr:rowOff>
    </xdr:to>
    <xdr:pic>
      <xdr:nvPicPr>
        <xdr:cNvPr id="34" name="Picture 21">
          <a:extLst>
            <a:ext uri="{FF2B5EF4-FFF2-40B4-BE49-F238E27FC236}">
              <a16:creationId xmlns:a16="http://schemas.microsoft.com/office/drawing/2014/main" id="{3C8E07FE-8D24-489D-AA12-42DD871B0BE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508929" y="2473516"/>
          <a:ext cx="186575" cy="201346"/>
        </a:xfrm>
        <a:prstGeom prst="rect">
          <a:avLst/>
        </a:prstGeom>
      </xdr:spPr>
    </xdr:pic>
    <xdr:clientData/>
  </xdr:twoCellAnchor>
  <xdr:twoCellAnchor editAs="oneCell">
    <xdr:from>
      <xdr:col>13</xdr:col>
      <xdr:colOff>1239770</xdr:colOff>
      <xdr:row>11</xdr:row>
      <xdr:rowOff>23758</xdr:rowOff>
    </xdr:from>
    <xdr:to>
      <xdr:col>13</xdr:col>
      <xdr:colOff>1426345</xdr:colOff>
      <xdr:row>12</xdr:row>
      <xdr:rowOff>16007</xdr:rowOff>
    </xdr:to>
    <xdr:pic>
      <xdr:nvPicPr>
        <xdr:cNvPr id="35" name="Picture 21">
          <a:extLst>
            <a:ext uri="{FF2B5EF4-FFF2-40B4-BE49-F238E27FC236}">
              <a16:creationId xmlns:a16="http://schemas.microsoft.com/office/drawing/2014/main" id="{186C9B7E-8F90-404C-8AC7-41BCC4E5B7C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737056" y="2483929"/>
          <a:ext cx="186575" cy="204521"/>
        </a:xfrm>
        <a:prstGeom prst="rect">
          <a:avLst/>
        </a:prstGeom>
      </xdr:spPr>
    </xdr:pic>
    <xdr:clientData/>
  </xdr:twoCellAnchor>
  <xdr:twoCellAnchor editAs="oneCell">
    <xdr:from>
      <xdr:col>13</xdr:col>
      <xdr:colOff>780975</xdr:colOff>
      <xdr:row>9</xdr:row>
      <xdr:rowOff>9576</xdr:rowOff>
    </xdr:from>
    <xdr:to>
      <xdr:col>13</xdr:col>
      <xdr:colOff>868964</xdr:colOff>
      <xdr:row>9</xdr:row>
      <xdr:rowOff>152264</xdr:rowOff>
    </xdr:to>
    <xdr:pic>
      <xdr:nvPicPr>
        <xdr:cNvPr id="39" name="Picture 17">
          <a:extLst>
            <a:ext uri="{FF2B5EF4-FFF2-40B4-BE49-F238E27FC236}">
              <a16:creationId xmlns:a16="http://schemas.microsoft.com/office/drawing/2014/main" id="{4D0B9D11-915A-4644-BAC9-D53978C832A4}"/>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r="48454" b="2315"/>
        <a:stretch/>
      </xdr:blipFill>
      <xdr:spPr>
        <a:xfrm>
          <a:off x="6278261" y="2045205"/>
          <a:ext cx="91164" cy="142688"/>
        </a:xfrm>
        <a:prstGeom prst="rect">
          <a:avLst/>
        </a:prstGeom>
      </xdr:spPr>
    </xdr:pic>
    <xdr:clientData/>
  </xdr:twoCellAnchor>
  <xdr:twoCellAnchor editAs="oneCell">
    <xdr:from>
      <xdr:col>13</xdr:col>
      <xdr:colOff>1104902</xdr:colOff>
      <xdr:row>9</xdr:row>
      <xdr:rowOff>6222</xdr:rowOff>
    </xdr:from>
    <xdr:to>
      <xdr:col>13</xdr:col>
      <xdr:colOff>1311990</xdr:colOff>
      <xdr:row>10</xdr:row>
      <xdr:rowOff>2916</xdr:rowOff>
    </xdr:to>
    <xdr:pic>
      <xdr:nvPicPr>
        <xdr:cNvPr id="41" name="Picture 40">
          <a:extLst>
            <a:ext uri="{FF2B5EF4-FFF2-40B4-BE49-F238E27FC236}">
              <a16:creationId xmlns:a16="http://schemas.microsoft.com/office/drawing/2014/main" id="{3AFF390F-B263-486C-AEFB-BADD724ABC4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602188" y="2041851"/>
          <a:ext cx="207088" cy="208965"/>
        </a:xfrm>
        <a:prstGeom prst="rect">
          <a:avLst/>
        </a:prstGeom>
      </xdr:spPr>
    </xdr:pic>
    <xdr:clientData/>
  </xdr:twoCellAnchor>
  <xdr:twoCellAnchor editAs="oneCell">
    <xdr:from>
      <xdr:col>13</xdr:col>
      <xdr:colOff>653020</xdr:colOff>
      <xdr:row>7</xdr:row>
      <xdr:rowOff>139634</xdr:rowOff>
    </xdr:from>
    <xdr:to>
      <xdr:col>13</xdr:col>
      <xdr:colOff>1044902</xdr:colOff>
      <xdr:row>9</xdr:row>
      <xdr:rowOff>95152</xdr:rowOff>
    </xdr:to>
    <xdr:pic>
      <xdr:nvPicPr>
        <xdr:cNvPr id="42" name="Picture 41" descr="Squash Racquet Icons - Free SVG &amp; PNG Squash Racquet Images ...">
          <a:extLst>
            <a:ext uri="{FF2B5EF4-FFF2-40B4-BE49-F238E27FC236}">
              <a16:creationId xmlns:a16="http://schemas.microsoft.com/office/drawing/2014/main" id="{52B97D65-0EBB-4B15-A5E7-70C831A1DDF4}"/>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rot="2398059">
          <a:off x="6150306" y="1756163"/>
          <a:ext cx="391882" cy="374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1457484</xdr:colOff>
      <xdr:row>11</xdr:row>
      <xdr:rowOff>26868</xdr:rowOff>
    </xdr:from>
    <xdr:to>
      <xdr:col>13</xdr:col>
      <xdr:colOff>1631359</xdr:colOff>
      <xdr:row>12</xdr:row>
      <xdr:rowOff>67</xdr:rowOff>
    </xdr:to>
    <xdr:pic>
      <xdr:nvPicPr>
        <xdr:cNvPr id="44" name="Picture 21">
          <a:extLst>
            <a:ext uri="{FF2B5EF4-FFF2-40B4-BE49-F238E27FC236}">
              <a16:creationId xmlns:a16="http://schemas.microsoft.com/office/drawing/2014/main" id="{33B03E1F-3FAA-4507-8BEF-619DB45660D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54770" y="2487039"/>
          <a:ext cx="177050" cy="185471"/>
        </a:xfrm>
        <a:prstGeom prst="rect">
          <a:avLst/>
        </a:prstGeom>
      </xdr:spPr>
    </xdr:pic>
    <xdr:clientData/>
  </xdr:twoCellAnchor>
  <xdr:twoCellAnchor editAs="oneCell">
    <xdr:from>
      <xdr:col>13</xdr:col>
      <xdr:colOff>564163</xdr:colOff>
      <xdr:row>7</xdr:row>
      <xdr:rowOff>15147</xdr:rowOff>
    </xdr:from>
    <xdr:to>
      <xdr:col>13</xdr:col>
      <xdr:colOff>835558</xdr:colOff>
      <xdr:row>7</xdr:row>
      <xdr:rowOff>163863</xdr:rowOff>
    </xdr:to>
    <xdr:pic>
      <xdr:nvPicPr>
        <xdr:cNvPr id="47" name="Picture 46" descr="Accenture Logo, symbol, meaning, history, PNG, brand">
          <a:extLst>
            <a:ext uri="{FF2B5EF4-FFF2-40B4-BE49-F238E27FC236}">
              <a16:creationId xmlns:a16="http://schemas.microsoft.com/office/drawing/2014/main" id="{DB266A64-624B-4819-A0B1-8651D0ED98B9}"/>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061449" y="1631676"/>
          <a:ext cx="271395" cy="1518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890736</xdr:colOff>
      <xdr:row>9</xdr:row>
      <xdr:rowOff>5679</xdr:rowOff>
    </xdr:from>
    <xdr:to>
      <xdr:col>13</xdr:col>
      <xdr:colOff>1083287</xdr:colOff>
      <xdr:row>9</xdr:row>
      <xdr:rowOff>188705</xdr:rowOff>
    </xdr:to>
    <xdr:pic>
      <xdr:nvPicPr>
        <xdr:cNvPr id="49" name="Picture 48" descr="A black background with a black square&#10;&#10;Description automatically generated with medium confidence">
          <a:extLst>
            <a:ext uri="{FF2B5EF4-FFF2-40B4-BE49-F238E27FC236}">
              <a16:creationId xmlns:a16="http://schemas.microsoft.com/office/drawing/2014/main" id="{2207BFD3-474B-4668-8009-4A7E23595FE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388022" y="2041308"/>
          <a:ext cx="192551" cy="183026"/>
        </a:xfrm>
        <a:prstGeom prst="rect">
          <a:avLst/>
        </a:prstGeom>
      </xdr:spPr>
    </xdr:pic>
    <xdr:clientData/>
  </xdr:twoCellAnchor>
  <xdr:twoCellAnchor editAs="oneCell">
    <xdr:from>
      <xdr:col>13</xdr:col>
      <xdr:colOff>1001487</xdr:colOff>
      <xdr:row>7</xdr:row>
      <xdr:rowOff>201385</xdr:rowOff>
    </xdr:from>
    <xdr:to>
      <xdr:col>13</xdr:col>
      <xdr:colOff>1104900</xdr:colOff>
      <xdr:row>8</xdr:row>
      <xdr:rowOff>203129</xdr:rowOff>
    </xdr:to>
    <xdr:pic>
      <xdr:nvPicPr>
        <xdr:cNvPr id="53" name="Picture 52" descr="Squid Game PNG Images (Transparent HD Photo Clipart)">
          <a:extLst>
            <a:ext uri="{FF2B5EF4-FFF2-40B4-BE49-F238E27FC236}">
              <a16:creationId xmlns:a16="http://schemas.microsoft.com/office/drawing/2014/main" id="{A6F58F68-0213-409D-9C0E-0EE1E0FBA3FA}"/>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24690" t="2174" r="26476" b="2329"/>
        <a:stretch/>
      </xdr:blipFill>
      <xdr:spPr bwMode="auto">
        <a:xfrm>
          <a:off x="6498773" y="1817914"/>
          <a:ext cx="103413" cy="2117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1675199</xdr:colOff>
      <xdr:row>11</xdr:row>
      <xdr:rowOff>15982</xdr:rowOff>
    </xdr:from>
    <xdr:to>
      <xdr:col>14</xdr:col>
      <xdr:colOff>16647</xdr:colOff>
      <xdr:row>12</xdr:row>
      <xdr:rowOff>16396</xdr:rowOff>
    </xdr:to>
    <xdr:pic>
      <xdr:nvPicPr>
        <xdr:cNvPr id="57" name="Picture 21">
          <a:extLst>
            <a:ext uri="{FF2B5EF4-FFF2-40B4-BE49-F238E27FC236}">
              <a16:creationId xmlns:a16="http://schemas.microsoft.com/office/drawing/2014/main" id="{19C5A2EA-07DE-418C-A379-251345B6CF3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72485" y="2476153"/>
          <a:ext cx="219231" cy="212686"/>
        </a:xfrm>
        <a:prstGeom prst="rect">
          <a:avLst/>
        </a:prstGeom>
      </xdr:spPr>
    </xdr:pic>
    <xdr:clientData/>
  </xdr:twoCellAnchor>
  <xdr:twoCellAnchor editAs="oneCell">
    <xdr:from>
      <xdr:col>13</xdr:col>
      <xdr:colOff>1331900</xdr:colOff>
      <xdr:row>8</xdr:row>
      <xdr:rowOff>166488</xdr:rowOff>
    </xdr:from>
    <xdr:to>
      <xdr:col>13</xdr:col>
      <xdr:colOff>1620052</xdr:colOff>
      <xdr:row>10</xdr:row>
      <xdr:rowOff>35193</xdr:rowOff>
    </xdr:to>
    <xdr:pic>
      <xdr:nvPicPr>
        <xdr:cNvPr id="61" name="Picture 60" descr="A red go kart with grey wheels&#10;&#10;AI-generated content may be incorrect.">
          <a:extLst>
            <a:ext uri="{FF2B5EF4-FFF2-40B4-BE49-F238E27FC236}">
              <a16:creationId xmlns:a16="http://schemas.microsoft.com/office/drawing/2014/main" id="{18727156-59AB-A8E8-DE37-9AB611D60656}"/>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504740" y="1991446"/>
          <a:ext cx="288152" cy="288152"/>
        </a:xfrm>
        <a:prstGeom prst="rect">
          <a:avLst/>
        </a:prstGeom>
      </xdr:spPr>
    </xdr:pic>
    <xdr:clientData/>
  </xdr:twoCellAnchor>
  <xdr:twoCellAnchor editAs="oneCell">
    <xdr:from>
      <xdr:col>13</xdr:col>
      <xdr:colOff>378351</xdr:colOff>
      <xdr:row>11</xdr:row>
      <xdr:rowOff>32162</xdr:rowOff>
    </xdr:from>
    <xdr:to>
      <xdr:col>13</xdr:col>
      <xdr:colOff>555401</xdr:colOff>
      <xdr:row>12</xdr:row>
      <xdr:rowOff>8280</xdr:rowOff>
    </xdr:to>
    <xdr:pic>
      <xdr:nvPicPr>
        <xdr:cNvPr id="3" name="Picture 11">
          <a:extLst>
            <a:ext uri="{FF2B5EF4-FFF2-40B4-BE49-F238E27FC236}">
              <a16:creationId xmlns:a16="http://schemas.microsoft.com/office/drawing/2014/main" id="{50A251A6-4331-4BBD-8FD5-D2254D221C0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777595" y="2481448"/>
          <a:ext cx="177050" cy="182881"/>
        </a:xfrm>
        <a:prstGeom prst="rect">
          <a:avLst/>
        </a:prstGeom>
      </xdr:spPr>
    </xdr:pic>
    <xdr:clientData/>
  </xdr:twoCellAnchor>
  <xdr:twoCellAnchor editAs="oneCell">
    <xdr:from>
      <xdr:col>13</xdr:col>
      <xdr:colOff>297485</xdr:colOff>
      <xdr:row>10</xdr:row>
      <xdr:rowOff>169011</xdr:rowOff>
    </xdr:from>
    <xdr:to>
      <xdr:col>13</xdr:col>
      <xdr:colOff>474535</xdr:colOff>
      <xdr:row>11</xdr:row>
      <xdr:rowOff>145128</xdr:rowOff>
    </xdr:to>
    <xdr:pic>
      <xdr:nvPicPr>
        <xdr:cNvPr id="4" name="Picture 11">
          <a:extLst>
            <a:ext uri="{FF2B5EF4-FFF2-40B4-BE49-F238E27FC236}">
              <a16:creationId xmlns:a16="http://schemas.microsoft.com/office/drawing/2014/main" id="{4E8CD9FA-E4F5-4277-B374-C407C3776B6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696729" y="2408358"/>
          <a:ext cx="177050" cy="182881"/>
        </a:xfrm>
        <a:prstGeom prst="rect">
          <a:avLst/>
        </a:prstGeom>
      </xdr:spPr>
    </xdr:pic>
    <xdr:clientData/>
  </xdr:twoCellAnchor>
  <xdr:twoCellAnchor editAs="oneCell">
    <xdr:from>
      <xdr:col>13</xdr:col>
      <xdr:colOff>480987</xdr:colOff>
      <xdr:row>10</xdr:row>
      <xdr:rowOff>189227</xdr:rowOff>
    </xdr:from>
    <xdr:to>
      <xdr:col>13</xdr:col>
      <xdr:colOff>654862</xdr:colOff>
      <xdr:row>11</xdr:row>
      <xdr:rowOff>158994</xdr:rowOff>
    </xdr:to>
    <xdr:pic>
      <xdr:nvPicPr>
        <xdr:cNvPr id="5" name="Picture 11">
          <a:extLst>
            <a:ext uri="{FF2B5EF4-FFF2-40B4-BE49-F238E27FC236}">
              <a16:creationId xmlns:a16="http://schemas.microsoft.com/office/drawing/2014/main" id="{31E3B69D-C834-497E-AF53-12BD52AB774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80231" y="2428574"/>
          <a:ext cx="177050" cy="182881"/>
        </a:xfrm>
        <a:prstGeom prst="rect">
          <a:avLst/>
        </a:prstGeom>
      </xdr:spPr>
    </xdr:pic>
    <xdr:clientData/>
  </xdr:twoCellAnchor>
  <xdr:twoCellAnchor editAs="oneCell">
    <xdr:from>
      <xdr:col>14</xdr:col>
      <xdr:colOff>804447</xdr:colOff>
      <xdr:row>17</xdr:row>
      <xdr:rowOff>38382</xdr:rowOff>
    </xdr:from>
    <xdr:to>
      <xdr:col>14</xdr:col>
      <xdr:colOff>978322</xdr:colOff>
      <xdr:row>18</xdr:row>
      <xdr:rowOff>8150</xdr:rowOff>
    </xdr:to>
    <xdr:pic>
      <xdr:nvPicPr>
        <xdr:cNvPr id="6" name="Picture 11">
          <a:extLst>
            <a:ext uri="{FF2B5EF4-FFF2-40B4-BE49-F238E27FC236}">
              <a16:creationId xmlns:a16="http://schemas.microsoft.com/office/drawing/2014/main" id="{C156D249-48F1-42A2-A720-982B6349F2A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085366" y="3669545"/>
          <a:ext cx="177050" cy="182881"/>
        </a:xfrm>
        <a:prstGeom prst="rect">
          <a:avLst/>
        </a:prstGeom>
      </xdr:spPr>
    </xdr:pic>
    <xdr:clientData/>
  </xdr:twoCellAnchor>
  <xdr:twoCellAnchor editAs="oneCell">
    <xdr:from>
      <xdr:col>14</xdr:col>
      <xdr:colOff>210398</xdr:colOff>
      <xdr:row>17</xdr:row>
      <xdr:rowOff>27496</xdr:rowOff>
    </xdr:from>
    <xdr:to>
      <xdr:col>14</xdr:col>
      <xdr:colOff>390623</xdr:colOff>
      <xdr:row>18</xdr:row>
      <xdr:rowOff>439</xdr:rowOff>
    </xdr:to>
    <xdr:pic>
      <xdr:nvPicPr>
        <xdr:cNvPr id="12" name="Picture 11">
          <a:extLst>
            <a:ext uri="{FF2B5EF4-FFF2-40B4-BE49-F238E27FC236}">
              <a16:creationId xmlns:a16="http://schemas.microsoft.com/office/drawing/2014/main" id="{B8251906-D748-441A-A7C2-155A874C1C5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491317" y="3658659"/>
          <a:ext cx="177050" cy="182881"/>
        </a:xfrm>
        <a:prstGeom prst="rect">
          <a:avLst/>
        </a:prstGeom>
      </xdr:spPr>
    </xdr:pic>
    <xdr:clientData/>
  </xdr:twoCellAnchor>
  <xdr:twoCellAnchor editAs="oneCell">
    <xdr:from>
      <xdr:col>4</xdr:col>
      <xdr:colOff>494983</xdr:colOff>
      <xdr:row>17</xdr:row>
      <xdr:rowOff>94365</xdr:rowOff>
    </xdr:from>
    <xdr:to>
      <xdr:col>4</xdr:col>
      <xdr:colOff>675208</xdr:colOff>
      <xdr:row>18</xdr:row>
      <xdr:rowOff>64133</xdr:rowOff>
    </xdr:to>
    <xdr:pic>
      <xdr:nvPicPr>
        <xdr:cNvPr id="13" name="Picture 12">
          <a:extLst>
            <a:ext uri="{FF2B5EF4-FFF2-40B4-BE49-F238E27FC236}">
              <a16:creationId xmlns:a16="http://schemas.microsoft.com/office/drawing/2014/main" id="{A7007C24-D894-43B5-A768-06130D63751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47717" y="3725528"/>
          <a:ext cx="177050" cy="182881"/>
        </a:xfrm>
        <a:prstGeom prst="rect">
          <a:avLst/>
        </a:prstGeom>
      </xdr:spPr>
    </xdr:pic>
    <xdr:clientData/>
  </xdr:twoCellAnchor>
  <xdr:twoCellAnchor editAs="oneCell">
    <xdr:from>
      <xdr:col>4</xdr:col>
      <xdr:colOff>9791</xdr:colOff>
      <xdr:row>17</xdr:row>
      <xdr:rowOff>122357</xdr:rowOff>
    </xdr:from>
    <xdr:to>
      <xdr:col>4</xdr:col>
      <xdr:colOff>183666</xdr:colOff>
      <xdr:row>19</xdr:row>
      <xdr:rowOff>17544</xdr:rowOff>
    </xdr:to>
    <xdr:pic>
      <xdr:nvPicPr>
        <xdr:cNvPr id="14" name="Picture 13">
          <a:extLst>
            <a:ext uri="{FF2B5EF4-FFF2-40B4-BE49-F238E27FC236}">
              <a16:creationId xmlns:a16="http://schemas.microsoft.com/office/drawing/2014/main" id="{39E9FC2B-9A08-49C1-9A11-03BCD7454EA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62525" y="3753520"/>
          <a:ext cx="177050" cy="182881"/>
        </a:xfrm>
        <a:prstGeom prst="rect">
          <a:avLst/>
        </a:prstGeom>
      </xdr:spPr>
    </xdr:pic>
    <xdr:clientData/>
  </xdr:twoCellAnchor>
  <xdr:twoCellAnchor editAs="oneCell">
    <xdr:from>
      <xdr:col>2</xdr:col>
      <xdr:colOff>188947</xdr:colOff>
      <xdr:row>9</xdr:row>
      <xdr:rowOff>18166</xdr:rowOff>
    </xdr:from>
    <xdr:to>
      <xdr:col>2</xdr:col>
      <xdr:colOff>362822</xdr:colOff>
      <xdr:row>9</xdr:row>
      <xdr:rowOff>197872</xdr:rowOff>
    </xdr:to>
    <xdr:pic>
      <xdr:nvPicPr>
        <xdr:cNvPr id="15" name="Picture 14">
          <a:extLst>
            <a:ext uri="{FF2B5EF4-FFF2-40B4-BE49-F238E27FC236}">
              <a16:creationId xmlns:a16="http://schemas.microsoft.com/office/drawing/2014/main" id="{4CD5767D-BC46-48D0-9337-8F792EFBAB4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05271" y="1654225"/>
          <a:ext cx="173875" cy="179706"/>
        </a:xfrm>
        <a:prstGeom prst="rect">
          <a:avLst/>
        </a:prstGeom>
      </xdr:spPr>
    </xdr:pic>
    <xdr:clientData/>
  </xdr:twoCellAnchor>
  <xdr:twoCellAnchor editAs="oneCell">
    <xdr:from>
      <xdr:col>14</xdr:col>
      <xdr:colOff>886867</xdr:colOff>
      <xdr:row>17</xdr:row>
      <xdr:rowOff>151904</xdr:rowOff>
    </xdr:from>
    <xdr:to>
      <xdr:col>14</xdr:col>
      <xdr:colOff>1063917</xdr:colOff>
      <xdr:row>19</xdr:row>
      <xdr:rowOff>50266</xdr:rowOff>
    </xdr:to>
    <xdr:pic>
      <xdr:nvPicPr>
        <xdr:cNvPr id="18" name="Picture 17">
          <a:extLst>
            <a:ext uri="{FF2B5EF4-FFF2-40B4-BE49-F238E27FC236}">
              <a16:creationId xmlns:a16="http://schemas.microsoft.com/office/drawing/2014/main" id="{FAD075E9-B8CE-4E3F-A755-B086FEB431A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67786" y="3783067"/>
          <a:ext cx="177050" cy="182881"/>
        </a:xfrm>
        <a:prstGeom prst="rect">
          <a:avLst/>
        </a:prstGeom>
      </xdr:spPr>
    </xdr:pic>
    <xdr:clientData/>
  </xdr:twoCellAnchor>
  <xdr:twoCellAnchor editAs="oneCell">
    <xdr:from>
      <xdr:col>14</xdr:col>
      <xdr:colOff>510532</xdr:colOff>
      <xdr:row>17</xdr:row>
      <xdr:rowOff>141019</xdr:rowOff>
    </xdr:from>
    <xdr:to>
      <xdr:col>14</xdr:col>
      <xdr:colOff>687582</xdr:colOff>
      <xdr:row>19</xdr:row>
      <xdr:rowOff>36206</xdr:rowOff>
    </xdr:to>
    <xdr:pic>
      <xdr:nvPicPr>
        <xdr:cNvPr id="19" name="Picture 18">
          <a:extLst>
            <a:ext uri="{FF2B5EF4-FFF2-40B4-BE49-F238E27FC236}">
              <a16:creationId xmlns:a16="http://schemas.microsoft.com/office/drawing/2014/main" id="{23C32814-E500-4B5D-8BC2-C48B1FCE570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791451" y="3772182"/>
          <a:ext cx="177050" cy="182881"/>
        </a:xfrm>
        <a:prstGeom prst="rect">
          <a:avLst/>
        </a:prstGeom>
      </xdr:spPr>
    </xdr:pic>
    <xdr:clientData/>
  </xdr:twoCellAnchor>
  <xdr:twoCellAnchor editAs="oneCell">
    <xdr:from>
      <xdr:col>12</xdr:col>
      <xdr:colOff>802892</xdr:colOff>
      <xdr:row>10</xdr:row>
      <xdr:rowOff>192337</xdr:rowOff>
    </xdr:from>
    <xdr:to>
      <xdr:col>13</xdr:col>
      <xdr:colOff>93534</xdr:colOff>
      <xdr:row>11</xdr:row>
      <xdr:rowOff>162104</xdr:rowOff>
    </xdr:to>
    <xdr:pic>
      <xdr:nvPicPr>
        <xdr:cNvPr id="20" name="Picture 19">
          <a:extLst>
            <a:ext uri="{FF2B5EF4-FFF2-40B4-BE49-F238E27FC236}">
              <a16:creationId xmlns:a16="http://schemas.microsoft.com/office/drawing/2014/main" id="{3D290C4F-BCDA-40C6-9FB0-48E57998A2A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315729" y="2431684"/>
          <a:ext cx="177050" cy="182881"/>
        </a:xfrm>
        <a:prstGeom prst="rect">
          <a:avLst/>
        </a:prstGeom>
      </xdr:spPr>
    </xdr:pic>
    <xdr:clientData/>
  </xdr:twoCellAnchor>
  <xdr:twoCellAnchor editAs="oneCell">
    <xdr:from>
      <xdr:col>4</xdr:col>
      <xdr:colOff>500424</xdr:colOff>
      <xdr:row>18</xdr:row>
      <xdr:rowOff>15833</xdr:rowOff>
    </xdr:from>
    <xdr:to>
      <xdr:col>4</xdr:col>
      <xdr:colOff>707409</xdr:colOff>
      <xdr:row>19</xdr:row>
      <xdr:rowOff>122514</xdr:rowOff>
    </xdr:to>
    <xdr:pic>
      <xdr:nvPicPr>
        <xdr:cNvPr id="21" name="Picture 20">
          <a:extLst>
            <a:ext uri="{FF2B5EF4-FFF2-40B4-BE49-F238E27FC236}">
              <a16:creationId xmlns:a16="http://schemas.microsoft.com/office/drawing/2014/main" id="{F58CBCAA-2BD7-41FF-9DA4-0FB3D9CBC6A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52381" y="3869376"/>
          <a:ext cx="206985" cy="182881"/>
        </a:xfrm>
        <a:prstGeom prst="rect">
          <a:avLst/>
        </a:prstGeom>
      </xdr:spPr>
    </xdr:pic>
    <xdr:clientData/>
  </xdr:twoCellAnchor>
  <xdr:twoCellAnchor editAs="oneCell">
    <xdr:from>
      <xdr:col>4</xdr:col>
      <xdr:colOff>71217</xdr:colOff>
      <xdr:row>18</xdr:row>
      <xdr:rowOff>9613</xdr:rowOff>
    </xdr:from>
    <xdr:to>
      <xdr:col>4</xdr:col>
      <xdr:colOff>248267</xdr:colOff>
      <xdr:row>19</xdr:row>
      <xdr:rowOff>114738</xdr:rowOff>
    </xdr:to>
    <xdr:pic>
      <xdr:nvPicPr>
        <xdr:cNvPr id="22" name="Picture 21">
          <a:extLst>
            <a:ext uri="{FF2B5EF4-FFF2-40B4-BE49-F238E27FC236}">
              <a16:creationId xmlns:a16="http://schemas.microsoft.com/office/drawing/2014/main" id="{E898058F-768E-46F6-A608-3B5D3763E6A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123174" y="3863156"/>
          <a:ext cx="177050" cy="181325"/>
        </a:xfrm>
        <a:prstGeom prst="rect">
          <a:avLst/>
        </a:prstGeom>
      </xdr:spPr>
    </xdr:pic>
    <xdr:clientData/>
  </xdr:twoCellAnchor>
  <xdr:twoCellAnchor editAs="oneCell">
    <xdr:from>
      <xdr:col>22</xdr:col>
      <xdr:colOff>956846</xdr:colOff>
      <xdr:row>11</xdr:row>
      <xdr:rowOff>11945</xdr:rowOff>
    </xdr:from>
    <xdr:to>
      <xdr:col>23</xdr:col>
      <xdr:colOff>2289</xdr:colOff>
      <xdr:row>11</xdr:row>
      <xdr:rowOff>198001</xdr:rowOff>
    </xdr:to>
    <xdr:pic>
      <xdr:nvPicPr>
        <xdr:cNvPr id="26" name="Picture 25">
          <a:extLst>
            <a:ext uri="{FF2B5EF4-FFF2-40B4-BE49-F238E27FC236}">
              <a16:creationId xmlns:a16="http://schemas.microsoft.com/office/drawing/2014/main" id="{15D016B9-C84D-4651-B92D-2D510A3ABA7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982173" y="2461231"/>
          <a:ext cx="177050" cy="182881"/>
        </a:xfrm>
        <a:prstGeom prst="rect">
          <a:avLst/>
        </a:prstGeom>
      </xdr:spPr>
    </xdr:pic>
    <xdr:clientData/>
  </xdr:twoCellAnchor>
  <xdr:twoCellAnchor editAs="oneCell">
    <xdr:from>
      <xdr:col>26</xdr:col>
      <xdr:colOff>572736</xdr:colOff>
      <xdr:row>11</xdr:row>
      <xdr:rowOff>16610</xdr:rowOff>
    </xdr:from>
    <xdr:to>
      <xdr:col>26</xdr:col>
      <xdr:colOff>752961</xdr:colOff>
      <xdr:row>11</xdr:row>
      <xdr:rowOff>202666</xdr:rowOff>
    </xdr:to>
    <xdr:pic>
      <xdr:nvPicPr>
        <xdr:cNvPr id="27" name="Picture 26">
          <a:extLst>
            <a:ext uri="{FF2B5EF4-FFF2-40B4-BE49-F238E27FC236}">
              <a16:creationId xmlns:a16="http://schemas.microsoft.com/office/drawing/2014/main" id="{773A0AC5-FF2C-4166-9183-4BBFBE6FAD8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34022" y="2465896"/>
          <a:ext cx="177050" cy="182881"/>
        </a:xfrm>
        <a:prstGeom prst="rect">
          <a:avLst/>
        </a:prstGeom>
      </xdr:spPr>
    </xdr:pic>
    <xdr:clientData/>
  </xdr:twoCellAnchor>
  <xdr:twoCellAnchor editAs="oneCell">
    <xdr:from>
      <xdr:col>14</xdr:col>
      <xdr:colOff>980174</xdr:colOff>
      <xdr:row>17</xdr:row>
      <xdr:rowOff>35272</xdr:rowOff>
    </xdr:from>
    <xdr:to>
      <xdr:col>15</xdr:col>
      <xdr:colOff>163</xdr:colOff>
      <xdr:row>18</xdr:row>
      <xdr:rowOff>11390</xdr:rowOff>
    </xdr:to>
    <xdr:pic>
      <xdr:nvPicPr>
        <xdr:cNvPr id="28" name="Picture 11">
          <a:extLst>
            <a:ext uri="{FF2B5EF4-FFF2-40B4-BE49-F238E27FC236}">
              <a16:creationId xmlns:a16="http://schemas.microsoft.com/office/drawing/2014/main" id="{0C82D29F-FA12-4D09-A2D6-B263D2E08EC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261093" y="3666435"/>
          <a:ext cx="177050" cy="182881"/>
        </a:xfrm>
        <a:prstGeom prst="rect">
          <a:avLst/>
        </a:prstGeom>
      </xdr:spPr>
    </xdr:pic>
    <xdr:clientData/>
  </xdr:twoCellAnchor>
  <xdr:twoCellAnchor editAs="oneCell">
    <xdr:from>
      <xdr:col>14</xdr:col>
      <xdr:colOff>969288</xdr:colOff>
      <xdr:row>18</xdr:row>
      <xdr:rowOff>63265</xdr:rowOff>
    </xdr:from>
    <xdr:to>
      <xdr:col>15</xdr:col>
      <xdr:colOff>2030</xdr:colOff>
      <xdr:row>19</xdr:row>
      <xdr:rowOff>168390</xdr:rowOff>
    </xdr:to>
    <xdr:pic>
      <xdr:nvPicPr>
        <xdr:cNvPr id="29" name="Picture 11">
          <a:extLst>
            <a:ext uri="{FF2B5EF4-FFF2-40B4-BE49-F238E27FC236}">
              <a16:creationId xmlns:a16="http://schemas.microsoft.com/office/drawing/2014/main" id="{04DA58A7-DBAD-43E9-AFB2-7F4B4D50C1F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250207" y="3904366"/>
          <a:ext cx="177050" cy="182881"/>
        </a:xfrm>
        <a:prstGeom prst="rect">
          <a:avLst/>
        </a:prstGeom>
      </xdr:spPr>
    </xdr:pic>
    <xdr:clientData/>
  </xdr:twoCellAnchor>
  <xdr:twoCellAnchor editAs="oneCell">
    <xdr:from>
      <xdr:col>14</xdr:col>
      <xdr:colOff>235280</xdr:colOff>
      <xdr:row>17</xdr:row>
      <xdr:rowOff>137909</xdr:rowOff>
    </xdr:from>
    <xdr:to>
      <xdr:col>14</xdr:col>
      <xdr:colOff>409155</xdr:colOff>
      <xdr:row>19</xdr:row>
      <xdr:rowOff>29921</xdr:rowOff>
    </xdr:to>
    <xdr:pic>
      <xdr:nvPicPr>
        <xdr:cNvPr id="30" name="Picture 11">
          <a:extLst>
            <a:ext uri="{FF2B5EF4-FFF2-40B4-BE49-F238E27FC236}">
              <a16:creationId xmlns:a16="http://schemas.microsoft.com/office/drawing/2014/main" id="{988917C2-A2A8-4493-8D96-56BEC864A77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516199" y="3769072"/>
          <a:ext cx="177050" cy="182881"/>
        </a:xfrm>
        <a:prstGeom prst="rect">
          <a:avLst/>
        </a:prstGeom>
      </xdr:spPr>
    </xdr:pic>
    <xdr:clientData/>
  </xdr:twoCellAnchor>
  <xdr:twoCellAnchor editAs="oneCell">
    <xdr:from>
      <xdr:col>13</xdr:col>
      <xdr:colOff>1880580</xdr:colOff>
      <xdr:row>17</xdr:row>
      <xdr:rowOff>18166</xdr:rowOff>
    </xdr:from>
    <xdr:to>
      <xdr:col>14</xdr:col>
      <xdr:colOff>179131</xdr:colOff>
      <xdr:row>17</xdr:row>
      <xdr:rowOff>197872</xdr:rowOff>
    </xdr:to>
    <xdr:pic>
      <xdr:nvPicPr>
        <xdr:cNvPr id="31" name="Picture 11">
          <a:extLst>
            <a:ext uri="{FF2B5EF4-FFF2-40B4-BE49-F238E27FC236}">
              <a16:creationId xmlns:a16="http://schemas.microsoft.com/office/drawing/2014/main" id="{6FF4B251-BC5B-4356-9D7B-5E4F6CF24C0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279824" y="3649329"/>
          <a:ext cx="177050" cy="182881"/>
        </a:xfrm>
        <a:prstGeom prst="rect">
          <a:avLst/>
        </a:prstGeom>
      </xdr:spPr>
    </xdr:pic>
    <xdr:clientData/>
  </xdr:twoCellAnchor>
  <xdr:twoCellAnchor editAs="oneCell">
    <xdr:from>
      <xdr:col>13</xdr:col>
      <xdr:colOff>76660</xdr:colOff>
      <xdr:row>11</xdr:row>
      <xdr:rowOff>10389</xdr:rowOff>
    </xdr:from>
    <xdr:to>
      <xdr:col>13</xdr:col>
      <xdr:colOff>256885</xdr:colOff>
      <xdr:row>11</xdr:row>
      <xdr:rowOff>193270</xdr:rowOff>
    </xdr:to>
    <xdr:pic>
      <xdr:nvPicPr>
        <xdr:cNvPr id="32" name="Picture 31">
          <a:extLst>
            <a:ext uri="{FF2B5EF4-FFF2-40B4-BE49-F238E27FC236}">
              <a16:creationId xmlns:a16="http://schemas.microsoft.com/office/drawing/2014/main" id="{6E7D52C7-9AFA-4DDB-ABA3-A1FB05D1E4C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475904" y="2459675"/>
          <a:ext cx="177050" cy="182881"/>
        </a:xfrm>
        <a:prstGeom prst="rect">
          <a:avLst/>
        </a:prstGeom>
      </xdr:spPr>
    </xdr:pic>
    <xdr:clientData/>
  </xdr:twoCellAnchor>
  <xdr:twoCellAnchor editAs="oneCell">
    <xdr:from>
      <xdr:col>4</xdr:col>
      <xdr:colOff>115078</xdr:colOff>
      <xdr:row>17</xdr:row>
      <xdr:rowOff>22549</xdr:rowOff>
    </xdr:from>
    <xdr:to>
      <xdr:col>4</xdr:col>
      <xdr:colOff>292128</xdr:colOff>
      <xdr:row>17</xdr:row>
      <xdr:rowOff>206208</xdr:rowOff>
    </xdr:to>
    <xdr:pic>
      <xdr:nvPicPr>
        <xdr:cNvPr id="2" name="Picture 11">
          <a:extLst>
            <a:ext uri="{FF2B5EF4-FFF2-40B4-BE49-F238E27FC236}">
              <a16:creationId xmlns:a16="http://schemas.microsoft.com/office/drawing/2014/main" id="{1AFFAB28-A5A3-4567-A96A-62101F896D3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167035" y="3663820"/>
          <a:ext cx="177050" cy="183659"/>
        </a:xfrm>
        <a:prstGeom prst="rect">
          <a:avLst/>
        </a:prstGeom>
      </xdr:spPr>
    </xdr:pic>
    <xdr:clientData/>
  </xdr:twoCellAnchor>
  <xdr:twoCellAnchor editAs="oneCell">
    <xdr:from>
      <xdr:col>4</xdr:col>
      <xdr:colOff>561393</xdr:colOff>
      <xdr:row>16</xdr:row>
      <xdr:rowOff>143070</xdr:rowOff>
    </xdr:from>
    <xdr:to>
      <xdr:col>5</xdr:col>
      <xdr:colOff>9100</xdr:colOff>
      <xdr:row>17</xdr:row>
      <xdr:rowOff>175883</xdr:rowOff>
    </xdr:to>
    <xdr:pic>
      <xdr:nvPicPr>
        <xdr:cNvPr id="25" name="Picture 11">
          <a:extLst>
            <a:ext uri="{FF2B5EF4-FFF2-40B4-BE49-F238E27FC236}">
              <a16:creationId xmlns:a16="http://schemas.microsoft.com/office/drawing/2014/main" id="{DFF8CC8C-46F3-47AE-A92A-D4BF640308B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13350" y="3631941"/>
          <a:ext cx="177050" cy="185213"/>
        </a:xfrm>
        <a:prstGeom prst="rect">
          <a:avLst/>
        </a:prstGeom>
      </xdr:spPr>
    </xdr:pic>
    <xdr:clientData/>
  </xdr:twoCellAnchor>
  <xdr:twoCellAnchor editAs="oneCell">
    <xdr:from>
      <xdr:col>4</xdr:col>
      <xdr:colOff>273699</xdr:colOff>
      <xdr:row>17</xdr:row>
      <xdr:rowOff>79310</xdr:rowOff>
    </xdr:from>
    <xdr:to>
      <xdr:col>4</xdr:col>
      <xdr:colOff>447574</xdr:colOff>
      <xdr:row>18</xdr:row>
      <xdr:rowOff>49078</xdr:rowOff>
    </xdr:to>
    <xdr:pic>
      <xdr:nvPicPr>
        <xdr:cNvPr id="33" name="Picture 11">
          <a:extLst>
            <a:ext uri="{FF2B5EF4-FFF2-40B4-BE49-F238E27FC236}">
              <a16:creationId xmlns:a16="http://schemas.microsoft.com/office/drawing/2014/main" id="{3873C2D1-BB0B-4D8C-B0A1-491AA48C29E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26433" y="3710473"/>
          <a:ext cx="177050" cy="182881"/>
        </a:xfrm>
        <a:prstGeom prst="rect">
          <a:avLst/>
        </a:prstGeom>
      </xdr:spPr>
    </xdr:pic>
    <xdr:clientData/>
  </xdr:twoCellAnchor>
  <xdr:twoCellAnchor editAs="oneCell">
    <xdr:from>
      <xdr:col>4</xdr:col>
      <xdr:colOff>518627</xdr:colOff>
      <xdr:row>19</xdr:row>
      <xdr:rowOff>10887</xdr:rowOff>
    </xdr:from>
    <xdr:to>
      <xdr:col>4</xdr:col>
      <xdr:colOff>692502</xdr:colOff>
      <xdr:row>19</xdr:row>
      <xdr:rowOff>189037</xdr:rowOff>
    </xdr:to>
    <xdr:pic>
      <xdr:nvPicPr>
        <xdr:cNvPr id="36" name="Picture 11">
          <a:extLst>
            <a:ext uri="{FF2B5EF4-FFF2-40B4-BE49-F238E27FC236}">
              <a16:creationId xmlns:a16="http://schemas.microsoft.com/office/drawing/2014/main" id="{FB96A3EB-1D01-462C-8BF6-6F2F9229C4E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70584" y="3940630"/>
          <a:ext cx="173875" cy="178150"/>
        </a:xfrm>
        <a:prstGeom prst="rect">
          <a:avLst/>
        </a:prstGeom>
      </xdr:spPr>
    </xdr:pic>
    <xdr:clientData/>
  </xdr:twoCellAnchor>
  <xdr:twoCellAnchor editAs="oneCell">
    <xdr:from>
      <xdr:col>14</xdr:col>
      <xdr:colOff>600729</xdr:colOff>
      <xdr:row>17</xdr:row>
      <xdr:rowOff>5725</xdr:rowOff>
    </xdr:from>
    <xdr:to>
      <xdr:col>14</xdr:col>
      <xdr:colOff>774604</xdr:colOff>
      <xdr:row>17</xdr:row>
      <xdr:rowOff>188606</xdr:rowOff>
    </xdr:to>
    <xdr:pic>
      <xdr:nvPicPr>
        <xdr:cNvPr id="37" name="Picture 11">
          <a:extLst>
            <a:ext uri="{FF2B5EF4-FFF2-40B4-BE49-F238E27FC236}">
              <a16:creationId xmlns:a16="http://schemas.microsoft.com/office/drawing/2014/main" id="{F17B3F4F-E5F9-4B36-84BE-B6CFAB1D7C2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881648" y="3636888"/>
          <a:ext cx="177050" cy="182881"/>
        </a:xfrm>
        <a:prstGeom prst="rect">
          <a:avLst/>
        </a:prstGeom>
      </xdr:spPr>
    </xdr:pic>
    <xdr:clientData/>
  </xdr:twoCellAnchor>
  <xdr:twoCellAnchor editAs="oneCell">
    <xdr:from>
      <xdr:col>13</xdr:col>
      <xdr:colOff>1600201</xdr:colOff>
      <xdr:row>9</xdr:row>
      <xdr:rowOff>21770</xdr:rowOff>
    </xdr:from>
    <xdr:to>
      <xdr:col>13</xdr:col>
      <xdr:colOff>1860295</xdr:colOff>
      <xdr:row>9</xdr:row>
      <xdr:rowOff>201385</xdr:rowOff>
    </xdr:to>
    <xdr:pic>
      <xdr:nvPicPr>
        <xdr:cNvPr id="16" name="Picture 15">
          <a:extLst>
            <a:ext uri="{FF2B5EF4-FFF2-40B4-BE49-F238E27FC236}">
              <a16:creationId xmlns:a16="http://schemas.microsoft.com/office/drawing/2014/main" id="{A5D3BD3B-856C-59C8-F6DA-9B65DB53F9E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t="18089" r="5850" b="16893"/>
        <a:stretch>
          <a:fillRect/>
        </a:stretch>
      </xdr:blipFill>
      <xdr:spPr>
        <a:xfrm>
          <a:off x="8060872" y="2057399"/>
          <a:ext cx="260094" cy="179615"/>
        </a:xfrm>
        <a:prstGeom prst="rect">
          <a:avLst/>
        </a:prstGeom>
      </xdr:spPr>
    </xdr:pic>
    <xdr:clientData/>
  </xdr:twoCellAnchor>
  <xdr:twoCellAnchor editAs="oneCell">
    <xdr:from>
      <xdr:col>13</xdr:col>
      <xdr:colOff>1066800</xdr:colOff>
      <xdr:row>12</xdr:row>
      <xdr:rowOff>27214</xdr:rowOff>
    </xdr:from>
    <xdr:to>
      <xdr:col>13</xdr:col>
      <xdr:colOff>1310187</xdr:colOff>
      <xdr:row>12</xdr:row>
      <xdr:rowOff>201385</xdr:rowOff>
    </xdr:to>
    <xdr:pic>
      <xdr:nvPicPr>
        <xdr:cNvPr id="38" name="Picture 37">
          <a:extLst>
            <a:ext uri="{FF2B5EF4-FFF2-40B4-BE49-F238E27FC236}">
              <a16:creationId xmlns:a16="http://schemas.microsoft.com/office/drawing/2014/main" id="{1C8DCB06-A68C-F0A0-A742-2DEB9F5F85B5}"/>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l="559" t="28839"/>
        <a:stretch>
          <a:fillRect/>
        </a:stretch>
      </xdr:blipFill>
      <xdr:spPr>
        <a:xfrm>
          <a:off x="7527471" y="2699657"/>
          <a:ext cx="243387" cy="174171"/>
        </a:xfrm>
        <a:prstGeom prst="rect">
          <a:avLst/>
        </a:prstGeom>
      </xdr:spPr>
    </xdr:pic>
    <xdr:clientData/>
  </xdr:twoCellAnchor>
  <xdr:twoCellAnchor editAs="oneCell">
    <xdr:from>
      <xdr:col>13</xdr:col>
      <xdr:colOff>1125712</xdr:colOff>
      <xdr:row>7</xdr:row>
      <xdr:rowOff>200745</xdr:rowOff>
    </xdr:from>
    <xdr:to>
      <xdr:col>13</xdr:col>
      <xdr:colOff>1344946</xdr:colOff>
      <xdr:row>8</xdr:row>
      <xdr:rowOff>206603</xdr:rowOff>
    </xdr:to>
    <xdr:pic>
      <xdr:nvPicPr>
        <xdr:cNvPr id="40" name="Picture 21">
          <a:extLst>
            <a:ext uri="{FF2B5EF4-FFF2-40B4-BE49-F238E27FC236}">
              <a16:creationId xmlns:a16="http://schemas.microsoft.com/office/drawing/2014/main" id="{8469C343-DC0C-455F-8F25-878A8C80926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586383" y="1817274"/>
          <a:ext cx="219234" cy="212686"/>
        </a:xfrm>
        <a:prstGeom prst="rect">
          <a:avLst/>
        </a:prstGeom>
      </xdr:spPr>
    </xdr:pic>
    <xdr:clientData/>
  </xdr:twoCellAnchor>
  <xdr:twoCellAnchor>
    <xdr:from>
      <xdr:col>1</xdr:col>
      <xdr:colOff>114300</xdr:colOff>
      <xdr:row>91</xdr:row>
      <xdr:rowOff>163286</xdr:rowOff>
    </xdr:from>
    <xdr:to>
      <xdr:col>13</xdr:col>
      <xdr:colOff>1181100</xdr:colOff>
      <xdr:row>107</xdr:row>
      <xdr:rowOff>21772</xdr:rowOff>
    </xdr:to>
    <xdr:graphicFrame macro="">
      <xdr:nvGraphicFramePr>
        <xdr:cNvPr id="54" name="Chart 53">
          <a:extLst>
            <a:ext uri="{FF2B5EF4-FFF2-40B4-BE49-F238E27FC236}">
              <a16:creationId xmlns:a16="http://schemas.microsoft.com/office/drawing/2014/main" id="{266C5110-B205-437A-AE55-E308EAB0B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33540</xdr:colOff>
      <xdr:row>1</xdr:row>
      <xdr:rowOff>49642</xdr:rowOff>
    </xdr:from>
    <xdr:to>
      <xdr:col>4</xdr:col>
      <xdr:colOff>198640</xdr:colOff>
      <xdr:row>1</xdr:row>
      <xdr:rowOff>145863</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195301" y="256707"/>
          <a:ext cx="161925" cy="99396"/>
        </a:xfrm>
        <a:prstGeom prst="rect">
          <a:avLst/>
        </a:prstGeom>
      </xdr:spPr>
    </xdr:pic>
    <xdr:clientData/>
  </xdr:twoCellAnchor>
  <xdr:twoCellAnchor editAs="oneCell">
    <xdr:from>
      <xdr:col>5</xdr:col>
      <xdr:colOff>57150</xdr:colOff>
      <xdr:row>1</xdr:row>
      <xdr:rowOff>38100</xdr:rowOff>
    </xdr:from>
    <xdr:to>
      <xdr:col>5</xdr:col>
      <xdr:colOff>215900</xdr:colOff>
      <xdr:row>1</xdr:row>
      <xdr:rowOff>133911</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2714625" y="228600"/>
          <a:ext cx="161925" cy="95811"/>
        </a:xfrm>
        <a:prstGeom prst="rect">
          <a:avLst/>
        </a:prstGeom>
      </xdr:spPr>
    </xdr:pic>
    <xdr:clientData/>
  </xdr:twoCellAnchor>
  <xdr:twoCellAnchor editAs="oneCell">
    <xdr:from>
      <xdr:col>6</xdr:col>
      <xdr:colOff>47625</xdr:colOff>
      <xdr:row>1</xdr:row>
      <xdr:rowOff>56285</xdr:rowOff>
    </xdr:from>
    <xdr:to>
      <xdr:col>6</xdr:col>
      <xdr:colOff>209550</xdr:colOff>
      <xdr:row>1</xdr:row>
      <xdr:rowOff>151326</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3316432" y="246785"/>
          <a:ext cx="161925" cy="95811"/>
        </a:xfrm>
        <a:prstGeom prst="rect">
          <a:avLst/>
        </a:prstGeom>
      </xdr:spPr>
    </xdr:pic>
    <xdr:clientData/>
  </xdr:twoCellAnchor>
  <xdr:twoCellAnchor editAs="oneCell">
    <xdr:from>
      <xdr:col>7</xdr:col>
      <xdr:colOff>55417</xdr:colOff>
      <xdr:row>1</xdr:row>
      <xdr:rowOff>47625</xdr:rowOff>
    </xdr:from>
    <xdr:to>
      <xdr:col>7</xdr:col>
      <xdr:colOff>220517</xdr:colOff>
      <xdr:row>1</xdr:row>
      <xdr:rowOff>140261</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3934690" y="238125"/>
          <a:ext cx="161925" cy="95811"/>
        </a:xfrm>
        <a:prstGeom prst="rect">
          <a:avLst/>
        </a:prstGeom>
      </xdr:spPr>
    </xdr:pic>
    <xdr:clientData/>
  </xdr:twoCellAnchor>
  <xdr:twoCellAnchor editAs="oneCell">
    <xdr:from>
      <xdr:col>2</xdr:col>
      <xdr:colOff>47696</xdr:colOff>
      <xdr:row>1</xdr:row>
      <xdr:rowOff>33077</xdr:rowOff>
    </xdr:from>
    <xdr:to>
      <xdr:col>2</xdr:col>
      <xdr:colOff>209621</xdr:colOff>
      <xdr:row>1</xdr:row>
      <xdr:rowOff>132473</xdr:rowOff>
    </xdr:to>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1"/>
        <a:stretch>
          <a:fillRect/>
        </a:stretch>
      </xdr:blipFill>
      <xdr:spPr>
        <a:xfrm>
          <a:off x="1441067" y="196363"/>
          <a:ext cx="161925" cy="99396"/>
        </a:xfrm>
        <a:prstGeom prst="rect">
          <a:avLst/>
        </a:prstGeom>
      </xdr:spPr>
    </xdr:pic>
    <xdr:clientData/>
  </xdr:twoCellAnchor>
  <xdr:twoCellAnchor editAs="oneCell">
    <xdr:from>
      <xdr:col>17</xdr:col>
      <xdr:colOff>32717</xdr:colOff>
      <xdr:row>4</xdr:row>
      <xdr:rowOff>32302</xdr:rowOff>
    </xdr:from>
    <xdr:to>
      <xdr:col>17</xdr:col>
      <xdr:colOff>197817</xdr:colOff>
      <xdr:row>4</xdr:row>
      <xdr:rowOff>124938</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8120803" y="347988"/>
          <a:ext cx="161925" cy="95811"/>
        </a:xfrm>
        <a:prstGeom prst="rect">
          <a:avLst/>
        </a:prstGeom>
      </xdr:spPr>
    </xdr:pic>
    <xdr:clientData/>
  </xdr:twoCellAnchor>
  <xdr:twoCellAnchor editAs="oneCell">
    <xdr:from>
      <xdr:col>18</xdr:col>
      <xdr:colOff>41156</xdr:colOff>
      <xdr:row>1</xdr:row>
      <xdr:rowOff>49338</xdr:rowOff>
    </xdr:from>
    <xdr:to>
      <xdr:col>18</xdr:col>
      <xdr:colOff>196850</xdr:colOff>
      <xdr:row>1</xdr:row>
      <xdr:rowOff>141974</xdr:rowOff>
    </xdr:to>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1"/>
        <a:stretch>
          <a:fillRect/>
        </a:stretch>
      </xdr:blipFill>
      <xdr:spPr>
        <a:xfrm>
          <a:off x="7801960" y="231555"/>
          <a:ext cx="161925" cy="95811"/>
        </a:xfrm>
        <a:prstGeom prst="rect">
          <a:avLst/>
        </a:prstGeom>
      </xdr:spPr>
    </xdr:pic>
    <xdr:clientData/>
  </xdr:twoCellAnchor>
  <xdr:twoCellAnchor editAs="oneCell">
    <xdr:from>
      <xdr:col>19</xdr:col>
      <xdr:colOff>21535</xdr:colOff>
      <xdr:row>1</xdr:row>
      <xdr:rowOff>47625</xdr:rowOff>
    </xdr:from>
    <xdr:to>
      <xdr:col>19</xdr:col>
      <xdr:colOff>180285</xdr:colOff>
      <xdr:row>1</xdr:row>
      <xdr:rowOff>140261</xdr:rowOff>
    </xdr:to>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
        <a:stretch>
          <a:fillRect/>
        </a:stretch>
      </xdr:blipFill>
      <xdr:spPr>
        <a:xfrm>
          <a:off x="8328992" y="229842"/>
          <a:ext cx="161925" cy="95811"/>
        </a:xfrm>
        <a:prstGeom prst="rect">
          <a:avLst/>
        </a:prstGeom>
      </xdr:spPr>
    </xdr:pic>
    <xdr:clientData/>
  </xdr:twoCellAnchor>
  <xdr:twoCellAnchor editAs="oneCell">
    <xdr:from>
      <xdr:col>1</xdr:col>
      <xdr:colOff>580533</xdr:colOff>
      <xdr:row>1</xdr:row>
      <xdr:rowOff>33077</xdr:rowOff>
    </xdr:from>
    <xdr:to>
      <xdr:col>1</xdr:col>
      <xdr:colOff>742458</xdr:colOff>
      <xdr:row>1</xdr:row>
      <xdr:rowOff>132473</xdr:rowOff>
    </xdr:to>
    <xdr:pic>
      <xdr:nvPicPr>
        <xdr:cNvPr id="13" name="Picture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
        <a:stretch>
          <a:fillRect/>
        </a:stretch>
      </xdr:blipFill>
      <xdr:spPr>
        <a:xfrm>
          <a:off x="1097604" y="196363"/>
          <a:ext cx="161925" cy="99396"/>
        </a:xfrm>
        <a:prstGeom prst="rect">
          <a:avLst/>
        </a:prstGeom>
      </xdr:spPr>
    </xdr:pic>
    <xdr:clientData/>
  </xdr:twoCellAnchor>
  <xdr:twoCellAnchor editAs="oneCell">
    <xdr:from>
      <xdr:col>1</xdr:col>
      <xdr:colOff>345385</xdr:colOff>
      <xdr:row>2</xdr:row>
      <xdr:rowOff>24849</xdr:rowOff>
    </xdr:from>
    <xdr:to>
      <xdr:col>1</xdr:col>
      <xdr:colOff>522199</xdr:colOff>
      <xdr:row>3</xdr:row>
      <xdr:rowOff>28024</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2"/>
        <a:stretch>
          <a:fillRect/>
        </a:stretch>
      </xdr:blipFill>
      <xdr:spPr>
        <a:xfrm>
          <a:off x="956990" y="836981"/>
          <a:ext cx="173639" cy="165651"/>
        </a:xfrm>
        <a:prstGeom prst="rect">
          <a:avLst/>
        </a:prstGeom>
      </xdr:spPr>
    </xdr:pic>
    <xdr:clientData/>
  </xdr:twoCellAnchor>
  <xdr:twoCellAnchor editAs="oneCell">
    <xdr:from>
      <xdr:col>40</xdr:col>
      <xdr:colOff>37566</xdr:colOff>
      <xdr:row>3</xdr:row>
      <xdr:rowOff>24848</xdr:rowOff>
    </xdr:from>
    <xdr:to>
      <xdr:col>40</xdr:col>
      <xdr:colOff>142207</xdr:colOff>
      <xdr:row>4</xdr:row>
      <xdr:rowOff>28022</xdr:rowOff>
    </xdr:to>
    <xdr:pic>
      <xdr:nvPicPr>
        <xdr:cNvPr id="12" name="Picture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3"/>
        <a:stretch>
          <a:fillRect/>
        </a:stretch>
      </xdr:blipFill>
      <xdr:spPr>
        <a:xfrm>
          <a:off x="12005048" y="1024973"/>
          <a:ext cx="101466" cy="165652"/>
        </a:xfrm>
        <a:prstGeom prst="rect">
          <a:avLst/>
        </a:prstGeom>
      </xdr:spPr>
    </xdr:pic>
    <xdr:clientData/>
  </xdr:twoCellAnchor>
  <xdr:twoCellAnchor editAs="oneCell">
    <xdr:from>
      <xdr:col>40</xdr:col>
      <xdr:colOff>53473</xdr:colOff>
      <xdr:row>6</xdr:row>
      <xdr:rowOff>4328</xdr:rowOff>
    </xdr:from>
    <xdr:to>
      <xdr:col>40</xdr:col>
      <xdr:colOff>154939</xdr:colOff>
      <xdr:row>7</xdr:row>
      <xdr:rowOff>0</xdr:rowOff>
    </xdr:to>
    <xdr:pic>
      <xdr:nvPicPr>
        <xdr:cNvPr id="16" name="Pictur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3"/>
        <a:stretch>
          <a:fillRect/>
        </a:stretch>
      </xdr:blipFill>
      <xdr:spPr>
        <a:xfrm>
          <a:off x="15402330" y="945165"/>
          <a:ext cx="101466" cy="155510"/>
        </a:xfrm>
        <a:prstGeom prst="rect">
          <a:avLst/>
        </a:prstGeom>
      </xdr:spPr>
    </xdr:pic>
    <xdr:clientData/>
  </xdr:twoCellAnchor>
  <xdr:twoCellAnchor editAs="oneCell">
    <xdr:from>
      <xdr:col>41</xdr:col>
      <xdr:colOff>70772</xdr:colOff>
      <xdr:row>3</xdr:row>
      <xdr:rowOff>131457</xdr:rowOff>
    </xdr:from>
    <xdr:to>
      <xdr:col>41</xdr:col>
      <xdr:colOff>172238</xdr:colOff>
      <xdr:row>4</xdr:row>
      <xdr:rowOff>122246</xdr:rowOff>
    </xdr:to>
    <xdr:pic>
      <xdr:nvPicPr>
        <xdr:cNvPr id="17" name="Picture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3"/>
        <a:stretch>
          <a:fillRect/>
        </a:stretch>
      </xdr:blipFill>
      <xdr:spPr>
        <a:xfrm>
          <a:off x="16010568" y="761273"/>
          <a:ext cx="101466" cy="149475"/>
        </a:xfrm>
        <a:prstGeom prst="rect">
          <a:avLst/>
        </a:prstGeom>
      </xdr:spPr>
    </xdr:pic>
    <xdr:clientData/>
  </xdr:twoCellAnchor>
  <xdr:twoCellAnchor editAs="oneCell">
    <xdr:from>
      <xdr:col>42</xdr:col>
      <xdr:colOff>28396</xdr:colOff>
      <xdr:row>3</xdr:row>
      <xdr:rowOff>154784</xdr:rowOff>
    </xdr:from>
    <xdr:to>
      <xdr:col>42</xdr:col>
      <xdr:colOff>126687</xdr:colOff>
      <xdr:row>5</xdr:row>
      <xdr:rowOff>2384</xdr:rowOff>
    </xdr:to>
    <xdr:pic>
      <xdr:nvPicPr>
        <xdr:cNvPr id="18" name="Picture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3"/>
        <a:stretch>
          <a:fillRect/>
        </a:stretch>
      </xdr:blipFill>
      <xdr:spPr>
        <a:xfrm>
          <a:off x="16559130" y="784600"/>
          <a:ext cx="101466" cy="155510"/>
        </a:xfrm>
        <a:prstGeom prst="rect">
          <a:avLst/>
        </a:prstGeom>
      </xdr:spPr>
    </xdr:pic>
    <xdr:clientData/>
  </xdr:twoCellAnchor>
  <xdr:twoCellAnchor editAs="oneCell">
    <xdr:from>
      <xdr:col>42</xdr:col>
      <xdr:colOff>34422</xdr:colOff>
      <xdr:row>6</xdr:row>
      <xdr:rowOff>23326</xdr:rowOff>
    </xdr:from>
    <xdr:to>
      <xdr:col>42</xdr:col>
      <xdr:colOff>135888</xdr:colOff>
      <xdr:row>8</xdr:row>
      <xdr:rowOff>17291</xdr:rowOff>
    </xdr:to>
    <xdr:pic>
      <xdr:nvPicPr>
        <xdr:cNvPr id="19" name="Picture 18">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3"/>
        <a:stretch>
          <a:fillRect/>
        </a:stretch>
      </xdr:blipFill>
      <xdr:spPr>
        <a:xfrm>
          <a:off x="16565156" y="964163"/>
          <a:ext cx="101466" cy="149475"/>
        </a:xfrm>
        <a:prstGeom prst="rect">
          <a:avLst/>
        </a:prstGeom>
      </xdr:spPr>
    </xdr:pic>
    <xdr:clientData/>
  </xdr:twoCellAnchor>
  <xdr:twoCellAnchor editAs="oneCell">
    <xdr:from>
      <xdr:col>43</xdr:col>
      <xdr:colOff>30145</xdr:colOff>
      <xdr:row>3</xdr:row>
      <xdr:rowOff>139233</xdr:rowOff>
    </xdr:from>
    <xdr:to>
      <xdr:col>43</xdr:col>
      <xdr:colOff>131611</xdr:colOff>
      <xdr:row>4</xdr:row>
      <xdr:rowOff>142407</xdr:rowOff>
    </xdr:to>
    <xdr:pic>
      <xdr:nvPicPr>
        <xdr:cNvPr id="20" name="Picture 19">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3"/>
        <a:stretch>
          <a:fillRect/>
        </a:stretch>
      </xdr:blipFill>
      <xdr:spPr>
        <a:xfrm>
          <a:off x="17151818" y="769049"/>
          <a:ext cx="101466" cy="155510"/>
        </a:xfrm>
        <a:prstGeom prst="rect">
          <a:avLst/>
        </a:prstGeom>
      </xdr:spPr>
    </xdr:pic>
    <xdr:clientData/>
  </xdr:twoCellAnchor>
  <xdr:twoCellAnchor editAs="oneCell">
    <xdr:from>
      <xdr:col>43</xdr:col>
      <xdr:colOff>43947</xdr:colOff>
      <xdr:row>5</xdr:row>
      <xdr:rowOff>132183</xdr:rowOff>
    </xdr:from>
    <xdr:to>
      <xdr:col>43</xdr:col>
      <xdr:colOff>142238</xdr:colOff>
      <xdr:row>6</xdr:row>
      <xdr:rowOff>112088</xdr:rowOff>
    </xdr:to>
    <xdr:pic>
      <xdr:nvPicPr>
        <xdr:cNvPr id="21" name="Picture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3"/>
        <a:stretch>
          <a:fillRect/>
        </a:stretch>
      </xdr:blipFill>
      <xdr:spPr>
        <a:xfrm>
          <a:off x="17165620" y="917510"/>
          <a:ext cx="101466" cy="149475"/>
        </a:xfrm>
        <a:prstGeom prst="rect">
          <a:avLst/>
        </a:prstGeom>
      </xdr:spPr>
    </xdr:pic>
    <xdr:clientData/>
  </xdr:twoCellAnchor>
  <xdr:twoCellAnchor editAs="oneCell">
    <xdr:from>
      <xdr:col>1</xdr:col>
      <xdr:colOff>347870</xdr:colOff>
      <xdr:row>2</xdr:row>
      <xdr:rowOff>149088</xdr:rowOff>
    </xdr:from>
    <xdr:to>
      <xdr:col>1</xdr:col>
      <xdr:colOff>521745</xdr:colOff>
      <xdr:row>4</xdr:row>
      <xdr:rowOff>1736</xdr:rowOff>
    </xdr:to>
    <xdr:pic>
      <xdr:nvPicPr>
        <xdr:cNvPr id="25" name="Picture 24">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60783" y="496958"/>
          <a:ext cx="170700" cy="170700"/>
        </a:xfrm>
        <a:prstGeom prst="rect">
          <a:avLst/>
        </a:prstGeom>
      </xdr:spPr>
    </xdr:pic>
    <xdr:clientData/>
  </xdr:twoCellAnchor>
  <xdr:twoCellAnchor editAs="oneCell">
    <xdr:from>
      <xdr:col>1</xdr:col>
      <xdr:colOff>275966</xdr:colOff>
      <xdr:row>4</xdr:row>
      <xdr:rowOff>20843</xdr:rowOff>
    </xdr:from>
    <xdr:to>
      <xdr:col>1</xdr:col>
      <xdr:colOff>410978</xdr:colOff>
      <xdr:row>4</xdr:row>
      <xdr:rowOff>145525</xdr:rowOff>
    </xdr:to>
    <xdr:pic>
      <xdr:nvPicPr>
        <xdr:cNvPr id="28" name="Picture 27">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95131" y="485579"/>
          <a:ext cx="131837" cy="121507"/>
        </a:xfrm>
        <a:prstGeom prst="rect">
          <a:avLst/>
        </a:prstGeom>
      </xdr:spPr>
    </xdr:pic>
    <xdr:clientData/>
  </xdr:twoCellAnchor>
  <xdr:twoCellAnchor editAs="oneCell">
    <xdr:from>
      <xdr:col>20</xdr:col>
      <xdr:colOff>61291</xdr:colOff>
      <xdr:row>4</xdr:row>
      <xdr:rowOff>48867</xdr:rowOff>
    </xdr:from>
    <xdr:to>
      <xdr:col>20</xdr:col>
      <xdr:colOff>220041</xdr:colOff>
      <xdr:row>4</xdr:row>
      <xdr:rowOff>141503</xdr:rowOff>
    </xdr:to>
    <xdr:pic>
      <xdr:nvPicPr>
        <xdr:cNvPr id="27" name="Picture 26">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1"/>
        <a:stretch>
          <a:fillRect/>
        </a:stretch>
      </xdr:blipFill>
      <xdr:spPr>
        <a:xfrm>
          <a:off x="8666921" y="396737"/>
          <a:ext cx="161925" cy="95811"/>
        </a:xfrm>
        <a:prstGeom prst="rect">
          <a:avLst/>
        </a:prstGeom>
      </xdr:spPr>
    </xdr:pic>
    <xdr:clientData/>
  </xdr:twoCellAnchor>
  <xdr:twoCellAnchor editAs="oneCell">
    <xdr:from>
      <xdr:col>8</xdr:col>
      <xdr:colOff>64604</xdr:colOff>
      <xdr:row>4</xdr:row>
      <xdr:rowOff>35614</xdr:rowOff>
    </xdr:from>
    <xdr:to>
      <xdr:col>8</xdr:col>
      <xdr:colOff>226529</xdr:colOff>
      <xdr:row>4</xdr:row>
      <xdr:rowOff>131425</xdr:rowOff>
    </xdr:to>
    <xdr:pic>
      <xdr:nvPicPr>
        <xdr:cNvPr id="29" name="Picture 28">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1"/>
        <a:stretch>
          <a:fillRect/>
        </a:stretch>
      </xdr:blipFill>
      <xdr:spPr>
        <a:xfrm>
          <a:off x="5373756" y="383484"/>
          <a:ext cx="161925" cy="95811"/>
        </a:xfrm>
        <a:prstGeom prst="rect">
          <a:avLst/>
        </a:prstGeom>
      </xdr:spPr>
    </xdr:pic>
    <xdr:clientData/>
  </xdr:twoCellAnchor>
  <xdr:oneCellAnchor>
    <xdr:from>
      <xdr:col>44</xdr:col>
      <xdr:colOff>30145</xdr:colOff>
      <xdr:row>5</xdr:row>
      <xdr:rowOff>30375</xdr:rowOff>
    </xdr:from>
    <xdr:ext cx="101466" cy="165652"/>
    <xdr:pic>
      <xdr:nvPicPr>
        <xdr:cNvPr id="30" name="Picture 29">
          <a:extLst>
            <a:ext uri="{FF2B5EF4-FFF2-40B4-BE49-F238E27FC236}">
              <a16:creationId xmlns:a16="http://schemas.microsoft.com/office/drawing/2014/main" id="{00000000-0008-0000-0200-00001E000000}"/>
            </a:ext>
          </a:extLst>
        </xdr:cNvPr>
        <xdr:cNvPicPr>
          <a:picLocks noChangeAspect="1"/>
        </xdr:cNvPicPr>
      </xdr:nvPicPr>
      <xdr:blipFill>
        <a:blip xmlns:r="http://schemas.openxmlformats.org/officeDocument/2006/relationships" r:embed="rId3"/>
        <a:stretch>
          <a:fillRect/>
        </a:stretch>
      </xdr:blipFill>
      <xdr:spPr>
        <a:xfrm>
          <a:off x="17742758" y="815702"/>
          <a:ext cx="101466" cy="165652"/>
        </a:xfrm>
        <a:prstGeom prst="rect">
          <a:avLst/>
        </a:prstGeom>
      </xdr:spPr>
    </xdr:pic>
    <xdr:clientData/>
  </xdr:oneCellAnchor>
  <xdr:oneCellAnchor>
    <xdr:from>
      <xdr:col>44</xdr:col>
      <xdr:colOff>20621</xdr:colOff>
      <xdr:row>6</xdr:row>
      <xdr:rowOff>69979</xdr:rowOff>
    </xdr:from>
    <xdr:ext cx="101466" cy="165652"/>
    <xdr:pic>
      <xdr:nvPicPr>
        <xdr:cNvPr id="31" name="Picture 30">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3"/>
        <a:stretch>
          <a:fillRect/>
        </a:stretch>
      </xdr:blipFill>
      <xdr:spPr>
        <a:xfrm>
          <a:off x="17733234" y="1010816"/>
          <a:ext cx="101466" cy="165652"/>
        </a:xfrm>
        <a:prstGeom prst="rect">
          <a:avLst/>
        </a:prstGeom>
      </xdr:spPr>
    </xdr:pic>
    <xdr:clientData/>
  </xdr:oneCellAnchor>
  <xdr:twoCellAnchor>
    <xdr:from>
      <xdr:col>27</xdr:col>
      <xdr:colOff>336883</xdr:colOff>
      <xdr:row>13</xdr:row>
      <xdr:rowOff>66769</xdr:rowOff>
    </xdr:from>
    <xdr:to>
      <xdr:col>54</xdr:col>
      <xdr:colOff>312033</xdr:colOff>
      <xdr:row>59</xdr:row>
      <xdr:rowOff>79311</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27529</xdr:colOff>
      <xdr:row>1</xdr:row>
      <xdr:rowOff>36383</xdr:rowOff>
    </xdr:from>
    <xdr:to>
      <xdr:col>9</xdr:col>
      <xdr:colOff>193835</xdr:colOff>
      <xdr:row>1</xdr:row>
      <xdr:rowOff>133038</xdr:rowOff>
    </xdr:to>
    <xdr:pic>
      <xdr:nvPicPr>
        <xdr:cNvPr id="33" name="Picture 32">
          <a:extLst>
            <a:ext uri="{FF2B5EF4-FFF2-40B4-BE49-F238E27FC236}">
              <a16:creationId xmlns:a16="http://schemas.microsoft.com/office/drawing/2014/main" id="{00000000-0008-0000-0200-000021000000}"/>
            </a:ext>
          </a:extLst>
        </xdr:cNvPr>
        <xdr:cNvPicPr>
          <a:picLocks noChangeAspect="1"/>
        </xdr:cNvPicPr>
      </xdr:nvPicPr>
      <xdr:blipFill>
        <a:blip xmlns:r="http://schemas.openxmlformats.org/officeDocument/2006/relationships" r:embed="rId1"/>
        <a:stretch>
          <a:fillRect/>
        </a:stretch>
      </xdr:blipFill>
      <xdr:spPr>
        <a:xfrm>
          <a:off x="5927586" y="199669"/>
          <a:ext cx="166306" cy="96655"/>
        </a:xfrm>
        <a:prstGeom prst="rect">
          <a:avLst/>
        </a:prstGeom>
      </xdr:spPr>
    </xdr:pic>
    <xdr:clientData/>
  </xdr:twoCellAnchor>
  <xdr:twoCellAnchor editAs="oneCell">
    <xdr:from>
      <xdr:col>21</xdr:col>
      <xdr:colOff>37985</xdr:colOff>
      <xdr:row>1</xdr:row>
      <xdr:rowOff>36142</xdr:rowOff>
    </xdr:from>
    <xdr:to>
      <xdr:col>21</xdr:col>
      <xdr:colOff>197941</xdr:colOff>
      <xdr:row>1</xdr:row>
      <xdr:rowOff>131953</xdr:rowOff>
    </xdr:to>
    <xdr:pic>
      <xdr:nvPicPr>
        <xdr:cNvPr id="34" name="Picture 33">
          <a:extLst>
            <a:ext uri="{FF2B5EF4-FFF2-40B4-BE49-F238E27FC236}">
              <a16:creationId xmlns:a16="http://schemas.microsoft.com/office/drawing/2014/main" id="{00000000-0008-0000-0200-000022000000}"/>
            </a:ext>
          </a:extLst>
        </xdr:cNvPr>
        <xdr:cNvPicPr>
          <a:picLocks noChangeAspect="1"/>
        </xdr:cNvPicPr>
      </xdr:nvPicPr>
      <xdr:blipFill>
        <a:blip xmlns:r="http://schemas.openxmlformats.org/officeDocument/2006/relationships" r:embed="rId1"/>
        <a:stretch>
          <a:fillRect/>
        </a:stretch>
      </xdr:blipFill>
      <xdr:spPr>
        <a:xfrm>
          <a:off x="8781935" y="217117"/>
          <a:ext cx="163131" cy="95811"/>
        </a:xfrm>
        <a:prstGeom prst="rect">
          <a:avLst/>
        </a:prstGeom>
      </xdr:spPr>
    </xdr:pic>
    <xdr:clientData/>
  </xdr:twoCellAnchor>
  <xdr:twoCellAnchor editAs="oneCell">
    <xdr:from>
      <xdr:col>22</xdr:col>
      <xdr:colOff>13493</xdr:colOff>
      <xdr:row>1</xdr:row>
      <xdr:rowOff>37503</xdr:rowOff>
    </xdr:from>
    <xdr:to>
      <xdr:col>22</xdr:col>
      <xdr:colOff>179799</xdr:colOff>
      <xdr:row>1</xdr:row>
      <xdr:rowOff>133314</xdr:rowOff>
    </xdr:to>
    <xdr:pic>
      <xdr:nvPicPr>
        <xdr:cNvPr id="35" name="Picture 33">
          <a:extLst>
            <a:ext uri="{FF2B5EF4-FFF2-40B4-BE49-F238E27FC236}">
              <a16:creationId xmlns:a16="http://schemas.microsoft.com/office/drawing/2014/main" id="{8DBC93DC-9DC7-43F5-9CF5-3D61B3AE4420}"/>
            </a:ext>
          </a:extLst>
        </xdr:cNvPr>
        <xdr:cNvPicPr>
          <a:picLocks noChangeAspect="1"/>
        </xdr:cNvPicPr>
      </xdr:nvPicPr>
      <xdr:blipFill>
        <a:blip xmlns:r="http://schemas.openxmlformats.org/officeDocument/2006/relationships" r:embed="rId1"/>
        <a:stretch>
          <a:fillRect/>
        </a:stretch>
      </xdr:blipFill>
      <xdr:spPr>
        <a:xfrm>
          <a:off x="9571150" y="200789"/>
          <a:ext cx="163131" cy="95811"/>
        </a:xfrm>
        <a:prstGeom prst="rect">
          <a:avLst/>
        </a:prstGeom>
      </xdr:spPr>
    </xdr:pic>
    <xdr:clientData/>
  </xdr:twoCellAnchor>
  <xdr:twoCellAnchor editAs="oneCell">
    <xdr:from>
      <xdr:col>10</xdr:col>
      <xdr:colOff>40708</xdr:colOff>
      <xdr:row>1</xdr:row>
      <xdr:rowOff>37503</xdr:rowOff>
    </xdr:from>
    <xdr:to>
      <xdr:col>10</xdr:col>
      <xdr:colOff>200664</xdr:colOff>
      <xdr:row>1</xdr:row>
      <xdr:rowOff>133314</xdr:rowOff>
    </xdr:to>
    <xdr:pic>
      <xdr:nvPicPr>
        <xdr:cNvPr id="36" name="Picture 33">
          <a:extLst>
            <a:ext uri="{FF2B5EF4-FFF2-40B4-BE49-F238E27FC236}">
              <a16:creationId xmlns:a16="http://schemas.microsoft.com/office/drawing/2014/main" id="{0A9A068A-ADF5-49E6-A9E5-BE72BC52B2C9}"/>
            </a:ext>
          </a:extLst>
        </xdr:cNvPr>
        <xdr:cNvPicPr>
          <a:picLocks noChangeAspect="1"/>
        </xdr:cNvPicPr>
      </xdr:nvPicPr>
      <xdr:blipFill>
        <a:blip xmlns:r="http://schemas.openxmlformats.org/officeDocument/2006/relationships" r:embed="rId1"/>
        <a:stretch>
          <a:fillRect/>
        </a:stretch>
      </xdr:blipFill>
      <xdr:spPr>
        <a:xfrm>
          <a:off x="6348979" y="200789"/>
          <a:ext cx="163131" cy="95811"/>
        </a:xfrm>
        <a:prstGeom prst="rect">
          <a:avLst/>
        </a:prstGeom>
      </xdr:spPr>
    </xdr:pic>
    <xdr:clientData/>
  </xdr:twoCellAnchor>
  <xdr:oneCellAnchor>
    <xdr:from>
      <xdr:col>46</xdr:col>
      <xdr:colOff>24288</xdr:colOff>
      <xdr:row>5</xdr:row>
      <xdr:rowOff>137746</xdr:rowOff>
    </xdr:from>
    <xdr:ext cx="101466" cy="165652"/>
    <xdr:pic>
      <xdr:nvPicPr>
        <xdr:cNvPr id="14" name="Picture 13">
          <a:extLst>
            <a:ext uri="{FF2B5EF4-FFF2-40B4-BE49-F238E27FC236}">
              <a16:creationId xmlns:a16="http://schemas.microsoft.com/office/drawing/2014/main" id="{F6038DED-4A87-4703-8076-5682A66B9CFC}"/>
            </a:ext>
          </a:extLst>
        </xdr:cNvPr>
        <xdr:cNvPicPr>
          <a:picLocks noChangeAspect="1"/>
        </xdr:cNvPicPr>
      </xdr:nvPicPr>
      <xdr:blipFill>
        <a:blip xmlns:r="http://schemas.openxmlformats.org/officeDocument/2006/relationships" r:embed="rId3"/>
        <a:stretch>
          <a:fillRect/>
        </a:stretch>
      </xdr:blipFill>
      <xdr:spPr>
        <a:xfrm>
          <a:off x="18848798" y="923073"/>
          <a:ext cx="101466" cy="165652"/>
        </a:xfrm>
        <a:prstGeom prst="rect">
          <a:avLst/>
        </a:prstGeom>
      </xdr:spPr>
    </xdr:pic>
    <xdr:clientData/>
  </xdr:oneCellAnchor>
  <xdr:oneCellAnchor>
    <xdr:from>
      <xdr:col>45</xdr:col>
      <xdr:colOff>6968</xdr:colOff>
      <xdr:row>5</xdr:row>
      <xdr:rowOff>136243</xdr:rowOff>
    </xdr:from>
    <xdr:ext cx="101466" cy="165652"/>
    <xdr:pic>
      <xdr:nvPicPr>
        <xdr:cNvPr id="15" name="Picture 14">
          <a:extLst>
            <a:ext uri="{FF2B5EF4-FFF2-40B4-BE49-F238E27FC236}">
              <a16:creationId xmlns:a16="http://schemas.microsoft.com/office/drawing/2014/main" id="{8DC8AB55-877B-44B6-88F4-A4139937C3B9}"/>
            </a:ext>
          </a:extLst>
        </xdr:cNvPr>
        <xdr:cNvPicPr>
          <a:picLocks noChangeAspect="1"/>
        </xdr:cNvPicPr>
      </xdr:nvPicPr>
      <xdr:blipFill>
        <a:blip xmlns:r="http://schemas.openxmlformats.org/officeDocument/2006/relationships" r:embed="rId3"/>
        <a:stretch>
          <a:fillRect/>
        </a:stretch>
      </xdr:blipFill>
      <xdr:spPr>
        <a:xfrm>
          <a:off x="18310519" y="921570"/>
          <a:ext cx="101466" cy="165652"/>
        </a:xfrm>
        <a:prstGeom prst="rect">
          <a:avLst/>
        </a:prstGeom>
      </xdr:spPr>
    </xdr:pic>
    <xdr:clientData/>
  </xdr:oneCellAnchor>
  <xdr:twoCellAnchor editAs="oneCell">
    <xdr:from>
      <xdr:col>41</xdr:col>
      <xdr:colOff>127509</xdr:colOff>
      <xdr:row>14</xdr:row>
      <xdr:rowOff>134446</xdr:rowOff>
    </xdr:from>
    <xdr:to>
      <xdr:col>51</xdr:col>
      <xdr:colOff>470482</xdr:colOff>
      <xdr:row>26</xdr:row>
      <xdr:rowOff>24514</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44" name="Ink 43">
              <a:extLst>
                <a:ext uri="{FF2B5EF4-FFF2-40B4-BE49-F238E27FC236}">
                  <a16:creationId xmlns:a16="http://schemas.microsoft.com/office/drawing/2014/main" id="{B7DB0C96-3EB3-45CD-863C-6060B35D380E}"/>
                </a:ext>
              </a:extLst>
            </xdr14:cNvPr>
            <xdr14:cNvContentPartPr/>
          </xdr14:nvContentPartPr>
          <xdr14:nvPr macro=""/>
          <xdr14:xfrm>
            <a:off x="20788595" y="2099317"/>
            <a:ext cx="5840259" cy="1822283"/>
          </xdr14:xfrm>
        </xdr:contentPart>
      </mc:Choice>
      <mc:Fallback xmlns="">
        <xdr:pic>
          <xdr:nvPicPr>
            <xdr:cNvPr id="44" name="Ink 43">
              <a:extLst>
                <a:ext uri="{FF2B5EF4-FFF2-40B4-BE49-F238E27FC236}">
                  <a16:creationId xmlns:a16="http://schemas.microsoft.com/office/drawing/2014/main" id="{B7DB0C96-3EB3-45CD-863C-6060B35D380E}"/>
                </a:ext>
              </a:extLst>
            </xdr:cNvPr>
            <xdr:cNvPicPr/>
          </xdr:nvPicPr>
          <xdr:blipFill>
            <a:blip xmlns:r="http://schemas.openxmlformats.org/officeDocument/2006/relationships" r:embed="rId10"/>
            <a:stretch>
              <a:fillRect/>
            </a:stretch>
          </xdr:blipFill>
          <xdr:spPr>
            <a:xfrm>
              <a:off x="15541542" y="1959340"/>
              <a:ext cx="5511636" cy="1883088"/>
            </a:xfrm>
            <a:prstGeom prst="rect">
              <a:avLst/>
            </a:prstGeom>
          </xdr:spPr>
        </xdr:pic>
      </mc:Fallback>
    </mc:AlternateContent>
    <xdr:clientData/>
  </xdr:twoCellAnchor>
  <xdr:twoCellAnchor editAs="oneCell">
    <xdr:from>
      <xdr:col>44</xdr:col>
      <xdr:colOff>51133</xdr:colOff>
      <xdr:row>29</xdr:row>
      <xdr:rowOff>113587</xdr:rowOff>
    </xdr:from>
    <xdr:to>
      <xdr:col>51</xdr:col>
      <xdr:colOff>368800</xdr:colOff>
      <xdr:row>40</xdr:row>
      <xdr:rowOff>19500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51" name="Ink 50">
              <a:extLst>
                <a:ext uri="{FF2B5EF4-FFF2-40B4-BE49-F238E27FC236}">
                  <a16:creationId xmlns:a16="http://schemas.microsoft.com/office/drawing/2014/main" id="{9AEF7B25-6823-4173-B7C7-F81A6BF70634}"/>
                </a:ext>
              </a:extLst>
            </xdr14:cNvPr>
            <xdr14:cNvContentPartPr/>
          </xdr14:nvContentPartPr>
          <xdr14:nvPr macro=""/>
          <xdr14:xfrm>
            <a:off x="22372290" y="4418887"/>
            <a:ext cx="4154881" cy="1402699"/>
          </xdr14:xfrm>
        </xdr:contentPart>
      </mc:Choice>
      <mc:Fallback xmlns="">
        <xdr:pic>
          <xdr:nvPicPr>
            <xdr:cNvPr id="51" name="Ink 50">
              <a:extLst>
                <a:ext uri="{FF2B5EF4-FFF2-40B4-BE49-F238E27FC236}">
                  <a16:creationId xmlns:a16="http://schemas.microsoft.com/office/drawing/2014/main" id="{9AEF7B25-6823-4173-B7C7-F81A6BF70634}"/>
                </a:ext>
              </a:extLst>
            </xdr:cNvPr>
            <xdr:cNvPicPr/>
          </xdr:nvPicPr>
          <xdr:blipFill>
            <a:blip xmlns:r="http://schemas.openxmlformats.org/officeDocument/2006/relationships" r:embed="rId12"/>
            <a:stretch>
              <a:fillRect/>
            </a:stretch>
          </xdr:blipFill>
          <xdr:spPr>
            <a:xfrm>
              <a:off x="16779597" y="4886932"/>
              <a:ext cx="3914287" cy="1446268"/>
            </a:xfrm>
            <a:prstGeom prst="rect">
              <a:avLst/>
            </a:prstGeom>
          </xdr:spPr>
        </xdr:pic>
      </mc:Fallback>
    </mc:AlternateContent>
    <xdr:clientData/>
  </xdr:twoCellAnchor>
  <xdr:twoCellAnchor editAs="oneCell">
    <xdr:from>
      <xdr:col>11</xdr:col>
      <xdr:colOff>16389</xdr:colOff>
      <xdr:row>2</xdr:row>
      <xdr:rowOff>32302</xdr:rowOff>
    </xdr:from>
    <xdr:to>
      <xdr:col>11</xdr:col>
      <xdr:colOff>181489</xdr:colOff>
      <xdr:row>2</xdr:row>
      <xdr:rowOff>124938</xdr:rowOff>
    </xdr:to>
    <xdr:pic>
      <xdr:nvPicPr>
        <xdr:cNvPr id="22" name="Picture 21">
          <a:extLst>
            <a:ext uri="{FF2B5EF4-FFF2-40B4-BE49-F238E27FC236}">
              <a16:creationId xmlns:a16="http://schemas.microsoft.com/office/drawing/2014/main" id="{71304885-16C6-4592-ADE6-F1D6996B230B}"/>
            </a:ext>
          </a:extLst>
        </xdr:cNvPr>
        <xdr:cNvPicPr>
          <a:picLocks noChangeAspect="1"/>
        </xdr:cNvPicPr>
      </xdr:nvPicPr>
      <xdr:blipFill>
        <a:blip xmlns:r="http://schemas.openxmlformats.org/officeDocument/2006/relationships" r:embed="rId1"/>
        <a:stretch>
          <a:fillRect/>
        </a:stretch>
      </xdr:blipFill>
      <xdr:spPr>
        <a:xfrm>
          <a:off x="6651232" y="347988"/>
          <a:ext cx="161925" cy="95811"/>
        </a:xfrm>
        <a:prstGeom prst="rect">
          <a:avLst/>
        </a:prstGeom>
      </xdr:spPr>
    </xdr:pic>
    <xdr:clientData/>
  </xdr:twoCellAnchor>
  <xdr:twoCellAnchor editAs="oneCell">
    <xdr:from>
      <xdr:col>23</xdr:col>
      <xdr:colOff>21832</xdr:colOff>
      <xdr:row>2</xdr:row>
      <xdr:rowOff>32302</xdr:rowOff>
    </xdr:from>
    <xdr:to>
      <xdr:col>23</xdr:col>
      <xdr:colOff>180582</xdr:colOff>
      <xdr:row>2</xdr:row>
      <xdr:rowOff>124938</xdr:rowOff>
    </xdr:to>
    <xdr:pic>
      <xdr:nvPicPr>
        <xdr:cNvPr id="23" name="Picture 22">
          <a:extLst>
            <a:ext uri="{FF2B5EF4-FFF2-40B4-BE49-F238E27FC236}">
              <a16:creationId xmlns:a16="http://schemas.microsoft.com/office/drawing/2014/main" id="{5816CDC0-0161-4A8D-B9AD-5B375BCAC33F}"/>
            </a:ext>
          </a:extLst>
        </xdr:cNvPr>
        <xdr:cNvPicPr>
          <a:picLocks noChangeAspect="1"/>
        </xdr:cNvPicPr>
      </xdr:nvPicPr>
      <xdr:blipFill>
        <a:blip xmlns:r="http://schemas.openxmlformats.org/officeDocument/2006/relationships" r:embed="rId1"/>
        <a:stretch>
          <a:fillRect/>
        </a:stretch>
      </xdr:blipFill>
      <xdr:spPr>
        <a:xfrm>
          <a:off x="10749703" y="347988"/>
          <a:ext cx="161925" cy="95811"/>
        </a:xfrm>
        <a:prstGeom prst="rect">
          <a:avLst/>
        </a:prstGeom>
      </xdr:spPr>
    </xdr:pic>
    <xdr:clientData/>
  </xdr:twoCellAnchor>
  <xdr:twoCellAnchor>
    <xdr:from>
      <xdr:col>0</xdr:col>
      <xdr:colOff>0</xdr:colOff>
      <xdr:row>24</xdr:row>
      <xdr:rowOff>125187</xdr:rowOff>
    </xdr:from>
    <xdr:to>
      <xdr:col>21</xdr:col>
      <xdr:colOff>64032</xdr:colOff>
      <xdr:row>51</xdr:row>
      <xdr:rowOff>10886</xdr:rowOff>
    </xdr:to>
    <xdr:graphicFrame macro="">
      <xdr:nvGraphicFramePr>
        <xdr:cNvPr id="42" name="Chart 41">
          <a:extLst>
            <a:ext uri="{FF2B5EF4-FFF2-40B4-BE49-F238E27FC236}">
              <a16:creationId xmlns:a16="http://schemas.microsoft.com/office/drawing/2014/main" id="{F32097DA-68E1-F822-2544-296920820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12</xdr:col>
      <xdr:colOff>21832</xdr:colOff>
      <xdr:row>2</xdr:row>
      <xdr:rowOff>32302</xdr:rowOff>
    </xdr:from>
    <xdr:to>
      <xdr:col>12</xdr:col>
      <xdr:colOff>186932</xdr:colOff>
      <xdr:row>2</xdr:row>
      <xdr:rowOff>124938</xdr:rowOff>
    </xdr:to>
    <xdr:pic>
      <xdr:nvPicPr>
        <xdr:cNvPr id="45" name="Picture 44">
          <a:extLst>
            <a:ext uri="{FF2B5EF4-FFF2-40B4-BE49-F238E27FC236}">
              <a16:creationId xmlns:a16="http://schemas.microsoft.com/office/drawing/2014/main" id="{D3F309F3-934E-4423-9113-4260A1B62798}"/>
            </a:ext>
          </a:extLst>
        </xdr:cNvPr>
        <xdr:cNvPicPr>
          <a:picLocks noChangeAspect="1"/>
        </xdr:cNvPicPr>
      </xdr:nvPicPr>
      <xdr:blipFill>
        <a:blip xmlns:r="http://schemas.openxmlformats.org/officeDocument/2006/relationships" r:embed="rId1"/>
        <a:stretch>
          <a:fillRect/>
        </a:stretch>
      </xdr:blipFill>
      <xdr:spPr>
        <a:xfrm>
          <a:off x="7554746" y="347988"/>
          <a:ext cx="165100" cy="92636"/>
        </a:xfrm>
        <a:prstGeom prst="rect">
          <a:avLst/>
        </a:prstGeom>
      </xdr:spPr>
    </xdr:pic>
    <xdr:clientData/>
  </xdr:twoCellAnchor>
  <xdr:twoCellAnchor editAs="oneCell">
    <xdr:from>
      <xdr:col>24</xdr:col>
      <xdr:colOff>10946</xdr:colOff>
      <xdr:row>2</xdr:row>
      <xdr:rowOff>26859</xdr:rowOff>
    </xdr:from>
    <xdr:to>
      <xdr:col>24</xdr:col>
      <xdr:colOff>176046</xdr:colOff>
      <xdr:row>2</xdr:row>
      <xdr:rowOff>119495</xdr:rowOff>
    </xdr:to>
    <xdr:pic>
      <xdr:nvPicPr>
        <xdr:cNvPr id="46" name="Picture 45">
          <a:extLst>
            <a:ext uri="{FF2B5EF4-FFF2-40B4-BE49-F238E27FC236}">
              <a16:creationId xmlns:a16="http://schemas.microsoft.com/office/drawing/2014/main" id="{04233BA8-8085-46F4-A74F-371713792481}"/>
            </a:ext>
          </a:extLst>
        </xdr:cNvPr>
        <xdr:cNvPicPr>
          <a:picLocks noChangeAspect="1"/>
        </xdr:cNvPicPr>
      </xdr:nvPicPr>
      <xdr:blipFill>
        <a:blip xmlns:r="http://schemas.openxmlformats.org/officeDocument/2006/relationships" r:embed="rId1"/>
        <a:stretch>
          <a:fillRect/>
        </a:stretch>
      </xdr:blipFill>
      <xdr:spPr>
        <a:xfrm>
          <a:off x="11435503" y="342545"/>
          <a:ext cx="165100" cy="92636"/>
        </a:xfrm>
        <a:prstGeom prst="rect">
          <a:avLst/>
        </a:prstGeom>
      </xdr:spPr>
    </xdr:pic>
    <xdr:clientData/>
  </xdr:twoCellAnchor>
  <xdr:oneCellAnchor>
    <xdr:from>
      <xdr:col>47</xdr:col>
      <xdr:colOff>80545</xdr:colOff>
      <xdr:row>5</xdr:row>
      <xdr:rowOff>148266</xdr:rowOff>
    </xdr:from>
    <xdr:ext cx="101466" cy="165652"/>
    <xdr:pic>
      <xdr:nvPicPr>
        <xdr:cNvPr id="47" name="Picture 46">
          <a:extLst>
            <a:ext uri="{FF2B5EF4-FFF2-40B4-BE49-F238E27FC236}">
              <a16:creationId xmlns:a16="http://schemas.microsoft.com/office/drawing/2014/main" id="{F3A49793-1658-45F7-93F2-B5CB8F3C60A2}"/>
            </a:ext>
          </a:extLst>
        </xdr:cNvPr>
        <xdr:cNvPicPr>
          <a:picLocks noChangeAspect="1"/>
        </xdr:cNvPicPr>
      </xdr:nvPicPr>
      <xdr:blipFill>
        <a:blip xmlns:r="http://schemas.openxmlformats.org/officeDocument/2006/relationships" r:embed="rId3"/>
        <a:stretch>
          <a:fillRect/>
        </a:stretch>
      </xdr:blipFill>
      <xdr:spPr>
        <a:xfrm>
          <a:off x="21019537" y="929477"/>
          <a:ext cx="101466" cy="165652"/>
        </a:xfrm>
        <a:prstGeom prst="rect">
          <a:avLst/>
        </a:prstGeom>
      </xdr:spPr>
    </xdr:pic>
    <xdr:clientData/>
  </xdr:oneCellAnchor>
  <xdr:twoCellAnchor editAs="oneCell">
    <xdr:from>
      <xdr:col>1</xdr:col>
      <xdr:colOff>299913</xdr:colOff>
      <xdr:row>6</xdr:row>
      <xdr:rowOff>0</xdr:rowOff>
    </xdr:from>
    <xdr:to>
      <xdr:col>1</xdr:col>
      <xdr:colOff>564958</xdr:colOff>
      <xdr:row>6</xdr:row>
      <xdr:rowOff>148716</xdr:rowOff>
    </xdr:to>
    <xdr:pic>
      <xdr:nvPicPr>
        <xdr:cNvPr id="40" name="Picture 39" descr="Accenture Logo, symbol, meaning, history, PNG, brand">
          <a:extLst>
            <a:ext uri="{FF2B5EF4-FFF2-40B4-BE49-F238E27FC236}">
              <a16:creationId xmlns:a16="http://schemas.microsoft.com/office/drawing/2014/main" id="{34212FA9-2968-4EBB-87E1-B1AF4139B892}"/>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877522" y="910846"/>
          <a:ext cx="265045" cy="1487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261035</xdr:colOff>
      <xdr:row>5</xdr:row>
      <xdr:rowOff>0</xdr:rowOff>
    </xdr:from>
    <xdr:to>
      <xdr:col>1</xdr:col>
      <xdr:colOff>468101</xdr:colOff>
      <xdr:row>6</xdr:row>
      <xdr:rowOff>12008</xdr:rowOff>
    </xdr:to>
    <xdr:pic>
      <xdr:nvPicPr>
        <xdr:cNvPr id="49" name="Picture 1" descr="https://static.thenounproject.com/png/200330-200.png">
          <a:extLst>
            <a:ext uri="{FF2B5EF4-FFF2-40B4-BE49-F238E27FC236}">
              <a16:creationId xmlns:a16="http://schemas.microsoft.com/office/drawing/2014/main" id="{4B886EB4-76F5-489E-A95F-459722FDA428}"/>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838644" y="733120"/>
          <a:ext cx="207066" cy="189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3794</xdr:colOff>
      <xdr:row>3</xdr:row>
      <xdr:rowOff>37164</xdr:rowOff>
    </xdr:from>
    <xdr:to>
      <xdr:col>25</xdr:col>
      <xdr:colOff>167869</xdr:colOff>
      <xdr:row>3</xdr:row>
      <xdr:rowOff>129800</xdr:rowOff>
    </xdr:to>
    <xdr:pic>
      <xdr:nvPicPr>
        <xdr:cNvPr id="24" name="Picture 23">
          <a:extLst>
            <a:ext uri="{FF2B5EF4-FFF2-40B4-BE49-F238E27FC236}">
              <a16:creationId xmlns:a16="http://schemas.microsoft.com/office/drawing/2014/main" id="{C27D9A0F-4E40-46E9-8057-562C59FE958D}"/>
            </a:ext>
          </a:extLst>
        </xdr:cNvPr>
        <xdr:cNvPicPr>
          <a:picLocks noChangeAspect="1"/>
        </xdr:cNvPicPr>
      </xdr:nvPicPr>
      <xdr:blipFill>
        <a:blip xmlns:r="http://schemas.openxmlformats.org/officeDocument/2006/relationships" r:embed="rId1"/>
        <a:stretch>
          <a:fillRect/>
        </a:stretch>
      </xdr:blipFill>
      <xdr:spPr>
        <a:xfrm>
          <a:off x="12204168" y="514461"/>
          <a:ext cx="164075" cy="92636"/>
        </a:xfrm>
        <a:prstGeom prst="rect">
          <a:avLst/>
        </a:prstGeom>
      </xdr:spPr>
    </xdr:pic>
    <xdr:clientData/>
  </xdr:twoCellAnchor>
  <xdr:twoCellAnchor editAs="oneCell">
    <xdr:from>
      <xdr:col>12</xdr:col>
      <xdr:colOff>507801</xdr:colOff>
      <xdr:row>3</xdr:row>
      <xdr:rowOff>17307</xdr:rowOff>
    </xdr:from>
    <xdr:to>
      <xdr:col>13</xdr:col>
      <xdr:colOff>128615</xdr:colOff>
      <xdr:row>3</xdr:row>
      <xdr:rowOff>109943</xdr:rowOff>
    </xdr:to>
    <xdr:pic>
      <xdr:nvPicPr>
        <xdr:cNvPr id="26" name="Picture 25">
          <a:extLst>
            <a:ext uri="{FF2B5EF4-FFF2-40B4-BE49-F238E27FC236}">
              <a16:creationId xmlns:a16="http://schemas.microsoft.com/office/drawing/2014/main" id="{F282F077-36EC-4815-8547-7922C0D68443}"/>
            </a:ext>
          </a:extLst>
        </xdr:cNvPr>
        <xdr:cNvPicPr>
          <a:picLocks noChangeAspect="1"/>
        </xdr:cNvPicPr>
      </xdr:nvPicPr>
      <xdr:blipFill>
        <a:blip xmlns:r="http://schemas.openxmlformats.org/officeDocument/2006/relationships" r:embed="rId1"/>
        <a:stretch>
          <a:fillRect/>
        </a:stretch>
      </xdr:blipFill>
      <xdr:spPr>
        <a:xfrm>
          <a:off x="8044492" y="489392"/>
          <a:ext cx="165100" cy="92636"/>
        </a:xfrm>
        <a:prstGeom prst="rect">
          <a:avLst/>
        </a:prstGeom>
      </xdr:spPr>
    </xdr:pic>
    <xdr:clientData/>
  </xdr:twoCellAnchor>
  <xdr:twoCellAnchor editAs="oneCell">
    <xdr:from>
      <xdr:col>26</xdr:col>
      <xdr:colOff>234723</xdr:colOff>
      <xdr:row>3</xdr:row>
      <xdr:rowOff>17008</xdr:rowOff>
    </xdr:from>
    <xdr:to>
      <xdr:col>26</xdr:col>
      <xdr:colOff>316997</xdr:colOff>
      <xdr:row>3</xdr:row>
      <xdr:rowOff>107509</xdr:rowOff>
    </xdr:to>
    <xdr:pic>
      <xdr:nvPicPr>
        <xdr:cNvPr id="32" name="Picture 31">
          <a:extLst>
            <a:ext uri="{FF2B5EF4-FFF2-40B4-BE49-F238E27FC236}">
              <a16:creationId xmlns:a16="http://schemas.microsoft.com/office/drawing/2014/main" id="{8C9804C7-ECFA-40EC-B82C-3D8F03F42EFE}"/>
            </a:ext>
          </a:extLst>
        </xdr:cNvPr>
        <xdr:cNvPicPr>
          <a:picLocks noChangeAspect="1"/>
        </xdr:cNvPicPr>
      </xdr:nvPicPr>
      <xdr:blipFill rotWithShape="1">
        <a:blip xmlns:r="http://schemas.openxmlformats.org/officeDocument/2006/relationships" r:embed="rId1"/>
        <a:srcRect l="49190" t="5543" b="-2"/>
        <a:stretch>
          <a:fillRect/>
        </a:stretch>
      </xdr:blipFill>
      <xdr:spPr>
        <a:xfrm>
          <a:off x="13753419" y="496660"/>
          <a:ext cx="82274" cy="90501"/>
        </a:xfrm>
        <a:prstGeom prst="rect">
          <a:avLst/>
        </a:prstGeom>
      </xdr:spPr>
    </xdr:pic>
    <xdr:clientData/>
  </xdr:twoCellAnchor>
  <xdr:twoCellAnchor editAs="oneCell">
    <xdr:from>
      <xdr:col>26</xdr:col>
      <xdr:colOff>173492</xdr:colOff>
      <xdr:row>2</xdr:row>
      <xdr:rowOff>47626</xdr:rowOff>
    </xdr:from>
    <xdr:to>
      <xdr:col>26</xdr:col>
      <xdr:colOff>261282</xdr:colOff>
      <xdr:row>2</xdr:row>
      <xdr:rowOff>146043</xdr:rowOff>
    </xdr:to>
    <xdr:pic>
      <xdr:nvPicPr>
        <xdr:cNvPr id="37" name="Picture 36">
          <a:extLst>
            <a:ext uri="{FF2B5EF4-FFF2-40B4-BE49-F238E27FC236}">
              <a16:creationId xmlns:a16="http://schemas.microsoft.com/office/drawing/2014/main" id="{E1F5DBB3-8A6C-4A20-A3F9-8E51A065C715}"/>
            </a:ext>
          </a:extLst>
        </xdr:cNvPr>
        <xdr:cNvPicPr>
          <a:picLocks noChangeAspect="1"/>
        </xdr:cNvPicPr>
      </xdr:nvPicPr>
      <xdr:blipFill rotWithShape="1">
        <a:blip xmlns:r="http://schemas.openxmlformats.org/officeDocument/2006/relationships" r:embed="rId1"/>
        <a:srcRect l="1" t="1" r="45783" b="-2722"/>
        <a:stretch>
          <a:fillRect/>
        </a:stretch>
      </xdr:blipFill>
      <xdr:spPr>
        <a:xfrm>
          <a:off x="13692188" y="374197"/>
          <a:ext cx="87790" cy="98417"/>
        </a:xfrm>
        <a:prstGeom prst="rect">
          <a:avLst/>
        </a:prstGeom>
      </xdr:spPr>
    </xdr:pic>
    <xdr:clientData/>
  </xdr:twoCellAnchor>
  <xdr:twoCellAnchor editAs="oneCell">
    <xdr:from>
      <xdr:col>14</xdr:col>
      <xdr:colOff>17009</xdr:colOff>
      <xdr:row>2</xdr:row>
      <xdr:rowOff>37420</xdr:rowOff>
    </xdr:from>
    <xdr:to>
      <xdr:col>14</xdr:col>
      <xdr:colOff>104799</xdr:colOff>
      <xdr:row>2</xdr:row>
      <xdr:rowOff>135837</xdr:rowOff>
    </xdr:to>
    <xdr:pic>
      <xdr:nvPicPr>
        <xdr:cNvPr id="38" name="Picture 37">
          <a:extLst>
            <a:ext uri="{FF2B5EF4-FFF2-40B4-BE49-F238E27FC236}">
              <a16:creationId xmlns:a16="http://schemas.microsoft.com/office/drawing/2014/main" id="{8F0CDD14-B31B-4D95-A6A7-0E26781BFE0C}"/>
            </a:ext>
          </a:extLst>
        </xdr:cNvPr>
        <xdr:cNvPicPr>
          <a:picLocks noChangeAspect="1"/>
        </xdr:cNvPicPr>
      </xdr:nvPicPr>
      <xdr:blipFill rotWithShape="1">
        <a:blip xmlns:r="http://schemas.openxmlformats.org/officeDocument/2006/relationships" r:embed="rId1"/>
        <a:srcRect l="1" t="1" r="45783" b="-2722"/>
        <a:stretch>
          <a:fillRect/>
        </a:stretch>
      </xdr:blipFill>
      <xdr:spPr>
        <a:xfrm>
          <a:off x="8535080" y="363991"/>
          <a:ext cx="87790" cy="98417"/>
        </a:xfrm>
        <a:prstGeom prst="rect">
          <a:avLst/>
        </a:prstGeom>
      </xdr:spPr>
    </xdr:pic>
    <xdr:clientData/>
  </xdr:twoCellAnchor>
  <xdr:twoCellAnchor editAs="oneCell">
    <xdr:from>
      <xdr:col>14</xdr:col>
      <xdr:colOff>43543</xdr:colOff>
      <xdr:row>3</xdr:row>
      <xdr:rowOff>43542</xdr:rowOff>
    </xdr:from>
    <xdr:to>
      <xdr:col>14</xdr:col>
      <xdr:colOff>125817</xdr:colOff>
      <xdr:row>3</xdr:row>
      <xdr:rowOff>134043</xdr:rowOff>
    </xdr:to>
    <xdr:pic>
      <xdr:nvPicPr>
        <xdr:cNvPr id="39" name="Picture 38">
          <a:extLst>
            <a:ext uri="{FF2B5EF4-FFF2-40B4-BE49-F238E27FC236}">
              <a16:creationId xmlns:a16="http://schemas.microsoft.com/office/drawing/2014/main" id="{A1B4C85C-9031-423D-99D6-E5530916A456}"/>
            </a:ext>
          </a:extLst>
        </xdr:cNvPr>
        <xdr:cNvPicPr>
          <a:picLocks noChangeAspect="1"/>
        </xdr:cNvPicPr>
      </xdr:nvPicPr>
      <xdr:blipFill rotWithShape="1">
        <a:blip xmlns:r="http://schemas.openxmlformats.org/officeDocument/2006/relationships" r:embed="rId1"/>
        <a:srcRect l="49190" t="5543" b="-2"/>
        <a:stretch>
          <a:fillRect/>
        </a:stretch>
      </xdr:blipFill>
      <xdr:spPr>
        <a:xfrm>
          <a:off x="8561614" y="523194"/>
          <a:ext cx="82274" cy="90501"/>
        </a:xfrm>
        <a:prstGeom prst="rect">
          <a:avLst/>
        </a:prstGeom>
      </xdr:spPr>
    </xdr:pic>
    <xdr:clientData/>
  </xdr:twoCellAnchor>
  <xdr:twoCellAnchor editAs="oneCell">
    <xdr:from>
      <xdr:col>1</xdr:col>
      <xdr:colOff>500743</xdr:colOff>
      <xdr:row>2</xdr:row>
      <xdr:rowOff>141515</xdr:rowOff>
    </xdr:from>
    <xdr:to>
      <xdr:col>1</xdr:col>
      <xdr:colOff>677793</xdr:colOff>
      <xdr:row>4</xdr:row>
      <xdr:rowOff>19596</xdr:rowOff>
    </xdr:to>
    <xdr:pic>
      <xdr:nvPicPr>
        <xdr:cNvPr id="43" name="Picture 42">
          <a:extLst>
            <a:ext uri="{FF2B5EF4-FFF2-40B4-BE49-F238E27FC236}">
              <a16:creationId xmlns:a16="http://schemas.microsoft.com/office/drawing/2014/main" id="{D18ECFC6-4FBF-405A-8B80-FCFC339F607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77686" y="468086"/>
          <a:ext cx="177050" cy="182881"/>
        </a:xfrm>
        <a:prstGeom prst="rect">
          <a:avLst/>
        </a:prstGeom>
      </xdr:spPr>
    </xdr:pic>
    <xdr:clientData/>
  </xdr:twoCellAnchor>
  <xdr:twoCellAnchor editAs="oneCell">
    <xdr:from>
      <xdr:col>1</xdr:col>
      <xdr:colOff>696686</xdr:colOff>
      <xdr:row>2</xdr:row>
      <xdr:rowOff>146958</xdr:rowOff>
    </xdr:from>
    <xdr:to>
      <xdr:col>1</xdr:col>
      <xdr:colOff>873736</xdr:colOff>
      <xdr:row>4</xdr:row>
      <xdr:rowOff>25039</xdr:rowOff>
    </xdr:to>
    <xdr:pic>
      <xdr:nvPicPr>
        <xdr:cNvPr id="48" name="Picture 47">
          <a:extLst>
            <a:ext uri="{FF2B5EF4-FFF2-40B4-BE49-F238E27FC236}">
              <a16:creationId xmlns:a16="http://schemas.microsoft.com/office/drawing/2014/main" id="{30E55156-B4F8-489B-8F70-7563E466499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73629" y="473529"/>
          <a:ext cx="177050" cy="182881"/>
        </a:xfrm>
        <a:prstGeom prst="rect">
          <a:avLst/>
        </a:prstGeom>
      </xdr:spPr>
    </xdr:pic>
    <xdr:clientData/>
  </xdr:twoCellAnchor>
  <xdr:twoCellAnchor editAs="oneCell">
    <xdr:from>
      <xdr:col>0</xdr:col>
      <xdr:colOff>321129</xdr:colOff>
      <xdr:row>19</xdr:row>
      <xdr:rowOff>119743</xdr:rowOff>
    </xdr:from>
    <xdr:to>
      <xdr:col>0</xdr:col>
      <xdr:colOff>498179</xdr:colOff>
      <xdr:row>20</xdr:row>
      <xdr:rowOff>150224</xdr:rowOff>
    </xdr:to>
    <xdr:pic>
      <xdr:nvPicPr>
        <xdr:cNvPr id="50" name="Picture 49">
          <a:extLst>
            <a:ext uri="{FF2B5EF4-FFF2-40B4-BE49-F238E27FC236}">
              <a16:creationId xmlns:a16="http://schemas.microsoft.com/office/drawing/2014/main" id="{A5EA9ADB-4713-46D1-8795-6FBB6CD2BFA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21129" y="2944586"/>
          <a:ext cx="177050" cy="182881"/>
        </a:xfrm>
        <a:prstGeom prst="rect">
          <a:avLst/>
        </a:prstGeom>
      </xdr:spPr>
    </xdr:pic>
    <xdr:clientData/>
  </xdr:twoCellAnchor>
  <xdr:twoCellAnchor editAs="oneCell">
    <xdr:from>
      <xdr:col>9</xdr:col>
      <xdr:colOff>174172</xdr:colOff>
      <xdr:row>49</xdr:row>
      <xdr:rowOff>5442</xdr:rowOff>
    </xdr:from>
    <xdr:to>
      <xdr:col>9</xdr:col>
      <xdr:colOff>351222</xdr:colOff>
      <xdr:row>50</xdr:row>
      <xdr:rowOff>52252</xdr:rowOff>
    </xdr:to>
    <xdr:pic>
      <xdr:nvPicPr>
        <xdr:cNvPr id="52" name="Picture 51">
          <a:extLst>
            <a:ext uri="{FF2B5EF4-FFF2-40B4-BE49-F238E27FC236}">
              <a16:creationId xmlns:a16="http://schemas.microsoft.com/office/drawing/2014/main" id="{EF04F084-E7D4-4F35-8117-F7D3D906C47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074229" y="7032171"/>
          <a:ext cx="177050" cy="182881"/>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0.10779</cdr:x>
      <cdr:y>0.01768</cdr:y>
    </cdr:from>
    <cdr:to>
      <cdr:x>0.10779</cdr:x>
      <cdr:y>0.95437</cdr:y>
    </cdr:to>
    <cdr:cxnSp macro="">
      <cdr:nvCxnSpPr>
        <cdr:cNvPr id="3" name="Gerader Verbinder 2">
          <a:extLst xmlns:a="http://schemas.openxmlformats.org/drawingml/2006/main">
            <a:ext uri="{FF2B5EF4-FFF2-40B4-BE49-F238E27FC236}">
              <a16:creationId xmlns:a16="http://schemas.microsoft.com/office/drawing/2014/main" id="{EDDDD9FF-CE4B-4E9A-B49E-852EEEF1953C}"/>
            </a:ext>
          </a:extLst>
        </cdr:cNvPr>
        <cdr:cNvCxnSpPr/>
      </cdr:nvCxnSpPr>
      <cdr:spPr>
        <a:xfrm xmlns:a="http://schemas.openxmlformats.org/drawingml/2006/main" flipV="1">
          <a:off x="998174" y="115956"/>
          <a:ext cx="0" cy="6144985"/>
        </a:xfrm>
        <a:prstGeom xmlns:a="http://schemas.openxmlformats.org/drawingml/2006/main" prst="line">
          <a:avLst/>
        </a:prstGeom>
        <a:ln xmlns:a="http://schemas.openxmlformats.org/drawingml/2006/main">
          <a:solidFill>
            <a:schemeClr val="bg1">
              <a:lumMod val="8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0.24916</cdr:x>
      <cdr:y>0.01768</cdr:y>
    </cdr:from>
    <cdr:to>
      <cdr:x>0.24916</cdr:x>
      <cdr:y>0.95437</cdr:y>
    </cdr:to>
    <cdr:cxnSp macro="">
      <cdr:nvCxnSpPr>
        <cdr:cNvPr id="4" name="Gerader Verbinder 3">
          <a:extLst xmlns:a="http://schemas.openxmlformats.org/drawingml/2006/main">
            <a:ext uri="{FF2B5EF4-FFF2-40B4-BE49-F238E27FC236}">
              <a16:creationId xmlns:a16="http://schemas.microsoft.com/office/drawing/2014/main" id="{9CE9DB50-AD8E-4E0E-BE7D-B696D742FD99}"/>
            </a:ext>
          </a:extLst>
        </cdr:cNvPr>
        <cdr:cNvCxnSpPr/>
      </cdr:nvCxnSpPr>
      <cdr:spPr>
        <a:xfrm xmlns:a="http://schemas.openxmlformats.org/drawingml/2006/main" flipV="1">
          <a:off x="2307362" y="115956"/>
          <a:ext cx="0" cy="6144985"/>
        </a:xfrm>
        <a:prstGeom xmlns:a="http://schemas.openxmlformats.org/drawingml/2006/main" prst="line">
          <a:avLst/>
        </a:prstGeom>
        <a:ln xmlns:a="http://schemas.openxmlformats.org/drawingml/2006/main">
          <a:solidFill>
            <a:schemeClr val="bg1">
              <a:lumMod val="8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0.39053</cdr:x>
      <cdr:y>0.01768</cdr:y>
    </cdr:from>
    <cdr:to>
      <cdr:x>0.39053</cdr:x>
      <cdr:y>0.95437</cdr:y>
    </cdr:to>
    <cdr:cxnSp macro="">
      <cdr:nvCxnSpPr>
        <cdr:cNvPr id="5" name="Gerader Verbinder 4">
          <a:extLst xmlns:a="http://schemas.openxmlformats.org/drawingml/2006/main">
            <a:ext uri="{FF2B5EF4-FFF2-40B4-BE49-F238E27FC236}">
              <a16:creationId xmlns:a16="http://schemas.microsoft.com/office/drawing/2014/main" id="{ECCF38EE-9F54-4FC0-8131-2ADB0BC54FCC}"/>
            </a:ext>
          </a:extLst>
        </cdr:cNvPr>
        <cdr:cNvCxnSpPr/>
      </cdr:nvCxnSpPr>
      <cdr:spPr>
        <a:xfrm xmlns:a="http://schemas.openxmlformats.org/drawingml/2006/main" flipV="1">
          <a:off x="3616550" y="115956"/>
          <a:ext cx="0" cy="6144985"/>
        </a:xfrm>
        <a:prstGeom xmlns:a="http://schemas.openxmlformats.org/drawingml/2006/main" prst="line">
          <a:avLst/>
        </a:prstGeom>
        <a:ln xmlns:a="http://schemas.openxmlformats.org/drawingml/2006/main">
          <a:solidFill>
            <a:schemeClr val="bg1">
              <a:lumMod val="8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0.5319</cdr:x>
      <cdr:y>0.01768</cdr:y>
    </cdr:from>
    <cdr:to>
      <cdr:x>0.5319</cdr:x>
      <cdr:y>0.95437</cdr:y>
    </cdr:to>
    <cdr:cxnSp macro="">
      <cdr:nvCxnSpPr>
        <cdr:cNvPr id="6" name="Gerader Verbinder 5">
          <a:extLst xmlns:a="http://schemas.openxmlformats.org/drawingml/2006/main">
            <a:ext uri="{FF2B5EF4-FFF2-40B4-BE49-F238E27FC236}">
              <a16:creationId xmlns:a16="http://schemas.microsoft.com/office/drawing/2014/main" id="{D5B0BF91-4BCD-4F8C-81F7-F7E9143B561C}"/>
            </a:ext>
          </a:extLst>
        </cdr:cNvPr>
        <cdr:cNvCxnSpPr/>
      </cdr:nvCxnSpPr>
      <cdr:spPr>
        <a:xfrm xmlns:a="http://schemas.openxmlformats.org/drawingml/2006/main" flipV="1">
          <a:off x="4925738" y="115956"/>
          <a:ext cx="0" cy="6144985"/>
        </a:xfrm>
        <a:prstGeom xmlns:a="http://schemas.openxmlformats.org/drawingml/2006/main" prst="line">
          <a:avLst/>
        </a:prstGeom>
        <a:ln xmlns:a="http://schemas.openxmlformats.org/drawingml/2006/main">
          <a:solidFill>
            <a:schemeClr val="bg1">
              <a:lumMod val="8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0.67327</cdr:x>
      <cdr:y>0.01768</cdr:y>
    </cdr:from>
    <cdr:to>
      <cdr:x>0.67327</cdr:x>
      <cdr:y>0.95437</cdr:y>
    </cdr:to>
    <cdr:cxnSp macro="">
      <cdr:nvCxnSpPr>
        <cdr:cNvPr id="7" name="Gerader Verbinder 6">
          <a:extLst xmlns:a="http://schemas.openxmlformats.org/drawingml/2006/main">
            <a:ext uri="{FF2B5EF4-FFF2-40B4-BE49-F238E27FC236}">
              <a16:creationId xmlns:a16="http://schemas.microsoft.com/office/drawing/2014/main" id="{6CE802A6-39E9-478E-980E-2E9BE68FA7A0}"/>
            </a:ext>
          </a:extLst>
        </cdr:cNvPr>
        <cdr:cNvCxnSpPr/>
      </cdr:nvCxnSpPr>
      <cdr:spPr>
        <a:xfrm xmlns:a="http://schemas.openxmlformats.org/drawingml/2006/main" flipV="1">
          <a:off x="6234926" y="115956"/>
          <a:ext cx="0" cy="6144985"/>
        </a:xfrm>
        <a:prstGeom xmlns:a="http://schemas.openxmlformats.org/drawingml/2006/main" prst="line">
          <a:avLst/>
        </a:prstGeom>
        <a:ln xmlns:a="http://schemas.openxmlformats.org/drawingml/2006/main">
          <a:solidFill>
            <a:schemeClr val="bg1">
              <a:lumMod val="8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0.81464</cdr:x>
      <cdr:y>0.01685</cdr:y>
    </cdr:from>
    <cdr:to>
      <cdr:x>0.81464</cdr:x>
      <cdr:y>0.95354</cdr:y>
    </cdr:to>
    <cdr:cxnSp macro="">
      <cdr:nvCxnSpPr>
        <cdr:cNvPr id="8" name="Gerader Verbinder 7">
          <a:extLst xmlns:a="http://schemas.openxmlformats.org/drawingml/2006/main">
            <a:ext uri="{FF2B5EF4-FFF2-40B4-BE49-F238E27FC236}">
              <a16:creationId xmlns:a16="http://schemas.microsoft.com/office/drawing/2014/main" id="{2D665EDB-3A01-4623-8774-4D4D527F584D}"/>
            </a:ext>
          </a:extLst>
        </cdr:cNvPr>
        <cdr:cNvCxnSpPr/>
      </cdr:nvCxnSpPr>
      <cdr:spPr>
        <a:xfrm xmlns:a="http://schemas.openxmlformats.org/drawingml/2006/main" flipV="1">
          <a:off x="7544115" y="110514"/>
          <a:ext cx="0" cy="6144985"/>
        </a:xfrm>
        <a:prstGeom xmlns:a="http://schemas.openxmlformats.org/drawingml/2006/main" prst="line">
          <a:avLst/>
        </a:prstGeom>
        <a:ln xmlns:a="http://schemas.openxmlformats.org/drawingml/2006/main">
          <a:solidFill>
            <a:schemeClr val="bg1">
              <a:lumMod val="8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5.xml><?xml version="1.0" encoding="utf-8"?>
<xdr:wsDr xmlns:xdr="http://schemas.openxmlformats.org/drawingml/2006/spreadsheetDrawing" xmlns:a="http://schemas.openxmlformats.org/drawingml/2006/main">
  <xdr:twoCellAnchor editAs="oneCell">
    <xdr:from>
      <xdr:col>1</xdr:col>
      <xdr:colOff>754882</xdr:colOff>
      <xdr:row>1</xdr:row>
      <xdr:rowOff>57150</xdr:rowOff>
    </xdr:from>
    <xdr:to>
      <xdr:col>1</xdr:col>
      <xdr:colOff>916807</xdr:colOff>
      <xdr:row>1</xdr:row>
      <xdr:rowOff>156546</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097907" y="266700"/>
          <a:ext cx="161925" cy="99396"/>
        </a:xfrm>
        <a:prstGeom prst="rect">
          <a:avLst/>
        </a:prstGeom>
      </xdr:spPr>
    </xdr:pic>
    <xdr:clientData/>
  </xdr:twoCellAnchor>
  <xdr:twoCellAnchor>
    <xdr:from>
      <xdr:col>1</xdr:col>
      <xdr:colOff>307522</xdr:colOff>
      <xdr:row>4</xdr:row>
      <xdr:rowOff>163338</xdr:rowOff>
    </xdr:from>
    <xdr:to>
      <xdr:col>1</xdr:col>
      <xdr:colOff>514588</xdr:colOff>
      <xdr:row>5</xdr:row>
      <xdr:rowOff>171071</xdr:rowOff>
    </xdr:to>
    <xdr:pic>
      <xdr:nvPicPr>
        <xdr:cNvPr id="3" name="Picture 1" descr="https://static.thenounproject.com/png/200330-200.png">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16479" y="930781"/>
          <a:ext cx="207066" cy="1982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727214</xdr:colOff>
      <xdr:row>3</xdr:row>
      <xdr:rowOff>5024</xdr:rowOff>
    </xdr:from>
    <xdr:to>
      <xdr:col>1</xdr:col>
      <xdr:colOff>897914</xdr:colOff>
      <xdr:row>3</xdr:row>
      <xdr:rowOff>175724</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70239" y="614624"/>
          <a:ext cx="170700" cy="170700"/>
        </a:xfrm>
        <a:prstGeom prst="rect">
          <a:avLst/>
        </a:prstGeom>
      </xdr:spPr>
    </xdr:pic>
    <xdr:clientData/>
  </xdr:twoCellAnchor>
  <xdr:twoCellAnchor editAs="oneCell">
    <xdr:from>
      <xdr:col>1</xdr:col>
      <xdr:colOff>326042</xdr:colOff>
      <xdr:row>3</xdr:row>
      <xdr:rowOff>180436</xdr:rowOff>
    </xdr:from>
    <xdr:to>
      <xdr:col>1</xdr:col>
      <xdr:colOff>516542</xdr:colOff>
      <xdr:row>4</xdr:row>
      <xdr:rowOff>176354</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34999" y="757379"/>
          <a:ext cx="190500" cy="186418"/>
        </a:xfrm>
        <a:prstGeom prst="rect">
          <a:avLst/>
        </a:prstGeom>
      </xdr:spPr>
    </xdr:pic>
    <xdr:clientData/>
  </xdr:twoCellAnchor>
  <xdr:twoCellAnchor editAs="oneCell">
    <xdr:from>
      <xdr:col>1</xdr:col>
      <xdr:colOff>427265</xdr:colOff>
      <xdr:row>2</xdr:row>
      <xdr:rowOff>13607</xdr:rowOff>
    </xdr:from>
    <xdr:to>
      <xdr:col>1</xdr:col>
      <xdr:colOff>600904</xdr:colOff>
      <xdr:row>2</xdr:row>
      <xdr:rowOff>179258</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5"/>
        <a:stretch>
          <a:fillRect/>
        </a:stretch>
      </xdr:blipFill>
      <xdr:spPr>
        <a:xfrm>
          <a:off x="1336222" y="400050"/>
          <a:ext cx="173639" cy="165651"/>
        </a:xfrm>
        <a:prstGeom prst="rect">
          <a:avLst/>
        </a:prstGeom>
      </xdr:spPr>
    </xdr:pic>
    <xdr:clientData/>
  </xdr:twoCellAnchor>
  <xdr:twoCellAnchor editAs="oneCell">
    <xdr:from>
      <xdr:col>1</xdr:col>
      <xdr:colOff>898664</xdr:colOff>
      <xdr:row>3</xdr:row>
      <xdr:rowOff>14549</xdr:rowOff>
    </xdr:from>
    <xdr:to>
      <xdr:col>1</xdr:col>
      <xdr:colOff>1069364</xdr:colOff>
      <xdr:row>3</xdr:row>
      <xdr:rowOff>185249</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55914" y="643199"/>
          <a:ext cx="170700" cy="170700"/>
        </a:xfrm>
        <a:prstGeom prst="rect">
          <a:avLst/>
        </a:prstGeom>
      </xdr:spPr>
    </xdr:pic>
    <xdr:clientData/>
  </xdr:twoCellAnchor>
  <xdr:twoCellAnchor editAs="oneCell">
    <xdr:from>
      <xdr:col>6</xdr:col>
      <xdr:colOff>50346</xdr:colOff>
      <xdr:row>1</xdr:row>
      <xdr:rowOff>65995</xdr:rowOff>
    </xdr:from>
    <xdr:to>
      <xdr:col>6</xdr:col>
      <xdr:colOff>212271</xdr:colOff>
      <xdr:row>1</xdr:row>
      <xdr:rowOff>161806</xdr:rowOff>
    </xdr:to>
    <xdr:pic>
      <xdr:nvPicPr>
        <xdr:cNvPr id="9" name="Picture 8">
          <a:extLst>
            <a:ext uri="{FF2B5EF4-FFF2-40B4-BE49-F238E27FC236}">
              <a16:creationId xmlns:a16="http://schemas.microsoft.com/office/drawing/2014/main" id="{A3EEDAC5-E2B8-41C1-9598-A1B31023B3D4}"/>
            </a:ext>
          </a:extLst>
        </xdr:cNvPr>
        <xdr:cNvPicPr>
          <a:picLocks noChangeAspect="1"/>
        </xdr:cNvPicPr>
      </xdr:nvPicPr>
      <xdr:blipFill>
        <a:blip xmlns:r="http://schemas.openxmlformats.org/officeDocument/2006/relationships" r:embed="rId1"/>
        <a:stretch>
          <a:fillRect/>
        </a:stretch>
      </xdr:blipFill>
      <xdr:spPr>
        <a:xfrm>
          <a:off x="9891032" y="261938"/>
          <a:ext cx="161925" cy="95811"/>
        </a:xfrm>
        <a:prstGeom prst="rect">
          <a:avLst/>
        </a:prstGeom>
      </xdr:spPr>
    </xdr:pic>
    <xdr:clientData/>
  </xdr:twoCellAnchor>
  <xdr:twoCellAnchor editAs="oneCell">
    <xdr:from>
      <xdr:col>6</xdr:col>
      <xdr:colOff>278946</xdr:colOff>
      <xdr:row>1</xdr:row>
      <xdr:rowOff>60552</xdr:rowOff>
    </xdr:from>
    <xdr:to>
      <xdr:col>6</xdr:col>
      <xdr:colOff>440871</xdr:colOff>
      <xdr:row>1</xdr:row>
      <xdr:rowOff>156363</xdr:rowOff>
    </xdr:to>
    <xdr:pic>
      <xdr:nvPicPr>
        <xdr:cNvPr id="10" name="Picture 9">
          <a:extLst>
            <a:ext uri="{FF2B5EF4-FFF2-40B4-BE49-F238E27FC236}">
              <a16:creationId xmlns:a16="http://schemas.microsoft.com/office/drawing/2014/main" id="{75446423-2081-4E04-8184-C5E2D5078B11}"/>
            </a:ext>
          </a:extLst>
        </xdr:cNvPr>
        <xdr:cNvPicPr>
          <a:picLocks noChangeAspect="1"/>
        </xdr:cNvPicPr>
      </xdr:nvPicPr>
      <xdr:blipFill>
        <a:blip xmlns:r="http://schemas.openxmlformats.org/officeDocument/2006/relationships" r:embed="rId1"/>
        <a:stretch>
          <a:fillRect/>
        </a:stretch>
      </xdr:blipFill>
      <xdr:spPr>
        <a:xfrm>
          <a:off x="10119632" y="256495"/>
          <a:ext cx="161925" cy="95811"/>
        </a:xfrm>
        <a:prstGeom prst="rect">
          <a:avLst/>
        </a:prstGeom>
      </xdr:spPr>
    </xdr:pic>
    <xdr:clientData/>
  </xdr:twoCellAnchor>
  <xdr:twoCellAnchor editAs="oneCell">
    <xdr:from>
      <xdr:col>6</xdr:col>
      <xdr:colOff>485775</xdr:colOff>
      <xdr:row>1</xdr:row>
      <xdr:rowOff>60552</xdr:rowOff>
    </xdr:from>
    <xdr:to>
      <xdr:col>6</xdr:col>
      <xdr:colOff>647700</xdr:colOff>
      <xdr:row>1</xdr:row>
      <xdr:rowOff>156363</xdr:rowOff>
    </xdr:to>
    <xdr:pic>
      <xdr:nvPicPr>
        <xdr:cNvPr id="11" name="Picture 10">
          <a:extLst>
            <a:ext uri="{FF2B5EF4-FFF2-40B4-BE49-F238E27FC236}">
              <a16:creationId xmlns:a16="http://schemas.microsoft.com/office/drawing/2014/main" id="{2AB40676-28FE-3E9A-180F-B0994F7845DB}"/>
            </a:ext>
          </a:extLst>
        </xdr:cNvPr>
        <xdr:cNvPicPr>
          <a:picLocks noChangeAspect="1"/>
        </xdr:cNvPicPr>
      </xdr:nvPicPr>
      <xdr:blipFill>
        <a:blip xmlns:r="http://schemas.openxmlformats.org/officeDocument/2006/relationships" r:embed="rId1"/>
        <a:stretch>
          <a:fillRect/>
        </a:stretch>
      </xdr:blipFill>
      <xdr:spPr>
        <a:xfrm>
          <a:off x="10326461" y="256495"/>
          <a:ext cx="161925" cy="95811"/>
        </a:xfrm>
        <a:prstGeom prst="rect">
          <a:avLst/>
        </a:prstGeom>
      </xdr:spPr>
    </xdr:pic>
    <xdr:clientData/>
  </xdr:twoCellAnchor>
  <xdr:twoCellAnchor editAs="oneCell">
    <xdr:from>
      <xdr:col>6</xdr:col>
      <xdr:colOff>692604</xdr:colOff>
      <xdr:row>1</xdr:row>
      <xdr:rowOff>60552</xdr:rowOff>
    </xdr:from>
    <xdr:to>
      <xdr:col>6</xdr:col>
      <xdr:colOff>854529</xdr:colOff>
      <xdr:row>1</xdr:row>
      <xdr:rowOff>156363</xdr:rowOff>
    </xdr:to>
    <xdr:pic>
      <xdr:nvPicPr>
        <xdr:cNvPr id="12" name="Picture 11">
          <a:extLst>
            <a:ext uri="{FF2B5EF4-FFF2-40B4-BE49-F238E27FC236}">
              <a16:creationId xmlns:a16="http://schemas.microsoft.com/office/drawing/2014/main" id="{3F56209B-2D7A-9AC4-6F46-8690743BD803}"/>
            </a:ext>
          </a:extLst>
        </xdr:cNvPr>
        <xdr:cNvPicPr>
          <a:picLocks noChangeAspect="1"/>
        </xdr:cNvPicPr>
      </xdr:nvPicPr>
      <xdr:blipFill>
        <a:blip xmlns:r="http://schemas.openxmlformats.org/officeDocument/2006/relationships" r:embed="rId1"/>
        <a:stretch>
          <a:fillRect/>
        </a:stretch>
      </xdr:blipFill>
      <xdr:spPr>
        <a:xfrm>
          <a:off x="10533290" y="256495"/>
          <a:ext cx="161925" cy="95811"/>
        </a:xfrm>
        <a:prstGeom prst="rect">
          <a:avLst/>
        </a:prstGeom>
      </xdr:spPr>
    </xdr:pic>
    <xdr:clientData/>
  </xdr:twoCellAnchor>
  <xdr:twoCellAnchor editAs="oneCell">
    <xdr:from>
      <xdr:col>6</xdr:col>
      <xdr:colOff>61232</xdr:colOff>
      <xdr:row>2</xdr:row>
      <xdr:rowOff>65995</xdr:rowOff>
    </xdr:from>
    <xdr:to>
      <xdr:col>6</xdr:col>
      <xdr:colOff>223157</xdr:colOff>
      <xdr:row>2</xdr:row>
      <xdr:rowOff>161806</xdr:rowOff>
    </xdr:to>
    <xdr:pic>
      <xdr:nvPicPr>
        <xdr:cNvPr id="19" name="Picture 18">
          <a:extLst>
            <a:ext uri="{FF2B5EF4-FFF2-40B4-BE49-F238E27FC236}">
              <a16:creationId xmlns:a16="http://schemas.microsoft.com/office/drawing/2014/main" id="{6804C0F7-DA34-4DB4-B6DD-39B2CA6AB591}"/>
            </a:ext>
          </a:extLst>
        </xdr:cNvPr>
        <xdr:cNvPicPr>
          <a:picLocks noChangeAspect="1"/>
        </xdr:cNvPicPr>
      </xdr:nvPicPr>
      <xdr:blipFill>
        <a:blip xmlns:r="http://schemas.openxmlformats.org/officeDocument/2006/relationships" r:embed="rId1"/>
        <a:stretch>
          <a:fillRect/>
        </a:stretch>
      </xdr:blipFill>
      <xdr:spPr>
        <a:xfrm>
          <a:off x="9901918" y="452438"/>
          <a:ext cx="161925" cy="95811"/>
        </a:xfrm>
        <a:prstGeom prst="rect">
          <a:avLst/>
        </a:prstGeom>
      </xdr:spPr>
    </xdr:pic>
    <xdr:clientData/>
  </xdr:twoCellAnchor>
  <xdr:twoCellAnchor editAs="oneCell">
    <xdr:from>
      <xdr:col>6</xdr:col>
      <xdr:colOff>273503</xdr:colOff>
      <xdr:row>2</xdr:row>
      <xdr:rowOff>49666</xdr:rowOff>
    </xdr:from>
    <xdr:to>
      <xdr:col>6</xdr:col>
      <xdr:colOff>435428</xdr:colOff>
      <xdr:row>2</xdr:row>
      <xdr:rowOff>145477</xdr:rowOff>
    </xdr:to>
    <xdr:pic>
      <xdr:nvPicPr>
        <xdr:cNvPr id="20" name="Picture 19">
          <a:extLst>
            <a:ext uri="{FF2B5EF4-FFF2-40B4-BE49-F238E27FC236}">
              <a16:creationId xmlns:a16="http://schemas.microsoft.com/office/drawing/2014/main" id="{269E8005-B944-4778-2949-E5C2A620EF20}"/>
            </a:ext>
          </a:extLst>
        </xdr:cNvPr>
        <xdr:cNvPicPr>
          <a:picLocks noChangeAspect="1"/>
        </xdr:cNvPicPr>
      </xdr:nvPicPr>
      <xdr:blipFill>
        <a:blip xmlns:r="http://schemas.openxmlformats.org/officeDocument/2006/relationships" r:embed="rId1"/>
        <a:stretch>
          <a:fillRect/>
        </a:stretch>
      </xdr:blipFill>
      <xdr:spPr>
        <a:xfrm>
          <a:off x="10114189" y="436109"/>
          <a:ext cx="161925" cy="95811"/>
        </a:xfrm>
        <a:prstGeom prst="rect">
          <a:avLst/>
        </a:prstGeom>
      </xdr:spPr>
    </xdr:pic>
    <xdr:clientData/>
  </xdr:twoCellAnchor>
  <xdr:twoCellAnchor editAs="oneCell">
    <xdr:from>
      <xdr:col>6</xdr:col>
      <xdr:colOff>66674</xdr:colOff>
      <xdr:row>4</xdr:row>
      <xdr:rowOff>55109</xdr:rowOff>
    </xdr:from>
    <xdr:to>
      <xdr:col>6</xdr:col>
      <xdr:colOff>228599</xdr:colOff>
      <xdr:row>4</xdr:row>
      <xdr:rowOff>150920</xdr:rowOff>
    </xdr:to>
    <xdr:pic>
      <xdr:nvPicPr>
        <xdr:cNvPr id="21" name="Picture 20">
          <a:extLst>
            <a:ext uri="{FF2B5EF4-FFF2-40B4-BE49-F238E27FC236}">
              <a16:creationId xmlns:a16="http://schemas.microsoft.com/office/drawing/2014/main" id="{6E359D8A-ECE1-7113-A2DE-96ABA35AADD0}"/>
            </a:ext>
          </a:extLst>
        </xdr:cNvPr>
        <xdr:cNvPicPr>
          <a:picLocks noChangeAspect="1"/>
        </xdr:cNvPicPr>
      </xdr:nvPicPr>
      <xdr:blipFill>
        <a:blip xmlns:r="http://schemas.openxmlformats.org/officeDocument/2006/relationships" r:embed="rId1"/>
        <a:stretch>
          <a:fillRect/>
        </a:stretch>
      </xdr:blipFill>
      <xdr:spPr>
        <a:xfrm>
          <a:off x="9907360" y="632052"/>
          <a:ext cx="161925" cy="95811"/>
        </a:xfrm>
        <a:prstGeom prst="rect">
          <a:avLst/>
        </a:prstGeom>
      </xdr:spPr>
    </xdr:pic>
    <xdr:clientData/>
  </xdr:twoCellAnchor>
  <xdr:twoCellAnchor editAs="oneCell">
    <xdr:from>
      <xdr:col>6</xdr:col>
      <xdr:colOff>268060</xdr:colOff>
      <xdr:row>4</xdr:row>
      <xdr:rowOff>49666</xdr:rowOff>
    </xdr:from>
    <xdr:to>
      <xdr:col>6</xdr:col>
      <xdr:colOff>429985</xdr:colOff>
      <xdr:row>4</xdr:row>
      <xdr:rowOff>145477</xdr:rowOff>
    </xdr:to>
    <xdr:pic>
      <xdr:nvPicPr>
        <xdr:cNvPr id="22" name="Picture 21">
          <a:extLst>
            <a:ext uri="{FF2B5EF4-FFF2-40B4-BE49-F238E27FC236}">
              <a16:creationId xmlns:a16="http://schemas.microsoft.com/office/drawing/2014/main" id="{87C3E74E-2970-F78E-8219-C8CC386BB94D}"/>
            </a:ext>
          </a:extLst>
        </xdr:cNvPr>
        <xdr:cNvPicPr>
          <a:picLocks noChangeAspect="1"/>
        </xdr:cNvPicPr>
      </xdr:nvPicPr>
      <xdr:blipFill>
        <a:blip xmlns:r="http://schemas.openxmlformats.org/officeDocument/2006/relationships" r:embed="rId1"/>
        <a:stretch>
          <a:fillRect/>
        </a:stretch>
      </xdr:blipFill>
      <xdr:spPr>
        <a:xfrm>
          <a:off x="10108746" y="626609"/>
          <a:ext cx="161925" cy="95811"/>
        </a:xfrm>
        <a:prstGeom prst="rect">
          <a:avLst/>
        </a:prstGeom>
      </xdr:spPr>
    </xdr:pic>
    <xdr:clientData/>
  </xdr:twoCellAnchor>
  <xdr:twoCellAnchor editAs="oneCell">
    <xdr:from>
      <xdr:col>1</xdr:col>
      <xdr:colOff>558486</xdr:colOff>
      <xdr:row>3</xdr:row>
      <xdr:rowOff>6385</xdr:rowOff>
    </xdr:from>
    <xdr:to>
      <xdr:col>1</xdr:col>
      <xdr:colOff>729186</xdr:colOff>
      <xdr:row>3</xdr:row>
      <xdr:rowOff>177085</xdr:rowOff>
    </xdr:to>
    <xdr:pic>
      <xdr:nvPicPr>
        <xdr:cNvPr id="28" name="Picture 27">
          <a:extLst>
            <a:ext uri="{FF2B5EF4-FFF2-40B4-BE49-F238E27FC236}">
              <a16:creationId xmlns:a16="http://schemas.microsoft.com/office/drawing/2014/main" id="{E4E6CC2E-F11D-4640-B2F5-35D3231949E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7443" y="773828"/>
          <a:ext cx="170700" cy="170700"/>
        </a:xfrm>
        <a:prstGeom prst="rect">
          <a:avLst/>
        </a:prstGeom>
      </xdr:spPr>
    </xdr:pic>
    <xdr:clientData/>
  </xdr:twoCellAnchor>
  <xdr:twoCellAnchor editAs="oneCell">
    <xdr:from>
      <xdr:col>1</xdr:col>
      <xdr:colOff>1113657</xdr:colOff>
      <xdr:row>3</xdr:row>
      <xdr:rowOff>17270</xdr:rowOff>
    </xdr:from>
    <xdr:to>
      <xdr:col>1</xdr:col>
      <xdr:colOff>1284357</xdr:colOff>
      <xdr:row>3</xdr:row>
      <xdr:rowOff>187970</xdr:rowOff>
    </xdr:to>
    <xdr:pic>
      <xdr:nvPicPr>
        <xdr:cNvPr id="29" name="Picture 28">
          <a:extLst>
            <a:ext uri="{FF2B5EF4-FFF2-40B4-BE49-F238E27FC236}">
              <a16:creationId xmlns:a16="http://schemas.microsoft.com/office/drawing/2014/main" id="{C0DE29EA-225B-4E4E-B073-31CC7F3E39F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22614" y="784713"/>
          <a:ext cx="170700" cy="170700"/>
        </a:xfrm>
        <a:prstGeom prst="rect">
          <a:avLst/>
        </a:prstGeom>
      </xdr:spPr>
    </xdr:pic>
    <xdr:clientData/>
  </xdr:twoCellAnchor>
  <xdr:twoCellAnchor editAs="oneCell">
    <xdr:from>
      <xdr:col>1</xdr:col>
      <xdr:colOff>647700</xdr:colOff>
      <xdr:row>2</xdr:row>
      <xdr:rowOff>5443</xdr:rowOff>
    </xdr:from>
    <xdr:to>
      <xdr:col>1</xdr:col>
      <xdr:colOff>735689</xdr:colOff>
      <xdr:row>2</xdr:row>
      <xdr:rowOff>146578</xdr:rowOff>
    </xdr:to>
    <xdr:pic>
      <xdr:nvPicPr>
        <xdr:cNvPr id="30" name="Picture 17">
          <a:extLst>
            <a:ext uri="{FF2B5EF4-FFF2-40B4-BE49-F238E27FC236}">
              <a16:creationId xmlns:a16="http://schemas.microsoft.com/office/drawing/2014/main" id="{9DFEEA71-ADA7-43A9-A1DB-75555F695AD8}"/>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r="48454" b="2315"/>
        <a:stretch/>
      </xdr:blipFill>
      <xdr:spPr>
        <a:xfrm>
          <a:off x="1556657" y="391886"/>
          <a:ext cx="87989" cy="141135"/>
        </a:xfrm>
        <a:prstGeom prst="rect">
          <a:avLst/>
        </a:prstGeom>
      </xdr:spPr>
    </xdr:pic>
    <xdr:clientData/>
  </xdr:twoCellAnchor>
  <xdr:twoCellAnchor editAs="oneCell">
    <xdr:from>
      <xdr:col>6</xdr:col>
      <xdr:colOff>464004</xdr:colOff>
      <xdr:row>2</xdr:row>
      <xdr:rowOff>44224</xdr:rowOff>
    </xdr:from>
    <xdr:to>
      <xdr:col>6</xdr:col>
      <xdr:colOff>551794</xdr:colOff>
      <xdr:row>2</xdr:row>
      <xdr:rowOff>142641</xdr:rowOff>
    </xdr:to>
    <xdr:pic>
      <xdr:nvPicPr>
        <xdr:cNvPr id="32" name="Picture 31">
          <a:extLst>
            <a:ext uri="{FF2B5EF4-FFF2-40B4-BE49-F238E27FC236}">
              <a16:creationId xmlns:a16="http://schemas.microsoft.com/office/drawing/2014/main" id="{B5A72DEB-F756-42CE-8753-E2ECAEA8D3DE}"/>
            </a:ext>
          </a:extLst>
        </xdr:cNvPr>
        <xdr:cNvPicPr>
          <a:picLocks noChangeAspect="1"/>
        </xdr:cNvPicPr>
      </xdr:nvPicPr>
      <xdr:blipFill rotWithShape="1">
        <a:blip xmlns:r="http://schemas.openxmlformats.org/officeDocument/2006/relationships" r:embed="rId1"/>
        <a:srcRect l="1" t="1" r="45783" b="-2722"/>
        <a:stretch>
          <a:fillRect/>
        </a:stretch>
      </xdr:blipFill>
      <xdr:spPr>
        <a:xfrm>
          <a:off x="10110999" y="430854"/>
          <a:ext cx="87790" cy="98417"/>
        </a:xfrm>
        <a:prstGeom prst="rect">
          <a:avLst/>
        </a:prstGeom>
      </xdr:spPr>
    </xdr:pic>
    <xdr:clientData/>
  </xdr:twoCellAnchor>
  <xdr:twoCellAnchor editAs="oneCell">
    <xdr:from>
      <xdr:col>1</xdr:col>
      <xdr:colOff>326572</xdr:colOff>
      <xdr:row>6</xdr:row>
      <xdr:rowOff>21772</xdr:rowOff>
    </xdr:from>
    <xdr:to>
      <xdr:col>1</xdr:col>
      <xdr:colOff>591617</xdr:colOff>
      <xdr:row>6</xdr:row>
      <xdr:rowOff>170488</xdr:rowOff>
    </xdr:to>
    <xdr:pic>
      <xdr:nvPicPr>
        <xdr:cNvPr id="34" name="Picture 33" descr="Accenture Logo, symbol, meaning, history, PNG, brand">
          <a:extLst>
            <a:ext uri="{FF2B5EF4-FFF2-40B4-BE49-F238E27FC236}">
              <a16:creationId xmlns:a16="http://schemas.microsoft.com/office/drawing/2014/main" id="{534C4BCA-4938-47EA-B226-2C5CDB99307B}"/>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235529" y="1170215"/>
          <a:ext cx="265045" cy="1487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66674</xdr:colOff>
      <xdr:row>3</xdr:row>
      <xdr:rowOff>55109</xdr:rowOff>
    </xdr:from>
    <xdr:to>
      <xdr:col>6</xdr:col>
      <xdr:colOff>228599</xdr:colOff>
      <xdr:row>3</xdr:row>
      <xdr:rowOff>150920</xdr:rowOff>
    </xdr:to>
    <xdr:pic>
      <xdr:nvPicPr>
        <xdr:cNvPr id="5" name="Picture 4">
          <a:extLst>
            <a:ext uri="{FF2B5EF4-FFF2-40B4-BE49-F238E27FC236}">
              <a16:creationId xmlns:a16="http://schemas.microsoft.com/office/drawing/2014/main" id="{1494DF45-9B5D-427B-A0EB-AA2F6E1388B3}"/>
            </a:ext>
          </a:extLst>
        </xdr:cNvPr>
        <xdr:cNvPicPr>
          <a:picLocks noChangeAspect="1"/>
        </xdr:cNvPicPr>
      </xdr:nvPicPr>
      <xdr:blipFill>
        <a:blip xmlns:r="http://schemas.openxmlformats.org/officeDocument/2006/relationships" r:embed="rId1"/>
        <a:stretch>
          <a:fillRect/>
        </a:stretch>
      </xdr:blipFill>
      <xdr:spPr>
        <a:xfrm>
          <a:off x="9907360" y="632052"/>
          <a:ext cx="161925" cy="95811"/>
        </a:xfrm>
        <a:prstGeom prst="rect">
          <a:avLst/>
        </a:prstGeom>
      </xdr:spPr>
    </xdr:pic>
    <xdr:clientData/>
  </xdr:twoCellAnchor>
  <xdr:twoCellAnchor editAs="oneCell">
    <xdr:from>
      <xdr:col>6</xdr:col>
      <xdr:colOff>282168</xdr:colOff>
      <xdr:row>3</xdr:row>
      <xdr:rowOff>49257</xdr:rowOff>
    </xdr:from>
    <xdr:to>
      <xdr:col>6</xdr:col>
      <xdr:colOff>364442</xdr:colOff>
      <xdr:row>3</xdr:row>
      <xdr:rowOff>139758</xdr:rowOff>
    </xdr:to>
    <xdr:pic>
      <xdr:nvPicPr>
        <xdr:cNvPr id="25" name="Picture 24">
          <a:extLst>
            <a:ext uri="{FF2B5EF4-FFF2-40B4-BE49-F238E27FC236}">
              <a16:creationId xmlns:a16="http://schemas.microsoft.com/office/drawing/2014/main" id="{000E052F-FF82-40F3-87A1-387486A83FAF}"/>
            </a:ext>
          </a:extLst>
        </xdr:cNvPr>
        <xdr:cNvPicPr>
          <a:picLocks noChangeAspect="1"/>
        </xdr:cNvPicPr>
      </xdr:nvPicPr>
      <xdr:blipFill rotWithShape="1">
        <a:blip xmlns:r="http://schemas.openxmlformats.org/officeDocument/2006/relationships" r:embed="rId1"/>
        <a:srcRect l="49190" t="5543" b="-2"/>
        <a:stretch>
          <a:fillRect/>
        </a:stretch>
      </xdr:blipFill>
      <xdr:spPr>
        <a:xfrm>
          <a:off x="9929163" y="627326"/>
          <a:ext cx="82274" cy="90501"/>
        </a:xfrm>
        <a:prstGeom prst="rect">
          <a:avLst/>
        </a:prstGeom>
      </xdr:spPr>
    </xdr:pic>
    <xdr:clientData/>
  </xdr:twoCellAnchor>
  <xdr:twoCellAnchor editAs="oneCell">
    <xdr:from>
      <xdr:col>1</xdr:col>
      <xdr:colOff>345781</xdr:colOff>
      <xdr:row>3</xdr:row>
      <xdr:rowOff>6402</xdr:rowOff>
    </xdr:from>
    <xdr:to>
      <xdr:col>1</xdr:col>
      <xdr:colOff>522831</xdr:colOff>
      <xdr:row>3</xdr:row>
      <xdr:rowOff>189283</xdr:rowOff>
    </xdr:to>
    <xdr:pic>
      <xdr:nvPicPr>
        <xdr:cNvPr id="13" name="Picture 12">
          <a:extLst>
            <a:ext uri="{FF2B5EF4-FFF2-40B4-BE49-F238E27FC236}">
              <a16:creationId xmlns:a16="http://schemas.microsoft.com/office/drawing/2014/main" id="{5D7A6AFC-D765-4503-BC6B-0CC8563A5DC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55059" y="774806"/>
          <a:ext cx="177050" cy="1828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29</xdr:col>
      <xdr:colOff>370299</xdr:colOff>
      <xdr:row>5</xdr:row>
      <xdr:rowOff>129592</xdr:rowOff>
    </xdr:from>
    <xdr:to>
      <xdr:col>72</xdr:col>
      <xdr:colOff>626916</xdr:colOff>
      <xdr:row>47</xdr:row>
      <xdr:rowOff>119814</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591290</xdr:colOff>
      <xdr:row>50</xdr:row>
      <xdr:rowOff>89065</xdr:rowOff>
    </xdr:from>
    <xdr:to>
      <xdr:col>43</xdr:col>
      <xdr:colOff>242455</xdr:colOff>
      <xdr:row>72</xdr:row>
      <xdr:rowOff>190500</xdr:rowOff>
    </xdr:to>
    <xdr:graphicFrame macro="">
      <xdr:nvGraphicFramePr>
        <xdr:cNvPr id="4" name="Diagramm 1">
          <a:extLst>
            <a:ext uri="{FF2B5EF4-FFF2-40B4-BE49-F238E27FC236}">
              <a16:creationId xmlns:a16="http://schemas.microsoft.com/office/drawing/2014/main" id="{59468859-B7E1-4854-96B7-6CA704040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435428</xdr:colOff>
      <xdr:row>6</xdr:row>
      <xdr:rowOff>10885</xdr:rowOff>
    </xdr:from>
    <xdr:to>
      <xdr:col>0</xdr:col>
      <xdr:colOff>612478</xdr:colOff>
      <xdr:row>7</xdr:row>
      <xdr:rowOff>8709</xdr:rowOff>
    </xdr:to>
    <xdr:pic>
      <xdr:nvPicPr>
        <xdr:cNvPr id="2" name="Picture 1">
          <a:extLst>
            <a:ext uri="{FF2B5EF4-FFF2-40B4-BE49-F238E27FC236}">
              <a16:creationId xmlns:a16="http://schemas.microsoft.com/office/drawing/2014/main" id="{1BB91FD7-9355-4BD2-A7AB-635055B33B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5428" y="1377042"/>
          <a:ext cx="177050" cy="18288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127394</xdr:colOff>
      <xdr:row>14</xdr:row>
      <xdr:rowOff>46328</xdr:rowOff>
    </xdr:from>
    <xdr:to>
      <xdr:col>6</xdr:col>
      <xdr:colOff>17045</xdr:colOff>
      <xdr:row>16</xdr:row>
      <xdr:rowOff>36124</xdr:rowOff>
    </xdr:to>
    <xdr:pic>
      <xdr:nvPicPr>
        <xdr:cNvPr id="19" name="Picture 18" descr="Squash Racquet Icons - Free SVG &amp; PNG Squash Racquet Images ...">
          <a:extLst>
            <a:ext uri="{FF2B5EF4-FFF2-40B4-BE49-F238E27FC236}">
              <a16:creationId xmlns:a16="http://schemas.microsoft.com/office/drawing/2014/main" id="{437C010E-8AC2-4F82-B5F9-9AF5462547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2398059">
          <a:off x="2010623" y="3143314"/>
          <a:ext cx="383136" cy="373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129667</xdr:colOff>
      <xdr:row>17</xdr:row>
      <xdr:rowOff>17290</xdr:rowOff>
    </xdr:from>
    <xdr:to>
      <xdr:col>19</xdr:col>
      <xdr:colOff>492673</xdr:colOff>
      <xdr:row>18</xdr:row>
      <xdr:rowOff>17291</xdr:rowOff>
    </xdr:to>
    <xdr:pic>
      <xdr:nvPicPr>
        <xdr:cNvPr id="2" name="Picture 1">
          <a:extLst>
            <a:ext uri="{FF2B5EF4-FFF2-40B4-BE49-F238E27FC236}">
              <a16:creationId xmlns:a16="http://schemas.microsoft.com/office/drawing/2014/main" id="{39FE48D6-5015-430E-BFBE-0460ADB8484C}"/>
            </a:ext>
          </a:extLst>
        </xdr:cNvPr>
        <xdr:cNvPicPr>
          <a:picLocks noChangeAspect="1"/>
        </xdr:cNvPicPr>
      </xdr:nvPicPr>
      <xdr:blipFill>
        <a:blip xmlns:r="http://schemas.openxmlformats.org/officeDocument/2006/relationships" r:embed="rId2"/>
        <a:stretch>
          <a:fillRect/>
        </a:stretch>
      </xdr:blipFill>
      <xdr:spPr>
        <a:xfrm>
          <a:off x="12991138" y="3653119"/>
          <a:ext cx="359831" cy="209095"/>
        </a:xfrm>
        <a:prstGeom prst="rect">
          <a:avLst/>
        </a:prstGeom>
      </xdr:spPr>
    </xdr:pic>
    <xdr:clientData/>
  </xdr:twoCellAnchor>
  <xdr:twoCellAnchor editAs="oneCell">
    <xdr:from>
      <xdr:col>18</xdr:col>
      <xdr:colOff>977576</xdr:colOff>
      <xdr:row>17</xdr:row>
      <xdr:rowOff>12946</xdr:rowOff>
    </xdr:from>
    <xdr:to>
      <xdr:col>18</xdr:col>
      <xdr:colOff>1214543</xdr:colOff>
      <xdr:row>18</xdr:row>
      <xdr:rowOff>35123</xdr:rowOff>
    </xdr:to>
    <xdr:pic>
      <xdr:nvPicPr>
        <xdr:cNvPr id="3" name="Picture 2">
          <a:extLst>
            <a:ext uri="{FF2B5EF4-FFF2-40B4-BE49-F238E27FC236}">
              <a16:creationId xmlns:a16="http://schemas.microsoft.com/office/drawing/2014/main" id="{C1D3CB8C-01C0-419F-ACB8-AACDD7BDEB01}"/>
            </a:ext>
          </a:extLst>
        </xdr:cNvPr>
        <xdr:cNvPicPr>
          <a:picLocks noChangeAspect="1"/>
        </xdr:cNvPicPr>
      </xdr:nvPicPr>
      <xdr:blipFill>
        <a:blip xmlns:r="http://schemas.openxmlformats.org/officeDocument/2006/relationships" r:embed="rId3"/>
        <a:stretch>
          <a:fillRect/>
        </a:stretch>
      </xdr:blipFill>
      <xdr:spPr>
        <a:xfrm>
          <a:off x="12516433" y="3648775"/>
          <a:ext cx="236967" cy="228096"/>
        </a:xfrm>
        <a:prstGeom prst="rect">
          <a:avLst/>
        </a:prstGeom>
      </xdr:spPr>
    </xdr:pic>
    <xdr:clientData/>
  </xdr:twoCellAnchor>
  <xdr:twoCellAnchor>
    <xdr:from>
      <xdr:col>15</xdr:col>
      <xdr:colOff>660038</xdr:colOff>
      <xdr:row>17</xdr:row>
      <xdr:rowOff>30696</xdr:rowOff>
    </xdr:from>
    <xdr:to>
      <xdr:col>15</xdr:col>
      <xdr:colOff>900369</xdr:colOff>
      <xdr:row>18</xdr:row>
      <xdr:rowOff>57979</xdr:rowOff>
    </xdr:to>
    <xdr:pic>
      <xdr:nvPicPr>
        <xdr:cNvPr id="4" name="Picture 1" descr="https://static.thenounproject.com/png/200330-200.png">
          <a:extLst>
            <a:ext uri="{FF2B5EF4-FFF2-40B4-BE49-F238E27FC236}">
              <a16:creationId xmlns:a16="http://schemas.microsoft.com/office/drawing/2014/main" id="{A12C12EF-62CB-4EFD-A4B3-75D987807E4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216209" y="3666525"/>
          <a:ext cx="240331" cy="2395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56322</xdr:colOff>
      <xdr:row>17</xdr:row>
      <xdr:rowOff>15172</xdr:rowOff>
    </xdr:from>
    <xdr:to>
      <xdr:col>16</xdr:col>
      <xdr:colOff>300489</xdr:colOff>
      <xdr:row>18</xdr:row>
      <xdr:rowOff>55641</xdr:rowOff>
    </xdr:to>
    <xdr:pic>
      <xdr:nvPicPr>
        <xdr:cNvPr id="5" name="Picture 8">
          <a:extLst>
            <a:ext uri="{FF2B5EF4-FFF2-40B4-BE49-F238E27FC236}">
              <a16:creationId xmlns:a16="http://schemas.microsoft.com/office/drawing/2014/main" id="{D68C877E-1E3D-4005-9EA0-B56CEEF8A35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630308" y="3651001"/>
          <a:ext cx="240992" cy="252738"/>
        </a:xfrm>
        <a:prstGeom prst="rect">
          <a:avLst/>
        </a:prstGeom>
      </xdr:spPr>
    </xdr:pic>
    <xdr:clientData/>
  </xdr:twoCellAnchor>
  <xdr:twoCellAnchor editAs="oneCell">
    <xdr:from>
      <xdr:col>13</xdr:col>
      <xdr:colOff>605426</xdr:colOff>
      <xdr:row>10</xdr:row>
      <xdr:rowOff>20379</xdr:rowOff>
    </xdr:from>
    <xdr:to>
      <xdr:col>13</xdr:col>
      <xdr:colOff>795926</xdr:colOff>
      <xdr:row>11</xdr:row>
      <xdr:rowOff>1545</xdr:rowOff>
    </xdr:to>
    <xdr:pic>
      <xdr:nvPicPr>
        <xdr:cNvPr id="6" name="Picture 9">
          <a:extLst>
            <a:ext uri="{FF2B5EF4-FFF2-40B4-BE49-F238E27FC236}">
              <a16:creationId xmlns:a16="http://schemas.microsoft.com/office/drawing/2014/main" id="{82FC3AE7-CE2C-44D3-90AA-4BB6D242B67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102712" y="2268279"/>
          <a:ext cx="187325" cy="193437"/>
        </a:xfrm>
        <a:prstGeom prst="rect">
          <a:avLst/>
        </a:prstGeom>
      </xdr:spPr>
    </xdr:pic>
    <xdr:clientData/>
  </xdr:twoCellAnchor>
  <xdr:twoCellAnchor editAs="oneCell">
    <xdr:from>
      <xdr:col>13</xdr:col>
      <xdr:colOff>542982</xdr:colOff>
      <xdr:row>12</xdr:row>
      <xdr:rowOff>24848</xdr:rowOff>
    </xdr:from>
    <xdr:to>
      <xdr:col>13</xdr:col>
      <xdr:colOff>836148</xdr:colOff>
      <xdr:row>13</xdr:row>
      <xdr:rowOff>881</xdr:rowOff>
    </xdr:to>
    <xdr:pic>
      <xdr:nvPicPr>
        <xdr:cNvPr id="7" name="Picture 10">
          <a:extLst>
            <a:ext uri="{FF2B5EF4-FFF2-40B4-BE49-F238E27FC236}">
              <a16:creationId xmlns:a16="http://schemas.microsoft.com/office/drawing/2014/main" id="{5AF4950B-BC8E-441B-B4D7-6BC8D1E0136A}"/>
            </a:ext>
          </a:extLst>
        </xdr:cNvPr>
        <xdr:cNvPicPr>
          <a:picLocks noChangeAspect="1"/>
        </xdr:cNvPicPr>
      </xdr:nvPicPr>
      <xdr:blipFill>
        <a:blip xmlns:r="http://schemas.openxmlformats.org/officeDocument/2006/relationships" r:embed="rId2"/>
        <a:stretch>
          <a:fillRect/>
        </a:stretch>
      </xdr:blipFill>
      <xdr:spPr>
        <a:xfrm>
          <a:off x="6040268" y="2697291"/>
          <a:ext cx="293166" cy="188304"/>
        </a:xfrm>
        <a:prstGeom prst="rect">
          <a:avLst/>
        </a:prstGeom>
      </xdr:spPr>
    </xdr:pic>
    <xdr:clientData/>
  </xdr:twoCellAnchor>
  <xdr:twoCellAnchor editAs="oneCell">
    <xdr:from>
      <xdr:col>13</xdr:col>
      <xdr:colOff>619390</xdr:colOff>
      <xdr:row>11</xdr:row>
      <xdr:rowOff>29052</xdr:rowOff>
    </xdr:from>
    <xdr:to>
      <xdr:col>13</xdr:col>
      <xdr:colOff>796440</xdr:colOff>
      <xdr:row>12</xdr:row>
      <xdr:rowOff>1995</xdr:rowOff>
    </xdr:to>
    <xdr:pic>
      <xdr:nvPicPr>
        <xdr:cNvPr id="8" name="Picture 11">
          <a:extLst>
            <a:ext uri="{FF2B5EF4-FFF2-40B4-BE49-F238E27FC236}">
              <a16:creationId xmlns:a16="http://schemas.microsoft.com/office/drawing/2014/main" id="{5E23A84B-A57B-4CD9-A1FD-1EB8E45CCAB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116676" y="2489223"/>
          <a:ext cx="173875" cy="185215"/>
        </a:xfrm>
        <a:prstGeom prst="rect">
          <a:avLst/>
        </a:prstGeom>
      </xdr:spPr>
    </xdr:pic>
    <xdr:clientData/>
  </xdr:twoCellAnchor>
  <xdr:twoCellAnchor editAs="oneCell">
    <xdr:from>
      <xdr:col>13</xdr:col>
      <xdr:colOff>595830</xdr:colOff>
      <xdr:row>9</xdr:row>
      <xdr:rowOff>21225</xdr:rowOff>
    </xdr:from>
    <xdr:to>
      <xdr:col>13</xdr:col>
      <xdr:colOff>778994</xdr:colOff>
      <xdr:row>9</xdr:row>
      <xdr:rowOff>186876</xdr:rowOff>
    </xdr:to>
    <xdr:pic>
      <xdr:nvPicPr>
        <xdr:cNvPr id="9" name="Picture 12">
          <a:extLst>
            <a:ext uri="{FF2B5EF4-FFF2-40B4-BE49-F238E27FC236}">
              <a16:creationId xmlns:a16="http://schemas.microsoft.com/office/drawing/2014/main" id="{DC43BEF4-1E7C-49CE-91C3-22333AF74988}"/>
            </a:ext>
          </a:extLst>
        </xdr:cNvPr>
        <xdr:cNvPicPr>
          <a:picLocks noChangeAspect="1"/>
        </xdr:cNvPicPr>
      </xdr:nvPicPr>
      <xdr:blipFill>
        <a:blip xmlns:r="http://schemas.openxmlformats.org/officeDocument/2006/relationships" r:embed="rId3"/>
        <a:stretch>
          <a:fillRect/>
        </a:stretch>
      </xdr:blipFill>
      <xdr:spPr>
        <a:xfrm>
          <a:off x="6093116" y="2056854"/>
          <a:ext cx="183164" cy="162476"/>
        </a:xfrm>
        <a:prstGeom prst="rect">
          <a:avLst/>
        </a:prstGeom>
      </xdr:spPr>
    </xdr:pic>
    <xdr:clientData/>
  </xdr:twoCellAnchor>
  <xdr:twoCellAnchor>
    <xdr:from>
      <xdr:col>13</xdr:col>
      <xdr:colOff>572065</xdr:colOff>
      <xdr:row>8</xdr:row>
      <xdr:rowOff>1308</xdr:rowOff>
    </xdr:from>
    <xdr:to>
      <xdr:col>13</xdr:col>
      <xdr:colOff>779131</xdr:colOff>
      <xdr:row>8</xdr:row>
      <xdr:rowOff>205240</xdr:rowOff>
    </xdr:to>
    <xdr:pic>
      <xdr:nvPicPr>
        <xdr:cNvPr id="10" name="Picture 1" descr="https://static.thenounproject.com/png/200330-200.png">
          <a:extLst>
            <a:ext uri="{FF2B5EF4-FFF2-40B4-BE49-F238E27FC236}">
              <a16:creationId xmlns:a16="http://schemas.microsoft.com/office/drawing/2014/main" id="{FB30620B-2879-4DEE-B4C0-A5000797596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069351" y="1824665"/>
          <a:ext cx="207066" cy="203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62565</xdr:colOff>
      <xdr:row>15</xdr:row>
      <xdr:rowOff>149686</xdr:rowOff>
    </xdr:from>
    <xdr:to>
      <xdr:col>5</xdr:col>
      <xdr:colOff>269631</xdr:colOff>
      <xdr:row>16</xdr:row>
      <xdr:rowOff>121705</xdr:rowOff>
    </xdr:to>
    <xdr:pic>
      <xdr:nvPicPr>
        <xdr:cNvPr id="11" name="Picture 1" descr="https://static.thenounproject.com/png/200330-200.png">
          <a:extLst>
            <a:ext uri="{FF2B5EF4-FFF2-40B4-BE49-F238E27FC236}">
              <a16:creationId xmlns:a16="http://schemas.microsoft.com/office/drawing/2014/main" id="{303BBEB1-182D-45BA-8E58-C844D2CB80EE}"/>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945794" y="3415400"/>
          <a:ext cx="207066" cy="189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250788</xdr:colOff>
      <xdr:row>15</xdr:row>
      <xdr:rowOff>178947</xdr:rowOff>
    </xdr:from>
    <xdr:to>
      <xdr:col>4</xdr:col>
      <xdr:colOff>421488</xdr:colOff>
      <xdr:row>16</xdr:row>
      <xdr:rowOff>110477</xdr:rowOff>
    </xdr:to>
    <xdr:pic>
      <xdr:nvPicPr>
        <xdr:cNvPr id="12" name="Picture 17">
          <a:extLst>
            <a:ext uri="{FF2B5EF4-FFF2-40B4-BE49-F238E27FC236}">
              <a16:creationId xmlns:a16="http://schemas.microsoft.com/office/drawing/2014/main" id="{91459E72-E882-404B-B928-2A168E36822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27831" y="3444661"/>
          <a:ext cx="170700" cy="146070"/>
        </a:xfrm>
        <a:prstGeom prst="rect">
          <a:avLst/>
        </a:prstGeom>
      </xdr:spPr>
    </xdr:pic>
    <xdr:clientData/>
  </xdr:twoCellAnchor>
  <xdr:twoCellAnchor editAs="oneCell">
    <xdr:from>
      <xdr:col>9</xdr:col>
      <xdr:colOff>117495</xdr:colOff>
      <xdr:row>15</xdr:row>
      <xdr:rowOff>157369</xdr:rowOff>
    </xdr:from>
    <xdr:to>
      <xdr:col>9</xdr:col>
      <xdr:colOff>377327</xdr:colOff>
      <xdr:row>16</xdr:row>
      <xdr:rowOff>74518</xdr:rowOff>
    </xdr:to>
    <xdr:pic>
      <xdr:nvPicPr>
        <xdr:cNvPr id="13" name="Picture 18">
          <a:extLst>
            <a:ext uri="{FF2B5EF4-FFF2-40B4-BE49-F238E27FC236}">
              <a16:creationId xmlns:a16="http://schemas.microsoft.com/office/drawing/2014/main" id="{1C4EA34D-B426-4544-9A65-E5C1D7EFE71C}"/>
            </a:ext>
          </a:extLst>
        </xdr:cNvPr>
        <xdr:cNvPicPr>
          <a:picLocks noChangeAspect="1"/>
        </xdr:cNvPicPr>
      </xdr:nvPicPr>
      <xdr:blipFill>
        <a:blip xmlns:r="http://schemas.openxmlformats.org/officeDocument/2006/relationships" r:embed="rId2"/>
        <a:stretch>
          <a:fillRect/>
        </a:stretch>
      </xdr:blipFill>
      <xdr:spPr>
        <a:xfrm>
          <a:off x="4025466" y="3423083"/>
          <a:ext cx="256657" cy="134864"/>
        </a:xfrm>
        <a:prstGeom prst="rect">
          <a:avLst/>
        </a:prstGeom>
      </xdr:spPr>
    </xdr:pic>
    <xdr:clientData/>
  </xdr:twoCellAnchor>
  <xdr:twoCellAnchor editAs="oneCell">
    <xdr:from>
      <xdr:col>8</xdr:col>
      <xdr:colOff>173416</xdr:colOff>
      <xdr:row>15</xdr:row>
      <xdr:rowOff>162029</xdr:rowOff>
    </xdr:from>
    <xdr:to>
      <xdr:col>8</xdr:col>
      <xdr:colOff>359755</xdr:colOff>
      <xdr:row>16</xdr:row>
      <xdr:rowOff>91685</xdr:rowOff>
    </xdr:to>
    <xdr:pic>
      <xdr:nvPicPr>
        <xdr:cNvPr id="14" name="Picture 19">
          <a:extLst>
            <a:ext uri="{FF2B5EF4-FFF2-40B4-BE49-F238E27FC236}">
              <a16:creationId xmlns:a16="http://schemas.microsoft.com/office/drawing/2014/main" id="{539994A3-0EC9-4BD8-9AF9-DEE39E58EE4A}"/>
            </a:ext>
          </a:extLst>
        </xdr:cNvPr>
        <xdr:cNvPicPr>
          <a:picLocks noChangeAspect="1"/>
        </xdr:cNvPicPr>
      </xdr:nvPicPr>
      <xdr:blipFill>
        <a:blip xmlns:r="http://schemas.openxmlformats.org/officeDocument/2006/relationships" r:embed="rId3"/>
        <a:stretch>
          <a:fillRect/>
        </a:stretch>
      </xdr:blipFill>
      <xdr:spPr>
        <a:xfrm>
          <a:off x="3575202" y="3427743"/>
          <a:ext cx="176814" cy="144196"/>
        </a:xfrm>
        <a:prstGeom prst="rect">
          <a:avLst/>
        </a:prstGeom>
      </xdr:spPr>
    </xdr:pic>
    <xdr:clientData/>
  </xdr:twoCellAnchor>
  <xdr:twoCellAnchor editAs="oneCell">
    <xdr:from>
      <xdr:col>6</xdr:col>
      <xdr:colOff>158165</xdr:colOff>
      <xdr:row>15</xdr:row>
      <xdr:rowOff>136336</xdr:rowOff>
    </xdr:from>
    <xdr:to>
      <xdr:col>6</xdr:col>
      <xdr:colOff>358190</xdr:colOff>
      <xdr:row>16</xdr:row>
      <xdr:rowOff>76089</xdr:rowOff>
    </xdr:to>
    <xdr:pic>
      <xdr:nvPicPr>
        <xdr:cNvPr id="15" name="Picture 20">
          <a:extLst>
            <a:ext uri="{FF2B5EF4-FFF2-40B4-BE49-F238E27FC236}">
              <a16:creationId xmlns:a16="http://schemas.microsoft.com/office/drawing/2014/main" id="{9DC80CE2-5388-417E-B00D-B5D48FCDD22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547579" y="3402050"/>
          <a:ext cx="196850" cy="157468"/>
        </a:xfrm>
        <a:prstGeom prst="rect">
          <a:avLst/>
        </a:prstGeom>
      </xdr:spPr>
    </xdr:pic>
    <xdr:clientData/>
  </xdr:twoCellAnchor>
  <xdr:twoCellAnchor editAs="oneCell">
    <xdr:from>
      <xdr:col>13</xdr:col>
      <xdr:colOff>786829</xdr:colOff>
      <xdr:row>11</xdr:row>
      <xdr:rowOff>33224</xdr:rowOff>
    </xdr:from>
    <xdr:to>
      <xdr:col>13</xdr:col>
      <xdr:colOff>967054</xdr:colOff>
      <xdr:row>12</xdr:row>
      <xdr:rowOff>724</xdr:rowOff>
    </xdr:to>
    <xdr:pic>
      <xdr:nvPicPr>
        <xdr:cNvPr id="16" name="Picture 21">
          <a:extLst>
            <a:ext uri="{FF2B5EF4-FFF2-40B4-BE49-F238E27FC236}">
              <a16:creationId xmlns:a16="http://schemas.microsoft.com/office/drawing/2014/main" id="{CF51A426-842B-4A0B-AD02-A6FE2AC46DF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284115" y="2493395"/>
          <a:ext cx="177050" cy="179772"/>
        </a:xfrm>
        <a:prstGeom prst="rect">
          <a:avLst/>
        </a:prstGeom>
      </xdr:spPr>
    </xdr:pic>
    <xdr:clientData/>
  </xdr:twoCellAnchor>
  <xdr:twoCellAnchor editAs="oneCell">
    <xdr:from>
      <xdr:col>14</xdr:col>
      <xdr:colOff>780431</xdr:colOff>
      <xdr:row>17</xdr:row>
      <xdr:rowOff>19641</xdr:rowOff>
    </xdr:from>
    <xdr:to>
      <xdr:col>14</xdr:col>
      <xdr:colOff>986838</xdr:colOff>
      <xdr:row>18</xdr:row>
      <xdr:rowOff>16882</xdr:rowOff>
    </xdr:to>
    <xdr:pic>
      <xdr:nvPicPr>
        <xdr:cNvPr id="17" name="Picture 22" descr="Related image">
          <a:extLst>
            <a:ext uri="{FF2B5EF4-FFF2-40B4-BE49-F238E27FC236}">
              <a16:creationId xmlns:a16="http://schemas.microsoft.com/office/drawing/2014/main" id="{BC6B764A-1343-429F-8417-338A90C7087B}"/>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155502" y="3655470"/>
          <a:ext cx="203232" cy="2095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53709</xdr:colOff>
      <xdr:row>15</xdr:row>
      <xdr:rowOff>173740</xdr:rowOff>
    </xdr:from>
    <xdr:to>
      <xdr:col>4</xdr:col>
      <xdr:colOff>224409</xdr:colOff>
      <xdr:row>16</xdr:row>
      <xdr:rowOff>111620</xdr:rowOff>
    </xdr:to>
    <xdr:pic>
      <xdr:nvPicPr>
        <xdr:cNvPr id="18" name="Picture 23">
          <a:extLst>
            <a:ext uri="{FF2B5EF4-FFF2-40B4-BE49-F238E27FC236}">
              <a16:creationId xmlns:a16="http://schemas.microsoft.com/office/drawing/2014/main" id="{18151D53-05C6-4BB7-958B-20C47323BC1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30752" y="3439454"/>
          <a:ext cx="167525" cy="146070"/>
        </a:xfrm>
        <a:prstGeom prst="rect">
          <a:avLst/>
        </a:prstGeom>
      </xdr:spPr>
    </xdr:pic>
    <xdr:clientData/>
  </xdr:twoCellAnchor>
  <xdr:twoCellAnchor editAs="oneCell">
    <xdr:from>
      <xdr:col>15</xdr:col>
      <xdr:colOff>715223</xdr:colOff>
      <xdr:row>16</xdr:row>
      <xdr:rowOff>149744</xdr:rowOff>
    </xdr:from>
    <xdr:to>
      <xdr:col>16</xdr:col>
      <xdr:colOff>77369</xdr:colOff>
      <xdr:row>19</xdr:row>
      <xdr:rowOff>91462</xdr:rowOff>
    </xdr:to>
    <xdr:pic>
      <xdr:nvPicPr>
        <xdr:cNvPr id="20" name="Picture 19" descr="Squash Racquet Icons - Free SVG &amp; PNG Squash Racquet Images ...">
          <a:extLst>
            <a:ext uri="{FF2B5EF4-FFF2-40B4-BE49-F238E27FC236}">
              <a16:creationId xmlns:a16="http://schemas.microsoft.com/office/drawing/2014/main" id="{620F2EAB-322B-4D70-AC98-FD30C3FF159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rot="2398059">
          <a:off x="9271394" y="3633173"/>
          <a:ext cx="379961" cy="3794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963156</xdr:colOff>
      <xdr:row>17</xdr:row>
      <xdr:rowOff>63185</xdr:rowOff>
    </xdr:from>
    <xdr:to>
      <xdr:col>15</xdr:col>
      <xdr:colOff>2977</xdr:colOff>
      <xdr:row>18</xdr:row>
      <xdr:rowOff>57251</xdr:rowOff>
    </xdr:to>
    <xdr:pic>
      <xdr:nvPicPr>
        <xdr:cNvPr id="21" name="Picture 22" descr="Related image">
          <a:extLst>
            <a:ext uri="{FF2B5EF4-FFF2-40B4-BE49-F238E27FC236}">
              <a16:creationId xmlns:a16="http://schemas.microsoft.com/office/drawing/2014/main" id="{C7EAF7BE-EBDE-44F1-8C73-744848B34D2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338227" y="3699014"/>
          <a:ext cx="220921" cy="206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190271</xdr:colOff>
      <xdr:row>17</xdr:row>
      <xdr:rowOff>13421</xdr:rowOff>
    </xdr:from>
    <xdr:to>
      <xdr:col>14</xdr:col>
      <xdr:colOff>396678</xdr:colOff>
      <xdr:row>18</xdr:row>
      <xdr:rowOff>17012</xdr:rowOff>
    </xdr:to>
    <xdr:pic>
      <xdr:nvPicPr>
        <xdr:cNvPr id="22" name="Picture 22" descr="Related image">
          <a:extLst>
            <a:ext uri="{FF2B5EF4-FFF2-40B4-BE49-F238E27FC236}">
              <a16:creationId xmlns:a16="http://schemas.microsoft.com/office/drawing/2014/main" id="{995AE33A-1BC9-4FC9-9429-C9C4CC7AFB95}"/>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565342" y="3649250"/>
          <a:ext cx="203232" cy="215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761325</xdr:colOff>
      <xdr:row>6</xdr:row>
      <xdr:rowOff>203855</xdr:rowOff>
    </xdr:from>
    <xdr:to>
      <xdr:col>13</xdr:col>
      <xdr:colOff>967132</xdr:colOff>
      <xdr:row>7</xdr:row>
      <xdr:rowOff>189595</xdr:rowOff>
    </xdr:to>
    <xdr:pic>
      <xdr:nvPicPr>
        <xdr:cNvPr id="23" name="Picture 22">
          <a:extLst>
            <a:ext uri="{FF2B5EF4-FFF2-40B4-BE49-F238E27FC236}">
              <a16:creationId xmlns:a16="http://schemas.microsoft.com/office/drawing/2014/main" id="{D8213DE3-1905-42A7-88C4-960911414F2D}"/>
            </a:ext>
          </a:extLst>
        </xdr:cNvPr>
        <xdr:cNvPicPr>
          <a:picLocks noChangeAspect="1"/>
        </xdr:cNvPicPr>
      </xdr:nvPicPr>
      <xdr:blipFill>
        <a:blip xmlns:r="http://schemas.openxmlformats.org/officeDocument/2006/relationships" r:embed="rId12"/>
        <a:stretch>
          <a:fillRect/>
        </a:stretch>
      </xdr:blipFill>
      <xdr:spPr>
        <a:xfrm>
          <a:off x="6258611" y="1608112"/>
          <a:ext cx="196282" cy="198012"/>
        </a:xfrm>
        <a:prstGeom prst="rect">
          <a:avLst/>
        </a:prstGeom>
      </xdr:spPr>
    </xdr:pic>
    <xdr:clientData/>
  </xdr:twoCellAnchor>
  <xdr:twoCellAnchor editAs="oneCell">
    <xdr:from>
      <xdr:col>13</xdr:col>
      <xdr:colOff>852872</xdr:colOff>
      <xdr:row>12</xdr:row>
      <xdr:rowOff>4022</xdr:rowOff>
    </xdr:from>
    <xdr:to>
      <xdr:col>13</xdr:col>
      <xdr:colOff>1062738</xdr:colOff>
      <xdr:row>13</xdr:row>
      <xdr:rowOff>2721</xdr:rowOff>
    </xdr:to>
    <xdr:pic>
      <xdr:nvPicPr>
        <xdr:cNvPr id="24" name="Picture 23">
          <a:extLst>
            <a:ext uri="{FF2B5EF4-FFF2-40B4-BE49-F238E27FC236}">
              <a16:creationId xmlns:a16="http://schemas.microsoft.com/office/drawing/2014/main" id="{28C69A1B-221E-48E2-9C3A-57CBAEF6764A}"/>
            </a:ext>
          </a:extLst>
        </xdr:cNvPr>
        <xdr:cNvPicPr>
          <a:picLocks noChangeAspect="1"/>
        </xdr:cNvPicPr>
      </xdr:nvPicPr>
      <xdr:blipFill>
        <a:blip xmlns:r="http://schemas.openxmlformats.org/officeDocument/2006/relationships" r:embed="rId13"/>
        <a:stretch>
          <a:fillRect/>
        </a:stretch>
      </xdr:blipFill>
      <xdr:spPr>
        <a:xfrm>
          <a:off x="6350158" y="2676465"/>
          <a:ext cx="206691" cy="202806"/>
        </a:xfrm>
        <a:prstGeom prst="rect">
          <a:avLst/>
        </a:prstGeom>
      </xdr:spPr>
    </xdr:pic>
    <xdr:clientData/>
  </xdr:twoCellAnchor>
  <xdr:twoCellAnchor editAs="oneCell">
    <xdr:from>
      <xdr:col>9</xdr:col>
      <xdr:colOff>159736</xdr:colOff>
      <xdr:row>14</xdr:row>
      <xdr:rowOff>77620</xdr:rowOff>
    </xdr:from>
    <xdr:to>
      <xdr:col>9</xdr:col>
      <xdr:colOff>360077</xdr:colOff>
      <xdr:row>15</xdr:row>
      <xdr:rowOff>110751</xdr:rowOff>
    </xdr:to>
    <xdr:pic>
      <xdr:nvPicPr>
        <xdr:cNvPr id="25" name="Picture 24">
          <a:extLst>
            <a:ext uri="{FF2B5EF4-FFF2-40B4-BE49-F238E27FC236}">
              <a16:creationId xmlns:a16="http://schemas.microsoft.com/office/drawing/2014/main" id="{A4AB0FFA-89D4-4C39-BE1A-D28AA92CEBF1}"/>
            </a:ext>
          </a:extLst>
        </xdr:cNvPr>
        <xdr:cNvPicPr>
          <a:picLocks noChangeAspect="1"/>
        </xdr:cNvPicPr>
      </xdr:nvPicPr>
      <xdr:blipFill>
        <a:blip xmlns:r="http://schemas.openxmlformats.org/officeDocument/2006/relationships" r:embed="rId13"/>
        <a:stretch>
          <a:fillRect/>
        </a:stretch>
      </xdr:blipFill>
      <xdr:spPr>
        <a:xfrm>
          <a:off x="4067707" y="3174606"/>
          <a:ext cx="200341" cy="201859"/>
        </a:xfrm>
        <a:prstGeom prst="rect">
          <a:avLst/>
        </a:prstGeom>
      </xdr:spPr>
    </xdr:pic>
    <xdr:clientData/>
  </xdr:twoCellAnchor>
  <xdr:twoCellAnchor editAs="oneCell">
    <xdr:from>
      <xdr:col>5</xdr:col>
      <xdr:colOff>263152</xdr:colOff>
      <xdr:row>15</xdr:row>
      <xdr:rowOff>141278</xdr:rowOff>
    </xdr:from>
    <xdr:to>
      <xdr:col>5</xdr:col>
      <xdr:colOff>455524</xdr:colOff>
      <xdr:row>16</xdr:row>
      <xdr:rowOff>130153</xdr:rowOff>
    </xdr:to>
    <xdr:pic>
      <xdr:nvPicPr>
        <xdr:cNvPr id="26" name="Picture 25">
          <a:extLst>
            <a:ext uri="{FF2B5EF4-FFF2-40B4-BE49-F238E27FC236}">
              <a16:creationId xmlns:a16="http://schemas.microsoft.com/office/drawing/2014/main" id="{BC7A5216-1FE3-49B1-97C8-2CF2CDB190D2}"/>
            </a:ext>
          </a:extLst>
        </xdr:cNvPr>
        <xdr:cNvPicPr>
          <a:picLocks noChangeAspect="1"/>
        </xdr:cNvPicPr>
      </xdr:nvPicPr>
      <xdr:blipFill>
        <a:blip xmlns:r="http://schemas.openxmlformats.org/officeDocument/2006/relationships" r:embed="rId14"/>
        <a:stretch>
          <a:fillRect/>
        </a:stretch>
      </xdr:blipFill>
      <xdr:spPr>
        <a:xfrm>
          <a:off x="2146381" y="3406992"/>
          <a:ext cx="189197" cy="203415"/>
        </a:xfrm>
        <a:prstGeom prst="rect">
          <a:avLst/>
        </a:prstGeom>
      </xdr:spPr>
    </xdr:pic>
    <xdr:clientData/>
  </xdr:twoCellAnchor>
  <xdr:twoCellAnchor editAs="oneCell">
    <xdr:from>
      <xdr:col>7</xdr:col>
      <xdr:colOff>29615</xdr:colOff>
      <xdr:row>15</xdr:row>
      <xdr:rowOff>85770</xdr:rowOff>
    </xdr:from>
    <xdr:to>
      <xdr:col>7</xdr:col>
      <xdr:colOff>225897</xdr:colOff>
      <xdr:row>16</xdr:row>
      <xdr:rowOff>71469</xdr:rowOff>
    </xdr:to>
    <xdr:pic>
      <xdr:nvPicPr>
        <xdr:cNvPr id="27" name="Picture 26">
          <a:extLst>
            <a:ext uri="{FF2B5EF4-FFF2-40B4-BE49-F238E27FC236}">
              <a16:creationId xmlns:a16="http://schemas.microsoft.com/office/drawing/2014/main" id="{5F4DA9DB-F668-478A-B518-EEEE54D42DEB}"/>
            </a:ext>
          </a:extLst>
        </xdr:cNvPr>
        <xdr:cNvPicPr>
          <a:picLocks noChangeAspect="1"/>
        </xdr:cNvPicPr>
      </xdr:nvPicPr>
      <xdr:blipFill>
        <a:blip xmlns:r="http://schemas.openxmlformats.org/officeDocument/2006/relationships" r:embed="rId12"/>
        <a:stretch>
          <a:fillRect/>
        </a:stretch>
      </xdr:blipFill>
      <xdr:spPr>
        <a:xfrm>
          <a:off x="2925215" y="3351484"/>
          <a:ext cx="196282" cy="203414"/>
        </a:xfrm>
        <a:prstGeom prst="rect">
          <a:avLst/>
        </a:prstGeom>
      </xdr:spPr>
    </xdr:pic>
    <xdr:clientData/>
  </xdr:twoCellAnchor>
  <xdr:twoCellAnchor editAs="oneCell">
    <xdr:from>
      <xdr:col>17</xdr:col>
      <xdr:colOff>157405</xdr:colOff>
      <xdr:row>17</xdr:row>
      <xdr:rowOff>10515</xdr:rowOff>
    </xdr:from>
    <xdr:to>
      <xdr:col>17</xdr:col>
      <xdr:colOff>360037</xdr:colOff>
      <xdr:row>18</xdr:row>
      <xdr:rowOff>2152</xdr:rowOff>
    </xdr:to>
    <xdr:pic>
      <xdr:nvPicPr>
        <xdr:cNvPr id="28" name="Picture 27">
          <a:extLst>
            <a:ext uri="{FF2B5EF4-FFF2-40B4-BE49-F238E27FC236}">
              <a16:creationId xmlns:a16="http://schemas.microsoft.com/office/drawing/2014/main" id="{EAE4369C-0D97-44B5-84A9-1EF7475C7708}"/>
            </a:ext>
          </a:extLst>
        </xdr:cNvPr>
        <xdr:cNvPicPr>
          <a:picLocks noChangeAspect="1"/>
        </xdr:cNvPicPr>
      </xdr:nvPicPr>
      <xdr:blipFill>
        <a:blip xmlns:r="http://schemas.openxmlformats.org/officeDocument/2006/relationships" r:embed="rId12"/>
        <a:stretch>
          <a:fillRect/>
        </a:stretch>
      </xdr:blipFill>
      <xdr:spPr>
        <a:xfrm>
          <a:off x="10749205" y="3646344"/>
          <a:ext cx="202632" cy="201185"/>
        </a:xfrm>
        <a:prstGeom prst="rect">
          <a:avLst/>
        </a:prstGeom>
      </xdr:spPr>
    </xdr:pic>
    <xdr:clientData/>
  </xdr:twoCellAnchor>
  <xdr:twoCellAnchor editAs="oneCell">
    <xdr:from>
      <xdr:col>15</xdr:col>
      <xdr:colOff>56085</xdr:colOff>
      <xdr:row>17</xdr:row>
      <xdr:rowOff>44962</xdr:rowOff>
    </xdr:from>
    <xdr:to>
      <xdr:col>15</xdr:col>
      <xdr:colOff>264332</xdr:colOff>
      <xdr:row>18</xdr:row>
      <xdr:rowOff>37054</xdr:rowOff>
    </xdr:to>
    <xdr:pic>
      <xdr:nvPicPr>
        <xdr:cNvPr id="29" name="Picture 28">
          <a:extLst>
            <a:ext uri="{FF2B5EF4-FFF2-40B4-BE49-F238E27FC236}">
              <a16:creationId xmlns:a16="http://schemas.microsoft.com/office/drawing/2014/main" id="{DE374965-D3B0-491D-85FF-E53436AA5AE8}"/>
            </a:ext>
          </a:extLst>
        </xdr:cNvPr>
        <xdr:cNvPicPr>
          <a:picLocks noChangeAspect="1"/>
        </xdr:cNvPicPr>
      </xdr:nvPicPr>
      <xdr:blipFill>
        <a:blip xmlns:r="http://schemas.openxmlformats.org/officeDocument/2006/relationships" r:embed="rId14"/>
        <a:stretch>
          <a:fillRect/>
        </a:stretch>
      </xdr:blipFill>
      <xdr:spPr>
        <a:xfrm>
          <a:off x="8612256" y="3680791"/>
          <a:ext cx="208247" cy="204361"/>
        </a:xfrm>
        <a:prstGeom prst="rect">
          <a:avLst/>
        </a:prstGeom>
      </xdr:spPr>
    </xdr:pic>
    <xdr:clientData/>
  </xdr:twoCellAnchor>
  <xdr:twoCellAnchor editAs="oneCell">
    <xdr:from>
      <xdr:col>19</xdr:col>
      <xdr:colOff>1090229</xdr:colOff>
      <xdr:row>17</xdr:row>
      <xdr:rowOff>17746</xdr:rowOff>
    </xdr:from>
    <xdr:to>
      <xdr:col>19</xdr:col>
      <xdr:colOff>1293745</xdr:colOff>
      <xdr:row>18</xdr:row>
      <xdr:rowOff>14632</xdr:rowOff>
    </xdr:to>
    <xdr:pic>
      <xdr:nvPicPr>
        <xdr:cNvPr id="30" name="Picture 29">
          <a:extLst>
            <a:ext uri="{FF2B5EF4-FFF2-40B4-BE49-F238E27FC236}">
              <a16:creationId xmlns:a16="http://schemas.microsoft.com/office/drawing/2014/main" id="{E68BCB8D-9C1C-4E8C-BC83-E9095BEAB061}"/>
            </a:ext>
          </a:extLst>
        </xdr:cNvPr>
        <xdr:cNvPicPr>
          <a:picLocks noChangeAspect="1"/>
        </xdr:cNvPicPr>
      </xdr:nvPicPr>
      <xdr:blipFill>
        <a:blip xmlns:r="http://schemas.openxmlformats.org/officeDocument/2006/relationships" r:embed="rId13"/>
        <a:stretch>
          <a:fillRect/>
        </a:stretch>
      </xdr:blipFill>
      <xdr:spPr>
        <a:xfrm>
          <a:off x="13951700" y="3653575"/>
          <a:ext cx="200341" cy="205980"/>
        </a:xfrm>
        <a:prstGeom prst="rect">
          <a:avLst/>
        </a:prstGeom>
      </xdr:spPr>
    </xdr:pic>
    <xdr:clientData/>
  </xdr:twoCellAnchor>
  <xdr:twoCellAnchor editAs="oneCell">
    <xdr:from>
      <xdr:col>4</xdr:col>
      <xdr:colOff>207955</xdr:colOff>
      <xdr:row>15</xdr:row>
      <xdr:rowOff>51158</xdr:rowOff>
    </xdr:from>
    <xdr:to>
      <xdr:col>4</xdr:col>
      <xdr:colOff>378655</xdr:colOff>
      <xdr:row>15</xdr:row>
      <xdr:rowOff>206753</xdr:rowOff>
    </xdr:to>
    <xdr:pic>
      <xdr:nvPicPr>
        <xdr:cNvPr id="31" name="Picture 17">
          <a:extLst>
            <a:ext uri="{FF2B5EF4-FFF2-40B4-BE49-F238E27FC236}">
              <a16:creationId xmlns:a16="http://schemas.microsoft.com/office/drawing/2014/main" id="{7B109C43-073E-4304-82BF-7BA40ABA1CE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84998" y="3316872"/>
          <a:ext cx="170700" cy="146070"/>
        </a:xfrm>
        <a:prstGeom prst="rect">
          <a:avLst/>
        </a:prstGeom>
      </xdr:spPr>
    </xdr:pic>
    <xdr:clientData/>
  </xdr:twoCellAnchor>
  <xdr:twoCellAnchor editAs="oneCell">
    <xdr:from>
      <xdr:col>4</xdr:col>
      <xdr:colOff>38516</xdr:colOff>
      <xdr:row>15</xdr:row>
      <xdr:rowOff>14242</xdr:rowOff>
    </xdr:from>
    <xdr:to>
      <xdr:col>4</xdr:col>
      <xdr:colOff>209216</xdr:colOff>
      <xdr:row>15</xdr:row>
      <xdr:rowOff>169837</xdr:rowOff>
    </xdr:to>
    <xdr:pic>
      <xdr:nvPicPr>
        <xdr:cNvPr id="32" name="Picture 17">
          <a:extLst>
            <a:ext uri="{FF2B5EF4-FFF2-40B4-BE49-F238E27FC236}">
              <a16:creationId xmlns:a16="http://schemas.microsoft.com/office/drawing/2014/main" id="{0375A5DD-DBAD-4F08-9238-F64717AC3EB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15559" y="3279956"/>
          <a:ext cx="170700" cy="146070"/>
        </a:xfrm>
        <a:prstGeom prst="rect">
          <a:avLst/>
        </a:prstGeom>
      </xdr:spPr>
    </xdr:pic>
    <xdr:clientData/>
  </xdr:twoCellAnchor>
  <xdr:twoCellAnchor editAs="oneCell">
    <xdr:from>
      <xdr:col>14</xdr:col>
      <xdr:colOff>29690</xdr:colOff>
      <xdr:row>17</xdr:row>
      <xdr:rowOff>186510</xdr:rowOff>
    </xdr:from>
    <xdr:to>
      <xdr:col>14</xdr:col>
      <xdr:colOff>245622</xdr:colOff>
      <xdr:row>19</xdr:row>
      <xdr:rowOff>114373</xdr:rowOff>
    </xdr:to>
    <xdr:pic>
      <xdr:nvPicPr>
        <xdr:cNvPr id="33" name="Picture 22" descr="Related image">
          <a:extLst>
            <a:ext uri="{FF2B5EF4-FFF2-40B4-BE49-F238E27FC236}">
              <a16:creationId xmlns:a16="http://schemas.microsoft.com/office/drawing/2014/main" id="{7E3BD4AA-23BA-4081-BDE5-415FDCCD636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04761" y="3822339"/>
          <a:ext cx="209582" cy="216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1011643</xdr:colOff>
      <xdr:row>11</xdr:row>
      <xdr:rowOff>13345</xdr:rowOff>
    </xdr:from>
    <xdr:to>
      <xdr:col>13</xdr:col>
      <xdr:colOff>1198218</xdr:colOff>
      <xdr:row>12</xdr:row>
      <xdr:rowOff>2419</xdr:rowOff>
    </xdr:to>
    <xdr:pic>
      <xdr:nvPicPr>
        <xdr:cNvPr id="34" name="Picture 21">
          <a:extLst>
            <a:ext uri="{FF2B5EF4-FFF2-40B4-BE49-F238E27FC236}">
              <a16:creationId xmlns:a16="http://schemas.microsoft.com/office/drawing/2014/main" id="{BDCA25C2-A95D-4A01-8971-1203A906469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508929" y="2473516"/>
          <a:ext cx="177050" cy="183656"/>
        </a:xfrm>
        <a:prstGeom prst="rect">
          <a:avLst/>
        </a:prstGeom>
      </xdr:spPr>
    </xdr:pic>
    <xdr:clientData/>
  </xdr:twoCellAnchor>
  <xdr:twoCellAnchor editAs="oneCell">
    <xdr:from>
      <xdr:col>13</xdr:col>
      <xdr:colOff>1239770</xdr:colOff>
      <xdr:row>11</xdr:row>
      <xdr:rowOff>23758</xdr:rowOff>
    </xdr:from>
    <xdr:to>
      <xdr:col>13</xdr:col>
      <xdr:colOff>1426345</xdr:colOff>
      <xdr:row>12</xdr:row>
      <xdr:rowOff>16007</xdr:rowOff>
    </xdr:to>
    <xdr:pic>
      <xdr:nvPicPr>
        <xdr:cNvPr id="35" name="Picture 21">
          <a:extLst>
            <a:ext uri="{FF2B5EF4-FFF2-40B4-BE49-F238E27FC236}">
              <a16:creationId xmlns:a16="http://schemas.microsoft.com/office/drawing/2014/main" id="{C1C93CC2-43E4-40DB-9A55-22B078EBD12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737056" y="2483929"/>
          <a:ext cx="177050" cy="177306"/>
        </a:xfrm>
        <a:prstGeom prst="rect">
          <a:avLst/>
        </a:prstGeom>
      </xdr:spPr>
    </xdr:pic>
    <xdr:clientData/>
  </xdr:twoCellAnchor>
  <xdr:twoCellAnchor editAs="oneCell">
    <xdr:from>
      <xdr:col>13</xdr:col>
      <xdr:colOff>1783210</xdr:colOff>
      <xdr:row>16</xdr:row>
      <xdr:rowOff>149058</xdr:rowOff>
    </xdr:from>
    <xdr:to>
      <xdr:col>14</xdr:col>
      <xdr:colOff>210794</xdr:colOff>
      <xdr:row>18</xdr:row>
      <xdr:rowOff>976</xdr:rowOff>
    </xdr:to>
    <xdr:pic>
      <xdr:nvPicPr>
        <xdr:cNvPr id="36" name="Picture 22" descr="Related image">
          <a:extLst>
            <a:ext uri="{FF2B5EF4-FFF2-40B4-BE49-F238E27FC236}">
              <a16:creationId xmlns:a16="http://schemas.microsoft.com/office/drawing/2014/main" id="{6BAD4E8E-8007-43F3-A783-E1D3B9A00EC4}"/>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280496" y="3632487"/>
          <a:ext cx="305369" cy="2165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345703</xdr:colOff>
      <xdr:row>15</xdr:row>
      <xdr:rowOff>55626</xdr:rowOff>
    </xdr:from>
    <xdr:to>
      <xdr:col>5</xdr:col>
      <xdr:colOff>34274</xdr:colOff>
      <xdr:row>15</xdr:row>
      <xdr:rowOff>204871</xdr:rowOff>
    </xdr:to>
    <xdr:pic>
      <xdr:nvPicPr>
        <xdr:cNvPr id="37" name="Picture 17">
          <a:extLst>
            <a:ext uri="{FF2B5EF4-FFF2-40B4-BE49-F238E27FC236}">
              <a16:creationId xmlns:a16="http://schemas.microsoft.com/office/drawing/2014/main" id="{595A069C-25A0-4F4B-863F-EC6294FE4D1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22746" y="3321340"/>
          <a:ext cx="191582" cy="146070"/>
        </a:xfrm>
        <a:prstGeom prst="rect">
          <a:avLst/>
        </a:prstGeom>
      </xdr:spPr>
    </xdr:pic>
    <xdr:clientData/>
  </xdr:twoCellAnchor>
  <xdr:twoCellAnchor editAs="oneCell">
    <xdr:from>
      <xdr:col>8</xdr:col>
      <xdr:colOff>85776</xdr:colOff>
      <xdr:row>15</xdr:row>
      <xdr:rowOff>183343</xdr:rowOff>
    </xdr:from>
    <xdr:to>
      <xdr:col>8</xdr:col>
      <xdr:colOff>173765</xdr:colOff>
      <xdr:row>16</xdr:row>
      <xdr:rowOff>111491</xdr:rowOff>
    </xdr:to>
    <xdr:pic>
      <xdr:nvPicPr>
        <xdr:cNvPr id="38" name="Picture 17">
          <a:extLst>
            <a:ext uri="{FF2B5EF4-FFF2-40B4-BE49-F238E27FC236}">
              <a16:creationId xmlns:a16="http://schemas.microsoft.com/office/drawing/2014/main" id="{12150284-9F99-42A2-BE4E-F0762318EDC3}"/>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r="48454" b="2315"/>
        <a:stretch/>
      </xdr:blipFill>
      <xdr:spPr>
        <a:xfrm>
          <a:off x="3487562" y="3449057"/>
          <a:ext cx="87989" cy="142688"/>
        </a:xfrm>
        <a:prstGeom prst="rect">
          <a:avLst/>
        </a:prstGeom>
      </xdr:spPr>
    </xdr:pic>
    <xdr:clientData/>
  </xdr:twoCellAnchor>
  <xdr:twoCellAnchor editAs="oneCell">
    <xdr:from>
      <xdr:col>13</xdr:col>
      <xdr:colOff>780975</xdr:colOff>
      <xdr:row>9</xdr:row>
      <xdr:rowOff>9576</xdr:rowOff>
    </xdr:from>
    <xdr:to>
      <xdr:col>13</xdr:col>
      <xdr:colOff>872139</xdr:colOff>
      <xdr:row>9</xdr:row>
      <xdr:rowOff>152264</xdr:rowOff>
    </xdr:to>
    <xdr:pic>
      <xdr:nvPicPr>
        <xdr:cNvPr id="39" name="Picture 17">
          <a:extLst>
            <a:ext uri="{FF2B5EF4-FFF2-40B4-BE49-F238E27FC236}">
              <a16:creationId xmlns:a16="http://schemas.microsoft.com/office/drawing/2014/main" id="{BB716DAF-7A75-4FA2-BCE1-A20974728156}"/>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r="48454" b="2315"/>
        <a:stretch/>
      </xdr:blipFill>
      <xdr:spPr>
        <a:xfrm>
          <a:off x="6278261" y="2045205"/>
          <a:ext cx="87989" cy="142688"/>
        </a:xfrm>
        <a:prstGeom prst="rect">
          <a:avLst/>
        </a:prstGeom>
      </xdr:spPr>
    </xdr:pic>
    <xdr:clientData/>
  </xdr:twoCellAnchor>
  <xdr:twoCellAnchor editAs="oneCell">
    <xdr:from>
      <xdr:col>8</xdr:col>
      <xdr:colOff>235600</xdr:colOff>
      <xdr:row>14</xdr:row>
      <xdr:rowOff>90975</xdr:rowOff>
    </xdr:from>
    <xdr:to>
      <xdr:col>8</xdr:col>
      <xdr:colOff>453573</xdr:colOff>
      <xdr:row>15</xdr:row>
      <xdr:rowOff>114301</xdr:rowOff>
    </xdr:to>
    <xdr:pic>
      <xdr:nvPicPr>
        <xdr:cNvPr id="41" name="Picture 40">
          <a:extLst>
            <a:ext uri="{FF2B5EF4-FFF2-40B4-BE49-F238E27FC236}">
              <a16:creationId xmlns:a16="http://schemas.microsoft.com/office/drawing/2014/main" id="{CA629FDF-7092-4A63-B7E0-2B6EFF5DF4A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637386" y="3187961"/>
          <a:ext cx="214798" cy="192054"/>
        </a:xfrm>
        <a:prstGeom prst="rect">
          <a:avLst/>
        </a:prstGeom>
      </xdr:spPr>
    </xdr:pic>
    <xdr:clientData/>
  </xdr:twoCellAnchor>
  <xdr:twoCellAnchor editAs="oneCell">
    <xdr:from>
      <xdr:col>13</xdr:col>
      <xdr:colOff>1104902</xdr:colOff>
      <xdr:row>9</xdr:row>
      <xdr:rowOff>6222</xdr:rowOff>
    </xdr:from>
    <xdr:to>
      <xdr:col>13</xdr:col>
      <xdr:colOff>1311990</xdr:colOff>
      <xdr:row>10</xdr:row>
      <xdr:rowOff>2916</xdr:rowOff>
    </xdr:to>
    <xdr:pic>
      <xdr:nvPicPr>
        <xdr:cNvPr id="42" name="Picture 41">
          <a:extLst>
            <a:ext uri="{FF2B5EF4-FFF2-40B4-BE49-F238E27FC236}">
              <a16:creationId xmlns:a16="http://schemas.microsoft.com/office/drawing/2014/main" id="{59F01AF1-6272-470D-8306-86565306572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6602188" y="2041851"/>
          <a:ext cx="194388" cy="191276"/>
        </a:xfrm>
        <a:prstGeom prst="rect">
          <a:avLst/>
        </a:prstGeom>
      </xdr:spPr>
    </xdr:pic>
    <xdr:clientData/>
  </xdr:twoCellAnchor>
  <xdr:twoCellAnchor editAs="oneCell">
    <xdr:from>
      <xdr:col>13</xdr:col>
      <xdr:colOff>653020</xdr:colOff>
      <xdr:row>7</xdr:row>
      <xdr:rowOff>139634</xdr:rowOff>
    </xdr:from>
    <xdr:to>
      <xdr:col>13</xdr:col>
      <xdr:colOff>1044902</xdr:colOff>
      <xdr:row>9</xdr:row>
      <xdr:rowOff>95152</xdr:rowOff>
    </xdr:to>
    <xdr:pic>
      <xdr:nvPicPr>
        <xdr:cNvPr id="44" name="Picture 43" descr="Squash Racquet Icons - Free SVG &amp; PNG Squash Racquet Images ...">
          <a:extLst>
            <a:ext uri="{FF2B5EF4-FFF2-40B4-BE49-F238E27FC236}">
              <a16:creationId xmlns:a16="http://schemas.microsoft.com/office/drawing/2014/main" id="{E217838F-1906-452F-9C0D-0786CA5473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2398059">
          <a:off x="6150306" y="1756163"/>
          <a:ext cx="382357" cy="374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41211</xdr:colOff>
      <xdr:row>17</xdr:row>
      <xdr:rowOff>21773</xdr:rowOff>
    </xdr:from>
    <xdr:to>
      <xdr:col>18</xdr:col>
      <xdr:colOff>245124</xdr:colOff>
      <xdr:row>18</xdr:row>
      <xdr:rowOff>15748</xdr:rowOff>
    </xdr:to>
    <xdr:pic>
      <xdr:nvPicPr>
        <xdr:cNvPr id="45" name="Picture 44">
          <a:extLst>
            <a:ext uri="{FF2B5EF4-FFF2-40B4-BE49-F238E27FC236}">
              <a16:creationId xmlns:a16="http://schemas.microsoft.com/office/drawing/2014/main" id="{F963DF0A-EF58-4471-826D-5902A7975CF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1580068" y="3657602"/>
          <a:ext cx="194388" cy="196719"/>
        </a:xfrm>
        <a:prstGeom prst="rect">
          <a:avLst/>
        </a:prstGeom>
      </xdr:spPr>
    </xdr:pic>
    <xdr:clientData/>
  </xdr:twoCellAnchor>
  <xdr:twoCellAnchor editAs="oneCell">
    <xdr:from>
      <xdr:col>13</xdr:col>
      <xdr:colOff>1457484</xdr:colOff>
      <xdr:row>11</xdr:row>
      <xdr:rowOff>26868</xdr:rowOff>
    </xdr:from>
    <xdr:to>
      <xdr:col>13</xdr:col>
      <xdr:colOff>1634534</xdr:colOff>
      <xdr:row>12</xdr:row>
      <xdr:rowOff>67</xdr:rowOff>
    </xdr:to>
    <xdr:pic>
      <xdr:nvPicPr>
        <xdr:cNvPr id="46" name="Picture 21">
          <a:extLst>
            <a:ext uri="{FF2B5EF4-FFF2-40B4-BE49-F238E27FC236}">
              <a16:creationId xmlns:a16="http://schemas.microsoft.com/office/drawing/2014/main" id="{A7E4528B-39F0-4511-AD45-E96FFC64904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54770" y="2487039"/>
          <a:ext cx="177050" cy="185471"/>
        </a:xfrm>
        <a:prstGeom prst="rect">
          <a:avLst/>
        </a:prstGeom>
      </xdr:spPr>
    </xdr:pic>
    <xdr:clientData/>
  </xdr:twoCellAnchor>
  <xdr:twoCellAnchor editAs="oneCell">
    <xdr:from>
      <xdr:col>7</xdr:col>
      <xdr:colOff>165652</xdr:colOff>
      <xdr:row>15</xdr:row>
      <xdr:rowOff>184585</xdr:rowOff>
    </xdr:from>
    <xdr:to>
      <xdr:col>7</xdr:col>
      <xdr:colOff>433872</xdr:colOff>
      <xdr:row>16</xdr:row>
      <xdr:rowOff>115586</xdr:rowOff>
    </xdr:to>
    <xdr:pic>
      <xdr:nvPicPr>
        <xdr:cNvPr id="47" name="Picture 46" descr="Accenture Logo, symbol, meaning, history, PNG, brand">
          <a:extLst>
            <a:ext uri="{FF2B5EF4-FFF2-40B4-BE49-F238E27FC236}">
              <a16:creationId xmlns:a16="http://schemas.microsoft.com/office/drawing/2014/main" id="{780CD566-9357-4FC4-96B2-871192DC5A31}"/>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3061252" y="3450299"/>
          <a:ext cx="265045" cy="1487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71230</xdr:colOff>
      <xdr:row>14</xdr:row>
      <xdr:rowOff>121864</xdr:rowOff>
    </xdr:from>
    <xdr:to>
      <xdr:col>8</xdr:col>
      <xdr:colOff>250371</xdr:colOff>
      <xdr:row>15</xdr:row>
      <xdr:rowOff>130627</xdr:rowOff>
    </xdr:to>
    <xdr:pic>
      <xdr:nvPicPr>
        <xdr:cNvPr id="48" name="Picture 47" descr="A black background with a black square&#10;&#10;Description automatically generated with medium confidence">
          <a:extLst>
            <a:ext uri="{FF2B5EF4-FFF2-40B4-BE49-F238E27FC236}">
              <a16:creationId xmlns:a16="http://schemas.microsoft.com/office/drawing/2014/main" id="{B4729873-1918-4387-9BF0-AA60257AF96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473016" y="3218850"/>
          <a:ext cx="179141" cy="177491"/>
        </a:xfrm>
        <a:prstGeom prst="rect">
          <a:avLst/>
        </a:prstGeom>
      </xdr:spPr>
    </xdr:pic>
    <xdr:clientData/>
  </xdr:twoCellAnchor>
  <xdr:twoCellAnchor editAs="oneCell">
    <xdr:from>
      <xdr:col>13</xdr:col>
      <xdr:colOff>564163</xdr:colOff>
      <xdr:row>7</xdr:row>
      <xdr:rowOff>15147</xdr:rowOff>
    </xdr:from>
    <xdr:to>
      <xdr:col>13</xdr:col>
      <xdr:colOff>835558</xdr:colOff>
      <xdr:row>7</xdr:row>
      <xdr:rowOff>167038</xdr:rowOff>
    </xdr:to>
    <xdr:pic>
      <xdr:nvPicPr>
        <xdr:cNvPr id="49" name="Picture 48" descr="Accenture Logo, symbol, meaning, history, PNG, brand">
          <a:extLst>
            <a:ext uri="{FF2B5EF4-FFF2-40B4-BE49-F238E27FC236}">
              <a16:creationId xmlns:a16="http://schemas.microsoft.com/office/drawing/2014/main" id="{87D8033E-3605-4433-A1F0-CE2368F0A6F8}"/>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6061449" y="1631676"/>
          <a:ext cx="265045" cy="1487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1133536</xdr:colOff>
      <xdr:row>7</xdr:row>
      <xdr:rowOff>193339</xdr:rowOff>
    </xdr:from>
    <xdr:to>
      <xdr:col>13</xdr:col>
      <xdr:colOff>1348133</xdr:colOff>
      <xdr:row>8</xdr:row>
      <xdr:rowOff>190874</xdr:rowOff>
    </xdr:to>
    <xdr:pic>
      <xdr:nvPicPr>
        <xdr:cNvPr id="50" name="Picture 49">
          <a:extLst>
            <a:ext uri="{FF2B5EF4-FFF2-40B4-BE49-F238E27FC236}">
              <a16:creationId xmlns:a16="http://schemas.microsoft.com/office/drawing/2014/main" id="{BE7CED36-52B2-443C-B049-0A52D198F470}"/>
            </a:ext>
          </a:extLst>
        </xdr:cNvPr>
        <xdr:cNvPicPr>
          <a:picLocks noChangeAspect="1"/>
        </xdr:cNvPicPr>
      </xdr:nvPicPr>
      <xdr:blipFill>
        <a:blip xmlns:r="http://schemas.openxmlformats.org/officeDocument/2006/relationships" r:embed="rId14"/>
        <a:stretch>
          <a:fillRect/>
        </a:stretch>
      </xdr:blipFill>
      <xdr:spPr>
        <a:xfrm>
          <a:off x="6630822" y="1809868"/>
          <a:ext cx="208247" cy="204363"/>
        </a:xfrm>
        <a:prstGeom prst="rect">
          <a:avLst/>
        </a:prstGeom>
      </xdr:spPr>
    </xdr:pic>
    <xdr:clientData/>
  </xdr:twoCellAnchor>
  <xdr:twoCellAnchor editAs="oneCell">
    <xdr:from>
      <xdr:col>13</xdr:col>
      <xdr:colOff>890736</xdr:colOff>
      <xdr:row>9</xdr:row>
      <xdr:rowOff>5679</xdr:rowOff>
    </xdr:from>
    <xdr:to>
      <xdr:col>13</xdr:col>
      <xdr:colOff>1083287</xdr:colOff>
      <xdr:row>9</xdr:row>
      <xdr:rowOff>188705</xdr:rowOff>
    </xdr:to>
    <xdr:pic>
      <xdr:nvPicPr>
        <xdr:cNvPr id="51" name="Picture 50" descr="A black background with a black square&#10;&#10;Description automatically generated with medium confidence">
          <a:extLst>
            <a:ext uri="{FF2B5EF4-FFF2-40B4-BE49-F238E27FC236}">
              <a16:creationId xmlns:a16="http://schemas.microsoft.com/office/drawing/2014/main" id="{274B25B8-F542-4397-A235-5C5AD08B2236}"/>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388022" y="2041308"/>
          <a:ext cx="179851" cy="179851"/>
        </a:xfrm>
        <a:prstGeom prst="rect">
          <a:avLst/>
        </a:prstGeom>
      </xdr:spPr>
    </xdr:pic>
    <xdr:clientData/>
  </xdr:twoCellAnchor>
  <xdr:twoCellAnchor editAs="oneCell">
    <xdr:from>
      <xdr:col>17</xdr:col>
      <xdr:colOff>650302</xdr:colOff>
      <xdr:row>17</xdr:row>
      <xdr:rowOff>41651</xdr:rowOff>
    </xdr:from>
    <xdr:to>
      <xdr:col>17</xdr:col>
      <xdr:colOff>896297</xdr:colOff>
      <xdr:row>17</xdr:row>
      <xdr:rowOff>190367</xdr:rowOff>
    </xdr:to>
    <xdr:pic>
      <xdr:nvPicPr>
        <xdr:cNvPr id="52" name="Picture 51" descr="Accenture Logo, symbol, meaning, history, PNG, brand">
          <a:extLst>
            <a:ext uri="{FF2B5EF4-FFF2-40B4-BE49-F238E27FC236}">
              <a16:creationId xmlns:a16="http://schemas.microsoft.com/office/drawing/2014/main" id="{B2EFAFAC-A8B9-4527-85EA-F231D8CD58DA}"/>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1242102" y="3677480"/>
          <a:ext cx="265045" cy="1487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283976</xdr:colOff>
      <xdr:row>17</xdr:row>
      <xdr:rowOff>14671</xdr:rowOff>
    </xdr:from>
    <xdr:to>
      <xdr:col>18</xdr:col>
      <xdr:colOff>473352</xdr:colOff>
      <xdr:row>17</xdr:row>
      <xdr:rowOff>192865</xdr:rowOff>
    </xdr:to>
    <xdr:pic>
      <xdr:nvPicPr>
        <xdr:cNvPr id="53" name="Picture 52" descr="A black background with a black square&#10;&#10;Description automatically generated with medium confidence">
          <a:extLst>
            <a:ext uri="{FF2B5EF4-FFF2-40B4-BE49-F238E27FC236}">
              <a16:creationId xmlns:a16="http://schemas.microsoft.com/office/drawing/2014/main" id="{CEDCC7AD-6C1B-4090-8423-11509164467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1822833" y="3650500"/>
          <a:ext cx="179851" cy="178194"/>
        </a:xfrm>
        <a:prstGeom prst="rect">
          <a:avLst/>
        </a:prstGeom>
      </xdr:spPr>
    </xdr:pic>
    <xdr:clientData/>
  </xdr:twoCellAnchor>
  <xdr:twoCellAnchor editAs="oneCell">
    <xdr:from>
      <xdr:col>5</xdr:col>
      <xdr:colOff>424544</xdr:colOff>
      <xdr:row>15</xdr:row>
      <xdr:rowOff>119743</xdr:rowOff>
    </xdr:from>
    <xdr:to>
      <xdr:col>6</xdr:col>
      <xdr:colOff>21772</xdr:colOff>
      <xdr:row>16</xdr:row>
      <xdr:rowOff>110600</xdr:rowOff>
    </xdr:to>
    <xdr:pic>
      <xdr:nvPicPr>
        <xdr:cNvPr id="55" name="Picture 54" descr="Squid Game PNG Images (Transparent HD Photo Clipart)">
          <a:extLst>
            <a:ext uri="{FF2B5EF4-FFF2-40B4-BE49-F238E27FC236}">
              <a16:creationId xmlns:a16="http://schemas.microsoft.com/office/drawing/2014/main" id="{FF4232D7-0901-8496-1CA3-9EE32950AA6D}"/>
            </a:ext>
          </a:extLst>
        </xdr:cNvPr>
        <xdr:cNvPicPr>
          <a:picLocks noChangeAspect="1" noChangeArrowheads="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24690" t="2174" r="26476" b="2329"/>
        <a:stretch/>
      </xdr:blipFill>
      <xdr:spPr bwMode="auto">
        <a:xfrm>
          <a:off x="2307773" y="3385457"/>
          <a:ext cx="103413" cy="202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1001487</xdr:colOff>
      <xdr:row>7</xdr:row>
      <xdr:rowOff>201385</xdr:rowOff>
    </xdr:from>
    <xdr:to>
      <xdr:col>13</xdr:col>
      <xdr:colOff>1104900</xdr:colOff>
      <xdr:row>8</xdr:row>
      <xdr:rowOff>206304</xdr:rowOff>
    </xdr:to>
    <xdr:pic>
      <xdr:nvPicPr>
        <xdr:cNvPr id="56" name="Picture 55" descr="Squid Game PNG Images (Transparent HD Photo Clipart)">
          <a:extLst>
            <a:ext uri="{FF2B5EF4-FFF2-40B4-BE49-F238E27FC236}">
              <a16:creationId xmlns:a16="http://schemas.microsoft.com/office/drawing/2014/main" id="{756281B7-D469-4ECE-9A29-A5DD4C2A7158}"/>
            </a:ext>
          </a:extLst>
        </xdr:cNvPr>
        <xdr:cNvPicPr>
          <a:picLocks noChangeAspect="1" noChangeArrowheads="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l="24690" t="2174" r="26476" b="2329"/>
        <a:stretch/>
      </xdr:blipFill>
      <xdr:spPr bwMode="auto">
        <a:xfrm>
          <a:off x="6498773" y="1817914"/>
          <a:ext cx="103413" cy="202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266701</xdr:colOff>
      <xdr:row>17</xdr:row>
      <xdr:rowOff>38100</xdr:rowOff>
    </xdr:from>
    <xdr:to>
      <xdr:col>15</xdr:col>
      <xdr:colOff>376464</xdr:colOff>
      <xdr:row>18</xdr:row>
      <xdr:rowOff>34403</xdr:rowOff>
    </xdr:to>
    <xdr:pic>
      <xdr:nvPicPr>
        <xdr:cNvPr id="57" name="Picture 56" descr="Squid Game PNG Images (Transparent HD Photo Clipart)">
          <a:extLst>
            <a:ext uri="{FF2B5EF4-FFF2-40B4-BE49-F238E27FC236}">
              <a16:creationId xmlns:a16="http://schemas.microsoft.com/office/drawing/2014/main" id="{8D1324F5-6DFD-472B-9E04-F3DFED4A1BA1}"/>
            </a:ext>
          </a:extLst>
        </xdr:cNvPr>
        <xdr:cNvPicPr>
          <a:picLocks noChangeAspect="1" noChangeArrowheads="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l="24690" t="2174" r="26476" b="2329"/>
        <a:stretch/>
      </xdr:blipFill>
      <xdr:spPr bwMode="auto">
        <a:xfrm>
          <a:off x="8822872" y="3673929"/>
          <a:ext cx="103413" cy="202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565828</xdr:colOff>
      <xdr:row>17</xdr:row>
      <xdr:rowOff>123056</xdr:rowOff>
    </xdr:from>
    <xdr:to>
      <xdr:col>14</xdr:col>
      <xdr:colOff>796274</xdr:colOff>
      <xdr:row>19</xdr:row>
      <xdr:rowOff>40920</xdr:rowOff>
    </xdr:to>
    <xdr:pic>
      <xdr:nvPicPr>
        <xdr:cNvPr id="43" name="Picture 22" descr="Related image">
          <a:extLst>
            <a:ext uri="{FF2B5EF4-FFF2-40B4-BE49-F238E27FC236}">
              <a16:creationId xmlns:a16="http://schemas.microsoft.com/office/drawing/2014/main" id="{22979D42-26DD-4AD5-81DC-00D3F9E1D3E3}"/>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940899" y="3758885"/>
          <a:ext cx="220921" cy="206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288242</xdr:colOff>
      <xdr:row>17</xdr:row>
      <xdr:rowOff>128500</xdr:rowOff>
    </xdr:from>
    <xdr:to>
      <xdr:col>14</xdr:col>
      <xdr:colOff>512338</xdr:colOff>
      <xdr:row>19</xdr:row>
      <xdr:rowOff>52714</xdr:rowOff>
    </xdr:to>
    <xdr:pic>
      <xdr:nvPicPr>
        <xdr:cNvPr id="54" name="Picture 22" descr="Related image">
          <a:extLst>
            <a:ext uri="{FF2B5EF4-FFF2-40B4-BE49-F238E27FC236}">
              <a16:creationId xmlns:a16="http://schemas.microsoft.com/office/drawing/2014/main" id="{A0F33CEC-A798-4D00-AD54-CDD6BDFEB713}"/>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663313" y="3764329"/>
          <a:ext cx="220921" cy="206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1675199</xdr:colOff>
      <xdr:row>11</xdr:row>
      <xdr:rowOff>15982</xdr:rowOff>
    </xdr:from>
    <xdr:to>
      <xdr:col>14</xdr:col>
      <xdr:colOff>16645</xdr:colOff>
      <xdr:row>12</xdr:row>
      <xdr:rowOff>16396</xdr:rowOff>
    </xdr:to>
    <xdr:pic>
      <xdr:nvPicPr>
        <xdr:cNvPr id="58" name="Picture 21">
          <a:extLst>
            <a:ext uri="{FF2B5EF4-FFF2-40B4-BE49-F238E27FC236}">
              <a16:creationId xmlns:a16="http://schemas.microsoft.com/office/drawing/2014/main" id="{A660692E-3229-487C-9FD0-EC3AA0AB985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172485" y="2476153"/>
          <a:ext cx="177050" cy="185471"/>
        </a:xfrm>
        <a:prstGeom prst="rect">
          <a:avLst/>
        </a:prstGeom>
      </xdr:spPr>
    </xdr:pic>
    <xdr:clientData/>
  </xdr:twoCellAnchor>
  <xdr:twoCellAnchor editAs="oneCell">
    <xdr:from>
      <xdr:col>13</xdr:col>
      <xdr:colOff>336256</xdr:colOff>
      <xdr:row>12</xdr:row>
      <xdr:rowOff>25053</xdr:rowOff>
    </xdr:from>
    <xdr:to>
      <xdr:col>13</xdr:col>
      <xdr:colOff>529181</xdr:colOff>
      <xdr:row>13</xdr:row>
      <xdr:rowOff>15943</xdr:rowOff>
    </xdr:to>
    <xdr:pic>
      <xdr:nvPicPr>
        <xdr:cNvPr id="59" name="Picture 21">
          <a:extLst>
            <a:ext uri="{FF2B5EF4-FFF2-40B4-BE49-F238E27FC236}">
              <a16:creationId xmlns:a16="http://schemas.microsoft.com/office/drawing/2014/main" id="{FDDAEBE0-DE0A-4ECB-A9BD-1A9910A317C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770042" y="2682982"/>
          <a:ext cx="183400" cy="199532"/>
        </a:xfrm>
        <a:prstGeom prst="rect">
          <a:avLst/>
        </a:prstGeom>
      </xdr:spPr>
    </xdr:pic>
    <xdr:clientData/>
  </xdr:twoCellAnchor>
  <xdr:twoCellAnchor editAs="oneCell">
    <xdr:from>
      <xdr:col>3</xdr:col>
      <xdr:colOff>816845</xdr:colOff>
      <xdr:row>15</xdr:row>
      <xdr:rowOff>139427</xdr:rowOff>
    </xdr:from>
    <xdr:to>
      <xdr:col>4</xdr:col>
      <xdr:colOff>109884</xdr:colOff>
      <xdr:row>16</xdr:row>
      <xdr:rowOff>74132</xdr:rowOff>
    </xdr:to>
    <xdr:pic>
      <xdr:nvPicPr>
        <xdr:cNvPr id="60" name="Picture 17">
          <a:extLst>
            <a:ext uri="{FF2B5EF4-FFF2-40B4-BE49-F238E27FC236}">
              <a16:creationId xmlns:a16="http://schemas.microsoft.com/office/drawing/2014/main" id="{AE1AAA19-104C-4A49-B4A3-A050D1FBF41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06702" y="3405141"/>
          <a:ext cx="170700" cy="146070"/>
        </a:xfrm>
        <a:prstGeom prst="rect">
          <a:avLst/>
        </a:prstGeom>
      </xdr:spPr>
    </xdr:pic>
    <xdr:clientData/>
  </xdr:twoCellAnchor>
  <xdr:twoCellAnchor editAs="oneCell">
    <xdr:from>
      <xdr:col>4</xdr:col>
      <xdr:colOff>337873</xdr:colOff>
      <xdr:row>16</xdr:row>
      <xdr:rowOff>46898</xdr:rowOff>
    </xdr:from>
    <xdr:to>
      <xdr:col>5</xdr:col>
      <xdr:colOff>2387</xdr:colOff>
      <xdr:row>17</xdr:row>
      <xdr:rowOff>40568</xdr:rowOff>
    </xdr:to>
    <xdr:pic>
      <xdr:nvPicPr>
        <xdr:cNvPr id="61" name="Picture 17">
          <a:extLst>
            <a:ext uri="{FF2B5EF4-FFF2-40B4-BE49-F238E27FC236}">
              <a16:creationId xmlns:a16="http://schemas.microsoft.com/office/drawing/2014/main" id="{402CD12D-8BEC-4027-8FD5-3E073CF5D9E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14916" y="3530327"/>
          <a:ext cx="170700" cy="14607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19</xdr:col>
      <xdr:colOff>129667</xdr:colOff>
      <xdr:row>17</xdr:row>
      <xdr:rowOff>17290</xdr:rowOff>
    </xdr:from>
    <xdr:to>
      <xdr:col>19</xdr:col>
      <xdr:colOff>489498</xdr:colOff>
      <xdr:row>18</xdr:row>
      <xdr:rowOff>14114</xdr:rowOff>
    </xdr:to>
    <xdr:pic>
      <xdr:nvPicPr>
        <xdr:cNvPr id="2" name="Picture 1">
          <a:extLst>
            <a:ext uri="{FF2B5EF4-FFF2-40B4-BE49-F238E27FC236}">
              <a16:creationId xmlns:a16="http://schemas.microsoft.com/office/drawing/2014/main" id="{241FF9C9-D165-47B2-B14E-6874B60E2305}"/>
            </a:ext>
          </a:extLst>
        </xdr:cNvPr>
        <xdr:cNvPicPr>
          <a:picLocks noChangeAspect="1"/>
        </xdr:cNvPicPr>
      </xdr:nvPicPr>
      <xdr:blipFill>
        <a:blip xmlns:r="http://schemas.openxmlformats.org/officeDocument/2006/relationships" r:embed="rId1"/>
        <a:stretch>
          <a:fillRect/>
        </a:stretch>
      </xdr:blipFill>
      <xdr:spPr>
        <a:xfrm>
          <a:off x="12991138" y="3653119"/>
          <a:ext cx="359831" cy="209095"/>
        </a:xfrm>
        <a:prstGeom prst="rect">
          <a:avLst/>
        </a:prstGeom>
      </xdr:spPr>
    </xdr:pic>
    <xdr:clientData/>
  </xdr:twoCellAnchor>
  <xdr:twoCellAnchor editAs="oneCell">
    <xdr:from>
      <xdr:col>18</xdr:col>
      <xdr:colOff>977576</xdr:colOff>
      <xdr:row>17</xdr:row>
      <xdr:rowOff>12946</xdr:rowOff>
    </xdr:from>
    <xdr:to>
      <xdr:col>18</xdr:col>
      <xdr:colOff>1214543</xdr:colOff>
      <xdr:row>18</xdr:row>
      <xdr:rowOff>28771</xdr:rowOff>
    </xdr:to>
    <xdr:pic>
      <xdr:nvPicPr>
        <xdr:cNvPr id="3" name="Picture 2">
          <a:extLst>
            <a:ext uri="{FF2B5EF4-FFF2-40B4-BE49-F238E27FC236}">
              <a16:creationId xmlns:a16="http://schemas.microsoft.com/office/drawing/2014/main" id="{885768CB-752B-44B2-A95D-3223603ECBAA}"/>
            </a:ext>
          </a:extLst>
        </xdr:cNvPr>
        <xdr:cNvPicPr>
          <a:picLocks noChangeAspect="1"/>
        </xdr:cNvPicPr>
      </xdr:nvPicPr>
      <xdr:blipFill>
        <a:blip xmlns:r="http://schemas.openxmlformats.org/officeDocument/2006/relationships" r:embed="rId2"/>
        <a:stretch>
          <a:fillRect/>
        </a:stretch>
      </xdr:blipFill>
      <xdr:spPr>
        <a:xfrm>
          <a:off x="12524209" y="3636333"/>
          <a:ext cx="236967" cy="225765"/>
        </a:xfrm>
        <a:prstGeom prst="rect">
          <a:avLst/>
        </a:prstGeom>
      </xdr:spPr>
    </xdr:pic>
    <xdr:clientData/>
  </xdr:twoCellAnchor>
  <xdr:twoCellAnchor>
    <xdr:from>
      <xdr:col>15</xdr:col>
      <xdr:colOff>660038</xdr:colOff>
      <xdr:row>17</xdr:row>
      <xdr:rowOff>30696</xdr:rowOff>
    </xdr:from>
    <xdr:to>
      <xdr:col>15</xdr:col>
      <xdr:colOff>900369</xdr:colOff>
      <xdr:row>18</xdr:row>
      <xdr:rowOff>57979</xdr:rowOff>
    </xdr:to>
    <xdr:pic>
      <xdr:nvPicPr>
        <xdr:cNvPr id="4" name="Picture 1" descr="https://static.thenounproject.com/png/200330-200.png">
          <a:extLst>
            <a:ext uri="{FF2B5EF4-FFF2-40B4-BE49-F238E27FC236}">
              <a16:creationId xmlns:a16="http://schemas.microsoft.com/office/drawing/2014/main" id="{B69EED7A-4864-45C8-8405-E4B1B7FF5BA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216209" y="3666525"/>
          <a:ext cx="240331" cy="2395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704022</xdr:colOff>
      <xdr:row>17</xdr:row>
      <xdr:rowOff>36944</xdr:rowOff>
    </xdr:from>
    <xdr:to>
      <xdr:col>16</xdr:col>
      <xdr:colOff>945014</xdr:colOff>
      <xdr:row>19</xdr:row>
      <xdr:rowOff>1211</xdr:rowOff>
    </xdr:to>
    <xdr:pic>
      <xdr:nvPicPr>
        <xdr:cNvPr id="6" name="Picture 8">
          <a:extLst>
            <a:ext uri="{FF2B5EF4-FFF2-40B4-BE49-F238E27FC236}">
              <a16:creationId xmlns:a16="http://schemas.microsoft.com/office/drawing/2014/main" id="{C2C9AD13-73D3-40B0-9EDA-9B2C4E58492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278008" y="3672773"/>
          <a:ext cx="240992" cy="252738"/>
        </a:xfrm>
        <a:prstGeom prst="rect">
          <a:avLst/>
        </a:prstGeom>
      </xdr:spPr>
    </xdr:pic>
    <xdr:clientData/>
  </xdr:twoCellAnchor>
  <xdr:twoCellAnchor editAs="oneCell">
    <xdr:from>
      <xdr:col>13</xdr:col>
      <xdr:colOff>605426</xdr:colOff>
      <xdr:row>10</xdr:row>
      <xdr:rowOff>20379</xdr:rowOff>
    </xdr:from>
    <xdr:to>
      <xdr:col>13</xdr:col>
      <xdr:colOff>792751</xdr:colOff>
      <xdr:row>11</xdr:row>
      <xdr:rowOff>1545</xdr:rowOff>
    </xdr:to>
    <xdr:pic>
      <xdr:nvPicPr>
        <xdr:cNvPr id="7" name="Picture 9">
          <a:extLst>
            <a:ext uri="{FF2B5EF4-FFF2-40B4-BE49-F238E27FC236}">
              <a16:creationId xmlns:a16="http://schemas.microsoft.com/office/drawing/2014/main" id="{CFE044F0-96C6-4470-88B6-690ED68BEB0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102712" y="2268279"/>
          <a:ext cx="187325" cy="193437"/>
        </a:xfrm>
        <a:prstGeom prst="rect">
          <a:avLst/>
        </a:prstGeom>
      </xdr:spPr>
    </xdr:pic>
    <xdr:clientData/>
  </xdr:twoCellAnchor>
  <xdr:twoCellAnchor editAs="oneCell">
    <xdr:from>
      <xdr:col>13</xdr:col>
      <xdr:colOff>542982</xdr:colOff>
      <xdr:row>12</xdr:row>
      <xdr:rowOff>24848</xdr:rowOff>
    </xdr:from>
    <xdr:to>
      <xdr:col>13</xdr:col>
      <xdr:colOff>836148</xdr:colOff>
      <xdr:row>13</xdr:row>
      <xdr:rowOff>881</xdr:rowOff>
    </xdr:to>
    <xdr:pic>
      <xdr:nvPicPr>
        <xdr:cNvPr id="8" name="Picture 10">
          <a:extLst>
            <a:ext uri="{FF2B5EF4-FFF2-40B4-BE49-F238E27FC236}">
              <a16:creationId xmlns:a16="http://schemas.microsoft.com/office/drawing/2014/main" id="{4061FECD-2C54-4238-B6DF-7D485079858F}"/>
            </a:ext>
          </a:extLst>
        </xdr:cNvPr>
        <xdr:cNvPicPr>
          <a:picLocks noChangeAspect="1"/>
        </xdr:cNvPicPr>
      </xdr:nvPicPr>
      <xdr:blipFill>
        <a:blip xmlns:r="http://schemas.openxmlformats.org/officeDocument/2006/relationships" r:embed="rId1"/>
        <a:stretch>
          <a:fillRect/>
        </a:stretch>
      </xdr:blipFill>
      <xdr:spPr>
        <a:xfrm>
          <a:off x="6040268" y="2697291"/>
          <a:ext cx="293166" cy="188304"/>
        </a:xfrm>
        <a:prstGeom prst="rect">
          <a:avLst/>
        </a:prstGeom>
      </xdr:spPr>
    </xdr:pic>
    <xdr:clientData/>
  </xdr:twoCellAnchor>
  <xdr:twoCellAnchor editAs="oneCell">
    <xdr:from>
      <xdr:col>13</xdr:col>
      <xdr:colOff>619390</xdr:colOff>
      <xdr:row>11</xdr:row>
      <xdr:rowOff>29052</xdr:rowOff>
    </xdr:from>
    <xdr:to>
      <xdr:col>13</xdr:col>
      <xdr:colOff>793265</xdr:colOff>
      <xdr:row>12</xdr:row>
      <xdr:rowOff>1995</xdr:rowOff>
    </xdr:to>
    <xdr:pic>
      <xdr:nvPicPr>
        <xdr:cNvPr id="9" name="Picture 11">
          <a:extLst>
            <a:ext uri="{FF2B5EF4-FFF2-40B4-BE49-F238E27FC236}">
              <a16:creationId xmlns:a16="http://schemas.microsoft.com/office/drawing/2014/main" id="{18578A08-2471-44CB-8CE3-EFF17F7914A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116676" y="2489223"/>
          <a:ext cx="173875" cy="185215"/>
        </a:xfrm>
        <a:prstGeom prst="rect">
          <a:avLst/>
        </a:prstGeom>
      </xdr:spPr>
    </xdr:pic>
    <xdr:clientData/>
  </xdr:twoCellAnchor>
  <xdr:twoCellAnchor editAs="oneCell">
    <xdr:from>
      <xdr:col>13</xdr:col>
      <xdr:colOff>595830</xdr:colOff>
      <xdr:row>9</xdr:row>
      <xdr:rowOff>21225</xdr:rowOff>
    </xdr:from>
    <xdr:to>
      <xdr:col>13</xdr:col>
      <xdr:colOff>778994</xdr:colOff>
      <xdr:row>9</xdr:row>
      <xdr:rowOff>183701</xdr:rowOff>
    </xdr:to>
    <xdr:pic>
      <xdr:nvPicPr>
        <xdr:cNvPr id="10" name="Picture 12">
          <a:extLst>
            <a:ext uri="{FF2B5EF4-FFF2-40B4-BE49-F238E27FC236}">
              <a16:creationId xmlns:a16="http://schemas.microsoft.com/office/drawing/2014/main" id="{555FDBC1-FE59-4B90-BA7E-F87D756D5B12}"/>
            </a:ext>
          </a:extLst>
        </xdr:cNvPr>
        <xdr:cNvPicPr>
          <a:picLocks noChangeAspect="1"/>
        </xdr:cNvPicPr>
      </xdr:nvPicPr>
      <xdr:blipFill>
        <a:blip xmlns:r="http://schemas.openxmlformats.org/officeDocument/2006/relationships" r:embed="rId2"/>
        <a:stretch>
          <a:fillRect/>
        </a:stretch>
      </xdr:blipFill>
      <xdr:spPr>
        <a:xfrm>
          <a:off x="6093116" y="2056854"/>
          <a:ext cx="183164" cy="162476"/>
        </a:xfrm>
        <a:prstGeom prst="rect">
          <a:avLst/>
        </a:prstGeom>
      </xdr:spPr>
    </xdr:pic>
    <xdr:clientData/>
  </xdr:twoCellAnchor>
  <xdr:twoCellAnchor>
    <xdr:from>
      <xdr:col>13</xdr:col>
      <xdr:colOff>572065</xdr:colOff>
      <xdr:row>8</xdr:row>
      <xdr:rowOff>1308</xdr:rowOff>
    </xdr:from>
    <xdr:to>
      <xdr:col>13</xdr:col>
      <xdr:colOff>779131</xdr:colOff>
      <xdr:row>8</xdr:row>
      <xdr:rowOff>205240</xdr:rowOff>
    </xdr:to>
    <xdr:pic>
      <xdr:nvPicPr>
        <xdr:cNvPr id="12" name="Picture 1" descr="https://static.thenounproject.com/png/200330-200.png">
          <a:extLst>
            <a:ext uri="{FF2B5EF4-FFF2-40B4-BE49-F238E27FC236}">
              <a16:creationId xmlns:a16="http://schemas.microsoft.com/office/drawing/2014/main" id="{692CD0AC-CFBC-443A-ACC7-1F8A3F0CB8D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069351" y="1824665"/>
          <a:ext cx="207066" cy="203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149651</xdr:colOff>
      <xdr:row>15</xdr:row>
      <xdr:rowOff>100700</xdr:rowOff>
    </xdr:from>
    <xdr:to>
      <xdr:col>5</xdr:col>
      <xdr:colOff>356717</xdr:colOff>
      <xdr:row>16</xdr:row>
      <xdr:rowOff>72719</xdr:rowOff>
    </xdr:to>
    <xdr:pic>
      <xdr:nvPicPr>
        <xdr:cNvPr id="13" name="Picture 1" descr="https://static.thenounproject.com/png/200330-200.png">
          <a:extLst>
            <a:ext uri="{FF2B5EF4-FFF2-40B4-BE49-F238E27FC236}">
              <a16:creationId xmlns:a16="http://schemas.microsoft.com/office/drawing/2014/main" id="{FD6B80FA-64B3-4DC3-A9B1-E9A437D4A8BA}"/>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032880" y="3366414"/>
          <a:ext cx="207066" cy="189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250788</xdr:colOff>
      <xdr:row>15</xdr:row>
      <xdr:rowOff>178947</xdr:rowOff>
    </xdr:from>
    <xdr:to>
      <xdr:col>4</xdr:col>
      <xdr:colOff>421488</xdr:colOff>
      <xdr:row>16</xdr:row>
      <xdr:rowOff>107302</xdr:rowOff>
    </xdr:to>
    <xdr:pic>
      <xdr:nvPicPr>
        <xdr:cNvPr id="15" name="Picture 17">
          <a:extLst>
            <a:ext uri="{FF2B5EF4-FFF2-40B4-BE49-F238E27FC236}">
              <a16:creationId xmlns:a16="http://schemas.microsoft.com/office/drawing/2014/main" id="{BCF0F52A-D23E-4FC0-8F61-721D7066EC5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27831" y="3444661"/>
          <a:ext cx="170700" cy="146070"/>
        </a:xfrm>
        <a:prstGeom prst="rect">
          <a:avLst/>
        </a:prstGeom>
      </xdr:spPr>
    </xdr:pic>
    <xdr:clientData/>
  </xdr:twoCellAnchor>
  <xdr:twoCellAnchor editAs="oneCell">
    <xdr:from>
      <xdr:col>9</xdr:col>
      <xdr:colOff>117495</xdr:colOff>
      <xdr:row>15</xdr:row>
      <xdr:rowOff>157369</xdr:rowOff>
    </xdr:from>
    <xdr:to>
      <xdr:col>9</xdr:col>
      <xdr:colOff>374152</xdr:colOff>
      <xdr:row>16</xdr:row>
      <xdr:rowOff>74518</xdr:rowOff>
    </xdr:to>
    <xdr:pic>
      <xdr:nvPicPr>
        <xdr:cNvPr id="16" name="Picture 18">
          <a:extLst>
            <a:ext uri="{FF2B5EF4-FFF2-40B4-BE49-F238E27FC236}">
              <a16:creationId xmlns:a16="http://schemas.microsoft.com/office/drawing/2014/main" id="{032DA410-8D27-4187-A4A9-F5845A63A039}"/>
            </a:ext>
          </a:extLst>
        </xdr:cNvPr>
        <xdr:cNvPicPr>
          <a:picLocks noChangeAspect="1"/>
        </xdr:cNvPicPr>
      </xdr:nvPicPr>
      <xdr:blipFill>
        <a:blip xmlns:r="http://schemas.openxmlformats.org/officeDocument/2006/relationships" r:embed="rId1"/>
        <a:stretch>
          <a:fillRect/>
        </a:stretch>
      </xdr:blipFill>
      <xdr:spPr>
        <a:xfrm>
          <a:off x="4025466" y="3423083"/>
          <a:ext cx="256657" cy="134864"/>
        </a:xfrm>
        <a:prstGeom prst="rect">
          <a:avLst/>
        </a:prstGeom>
      </xdr:spPr>
    </xdr:pic>
    <xdr:clientData/>
  </xdr:twoCellAnchor>
  <xdr:twoCellAnchor editAs="oneCell">
    <xdr:from>
      <xdr:col>8</xdr:col>
      <xdr:colOff>173416</xdr:colOff>
      <xdr:row>15</xdr:row>
      <xdr:rowOff>162029</xdr:rowOff>
    </xdr:from>
    <xdr:to>
      <xdr:col>8</xdr:col>
      <xdr:colOff>350230</xdr:colOff>
      <xdr:row>16</xdr:row>
      <xdr:rowOff>88510</xdr:rowOff>
    </xdr:to>
    <xdr:pic>
      <xdr:nvPicPr>
        <xdr:cNvPr id="17" name="Picture 19">
          <a:extLst>
            <a:ext uri="{FF2B5EF4-FFF2-40B4-BE49-F238E27FC236}">
              <a16:creationId xmlns:a16="http://schemas.microsoft.com/office/drawing/2014/main" id="{F6ED6E7E-DD20-4AE8-BFFF-A5C6A904D974}"/>
            </a:ext>
          </a:extLst>
        </xdr:cNvPr>
        <xdr:cNvPicPr>
          <a:picLocks noChangeAspect="1"/>
        </xdr:cNvPicPr>
      </xdr:nvPicPr>
      <xdr:blipFill>
        <a:blip xmlns:r="http://schemas.openxmlformats.org/officeDocument/2006/relationships" r:embed="rId2"/>
        <a:stretch>
          <a:fillRect/>
        </a:stretch>
      </xdr:blipFill>
      <xdr:spPr>
        <a:xfrm>
          <a:off x="3575202" y="3427743"/>
          <a:ext cx="176814" cy="144196"/>
        </a:xfrm>
        <a:prstGeom prst="rect">
          <a:avLst/>
        </a:prstGeom>
      </xdr:spPr>
    </xdr:pic>
    <xdr:clientData/>
  </xdr:twoCellAnchor>
  <xdr:twoCellAnchor editAs="oneCell">
    <xdr:from>
      <xdr:col>6</xdr:col>
      <xdr:colOff>158165</xdr:colOff>
      <xdr:row>15</xdr:row>
      <xdr:rowOff>136336</xdr:rowOff>
    </xdr:from>
    <xdr:to>
      <xdr:col>6</xdr:col>
      <xdr:colOff>355015</xdr:colOff>
      <xdr:row>16</xdr:row>
      <xdr:rowOff>76089</xdr:rowOff>
    </xdr:to>
    <xdr:pic>
      <xdr:nvPicPr>
        <xdr:cNvPr id="18" name="Picture 20">
          <a:extLst>
            <a:ext uri="{FF2B5EF4-FFF2-40B4-BE49-F238E27FC236}">
              <a16:creationId xmlns:a16="http://schemas.microsoft.com/office/drawing/2014/main" id="{6A3A1848-64D0-487F-BC2F-4C38E2123C4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547579" y="3402050"/>
          <a:ext cx="196850" cy="157468"/>
        </a:xfrm>
        <a:prstGeom prst="rect">
          <a:avLst/>
        </a:prstGeom>
      </xdr:spPr>
    </xdr:pic>
    <xdr:clientData/>
  </xdr:twoCellAnchor>
  <xdr:twoCellAnchor editAs="oneCell">
    <xdr:from>
      <xdr:col>13</xdr:col>
      <xdr:colOff>786829</xdr:colOff>
      <xdr:row>11</xdr:row>
      <xdr:rowOff>33224</xdr:rowOff>
    </xdr:from>
    <xdr:to>
      <xdr:col>13</xdr:col>
      <xdr:colOff>963879</xdr:colOff>
      <xdr:row>12</xdr:row>
      <xdr:rowOff>724</xdr:rowOff>
    </xdr:to>
    <xdr:pic>
      <xdr:nvPicPr>
        <xdr:cNvPr id="19" name="Picture 21">
          <a:extLst>
            <a:ext uri="{FF2B5EF4-FFF2-40B4-BE49-F238E27FC236}">
              <a16:creationId xmlns:a16="http://schemas.microsoft.com/office/drawing/2014/main" id="{1FB7421A-8D29-4F49-AC4E-0CAF410CD37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284115" y="2493395"/>
          <a:ext cx="177050" cy="179772"/>
        </a:xfrm>
        <a:prstGeom prst="rect">
          <a:avLst/>
        </a:prstGeom>
      </xdr:spPr>
    </xdr:pic>
    <xdr:clientData/>
  </xdr:twoCellAnchor>
  <xdr:twoCellAnchor editAs="oneCell">
    <xdr:from>
      <xdr:col>14</xdr:col>
      <xdr:colOff>780431</xdr:colOff>
      <xdr:row>17</xdr:row>
      <xdr:rowOff>19641</xdr:rowOff>
    </xdr:from>
    <xdr:to>
      <xdr:col>14</xdr:col>
      <xdr:colOff>983663</xdr:colOff>
      <xdr:row>18</xdr:row>
      <xdr:rowOff>16880</xdr:rowOff>
    </xdr:to>
    <xdr:pic>
      <xdr:nvPicPr>
        <xdr:cNvPr id="20" name="Picture 22" descr="Related image">
          <a:extLst>
            <a:ext uri="{FF2B5EF4-FFF2-40B4-BE49-F238E27FC236}">
              <a16:creationId xmlns:a16="http://schemas.microsoft.com/office/drawing/2014/main" id="{9DDBCAF9-5ED1-4A14-A46F-18997794504C}"/>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155502" y="3655470"/>
          <a:ext cx="203232" cy="2095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53709</xdr:colOff>
      <xdr:row>15</xdr:row>
      <xdr:rowOff>173740</xdr:rowOff>
    </xdr:from>
    <xdr:to>
      <xdr:col>4</xdr:col>
      <xdr:colOff>221234</xdr:colOff>
      <xdr:row>16</xdr:row>
      <xdr:rowOff>102095</xdr:rowOff>
    </xdr:to>
    <xdr:pic>
      <xdr:nvPicPr>
        <xdr:cNvPr id="21" name="Picture 23">
          <a:extLst>
            <a:ext uri="{FF2B5EF4-FFF2-40B4-BE49-F238E27FC236}">
              <a16:creationId xmlns:a16="http://schemas.microsoft.com/office/drawing/2014/main" id="{BD7CD2B2-3EBF-43E2-8F1E-7D0102E7BB7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30752" y="3439454"/>
          <a:ext cx="167525" cy="146070"/>
        </a:xfrm>
        <a:prstGeom prst="rect">
          <a:avLst/>
        </a:prstGeom>
      </xdr:spPr>
    </xdr:pic>
    <xdr:clientData/>
  </xdr:twoCellAnchor>
  <xdr:twoCellAnchor editAs="oneCell">
    <xdr:from>
      <xdr:col>4</xdr:col>
      <xdr:colOff>492066</xdr:colOff>
      <xdr:row>14</xdr:row>
      <xdr:rowOff>62657</xdr:rowOff>
    </xdr:from>
    <xdr:to>
      <xdr:col>5</xdr:col>
      <xdr:colOff>369016</xdr:colOff>
      <xdr:row>16</xdr:row>
      <xdr:rowOff>49278</xdr:rowOff>
    </xdr:to>
    <xdr:pic>
      <xdr:nvPicPr>
        <xdr:cNvPr id="22" name="Picture 21" descr="Squash Racquet Icons - Free SVG &amp; PNG Squash Racquet Images ...">
          <a:extLst>
            <a:ext uri="{FF2B5EF4-FFF2-40B4-BE49-F238E27FC236}">
              <a16:creationId xmlns:a16="http://schemas.microsoft.com/office/drawing/2014/main" id="{93B84998-2E87-43B5-B5D9-CD8ACF962C33}"/>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rot="2398059">
          <a:off x="1869109" y="3159643"/>
          <a:ext cx="383136" cy="373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715223</xdr:colOff>
      <xdr:row>16</xdr:row>
      <xdr:rowOff>149744</xdr:rowOff>
    </xdr:from>
    <xdr:to>
      <xdr:col>16</xdr:col>
      <xdr:colOff>77369</xdr:colOff>
      <xdr:row>19</xdr:row>
      <xdr:rowOff>88287</xdr:rowOff>
    </xdr:to>
    <xdr:pic>
      <xdr:nvPicPr>
        <xdr:cNvPr id="23" name="Picture 22" descr="Squash Racquet Icons - Free SVG &amp; PNG Squash Racquet Images ...">
          <a:extLst>
            <a:ext uri="{FF2B5EF4-FFF2-40B4-BE49-F238E27FC236}">
              <a16:creationId xmlns:a16="http://schemas.microsoft.com/office/drawing/2014/main" id="{C3675D8A-BF91-4C3D-AF7F-3F228B4C2243}"/>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rot="2398059">
          <a:off x="9271394" y="3633173"/>
          <a:ext cx="379961" cy="3794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963156</xdr:colOff>
      <xdr:row>17</xdr:row>
      <xdr:rowOff>63185</xdr:rowOff>
    </xdr:from>
    <xdr:to>
      <xdr:col>15</xdr:col>
      <xdr:colOff>2977</xdr:colOff>
      <xdr:row>18</xdr:row>
      <xdr:rowOff>57249</xdr:rowOff>
    </xdr:to>
    <xdr:pic>
      <xdr:nvPicPr>
        <xdr:cNvPr id="24" name="Picture 22" descr="Related image">
          <a:extLst>
            <a:ext uri="{FF2B5EF4-FFF2-40B4-BE49-F238E27FC236}">
              <a16:creationId xmlns:a16="http://schemas.microsoft.com/office/drawing/2014/main" id="{9C047C6B-4609-4BE6-A3B2-C189768BE9B1}"/>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338227" y="3699014"/>
          <a:ext cx="220921" cy="206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190271</xdr:colOff>
      <xdr:row>17</xdr:row>
      <xdr:rowOff>13421</xdr:rowOff>
    </xdr:from>
    <xdr:to>
      <xdr:col>14</xdr:col>
      <xdr:colOff>393503</xdr:colOff>
      <xdr:row>18</xdr:row>
      <xdr:rowOff>17010</xdr:rowOff>
    </xdr:to>
    <xdr:pic>
      <xdr:nvPicPr>
        <xdr:cNvPr id="25" name="Picture 22" descr="Related image">
          <a:extLst>
            <a:ext uri="{FF2B5EF4-FFF2-40B4-BE49-F238E27FC236}">
              <a16:creationId xmlns:a16="http://schemas.microsoft.com/office/drawing/2014/main" id="{E2D8DD47-8D59-436E-BA56-1F968BEF215C}"/>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7565342" y="3649250"/>
          <a:ext cx="203232" cy="215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761325</xdr:colOff>
      <xdr:row>6</xdr:row>
      <xdr:rowOff>203855</xdr:rowOff>
    </xdr:from>
    <xdr:to>
      <xdr:col>13</xdr:col>
      <xdr:colOff>957607</xdr:colOff>
      <xdr:row>7</xdr:row>
      <xdr:rowOff>189595</xdr:rowOff>
    </xdr:to>
    <xdr:pic>
      <xdr:nvPicPr>
        <xdr:cNvPr id="26" name="Picture 25">
          <a:extLst>
            <a:ext uri="{FF2B5EF4-FFF2-40B4-BE49-F238E27FC236}">
              <a16:creationId xmlns:a16="http://schemas.microsoft.com/office/drawing/2014/main" id="{2704D7FC-FC8A-4E5E-8238-4EC971F9B5B0}"/>
            </a:ext>
          </a:extLst>
        </xdr:cNvPr>
        <xdr:cNvPicPr>
          <a:picLocks noChangeAspect="1"/>
        </xdr:cNvPicPr>
      </xdr:nvPicPr>
      <xdr:blipFill>
        <a:blip xmlns:r="http://schemas.openxmlformats.org/officeDocument/2006/relationships" r:embed="rId12"/>
        <a:stretch>
          <a:fillRect/>
        </a:stretch>
      </xdr:blipFill>
      <xdr:spPr>
        <a:xfrm>
          <a:off x="6275176" y="1609532"/>
          <a:ext cx="196282" cy="198721"/>
        </a:xfrm>
        <a:prstGeom prst="rect">
          <a:avLst/>
        </a:prstGeom>
      </xdr:spPr>
    </xdr:pic>
    <xdr:clientData/>
  </xdr:twoCellAnchor>
  <xdr:twoCellAnchor editAs="oneCell">
    <xdr:from>
      <xdr:col>13</xdr:col>
      <xdr:colOff>809330</xdr:colOff>
      <xdr:row>10</xdr:row>
      <xdr:rowOff>9465</xdr:rowOff>
    </xdr:from>
    <xdr:to>
      <xdr:col>13</xdr:col>
      <xdr:colOff>1016021</xdr:colOff>
      <xdr:row>11</xdr:row>
      <xdr:rowOff>0</xdr:rowOff>
    </xdr:to>
    <xdr:pic>
      <xdr:nvPicPr>
        <xdr:cNvPr id="28" name="Picture 27">
          <a:extLst>
            <a:ext uri="{FF2B5EF4-FFF2-40B4-BE49-F238E27FC236}">
              <a16:creationId xmlns:a16="http://schemas.microsoft.com/office/drawing/2014/main" id="{40297F23-4E82-4A68-A1B4-6D91DCBF89F5}"/>
            </a:ext>
          </a:extLst>
        </xdr:cNvPr>
        <xdr:cNvPicPr>
          <a:picLocks noChangeAspect="1"/>
        </xdr:cNvPicPr>
      </xdr:nvPicPr>
      <xdr:blipFill>
        <a:blip xmlns:r="http://schemas.openxmlformats.org/officeDocument/2006/relationships" r:embed="rId13"/>
        <a:stretch>
          <a:fillRect/>
        </a:stretch>
      </xdr:blipFill>
      <xdr:spPr>
        <a:xfrm>
          <a:off x="6323181" y="2262335"/>
          <a:ext cx="206691" cy="203516"/>
        </a:xfrm>
        <a:prstGeom prst="rect">
          <a:avLst/>
        </a:prstGeom>
      </xdr:spPr>
    </xdr:pic>
    <xdr:clientData/>
  </xdr:twoCellAnchor>
  <xdr:twoCellAnchor editAs="oneCell">
    <xdr:from>
      <xdr:col>6</xdr:col>
      <xdr:colOff>159736</xdr:colOff>
      <xdr:row>14</xdr:row>
      <xdr:rowOff>93949</xdr:rowOff>
    </xdr:from>
    <xdr:to>
      <xdr:col>6</xdr:col>
      <xdr:colOff>360077</xdr:colOff>
      <xdr:row>15</xdr:row>
      <xdr:rowOff>127080</xdr:rowOff>
    </xdr:to>
    <xdr:pic>
      <xdr:nvPicPr>
        <xdr:cNvPr id="29" name="Picture 28">
          <a:extLst>
            <a:ext uri="{FF2B5EF4-FFF2-40B4-BE49-F238E27FC236}">
              <a16:creationId xmlns:a16="http://schemas.microsoft.com/office/drawing/2014/main" id="{013A267D-B718-4093-BEEF-D4A4B2D45074}"/>
            </a:ext>
          </a:extLst>
        </xdr:cNvPr>
        <xdr:cNvPicPr>
          <a:picLocks noChangeAspect="1"/>
        </xdr:cNvPicPr>
      </xdr:nvPicPr>
      <xdr:blipFill>
        <a:blip xmlns:r="http://schemas.openxmlformats.org/officeDocument/2006/relationships" r:embed="rId13"/>
        <a:stretch>
          <a:fillRect/>
        </a:stretch>
      </xdr:blipFill>
      <xdr:spPr>
        <a:xfrm>
          <a:off x="2554593" y="3198744"/>
          <a:ext cx="200341" cy="203516"/>
        </a:xfrm>
        <a:prstGeom prst="rect">
          <a:avLst/>
        </a:prstGeom>
      </xdr:spPr>
    </xdr:pic>
    <xdr:clientData/>
  </xdr:twoCellAnchor>
  <xdr:twoCellAnchor editAs="oneCell">
    <xdr:from>
      <xdr:col>7</xdr:col>
      <xdr:colOff>284924</xdr:colOff>
      <xdr:row>14</xdr:row>
      <xdr:rowOff>81406</xdr:rowOff>
    </xdr:from>
    <xdr:to>
      <xdr:col>7</xdr:col>
      <xdr:colOff>474121</xdr:colOff>
      <xdr:row>15</xdr:row>
      <xdr:rowOff>116093</xdr:rowOff>
    </xdr:to>
    <xdr:pic>
      <xdr:nvPicPr>
        <xdr:cNvPr id="30" name="Picture 29">
          <a:extLst>
            <a:ext uri="{FF2B5EF4-FFF2-40B4-BE49-F238E27FC236}">
              <a16:creationId xmlns:a16="http://schemas.microsoft.com/office/drawing/2014/main" id="{23561430-23EF-4B55-8C45-124D5CE219BC}"/>
            </a:ext>
          </a:extLst>
        </xdr:cNvPr>
        <xdr:cNvPicPr>
          <a:picLocks noChangeAspect="1"/>
        </xdr:cNvPicPr>
      </xdr:nvPicPr>
      <xdr:blipFill>
        <a:blip xmlns:r="http://schemas.openxmlformats.org/officeDocument/2006/relationships" r:embed="rId14"/>
        <a:stretch>
          <a:fillRect/>
        </a:stretch>
      </xdr:blipFill>
      <xdr:spPr>
        <a:xfrm>
          <a:off x="3186203" y="3186201"/>
          <a:ext cx="208247" cy="205072"/>
        </a:xfrm>
        <a:prstGeom prst="rect">
          <a:avLst/>
        </a:prstGeom>
      </xdr:spPr>
    </xdr:pic>
    <xdr:clientData/>
  </xdr:twoCellAnchor>
  <xdr:twoCellAnchor editAs="oneCell">
    <xdr:from>
      <xdr:col>7</xdr:col>
      <xdr:colOff>94930</xdr:colOff>
      <xdr:row>14</xdr:row>
      <xdr:rowOff>91212</xdr:rowOff>
    </xdr:from>
    <xdr:to>
      <xdr:col>7</xdr:col>
      <xdr:colOff>291212</xdr:colOff>
      <xdr:row>15</xdr:row>
      <xdr:rowOff>125898</xdr:rowOff>
    </xdr:to>
    <xdr:pic>
      <xdr:nvPicPr>
        <xdr:cNvPr id="31" name="Picture 30">
          <a:extLst>
            <a:ext uri="{FF2B5EF4-FFF2-40B4-BE49-F238E27FC236}">
              <a16:creationId xmlns:a16="http://schemas.microsoft.com/office/drawing/2014/main" id="{6C57E058-06A8-4BD7-B134-38F3F2B10FE6}"/>
            </a:ext>
          </a:extLst>
        </xdr:cNvPr>
        <xdr:cNvPicPr>
          <a:picLocks noChangeAspect="1"/>
        </xdr:cNvPicPr>
      </xdr:nvPicPr>
      <xdr:blipFill>
        <a:blip xmlns:r="http://schemas.openxmlformats.org/officeDocument/2006/relationships" r:embed="rId12"/>
        <a:stretch>
          <a:fillRect/>
        </a:stretch>
      </xdr:blipFill>
      <xdr:spPr>
        <a:xfrm>
          <a:off x="2996209" y="3196007"/>
          <a:ext cx="196282" cy="205071"/>
        </a:xfrm>
        <a:prstGeom prst="rect">
          <a:avLst/>
        </a:prstGeom>
      </xdr:spPr>
    </xdr:pic>
    <xdr:clientData/>
  </xdr:twoCellAnchor>
  <xdr:twoCellAnchor editAs="oneCell">
    <xdr:from>
      <xdr:col>17</xdr:col>
      <xdr:colOff>146519</xdr:colOff>
      <xdr:row>17</xdr:row>
      <xdr:rowOff>59501</xdr:rowOff>
    </xdr:from>
    <xdr:to>
      <xdr:col>17</xdr:col>
      <xdr:colOff>349151</xdr:colOff>
      <xdr:row>18</xdr:row>
      <xdr:rowOff>48415</xdr:rowOff>
    </xdr:to>
    <xdr:pic>
      <xdr:nvPicPr>
        <xdr:cNvPr id="32" name="Picture 31">
          <a:extLst>
            <a:ext uri="{FF2B5EF4-FFF2-40B4-BE49-F238E27FC236}">
              <a16:creationId xmlns:a16="http://schemas.microsoft.com/office/drawing/2014/main" id="{1BEE3D6C-31BE-491C-BDB4-22B042F69392}"/>
            </a:ext>
          </a:extLst>
        </xdr:cNvPr>
        <xdr:cNvPicPr>
          <a:picLocks noChangeAspect="1"/>
        </xdr:cNvPicPr>
      </xdr:nvPicPr>
      <xdr:blipFill>
        <a:blip xmlns:r="http://schemas.openxmlformats.org/officeDocument/2006/relationships" r:embed="rId12"/>
        <a:stretch>
          <a:fillRect/>
        </a:stretch>
      </xdr:blipFill>
      <xdr:spPr>
        <a:xfrm>
          <a:off x="10738319" y="3695330"/>
          <a:ext cx="202632" cy="201185"/>
        </a:xfrm>
        <a:prstGeom prst="rect">
          <a:avLst/>
        </a:prstGeom>
      </xdr:spPr>
    </xdr:pic>
    <xdr:clientData/>
  </xdr:twoCellAnchor>
  <xdr:twoCellAnchor editAs="oneCell">
    <xdr:from>
      <xdr:col>16</xdr:col>
      <xdr:colOff>992256</xdr:colOff>
      <xdr:row>17</xdr:row>
      <xdr:rowOff>61291</xdr:rowOff>
    </xdr:from>
    <xdr:to>
      <xdr:col>17</xdr:col>
      <xdr:colOff>182689</xdr:colOff>
      <xdr:row>18</xdr:row>
      <xdr:rowOff>53381</xdr:rowOff>
    </xdr:to>
    <xdr:pic>
      <xdr:nvPicPr>
        <xdr:cNvPr id="33" name="Picture 32">
          <a:extLst>
            <a:ext uri="{FF2B5EF4-FFF2-40B4-BE49-F238E27FC236}">
              <a16:creationId xmlns:a16="http://schemas.microsoft.com/office/drawing/2014/main" id="{134387FC-13B3-44C1-ADF6-B06CBE3166B5}"/>
            </a:ext>
          </a:extLst>
        </xdr:cNvPr>
        <xdr:cNvPicPr>
          <a:picLocks noChangeAspect="1"/>
        </xdr:cNvPicPr>
      </xdr:nvPicPr>
      <xdr:blipFill>
        <a:blip xmlns:r="http://schemas.openxmlformats.org/officeDocument/2006/relationships" r:embed="rId14"/>
        <a:stretch>
          <a:fillRect/>
        </a:stretch>
      </xdr:blipFill>
      <xdr:spPr>
        <a:xfrm>
          <a:off x="10566242" y="3697120"/>
          <a:ext cx="208247" cy="204361"/>
        </a:xfrm>
        <a:prstGeom prst="rect">
          <a:avLst/>
        </a:prstGeom>
      </xdr:spPr>
    </xdr:pic>
    <xdr:clientData/>
  </xdr:twoCellAnchor>
  <xdr:twoCellAnchor editAs="oneCell">
    <xdr:from>
      <xdr:col>16</xdr:col>
      <xdr:colOff>94186</xdr:colOff>
      <xdr:row>17</xdr:row>
      <xdr:rowOff>28632</xdr:rowOff>
    </xdr:from>
    <xdr:to>
      <xdr:col>16</xdr:col>
      <xdr:colOff>294527</xdr:colOff>
      <xdr:row>18</xdr:row>
      <xdr:rowOff>22341</xdr:rowOff>
    </xdr:to>
    <xdr:pic>
      <xdr:nvPicPr>
        <xdr:cNvPr id="34" name="Picture 33">
          <a:extLst>
            <a:ext uri="{FF2B5EF4-FFF2-40B4-BE49-F238E27FC236}">
              <a16:creationId xmlns:a16="http://schemas.microsoft.com/office/drawing/2014/main" id="{C59C3F5C-B96A-4071-A27B-F5CD8FDC601C}"/>
            </a:ext>
          </a:extLst>
        </xdr:cNvPr>
        <xdr:cNvPicPr>
          <a:picLocks noChangeAspect="1"/>
        </xdr:cNvPicPr>
      </xdr:nvPicPr>
      <xdr:blipFill>
        <a:blip xmlns:r="http://schemas.openxmlformats.org/officeDocument/2006/relationships" r:embed="rId13"/>
        <a:stretch>
          <a:fillRect/>
        </a:stretch>
      </xdr:blipFill>
      <xdr:spPr>
        <a:xfrm>
          <a:off x="9668172" y="3664461"/>
          <a:ext cx="200341" cy="205980"/>
        </a:xfrm>
        <a:prstGeom prst="rect">
          <a:avLst/>
        </a:prstGeom>
      </xdr:spPr>
    </xdr:pic>
    <xdr:clientData/>
  </xdr:twoCellAnchor>
  <xdr:twoCellAnchor editAs="oneCell">
    <xdr:from>
      <xdr:col>4</xdr:col>
      <xdr:colOff>207955</xdr:colOff>
      <xdr:row>15</xdr:row>
      <xdr:rowOff>51158</xdr:rowOff>
    </xdr:from>
    <xdr:to>
      <xdr:col>4</xdr:col>
      <xdr:colOff>378655</xdr:colOff>
      <xdr:row>15</xdr:row>
      <xdr:rowOff>197228</xdr:rowOff>
    </xdr:to>
    <xdr:pic>
      <xdr:nvPicPr>
        <xdr:cNvPr id="35" name="Picture 17">
          <a:extLst>
            <a:ext uri="{FF2B5EF4-FFF2-40B4-BE49-F238E27FC236}">
              <a16:creationId xmlns:a16="http://schemas.microsoft.com/office/drawing/2014/main" id="{B15965E6-4D77-4443-BDDB-6E08F12B715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84998" y="3316872"/>
          <a:ext cx="170700" cy="146070"/>
        </a:xfrm>
        <a:prstGeom prst="rect">
          <a:avLst/>
        </a:prstGeom>
      </xdr:spPr>
    </xdr:pic>
    <xdr:clientData/>
  </xdr:twoCellAnchor>
  <xdr:twoCellAnchor editAs="oneCell">
    <xdr:from>
      <xdr:col>4</xdr:col>
      <xdr:colOff>38516</xdr:colOff>
      <xdr:row>15</xdr:row>
      <xdr:rowOff>14242</xdr:rowOff>
    </xdr:from>
    <xdr:to>
      <xdr:col>4</xdr:col>
      <xdr:colOff>209216</xdr:colOff>
      <xdr:row>15</xdr:row>
      <xdr:rowOff>160312</xdr:rowOff>
    </xdr:to>
    <xdr:pic>
      <xdr:nvPicPr>
        <xdr:cNvPr id="36" name="Picture 17">
          <a:extLst>
            <a:ext uri="{FF2B5EF4-FFF2-40B4-BE49-F238E27FC236}">
              <a16:creationId xmlns:a16="http://schemas.microsoft.com/office/drawing/2014/main" id="{B0524FFC-607F-4499-AF3E-AA7D13E6E76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15559" y="3279956"/>
          <a:ext cx="170700" cy="146070"/>
        </a:xfrm>
        <a:prstGeom prst="rect">
          <a:avLst/>
        </a:prstGeom>
      </xdr:spPr>
    </xdr:pic>
    <xdr:clientData/>
  </xdr:twoCellAnchor>
  <xdr:twoCellAnchor editAs="oneCell">
    <xdr:from>
      <xdr:col>14</xdr:col>
      <xdr:colOff>29690</xdr:colOff>
      <xdr:row>17</xdr:row>
      <xdr:rowOff>186510</xdr:rowOff>
    </xdr:from>
    <xdr:to>
      <xdr:col>14</xdr:col>
      <xdr:colOff>239272</xdr:colOff>
      <xdr:row>19</xdr:row>
      <xdr:rowOff>114373</xdr:rowOff>
    </xdr:to>
    <xdr:pic>
      <xdr:nvPicPr>
        <xdr:cNvPr id="37" name="Picture 22" descr="Related image">
          <a:extLst>
            <a:ext uri="{FF2B5EF4-FFF2-40B4-BE49-F238E27FC236}">
              <a16:creationId xmlns:a16="http://schemas.microsoft.com/office/drawing/2014/main" id="{18412160-9837-4C23-BAE4-19BEC9B580B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7404761" y="3822339"/>
          <a:ext cx="209582" cy="216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1011643</xdr:colOff>
      <xdr:row>11</xdr:row>
      <xdr:rowOff>13345</xdr:rowOff>
    </xdr:from>
    <xdr:to>
      <xdr:col>13</xdr:col>
      <xdr:colOff>1188693</xdr:colOff>
      <xdr:row>11</xdr:row>
      <xdr:rowOff>197001</xdr:rowOff>
    </xdr:to>
    <xdr:pic>
      <xdr:nvPicPr>
        <xdr:cNvPr id="38" name="Picture 21">
          <a:extLst>
            <a:ext uri="{FF2B5EF4-FFF2-40B4-BE49-F238E27FC236}">
              <a16:creationId xmlns:a16="http://schemas.microsoft.com/office/drawing/2014/main" id="{D2C236BE-A4E7-47ED-B219-2942ED54438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508929" y="2473516"/>
          <a:ext cx="177050" cy="183656"/>
        </a:xfrm>
        <a:prstGeom prst="rect">
          <a:avLst/>
        </a:prstGeom>
      </xdr:spPr>
    </xdr:pic>
    <xdr:clientData/>
  </xdr:twoCellAnchor>
  <xdr:twoCellAnchor editAs="oneCell">
    <xdr:from>
      <xdr:col>13</xdr:col>
      <xdr:colOff>1239770</xdr:colOff>
      <xdr:row>11</xdr:row>
      <xdr:rowOff>23758</xdr:rowOff>
    </xdr:from>
    <xdr:to>
      <xdr:col>13</xdr:col>
      <xdr:colOff>1416820</xdr:colOff>
      <xdr:row>11</xdr:row>
      <xdr:rowOff>201064</xdr:rowOff>
    </xdr:to>
    <xdr:pic>
      <xdr:nvPicPr>
        <xdr:cNvPr id="39" name="Picture 21">
          <a:extLst>
            <a:ext uri="{FF2B5EF4-FFF2-40B4-BE49-F238E27FC236}">
              <a16:creationId xmlns:a16="http://schemas.microsoft.com/office/drawing/2014/main" id="{72D30C4E-5B90-4F65-AC0F-9D87F16D4C7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37056" y="2483929"/>
          <a:ext cx="177050" cy="177306"/>
        </a:xfrm>
        <a:prstGeom prst="rect">
          <a:avLst/>
        </a:prstGeom>
      </xdr:spPr>
    </xdr:pic>
    <xdr:clientData/>
  </xdr:twoCellAnchor>
  <xdr:twoCellAnchor editAs="oneCell">
    <xdr:from>
      <xdr:col>13</xdr:col>
      <xdr:colOff>1783210</xdr:colOff>
      <xdr:row>16</xdr:row>
      <xdr:rowOff>149058</xdr:rowOff>
    </xdr:from>
    <xdr:to>
      <xdr:col>14</xdr:col>
      <xdr:colOff>210794</xdr:colOff>
      <xdr:row>18</xdr:row>
      <xdr:rowOff>974</xdr:rowOff>
    </xdr:to>
    <xdr:pic>
      <xdr:nvPicPr>
        <xdr:cNvPr id="40" name="Picture 22" descr="Related image">
          <a:extLst>
            <a:ext uri="{FF2B5EF4-FFF2-40B4-BE49-F238E27FC236}">
              <a16:creationId xmlns:a16="http://schemas.microsoft.com/office/drawing/2014/main" id="{E32DCF11-5B49-4C01-A3EB-BF527AF81D98}"/>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7280496" y="3616935"/>
          <a:ext cx="309257" cy="2115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345703</xdr:colOff>
      <xdr:row>15</xdr:row>
      <xdr:rowOff>55626</xdr:rowOff>
    </xdr:from>
    <xdr:to>
      <xdr:col>5</xdr:col>
      <xdr:colOff>31099</xdr:colOff>
      <xdr:row>15</xdr:row>
      <xdr:rowOff>201696</xdr:rowOff>
    </xdr:to>
    <xdr:pic>
      <xdr:nvPicPr>
        <xdr:cNvPr id="41" name="Picture 17">
          <a:extLst>
            <a:ext uri="{FF2B5EF4-FFF2-40B4-BE49-F238E27FC236}">
              <a16:creationId xmlns:a16="http://schemas.microsoft.com/office/drawing/2014/main" id="{8C84C20F-B366-4646-9966-80DFD695518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722746" y="3321340"/>
          <a:ext cx="191582" cy="146070"/>
        </a:xfrm>
        <a:prstGeom prst="rect">
          <a:avLst/>
        </a:prstGeom>
      </xdr:spPr>
    </xdr:pic>
    <xdr:clientData/>
  </xdr:twoCellAnchor>
  <xdr:twoCellAnchor editAs="oneCell">
    <xdr:from>
      <xdr:col>8</xdr:col>
      <xdr:colOff>85776</xdr:colOff>
      <xdr:row>15</xdr:row>
      <xdr:rowOff>183343</xdr:rowOff>
    </xdr:from>
    <xdr:to>
      <xdr:col>8</xdr:col>
      <xdr:colOff>173765</xdr:colOff>
      <xdr:row>16</xdr:row>
      <xdr:rowOff>108316</xdr:rowOff>
    </xdr:to>
    <xdr:pic>
      <xdr:nvPicPr>
        <xdr:cNvPr id="42" name="Picture 17">
          <a:extLst>
            <a:ext uri="{FF2B5EF4-FFF2-40B4-BE49-F238E27FC236}">
              <a16:creationId xmlns:a16="http://schemas.microsoft.com/office/drawing/2014/main" id="{7AD822D2-04F1-4DEB-A255-248DB9D53969}"/>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r="48454" b="2315"/>
        <a:stretch/>
      </xdr:blipFill>
      <xdr:spPr>
        <a:xfrm>
          <a:off x="3493478" y="3458523"/>
          <a:ext cx="87989" cy="142688"/>
        </a:xfrm>
        <a:prstGeom prst="rect">
          <a:avLst/>
        </a:prstGeom>
      </xdr:spPr>
    </xdr:pic>
    <xdr:clientData/>
  </xdr:twoCellAnchor>
  <xdr:twoCellAnchor editAs="oneCell">
    <xdr:from>
      <xdr:col>13</xdr:col>
      <xdr:colOff>780975</xdr:colOff>
      <xdr:row>9</xdr:row>
      <xdr:rowOff>9576</xdr:rowOff>
    </xdr:from>
    <xdr:to>
      <xdr:col>13</xdr:col>
      <xdr:colOff>868964</xdr:colOff>
      <xdr:row>9</xdr:row>
      <xdr:rowOff>152264</xdr:rowOff>
    </xdr:to>
    <xdr:pic>
      <xdr:nvPicPr>
        <xdr:cNvPr id="43" name="Picture 17">
          <a:extLst>
            <a:ext uri="{FF2B5EF4-FFF2-40B4-BE49-F238E27FC236}">
              <a16:creationId xmlns:a16="http://schemas.microsoft.com/office/drawing/2014/main" id="{627FCD43-AD83-4844-B0CE-CBC871DE02F3}"/>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r="48454" b="2315"/>
        <a:stretch/>
      </xdr:blipFill>
      <xdr:spPr>
        <a:xfrm>
          <a:off x="6294826" y="2049464"/>
          <a:ext cx="87989" cy="142688"/>
        </a:xfrm>
        <a:prstGeom prst="rect">
          <a:avLst/>
        </a:prstGeom>
      </xdr:spPr>
    </xdr:pic>
    <xdr:clientData/>
  </xdr:twoCellAnchor>
  <xdr:twoCellAnchor editAs="oneCell">
    <xdr:from>
      <xdr:col>18</xdr:col>
      <xdr:colOff>900405</xdr:colOff>
      <xdr:row>17</xdr:row>
      <xdr:rowOff>125962</xdr:rowOff>
    </xdr:from>
    <xdr:to>
      <xdr:col>18</xdr:col>
      <xdr:colOff>988394</xdr:colOff>
      <xdr:row>18</xdr:row>
      <xdr:rowOff>57157</xdr:rowOff>
    </xdr:to>
    <xdr:pic>
      <xdr:nvPicPr>
        <xdr:cNvPr id="44" name="Picture 17">
          <a:extLst>
            <a:ext uri="{FF2B5EF4-FFF2-40B4-BE49-F238E27FC236}">
              <a16:creationId xmlns:a16="http://schemas.microsoft.com/office/drawing/2014/main" id="{393274F7-1220-4A4E-A336-31F42610C278}"/>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r="48454" b="2315"/>
        <a:stretch/>
      </xdr:blipFill>
      <xdr:spPr>
        <a:xfrm>
          <a:off x="12447038" y="3749349"/>
          <a:ext cx="87989" cy="141135"/>
        </a:xfrm>
        <a:prstGeom prst="rect">
          <a:avLst/>
        </a:prstGeom>
      </xdr:spPr>
    </xdr:pic>
    <xdr:clientData/>
  </xdr:twoCellAnchor>
  <xdr:twoCellAnchor editAs="oneCell">
    <xdr:from>
      <xdr:col>5</xdr:col>
      <xdr:colOff>295471</xdr:colOff>
      <xdr:row>14</xdr:row>
      <xdr:rowOff>85532</xdr:rowOff>
    </xdr:from>
    <xdr:to>
      <xdr:col>6</xdr:col>
      <xdr:colOff>4084</xdr:colOff>
      <xdr:row>15</xdr:row>
      <xdr:rowOff>108858</xdr:rowOff>
    </xdr:to>
    <xdr:pic>
      <xdr:nvPicPr>
        <xdr:cNvPr id="50" name="Picture 49">
          <a:extLst>
            <a:ext uri="{FF2B5EF4-FFF2-40B4-BE49-F238E27FC236}">
              <a16:creationId xmlns:a16="http://schemas.microsoft.com/office/drawing/2014/main" id="{21694CA5-E673-9CB0-D935-4B4685B1D83D}"/>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177144" y="3164633"/>
          <a:ext cx="194388" cy="194388"/>
        </a:xfrm>
        <a:prstGeom prst="rect">
          <a:avLst/>
        </a:prstGeom>
      </xdr:spPr>
    </xdr:pic>
    <xdr:clientData/>
  </xdr:twoCellAnchor>
  <xdr:twoCellAnchor editAs="oneCell">
    <xdr:from>
      <xdr:col>13</xdr:col>
      <xdr:colOff>968830</xdr:colOff>
      <xdr:row>7</xdr:row>
      <xdr:rowOff>191279</xdr:rowOff>
    </xdr:from>
    <xdr:to>
      <xdr:col>13</xdr:col>
      <xdr:colOff>1163218</xdr:colOff>
      <xdr:row>8</xdr:row>
      <xdr:rowOff>175727</xdr:rowOff>
    </xdr:to>
    <xdr:pic>
      <xdr:nvPicPr>
        <xdr:cNvPr id="51" name="Picture 50">
          <a:extLst>
            <a:ext uri="{FF2B5EF4-FFF2-40B4-BE49-F238E27FC236}">
              <a16:creationId xmlns:a16="http://schemas.microsoft.com/office/drawing/2014/main" id="{DE915CDC-617D-49DE-B0AB-C2BD163F088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6466116" y="1800809"/>
          <a:ext cx="194388" cy="194388"/>
        </a:xfrm>
        <a:prstGeom prst="rect">
          <a:avLst/>
        </a:prstGeom>
      </xdr:spPr>
    </xdr:pic>
    <xdr:clientData/>
  </xdr:twoCellAnchor>
  <xdr:twoCellAnchor editAs="oneCell">
    <xdr:from>
      <xdr:col>4</xdr:col>
      <xdr:colOff>492843</xdr:colOff>
      <xdr:row>14</xdr:row>
      <xdr:rowOff>80542</xdr:rowOff>
    </xdr:from>
    <xdr:to>
      <xdr:col>5</xdr:col>
      <xdr:colOff>369793</xdr:colOff>
      <xdr:row>16</xdr:row>
      <xdr:rowOff>67163</xdr:rowOff>
    </xdr:to>
    <xdr:pic>
      <xdr:nvPicPr>
        <xdr:cNvPr id="52" name="Picture 51" descr="Squash Racquet Icons - Free SVG &amp; PNG Squash Racquet Images ...">
          <a:extLst>
            <a:ext uri="{FF2B5EF4-FFF2-40B4-BE49-F238E27FC236}">
              <a16:creationId xmlns:a16="http://schemas.microsoft.com/office/drawing/2014/main" id="{8DCDA924-A2C9-48B4-990F-02AD458F1E2E}"/>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rot="2398059">
          <a:off x="1869109" y="3159643"/>
          <a:ext cx="382357" cy="3753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653020</xdr:colOff>
      <xdr:row>7</xdr:row>
      <xdr:rowOff>139634</xdr:rowOff>
    </xdr:from>
    <xdr:to>
      <xdr:col>13</xdr:col>
      <xdr:colOff>1035377</xdr:colOff>
      <xdr:row>9</xdr:row>
      <xdr:rowOff>95152</xdr:rowOff>
    </xdr:to>
    <xdr:pic>
      <xdr:nvPicPr>
        <xdr:cNvPr id="53" name="Picture 52" descr="Squash Racquet Icons - Free SVG &amp; PNG Squash Racquet Images ...">
          <a:extLst>
            <a:ext uri="{FF2B5EF4-FFF2-40B4-BE49-F238E27FC236}">
              <a16:creationId xmlns:a16="http://schemas.microsoft.com/office/drawing/2014/main" id="{DA37D3C1-E5AC-47C0-830F-95A63C1ED279}"/>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rot="2398059">
          <a:off x="6150306" y="1749164"/>
          <a:ext cx="382357" cy="3753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79312</xdr:colOff>
      <xdr:row>17</xdr:row>
      <xdr:rowOff>32659</xdr:rowOff>
    </xdr:from>
    <xdr:to>
      <xdr:col>15</xdr:col>
      <xdr:colOff>273700</xdr:colOff>
      <xdr:row>18</xdr:row>
      <xdr:rowOff>17107</xdr:rowOff>
    </xdr:to>
    <xdr:pic>
      <xdr:nvPicPr>
        <xdr:cNvPr id="54" name="Picture 53">
          <a:extLst>
            <a:ext uri="{FF2B5EF4-FFF2-40B4-BE49-F238E27FC236}">
              <a16:creationId xmlns:a16="http://schemas.microsoft.com/office/drawing/2014/main" id="{DE703678-A814-4109-8969-E88F91354D8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8640149" y="3656046"/>
          <a:ext cx="194388" cy="194388"/>
        </a:xfrm>
        <a:prstGeom prst="rect">
          <a:avLst/>
        </a:prstGeom>
      </xdr:spPr>
    </xdr:pic>
    <xdr:clientData/>
  </xdr:twoCellAnchor>
  <xdr:twoCellAnchor editAs="oneCell">
    <xdr:from>
      <xdr:col>13</xdr:col>
      <xdr:colOff>1457484</xdr:colOff>
      <xdr:row>11</xdr:row>
      <xdr:rowOff>26868</xdr:rowOff>
    </xdr:from>
    <xdr:to>
      <xdr:col>13</xdr:col>
      <xdr:colOff>1634534</xdr:colOff>
      <xdr:row>12</xdr:row>
      <xdr:rowOff>67</xdr:rowOff>
    </xdr:to>
    <xdr:pic>
      <xdr:nvPicPr>
        <xdr:cNvPr id="55" name="Picture 21">
          <a:extLst>
            <a:ext uri="{FF2B5EF4-FFF2-40B4-BE49-F238E27FC236}">
              <a16:creationId xmlns:a16="http://schemas.microsoft.com/office/drawing/2014/main" id="{C3DD1E38-C8D3-4E47-BD3A-CC14EB63215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54770" y="2476154"/>
          <a:ext cx="177050" cy="177306"/>
        </a:xfrm>
        <a:prstGeom prst="rect">
          <a:avLst/>
        </a:prstGeom>
      </xdr:spPr>
    </xdr:pic>
    <xdr:clientData/>
  </xdr:twoCellAnchor>
  <xdr:twoCellAnchor editAs="oneCell">
    <xdr:from>
      <xdr:col>7</xdr:col>
      <xdr:colOff>165652</xdr:colOff>
      <xdr:row>15</xdr:row>
      <xdr:rowOff>184585</xdr:rowOff>
    </xdr:from>
    <xdr:to>
      <xdr:col>7</xdr:col>
      <xdr:colOff>430697</xdr:colOff>
      <xdr:row>16</xdr:row>
      <xdr:rowOff>115586</xdr:rowOff>
    </xdr:to>
    <xdr:pic>
      <xdr:nvPicPr>
        <xdr:cNvPr id="49" name="Picture 48" descr="Accenture Logo, symbol, meaning, history, PNG, brand">
          <a:extLst>
            <a:ext uri="{FF2B5EF4-FFF2-40B4-BE49-F238E27FC236}">
              <a16:creationId xmlns:a16="http://schemas.microsoft.com/office/drawing/2014/main" id="{171426F6-ABE6-B692-6448-9A6082C757CE}"/>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3066931" y="3459765"/>
          <a:ext cx="265045" cy="1487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141988</xdr:colOff>
      <xdr:row>14</xdr:row>
      <xdr:rowOff>99391</xdr:rowOff>
    </xdr:from>
    <xdr:to>
      <xdr:col>8</xdr:col>
      <xdr:colOff>321839</xdr:colOff>
      <xdr:row>15</xdr:row>
      <xdr:rowOff>108857</xdr:rowOff>
    </xdr:to>
    <xdr:pic>
      <xdr:nvPicPr>
        <xdr:cNvPr id="56" name="Picture 55" descr="A black background with a black square&#10;&#10;Description automatically generated with medium confidence">
          <a:extLst>
            <a:ext uri="{FF2B5EF4-FFF2-40B4-BE49-F238E27FC236}">
              <a16:creationId xmlns:a16="http://schemas.microsoft.com/office/drawing/2014/main" id="{C4EC00E2-6204-01B6-89D5-F69FF1B2F7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549690" y="3204186"/>
          <a:ext cx="179851" cy="179851"/>
        </a:xfrm>
        <a:prstGeom prst="rect">
          <a:avLst/>
        </a:prstGeom>
      </xdr:spPr>
    </xdr:pic>
    <xdr:clientData/>
  </xdr:twoCellAnchor>
  <xdr:twoCellAnchor editAs="oneCell">
    <xdr:from>
      <xdr:col>13</xdr:col>
      <xdr:colOff>564163</xdr:colOff>
      <xdr:row>7</xdr:row>
      <xdr:rowOff>15147</xdr:rowOff>
    </xdr:from>
    <xdr:to>
      <xdr:col>13</xdr:col>
      <xdr:colOff>829208</xdr:colOff>
      <xdr:row>7</xdr:row>
      <xdr:rowOff>163863</xdr:rowOff>
    </xdr:to>
    <xdr:pic>
      <xdr:nvPicPr>
        <xdr:cNvPr id="57" name="Picture 56" descr="Accenture Logo, symbol, meaning, history, PNG, brand">
          <a:extLst>
            <a:ext uri="{FF2B5EF4-FFF2-40B4-BE49-F238E27FC236}">
              <a16:creationId xmlns:a16="http://schemas.microsoft.com/office/drawing/2014/main" id="{8E102D71-B5F2-4A99-8E32-344A72999B98}"/>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6078014" y="1633805"/>
          <a:ext cx="265045" cy="1487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948479</xdr:colOff>
      <xdr:row>6</xdr:row>
      <xdr:rowOff>177011</xdr:rowOff>
    </xdr:from>
    <xdr:to>
      <xdr:col>13</xdr:col>
      <xdr:colOff>1156726</xdr:colOff>
      <xdr:row>7</xdr:row>
      <xdr:rowOff>169102</xdr:rowOff>
    </xdr:to>
    <xdr:pic>
      <xdr:nvPicPr>
        <xdr:cNvPr id="58" name="Picture 57">
          <a:extLst>
            <a:ext uri="{FF2B5EF4-FFF2-40B4-BE49-F238E27FC236}">
              <a16:creationId xmlns:a16="http://schemas.microsoft.com/office/drawing/2014/main" id="{33DC6CCF-63D7-4117-8E80-4042F4794D53}"/>
            </a:ext>
          </a:extLst>
        </xdr:cNvPr>
        <xdr:cNvPicPr>
          <a:picLocks noChangeAspect="1"/>
        </xdr:cNvPicPr>
      </xdr:nvPicPr>
      <xdr:blipFill>
        <a:blip xmlns:r="http://schemas.openxmlformats.org/officeDocument/2006/relationships" r:embed="rId14"/>
        <a:stretch>
          <a:fillRect/>
        </a:stretch>
      </xdr:blipFill>
      <xdr:spPr>
        <a:xfrm>
          <a:off x="6462330" y="1582688"/>
          <a:ext cx="208247" cy="205072"/>
        </a:xfrm>
        <a:prstGeom prst="rect">
          <a:avLst/>
        </a:prstGeom>
      </xdr:spPr>
    </xdr:pic>
    <xdr:clientData/>
  </xdr:twoCellAnchor>
  <xdr:twoCellAnchor editAs="oneCell">
    <xdr:from>
      <xdr:col>13</xdr:col>
      <xdr:colOff>890736</xdr:colOff>
      <xdr:row>9</xdr:row>
      <xdr:rowOff>5679</xdr:rowOff>
    </xdr:from>
    <xdr:to>
      <xdr:col>13</xdr:col>
      <xdr:colOff>1070587</xdr:colOff>
      <xdr:row>9</xdr:row>
      <xdr:rowOff>185530</xdr:rowOff>
    </xdr:to>
    <xdr:pic>
      <xdr:nvPicPr>
        <xdr:cNvPr id="59" name="Picture 58" descr="A black background with a black square&#10;&#10;Description automatically generated with medium confidence">
          <a:extLst>
            <a:ext uri="{FF2B5EF4-FFF2-40B4-BE49-F238E27FC236}">
              <a16:creationId xmlns:a16="http://schemas.microsoft.com/office/drawing/2014/main" id="{95F17C68-ECA0-4E9A-8F68-BF1E400408E3}"/>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404587" y="2045567"/>
          <a:ext cx="179851" cy="179851"/>
        </a:xfrm>
        <a:prstGeom prst="rect">
          <a:avLst/>
        </a:prstGeom>
      </xdr:spPr>
    </xdr:pic>
    <xdr:clientData/>
  </xdr:twoCellAnchor>
  <xdr:twoCellAnchor editAs="oneCell">
    <xdr:from>
      <xdr:col>17</xdr:col>
      <xdr:colOff>650302</xdr:colOff>
      <xdr:row>17</xdr:row>
      <xdr:rowOff>41651</xdr:rowOff>
    </xdr:from>
    <xdr:to>
      <xdr:col>17</xdr:col>
      <xdr:colOff>915347</xdr:colOff>
      <xdr:row>17</xdr:row>
      <xdr:rowOff>190367</xdr:rowOff>
    </xdr:to>
    <xdr:pic>
      <xdr:nvPicPr>
        <xdr:cNvPr id="11" name="Picture 10" descr="Accenture Logo, symbol, meaning, history, PNG, brand">
          <a:extLst>
            <a:ext uri="{FF2B5EF4-FFF2-40B4-BE49-F238E27FC236}">
              <a16:creationId xmlns:a16="http://schemas.microsoft.com/office/drawing/2014/main" id="{C10C21E6-9CD6-4FBD-A7F1-9EE5EBE0EF85}"/>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1242102" y="3677480"/>
          <a:ext cx="265045" cy="1487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245876</xdr:colOff>
      <xdr:row>17</xdr:row>
      <xdr:rowOff>36442</xdr:rowOff>
    </xdr:from>
    <xdr:to>
      <xdr:col>18</xdr:col>
      <xdr:colOff>425727</xdr:colOff>
      <xdr:row>18</xdr:row>
      <xdr:rowOff>2365</xdr:rowOff>
    </xdr:to>
    <xdr:pic>
      <xdr:nvPicPr>
        <xdr:cNvPr id="14" name="Picture 13" descr="A black background with a black square&#10;&#10;Description automatically generated with medium confidence">
          <a:extLst>
            <a:ext uri="{FF2B5EF4-FFF2-40B4-BE49-F238E27FC236}">
              <a16:creationId xmlns:a16="http://schemas.microsoft.com/office/drawing/2014/main" id="{00E96154-831D-4F6A-8755-6713BF6719C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1784733" y="3672271"/>
          <a:ext cx="179851" cy="17819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19</xdr:col>
      <xdr:colOff>918882</xdr:colOff>
      <xdr:row>17</xdr:row>
      <xdr:rowOff>33619</xdr:rowOff>
    </xdr:from>
    <xdr:to>
      <xdr:col>19</xdr:col>
      <xdr:colOff>1278713</xdr:colOff>
      <xdr:row>18</xdr:row>
      <xdr:rowOff>30443</xdr:rowOff>
    </xdr:to>
    <xdr:pic>
      <xdr:nvPicPr>
        <xdr:cNvPr id="2" name="Picture 1">
          <a:extLst>
            <a:ext uri="{FF2B5EF4-FFF2-40B4-BE49-F238E27FC236}">
              <a16:creationId xmlns:a16="http://schemas.microsoft.com/office/drawing/2014/main" id="{C6C8BE9C-F936-4079-B7F9-4AF095FF0DAC}"/>
            </a:ext>
          </a:extLst>
        </xdr:cNvPr>
        <xdr:cNvPicPr>
          <a:picLocks noChangeAspect="1"/>
        </xdr:cNvPicPr>
      </xdr:nvPicPr>
      <xdr:blipFill>
        <a:blip xmlns:r="http://schemas.openxmlformats.org/officeDocument/2006/relationships" r:embed="rId1"/>
        <a:stretch>
          <a:fillRect/>
        </a:stretch>
      </xdr:blipFill>
      <xdr:spPr>
        <a:xfrm>
          <a:off x="13475553" y="3669448"/>
          <a:ext cx="359831" cy="212270"/>
        </a:xfrm>
        <a:prstGeom prst="rect">
          <a:avLst/>
        </a:prstGeom>
      </xdr:spPr>
    </xdr:pic>
    <xdr:clientData/>
  </xdr:twoCellAnchor>
  <xdr:twoCellAnchor editAs="oneCell">
    <xdr:from>
      <xdr:col>18</xdr:col>
      <xdr:colOff>736535</xdr:colOff>
      <xdr:row>17</xdr:row>
      <xdr:rowOff>12946</xdr:rowOff>
    </xdr:from>
    <xdr:to>
      <xdr:col>18</xdr:col>
      <xdr:colOff>973502</xdr:colOff>
      <xdr:row>18</xdr:row>
      <xdr:rowOff>28771</xdr:rowOff>
    </xdr:to>
    <xdr:pic>
      <xdr:nvPicPr>
        <xdr:cNvPr id="3" name="Picture 2">
          <a:extLst>
            <a:ext uri="{FF2B5EF4-FFF2-40B4-BE49-F238E27FC236}">
              <a16:creationId xmlns:a16="http://schemas.microsoft.com/office/drawing/2014/main" id="{2BB16032-21F5-41D7-9BF8-396C43E28DF3}"/>
            </a:ext>
          </a:extLst>
        </xdr:cNvPr>
        <xdr:cNvPicPr>
          <a:picLocks noChangeAspect="1"/>
        </xdr:cNvPicPr>
      </xdr:nvPicPr>
      <xdr:blipFill>
        <a:blip xmlns:r="http://schemas.openxmlformats.org/officeDocument/2006/relationships" r:embed="rId2"/>
        <a:stretch>
          <a:fillRect/>
        </a:stretch>
      </xdr:blipFill>
      <xdr:spPr>
        <a:xfrm>
          <a:off x="12280125" y="3657294"/>
          <a:ext cx="236967" cy="231982"/>
        </a:xfrm>
        <a:prstGeom prst="rect">
          <a:avLst/>
        </a:prstGeom>
      </xdr:spPr>
    </xdr:pic>
    <xdr:clientData/>
  </xdr:twoCellAnchor>
  <xdr:twoCellAnchor>
    <xdr:from>
      <xdr:col>15</xdr:col>
      <xdr:colOff>660038</xdr:colOff>
      <xdr:row>17</xdr:row>
      <xdr:rowOff>30696</xdr:rowOff>
    </xdr:from>
    <xdr:to>
      <xdr:col>15</xdr:col>
      <xdr:colOff>900369</xdr:colOff>
      <xdr:row>18</xdr:row>
      <xdr:rowOff>57979</xdr:rowOff>
    </xdr:to>
    <xdr:pic>
      <xdr:nvPicPr>
        <xdr:cNvPr id="5" name="Picture 1" descr="https://static.thenounproject.com/png/200330-200.png">
          <a:extLst>
            <a:ext uri="{FF2B5EF4-FFF2-40B4-BE49-F238E27FC236}">
              <a16:creationId xmlns:a16="http://schemas.microsoft.com/office/drawing/2014/main" id="{B1D28A1C-4BAD-4B61-8C8E-B532C94E9BF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216209" y="3666525"/>
          <a:ext cx="240331" cy="2395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556248</xdr:colOff>
      <xdr:row>17</xdr:row>
      <xdr:rowOff>122170</xdr:rowOff>
    </xdr:from>
    <xdr:to>
      <xdr:col>17</xdr:col>
      <xdr:colOff>855072</xdr:colOff>
      <xdr:row>18</xdr:row>
      <xdr:rowOff>53976</xdr:rowOff>
    </xdr:to>
    <xdr:pic>
      <xdr:nvPicPr>
        <xdr:cNvPr id="6" name="Picture 7">
          <a:extLst>
            <a:ext uri="{FF2B5EF4-FFF2-40B4-BE49-F238E27FC236}">
              <a16:creationId xmlns:a16="http://schemas.microsoft.com/office/drawing/2014/main" id="{68C4F200-108E-4772-A701-759E05BAD07F}"/>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28696" b="26957"/>
        <a:stretch/>
      </xdr:blipFill>
      <xdr:spPr>
        <a:xfrm rot="19111093">
          <a:off x="11148048" y="3757999"/>
          <a:ext cx="298824" cy="137727"/>
        </a:xfrm>
        <a:prstGeom prst="rect">
          <a:avLst/>
        </a:prstGeom>
      </xdr:spPr>
    </xdr:pic>
    <xdr:clientData/>
  </xdr:twoCellAnchor>
  <xdr:twoCellAnchor editAs="oneCell">
    <xdr:from>
      <xdr:col>16</xdr:col>
      <xdr:colOff>704022</xdr:colOff>
      <xdr:row>17</xdr:row>
      <xdr:rowOff>36944</xdr:rowOff>
    </xdr:from>
    <xdr:to>
      <xdr:col>16</xdr:col>
      <xdr:colOff>945014</xdr:colOff>
      <xdr:row>19</xdr:row>
      <xdr:rowOff>1211</xdr:rowOff>
    </xdr:to>
    <xdr:pic>
      <xdr:nvPicPr>
        <xdr:cNvPr id="7" name="Picture 8">
          <a:extLst>
            <a:ext uri="{FF2B5EF4-FFF2-40B4-BE49-F238E27FC236}">
              <a16:creationId xmlns:a16="http://schemas.microsoft.com/office/drawing/2014/main" id="{9C2226AE-2841-47C8-972A-FE6FC44304B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278008" y="3672773"/>
          <a:ext cx="240992" cy="239585"/>
        </a:xfrm>
        <a:prstGeom prst="rect">
          <a:avLst/>
        </a:prstGeom>
      </xdr:spPr>
    </xdr:pic>
    <xdr:clientData/>
  </xdr:twoCellAnchor>
  <xdr:twoCellAnchor editAs="oneCell">
    <xdr:from>
      <xdr:col>13</xdr:col>
      <xdr:colOff>605426</xdr:colOff>
      <xdr:row>10</xdr:row>
      <xdr:rowOff>20379</xdr:rowOff>
    </xdr:from>
    <xdr:to>
      <xdr:col>13</xdr:col>
      <xdr:colOff>792751</xdr:colOff>
      <xdr:row>11</xdr:row>
      <xdr:rowOff>1545</xdr:rowOff>
    </xdr:to>
    <xdr:pic>
      <xdr:nvPicPr>
        <xdr:cNvPr id="8" name="Picture 9">
          <a:extLst>
            <a:ext uri="{FF2B5EF4-FFF2-40B4-BE49-F238E27FC236}">
              <a16:creationId xmlns:a16="http://schemas.microsoft.com/office/drawing/2014/main" id="{2E230CD8-2C91-4902-A187-0E2C987E7D9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102712" y="2268279"/>
          <a:ext cx="190500" cy="193437"/>
        </a:xfrm>
        <a:prstGeom prst="rect">
          <a:avLst/>
        </a:prstGeom>
      </xdr:spPr>
    </xdr:pic>
    <xdr:clientData/>
  </xdr:twoCellAnchor>
  <xdr:twoCellAnchor editAs="oneCell">
    <xdr:from>
      <xdr:col>13</xdr:col>
      <xdr:colOff>542982</xdr:colOff>
      <xdr:row>12</xdr:row>
      <xdr:rowOff>24848</xdr:rowOff>
    </xdr:from>
    <xdr:to>
      <xdr:col>13</xdr:col>
      <xdr:colOff>836148</xdr:colOff>
      <xdr:row>13</xdr:row>
      <xdr:rowOff>881</xdr:rowOff>
    </xdr:to>
    <xdr:pic>
      <xdr:nvPicPr>
        <xdr:cNvPr id="9" name="Picture 10">
          <a:extLst>
            <a:ext uri="{FF2B5EF4-FFF2-40B4-BE49-F238E27FC236}">
              <a16:creationId xmlns:a16="http://schemas.microsoft.com/office/drawing/2014/main" id="{22D80406-0827-40B3-9CB9-2B7C044CC72E}"/>
            </a:ext>
          </a:extLst>
        </xdr:cNvPr>
        <xdr:cNvPicPr>
          <a:picLocks noChangeAspect="1"/>
        </xdr:cNvPicPr>
      </xdr:nvPicPr>
      <xdr:blipFill>
        <a:blip xmlns:r="http://schemas.openxmlformats.org/officeDocument/2006/relationships" r:embed="rId1"/>
        <a:stretch>
          <a:fillRect/>
        </a:stretch>
      </xdr:blipFill>
      <xdr:spPr>
        <a:xfrm>
          <a:off x="6040268" y="2697291"/>
          <a:ext cx="286816" cy="176058"/>
        </a:xfrm>
        <a:prstGeom prst="rect">
          <a:avLst/>
        </a:prstGeom>
      </xdr:spPr>
    </xdr:pic>
    <xdr:clientData/>
  </xdr:twoCellAnchor>
  <xdr:twoCellAnchor editAs="oneCell">
    <xdr:from>
      <xdr:col>13</xdr:col>
      <xdr:colOff>619390</xdr:colOff>
      <xdr:row>11</xdr:row>
      <xdr:rowOff>29052</xdr:rowOff>
    </xdr:from>
    <xdr:to>
      <xdr:col>13</xdr:col>
      <xdr:colOff>793265</xdr:colOff>
      <xdr:row>12</xdr:row>
      <xdr:rowOff>1995</xdr:rowOff>
    </xdr:to>
    <xdr:pic>
      <xdr:nvPicPr>
        <xdr:cNvPr id="10" name="Picture 11">
          <a:extLst>
            <a:ext uri="{FF2B5EF4-FFF2-40B4-BE49-F238E27FC236}">
              <a16:creationId xmlns:a16="http://schemas.microsoft.com/office/drawing/2014/main" id="{AC82D20F-C95A-44CE-AEC5-ED7ED60B6CE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116676" y="2489223"/>
          <a:ext cx="170700" cy="170700"/>
        </a:xfrm>
        <a:prstGeom prst="rect">
          <a:avLst/>
        </a:prstGeom>
      </xdr:spPr>
    </xdr:pic>
    <xdr:clientData/>
  </xdr:twoCellAnchor>
  <xdr:twoCellAnchor editAs="oneCell">
    <xdr:from>
      <xdr:col>13</xdr:col>
      <xdr:colOff>595830</xdr:colOff>
      <xdr:row>9</xdr:row>
      <xdr:rowOff>21225</xdr:rowOff>
    </xdr:from>
    <xdr:to>
      <xdr:col>13</xdr:col>
      <xdr:colOff>778994</xdr:colOff>
      <xdr:row>9</xdr:row>
      <xdr:rowOff>183701</xdr:rowOff>
    </xdr:to>
    <xdr:pic>
      <xdr:nvPicPr>
        <xdr:cNvPr id="11" name="Picture 12">
          <a:extLst>
            <a:ext uri="{FF2B5EF4-FFF2-40B4-BE49-F238E27FC236}">
              <a16:creationId xmlns:a16="http://schemas.microsoft.com/office/drawing/2014/main" id="{C27D2340-ABC6-48B8-9A01-6FA0E619DB60}"/>
            </a:ext>
          </a:extLst>
        </xdr:cNvPr>
        <xdr:cNvPicPr>
          <a:picLocks noChangeAspect="1"/>
        </xdr:cNvPicPr>
      </xdr:nvPicPr>
      <xdr:blipFill>
        <a:blip xmlns:r="http://schemas.openxmlformats.org/officeDocument/2006/relationships" r:embed="rId2"/>
        <a:stretch>
          <a:fillRect/>
        </a:stretch>
      </xdr:blipFill>
      <xdr:spPr>
        <a:xfrm>
          <a:off x="6093116" y="2056854"/>
          <a:ext cx="173639" cy="165651"/>
        </a:xfrm>
        <a:prstGeom prst="rect">
          <a:avLst/>
        </a:prstGeom>
      </xdr:spPr>
    </xdr:pic>
    <xdr:clientData/>
  </xdr:twoCellAnchor>
  <xdr:twoCellAnchor editAs="oneCell">
    <xdr:from>
      <xdr:col>13</xdr:col>
      <xdr:colOff>556248</xdr:colOff>
      <xdr:row>7</xdr:row>
      <xdr:rowOff>47626</xdr:rowOff>
    </xdr:from>
    <xdr:to>
      <xdr:col>13</xdr:col>
      <xdr:colOff>855072</xdr:colOff>
      <xdr:row>7</xdr:row>
      <xdr:rowOff>183323</xdr:rowOff>
    </xdr:to>
    <xdr:pic>
      <xdr:nvPicPr>
        <xdr:cNvPr id="12" name="Picture 13">
          <a:extLst>
            <a:ext uri="{FF2B5EF4-FFF2-40B4-BE49-F238E27FC236}">
              <a16:creationId xmlns:a16="http://schemas.microsoft.com/office/drawing/2014/main" id="{8D8ACBF6-948A-40F4-8881-FF27FF4205DD}"/>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28696" b="26957"/>
        <a:stretch/>
      </xdr:blipFill>
      <xdr:spPr>
        <a:xfrm>
          <a:off x="6053534" y="1664155"/>
          <a:ext cx="298824" cy="132522"/>
        </a:xfrm>
        <a:prstGeom prst="rect">
          <a:avLst/>
        </a:prstGeom>
      </xdr:spPr>
    </xdr:pic>
    <xdr:clientData/>
  </xdr:twoCellAnchor>
  <xdr:twoCellAnchor>
    <xdr:from>
      <xdr:col>13</xdr:col>
      <xdr:colOff>572065</xdr:colOff>
      <xdr:row>8</xdr:row>
      <xdr:rowOff>1308</xdr:rowOff>
    </xdr:from>
    <xdr:to>
      <xdr:col>13</xdr:col>
      <xdr:colOff>779131</xdr:colOff>
      <xdr:row>8</xdr:row>
      <xdr:rowOff>205240</xdr:rowOff>
    </xdr:to>
    <xdr:pic>
      <xdr:nvPicPr>
        <xdr:cNvPr id="13" name="Picture 1" descr="https://static.thenounproject.com/png/200330-200.png">
          <a:extLst>
            <a:ext uri="{FF2B5EF4-FFF2-40B4-BE49-F238E27FC236}">
              <a16:creationId xmlns:a16="http://schemas.microsoft.com/office/drawing/2014/main" id="{193B3988-7B2D-4FFD-ADAA-C5DF643F016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069351" y="1824665"/>
          <a:ext cx="207066" cy="203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149651</xdr:colOff>
      <xdr:row>15</xdr:row>
      <xdr:rowOff>100700</xdr:rowOff>
    </xdr:from>
    <xdr:to>
      <xdr:col>5</xdr:col>
      <xdr:colOff>356717</xdr:colOff>
      <xdr:row>16</xdr:row>
      <xdr:rowOff>72719</xdr:rowOff>
    </xdr:to>
    <xdr:pic>
      <xdr:nvPicPr>
        <xdr:cNvPr id="14" name="Picture 1" descr="https://static.thenounproject.com/png/200330-200.png">
          <a:extLst>
            <a:ext uri="{FF2B5EF4-FFF2-40B4-BE49-F238E27FC236}">
              <a16:creationId xmlns:a16="http://schemas.microsoft.com/office/drawing/2014/main" id="{94B3D8DD-B3C3-41CE-9C75-ED4707A5B2F6}"/>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032880" y="3366414"/>
          <a:ext cx="207066" cy="189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92422</xdr:colOff>
      <xdr:row>15</xdr:row>
      <xdr:rowOff>171865</xdr:rowOff>
    </xdr:from>
    <xdr:to>
      <xdr:col>7</xdr:col>
      <xdr:colOff>397596</xdr:colOff>
      <xdr:row>16</xdr:row>
      <xdr:rowOff>58867</xdr:rowOff>
    </xdr:to>
    <xdr:pic>
      <xdr:nvPicPr>
        <xdr:cNvPr id="15" name="Picture 16">
          <a:extLst>
            <a:ext uri="{FF2B5EF4-FFF2-40B4-BE49-F238E27FC236}">
              <a16:creationId xmlns:a16="http://schemas.microsoft.com/office/drawing/2014/main" id="{31B99118-A805-41FB-9599-449ECAE396F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28696" b="26957"/>
        <a:stretch/>
      </xdr:blipFill>
      <xdr:spPr>
        <a:xfrm>
          <a:off x="2988022" y="3437579"/>
          <a:ext cx="298824" cy="104717"/>
        </a:xfrm>
        <a:prstGeom prst="rect">
          <a:avLst/>
        </a:prstGeom>
      </xdr:spPr>
    </xdr:pic>
    <xdr:clientData/>
  </xdr:twoCellAnchor>
  <xdr:twoCellAnchor editAs="oneCell">
    <xdr:from>
      <xdr:col>4</xdr:col>
      <xdr:colOff>250788</xdr:colOff>
      <xdr:row>15</xdr:row>
      <xdr:rowOff>178947</xdr:rowOff>
    </xdr:from>
    <xdr:to>
      <xdr:col>4</xdr:col>
      <xdr:colOff>421488</xdr:colOff>
      <xdr:row>16</xdr:row>
      <xdr:rowOff>107302</xdr:rowOff>
    </xdr:to>
    <xdr:pic>
      <xdr:nvPicPr>
        <xdr:cNvPr id="16" name="Picture 17">
          <a:extLst>
            <a:ext uri="{FF2B5EF4-FFF2-40B4-BE49-F238E27FC236}">
              <a16:creationId xmlns:a16="http://schemas.microsoft.com/office/drawing/2014/main" id="{8CBB6EAB-7F96-46A0-BC85-038A0EC0511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27831" y="3444661"/>
          <a:ext cx="170700" cy="142895"/>
        </a:xfrm>
        <a:prstGeom prst="rect">
          <a:avLst/>
        </a:prstGeom>
      </xdr:spPr>
    </xdr:pic>
    <xdr:clientData/>
  </xdr:twoCellAnchor>
  <xdr:twoCellAnchor editAs="oneCell">
    <xdr:from>
      <xdr:col>9</xdr:col>
      <xdr:colOff>117495</xdr:colOff>
      <xdr:row>15</xdr:row>
      <xdr:rowOff>157369</xdr:rowOff>
    </xdr:from>
    <xdr:to>
      <xdr:col>9</xdr:col>
      <xdr:colOff>374152</xdr:colOff>
      <xdr:row>16</xdr:row>
      <xdr:rowOff>74518</xdr:rowOff>
    </xdr:to>
    <xdr:pic>
      <xdr:nvPicPr>
        <xdr:cNvPr id="17" name="Picture 18">
          <a:extLst>
            <a:ext uri="{FF2B5EF4-FFF2-40B4-BE49-F238E27FC236}">
              <a16:creationId xmlns:a16="http://schemas.microsoft.com/office/drawing/2014/main" id="{D5D40BF3-959B-4765-956C-3FBEEE01D8C7}"/>
            </a:ext>
          </a:extLst>
        </xdr:cNvPr>
        <xdr:cNvPicPr>
          <a:picLocks noChangeAspect="1"/>
        </xdr:cNvPicPr>
      </xdr:nvPicPr>
      <xdr:blipFill>
        <a:blip xmlns:r="http://schemas.openxmlformats.org/officeDocument/2006/relationships" r:embed="rId1"/>
        <a:stretch>
          <a:fillRect/>
        </a:stretch>
      </xdr:blipFill>
      <xdr:spPr>
        <a:xfrm>
          <a:off x="4025466" y="3423083"/>
          <a:ext cx="259832" cy="131689"/>
        </a:xfrm>
        <a:prstGeom prst="rect">
          <a:avLst/>
        </a:prstGeom>
      </xdr:spPr>
    </xdr:pic>
    <xdr:clientData/>
  </xdr:twoCellAnchor>
  <xdr:twoCellAnchor editAs="oneCell">
    <xdr:from>
      <xdr:col>8</xdr:col>
      <xdr:colOff>173416</xdr:colOff>
      <xdr:row>15</xdr:row>
      <xdr:rowOff>162029</xdr:rowOff>
    </xdr:from>
    <xdr:to>
      <xdr:col>8</xdr:col>
      <xdr:colOff>350230</xdr:colOff>
      <xdr:row>16</xdr:row>
      <xdr:rowOff>88510</xdr:rowOff>
    </xdr:to>
    <xdr:pic>
      <xdr:nvPicPr>
        <xdr:cNvPr id="18" name="Picture 19">
          <a:extLst>
            <a:ext uri="{FF2B5EF4-FFF2-40B4-BE49-F238E27FC236}">
              <a16:creationId xmlns:a16="http://schemas.microsoft.com/office/drawing/2014/main" id="{6E13D4B2-9C5E-472B-A64A-7DC227C055AC}"/>
            </a:ext>
          </a:extLst>
        </xdr:cNvPr>
        <xdr:cNvPicPr>
          <a:picLocks noChangeAspect="1"/>
        </xdr:cNvPicPr>
      </xdr:nvPicPr>
      <xdr:blipFill>
        <a:blip xmlns:r="http://schemas.openxmlformats.org/officeDocument/2006/relationships" r:embed="rId2"/>
        <a:stretch>
          <a:fillRect/>
        </a:stretch>
      </xdr:blipFill>
      <xdr:spPr>
        <a:xfrm>
          <a:off x="3575202" y="3427743"/>
          <a:ext cx="173639" cy="137846"/>
        </a:xfrm>
        <a:prstGeom prst="rect">
          <a:avLst/>
        </a:prstGeom>
      </xdr:spPr>
    </xdr:pic>
    <xdr:clientData/>
  </xdr:twoCellAnchor>
  <xdr:twoCellAnchor editAs="oneCell">
    <xdr:from>
      <xdr:col>6</xdr:col>
      <xdr:colOff>158165</xdr:colOff>
      <xdr:row>15</xdr:row>
      <xdr:rowOff>136336</xdr:rowOff>
    </xdr:from>
    <xdr:to>
      <xdr:col>6</xdr:col>
      <xdr:colOff>355015</xdr:colOff>
      <xdr:row>16</xdr:row>
      <xdr:rowOff>76089</xdr:rowOff>
    </xdr:to>
    <xdr:pic>
      <xdr:nvPicPr>
        <xdr:cNvPr id="19" name="Picture 20">
          <a:extLst>
            <a:ext uri="{FF2B5EF4-FFF2-40B4-BE49-F238E27FC236}">
              <a16:creationId xmlns:a16="http://schemas.microsoft.com/office/drawing/2014/main" id="{0C4AD0B2-8347-4BC7-815F-772106A1E4B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547579" y="3402050"/>
          <a:ext cx="190500" cy="157468"/>
        </a:xfrm>
        <a:prstGeom prst="rect">
          <a:avLst/>
        </a:prstGeom>
      </xdr:spPr>
    </xdr:pic>
    <xdr:clientData/>
  </xdr:twoCellAnchor>
  <xdr:twoCellAnchor editAs="oneCell">
    <xdr:from>
      <xdr:col>13</xdr:col>
      <xdr:colOff>786829</xdr:colOff>
      <xdr:row>11</xdr:row>
      <xdr:rowOff>33224</xdr:rowOff>
    </xdr:from>
    <xdr:to>
      <xdr:col>13</xdr:col>
      <xdr:colOff>963879</xdr:colOff>
      <xdr:row>12</xdr:row>
      <xdr:rowOff>724</xdr:rowOff>
    </xdr:to>
    <xdr:pic>
      <xdr:nvPicPr>
        <xdr:cNvPr id="20" name="Picture 21">
          <a:extLst>
            <a:ext uri="{FF2B5EF4-FFF2-40B4-BE49-F238E27FC236}">
              <a16:creationId xmlns:a16="http://schemas.microsoft.com/office/drawing/2014/main" id="{CB287B85-2CB9-446A-BAD3-DCE35299B21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284115" y="2493395"/>
          <a:ext cx="170700" cy="170700"/>
        </a:xfrm>
        <a:prstGeom prst="rect">
          <a:avLst/>
        </a:prstGeom>
      </xdr:spPr>
    </xdr:pic>
    <xdr:clientData/>
  </xdr:twoCellAnchor>
  <xdr:twoCellAnchor editAs="oneCell">
    <xdr:from>
      <xdr:col>14</xdr:col>
      <xdr:colOff>780431</xdr:colOff>
      <xdr:row>17</xdr:row>
      <xdr:rowOff>19641</xdr:rowOff>
    </xdr:from>
    <xdr:to>
      <xdr:col>14</xdr:col>
      <xdr:colOff>983663</xdr:colOff>
      <xdr:row>18</xdr:row>
      <xdr:rowOff>16880</xdr:rowOff>
    </xdr:to>
    <xdr:pic>
      <xdr:nvPicPr>
        <xdr:cNvPr id="21" name="Picture 22" descr="Related image">
          <a:extLst>
            <a:ext uri="{FF2B5EF4-FFF2-40B4-BE49-F238E27FC236}">
              <a16:creationId xmlns:a16="http://schemas.microsoft.com/office/drawing/2014/main" id="{D82D85EC-7D59-41F3-917A-A394F6510B52}"/>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155502" y="3655470"/>
          <a:ext cx="203232" cy="206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53709</xdr:colOff>
      <xdr:row>15</xdr:row>
      <xdr:rowOff>173740</xdr:rowOff>
    </xdr:from>
    <xdr:to>
      <xdr:col>4</xdr:col>
      <xdr:colOff>221234</xdr:colOff>
      <xdr:row>16</xdr:row>
      <xdr:rowOff>102095</xdr:rowOff>
    </xdr:to>
    <xdr:pic>
      <xdr:nvPicPr>
        <xdr:cNvPr id="22" name="Picture 23">
          <a:extLst>
            <a:ext uri="{FF2B5EF4-FFF2-40B4-BE49-F238E27FC236}">
              <a16:creationId xmlns:a16="http://schemas.microsoft.com/office/drawing/2014/main" id="{9DF590A3-9872-42A7-A1D3-897A366B92C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30752" y="3439454"/>
          <a:ext cx="170700" cy="142895"/>
        </a:xfrm>
        <a:prstGeom prst="rect">
          <a:avLst/>
        </a:prstGeom>
      </xdr:spPr>
    </xdr:pic>
    <xdr:clientData/>
  </xdr:twoCellAnchor>
  <xdr:twoCellAnchor editAs="oneCell">
    <xdr:from>
      <xdr:col>4</xdr:col>
      <xdr:colOff>492066</xdr:colOff>
      <xdr:row>14</xdr:row>
      <xdr:rowOff>62657</xdr:rowOff>
    </xdr:from>
    <xdr:to>
      <xdr:col>5</xdr:col>
      <xdr:colOff>369016</xdr:colOff>
      <xdr:row>16</xdr:row>
      <xdr:rowOff>49278</xdr:rowOff>
    </xdr:to>
    <xdr:pic>
      <xdr:nvPicPr>
        <xdr:cNvPr id="4" name="Picture 3" descr="Squash Racquet Icons - Free SVG &amp; PNG Squash Racquet Images ...">
          <a:extLst>
            <a:ext uri="{FF2B5EF4-FFF2-40B4-BE49-F238E27FC236}">
              <a16:creationId xmlns:a16="http://schemas.microsoft.com/office/drawing/2014/main" id="{3331E53B-43C7-2FBE-757A-F00502842A9B}"/>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rot="2398059">
          <a:off x="1869109" y="3159643"/>
          <a:ext cx="379961" cy="3762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715223</xdr:colOff>
      <xdr:row>16</xdr:row>
      <xdr:rowOff>149744</xdr:rowOff>
    </xdr:from>
    <xdr:to>
      <xdr:col>16</xdr:col>
      <xdr:colOff>77369</xdr:colOff>
      <xdr:row>19</xdr:row>
      <xdr:rowOff>88287</xdr:rowOff>
    </xdr:to>
    <xdr:pic>
      <xdr:nvPicPr>
        <xdr:cNvPr id="23" name="Picture 22" descr="Squash Racquet Icons - Free SVG &amp; PNG Squash Racquet Images ...">
          <a:extLst>
            <a:ext uri="{FF2B5EF4-FFF2-40B4-BE49-F238E27FC236}">
              <a16:creationId xmlns:a16="http://schemas.microsoft.com/office/drawing/2014/main" id="{F3CA72A0-94AF-41A0-A8C0-D58978B38D6E}"/>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rot="2398059">
          <a:off x="9271394" y="3633173"/>
          <a:ext cx="379961" cy="3762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963156</xdr:colOff>
      <xdr:row>17</xdr:row>
      <xdr:rowOff>63185</xdr:rowOff>
    </xdr:from>
    <xdr:to>
      <xdr:col>15</xdr:col>
      <xdr:colOff>2977</xdr:colOff>
      <xdr:row>18</xdr:row>
      <xdr:rowOff>57249</xdr:rowOff>
    </xdr:to>
    <xdr:pic>
      <xdr:nvPicPr>
        <xdr:cNvPr id="24" name="Picture 22" descr="Related image">
          <a:extLst>
            <a:ext uri="{FF2B5EF4-FFF2-40B4-BE49-F238E27FC236}">
              <a16:creationId xmlns:a16="http://schemas.microsoft.com/office/drawing/2014/main" id="{68E7954B-6690-4D37-B250-4B69BC453AB5}"/>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342115" y="3686572"/>
          <a:ext cx="203232" cy="2040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190271</xdr:colOff>
      <xdr:row>17</xdr:row>
      <xdr:rowOff>13421</xdr:rowOff>
    </xdr:from>
    <xdr:to>
      <xdr:col>14</xdr:col>
      <xdr:colOff>393503</xdr:colOff>
      <xdr:row>18</xdr:row>
      <xdr:rowOff>17010</xdr:rowOff>
    </xdr:to>
    <xdr:pic>
      <xdr:nvPicPr>
        <xdr:cNvPr id="25" name="Picture 22" descr="Related image">
          <a:extLst>
            <a:ext uri="{FF2B5EF4-FFF2-40B4-BE49-F238E27FC236}">
              <a16:creationId xmlns:a16="http://schemas.microsoft.com/office/drawing/2014/main" id="{6F1A657D-8A6A-9CFA-2E77-814799A0D5A5}"/>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569230" y="3636808"/>
          <a:ext cx="203232" cy="2040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841785</xdr:colOff>
      <xdr:row>6</xdr:row>
      <xdr:rowOff>175458</xdr:rowOff>
    </xdr:from>
    <xdr:to>
      <xdr:col>13</xdr:col>
      <xdr:colOff>1038067</xdr:colOff>
      <xdr:row>7</xdr:row>
      <xdr:rowOff>161198</xdr:rowOff>
    </xdr:to>
    <xdr:pic>
      <xdr:nvPicPr>
        <xdr:cNvPr id="26" name="Picture 25">
          <a:extLst>
            <a:ext uri="{FF2B5EF4-FFF2-40B4-BE49-F238E27FC236}">
              <a16:creationId xmlns:a16="http://schemas.microsoft.com/office/drawing/2014/main" id="{30B4F47D-74C9-D642-31A8-90CAF1E6D6E4}"/>
            </a:ext>
          </a:extLst>
        </xdr:cNvPr>
        <xdr:cNvPicPr>
          <a:picLocks noChangeAspect="1"/>
        </xdr:cNvPicPr>
      </xdr:nvPicPr>
      <xdr:blipFill>
        <a:blip xmlns:r="http://schemas.openxmlformats.org/officeDocument/2006/relationships" r:embed="rId13"/>
        <a:stretch>
          <a:fillRect/>
        </a:stretch>
      </xdr:blipFill>
      <xdr:spPr>
        <a:xfrm>
          <a:off x="6341437" y="1581135"/>
          <a:ext cx="199457" cy="201896"/>
        </a:xfrm>
        <a:prstGeom prst="rect">
          <a:avLst/>
        </a:prstGeom>
      </xdr:spPr>
    </xdr:pic>
    <xdr:clientData/>
  </xdr:twoCellAnchor>
  <xdr:twoCellAnchor editAs="oneCell">
    <xdr:from>
      <xdr:col>13</xdr:col>
      <xdr:colOff>776199</xdr:colOff>
      <xdr:row>8</xdr:row>
      <xdr:rowOff>203516</xdr:rowOff>
    </xdr:from>
    <xdr:to>
      <xdr:col>13</xdr:col>
      <xdr:colOff>981271</xdr:colOff>
      <xdr:row>9</xdr:row>
      <xdr:rowOff>201957</xdr:rowOff>
    </xdr:to>
    <xdr:pic>
      <xdr:nvPicPr>
        <xdr:cNvPr id="27" name="Picture 26">
          <a:extLst>
            <a:ext uri="{FF2B5EF4-FFF2-40B4-BE49-F238E27FC236}">
              <a16:creationId xmlns:a16="http://schemas.microsoft.com/office/drawing/2014/main" id="{DE0BE63E-6039-56CE-120B-6D6A00F44E5D}"/>
            </a:ext>
          </a:extLst>
        </xdr:cNvPr>
        <xdr:cNvPicPr>
          <a:picLocks noChangeAspect="1"/>
        </xdr:cNvPicPr>
      </xdr:nvPicPr>
      <xdr:blipFill>
        <a:blip xmlns:r="http://schemas.openxmlformats.org/officeDocument/2006/relationships" r:embed="rId14"/>
        <a:stretch>
          <a:fillRect/>
        </a:stretch>
      </xdr:blipFill>
      <xdr:spPr>
        <a:xfrm>
          <a:off x="6275851" y="2030423"/>
          <a:ext cx="208247" cy="208247"/>
        </a:xfrm>
        <a:prstGeom prst="rect">
          <a:avLst/>
        </a:prstGeom>
      </xdr:spPr>
    </xdr:pic>
    <xdr:clientData/>
  </xdr:twoCellAnchor>
  <xdr:twoCellAnchor editAs="oneCell">
    <xdr:from>
      <xdr:col>13</xdr:col>
      <xdr:colOff>870858</xdr:colOff>
      <xdr:row>12</xdr:row>
      <xdr:rowOff>9466</xdr:rowOff>
    </xdr:from>
    <xdr:to>
      <xdr:col>13</xdr:col>
      <xdr:colOff>1077549</xdr:colOff>
      <xdr:row>13</xdr:row>
      <xdr:rowOff>0</xdr:rowOff>
    </xdr:to>
    <xdr:pic>
      <xdr:nvPicPr>
        <xdr:cNvPr id="28" name="Picture 27">
          <a:extLst>
            <a:ext uri="{FF2B5EF4-FFF2-40B4-BE49-F238E27FC236}">
              <a16:creationId xmlns:a16="http://schemas.microsoft.com/office/drawing/2014/main" id="{947749AE-FDA0-F16A-0A55-6AB4DE31DC2A}"/>
            </a:ext>
          </a:extLst>
        </xdr:cNvPr>
        <xdr:cNvPicPr>
          <a:picLocks noChangeAspect="1"/>
        </xdr:cNvPicPr>
      </xdr:nvPicPr>
      <xdr:blipFill>
        <a:blip xmlns:r="http://schemas.openxmlformats.org/officeDocument/2006/relationships" r:embed="rId15"/>
        <a:stretch>
          <a:fillRect/>
        </a:stretch>
      </xdr:blipFill>
      <xdr:spPr>
        <a:xfrm>
          <a:off x="6370510" y="2688298"/>
          <a:ext cx="203516" cy="203516"/>
        </a:xfrm>
        <a:prstGeom prst="rect">
          <a:avLst/>
        </a:prstGeom>
      </xdr:spPr>
    </xdr:pic>
    <xdr:clientData/>
  </xdr:twoCellAnchor>
  <xdr:twoCellAnchor editAs="oneCell">
    <xdr:from>
      <xdr:col>9</xdr:col>
      <xdr:colOff>171333</xdr:colOff>
      <xdr:row>14</xdr:row>
      <xdr:rowOff>119269</xdr:rowOff>
    </xdr:from>
    <xdr:to>
      <xdr:col>9</xdr:col>
      <xdr:colOff>371674</xdr:colOff>
      <xdr:row>15</xdr:row>
      <xdr:rowOff>152400</xdr:rowOff>
    </xdr:to>
    <xdr:pic>
      <xdr:nvPicPr>
        <xdr:cNvPr id="29" name="Picture 28">
          <a:extLst>
            <a:ext uri="{FF2B5EF4-FFF2-40B4-BE49-F238E27FC236}">
              <a16:creationId xmlns:a16="http://schemas.microsoft.com/office/drawing/2014/main" id="{ADA47E32-7E61-49A4-AD18-5EAEA5623F2D}"/>
            </a:ext>
          </a:extLst>
        </xdr:cNvPr>
        <xdr:cNvPicPr>
          <a:picLocks noChangeAspect="1"/>
        </xdr:cNvPicPr>
      </xdr:nvPicPr>
      <xdr:blipFill>
        <a:blip xmlns:r="http://schemas.openxmlformats.org/officeDocument/2006/relationships" r:embed="rId15"/>
        <a:stretch>
          <a:fillRect/>
        </a:stretch>
      </xdr:blipFill>
      <xdr:spPr>
        <a:xfrm>
          <a:off x="4080724" y="3224064"/>
          <a:ext cx="203516" cy="203516"/>
        </a:xfrm>
        <a:prstGeom prst="rect">
          <a:avLst/>
        </a:prstGeom>
      </xdr:spPr>
    </xdr:pic>
    <xdr:clientData/>
  </xdr:twoCellAnchor>
  <xdr:twoCellAnchor editAs="oneCell">
    <xdr:from>
      <xdr:col>8</xdr:col>
      <xdr:colOff>171332</xdr:colOff>
      <xdr:row>14</xdr:row>
      <xdr:rowOff>90872</xdr:rowOff>
    </xdr:from>
    <xdr:to>
      <xdr:col>8</xdr:col>
      <xdr:colOff>379579</xdr:colOff>
      <xdr:row>15</xdr:row>
      <xdr:rowOff>125559</xdr:rowOff>
    </xdr:to>
    <xdr:pic>
      <xdr:nvPicPr>
        <xdr:cNvPr id="30" name="Picture 29">
          <a:extLst>
            <a:ext uri="{FF2B5EF4-FFF2-40B4-BE49-F238E27FC236}">
              <a16:creationId xmlns:a16="http://schemas.microsoft.com/office/drawing/2014/main" id="{9E1065FB-2285-4BEB-A879-243B1069CD38}"/>
            </a:ext>
          </a:extLst>
        </xdr:cNvPr>
        <xdr:cNvPicPr>
          <a:picLocks noChangeAspect="1"/>
        </xdr:cNvPicPr>
      </xdr:nvPicPr>
      <xdr:blipFill>
        <a:blip xmlns:r="http://schemas.openxmlformats.org/officeDocument/2006/relationships" r:embed="rId14"/>
        <a:stretch>
          <a:fillRect/>
        </a:stretch>
      </xdr:blipFill>
      <xdr:spPr>
        <a:xfrm>
          <a:off x="3574301" y="3195667"/>
          <a:ext cx="208247" cy="208247"/>
        </a:xfrm>
        <a:prstGeom prst="rect">
          <a:avLst/>
        </a:prstGeom>
      </xdr:spPr>
    </xdr:pic>
    <xdr:clientData/>
  </xdr:twoCellAnchor>
  <xdr:twoCellAnchor editAs="oneCell">
    <xdr:from>
      <xdr:col>7</xdr:col>
      <xdr:colOff>156458</xdr:colOff>
      <xdr:row>14</xdr:row>
      <xdr:rowOff>86479</xdr:rowOff>
    </xdr:from>
    <xdr:to>
      <xdr:col>7</xdr:col>
      <xdr:colOff>352740</xdr:colOff>
      <xdr:row>15</xdr:row>
      <xdr:rowOff>121165</xdr:rowOff>
    </xdr:to>
    <xdr:pic>
      <xdr:nvPicPr>
        <xdr:cNvPr id="31" name="Picture 30">
          <a:extLst>
            <a:ext uri="{FF2B5EF4-FFF2-40B4-BE49-F238E27FC236}">
              <a16:creationId xmlns:a16="http://schemas.microsoft.com/office/drawing/2014/main" id="{B89F9947-8E40-4690-A8C3-BCE46D47E1ED}"/>
            </a:ext>
          </a:extLst>
        </xdr:cNvPr>
        <xdr:cNvPicPr>
          <a:picLocks noChangeAspect="1"/>
        </xdr:cNvPicPr>
      </xdr:nvPicPr>
      <xdr:blipFill>
        <a:blip xmlns:r="http://schemas.openxmlformats.org/officeDocument/2006/relationships" r:embed="rId13"/>
        <a:stretch>
          <a:fillRect/>
        </a:stretch>
      </xdr:blipFill>
      <xdr:spPr>
        <a:xfrm>
          <a:off x="3053005" y="3191274"/>
          <a:ext cx="199457" cy="201896"/>
        </a:xfrm>
        <a:prstGeom prst="rect">
          <a:avLst/>
        </a:prstGeom>
      </xdr:spPr>
    </xdr:pic>
    <xdr:clientData/>
  </xdr:twoCellAnchor>
  <xdr:twoCellAnchor editAs="oneCell">
    <xdr:from>
      <xdr:col>17</xdr:col>
      <xdr:colOff>113862</xdr:colOff>
      <xdr:row>17</xdr:row>
      <xdr:rowOff>48615</xdr:rowOff>
    </xdr:from>
    <xdr:to>
      <xdr:col>17</xdr:col>
      <xdr:colOff>316494</xdr:colOff>
      <xdr:row>18</xdr:row>
      <xdr:rowOff>37529</xdr:rowOff>
    </xdr:to>
    <xdr:pic>
      <xdr:nvPicPr>
        <xdr:cNvPr id="32" name="Picture 31">
          <a:extLst>
            <a:ext uri="{FF2B5EF4-FFF2-40B4-BE49-F238E27FC236}">
              <a16:creationId xmlns:a16="http://schemas.microsoft.com/office/drawing/2014/main" id="{F175C4C6-1E8F-4CF4-BDFD-5D30E2D75B64}"/>
            </a:ext>
          </a:extLst>
        </xdr:cNvPr>
        <xdr:cNvPicPr>
          <a:picLocks noChangeAspect="1"/>
        </xdr:cNvPicPr>
      </xdr:nvPicPr>
      <xdr:blipFill>
        <a:blip xmlns:r="http://schemas.openxmlformats.org/officeDocument/2006/relationships" r:embed="rId13"/>
        <a:stretch>
          <a:fillRect/>
        </a:stretch>
      </xdr:blipFill>
      <xdr:spPr>
        <a:xfrm>
          <a:off x="10710868" y="3692963"/>
          <a:ext cx="199457" cy="201896"/>
        </a:xfrm>
        <a:prstGeom prst="rect">
          <a:avLst/>
        </a:prstGeom>
      </xdr:spPr>
    </xdr:pic>
    <xdr:clientData/>
  </xdr:twoCellAnchor>
  <xdr:twoCellAnchor editAs="oneCell">
    <xdr:from>
      <xdr:col>18</xdr:col>
      <xdr:colOff>213928</xdr:colOff>
      <xdr:row>17</xdr:row>
      <xdr:rowOff>34077</xdr:rowOff>
    </xdr:from>
    <xdr:to>
      <xdr:col>18</xdr:col>
      <xdr:colOff>422175</xdr:colOff>
      <xdr:row>18</xdr:row>
      <xdr:rowOff>26167</xdr:rowOff>
    </xdr:to>
    <xdr:pic>
      <xdr:nvPicPr>
        <xdr:cNvPr id="33" name="Picture 32">
          <a:extLst>
            <a:ext uri="{FF2B5EF4-FFF2-40B4-BE49-F238E27FC236}">
              <a16:creationId xmlns:a16="http://schemas.microsoft.com/office/drawing/2014/main" id="{2738DF8C-9BC7-460C-A900-6F114875C632}"/>
            </a:ext>
          </a:extLst>
        </xdr:cNvPr>
        <xdr:cNvPicPr>
          <a:picLocks noChangeAspect="1"/>
        </xdr:cNvPicPr>
      </xdr:nvPicPr>
      <xdr:blipFill>
        <a:blip xmlns:r="http://schemas.openxmlformats.org/officeDocument/2006/relationships" r:embed="rId14"/>
        <a:stretch>
          <a:fillRect/>
        </a:stretch>
      </xdr:blipFill>
      <xdr:spPr>
        <a:xfrm>
          <a:off x="11757518" y="3678425"/>
          <a:ext cx="208247" cy="208247"/>
        </a:xfrm>
        <a:prstGeom prst="rect">
          <a:avLst/>
        </a:prstGeom>
      </xdr:spPr>
    </xdr:pic>
    <xdr:clientData/>
  </xdr:twoCellAnchor>
  <xdr:twoCellAnchor editAs="oneCell">
    <xdr:from>
      <xdr:col>19</xdr:col>
      <xdr:colOff>322787</xdr:colOff>
      <xdr:row>17</xdr:row>
      <xdr:rowOff>34076</xdr:rowOff>
    </xdr:from>
    <xdr:to>
      <xdr:col>19</xdr:col>
      <xdr:colOff>523128</xdr:colOff>
      <xdr:row>18</xdr:row>
      <xdr:rowOff>27785</xdr:rowOff>
    </xdr:to>
    <xdr:pic>
      <xdr:nvPicPr>
        <xdr:cNvPr id="34" name="Picture 33">
          <a:extLst>
            <a:ext uri="{FF2B5EF4-FFF2-40B4-BE49-F238E27FC236}">
              <a16:creationId xmlns:a16="http://schemas.microsoft.com/office/drawing/2014/main" id="{74DBB5EF-7B83-4FB1-A331-2937E12553AD}"/>
            </a:ext>
          </a:extLst>
        </xdr:cNvPr>
        <xdr:cNvPicPr>
          <a:picLocks noChangeAspect="1"/>
        </xdr:cNvPicPr>
      </xdr:nvPicPr>
      <xdr:blipFill>
        <a:blip xmlns:r="http://schemas.openxmlformats.org/officeDocument/2006/relationships" r:embed="rId15"/>
        <a:stretch>
          <a:fillRect/>
        </a:stretch>
      </xdr:blipFill>
      <xdr:spPr>
        <a:xfrm>
          <a:off x="12997544" y="3678424"/>
          <a:ext cx="203516" cy="203516"/>
        </a:xfrm>
        <a:prstGeom prst="rect">
          <a:avLst/>
        </a:prstGeom>
      </xdr:spPr>
    </xdr:pic>
    <xdr:clientData/>
  </xdr:twoCellAnchor>
  <xdr:twoCellAnchor editAs="oneCell">
    <xdr:from>
      <xdr:col>4</xdr:col>
      <xdr:colOff>207955</xdr:colOff>
      <xdr:row>15</xdr:row>
      <xdr:rowOff>51158</xdr:rowOff>
    </xdr:from>
    <xdr:to>
      <xdr:col>4</xdr:col>
      <xdr:colOff>378655</xdr:colOff>
      <xdr:row>15</xdr:row>
      <xdr:rowOff>197228</xdr:rowOff>
    </xdr:to>
    <xdr:pic>
      <xdr:nvPicPr>
        <xdr:cNvPr id="35" name="Picture 17">
          <a:extLst>
            <a:ext uri="{FF2B5EF4-FFF2-40B4-BE49-F238E27FC236}">
              <a16:creationId xmlns:a16="http://schemas.microsoft.com/office/drawing/2014/main" id="{0108A063-F134-4527-AD4E-8B3FE080323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85234" y="3326338"/>
          <a:ext cx="170700" cy="149245"/>
        </a:xfrm>
        <a:prstGeom prst="rect">
          <a:avLst/>
        </a:prstGeom>
      </xdr:spPr>
    </xdr:pic>
    <xdr:clientData/>
  </xdr:twoCellAnchor>
  <xdr:twoCellAnchor editAs="oneCell">
    <xdr:from>
      <xdr:col>4</xdr:col>
      <xdr:colOff>38516</xdr:colOff>
      <xdr:row>15</xdr:row>
      <xdr:rowOff>14242</xdr:rowOff>
    </xdr:from>
    <xdr:to>
      <xdr:col>4</xdr:col>
      <xdr:colOff>209216</xdr:colOff>
      <xdr:row>15</xdr:row>
      <xdr:rowOff>160312</xdr:rowOff>
    </xdr:to>
    <xdr:pic>
      <xdr:nvPicPr>
        <xdr:cNvPr id="36" name="Picture 17">
          <a:extLst>
            <a:ext uri="{FF2B5EF4-FFF2-40B4-BE49-F238E27FC236}">
              <a16:creationId xmlns:a16="http://schemas.microsoft.com/office/drawing/2014/main" id="{381AD092-1C31-44C7-A8A2-163FBDA5D1A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15795" y="3289422"/>
          <a:ext cx="170700" cy="149245"/>
        </a:xfrm>
        <a:prstGeom prst="rect">
          <a:avLst/>
        </a:prstGeom>
      </xdr:spPr>
    </xdr:pic>
    <xdr:clientData/>
  </xdr:twoCellAnchor>
  <xdr:twoCellAnchor editAs="oneCell">
    <xdr:from>
      <xdr:col>14</xdr:col>
      <xdr:colOff>29690</xdr:colOff>
      <xdr:row>17</xdr:row>
      <xdr:rowOff>186510</xdr:rowOff>
    </xdr:from>
    <xdr:to>
      <xdr:col>14</xdr:col>
      <xdr:colOff>239272</xdr:colOff>
      <xdr:row>19</xdr:row>
      <xdr:rowOff>114373</xdr:rowOff>
    </xdr:to>
    <xdr:pic>
      <xdr:nvPicPr>
        <xdr:cNvPr id="37" name="Picture 22" descr="Related image">
          <a:extLst>
            <a:ext uri="{FF2B5EF4-FFF2-40B4-BE49-F238E27FC236}">
              <a16:creationId xmlns:a16="http://schemas.microsoft.com/office/drawing/2014/main" id="{ED381A9C-FC43-4F1D-927A-88F48D8D7865}"/>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408311" y="3830858"/>
          <a:ext cx="206407" cy="2165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1011643</xdr:colOff>
      <xdr:row>11</xdr:row>
      <xdr:rowOff>13345</xdr:rowOff>
    </xdr:from>
    <xdr:to>
      <xdr:col>13</xdr:col>
      <xdr:colOff>1188693</xdr:colOff>
      <xdr:row>11</xdr:row>
      <xdr:rowOff>197001</xdr:rowOff>
    </xdr:to>
    <xdr:pic>
      <xdr:nvPicPr>
        <xdr:cNvPr id="38" name="Picture 21">
          <a:extLst>
            <a:ext uri="{FF2B5EF4-FFF2-40B4-BE49-F238E27FC236}">
              <a16:creationId xmlns:a16="http://schemas.microsoft.com/office/drawing/2014/main" id="{DD37FB71-7B75-496C-B3E9-6EF787A63AD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511295" y="2479196"/>
          <a:ext cx="180225" cy="180481"/>
        </a:xfrm>
        <a:prstGeom prst="rect">
          <a:avLst/>
        </a:prstGeom>
      </xdr:spPr>
    </xdr:pic>
    <xdr:clientData/>
  </xdr:twoCellAnchor>
  <xdr:twoCellAnchor editAs="oneCell">
    <xdr:from>
      <xdr:col>13</xdr:col>
      <xdr:colOff>1239770</xdr:colOff>
      <xdr:row>11</xdr:row>
      <xdr:rowOff>23758</xdr:rowOff>
    </xdr:from>
    <xdr:to>
      <xdr:col>13</xdr:col>
      <xdr:colOff>1416820</xdr:colOff>
      <xdr:row>11</xdr:row>
      <xdr:rowOff>201064</xdr:rowOff>
    </xdr:to>
    <xdr:pic>
      <xdr:nvPicPr>
        <xdr:cNvPr id="39" name="Picture 21">
          <a:extLst>
            <a:ext uri="{FF2B5EF4-FFF2-40B4-BE49-F238E27FC236}">
              <a16:creationId xmlns:a16="http://schemas.microsoft.com/office/drawing/2014/main" id="{3CEDC264-300F-40CC-A9FE-90DA3C99314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739422" y="2489609"/>
          <a:ext cx="180225" cy="180481"/>
        </a:xfrm>
        <a:prstGeom prst="rect">
          <a:avLst/>
        </a:prstGeom>
      </xdr:spPr>
    </xdr:pic>
    <xdr:clientData/>
  </xdr:twoCellAnchor>
  <xdr:twoCellAnchor editAs="oneCell">
    <xdr:from>
      <xdr:col>13</xdr:col>
      <xdr:colOff>1752108</xdr:colOff>
      <xdr:row>17</xdr:row>
      <xdr:rowOff>9099</xdr:rowOff>
    </xdr:from>
    <xdr:to>
      <xdr:col>14</xdr:col>
      <xdr:colOff>179692</xdr:colOff>
      <xdr:row>18</xdr:row>
      <xdr:rowOff>10693</xdr:rowOff>
    </xdr:to>
    <xdr:pic>
      <xdr:nvPicPr>
        <xdr:cNvPr id="40" name="Picture 22" descr="Related image">
          <a:extLst>
            <a:ext uri="{FF2B5EF4-FFF2-40B4-BE49-F238E27FC236}">
              <a16:creationId xmlns:a16="http://schemas.microsoft.com/office/drawing/2014/main" id="{1D117DED-00BC-42B9-9844-FBACF2BCCB8E}"/>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973219" y="3701506"/>
          <a:ext cx="206407" cy="2100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345703</xdr:colOff>
      <xdr:row>15</xdr:row>
      <xdr:rowOff>55626</xdr:rowOff>
    </xdr:from>
    <xdr:to>
      <xdr:col>5</xdr:col>
      <xdr:colOff>31099</xdr:colOff>
      <xdr:row>15</xdr:row>
      <xdr:rowOff>201696</xdr:rowOff>
    </xdr:to>
    <xdr:pic>
      <xdr:nvPicPr>
        <xdr:cNvPr id="41" name="Picture 17">
          <a:extLst>
            <a:ext uri="{FF2B5EF4-FFF2-40B4-BE49-F238E27FC236}">
              <a16:creationId xmlns:a16="http://schemas.microsoft.com/office/drawing/2014/main" id="{839F2946-A9ED-4CAB-B317-2AA15DD8E57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50981" y="3359978"/>
          <a:ext cx="170700" cy="149245"/>
        </a:xfrm>
        <a:prstGeom prst="rect">
          <a:avLst/>
        </a:prstGeom>
      </xdr:spPr>
    </xdr:pic>
    <xdr:clientData/>
  </xdr:twoCellAnchor>
  <xdr:twoCellAnchor editAs="oneCell">
    <xdr:from>
      <xdr:col>8</xdr:col>
      <xdr:colOff>114174</xdr:colOff>
      <xdr:row>15</xdr:row>
      <xdr:rowOff>3492</xdr:rowOff>
    </xdr:from>
    <xdr:to>
      <xdr:col>8</xdr:col>
      <xdr:colOff>202163</xdr:colOff>
      <xdr:row>15</xdr:row>
      <xdr:rowOff>146180</xdr:rowOff>
    </xdr:to>
    <xdr:pic>
      <xdr:nvPicPr>
        <xdr:cNvPr id="42" name="Picture 17">
          <a:extLst>
            <a:ext uri="{FF2B5EF4-FFF2-40B4-BE49-F238E27FC236}">
              <a16:creationId xmlns:a16="http://schemas.microsoft.com/office/drawing/2014/main" id="{CB41DF3D-BB3E-431B-9D15-0001806FC41C}"/>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r="48454" b="2315"/>
        <a:stretch/>
      </xdr:blipFill>
      <xdr:spPr>
        <a:xfrm>
          <a:off x="3526068" y="3269206"/>
          <a:ext cx="87989" cy="142688"/>
        </a:xfrm>
        <a:prstGeom prst="rect">
          <a:avLst/>
        </a:prstGeom>
      </xdr:spPr>
    </xdr:pic>
    <xdr:clientData/>
  </xdr:twoCellAnchor>
  <xdr:twoCellAnchor editAs="oneCell">
    <xdr:from>
      <xdr:col>13</xdr:col>
      <xdr:colOff>1022354</xdr:colOff>
      <xdr:row>9</xdr:row>
      <xdr:rowOff>19042</xdr:rowOff>
    </xdr:from>
    <xdr:to>
      <xdr:col>13</xdr:col>
      <xdr:colOff>1110343</xdr:colOff>
      <xdr:row>9</xdr:row>
      <xdr:rowOff>161730</xdr:rowOff>
    </xdr:to>
    <xdr:pic>
      <xdr:nvPicPr>
        <xdr:cNvPr id="43" name="Picture 17">
          <a:extLst>
            <a:ext uri="{FF2B5EF4-FFF2-40B4-BE49-F238E27FC236}">
              <a16:creationId xmlns:a16="http://schemas.microsoft.com/office/drawing/2014/main" id="{D4412BCF-D368-43A2-B23D-93E015D8382D}"/>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r="48454" b="2315"/>
        <a:stretch/>
      </xdr:blipFill>
      <xdr:spPr>
        <a:xfrm>
          <a:off x="6539856" y="2059336"/>
          <a:ext cx="87989" cy="142688"/>
        </a:xfrm>
        <a:prstGeom prst="rect">
          <a:avLst/>
        </a:prstGeom>
      </xdr:spPr>
    </xdr:pic>
    <xdr:clientData/>
  </xdr:twoCellAnchor>
  <xdr:twoCellAnchor editAs="oneCell">
    <xdr:from>
      <xdr:col>18</xdr:col>
      <xdr:colOff>690466</xdr:colOff>
      <xdr:row>17</xdr:row>
      <xdr:rowOff>133738</xdr:rowOff>
    </xdr:from>
    <xdr:to>
      <xdr:col>18</xdr:col>
      <xdr:colOff>778455</xdr:colOff>
      <xdr:row>18</xdr:row>
      <xdr:rowOff>64933</xdr:rowOff>
    </xdr:to>
    <xdr:pic>
      <xdr:nvPicPr>
        <xdr:cNvPr id="45" name="Picture 17">
          <a:extLst>
            <a:ext uri="{FF2B5EF4-FFF2-40B4-BE49-F238E27FC236}">
              <a16:creationId xmlns:a16="http://schemas.microsoft.com/office/drawing/2014/main" id="{D7E9A3C2-F5E0-4A29-9DD9-3D78CEBB9824}"/>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r="48454" b="2315"/>
        <a:stretch/>
      </xdr:blipFill>
      <xdr:spPr>
        <a:xfrm>
          <a:off x="12266645" y="3769567"/>
          <a:ext cx="87989" cy="142688"/>
        </a:xfrm>
        <a:prstGeom prst="rect">
          <a:avLst/>
        </a:prstGeom>
      </xdr:spPr>
    </xdr:pic>
    <xdr:clientData/>
  </xdr:twoCellAnchor>
  <xdr:twoCellAnchor editAs="oneCell">
    <xdr:from>
      <xdr:col>6</xdr:col>
      <xdr:colOff>166489</xdr:colOff>
      <xdr:row>14</xdr:row>
      <xdr:rowOff>108857</xdr:rowOff>
    </xdr:from>
    <xdr:to>
      <xdr:col>6</xdr:col>
      <xdr:colOff>339380</xdr:colOff>
      <xdr:row>15</xdr:row>
      <xdr:rowOff>115261</xdr:rowOff>
    </xdr:to>
    <xdr:pic>
      <xdr:nvPicPr>
        <xdr:cNvPr id="44" name="Picture 43" descr="A black background with a black square&#10;&#10;Description automatically generated with medium confidence">
          <a:extLst>
            <a:ext uri="{FF2B5EF4-FFF2-40B4-BE49-F238E27FC236}">
              <a16:creationId xmlns:a16="http://schemas.microsoft.com/office/drawing/2014/main" id="{B074245E-AA75-9269-7118-6156A3D81EB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567749" y="3201681"/>
          <a:ext cx="172891" cy="172891"/>
        </a:xfrm>
        <a:prstGeom prst="rect">
          <a:avLst/>
        </a:prstGeom>
      </xdr:spPr>
    </xdr:pic>
    <xdr:clientData/>
  </xdr:twoCellAnchor>
  <xdr:twoCellAnchor editAs="oneCell">
    <xdr:from>
      <xdr:col>16</xdr:col>
      <xdr:colOff>113981</xdr:colOff>
      <xdr:row>17</xdr:row>
      <xdr:rowOff>49946</xdr:rowOff>
    </xdr:from>
    <xdr:to>
      <xdr:col>16</xdr:col>
      <xdr:colOff>286872</xdr:colOff>
      <xdr:row>18</xdr:row>
      <xdr:rowOff>11527</xdr:rowOff>
    </xdr:to>
    <xdr:pic>
      <xdr:nvPicPr>
        <xdr:cNvPr id="46" name="Picture 45" descr="A black background with a black square&#10;&#10;Description automatically generated with medium confidence">
          <a:extLst>
            <a:ext uri="{FF2B5EF4-FFF2-40B4-BE49-F238E27FC236}">
              <a16:creationId xmlns:a16="http://schemas.microsoft.com/office/drawing/2014/main" id="{61EDF4D4-FA31-4078-A9F7-E08B71BAD92B}"/>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9712620" y="3680652"/>
          <a:ext cx="172891" cy="172891"/>
        </a:xfrm>
        <a:prstGeom prst="rect">
          <a:avLst/>
        </a:prstGeom>
      </xdr:spPr>
    </xdr:pic>
    <xdr:clientData/>
  </xdr:twoCellAnchor>
  <xdr:twoCellAnchor editAs="oneCell">
    <xdr:from>
      <xdr:col>13</xdr:col>
      <xdr:colOff>836280</xdr:colOff>
      <xdr:row>10</xdr:row>
      <xdr:rowOff>23052</xdr:rowOff>
    </xdr:from>
    <xdr:to>
      <xdr:col>13</xdr:col>
      <xdr:colOff>1009171</xdr:colOff>
      <xdr:row>10</xdr:row>
      <xdr:rowOff>195943</xdr:rowOff>
    </xdr:to>
    <xdr:pic>
      <xdr:nvPicPr>
        <xdr:cNvPr id="47" name="Picture 46" descr="A black background with a black square&#10;&#10;Description automatically generated with medium confidence">
          <a:extLst>
            <a:ext uri="{FF2B5EF4-FFF2-40B4-BE49-F238E27FC236}">
              <a16:creationId xmlns:a16="http://schemas.microsoft.com/office/drawing/2014/main" id="{62FA1571-6CE8-4B36-B53B-6AF0647FA34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6355978" y="2270632"/>
          <a:ext cx="172891" cy="172891"/>
        </a:xfrm>
        <a:prstGeom prst="rect">
          <a:avLst/>
        </a:prstGeom>
      </xdr:spPr>
    </xdr:pic>
    <xdr:clientData/>
  </xdr:twoCellAnchor>
  <xdr:twoCellAnchor editAs="oneCell">
    <xdr:from>
      <xdr:col>28</xdr:col>
      <xdr:colOff>497808</xdr:colOff>
      <xdr:row>34</xdr:row>
      <xdr:rowOff>186789</xdr:rowOff>
    </xdr:from>
    <xdr:to>
      <xdr:col>32</xdr:col>
      <xdr:colOff>386370</xdr:colOff>
      <xdr:row>68</xdr:row>
      <xdr:rowOff>101437</xdr:rowOff>
    </xdr:to>
    <xdr:pic>
      <xdr:nvPicPr>
        <xdr:cNvPr id="49" name="Picture 48">
          <a:extLst>
            <a:ext uri="{FF2B5EF4-FFF2-40B4-BE49-F238E27FC236}">
              <a16:creationId xmlns:a16="http://schemas.microsoft.com/office/drawing/2014/main" id="{0D22C846-F974-6190-F1B6-AED385B84168}"/>
            </a:ext>
          </a:extLst>
        </xdr:cNvPr>
        <xdr:cNvPicPr>
          <a:picLocks noChangeAspect="1"/>
        </xdr:cNvPicPr>
      </xdr:nvPicPr>
      <xdr:blipFill rotWithShape="1">
        <a:blip xmlns:r="http://schemas.openxmlformats.org/officeDocument/2006/relationships" r:embed="rId17">
          <a:extLst>
            <a:ext uri="{28A0092B-C50C-407E-A947-70E740481C1C}">
              <a14:useLocalDpi xmlns:a14="http://schemas.microsoft.com/office/drawing/2010/main" val="0"/>
            </a:ext>
          </a:extLst>
        </a:blip>
        <a:srcRect t="10644" b="17791"/>
        <a:stretch/>
      </xdr:blipFill>
      <xdr:spPr>
        <a:xfrm>
          <a:off x="24288043" y="7064582"/>
          <a:ext cx="4549625" cy="69804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19</xdr:col>
      <xdr:colOff>918882</xdr:colOff>
      <xdr:row>17</xdr:row>
      <xdr:rowOff>33619</xdr:rowOff>
    </xdr:from>
    <xdr:to>
      <xdr:col>19</xdr:col>
      <xdr:colOff>1278713</xdr:colOff>
      <xdr:row>18</xdr:row>
      <xdr:rowOff>33618</xdr:rowOff>
    </xdr:to>
    <xdr:pic>
      <xdr:nvPicPr>
        <xdr:cNvPr id="2" name="Picture 1">
          <a:extLst>
            <a:ext uri="{FF2B5EF4-FFF2-40B4-BE49-F238E27FC236}">
              <a16:creationId xmlns:a16="http://schemas.microsoft.com/office/drawing/2014/main" id="{0F52F2CE-3F01-462C-84C8-0C0A1A09FD94}"/>
            </a:ext>
          </a:extLst>
        </xdr:cNvPr>
        <xdr:cNvPicPr>
          <a:picLocks noChangeAspect="1"/>
        </xdr:cNvPicPr>
      </xdr:nvPicPr>
      <xdr:blipFill>
        <a:blip xmlns:r="http://schemas.openxmlformats.org/officeDocument/2006/relationships" r:embed="rId1"/>
        <a:stretch>
          <a:fillRect/>
        </a:stretch>
      </xdr:blipFill>
      <xdr:spPr>
        <a:xfrm>
          <a:off x="13475553" y="3669448"/>
          <a:ext cx="359831" cy="212270"/>
        </a:xfrm>
        <a:prstGeom prst="rect">
          <a:avLst/>
        </a:prstGeom>
      </xdr:spPr>
    </xdr:pic>
    <xdr:clientData/>
  </xdr:twoCellAnchor>
  <xdr:twoCellAnchor editAs="oneCell">
    <xdr:from>
      <xdr:col>18</xdr:col>
      <xdr:colOff>698672</xdr:colOff>
      <xdr:row>17</xdr:row>
      <xdr:rowOff>22412</xdr:rowOff>
    </xdr:from>
    <xdr:to>
      <xdr:col>18</xdr:col>
      <xdr:colOff>935639</xdr:colOff>
      <xdr:row>18</xdr:row>
      <xdr:rowOff>41412</xdr:rowOff>
    </xdr:to>
    <xdr:pic>
      <xdr:nvPicPr>
        <xdr:cNvPr id="3" name="Picture 2">
          <a:extLst>
            <a:ext uri="{FF2B5EF4-FFF2-40B4-BE49-F238E27FC236}">
              <a16:creationId xmlns:a16="http://schemas.microsoft.com/office/drawing/2014/main" id="{623482B2-DC2B-41DC-B8F0-F0D03E5459F9}"/>
            </a:ext>
          </a:extLst>
        </xdr:cNvPr>
        <xdr:cNvPicPr>
          <a:picLocks noChangeAspect="1"/>
        </xdr:cNvPicPr>
      </xdr:nvPicPr>
      <xdr:blipFill>
        <a:blip xmlns:r="http://schemas.openxmlformats.org/officeDocument/2006/relationships" r:embed="rId2"/>
        <a:stretch>
          <a:fillRect/>
        </a:stretch>
      </xdr:blipFill>
      <xdr:spPr>
        <a:xfrm>
          <a:off x="12237529" y="3658241"/>
          <a:ext cx="236967" cy="231271"/>
        </a:xfrm>
        <a:prstGeom prst="rect">
          <a:avLst/>
        </a:prstGeom>
      </xdr:spPr>
    </xdr:pic>
    <xdr:clientData/>
  </xdr:twoCellAnchor>
  <xdr:twoCellAnchor editAs="oneCell">
    <xdr:from>
      <xdr:col>26</xdr:col>
      <xdr:colOff>0</xdr:colOff>
      <xdr:row>30</xdr:row>
      <xdr:rowOff>0</xdr:rowOff>
    </xdr:from>
    <xdr:to>
      <xdr:col>32</xdr:col>
      <xdr:colOff>141655</xdr:colOff>
      <xdr:row>51</xdr:row>
      <xdr:rowOff>133351</xdr:rowOff>
    </xdr:to>
    <xdr:sp macro="" textlink="">
      <xdr:nvSpPr>
        <xdr:cNvPr id="4" name="AutoShape 3" descr="Image result for gurke symbol">
          <a:extLst>
            <a:ext uri="{FF2B5EF4-FFF2-40B4-BE49-F238E27FC236}">
              <a16:creationId xmlns:a16="http://schemas.microsoft.com/office/drawing/2014/main" id="{A4D96D8E-AA27-4F20-A7C2-F3103B245109}"/>
            </a:ext>
          </a:extLst>
        </xdr:cNvPr>
        <xdr:cNvSpPr>
          <a:spLocks noChangeAspect="1" noChangeArrowheads="1"/>
        </xdr:cNvSpPr>
      </xdr:nvSpPr>
      <xdr:spPr bwMode="auto">
        <a:xfrm>
          <a:off x="20699186" y="6123214"/>
          <a:ext cx="5029340" cy="4520293"/>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CH"/>
        </a:p>
      </xdr:txBody>
    </xdr:sp>
    <xdr:clientData/>
  </xdr:twoCellAnchor>
  <xdr:twoCellAnchor>
    <xdr:from>
      <xdr:col>15</xdr:col>
      <xdr:colOff>660038</xdr:colOff>
      <xdr:row>17</xdr:row>
      <xdr:rowOff>30696</xdr:rowOff>
    </xdr:from>
    <xdr:to>
      <xdr:col>15</xdr:col>
      <xdr:colOff>900369</xdr:colOff>
      <xdr:row>18</xdr:row>
      <xdr:rowOff>57979</xdr:rowOff>
    </xdr:to>
    <xdr:pic>
      <xdr:nvPicPr>
        <xdr:cNvPr id="5" name="Picture 1" descr="https://static.thenounproject.com/png/200330-200.png">
          <a:extLst>
            <a:ext uri="{FF2B5EF4-FFF2-40B4-BE49-F238E27FC236}">
              <a16:creationId xmlns:a16="http://schemas.microsoft.com/office/drawing/2014/main" id="{1A4D6CE7-B649-4B9E-875B-3EFEA7772BA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216209" y="3666525"/>
          <a:ext cx="240331" cy="2395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556248</xdr:colOff>
      <xdr:row>17</xdr:row>
      <xdr:rowOff>122170</xdr:rowOff>
    </xdr:from>
    <xdr:to>
      <xdr:col>17</xdr:col>
      <xdr:colOff>855072</xdr:colOff>
      <xdr:row>18</xdr:row>
      <xdr:rowOff>47626</xdr:rowOff>
    </xdr:to>
    <xdr:pic>
      <xdr:nvPicPr>
        <xdr:cNvPr id="6" name="Picture 7">
          <a:extLst>
            <a:ext uri="{FF2B5EF4-FFF2-40B4-BE49-F238E27FC236}">
              <a16:creationId xmlns:a16="http://schemas.microsoft.com/office/drawing/2014/main" id="{715A8079-C9C6-4F24-9895-F58BED38393D}"/>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28696" b="26957"/>
        <a:stretch/>
      </xdr:blipFill>
      <xdr:spPr>
        <a:xfrm rot="19111093">
          <a:off x="11148048" y="3757999"/>
          <a:ext cx="298824" cy="137727"/>
        </a:xfrm>
        <a:prstGeom prst="rect">
          <a:avLst/>
        </a:prstGeom>
      </xdr:spPr>
    </xdr:pic>
    <xdr:clientData/>
  </xdr:twoCellAnchor>
  <xdr:twoCellAnchor editAs="oneCell">
    <xdr:from>
      <xdr:col>16</xdr:col>
      <xdr:colOff>704022</xdr:colOff>
      <xdr:row>17</xdr:row>
      <xdr:rowOff>36944</xdr:rowOff>
    </xdr:from>
    <xdr:to>
      <xdr:col>16</xdr:col>
      <xdr:colOff>945014</xdr:colOff>
      <xdr:row>18</xdr:row>
      <xdr:rowOff>64258</xdr:rowOff>
    </xdr:to>
    <xdr:pic>
      <xdr:nvPicPr>
        <xdr:cNvPr id="7" name="Picture 8">
          <a:extLst>
            <a:ext uri="{FF2B5EF4-FFF2-40B4-BE49-F238E27FC236}">
              <a16:creationId xmlns:a16="http://schemas.microsoft.com/office/drawing/2014/main" id="{49485B25-EE37-49E0-B364-5F0100A17CA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278008" y="3672773"/>
          <a:ext cx="240992" cy="239585"/>
        </a:xfrm>
        <a:prstGeom prst="rect">
          <a:avLst/>
        </a:prstGeom>
      </xdr:spPr>
    </xdr:pic>
    <xdr:clientData/>
  </xdr:twoCellAnchor>
  <xdr:twoCellAnchor editAs="oneCell">
    <xdr:from>
      <xdr:col>13</xdr:col>
      <xdr:colOff>605426</xdr:colOff>
      <xdr:row>10</xdr:row>
      <xdr:rowOff>20379</xdr:rowOff>
    </xdr:from>
    <xdr:to>
      <xdr:col>13</xdr:col>
      <xdr:colOff>795926</xdr:colOff>
      <xdr:row>11</xdr:row>
      <xdr:rowOff>1545</xdr:rowOff>
    </xdr:to>
    <xdr:pic>
      <xdr:nvPicPr>
        <xdr:cNvPr id="8" name="Picture 9">
          <a:extLst>
            <a:ext uri="{FF2B5EF4-FFF2-40B4-BE49-F238E27FC236}">
              <a16:creationId xmlns:a16="http://schemas.microsoft.com/office/drawing/2014/main" id="{8168BBB6-1DC1-49EB-9C1D-C669FB95AD2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102712" y="2268279"/>
          <a:ext cx="190500" cy="193437"/>
        </a:xfrm>
        <a:prstGeom prst="rect">
          <a:avLst/>
        </a:prstGeom>
      </xdr:spPr>
    </xdr:pic>
    <xdr:clientData/>
  </xdr:twoCellAnchor>
  <xdr:twoCellAnchor editAs="oneCell">
    <xdr:from>
      <xdr:col>13</xdr:col>
      <xdr:colOff>542982</xdr:colOff>
      <xdr:row>12</xdr:row>
      <xdr:rowOff>24848</xdr:rowOff>
    </xdr:from>
    <xdr:to>
      <xdr:col>13</xdr:col>
      <xdr:colOff>829798</xdr:colOff>
      <xdr:row>12</xdr:row>
      <xdr:rowOff>200906</xdr:rowOff>
    </xdr:to>
    <xdr:pic>
      <xdr:nvPicPr>
        <xdr:cNvPr id="9" name="Picture 10">
          <a:extLst>
            <a:ext uri="{FF2B5EF4-FFF2-40B4-BE49-F238E27FC236}">
              <a16:creationId xmlns:a16="http://schemas.microsoft.com/office/drawing/2014/main" id="{7393CE28-B0BA-4027-8FD7-C0161466CF88}"/>
            </a:ext>
          </a:extLst>
        </xdr:cNvPr>
        <xdr:cNvPicPr>
          <a:picLocks noChangeAspect="1"/>
        </xdr:cNvPicPr>
      </xdr:nvPicPr>
      <xdr:blipFill>
        <a:blip xmlns:r="http://schemas.openxmlformats.org/officeDocument/2006/relationships" r:embed="rId1"/>
        <a:stretch>
          <a:fillRect/>
        </a:stretch>
      </xdr:blipFill>
      <xdr:spPr>
        <a:xfrm>
          <a:off x="6040268" y="2697291"/>
          <a:ext cx="286816" cy="176058"/>
        </a:xfrm>
        <a:prstGeom prst="rect">
          <a:avLst/>
        </a:prstGeom>
      </xdr:spPr>
    </xdr:pic>
    <xdr:clientData/>
  </xdr:twoCellAnchor>
  <xdr:twoCellAnchor editAs="oneCell">
    <xdr:from>
      <xdr:col>13</xdr:col>
      <xdr:colOff>619390</xdr:colOff>
      <xdr:row>11</xdr:row>
      <xdr:rowOff>29052</xdr:rowOff>
    </xdr:from>
    <xdr:to>
      <xdr:col>13</xdr:col>
      <xdr:colOff>790090</xdr:colOff>
      <xdr:row>11</xdr:row>
      <xdr:rowOff>199752</xdr:rowOff>
    </xdr:to>
    <xdr:pic>
      <xdr:nvPicPr>
        <xdr:cNvPr id="10" name="Picture 11">
          <a:extLst>
            <a:ext uri="{FF2B5EF4-FFF2-40B4-BE49-F238E27FC236}">
              <a16:creationId xmlns:a16="http://schemas.microsoft.com/office/drawing/2014/main" id="{E9F9534F-8B13-4531-9524-0ECB9E83885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116676" y="2489223"/>
          <a:ext cx="170700" cy="170700"/>
        </a:xfrm>
        <a:prstGeom prst="rect">
          <a:avLst/>
        </a:prstGeom>
      </xdr:spPr>
    </xdr:pic>
    <xdr:clientData/>
  </xdr:twoCellAnchor>
  <xdr:twoCellAnchor editAs="oneCell">
    <xdr:from>
      <xdr:col>13</xdr:col>
      <xdr:colOff>595830</xdr:colOff>
      <xdr:row>9</xdr:row>
      <xdr:rowOff>21225</xdr:rowOff>
    </xdr:from>
    <xdr:to>
      <xdr:col>13</xdr:col>
      <xdr:colOff>769469</xdr:colOff>
      <xdr:row>9</xdr:row>
      <xdr:rowOff>186876</xdr:rowOff>
    </xdr:to>
    <xdr:pic>
      <xdr:nvPicPr>
        <xdr:cNvPr id="11" name="Picture 12">
          <a:extLst>
            <a:ext uri="{FF2B5EF4-FFF2-40B4-BE49-F238E27FC236}">
              <a16:creationId xmlns:a16="http://schemas.microsoft.com/office/drawing/2014/main" id="{1D21C736-918A-40FB-8420-E349D5E92AF7}"/>
            </a:ext>
          </a:extLst>
        </xdr:cNvPr>
        <xdr:cNvPicPr>
          <a:picLocks noChangeAspect="1"/>
        </xdr:cNvPicPr>
      </xdr:nvPicPr>
      <xdr:blipFill>
        <a:blip xmlns:r="http://schemas.openxmlformats.org/officeDocument/2006/relationships" r:embed="rId2"/>
        <a:stretch>
          <a:fillRect/>
        </a:stretch>
      </xdr:blipFill>
      <xdr:spPr>
        <a:xfrm>
          <a:off x="6093116" y="2056854"/>
          <a:ext cx="173639" cy="165651"/>
        </a:xfrm>
        <a:prstGeom prst="rect">
          <a:avLst/>
        </a:prstGeom>
      </xdr:spPr>
    </xdr:pic>
    <xdr:clientData/>
  </xdr:twoCellAnchor>
  <xdr:twoCellAnchor editAs="oneCell">
    <xdr:from>
      <xdr:col>13</xdr:col>
      <xdr:colOff>556248</xdr:colOff>
      <xdr:row>7</xdr:row>
      <xdr:rowOff>47626</xdr:rowOff>
    </xdr:from>
    <xdr:to>
      <xdr:col>13</xdr:col>
      <xdr:colOff>855072</xdr:colOff>
      <xdr:row>7</xdr:row>
      <xdr:rowOff>180148</xdr:rowOff>
    </xdr:to>
    <xdr:pic>
      <xdr:nvPicPr>
        <xdr:cNvPr id="12" name="Picture 13">
          <a:extLst>
            <a:ext uri="{FF2B5EF4-FFF2-40B4-BE49-F238E27FC236}">
              <a16:creationId xmlns:a16="http://schemas.microsoft.com/office/drawing/2014/main" id="{561B61BE-C16B-4B98-B7AF-AE79D8F51643}"/>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28696" b="26957"/>
        <a:stretch/>
      </xdr:blipFill>
      <xdr:spPr>
        <a:xfrm>
          <a:off x="6053534" y="1664155"/>
          <a:ext cx="298824" cy="132522"/>
        </a:xfrm>
        <a:prstGeom prst="rect">
          <a:avLst/>
        </a:prstGeom>
      </xdr:spPr>
    </xdr:pic>
    <xdr:clientData/>
  </xdr:twoCellAnchor>
  <xdr:twoCellAnchor>
    <xdr:from>
      <xdr:col>13</xdr:col>
      <xdr:colOff>572065</xdr:colOff>
      <xdr:row>8</xdr:row>
      <xdr:rowOff>1308</xdr:rowOff>
    </xdr:from>
    <xdr:to>
      <xdr:col>13</xdr:col>
      <xdr:colOff>779131</xdr:colOff>
      <xdr:row>8</xdr:row>
      <xdr:rowOff>205240</xdr:rowOff>
    </xdr:to>
    <xdr:pic>
      <xdr:nvPicPr>
        <xdr:cNvPr id="13" name="Picture 1" descr="https://static.thenounproject.com/png/200330-200.png">
          <a:extLst>
            <a:ext uri="{FF2B5EF4-FFF2-40B4-BE49-F238E27FC236}">
              <a16:creationId xmlns:a16="http://schemas.microsoft.com/office/drawing/2014/main" id="{91D0C9C5-DEAF-489F-9772-2F81CBBB60D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069351" y="1824665"/>
          <a:ext cx="207066" cy="203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149651</xdr:colOff>
      <xdr:row>15</xdr:row>
      <xdr:rowOff>100700</xdr:rowOff>
    </xdr:from>
    <xdr:to>
      <xdr:col>5</xdr:col>
      <xdr:colOff>356717</xdr:colOff>
      <xdr:row>16</xdr:row>
      <xdr:rowOff>72719</xdr:rowOff>
    </xdr:to>
    <xdr:pic>
      <xdr:nvPicPr>
        <xdr:cNvPr id="14" name="Picture 1" descr="https://static.thenounproject.com/png/200330-200.png">
          <a:extLst>
            <a:ext uri="{FF2B5EF4-FFF2-40B4-BE49-F238E27FC236}">
              <a16:creationId xmlns:a16="http://schemas.microsoft.com/office/drawing/2014/main" id="{04AD6101-32A7-4B32-893C-F89BF13F7E2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032880" y="3366414"/>
          <a:ext cx="207066" cy="189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92422</xdr:colOff>
      <xdr:row>15</xdr:row>
      <xdr:rowOff>171865</xdr:rowOff>
    </xdr:from>
    <xdr:to>
      <xdr:col>7</xdr:col>
      <xdr:colOff>391246</xdr:colOff>
      <xdr:row>16</xdr:row>
      <xdr:rowOff>58867</xdr:rowOff>
    </xdr:to>
    <xdr:pic>
      <xdr:nvPicPr>
        <xdr:cNvPr id="15" name="Picture 16">
          <a:extLst>
            <a:ext uri="{FF2B5EF4-FFF2-40B4-BE49-F238E27FC236}">
              <a16:creationId xmlns:a16="http://schemas.microsoft.com/office/drawing/2014/main" id="{BB12CB0C-C246-4CC1-AF9A-77BF1BB0186C}"/>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28696" b="26957"/>
        <a:stretch/>
      </xdr:blipFill>
      <xdr:spPr>
        <a:xfrm>
          <a:off x="2988022" y="3437579"/>
          <a:ext cx="298824" cy="104717"/>
        </a:xfrm>
        <a:prstGeom prst="rect">
          <a:avLst/>
        </a:prstGeom>
      </xdr:spPr>
    </xdr:pic>
    <xdr:clientData/>
  </xdr:twoCellAnchor>
  <xdr:twoCellAnchor editAs="oneCell">
    <xdr:from>
      <xdr:col>4</xdr:col>
      <xdr:colOff>250788</xdr:colOff>
      <xdr:row>15</xdr:row>
      <xdr:rowOff>178947</xdr:rowOff>
    </xdr:from>
    <xdr:to>
      <xdr:col>4</xdr:col>
      <xdr:colOff>421488</xdr:colOff>
      <xdr:row>16</xdr:row>
      <xdr:rowOff>104127</xdr:rowOff>
    </xdr:to>
    <xdr:pic>
      <xdr:nvPicPr>
        <xdr:cNvPr id="16" name="Picture 17">
          <a:extLst>
            <a:ext uri="{FF2B5EF4-FFF2-40B4-BE49-F238E27FC236}">
              <a16:creationId xmlns:a16="http://schemas.microsoft.com/office/drawing/2014/main" id="{6C6C70BB-8740-4BC3-9C88-17ADA4A37AA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27831" y="3444661"/>
          <a:ext cx="170700" cy="142895"/>
        </a:xfrm>
        <a:prstGeom prst="rect">
          <a:avLst/>
        </a:prstGeom>
      </xdr:spPr>
    </xdr:pic>
    <xdr:clientData/>
  </xdr:twoCellAnchor>
  <xdr:twoCellAnchor editAs="oneCell">
    <xdr:from>
      <xdr:col>9</xdr:col>
      <xdr:colOff>117495</xdr:colOff>
      <xdr:row>15</xdr:row>
      <xdr:rowOff>157369</xdr:rowOff>
    </xdr:from>
    <xdr:to>
      <xdr:col>9</xdr:col>
      <xdr:colOff>377327</xdr:colOff>
      <xdr:row>16</xdr:row>
      <xdr:rowOff>71343</xdr:rowOff>
    </xdr:to>
    <xdr:pic>
      <xdr:nvPicPr>
        <xdr:cNvPr id="17" name="Picture 18">
          <a:extLst>
            <a:ext uri="{FF2B5EF4-FFF2-40B4-BE49-F238E27FC236}">
              <a16:creationId xmlns:a16="http://schemas.microsoft.com/office/drawing/2014/main" id="{7455BD75-C2C1-4C13-8175-E89F6A661188}"/>
            </a:ext>
          </a:extLst>
        </xdr:cNvPr>
        <xdr:cNvPicPr>
          <a:picLocks noChangeAspect="1"/>
        </xdr:cNvPicPr>
      </xdr:nvPicPr>
      <xdr:blipFill>
        <a:blip xmlns:r="http://schemas.openxmlformats.org/officeDocument/2006/relationships" r:embed="rId1"/>
        <a:stretch>
          <a:fillRect/>
        </a:stretch>
      </xdr:blipFill>
      <xdr:spPr>
        <a:xfrm>
          <a:off x="4025466" y="3423083"/>
          <a:ext cx="259832" cy="131689"/>
        </a:xfrm>
        <a:prstGeom prst="rect">
          <a:avLst/>
        </a:prstGeom>
      </xdr:spPr>
    </xdr:pic>
    <xdr:clientData/>
  </xdr:twoCellAnchor>
  <xdr:twoCellAnchor editAs="oneCell">
    <xdr:from>
      <xdr:col>8</xdr:col>
      <xdr:colOff>173416</xdr:colOff>
      <xdr:row>15</xdr:row>
      <xdr:rowOff>162029</xdr:rowOff>
    </xdr:from>
    <xdr:to>
      <xdr:col>8</xdr:col>
      <xdr:colOff>347055</xdr:colOff>
      <xdr:row>16</xdr:row>
      <xdr:rowOff>82160</xdr:rowOff>
    </xdr:to>
    <xdr:pic>
      <xdr:nvPicPr>
        <xdr:cNvPr id="18" name="Picture 19">
          <a:extLst>
            <a:ext uri="{FF2B5EF4-FFF2-40B4-BE49-F238E27FC236}">
              <a16:creationId xmlns:a16="http://schemas.microsoft.com/office/drawing/2014/main" id="{807DAB63-1405-4408-925C-2639D98DD6D4}"/>
            </a:ext>
          </a:extLst>
        </xdr:cNvPr>
        <xdr:cNvPicPr>
          <a:picLocks noChangeAspect="1"/>
        </xdr:cNvPicPr>
      </xdr:nvPicPr>
      <xdr:blipFill>
        <a:blip xmlns:r="http://schemas.openxmlformats.org/officeDocument/2006/relationships" r:embed="rId2"/>
        <a:stretch>
          <a:fillRect/>
        </a:stretch>
      </xdr:blipFill>
      <xdr:spPr>
        <a:xfrm>
          <a:off x="3575202" y="3427743"/>
          <a:ext cx="173639" cy="137846"/>
        </a:xfrm>
        <a:prstGeom prst="rect">
          <a:avLst/>
        </a:prstGeom>
      </xdr:spPr>
    </xdr:pic>
    <xdr:clientData/>
  </xdr:twoCellAnchor>
  <xdr:twoCellAnchor editAs="oneCell">
    <xdr:from>
      <xdr:col>6</xdr:col>
      <xdr:colOff>158165</xdr:colOff>
      <xdr:row>15</xdr:row>
      <xdr:rowOff>136336</xdr:rowOff>
    </xdr:from>
    <xdr:to>
      <xdr:col>6</xdr:col>
      <xdr:colOff>348665</xdr:colOff>
      <xdr:row>16</xdr:row>
      <xdr:rowOff>76089</xdr:rowOff>
    </xdr:to>
    <xdr:pic>
      <xdr:nvPicPr>
        <xdr:cNvPr id="19" name="Picture 20">
          <a:extLst>
            <a:ext uri="{FF2B5EF4-FFF2-40B4-BE49-F238E27FC236}">
              <a16:creationId xmlns:a16="http://schemas.microsoft.com/office/drawing/2014/main" id="{8799F5E6-A6E8-455B-A3E3-107578080DE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547579" y="3402050"/>
          <a:ext cx="190500" cy="157468"/>
        </a:xfrm>
        <a:prstGeom prst="rect">
          <a:avLst/>
        </a:prstGeom>
      </xdr:spPr>
    </xdr:pic>
    <xdr:clientData/>
  </xdr:twoCellAnchor>
  <xdr:twoCellAnchor editAs="oneCell">
    <xdr:from>
      <xdr:col>13</xdr:col>
      <xdr:colOff>786829</xdr:colOff>
      <xdr:row>11</xdr:row>
      <xdr:rowOff>33224</xdr:rowOff>
    </xdr:from>
    <xdr:to>
      <xdr:col>13</xdr:col>
      <xdr:colOff>957529</xdr:colOff>
      <xdr:row>11</xdr:row>
      <xdr:rowOff>203924</xdr:rowOff>
    </xdr:to>
    <xdr:pic>
      <xdr:nvPicPr>
        <xdr:cNvPr id="20" name="Picture 21">
          <a:extLst>
            <a:ext uri="{FF2B5EF4-FFF2-40B4-BE49-F238E27FC236}">
              <a16:creationId xmlns:a16="http://schemas.microsoft.com/office/drawing/2014/main" id="{91128EEC-6C40-4555-8CCD-118B4BB2ECD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284115" y="2493395"/>
          <a:ext cx="170700" cy="170700"/>
        </a:xfrm>
        <a:prstGeom prst="rect">
          <a:avLst/>
        </a:prstGeom>
      </xdr:spPr>
    </xdr:pic>
    <xdr:clientData/>
  </xdr:twoCellAnchor>
  <xdr:twoCellAnchor editAs="oneCell">
    <xdr:from>
      <xdr:col>14</xdr:col>
      <xdr:colOff>780431</xdr:colOff>
      <xdr:row>17</xdr:row>
      <xdr:rowOff>19641</xdr:rowOff>
    </xdr:from>
    <xdr:to>
      <xdr:col>14</xdr:col>
      <xdr:colOff>983663</xdr:colOff>
      <xdr:row>18</xdr:row>
      <xdr:rowOff>13705</xdr:rowOff>
    </xdr:to>
    <xdr:pic>
      <xdr:nvPicPr>
        <xdr:cNvPr id="21" name="Picture 22" descr="Related image">
          <a:extLst>
            <a:ext uri="{FF2B5EF4-FFF2-40B4-BE49-F238E27FC236}">
              <a16:creationId xmlns:a16="http://schemas.microsoft.com/office/drawing/2014/main" id="{73A78EAC-C783-43ED-8A6F-C0692BDF2BBC}"/>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155502" y="3655470"/>
          <a:ext cx="203232" cy="206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53709</xdr:colOff>
      <xdr:row>15</xdr:row>
      <xdr:rowOff>173740</xdr:rowOff>
    </xdr:from>
    <xdr:to>
      <xdr:col>4</xdr:col>
      <xdr:colOff>224409</xdr:colOff>
      <xdr:row>16</xdr:row>
      <xdr:rowOff>98920</xdr:rowOff>
    </xdr:to>
    <xdr:pic>
      <xdr:nvPicPr>
        <xdr:cNvPr id="22" name="Picture 23">
          <a:extLst>
            <a:ext uri="{FF2B5EF4-FFF2-40B4-BE49-F238E27FC236}">
              <a16:creationId xmlns:a16="http://schemas.microsoft.com/office/drawing/2014/main" id="{212D41E8-C0A2-490A-944F-58321F4CE3F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30752" y="3439454"/>
          <a:ext cx="170700" cy="14289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19</xdr:col>
      <xdr:colOff>918882</xdr:colOff>
      <xdr:row>17</xdr:row>
      <xdr:rowOff>33619</xdr:rowOff>
    </xdr:from>
    <xdr:to>
      <xdr:col>19</xdr:col>
      <xdr:colOff>1278713</xdr:colOff>
      <xdr:row>18</xdr:row>
      <xdr:rowOff>33618</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2777507" y="3710269"/>
          <a:ext cx="359831" cy="209549"/>
        </a:xfrm>
        <a:prstGeom prst="rect">
          <a:avLst/>
        </a:prstGeom>
      </xdr:spPr>
    </xdr:pic>
    <xdr:clientData/>
  </xdr:twoCellAnchor>
  <xdr:twoCellAnchor editAs="oneCell">
    <xdr:from>
      <xdr:col>18</xdr:col>
      <xdr:colOff>698672</xdr:colOff>
      <xdr:row>17</xdr:row>
      <xdr:rowOff>22412</xdr:rowOff>
    </xdr:from>
    <xdr:to>
      <xdr:col>18</xdr:col>
      <xdr:colOff>935639</xdr:colOff>
      <xdr:row>18</xdr:row>
      <xdr:rowOff>41412</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1595272" y="3699062"/>
          <a:ext cx="236967" cy="228550"/>
        </a:xfrm>
        <a:prstGeom prst="rect">
          <a:avLst/>
        </a:prstGeom>
      </xdr:spPr>
    </xdr:pic>
    <xdr:clientData/>
  </xdr:twoCellAnchor>
  <xdr:twoCellAnchor editAs="oneCell">
    <xdr:from>
      <xdr:col>26</xdr:col>
      <xdr:colOff>0</xdr:colOff>
      <xdr:row>30</xdr:row>
      <xdr:rowOff>0</xdr:rowOff>
    </xdr:from>
    <xdr:to>
      <xdr:col>32</xdr:col>
      <xdr:colOff>141655</xdr:colOff>
      <xdr:row>51</xdr:row>
      <xdr:rowOff>133351</xdr:rowOff>
    </xdr:to>
    <xdr:sp macro="" textlink="">
      <xdr:nvSpPr>
        <xdr:cNvPr id="4" name="AutoShape 3" descr="Image result for gurke symbol">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19545300" y="5924550"/>
          <a:ext cx="4761280" cy="45339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CH"/>
        </a:p>
      </xdr:txBody>
    </xdr:sp>
    <xdr:clientData/>
  </xdr:twoCellAnchor>
  <xdr:twoCellAnchor>
    <xdr:from>
      <xdr:col>15</xdr:col>
      <xdr:colOff>660038</xdr:colOff>
      <xdr:row>17</xdr:row>
      <xdr:rowOff>30696</xdr:rowOff>
    </xdr:from>
    <xdr:to>
      <xdr:col>15</xdr:col>
      <xdr:colOff>900369</xdr:colOff>
      <xdr:row>18</xdr:row>
      <xdr:rowOff>57979</xdr:rowOff>
    </xdr:to>
    <xdr:pic>
      <xdr:nvPicPr>
        <xdr:cNvPr id="7" name="Picture 1" descr="https://static.thenounproject.com/png/200330-200.png">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737238" y="3707346"/>
          <a:ext cx="240331" cy="2368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556248</xdr:colOff>
      <xdr:row>17</xdr:row>
      <xdr:rowOff>122170</xdr:rowOff>
    </xdr:from>
    <xdr:to>
      <xdr:col>17</xdr:col>
      <xdr:colOff>855072</xdr:colOff>
      <xdr:row>18</xdr:row>
      <xdr:rowOff>47626</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28696" b="26957"/>
        <a:stretch/>
      </xdr:blipFill>
      <xdr:spPr>
        <a:xfrm rot="19111093">
          <a:off x="10557498" y="3798820"/>
          <a:ext cx="298824" cy="135006"/>
        </a:xfrm>
        <a:prstGeom prst="rect">
          <a:avLst/>
        </a:prstGeom>
      </xdr:spPr>
    </xdr:pic>
    <xdr:clientData/>
  </xdr:twoCellAnchor>
  <xdr:twoCellAnchor editAs="oneCell">
    <xdr:from>
      <xdr:col>16</xdr:col>
      <xdr:colOff>704022</xdr:colOff>
      <xdr:row>17</xdr:row>
      <xdr:rowOff>36944</xdr:rowOff>
    </xdr:from>
    <xdr:to>
      <xdr:col>16</xdr:col>
      <xdr:colOff>945014</xdr:colOff>
      <xdr:row>18</xdr:row>
      <xdr:rowOff>64258</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743247" y="3713594"/>
          <a:ext cx="240992" cy="236864"/>
        </a:xfrm>
        <a:prstGeom prst="rect">
          <a:avLst/>
        </a:prstGeom>
      </xdr:spPr>
    </xdr:pic>
    <xdr:clientData/>
  </xdr:twoCellAnchor>
  <xdr:twoCellAnchor editAs="oneCell">
    <xdr:from>
      <xdr:col>13</xdr:col>
      <xdr:colOff>605426</xdr:colOff>
      <xdr:row>10</xdr:row>
      <xdr:rowOff>20379</xdr:rowOff>
    </xdr:from>
    <xdr:to>
      <xdr:col>13</xdr:col>
      <xdr:colOff>795926</xdr:colOff>
      <xdr:row>11</xdr:row>
      <xdr:rowOff>1545</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796551" y="2296854"/>
          <a:ext cx="190500" cy="190716"/>
        </a:xfrm>
        <a:prstGeom prst="rect">
          <a:avLst/>
        </a:prstGeom>
      </xdr:spPr>
    </xdr:pic>
    <xdr:clientData/>
  </xdr:twoCellAnchor>
  <xdr:twoCellAnchor editAs="oneCell">
    <xdr:from>
      <xdr:col>13</xdr:col>
      <xdr:colOff>542982</xdr:colOff>
      <xdr:row>12</xdr:row>
      <xdr:rowOff>24848</xdr:rowOff>
    </xdr:from>
    <xdr:to>
      <xdr:col>13</xdr:col>
      <xdr:colOff>829798</xdr:colOff>
      <xdr:row>12</xdr:row>
      <xdr:rowOff>200906</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
        <a:stretch>
          <a:fillRect/>
        </a:stretch>
      </xdr:blipFill>
      <xdr:spPr>
        <a:xfrm>
          <a:off x="5734107" y="2720423"/>
          <a:ext cx="286816" cy="176058"/>
        </a:xfrm>
        <a:prstGeom prst="rect">
          <a:avLst/>
        </a:prstGeom>
      </xdr:spPr>
    </xdr:pic>
    <xdr:clientData/>
  </xdr:twoCellAnchor>
  <xdr:twoCellAnchor editAs="oneCell">
    <xdr:from>
      <xdr:col>13</xdr:col>
      <xdr:colOff>619390</xdr:colOff>
      <xdr:row>11</xdr:row>
      <xdr:rowOff>29052</xdr:rowOff>
    </xdr:from>
    <xdr:to>
      <xdr:col>13</xdr:col>
      <xdr:colOff>790090</xdr:colOff>
      <xdr:row>11</xdr:row>
      <xdr:rowOff>199752</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810515" y="2515077"/>
          <a:ext cx="170700" cy="170700"/>
        </a:xfrm>
        <a:prstGeom prst="rect">
          <a:avLst/>
        </a:prstGeom>
      </xdr:spPr>
    </xdr:pic>
    <xdr:clientData/>
  </xdr:twoCellAnchor>
  <xdr:twoCellAnchor editAs="oneCell">
    <xdr:from>
      <xdr:col>13</xdr:col>
      <xdr:colOff>595830</xdr:colOff>
      <xdr:row>9</xdr:row>
      <xdr:rowOff>21225</xdr:rowOff>
    </xdr:from>
    <xdr:to>
      <xdr:col>13</xdr:col>
      <xdr:colOff>769469</xdr:colOff>
      <xdr:row>9</xdr:row>
      <xdr:rowOff>186876</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2"/>
        <a:stretch>
          <a:fillRect/>
        </a:stretch>
      </xdr:blipFill>
      <xdr:spPr>
        <a:xfrm>
          <a:off x="5786955" y="2088150"/>
          <a:ext cx="173639" cy="165651"/>
        </a:xfrm>
        <a:prstGeom prst="rect">
          <a:avLst/>
        </a:prstGeom>
      </xdr:spPr>
    </xdr:pic>
    <xdr:clientData/>
  </xdr:twoCellAnchor>
  <xdr:twoCellAnchor editAs="oneCell">
    <xdr:from>
      <xdr:col>13</xdr:col>
      <xdr:colOff>556248</xdr:colOff>
      <xdr:row>7</xdr:row>
      <xdr:rowOff>47626</xdr:rowOff>
    </xdr:from>
    <xdr:to>
      <xdr:col>13</xdr:col>
      <xdr:colOff>855072</xdr:colOff>
      <xdr:row>7</xdr:row>
      <xdr:rowOff>180148</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28696" b="26957"/>
        <a:stretch/>
      </xdr:blipFill>
      <xdr:spPr>
        <a:xfrm>
          <a:off x="5747373" y="1695451"/>
          <a:ext cx="298824" cy="132522"/>
        </a:xfrm>
        <a:prstGeom prst="rect">
          <a:avLst/>
        </a:prstGeom>
      </xdr:spPr>
    </xdr:pic>
    <xdr:clientData/>
  </xdr:twoCellAnchor>
  <xdr:twoCellAnchor>
    <xdr:from>
      <xdr:col>13</xdr:col>
      <xdr:colOff>572065</xdr:colOff>
      <xdr:row>8</xdr:row>
      <xdr:rowOff>1308</xdr:rowOff>
    </xdr:from>
    <xdr:to>
      <xdr:col>13</xdr:col>
      <xdr:colOff>779131</xdr:colOff>
      <xdr:row>8</xdr:row>
      <xdr:rowOff>205240</xdr:rowOff>
    </xdr:to>
    <xdr:pic>
      <xdr:nvPicPr>
        <xdr:cNvPr id="15" name="Picture 1" descr="https://static.thenounproject.com/png/200330-200.png">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763190" y="1858683"/>
          <a:ext cx="207066" cy="203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149651</xdr:colOff>
      <xdr:row>15</xdr:row>
      <xdr:rowOff>100700</xdr:rowOff>
    </xdr:from>
    <xdr:to>
      <xdr:col>5</xdr:col>
      <xdr:colOff>356717</xdr:colOff>
      <xdr:row>16</xdr:row>
      <xdr:rowOff>72719</xdr:rowOff>
    </xdr:to>
    <xdr:pic>
      <xdr:nvPicPr>
        <xdr:cNvPr id="16" name="Picture 1" descr="https://static.thenounproject.com/png/200330-200.png">
          <a:extLst>
            <a:ext uri="{FF2B5EF4-FFF2-40B4-BE49-F238E27FC236}">
              <a16:creationId xmlns:a16="http://schemas.microsoft.com/office/drawing/2014/main" id="{00000000-0008-0000-0100-000010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930826" y="3386825"/>
          <a:ext cx="207066" cy="2101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92422</xdr:colOff>
      <xdr:row>15</xdr:row>
      <xdr:rowOff>171865</xdr:rowOff>
    </xdr:from>
    <xdr:to>
      <xdr:col>7</xdr:col>
      <xdr:colOff>391246</xdr:colOff>
      <xdr:row>16</xdr:row>
      <xdr:rowOff>58867</xdr:rowOff>
    </xdr:to>
    <xdr:pic>
      <xdr:nvPicPr>
        <xdr:cNvPr id="17" name="Picture 16">
          <a:extLst>
            <a:ext uri="{FF2B5EF4-FFF2-40B4-BE49-F238E27FC236}">
              <a16:creationId xmlns:a16="http://schemas.microsoft.com/office/drawing/2014/main" id="{00000000-0008-0000-0100-000011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28696" b="26957"/>
        <a:stretch/>
      </xdr:blipFill>
      <xdr:spPr>
        <a:xfrm>
          <a:off x="2826097" y="3457990"/>
          <a:ext cx="298824" cy="125127"/>
        </a:xfrm>
        <a:prstGeom prst="rect">
          <a:avLst/>
        </a:prstGeom>
      </xdr:spPr>
    </xdr:pic>
    <xdr:clientData/>
  </xdr:twoCellAnchor>
  <xdr:twoCellAnchor editAs="oneCell">
    <xdr:from>
      <xdr:col>4</xdr:col>
      <xdr:colOff>250788</xdr:colOff>
      <xdr:row>15</xdr:row>
      <xdr:rowOff>178947</xdr:rowOff>
    </xdr:from>
    <xdr:to>
      <xdr:col>4</xdr:col>
      <xdr:colOff>421488</xdr:colOff>
      <xdr:row>16</xdr:row>
      <xdr:rowOff>104127</xdr:rowOff>
    </xdr:to>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55713" y="3465072"/>
          <a:ext cx="170700" cy="163305"/>
        </a:xfrm>
        <a:prstGeom prst="rect">
          <a:avLst/>
        </a:prstGeom>
      </xdr:spPr>
    </xdr:pic>
    <xdr:clientData/>
  </xdr:twoCellAnchor>
  <xdr:twoCellAnchor editAs="oneCell">
    <xdr:from>
      <xdr:col>9</xdr:col>
      <xdr:colOff>117495</xdr:colOff>
      <xdr:row>15</xdr:row>
      <xdr:rowOff>157369</xdr:rowOff>
    </xdr:from>
    <xdr:to>
      <xdr:col>9</xdr:col>
      <xdr:colOff>377327</xdr:colOff>
      <xdr:row>16</xdr:row>
      <xdr:rowOff>71343</xdr:rowOff>
    </xdr:to>
    <xdr:pic>
      <xdr:nvPicPr>
        <xdr:cNvPr id="19" name="Picture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
        <a:stretch>
          <a:fillRect/>
        </a:stretch>
      </xdr:blipFill>
      <xdr:spPr>
        <a:xfrm>
          <a:off x="3803670" y="3443494"/>
          <a:ext cx="259832" cy="152099"/>
        </a:xfrm>
        <a:prstGeom prst="rect">
          <a:avLst/>
        </a:prstGeom>
      </xdr:spPr>
    </xdr:pic>
    <xdr:clientData/>
  </xdr:twoCellAnchor>
  <xdr:twoCellAnchor editAs="oneCell">
    <xdr:from>
      <xdr:col>8</xdr:col>
      <xdr:colOff>173416</xdr:colOff>
      <xdr:row>15</xdr:row>
      <xdr:rowOff>162029</xdr:rowOff>
    </xdr:from>
    <xdr:to>
      <xdr:col>8</xdr:col>
      <xdr:colOff>347055</xdr:colOff>
      <xdr:row>16</xdr:row>
      <xdr:rowOff>82160</xdr:rowOff>
    </xdr:to>
    <xdr:pic>
      <xdr:nvPicPr>
        <xdr:cNvPr id="20" name="Picture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2"/>
        <a:stretch>
          <a:fillRect/>
        </a:stretch>
      </xdr:blipFill>
      <xdr:spPr>
        <a:xfrm>
          <a:off x="3383341" y="3448154"/>
          <a:ext cx="173639" cy="158256"/>
        </a:xfrm>
        <a:prstGeom prst="rect">
          <a:avLst/>
        </a:prstGeom>
      </xdr:spPr>
    </xdr:pic>
    <xdr:clientData/>
  </xdr:twoCellAnchor>
  <xdr:twoCellAnchor editAs="oneCell">
    <xdr:from>
      <xdr:col>6</xdr:col>
      <xdr:colOff>158165</xdr:colOff>
      <xdr:row>15</xdr:row>
      <xdr:rowOff>136336</xdr:rowOff>
    </xdr:from>
    <xdr:to>
      <xdr:col>6</xdr:col>
      <xdr:colOff>348665</xdr:colOff>
      <xdr:row>16</xdr:row>
      <xdr:rowOff>76089</xdr:rowOff>
    </xdr:to>
    <xdr:pic>
      <xdr:nvPicPr>
        <xdr:cNvPr id="21" name="Picture 20">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415590" y="3422461"/>
          <a:ext cx="190500" cy="177878"/>
        </a:xfrm>
        <a:prstGeom prst="rect">
          <a:avLst/>
        </a:prstGeom>
      </xdr:spPr>
    </xdr:pic>
    <xdr:clientData/>
  </xdr:twoCellAnchor>
  <xdr:twoCellAnchor editAs="oneCell">
    <xdr:from>
      <xdr:col>13</xdr:col>
      <xdr:colOff>786829</xdr:colOff>
      <xdr:row>11</xdr:row>
      <xdr:rowOff>33224</xdr:rowOff>
    </xdr:from>
    <xdr:to>
      <xdr:col>13</xdr:col>
      <xdr:colOff>957529</xdr:colOff>
      <xdr:row>11</xdr:row>
      <xdr:rowOff>203924</xdr:rowOff>
    </xdr:to>
    <xdr:pic>
      <xdr:nvPicPr>
        <xdr:cNvPr id="22" name="Picture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977954" y="2519249"/>
          <a:ext cx="170700" cy="170700"/>
        </a:xfrm>
        <a:prstGeom prst="rect">
          <a:avLst/>
        </a:prstGeom>
      </xdr:spPr>
    </xdr:pic>
    <xdr:clientData/>
  </xdr:twoCellAnchor>
  <xdr:twoCellAnchor editAs="oneCell">
    <xdr:from>
      <xdr:col>14</xdr:col>
      <xdr:colOff>780431</xdr:colOff>
      <xdr:row>17</xdr:row>
      <xdr:rowOff>19641</xdr:rowOff>
    </xdr:from>
    <xdr:to>
      <xdr:col>14</xdr:col>
      <xdr:colOff>983663</xdr:colOff>
      <xdr:row>18</xdr:row>
      <xdr:rowOff>13705</xdr:rowOff>
    </xdr:to>
    <xdr:pic>
      <xdr:nvPicPr>
        <xdr:cNvPr id="23" name="Picture 22" descr="Related image">
          <a:extLst>
            <a:ext uri="{FF2B5EF4-FFF2-40B4-BE49-F238E27FC236}">
              <a16:creationId xmlns:a16="http://schemas.microsoft.com/office/drawing/2014/main" id="{00000000-0008-0000-0100-000017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743206" y="3696291"/>
          <a:ext cx="203232" cy="2036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53709</xdr:colOff>
      <xdr:row>15</xdr:row>
      <xdr:rowOff>173740</xdr:rowOff>
    </xdr:from>
    <xdr:to>
      <xdr:col>4</xdr:col>
      <xdr:colOff>224409</xdr:colOff>
      <xdr:row>16</xdr:row>
      <xdr:rowOff>98920</xdr:rowOff>
    </xdr:to>
    <xdr:pic>
      <xdr:nvPicPr>
        <xdr:cNvPr id="24" name="Picture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58634" y="3459865"/>
          <a:ext cx="170700" cy="16330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19</xdr:col>
      <xdr:colOff>918882</xdr:colOff>
      <xdr:row>17</xdr:row>
      <xdr:rowOff>33619</xdr:rowOff>
    </xdr:from>
    <xdr:to>
      <xdr:col>19</xdr:col>
      <xdr:colOff>1278713</xdr:colOff>
      <xdr:row>18</xdr:row>
      <xdr:rowOff>33618</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2763500" y="3641913"/>
          <a:ext cx="359831" cy="212912"/>
        </a:xfrm>
        <a:prstGeom prst="rect">
          <a:avLst/>
        </a:prstGeom>
      </xdr:spPr>
    </xdr:pic>
    <xdr:clientData/>
  </xdr:twoCellAnchor>
  <xdr:twoCellAnchor editAs="oneCell">
    <xdr:from>
      <xdr:col>18</xdr:col>
      <xdr:colOff>698672</xdr:colOff>
      <xdr:row>17</xdr:row>
      <xdr:rowOff>22412</xdr:rowOff>
    </xdr:from>
    <xdr:to>
      <xdr:col>18</xdr:col>
      <xdr:colOff>935639</xdr:colOff>
      <xdr:row>18</xdr:row>
      <xdr:rowOff>41412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11582020" y="3617064"/>
          <a:ext cx="236967" cy="226066"/>
        </a:xfrm>
        <a:prstGeom prst="rect">
          <a:avLst/>
        </a:prstGeom>
      </xdr:spPr>
    </xdr:pic>
    <xdr:clientData/>
  </xdr:twoCellAnchor>
  <xdr:twoCellAnchor editAs="oneCell">
    <xdr:from>
      <xdr:col>26</xdr:col>
      <xdr:colOff>0</xdr:colOff>
      <xdr:row>29</xdr:row>
      <xdr:rowOff>0</xdr:rowOff>
    </xdr:from>
    <xdr:to>
      <xdr:col>32</xdr:col>
      <xdr:colOff>141655</xdr:colOff>
      <xdr:row>50</xdr:row>
      <xdr:rowOff>133349</xdr:rowOff>
    </xdr:to>
    <xdr:sp macro="" textlink="">
      <xdr:nvSpPr>
        <xdr:cNvPr id="1027" name="AutoShape 3" descr="Image result for gurke symbol">
          <a:extLst>
            <a:ext uri="{FF2B5EF4-FFF2-40B4-BE49-F238E27FC236}">
              <a16:creationId xmlns:a16="http://schemas.microsoft.com/office/drawing/2014/main" id="{00000000-0008-0000-0500-000003040000}"/>
            </a:ext>
          </a:extLst>
        </xdr:cNvPr>
        <xdr:cNvSpPr>
          <a:spLocks noChangeAspect="1" noChangeArrowheads="1"/>
        </xdr:cNvSpPr>
      </xdr:nvSpPr>
      <xdr:spPr bwMode="auto">
        <a:xfrm>
          <a:off x="17297400" y="5848350"/>
          <a:ext cx="4762500" cy="45339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de-CH"/>
        </a:p>
      </xdr:txBody>
    </xdr:sp>
    <xdr:clientData/>
  </xdr:twoCellAnchor>
  <xdr:twoCellAnchor editAs="oneCell">
    <xdr:from>
      <xdr:col>21</xdr:col>
      <xdr:colOff>0</xdr:colOff>
      <xdr:row>27</xdr:row>
      <xdr:rowOff>0</xdr:rowOff>
    </xdr:from>
    <xdr:to>
      <xdr:col>24</xdr:col>
      <xdr:colOff>2103085</xdr:colOff>
      <xdr:row>48</xdr:row>
      <xdr:rowOff>133349</xdr:rowOff>
    </xdr:to>
    <xdr:sp macro="" textlink="">
      <xdr:nvSpPr>
        <xdr:cNvPr id="1028" name="AutoShape 4" descr="Image result for gurke symbol">
          <a:extLst>
            <a:ext uri="{FF2B5EF4-FFF2-40B4-BE49-F238E27FC236}">
              <a16:creationId xmlns:a16="http://schemas.microsoft.com/office/drawing/2014/main" id="{00000000-0008-0000-0500-000004040000}"/>
            </a:ext>
          </a:extLst>
        </xdr:cNvPr>
        <xdr:cNvSpPr>
          <a:spLocks noChangeAspect="1" noChangeArrowheads="1"/>
        </xdr:cNvSpPr>
      </xdr:nvSpPr>
      <xdr:spPr bwMode="auto">
        <a:xfrm>
          <a:off x="13449300" y="5429250"/>
          <a:ext cx="4762500" cy="45339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929897</xdr:colOff>
      <xdr:row>17</xdr:row>
      <xdr:rowOff>185018</xdr:rowOff>
    </xdr:from>
    <xdr:to>
      <xdr:col>14</xdr:col>
      <xdr:colOff>1092322</xdr:colOff>
      <xdr:row>19</xdr:row>
      <xdr:rowOff>62244</xdr:rowOff>
    </xdr:to>
    <xdr:pic>
      <xdr:nvPicPr>
        <xdr:cNvPr id="8" name="Picture 7" descr="Related image">
          <a:extLst>
            <a:ext uri="{FF2B5EF4-FFF2-40B4-BE49-F238E27FC236}">
              <a16:creationId xmlns:a16="http://schemas.microsoft.com/office/drawing/2014/main" id="{00000000-0008-0000-0500-00000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919465" y="3789442"/>
          <a:ext cx="162425" cy="1650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660038</xdr:colOff>
      <xdr:row>17</xdr:row>
      <xdr:rowOff>30696</xdr:rowOff>
    </xdr:from>
    <xdr:to>
      <xdr:col>15</xdr:col>
      <xdr:colOff>900369</xdr:colOff>
      <xdr:row>18</xdr:row>
      <xdr:rowOff>57979</xdr:rowOff>
    </xdr:to>
    <xdr:pic>
      <xdr:nvPicPr>
        <xdr:cNvPr id="7" name="Picture 1" descr="https://static.thenounproject.com/png/200330-200.png">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727299" y="3625348"/>
          <a:ext cx="240331" cy="234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556248</xdr:colOff>
      <xdr:row>17</xdr:row>
      <xdr:rowOff>122170</xdr:rowOff>
    </xdr:from>
    <xdr:to>
      <xdr:col>17</xdr:col>
      <xdr:colOff>855072</xdr:colOff>
      <xdr:row>18</xdr:row>
      <xdr:rowOff>47626</xdr:rowOff>
    </xdr:to>
    <xdr:pic>
      <xdr:nvPicPr>
        <xdr:cNvPr id="18" name="Picture 17">
          <a:extLst>
            <a:ext uri="{FF2B5EF4-FFF2-40B4-BE49-F238E27FC236}">
              <a16:creationId xmlns:a16="http://schemas.microsoft.com/office/drawing/2014/main" id="{00000000-0008-0000-0500-000012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28696" b="26957"/>
        <a:stretch/>
      </xdr:blipFill>
      <xdr:spPr>
        <a:xfrm rot="19111093">
          <a:off x="10545074" y="3716822"/>
          <a:ext cx="298824" cy="132522"/>
        </a:xfrm>
        <a:prstGeom prst="rect">
          <a:avLst/>
        </a:prstGeom>
      </xdr:spPr>
    </xdr:pic>
    <xdr:clientData/>
  </xdr:twoCellAnchor>
  <xdr:twoCellAnchor editAs="oneCell">
    <xdr:from>
      <xdr:col>16</xdr:col>
      <xdr:colOff>704022</xdr:colOff>
      <xdr:row>17</xdr:row>
      <xdr:rowOff>36944</xdr:rowOff>
    </xdr:from>
    <xdr:to>
      <xdr:col>16</xdr:col>
      <xdr:colOff>945014</xdr:colOff>
      <xdr:row>18</xdr:row>
      <xdr:rowOff>64258</xdr:rowOff>
    </xdr:to>
    <xdr:pic>
      <xdr:nvPicPr>
        <xdr:cNvPr id="19" name="Picture 18">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732065" y="3631596"/>
          <a:ext cx="240992" cy="234380"/>
        </a:xfrm>
        <a:prstGeom prst="rect">
          <a:avLst/>
        </a:prstGeom>
      </xdr:spPr>
    </xdr:pic>
    <xdr:clientData/>
  </xdr:twoCellAnchor>
  <xdr:twoCellAnchor editAs="oneCell">
    <xdr:from>
      <xdr:col>13</xdr:col>
      <xdr:colOff>605426</xdr:colOff>
      <xdr:row>10</xdr:row>
      <xdr:rowOff>20379</xdr:rowOff>
    </xdr:from>
    <xdr:to>
      <xdr:col>13</xdr:col>
      <xdr:colOff>795926</xdr:colOff>
      <xdr:row>11</xdr:row>
      <xdr:rowOff>1545</xdr:rowOff>
    </xdr:to>
    <xdr:pic>
      <xdr:nvPicPr>
        <xdr:cNvPr id="20" name="Picture 19">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782056" y="2298096"/>
          <a:ext cx="190500" cy="185273"/>
        </a:xfrm>
        <a:prstGeom prst="rect">
          <a:avLst/>
        </a:prstGeom>
      </xdr:spPr>
    </xdr:pic>
    <xdr:clientData/>
  </xdr:twoCellAnchor>
  <xdr:twoCellAnchor editAs="oneCell">
    <xdr:from>
      <xdr:col>13</xdr:col>
      <xdr:colOff>542982</xdr:colOff>
      <xdr:row>12</xdr:row>
      <xdr:rowOff>24848</xdr:rowOff>
    </xdr:from>
    <xdr:to>
      <xdr:col>13</xdr:col>
      <xdr:colOff>829798</xdr:colOff>
      <xdr:row>12</xdr:row>
      <xdr:rowOff>200906</xdr:rowOff>
    </xdr:to>
    <xdr:pic>
      <xdr:nvPicPr>
        <xdr:cNvPr id="21" name="Picture 20">
          <a:extLst>
            <a:ext uri="{FF2B5EF4-FFF2-40B4-BE49-F238E27FC236}">
              <a16:creationId xmlns:a16="http://schemas.microsoft.com/office/drawing/2014/main" id="{00000000-0008-0000-0500-000015000000}"/>
            </a:ext>
          </a:extLst>
        </xdr:cNvPr>
        <xdr:cNvPicPr>
          <a:picLocks noChangeAspect="1"/>
        </xdr:cNvPicPr>
      </xdr:nvPicPr>
      <xdr:blipFill>
        <a:blip xmlns:r="http://schemas.openxmlformats.org/officeDocument/2006/relationships" r:embed="rId1"/>
        <a:stretch>
          <a:fillRect/>
        </a:stretch>
      </xdr:blipFill>
      <xdr:spPr>
        <a:xfrm>
          <a:off x="5719612" y="2716696"/>
          <a:ext cx="286816" cy="176058"/>
        </a:xfrm>
        <a:prstGeom prst="rect">
          <a:avLst/>
        </a:prstGeom>
      </xdr:spPr>
    </xdr:pic>
    <xdr:clientData/>
  </xdr:twoCellAnchor>
  <xdr:twoCellAnchor editAs="oneCell">
    <xdr:from>
      <xdr:col>13</xdr:col>
      <xdr:colOff>619390</xdr:colOff>
      <xdr:row>11</xdr:row>
      <xdr:rowOff>29052</xdr:rowOff>
    </xdr:from>
    <xdr:to>
      <xdr:col>13</xdr:col>
      <xdr:colOff>790090</xdr:colOff>
      <xdr:row>11</xdr:row>
      <xdr:rowOff>199752</xdr:rowOff>
    </xdr:to>
    <xdr:pic>
      <xdr:nvPicPr>
        <xdr:cNvPr id="22" name="Picture 21">
          <a:extLst>
            <a:ext uri="{FF2B5EF4-FFF2-40B4-BE49-F238E27FC236}">
              <a16:creationId xmlns:a16="http://schemas.microsoft.com/office/drawing/2014/main" id="{00000000-0008-0000-0500-000016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796020" y="2513835"/>
          <a:ext cx="170700" cy="170700"/>
        </a:xfrm>
        <a:prstGeom prst="rect">
          <a:avLst/>
        </a:prstGeom>
      </xdr:spPr>
    </xdr:pic>
    <xdr:clientData/>
  </xdr:twoCellAnchor>
  <xdr:twoCellAnchor editAs="oneCell">
    <xdr:from>
      <xdr:col>13</xdr:col>
      <xdr:colOff>595830</xdr:colOff>
      <xdr:row>9</xdr:row>
      <xdr:rowOff>21225</xdr:rowOff>
    </xdr:from>
    <xdr:to>
      <xdr:col>13</xdr:col>
      <xdr:colOff>769469</xdr:colOff>
      <xdr:row>9</xdr:row>
      <xdr:rowOff>186876</xdr:rowOff>
    </xdr:to>
    <xdr:pic>
      <xdr:nvPicPr>
        <xdr:cNvPr id="23" name="Picture 22">
          <a:extLst>
            <a:ext uri="{FF2B5EF4-FFF2-40B4-BE49-F238E27FC236}">
              <a16:creationId xmlns:a16="http://schemas.microsoft.com/office/drawing/2014/main" id="{00000000-0008-0000-0500-000017000000}"/>
            </a:ext>
          </a:extLst>
        </xdr:cNvPr>
        <xdr:cNvPicPr>
          <a:picLocks noChangeAspect="1"/>
        </xdr:cNvPicPr>
      </xdr:nvPicPr>
      <xdr:blipFill>
        <a:blip xmlns:r="http://schemas.openxmlformats.org/officeDocument/2006/relationships" r:embed="rId2"/>
        <a:stretch>
          <a:fillRect/>
        </a:stretch>
      </xdr:blipFill>
      <xdr:spPr>
        <a:xfrm>
          <a:off x="5772460" y="2091877"/>
          <a:ext cx="173639" cy="165651"/>
        </a:xfrm>
        <a:prstGeom prst="rect">
          <a:avLst/>
        </a:prstGeom>
      </xdr:spPr>
    </xdr:pic>
    <xdr:clientData/>
  </xdr:twoCellAnchor>
  <xdr:twoCellAnchor editAs="oneCell">
    <xdr:from>
      <xdr:col>13</xdr:col>
      <xdr:colOff>556248</xdr:colOff>
      <xdr:row>7</xdr:row>
      <xdr:rowOff>47626</xdr:rowOff>
    </xdr:from>
    <xdr:to>
      <xdr:col>13</xdr:col>
      <xdr:colOff>855072</xdr:colOff>
      <xdr:row>7</xdr:row>
      <xdr:rowOff>180148</xdr:rowOff>
    </xdr:to>
    <xdr:pic>
      <xdr:nvPicPr>
        <xdr:cNvPr id="24" name="Picture 23">
          <a:extLst>
            <a:ext uri="{FF2B5EF4-FFF2-40B4-BE49-F238E27FC236}">
              <a16:creationId xmlns:a16="http://schemas.microsoft.com/office/drawing/2014/main" id="{00000000-0008-0000-0500-000018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28696" b="26957"/>
        <a:stretch/>
      </xdr:blipFill>
      <xdr:spPr>
        <a:xfrm>
          <a:off x="5732878" y="1704148"/>
          <a:ext cx="298824" cy="132522"/>
        </a:xfrm>
        <a:prstGeom prst="rect">
          <a:avLst/>
        </a:prstGeom>
      </xdr:spPr>
    </xdr:pic>
    <xdr:clientData/>
  </xdr:twoCellAnchor>
  <xdr:twoCellAnchor>
    <xdr:from>
      <xdr:col>13</xdr:col>
      <xdr:colOff>572065</xdr:colOff>
      <xdr:row>8</xdr:row>
      <xdr:rowOff>1308</xdr:rowOff>
    </xdr:from>
    <xdr:to>
      <xdr:col>13</xdr:col>
      <xdr:colOff>779131</xdr:colOff>
      <xdr:row>8</xdr:row>
      <xdr:rowOff>205240</xdr:rowOff>
    </xdr:to>
    <xdr:pic>
      <xdr:nvPicPr>
        <xdr:cNvPr id="25" name="Picture 1" descr="https://static.thenounproject.com/png/200330-200.png">
          <a:extLst>
            <a:ext uri="{FF2B5EF4-FFF2-40B4-BE49-F238E27FC236}">
              <a16:creationId xmlns:a16="http://schemas.microsoft.com/office/drawing/2014/main" id="{00000000-0008-0000-0500-000019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48695" y="1864895"/>
          <a:ext cx="207066" cy="203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149651</xdr:colOff>
      <xdr:row>15</xdr:row>
      <xdr:rowOff>100700</xdr:rowOff>
    </xdr:from>
    <xdr:to>
      <xdr:col>5</xdr:col>
      <xdr:colOff>356717</xdr:colOff>
      <xdr:row>16</xdr:row>
      <xdr:rowOff>72719</xdr:rowOff>
    </xdr:to>
    <xdr:pic>
      <xdr:nvPicPr>
        <xdr:cNvPr id="27" name="Picture 1" descr="https://static.thenounproject.com/png/200330-200.png">
          <a:extLst>
            <a:ext uri="{FF2B5EF4-FFF2-40B4-BE49-F238E27FC236}">
              <a16:creationId xmlns:a16="http://schemas.microsoft.com/office/drawing/2014/main" id="{00000000-0008-0000-0500-00001B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913847" y="3314352"/>
          <a:ext cx="207066" cy="203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92422</xdr:colOff>
      <xdr:row>15</xdr:row>
      <xdr:rowOff>171865</xdr:rowOff>
    </xdr:from>
    <xdr:to>
      <xdr:col>7</xdr:col>
      <xdr:colOff>391246</xdr:colOff>
      <xdr:row>16</xdr:row>
      <xdr:rowOff>58867</xdr:rowOff>
    </xdr:to>
    <xdr:pic>
      <xdr:nvPicPr>
        <xdr:cNvPr id="28" name="Picture 27">
          <a:extLst>
            <a:ext uri="{FF2B5EF4-FFF2-40B4-BE49-F238E27FC236}">
              <a16:creationId xmlns:a16="http://schemas.microsoft.com/office/drawing/2014/main" id="{00000000-0008-0000-0500-00001C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28696" b="26957"/>
        <a:stretch/>
      </xdr:blipFill>
      <xdr:spPr>
        <a:xfrm>
          <a:off x="2817400" y="3385517"/>
          <a:ext cx="298824" cy="132522"/>
        </a:xfrm>
        <a:prstGeom prst="rect">
          <a:avLst/>
        </a:prstGeom>
      </xdr:spPr>
    </xdr:pic>
    <xdr:clientData/>
  </xdr:twoCellAnchor>
  <xdr:twoCellAnchor editAs="oneCell">
    <xdr:from>
      <xdr:col>4</xdr:col>
      <xdr:colOff>250788</xdr:colOff>
      <xdr:row>15</xdr:row>
      <xdr:rowOff>178947</xdr:rowOff>
    </xdr:from>
    <xdr:to>
      <xdr:col>4</xdr:col>
      <xdr:colOff>421488</xdr:colOff>
      <xdr:row>16</xdr:row>
      <xdr:rowOff>104127</xdr:rowOff>
    </xdr:to>
    <xdr:pic>
      <xdr:nvPicPr>
        <xdr:cNvPr id="29" name="Picture 28">
          <a:extLst>
            <a:ext uri="{FF2B5EF4-FFF2-40B4-BE49-F238E27FC236}">
              <a16:creationId xmlns:a16="http://schemas.microsoft.com/office/drawing/2014/main" id="{00000000-0008-0000-0500-00001D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559619" y="3406483"/>
          <a:ext cx="170700" cy="164920"/>
        </a:xfrm>
        <a:prstGeom prst="rect">
          <a:avLst/>
        </a:prstGeom>
      </xdr:spPr>
    </xdr:pic>
    <xdr:clientData/>
  </xdr:twoCellAnchor>
  <xdr:twoCellAnchor editAs="oneCell">
    <xdr:from>
      <xdr:col>9</xdr:col>
      <xdr:colOff>117495</xdr:colOff>
      <xdr:row>15</xdr:row>
      <xdr:rowOff>157369</xdr:rowOff>
    </xdr:from>
    <xdr:to>
      <xdr:col>9</xdr:col>
      <xdr:colOff>377327</xdr:colOff>
      <xdr:row>16</xdr:row>
      <xdr:rowOff>71343</xdr:rowOff>
    </xdr:to>
    <xdr:pic>
      <xdr:nvPicPr>
        <xdr:cNvPr id="30" name="Picture 29">
          <a:extLst>
            <a:ext uri="{FF2B5EF4-FFF2-40B4-BE49-F238E27FC236}">
              <a16:creationId xmlns:a16="http://schemas.microsoft.com/office/drawing/2014/main" id="{00000000-0008-0000-0500-00001E000000}"/>
            </a:ext>
          </a:extLst>
        </xdr:cNvPr>
        <xdr:cNvPicPr>
          <a:picLocks noChangeAspect="1"/>
        </xdr:cNvPicPr>
      </xdr:nvPicPr>
      <xdr:blipFill>
        <a:blip xmlns:r="http://schemas.openxmlformats.org/officeDocument/2006/relationships" r:embed="rId1"/>
        <a:stretch>
          <a:fillRect/>
        </a:stretch>
      </xdr:blipFill>
      <xdr:spPr>
        <a:xfrm>
          <a:off x="3803256" y="3371021"/>
          <a:ext cx="259832" cy="159494"/>
        </a:xfrm>
        <a:prstGeom prst="rect">
          <a:avLst/>
        </a:prstGeom>
      </xdr:spPr>
    </xdr:pic>
    <xdr:clientData/>
  </xdr:twoCellAnchor>
  <xdr:twoCellAnchor editAs="oneCell">
    <xdr:from>
      <xdr:col>8</xdr:col>
      <xdr:colOff>173416</xdr:colOff>
      <xdr:row>15</xdr:row>
      <xdr:rowOff>162029</xdr:rowOff>
    </xdr:from>
    <xdr:to>
      <xdr:col>8</xdr:col>
      <xdr:colOff>347055</xdr:colOff>
      <xdr:row>16</xdr:row>
      <xdr:rowOff>82160</xdr:rowOff>
    </xdr:to>
    <xdr:pic>
      <xdr:nvPicPr>
        <xdr:cNvPr id="31" name="Picture 30">
          <a:extLst>
            <a:ext uri="{FF2B5EF4-FFF2-40B4-BE49-F238E27FC236}">
              <a16:creationId xmlns:a16="http://schemas.microsoft.com/office/drawing/2014/main" id="{00000000-0008-0000-0500-00001F000000}"/>
            </a:ext>
          </a:extLst>
        </xdr:cNvPr>
        <xdr:cNvPicPr>
          <a:picLocks noChangeAspect="1"/>
        </xdr:cNvPicPr>
      </xdr:nvPicPr>
      <xdr:blipFill>
        <a:blip xmlns:r="http://schemas.openxmlformats.org/officeDocument/2006/relationships" r:embed="rId2"/>
        <a:stretch>
          <a:fillRect/>
        </a:stretch>
      </xdr:blipFill>
      <xdr:spPr>
        <a:xfrm>
          <a:off x="3378786" y="3375681"/>
          <a:ext cx="173639" cy="165651"/>
        </a:xfrm>
        <a:prstGeom prst="rect">
          <a:avLst/>
        </a:prstGeom>
      </xdr:spPr>
    </xdr:pic>
    <xdr:clientData/>
  </xdr:twoCellAnchor>
  <xdr:twoCellAnchor editAs="oneCell">
    <xdr:from>
      <xdr:col>6</xdr:col>
      <xdr:colOff>158165</xdr:colOff>
      <xdr:row>15</xdr:row>
      <xdr:rowOff>136336</xdr:rowOff>
    </xdr:from>
    <xdr:to>
      <xdr:col>6</xdr:col>
      <xdr:colOff>348665</xdr:colOff>
      <xdr:row>16</xdr:row>
      <xdr:rowOff>76089</xdr:rowOff>
    </xdr:to>
    <xdr:pic>
      <xdr:nvPicPr>
        <xdr:cNvPr id="32" name="Picture 31">
          <a:extLst>
            <a:ext uri="{FF2B5EF4-FFF2-40B4-BE49-F238E27FC236}">
              <a16:creationId xmlns:a16="http://schemas.microsoft.com/office/drawing/2014/main" id="{00000000-0008-0000-0500-000020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402752" y="3349988"/>
          <a:ext cx="190500" cy="185273"/>
        </a:xfrm>
        <a:prstGeom prst="rect">
          <a:avLst/>
        </a:prstGeom>
      </xdr:spPr>
    </xdr:pic>
    <xdr:clientData/>
  </xdr:twoCellAnchor>
  <xdr:twoCellAnchor editAs="oneCell">
    <xdr:from>
      <xdr:col>13</xdr:col>
      <xdr:colOff>786829</xdr:colOff>
      <xdr:row>11</xdr:row>
      <xdr:rowOff>33224</xdr:rowOff>
    </xdr:from>
    <xdr:to>
      <xdr:col>13</xdr:col>
      <xdr:colOff>957529</xdr:colOff>
      <xdr:row>11</xdr:row>
      <xdr:rowOff>203924</xdr:rowOff>
    </xdr:to>
    <xdr:pic>
      <xdr:nvPicPr>
        <xdr:cNvPr id="26" name="Picture 25">
          <a:extLst>
            <a:ext uri="{FF2B5EF4-FFF2-40B4-BE49-F238E27FC236}">
              <a16:creationId xmlns:a16="http://schemas.microsoft.com/office/drawing/2014/main" id="{00000000-0008-0000-0500-00001A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001595" y="2520688"/>
          <a:ext cx="170700" cy="170700"/>
        </a:xfrm>
        <a:prstGeom prst="rect">
          <a:avLst/>
        </a:prstGeom>
      </xdr:spPr>
    </xdr:pic>
    <xdr:clientData/>
  </xdr:twoCellAnchor>
  <xdr:twoCellAnchor editAs="oneCell">
    <xdr:from>
      <xdr:col>14</xdr:col>
      <xdr:colOff>780431</xdr:colOff>
      <xdr:row>17</xdr:row>
      <xdr:rowOff>19641</xdr:rowOff>
    </xdr:from>
    <xdr:to>
      <xdr:col>14</xdr:col>
      <xdr:colOff>983663</xdr:colOff>
      <xdr:row>18</xdr:row>
      <xdr:rowOff>13705</xdr:rowOff>
    </xdr:to>
    <xdr:pic>
      <xdr:nvPicPr>
        <xdr:cNvPr id="34" name="Picture 33" descr="Related image">
          <a:extLst>
            <a:ext uri="{FF2B5EF4-FFF2-40B4-BE49-F238E27FC236}">
              <a16:creationId xmlns:a16="http://schemas.microsoft.com/office/drawing/2014/main" id="{00000000-0008-0000-0500-00002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769999" y="3624065"/>
          <a:ext cx="203232" cy="2064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53709</xdr:colOff>
      <xdr:row>15</xdr:row>
      <xdr:rowOff>173740</xdr:rowOff>
    </xdr:from>
    <xdr:to>
      <xdr:col>4</xdr:col>
      <xdr:colOff>224409</xdr:colOff>
      <xdr:row>16</xdr:row>
      <xdr:rowOff>98920</xdr:rowOff>
    </xdr:to>
    <xdr:pic>
      <xdr:nvPicPr>
        <xdr:cNvPr id="35" name="Picture 34">
          <a:extLst>
            <a:ext uri="{FF2B5EF4-FFF2-40B4-BE49-F238E27FC236}">
              <a16:creationId xmlns:a16="http://schemas.microsoft.com/office/drawing/2014/main" id="{00000000-0008-0000-0500-000023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62540" y="3401276"/>
          <a:ext cx="170700" cy="16492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19</xdr:col>
      <xdr:colOff>918882</xdr:colOff>
      <xdr:row>17</xdr:row>
      <xdr:rowOff>33619</xdr:rowOff>
    </xdr:from>
    <xdr:to>
      <xdr:col>19</xdr:col>
      <xdr:colOff>1278713</xdr:colOff>
      <xdr:row>18</xdr:row>
      <xdr:rowOff>33619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2720357" y="3634069"/>
          <a:ext cx="359831" cy="209550"/>
        </a:xfrm>
        <a:prstGeom prst="rect">
          <a:avLst/>
        </a:prstGeom>
      </xdr:spPr>
    </xdr:pic>
    <xdr:clientData/>
  </xdr:twoCellAnchor>
  <xdr:twoCellAnchor editAs="oneCell">
    <xdr:from>
      <xdr:col>18</xdr:col>
      <xdr:colOff>698672</xdr:colOff>
      <xdr:row>17</xdr:row>
      <xdr:rowOff>22412</xdr:rowOff>
    </xdr:from>
    <xdr:to>
      <xdr:col>18</xdr:col>
      <xdr:colOff>935639</xdr:colOff>
      <xdr:row>18</xdr:row>
      <xdr:rowOff>41413</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11538122" y="3622862"/>
          <a:ext cx="236967" cy="228551"/>
        </a:xfrm>
        <a:prstGeom prst="rect">
          <a:avLst/>
        </a:prstGeom>
      </xdr:spPr>
    </xdr:pic>
    <xdr:clientData/>
  </xdr:twoCellAnchor>
  <xdr:twoCellAnchor editAs="oneCell">
    <xdr:from>
      <xdr:col>26</xdr:col>
      <xdr:colOff>0</xdr:colOff>
      <xdr:row>29</xdr:row>
      <xdr:rowOff>0</xdr:rowOff>
    </xdr:from>
    <xdr:to>
      <xdr:col>32</xdr:col>
      <xdr:colOff>190500</xdr:colOff>
      <xdr:row>50</xdr:row>
      <xdr:rowOff>133351</xdr:rowOff>
    </xdr:to>
    <xdr:sp macro="" textlink="">
      <xdr:nvSpPr>
        <xdr:cNvPr id="4" name="AutoShape 3" descr="Image result for gurke symbol">
          <a:extLst>
            <a:ext uri="{FF2B5EF4-FFF2-40B4-BE49-F238E27FC236}">
              <a16:creationId xmlns:a16="http://schemas.microsoft.com/office/drawing/2014/main" id="{00000000-0008-0000-0600-000004000000}"/>
            </a:ext>
          </a:extLst>
        </xdr:cNvPr>
        <xdr:cNvSpPr>
          <a:spLocks noChangeAspect="1" noChangeArrowheads="1"/>
        </xdr:cNvSpPr>
      </xdr:nvSpPr>
      <xdr:spPr bwMode="auto">
        <a:xfrm>
          <a:off x="17011650" y="5848350"/>
          <a:ext cx="4762500" cy="45339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21</xdr:col>
      <xdr:colOff>0</xdr:colOff>
      <xdr:row>27</xdr:row>
      <xdr:rowOff>0</xdr:rowOff>
    </xdr:from>
    <xdr:to>
      <xdr:col>27</xdr:col>
      <xdr:colOff>152399</xdr:colOff>
      <xdr:row>48</xdr:row>
      <xdr:rowOff>133350</xdr:rowOff>
    </xdr:to>
    <xdr:sp macro="" textlink="">
      <xdr:nvSpPr>
        <xdr:cNvPr id="5" name="AutoShape 4" descr="Image result for gurke symbol">
          <a:extLst>
            <a:ext uri="{FF2B5EF4-FFF2-40B4-BE49-F238E27FC236}">
              <a16:creationId xmlns:a16="http://schemas.microsoft.com/office/drawing/2014/main" id="{00000000-0008-0000-0600-000005000000}"/>
            </a:ext>
          </a:extLst>
        </xdr:cNvPr>
        <xdr:cNvSpPr>
          <a:spLocks noChangeAspect="1" noChangeArrowheads="1"/>
        </xdr:cNvSpPr>
      </xdr:nvSpPr>
      <xdr:spPr bwMode="auto">
        <a:xfrm>
          <a:off x="13163550" y="5429250"/>
          <a:ext cx="4762499" cy="45339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737671</xdr:colOff>
      <xdr:row>17</xdr:row>
      <xdr:rowOff>24848</xdr:rowOff>
    </xdr:from>
    <xdr:to>
      <xdr:col>14</xdr:col>
      <xdr:colOff>1037503</xdr:colOff>
      <xdr:row>19</xdr:row>
      <xdr:rowOff>41687</xdr:rowOff>
    </xdr:to>
    <xdr:pic>
      <xdr:nvPicPr>
        <xdr:cNvPr id="6" name="Picture 5" descr="Related image">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643296" y="3625298"/>
          <a:ext cx="299832" cy="30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660038</xdr:colOff>
      <xdr:row>17</xdr:row>
      <xdr:rowOff>30696</xdr:rowOff>
    </xdr:from>
    <xdr:to>
      <xdr:col>15</xdr:col>
      <xdr:colOff>900369</xdr:colOff>
      <xdr:row>18</xdr:row>
      <xdr:rowOff>57979</xdr:rowOff>
    </xdr:to>
    <xdr:pic>
      <xdr:nvPicPr>
        <xdr:cNvPr id="7" name="Picture 1" descr="https://static.thenounproject.com/png/200330-200.png">
          <a:extLst>
            <a:ext uri="{FF2B5EF4-FFF2-40B4-BE49-F238E27FC236}">
              <a16:creationId xmlns:a16="http://schemas.microsoft.com/office/drawing/2014/main" id="{00000000-0008-0000-0600-000007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680088" y="3631146"/>
          <a:ext cx="240331" cy="2368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583407</xdr:colOff>
      <xdr:row>7</xdr:row>
      <xdr:rowOff>14520</xdr:rowOff>
    </xdr:from>
    <xdr:to>
      <xdr:col>3</xdr:col>
      <xdr:colOff>773907</xdr:colOff>
      <xdr:row>7</xdr:row>
      <xdr:rowOff>199793</xdr:rowOff>
    </xdr:to>
    <xdr:pic>
      <xdr:nvPicPr>
        <xdr:cNvPr id="8" name="Picture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50132" y="1662345"/>
          <a:ext cx="190500" cy="185273"/>
        </a:xfrm>
        <a:prstGeom prst="rect">
          <a:avLst/>
        </a:prstGeom>
      </xdr:spPr>
    </xdr:pic>
    <xdr:clientData/>
  </xdr:twoCellAnchor>
  <xdr:twoCellAnchor editAs="oneCell">
    <xdr:from>
      <xdr:col>3</xdr:col>
      <xdr:colOff>583407</xdr:colOff>
      <xdr:row>9</xdr:row>
      <xdr:rowOff>61563</xdr:rowOff>
    </xdr:from>
    <xdr:to>
      <xdr:col>3</xdr:col>
      <xdr:colOff>745332</xdr:colOff>
      <xdr:row>9</xdr:row>
      <xdr:rowOff>160959</xdr:rowOff>
    </xdr:to>
    <xdr:pic>
      <xdr:nvPicPr>
        <xdr:cNvPr id="9" name="Picture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1"/>
        <a:stretch>
          <a:fillRect/>
        </a:stretch>
      </xdr:blipFill>
      <xdr:spPr>
        <a:xfrm>
          <a:off x="1050132" y="2128488"/>
          <a:ext cx="161925" cy="99396"/>
        </a:xfrm>
        <a:prstGeom prst="rect">
          <a:avLst/>
        </a:prstGeom>
      </xdr:spPr>
    </xdr:pic>
    <xdr:clientData/>
  </xdr:twoCellAnchor>
  <xdr:twoCellAnchor editAs="oneCell">
    <xdr:from>
      <xdr:col>3</xdr:col>
      <xdr:colOff>564240</xdr:colOff>
      <xdr:row>10</xdr:row>
      <xdr:rowOff>17133</xdr:rowOff>
    </xdr:from>
    <xdr:to>
      <xdr:col>3</xdr:col>
      <xdr:colOff>734940</xdr:colOff>
      <xdr:row>10</xdr:row>
      <xdr:rowOff>187833</xdr:rowOff>
    </xdr:to>
    <xdr:pic>
      <xdr:nvPicPr>
        <xdr:cNvPr id="10" name="Picture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30965" y="2293608"/>
          <a:ext cx="170700" cy="170700"/>
        </a:xfrm>
        <a:prstGeom prst="rect">
          <a:avLst/>
        </a:prstGeom>
      </xdr:spPr>
    </xdr:pic>
    <xdr:clientData/>
  </xdr:twoCellAnchor>
  <xdr:twoCellAnchor editAs="oneCell">
    <xdr:from>
      <xdr:col>3</xdr:col>
      <xdr:colOff>583406</xdr:colOff>
      <xdr:row>8</xdr:row>
      <xdr:rowOff>35719</xdr:rowOff>
    </xdr:from>
    <xdr:to>
      <xdr:col>3</xdr:col>
      <xdr:colOff>757045</xdr:colOff>
      <xdr:row>8</xdr:row>
      <xdr:rowOff>201370</xdr:rowOff>
    </xdr:to>
    <xdr:pic>
      <xdr:nvPicPr>
        <xdr:cNvPr id="11" name="Picture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2"/>
        <a:stretch>
          <a:fillRect/>
        </a:stretch>
      </xdr:blipFill>
      <xdr:spPr>
        <a:xfrm>
          <a:off x="1050131" y="1893094"/>
          <a:ext cx="173639" cy="165651"/>
        </a:xfrm>
        <a:prstGeom prst="rect">
          <a:avLst/>
        </a:prstGeom>
      </xdr:spPr>
    </xdr:pic>
    <xdr:clientData/>
  </xdr:twoCellAnchor>
  <xdr:twoCellAnchor editAs="oneCell">
    <xdr:from>
      <xdr:col>3</xdr:col>
      <xdr:colOff>476250</xdr:colOff>
      <xdr:row>11</xdr:row>
      <xdr:rowOff>33687</xdr:rowOff>
    </xdr:from>
    <xdr:to>
      <xdr:col>3</xdr:col>
      <xdr:colOff>775074</xdr:colOff>
      <xdr:row>11</xdr:row>
      <xdr:rowOff>166209</xdr:rowOff>
    </xdr:to>
    <xdr:pic>
      <xdr:nvPicPr>
        <xdr:cNvPr id="12" name="Picture 11">
          <a:extLst>
            <a:ext uri="{FF2B5EF4-FFF2-40B4-BE49-F238E27FC236}">
              <a16:creationId xmlns:a16="http://schemas.microsoft.com/office/drawing/2014/main" id="{00000000-0008-0000-0600-00000C00000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28696" b="26957"/>
        <a:stretch/>
      </xdr:blipFill>
      <xdr:spPr>
        <a:xfrm>
          <a:off x="942975" y="2519712"/>
          <a:ext cx="298824" cy="132522"/>
        </a:xfrm>
        <a:prstGeom prst="rect">
          <a:avLst/>
        </a:prstGeom>
      </xdr:spPr>
    </xdr:pic>
    <xdr:clientData/>
  </xdr:twoCellAnchor>
  <xdr:twoCellAnchor>
    <xdr:from>
      <xdr:col>3</xdr:col>
      <xdr:colOff>550045</xdr:colOff>
      <xdr:row>12</xdr:row>
      <xdr:rowOff>1915</xdr:rowOff>
    </xdr:from>
    <xdr:to>
      <xdr:col>3</xdr:col>
      <xdr:colOff>757111</xdr:colOff>
      <xdr:row>12</xdr:row>
      <xdr:rowOff>205847</xdr:rowOff>
    </xdr:to>
    <xdr:pic>
      <xdr:nvPicPr>
        <xdr:cNvPr id="13" name="Picture 1" descr="https://static.thenounproject.com/png/200330-200.png">
          <a:extLst>
            <a:ext uri="{FF2B5EF4-FFF2-40B4-BE49-F238E27FC236}">
              <a16:creationId xmlns:a16="http://schemas.microsoft.com/office/drawing/2014/main" id="{00000000-0008-0000-0600-00000D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16770" y="2697490"/>
          <a:ext cx="207066" cy="203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556248</xdr:colOff>
      <xdr:row>17</xdr:row>
      <xdr:rowOff>122170</xdr:rowOff>
    </xdr:from>
    <xdr:to>
      <xdr:col>17</xdr:col>
      <xdr:colOff>855072</xdr:colOff>
      <xdr:row>18</xdr:row>
      <xdr:rowOff>47627</xdr:rowOff>
    </xdr:to>
    <xdr:pic>
      <xdr:nvPicPr>
        <xdr:cNvPr id="14" name="Picture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28696" b="26957"/>
        <a:stretch/>
      </xdr:blipFill>
      <xdr:spPr>
        <a:xfrm rot="19111093">
          <a:off x="10500348" y="3722620"/>
          <a:ext cx="298824" cy="135007"/>
        </a:xfrm>
        <a:prstGeom prst="rect">
          <a:avLst/>
        </a:prstGeom>
      </xdr:spPr>
    </xdr:pic>
    <xdr:clientData/>
  </xdr:twoCellAnchor>
  <xdr:twoCellAnchor editAs="oneCell">
    <xdr:from>
      <xdr:col>16</xdr:col>
      <xdr:colOff>704022</xdr:colOff>
      <xdr:row>17</xdr:row>
      <xdr:rowOff>36944</xdr:rowOff>
    </xdr:from>
    <xdr:to>
      <xdr:col>16</xdr:col>
      <xdr:colOff>945014</xdr:colOff>
      <xdr:row>18</xdr:row>
      <xdr:rowOff>64259</xdr:rowOff>
    </xdr:to>
    <xdr:pic>
      <xdr:nvPicPr>
        <xdr:cNvPr id="15" name="Picture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686097" y="3637394"/>
          <a:ext cx="240992" cy="236865"/>
        </a:xfrm>
        <a:prstGeom prst="rect">
          <a:avLst/>
        </a:prstGeom>
      </xdr:spPr>
    </xdr:pic>
    <xdr:clientData/>
  </xdr:twoCellAnchor>
  <xdr:twoCellAnchor editAs="oneCell">
    <xdr:from>
      <xdr:col>13</xdr:col>
      <xdr:colOff>605426</xdr:colOff>
      <xdr:row>10</xdr:row>
      <xdr:rowOff>20379</xdr:rowOff>
    </xdr:from>
    <xdr:to>
      <xdr:col>13</xdr:col>
      <xdr:colOff>795926</xdr:colOff>
      <xdr:row>10</xdr:row>
      <xdr:rowOff>205652</xdr:rowOff>
    </xdr:to>
    <xdr:pic>
      <xdr:nvPicPr>
        <xdr:cNvPr id="16" name="Picture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739401" y="2296854"/>
          <a:ext cx="190500" cy="185273"/>
        </a:xfrm>
        <a:prstGeom prst="rect">
          <a:avLst/>
        </a:prstGeom>
      </xdr:spPr>
    </xdr:pic>
    <xdr:clientData/>
  </xdr:twoCellAnchor>
  <xdr:twoCellAnchor editAs="oneCell">
    <xdr:from>
      <xdr:col>13</xdr:col>
      <xdr:colOff>542982</xdr:colOff>
      <xdr:row>12</xdr:row>
      <xdr:rowOff>24848</xdr:rowOff>
    </xdr:from>
    <xdr:to>
      <xdr:col>13</xdr:col>
      <xdr:colOff>829798</xdr:colOff>
      <xdr:row>12</xdr:row>
      <xdr:rowOff>200906</xdr:rowOff>
    </xdr:to>
    <xdr:pic>
      <xdr:nvPicPr>
        <xdr:cNvPr id="17" name="Picture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1"/>
        <a:stretch>
          <a:fillRect/>
        </a:stretch>
      </xdr:blipFill>
      <xdr:spPr>
        <a:xfrm>
          <a:off x="5676957" y="2720423"/>
          <a:ext cx="286816" cy="176058"/>
        </a:xfrm>
        <a:prstGeom prst="rect">
          <a:avLst/>
        </a:prstGeom>
      </xdr:spPr>
    </xdr:pic>
    <xdr:clientData/>
  </xdr:twoCellAnchor>
  <xdr:twoCellAnchor editAs="oneCell">
    <xdr:from>
      <xdr:col>13</xdr:col>
      <xdr:colOff>619390</xdr:colOff>
      <xdr:row>11</xdr:row>
      <xdr:rowOff>29052</xdr:rowOff>
    </xdr:from>
    <xdr:to>
      <xdr:col>13</xdr:col>
      <xdr:colOff>790090</xdr:colOff>
      <xdr:row>11</xdr:row>
      <xdr:rowOff>199752</xdr:rowOff>
    </xdr:to>
    <xdr:pic>
      <xdr:nvPicPr>
        <xdr:cNvPr id="18" name="Picture 17">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753365" y="2515077"/>
          <a:ext cx="170700" cy="170700"/>
        </a:xfrm>
        <a:prstGeom prst="rect">
          <a:avLst/>
        </a:prstGeom>
      </xdr:spPr>
    </xdr:pic>
    <xdr:clientData/>
  </xdr:twoCellAnchor>
  <xdr:twoCellAnchor editAs="oneCell">
    <xdr:from>
      <xdr:col>13</xdr:col>
      <xdr:colOff>595830</xdr:colOff>
      <xdr:row>9</xdr:row>
      <xdr:rowOff>21225</xdr:rowOff>
    </xdr:from>
    <xdr:to>
      <xdr:col>13</xdr:col>
      <xdr:colOff>769469</xdr:colOff>
      <xdr:row>9</xdr:row>
      <xdr:rowOff>186876</xdr:rowOff>
    </xdr:to>
    <xdr:pic>
      <xdr:nvPicPr>
        <xdr:cNvPr id="19" name="Picture 18">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2"/>
        <a:stretch>
          <a:fillRect/>
        </a:stretch>
      </xdr:blipFill>
      <xdr:spPr>
        <a:xfrm>
          <a:off x="5729805" y="2088150"/>
          <a:ext cx="173639" cy="165651"/>
        </a:xfrm>
        <a:prstGeom prst="rect">
          <a:avLst/>
        </a:prstGeom>
      </xdr:spPr>
    </xdr:pic>
    <xdr:clientData/>
  </xdr:twoCellAnchor>
  <xdr:twoCellAnchor editAs="oneCell">
    <xdr:from>
      <xdr:col>13</xdr:col>
      <xdr:colOff>556248</xdr:colOff>
      <xdr:row>7</xdr:row>
      <xdr:rowOff>47626</xdr:rowOff>
    </xdr:from>
    <xdr:to>
      <xdr:col>13</xdr:col>
      <xdr:colOff>855072</xdr:colOff>
      <xdr:row>7</xdr:row>
      <xdr:rowOff>180148</xdr:rowOff>
    </xdr:to>
    <xdr:pic>
      <xdr:nvPicPr>
        <xdr:cNvPr id="20" name="Picture 19">
          <a:extLst>
            <a:ext uri="{FF2B5EF4-FFF2-40B4-BE49-F238E27FC236}">
              <a16:creationId xmlns:a16="http://schemas.microsoft.com/office/drawing/2014/main" id="{00000000-0008-0000-0600-00001400000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28696" b="26957"/>
        <a:stretch/>
      </xdr:blipFill>
      <xdr:spPr>
        <a:xfrm>
          <a:off x="5690223" y="1695451"/>
          <a:ext cx="298824" cy="132522"/>
        </a:xfrm>
        <a:prstGeom prst="rect">
          <a:avLst/>
        </a:prstGeom>
      </xdr:spPr>
    </xdr:pic>
    <xdr:clientData/>
  </xdr:twoCellAnchor>
  <xdr:twoCellAnchor>
    <xdr:from>
      <xdr:col>13</xdr:col>
      <xdr:colOff>572065</xdr:colOff>
      <xdr:row>8</xdr:row>
      <xdr:rowOff>1308</xdr:rowOff>
    </xdr:from>
    <xdr:to>
      <xdr:col>13</xdr:col>
      <xdr:colOff>779131</xdr:colOff>
      <xdr:row>8</xdr:row>
      <xdr:rowOff>205240</xdr:rowOff>
    </xdr:to>
    <xdr:pic>
      <xdr:nvPicPr>
        <xdr:cNvPr id="21" name="Picture 1" descr="https://static.thenounproject.com/png/200330-200.png">
          <a:extLst>
            <a:ext uri="{FF2B5EF4-FFF2-40B4-BE49-F238E27FC236}">
              <a16:creationId xmlns:a16="http://schemas.microsoft.com/office/drawing/2014/main" id="{00000000-0008-0000-0600-00001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06040" y="1858683"/>
          <a:ext cx="207066" cy="203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149651</xdr:colOff>
      <xdr:row>15</xdr:row>
      <xdr:rowOff>100700</xdr:rowOff>
    </xdr:from>
    <xdr:to>
      <xdr:col>5</xdr:col>
      <xdr:colOff>356717</xdr:colOff>
      <xdr:row>16</xdr:row>
      <xdr:rowOff>72719</xdr:rowOff>
    </xdr:to>
    <xdr:pic>
      <xdr:nvPicPr>
        <xdr:cNvPr id="22" name="Picture 1" descr="https://static.thenounproject.com/png/200330-200.png">
          <a:extLst>
            <a:ext uri="{FF2B5EF4-FFF2-40B4-BE49-F238E27FC236}">
              <a16:creationId xmlns:a16="http://schemas.microsoft.com/office/drawing/2014/main" id="{00000000-0008-0000-0600-000016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902251" y="3320150"/>
          <a:ext cx="207066" cy="2006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92422</xdr:colOff>
      <xdr:row>15</xdr:row>
      <xdr:rowOff>171865</xdr:rowOff>
    </xdr:from>
    <xdr:to>
      <xdr:col>7</xdr:col>
      <xdr:colOff>391246</xdr:colOff>
      <xdr:row>16</xdr:row>
      <xdr:rowOff>72474</xdr:rowOff>
    </xdr:to>
    <xdr:pic>
      <xdr:nvPicPr>
        <xdr:cNvPr id="23" name="Picture 22">
          <a:extLst>
            <a:ext uri="{FF2B5EF4-FFF2-40B4-BE49-F238E27FC236}">
              <a16:creationId xmlns:a16="http://schemas.microsoft.com/office/drawing/2014/main" id="{00000000-0008-0000-0600-00001700000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28696" b="26957"/>
        <a:stretch/>
      </xdr:blipFill>
      <xdr:spPr>
        <a:xfrm>
          <a:off x="2797522" y="3391315"/>
          <a:ext cx="298824" cy="129209"/>
        </a:xfrm>
        <a:prstGeom prst="rect">
          <a:avLst/>
        </a:prstGeom>
      </xdr:spPr>
    </xdr:pic>
    <xdr:clientData/>
  </xdr:twoCellAnchor>
  <xdr:twoCellAnchor editAs="oneCell">
    <xdr:from>
      <xdr:col>4</xdr:col>
      <xdr:colOff>161705</xdr:colOff>
      <xdr:row>15</xdr:row>
      <xdr:rowOff>144685</xdr:rowOff>
    </xdr:from>
    <xdr:to>
      <xdr:col>4</xdr:col>
      <xdr:colOff>332405</xdr:colOff>
      <xdr:row>16</xdr:row>
      <xdr:rowOff>83472</xdr:rowOff>
    </xdr:to>
    <xdr:pic>
      <xdr:nvPicPr>
        <xdr:cNvPr id="24" name="Picture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38055" y="3364135"/>
          <a:ext cx="170700" cy="167387"/>
        </a:xfrm>
        <a:prstGeom prst="rect">
          <a:avLst/>
        </a:prstGeom>
      </xdr:spPr>
    </xdr:pic>
    <xdr:clientData/>
  </xdr:twoCellAnchor>
  <xdr:twoCellAnchor editAs="oneCell">
    <xdr:from>
      <xdr:col>9</xdr:col>
      <xdr:colOff>117495</xdr:colOff>
      <xdr:row>15</xdr:row>
      <xdr:rowOff>157369</xdr:rowOff>
    </xdr:from>
    <xdr:to>
      <xdr:col>9</xdr:col>
      <xdr:colOff>377327</xdr:colOff>
      <xdr:row>16</xdr:row>
      <xdr:rowOff>84950</xdr:rowOff>
    </xdr:to>
    <xdr:pic>
      <xdr:nvPicPr>
        <xdr:cNvPr id="25" name="Picture 24">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1"/>
        <a:stretch>
          <a:fillRect/>
        </a:stretch>
      </xdr:blipFill>
      <xdr:spPr>
        <a:xfrm>
          <a:off x="3775095" y="3376819"/>
          <a:ext cx="259832" cy="156181"/>
        </a:xfrm>
        <a:prstGeom prst="rect">
          <a:avLst/>
        </a:prstGeom>
      </xdr:spPr>
    </xdr:pic>
    <xdr:clientData/>
  </xdr:twoCellAnchor>
  <xdr:twoCellAnchor editAs="oneCell">
    <xdr:from>
      <xdr:col>8</xdr:col>
      <xdr:colOff>173416</xdr:colOff>
      <xdr:row>15</xdr:row>
      <xdr:rowOff>162029</xdr:rowOff>
    </xdr:from>
    <xdr:to>
      <xdr:col>8</xdr:col>
      <xdr:colOff>347055</xdr:colOff>
      <xdr:row>16</xdr:row>
      <xdr:rowOff>95767</xdr:rowOff>
    </xdr:to>
    <xdr:pic>
      <xdr:nvPicPr>
        <xdr:cNvPr id="26" name="Picture 25">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2"/>
        <a:stretch>
          <a:fillRect/>
        </a:stretch>
      </xdr:blipFill>
      <xdr:spPr>
        <a:xfrm>
          <a:off x="3354766" y="3381479"/>
          <a:ext cx="173639" cy="162338"/>
        </a:xfrm>
        <a:prstGeom prst="rect">
          <a:avLst/>
        </a:prstGeom>
      </xdr:spPr>
    </xdr:pic>
    <xdr:clientData/>
  </xdr:twoCellAnchor>
  <xdr:twoCellAnchor editAs="oneCell">
    <xdr:from>
      <xdr:col>6</xdr:col>
      <xdr:colOff>158165</xdr:colOff>
      <xdr:row>15</xdr:row>
      <xdr:rowOff>136336</xdr:rowOff>
    </xdr:from>
    <xdr:to>
      <xdr:col>6</xdr:col>
      <xdr:colOff>348665</xdr:colOff>
      <xdr:row>16</xdr:row>
      <xdr:rowOff>89696</xdr:rowOff>
    </xdr:to>
    <xdr:pic>
      <xdr:nvPicPr>
        <xdr:cNvPr id="27" name="Picture 26">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387015" y="3355786"/>
          <a:ext cx="190500" cy="181960"/>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2-27T18:44:03.542"/>
    </inkml:context>
    <inkml:brush xml:id="br0">
      <inkml:brushProperty name="width" value="0.05" units="cm"/>
      <inkml:brushProperty name="height" value="0.05" units="cm"/>
      <inkml:brushProperty name="color" value="#E71224"/>
    </inkml:brush>
  </inkml:definitions>
  <inkml:trace contextRef="#ctx0" brushRef="#br0">14220 1191 24575,'-4'-9'0,"-4"1"0,0-7 0,1 10 0,-2-3 0,3-1 0,-2-1 0,2 5 0,-17-12 0,-10-3 0,-43-22 0,52 26 0,-130-62 15,-3 6-1,-5 4 0,-340-95 0,288 116-254,-2 8-1,-401-31 1,332 54 157,-413 30 0,581-6 87,-3 8 1,1 4 0,-2 7 0,5-1-1,-3 9 1,-110 47 0,194-65 61,1-1 1,0 3-1,2 1 1,-1-3-1,-34 38 1,48-43-28,2 8 1,0-1 0,0-3 0,3 2 0,1 1 0,0 4 0,0-2 0,3-2-1,-10 28 1,-17 70-40,4-1 0,-22 219 0,38-189 0,5 229 0,15-283 0,7 8 0,3-8 0,41 139 0,-17-129 6,2-1 0,3-4 0,7-1 0,4-4 0,8 1 0,1 0-1,2-7 1,136 134 0,-93-112-115,11-6-1,9-5 1,-6-6 0,12-1-1,235 119 1,-81-73 33,523 179 1,-599-252 82,9-7 1,2-9 0,293 29-1,-256-57-7,331-11 0,-499-12 0,-6-4 0,-1-5 0,112-24 0,-143 23 0,-4-1 0,7-7 0,-8 3 0,5-4 0,-4-3 0,53-33 0,-38 15-67,-1-8 1,-1 2-1,71-78 0,-45 23-180,83-114-1,-102 115 227,-4-3 1,-7 1-1,-1-6 0,-11 3 0,0-6 1,-9 0-1,29-137 0,-52 169 23,-3-4-1,-3 1 0,-5-6 0,-3 7 0,-5-3 1,-4 0-1,-4 1 0,-2-1 0,-8 4 0,-49-130 1,30 122-10,-6 0 0,-2 3 0,-8-1 0,-94-109 0,67 99-197,-9 4 0,-5 4 0,-114-85 0,48 57 54,-7 2 0,-7 17 0,-5 1 0,-326-127 0,260 139 75,-3 7 0,-7 12-1,-1 8 1,-539-51 0,637 100-684,40 7-3037</inkml:trace>
  <inkml:trace contextRef="#ctx0" brushRef="#br0" timeOffset="2513.1">53 956 24575,'-21'372'0,"-4"-91"0,22-209 0,-1 110 0,5-158 0,1 3 0,2 0 0,1-3 0,16 48 0,-19-67 0,-2 4 0,2 0 0,1-6 0,2 2 0,0 0 0,-2 3 0,3-4 0,-2 1 0,7 7 0,-8-10 0,0 1 0,-2-1 0,1 0 0,0-1 0,3 0 0,-2-1 0,-1 1 0,2 0 0,-1-1 0,3 4 0,-5-3 0,2-1 0,-3 0 0,7 0 0,-5 1 0,2-1 0,-1 0 0,0-1 0,-2 1 0,3 0 0,-2 0 0,1-1 0,8-3 0,4 0 0,-2-4 0,-3 2 0,8-3 0,-5 3 0,-1-4 0,0 2 0,-1 1 0,23-23 0,81-97 0,-103 104 0,175-225 0,-70 81 0,-109 161 0,-3-2 0,-1 1 0,7-1 0,-6 3 0,5-5 0,5-4 0,-12 13 0,0-1 0,-2 0 0,1 2 0,0-1 0,0 0 0,-1 1 0,2 0 0,-2 0 0,0-1 0,4 1 0,-3-1 0,0 1 0,0 0 0,-1 0 0,3 0 0,-2 1 0,2-1 0,-3 0 0,1 1 0,0-1 0,0 0 0,0 0 0,1 1 0,-1 0 0,3-1 0,-4 2 0,1 0 0,-1-1 0,1-1 0,-1 4 0,3 1 0,22 18 0,-3 1 0,44 49 0,5 11 0,-37-44 0,5-1 0,3-2 0,2-2 0,-1 2 0,4-6 0,0-4 0,1 2 0,4-4 0,58 21 0,-102-43 0,-5 1 0,5-2 0,0 3 0,-2-3 0,1 0 0,3-2 0,-7 0 0,4 1 0,-1-1 0,16-1 0,-19 0 0,-1-2 0,5 3 0,-2-5 0,-2 3 0,1-2 0,-3 2 0,3 1 0,-2 0 0,2-2 0,-3-1 0,5-2 0,-5 3 0,1 1 0,3-2 0,-4 0 0,7-8 0,7-12 0,2-4 0,-5 0 0,-1 1 0,4-1 0,7-41 0,28-159 0,-46 200 0,25-172-455,-9 0 0,-6-226 0,-15 359-6371</inkml:trace>
  <inkml:trace contextRef="#ctx0" brushRef="#br0" timeOffset="3364.11">3273 2316 24575,'14'0'0,"2"-1"0,-3-2 0,1 0 0,-3 2 0,2-4 0,-2 1 0,3-1 0,1 2 0,-3-3 0,-4-1 0,6 1 0,-8-1 0,22-14 0,9-6 0,-8 0 0,51-56 0,-43 40 0,0-1 0,54-91 0,-79 112 0,-1 0 0,0 0 0,-5-3 0,3-3 0,0 7 0,-4-4 0,0 3 0,3-38 0,-8 59 0,0-2 0,0-2 0,0 1 0,0 2 0,-3 1 0,-1 1 0,4-3 0,-1-9 0,0 12 0,1 1 0,-1-1 0,1 1 0,-1 0 0,0-1 0,1 1 0,-1-1 0,-1 0 0,2 0 0,0 1 0,0-1 0,0 1 0,-3 0 0,2 0 0,-1 0 0,0-1 0,2 1 0,-1-1 0,-1 1 0,0-2 0,-1 2 0,-1 0 0,3 2 0,-3-2 0,2 1 0,-3 0 0,2-1 0,1 0 0,-2 1 0,4 0 0,-5 1 0,4-1 0,-5-1 0,4 1 0,1 3 0,0-1 0,-2-2 0,1 3 0,-6 2 0,-36 35 0,6 1 0,-70 93 0,102-125 0,-2 0 0,5 0 0,-2-1 0,1 3 0,-4-1 0,4-1 0,1 5 0,0-8 0,2 7 0,-3-4 0,3 13 0,1-11 0,1-4 0,2 0 0,-2 2 0,0-1 0,4 0 0,-4-1 0,2 0 0,3-2 0,1 7 0,-5-6 0,2-2 0,1 0 0,1 6 0,12 8 0,6 3 0,3 0 0,-1-4 0,2 3 0,-2-5 0,4 1 0,-1-1 0,1-4 0,34 17 0,43 4 0,111 26 0,-214-59 0,93 19-273,-3-3 0,-1-8 0,2-3 0,122-5 0,-163-1-6553</inkml:trace>
  <inkml:trace contextRef="#ctx0" brushRef="#br0" timeOffset="3847.1">5168 1895 24575,'0'11'0,"-6"3"0,-16 26 0,1 16 0,-11 13 0,4 6 0,10 4 0,3-2 0,5-4 0,4-16-8191</inkml:trace>
  <inkml:trace contextRef="#ctx0" brushRef="#br0" timeOffset="4449.11">5320 1191 24575</inkml:trace>
  <inkml:trace contextRef="#ctx0" brushRef="#br0" timeOffset="5221.67">5784 1611 24575,'82'-1'0,"2"3"0,-1 8 0,83 11 0,-147-18 0,65 9 0,5 10 0,-7-1 0,103 42 0,-173-55 0,5-2 0,-4 4 0,-3-2 0,4 1 0,-1 1 0,1-2 0,-5 1 0,14 13 0,-20-16 0,3-3 0,-3 3 0,-1-1 0,1 0 0,1 2 0,-2-4 0,1 4 0,1 3 0,-2-5 0,2-4 0,-1 6 0,-3 0 0,0 0 0,1-2 0,-1 1 0,0-1 0,0 5 0,-1-6 0,1 2 0,-7 11 0,0-1 0,0 0 0,3-4 0,-5 1 0,0 5 0,-16 15 0,-64 67 0,61-75 0,5-3 0,-1 9 0,6-5 0,-29 42 0,41-61 0,1 2 0,1 1 0,0 0 0,3-2 0,-4-1 0,2 4 0,3 0 0,-1-1 0,0-4 0,1 4 0,0 1 0,1 0 0,0-2 0,0-2 0,1 3 0,3-2 0,-2 3 0,-1-2 0,13 15 0,-7-8 14,2 2-1,3-4 0,3 5 0,-6-4 1,6-2-1,-3 4 0,2-3 1,28 19-1,-18-16-261,1-1 1,2-2-1,-5-2 1,3 1-1,50 14 1,-36-17-6579</inkml:trace>
  <inkml:trace contextRef="#ctx0" brushRef="#br0" timeOffset="5936.67">5834 2178 24575,'9'0'0,"11"0"0,10 0 0,13 0 0,18 0 0,12 0 0,3 9 0,2-1 0,10 6 0,-15-2 0,-7 6 0,-8-5 0,-6-2 0,1-6 0,-14 0-8191</inkml:trace>
  <inkml:trace contextRef="#ctx0" brushRef="#br0" timeOffset="6805.29">7517 2647 24575,'18'0'0,"14"1"0,6-2 0,-6-1 0,69-11 0,-90 10 0,-2-2 0,0 2 0,-1-1 0,0 0 0,5 3 0,-5-4 0,0 0 0,0-2 0,0 5 0,1-9 0,1 4 0,-3 2 0,-1-1 0,3-2 0,-4 0 0,-1 1 0,11-13 0,-10 6 0,1 3 0,5-5 0,-7 0 0,0 2 0,5-26 0,-8 35 0,0-1 0,1 1 0,-2 0 0,0 0 0,0-1 0,0 1 0,0-1 0,0 4 0,-2-5 0,1 1 0,-1 0 0,1 2 0,-2 0 0,0-2 0,3 0 0,-2 2 0,1-2 0,-3 3 0,-9-9 0,10 11 0,0-1 0,0 0 0,1 1 0,-2-1 0,0 1 0,-1 0 0,2 1 0,0 0 0,-2-2 0,1 1 0,1 1 0,0 0 0,-2 0 0,-1 0 0,5 0 0,-4 0 0,0 1 0,2 1 0,-3-2 0,4 0 0,-2 1 0,1 1 0,-2-1 0,-5 4 0,-11 4 0,2 3 0,-39 22 0,51-26 0,-25 17 0,-2 3 0,1 3 0,0-1 0,-33 45 0,28-27 0,-51 63 0,82-101 0,-1 6 0,2-3 0,-2-1 0,4 1 0,-2-1 0,0 2 0,-1 22 0,7-30 0,0-2 0,0 2 0,0 4 0,1-3 0,-1-5 0,0 8 0,2-4 0,2 3 0,-1-4 0,1 2 0,0-3 0,-1 2 0,-1 0 0,0-1 0,4 2 0,-1-2 0,0 1 0,-1-3 0,2 3 0,1-2 0,6 9 0,14 5 0,2 0 0,2 0 0,36 16 0,-44-20 0,91 38-455,2-3 0,215 62 0,-278-94-6371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2-27T18:44:11.976"/>
    </inkml:context>
    <inkml:brush xml:id="br0">
      <inkml:brushProperty name="width" value="0.05" units="cm"/>
      <inkml:brushProperty name="height" value="0.05" units="cm"/>
      <inkml:brushProperty name="color" value="#E71224"/>
    </inkml:brush>
  </inkml:definitions>
  <inkml:trace contextRef="#ctx0" brushRef="#br0">10393 297 24575,'-18'0'0,"8"0"0,-2-2 0,1 0 0,5-2 0,-7 3 0,-1-4 0,-9-4 0,-14-5 0,-106-28 0,-162-30 0,206 56 0,5 6 0,-182-6 0,242 16 0,-6 5 0,5-2 0,-2 5 0,3-4 0,-5 2 0,6 4 0,-4 2 0,3 2 0,3-1 0,-3 3 0,-46 26 0,10 0 0,10 4 0,-3 3 0,5 0 0,-1 7 0,-53 65 0,-218 320 0,217-274 0,-98 212 0,169-289 0,5 2 0,3 1 0,3 2 0,-20 132 0,31-37 0,6-2 0,20 310 0,-1-422 0,3 1 0,33 111 0,-31-148 0,0-1 0,6-2 0,1 1 0,2-2 0,3-2 0,37 56 0,-48-75 0,3-2 0,-2 3 0,1-6 0,2 0 0,-1 6 0,-1-6 0,6-2 0,-4 3 0,2-1 0,1 0 0,32 8 0,-17-10 0,-1 1 0,3-2 0,-5-2 0,3-2 0,0-1 0,40-1 0,330-31 0,-311 23 0,56-12 3,5-9 0,224-59 0,265-141-107,-519 179-22,-9-6 0,3-3 0,136-95 1,-194 110 128,0-3 1,1-4 0,-5 0-1,1-3 1,-10-3-1,86-112 1,-72 69-4,-5-3 0,-6 1 0,-6-6 0,-1 3 0,43-218 0,-52 171 0,-14 0 0,-5 0 0,-16-290 0,-5 383 39,-20-105 0,25 140-135,-5 7-1,-1-5 1,-3 3-1,5 0 0,-1-2 1,-4 2-1,0 2 1,-3-1-1,-10-18 0,-12 7-6633</inkml:trace>
  <inkml:trace contextRef="#ctx0" brushRef="#br0" timeOffset="1612">1875 297 24575,'-17'2'0,"-1"0"0,-3 2 0,5-2 0,-4 0 0,2 5 0,2-2 0,-22 7 0,-110 60 0,128-61 0,-67 40 0,1-3 0,2 6 0,4 6 0,4-1 0,4 3 0,-77 86 0,137-135 0,0-2 0,3 4 0,-3 1 0,0 0 0,7-2 0,-14 22 0,18-34 0,0 3 0,0-2 0,-1 2 0,-1 2 0,3-3 0,0-2 0,0 2 0,0 0 0,0 2 0,0-3 0,0 0 0,3 5 0,-1-5 0,-1 2 0,0-2 0,0 1 0,1-2 0,-1 3 0,1-1 0,-1 0 0,2-1 0,0 1 0,3-2 0,-3 2 0,-1-1 0,-1 1 0,6-1 0,-6 1 0,4-2 0,0 2 0,17 6 0,-2 3 0,0-3 0,3-3 0,-3 1 0,4-2 0,37 11 0,150 14 0,-141-23 0,-5 0 0,261 45 0,-290-44 0,8 3 0,-5 2 0,1-2 0,0 5 0,67 39 0,-65-28 0,2 0 0,-1 3 0,-2 5 0,-5 3 0,51 54 0,-68-75 0,-6 3 0,4 2 0,-1 0 0,-1-3 0,-1 6 0,-5 0 0,3-5 0,-2 5 0,-6-1 0,3 0 0,0 2 0,-1 32 0,-6-46 0,-2 2 0,0 0 0,1-1 0,-1 1 0,-4 0 0,2-4 0,1 5 0,-1-1 0,-5-3 0,3 2 0,-2-2 0,0 2 0,-2-4 0,4 4 0,-8-3 0,2 1 0,2-5 0,-3 8 0,-9 4 0,-21 9 0,-2 1 0,3-4 0,-4-2 0,-76 29 0,5-11 0,0-3 0,-1-6 0,-5-4 0,-222 26 0,-505-26 0,565-39-1365,200-3-5461</inkml:trace>
  <inkml:trace contextRef="#ctx0" brushRef="#br0" timeOffset="2918.28">3004 1192 24575,'1'54'0,"3"-1"0,4-1 0,-2-1 0,25 53 0,74 196 0,-63-188 0,148 355 0,65 201 0,-224-581 0,-27-58 0,-4-29 0,0 0 0,0 0 0,0 0 0,0 0 0,-1 0 0,1 0 0,0 0 0,0 2 0,0-2 0,0 0 0,-1 0 0,1 0 0,0 0 0,0 0 0,0 0 0,-1 0 0,1 0 0,0 0 0,0 0 0,0 0 0,0 0 0,0 0 0,0 0 0,0 0 0,0 0 0,0 0 0,-1 0 0,1 0 0,0 0 0,0 0 0,0-2 0,0 2 0,0 0 0,0 0 0,0 0 0,0 0 0,0 0 0,0 0 0,-3 0 0,3 0 0,0 0 0,0 0 0,0 0 0,0 0 0,0 0 0,0 0 0,0 0 0,0 0 0,0 0 0,0-1 0,-3 1 0,3 0 0,0 0 0,0 0 0,0-3 0,0 3 0,-29-43 0,28 38 0,-226-441 0,99 190 0,102 210 0,-197-422 0,190 389 0,1-4 0,7-3 0,-26-154 0,50 220 0,-2 0 0,3 1 0,3 1 0,-3-2 0,2 0 0,7 0 0,-7 0 0,14-31 0,-14 42 0,1 1 0,-1 2 0,3 1 0,-1-1 0,0-1 0,-1 4 0,1-4 0,1 1 0,-1 3 0,0-2 0,3 0 0,2 2 0,-5-1 0,1-3 0,3 3 0,-2 1 0,-2 1 0,4-2 0,-2 3 0,0-1 0,3-2 0,-5 3 0,6-1 0,-2 1 0,-2 0 0,2 0 0,-1 1 0,16 0 0,-18 1 0,2 1 0,0-1 0,-3 1 0,3 2 0,2-3 0,-5 1 0,4 2 0,-3-3 0,-3 3 0,7 0 0,-3 2 0,-3-4 0,1 4 0,4-3 0,-4 2 0,-2 0 0,3 1 0,0-1 0,3 7 0,7 7 0,-7 1 0,3 3 0,19 37 0,-23-41 24,-3-1 0,2-1 0,-3 2 0,5 31 0,-8-44-102,0 1 0,0-3 0,0 0-1,0 5 1,-1-1 0,0-4 0,0 2 0,-4-2 0,3 4-1,1-4 1,-2 1 0,0 3 0,3-5 0,-5 3 0,1-2-1,-1 2 1,0-3 0,-6 10 0,-24 11-6748</inkml:trace>
  <inkml:trace contextRef="#ctx0" brushRef="#br0" timeOffset="3695.13">3927 1052 24575,'4'16'0,"-2"3"0,2-1 0,1-2 0,-3 1 0,9 0 0,-7-1 0,1-1 0,2 5 0,17 13 0,-11-14 0,0 2 0,-4 0 0,2-2 0,4 27 0,-30-88 0,1 0 0,-32-50 0,-59-102 0,88 165 0,-37-71 0,11 26 0,-65-155 0,106 222 0,-4 1 0,5-3 0,-2 2 0,3-1 0,-1-1 0,0 3 0,1-1 0,0-1 0,2-15 0,-2 22 0,0-1 0,2 0 0,-1-1 0,0-3 0,1 5 0,2-2 0,-2 0 0,-2 1 0,0-1 0,1 3 0,1-2 0,1 0 0,-1 1 0,3-1 0,-5-2 0,4 2 0,2 1 0,-5-1 0,1 1 0,1-5 0,1 6 0,-4-1 0,4 1 0,0 0 0,-1 0 0,0 0 0,4-1 0,25-2 31,0 2 0,3 1-1,62 5 1,-64-1-403,-2 2 0,5-6 0,54-6 0,-37 0-6454</inkml:trace>
  <inkml:trace contextRef="#ctx0" brushRef="#br0" timeOffset="4757.31">4439 912 24575,'46'-3'0,"-1"-1"0,-6 0 0,6-5 0,-3 2 0,0-5 0,4-1 0,-7-3 0,-2 3 0,4-5 0,64-39 0,-93 46 0,2 4 0,0-3 0,-2 0 0,0-2 0,-3 2 0,0-4 0,-1 4 0,2-4 0,15-18 0,-21 18 0,1 9 0,-2-4 0,2-2 0,-2 2 0,-1-4 0,3 7 0,-5-3 0,0-2 0,0 1 0,1-1 0,-1 3 0,-1-2 0,1 0 0,0 2 0,-8-22 0,7 28 0,1-1 0,-1 3 0,0-3 0,-3 1 0,4 0 0,0-3 0,-3 3 0,2 0 0,-3-2 0,4 0 0,-2 4 0,0-1 0,1 0 0,-2-1 0,2 1 0,-4-1 0,1 2 0,3-1 0,-2-1 0,0 0 0,-1 1 0,-4-2 0,4 3 0,-2 0 0,1 0 0,1 0 0,2 0 0,-5 0 0,2 0 0,-1 2 0,0-1 0,3 0 0,-3 3 0,-7-3 0,-5 6 0,0 3 0,4 0 0,-7-2 0,3 4 0,-23 21 0,26-20 0,4 3 0,-2-2 0,0 1 0,6 1 0,-6 0 0,7 0 0,-3 4 0,-2-6 0,6 4 0,1 0 0,0 2 0,0-2 0,1 0 0,1-1 0,1 2 0,0 2 0,1-3 0,1-1 0,1 2 0,0 1 0,8 26 0,-9-38 0,1-1 0,1 1 0,0-3 0,2 7 0,1-5 0,-2-2 0,1-1 0,0 5 0,2-2 0,0-3 0,-2 4 0,-1-2 0,4-3 0,-3 1 0,4 2 0,12 6 0,9-1 0,-5 3 0,7-7 0,39 13 0,-35-9 0,469 104 0,-389-97 0,1-4 0,167 2 0,-261-16 24,-7 0 0,4-1 0,-3-4 0,42-7 0,-53 12-102,0-1 0,-1-1 0,2-1-1,-1 1 1,-2-4 0,0 2 0,4 3 0,-6-1 0,1 1-1,4-7 1,-1 6 0,-1-4 0,-3 2 0,2-1 0,-1 2-1,3-1 1,-3-2 0,3-8 0,6-25-6748</inkml:trace>
  <inkml:trace contextRef="#ctx0" brushRef="#br0" timeOffset="5657.83">6235 390 24575,'0'25'0,"0"-6"0,1 2 0,2-2 0,0 5 0,11 37 0,-10-57 0,0 4 0,0 0 0,2-2 0,-5 0 0,4 2 0,1-4 0,-2 2 0,0-2 0,1 7 0,4-6 0,-5-3 0,1 2 0,5 4 0,-3-5 0,-2 2 0,4-3 0,-5 0 0,4 1 0,16 7 0,-4-6 0,0-1 0,3 1 0,-2-1 0,3-2 0,-5 2 0,2-3 0,2-3 0,-1 2 0,0-2 0,1-1 0,-2 1 0,-2-1 0,39-16 0,-32 8 0,3 4 0,-7-8 0,6 4 0,1-4 0,-9 1 0,4-3 0,-2 1 0,-2-1 0,33-35 0,-8-7 0,-1 1 0,-5-5 0,-6 2 0,50-110 0,-64 133 0,-19 39 0,0 0 0,0 0 0,0-2 0,0 2 0,0 0 0,0 0 0,0-1 0,0 1 0,2 0 0,-2 0 0,0 0 0,0-1 0,0 1 0,0 0 0,0 0 0,0 0 0,1-1 0,-1 1 0,0 0 0,0 0 0,0 0 0,2 0 0,-2 0 0,0 0 0,0-1 0,0 1 0,1 0 0,-1 0 0,0 0 0,0 0 0,1 0 0,-1 0 0,0 0 0,0 0 0,0 0 0,1 0 0,-1 0 0,0 0 0,0 0 0,0 0 0,0 0 0,0 0 0,0 0 0,0 1 0,1-1 0,-1 0 0,0 0 0,0 0 0,1 0 0,10 17 0,0 36 0,-5-38 0,29 114 0,98 217 0,-127-333-341,1 3 0,0 0-1,20 20 1,-3-11-6485</inkml:trace>
</inkm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P78"/>
  <sheetViews>
    <sheetView topLeftCell="B25" zoomScale="70" zoomScaleNormal="70" workbookViewId="0">
      <selection activeCell="O59" sqref="O59"/>
    </sheetView>
  </sheetViews>
  <sheetFormatPr defaultColWidth="9.15234375" defaultRowHeight="16.75"/>
  <cols>
    <col min="1" max="1" width="13.69140625" style="58" hidden="1" customWidth="1"/>
    <col min="2" max="2" width="14.3046875" style="58" customWidth="1"/>
    <col min="3" max="8" width="10" style="58" customWidth="1"/>
    <col min="9" max="14" width="10" style="58" hidden="1" customWidth="1"/>
    <col min="15" max="15" width="64.3828125" style="58" customWidth="1"/>
    <col min="16" max="16" width="12.15234375" style="58" customWidth="1"/>
    <col min="17" max="23" width="10.15234375" style="58" customWidth="1"/>
    <col min="24" max="24" width="12.3828125" style="58" bestFit="1" customWidth="1"/>
    <col min="25" max="25" width="13.84375" style="58" customWidth="1"/>
    <col min="26" max="31" width="10.15234375" style="58" customWidth="1"/>
    <col min="32" max="32" width="9.15234375" style="58"/>
    <col min="39" max="45" width="8.53515625" style="58" customWidth="1"/>
    <col min="46" max="16384" width="9.15234375" style="58"/>
  </cols>
  <sheetData>
    <row r="1" spans="1:42">
      <c r="B1" s="57"/>
      <c r="C1" s="58" t="str">
        <f>'Stats 2020'!O18</f>
        <v>JWU</v>
      </c>
      <c r="D1" s="58" t="str">
        <f>'Stats 2020'!P18</f>
        <v>CBO</v>
      </c>
      <c r="E1" s="58" t="str">
        <f>'Stats 2020'!Q18</f>
        <v>PKN</v>
      </c>
      <c r="F1" s="58" t="str">
        <f>'Stats 2020'!R18</f>
        <v>YMI</v>
      </c>
      <c r="G1" s="58" t="str">
        <f>'Stats 2020'!S18</f>
        <v>SJU</v>
      </c>
      <c r="H1" s="58" t="str">
        <f>'Stats 2020'!T18</f>
        <v>MST</v>
      </c>
      <c r="I1" s="58" t="str">
        <f t="shared" ref="I1:N1" si="0">C1</f>
        <v>JWU</v>
      </c>
      <c r="J1" s="58" t="str">
        <f t="shared" si="0"/>
        <v>CBO</v>
      </c>
      <c r="K1" s="58" t="str">
        <f t="shared" si="0"/>
        <v>PKN</v>
      </c>
      <c r="L1" s="58" t="str">
        <f t="shared" si="0"/>
        <v>YMI</v>
      </c>
      <c r="M1" s="58" t="str">
        <f t="shared" si="0"/>
        <v>SJU</v>
      </c>
      <c r="N1" s="58" t="str">
        <f t="shared" si="0"/>
        <v>MST</v>
      </c>
      <c r="Q1" s="58" t="str">
        <f>C1</f>
        <v>JWU</v>
      </c>
      <c r="R1" s="58" t="str">
        <f>D1</f>
        <v>CBO</v>
      </c>
      <c r="S1" s="58" t="str">
        <f>E1</f>
        <v>PKN</v>
      </c>
      <c r="T1" s="58" t="str">
        <f>F1</f>
        <v>YMI</v>
      </c>
      <c r="U1" s="58" t="str">
        <f>G1</f>
        <v>SJU</v>
      </c>
      <c r="V1" s="58" t="s">
        <v>21</v>
      </c>
      <c r="Y1" s="58" t="str">
        <f t="shared" ref="Y1:AD1" si="1">Q1</f>
        <v>JWU</v>
      </c>
      <c r="Z1" s="58" t="str">
        <f t="shared" si="1"/>
        <v>CBO</v>
      </c>
      <c r="AA1" s="58" t="str">
        <f t="shared" si="1"/>
        <v>PKN</v>
      </c>
      <c r="AB1" s="58" t="str">
        <f t="shared" si="1"/>
        <v>YMI</v>
      </c>
      <c r="AC1" s="58" t="str">
        <f t="shared" si="1"/>
        <v>SJU</v>
      </c>
      <c r="AD1" s="58" t="str">
        <f t="shared" si="1"/>
        <v>MSO</v>
      </c>
      <c r="AE1" s="58" t="s">
        <v>47</v>
      </c>
      <c r="AF1" s="58" t="str">
        <f>Y1</f>
        <v>JWU</v>
      </c>
      <c r="AG1" s="58" t="str">
        <f t="shared" ref="AG1:AL1" si="2">Z1</f>
        <v>CBO</v>
      </c>
      <c r="AH1" s="58" t="str">
        <f t="shared" si="2"/>
        <v>PKN</v>
      </c>
      <c r="AI1" s="58" t="str">
        <f t="shared" si="2"/>
        <v>YMI</v>
      </c>
      <c r="AJ1" s="58" t="str">
        <f t="shared" si="2"/>
        <v>SJU</v>
      </c>
      <c r="AK1" s="58" t="str">
        <f t="shared" si="2"/>
        <v>MSO</v>
      </c>
      <c r="AL1" s="58" t="str">
        <f t="shared" si="2"/>
        <v>Overall</v>
      </c>
      <c r="AO1" s="53" t="s">
        <v>70</v>
      </c>
    </row>
    <row r="2" spans="1:42">
      <c r="A2" s="74" t="e">
        <f ca="1">IF(AND((TODAY()-B2)&lt;7,(TODAY()-B2&gt;=0)),B2,NA())</f>
        <v>#N/A</v>
      </c>
      <c r="B2" s="56">
        <v>43854</v>
      </c>
      <c r="C2" s="59">
        <f ca="1">IF($B2&lt;=TODAY(),SUMIF('Stats 2020'!$M$24:$M$1048576,"&lt;="&amp;Graphs!$B2,'Stats 2020'!O$24:O$1048576),NA())</f>
        <v>50</v>
      </c>
      <c r="D2" s="59">
        <f ca="1">IF($B2&lt;=TODAY(),MAX($C2,$E2,$G2,$H2)+11,NA())</f>
        <v>61</v>
      </c>
      <c r="E2" s="59">
        <f ca="1">IF($B2&lt;=TODAY(),SUMIF('Stats 2020'!$M$24:$M$1048576,"&lt;="&amp;Graphs!$B2,'Stats 2020'!Q$24:Q$1048576),NA())</f>
        <v>50</v>
      </c>
      <c r="F2" s="59">
        <f ca="1">IF($B2&lt;=TODAY(),MAX($C2,$E2,$G2,$H2)+11,NA())</f>
        <v>61</v>
      </c>
      <c r="G2" s="59">
        <f ca="1">IF($B2&lt;=TODAY(),SUMIF('Stats 2020'!$M$24:$M$1048576,"&lt;="&amp;Graphs!$B2,'Stats 2020'!S$24:S$1048576),NA())</f>
        <v>50</v>
      </c>
      <c r="H2" s="59">
        <f ca="1">IF($B2&lt;=TODAY(),SUMIF('Stats 2020'!$M$24:$M$1048576,"&lt;="&amp;Graphs!$B2,'Stats 2020'!T$24:T$1048576),NA())</f>
        <v>50</v>
      </c>
      <c r="I2" s="58" t="e">
        <f t="shared" ref="I2:N11" ca="1" si="3">VLOOKUP($A2,$B$1:$H$59,MATCH(I$1,$B$1:$H$1,0),0)</f>
        <v>#N/A</v>
      </c>
      <c r="J2" s="58" t="e">
        <f t="shared" ca="1" si="3"/>
        <v>#N/A</v>
      </c>
      <c r="K2" s="58" t="e">
        <f t="shared" ca="1" si="3"/>
        <v>#N/A</v>
      </c>
      <c r="L2" s="58" t="e">
        <f t="shared" ca="1" si="3"/>
        <v>#N/A</v>
      </c>
      <c r="M2" s="58" t="e">
        <f t="shared" ca="1" si="3"/>
        <v>#N/A</v>
      </c>
      <c r="N2" s="58" t="e">
        <f t="shared" ca="1" si="3"/>
        <v>#N/A</v>
      </c>
      <c r="O2" s="60"/>
      <c r="P2" s="65">
        <f>B2</f>
        <v>43854</v>
      </c>
      <c r="Q2" s="66">
        <f>VLOOKUP($B2,'Stats 2020'!$D$25:$J$200,MATCH(Graphs!Q$1,'Stats 2020'!$D$18:$J$18,0),0)</f>
        <v>1</v>
      </c>
      <c r="R2" s="66" t="str">
        <f>VLOOKUP($B2,'Stats 2020'!$D$25:$J$200,MATCH(Graphs!R$1,'Stats 2020'!$D$18:$J$18,0),0)</f>
        <v/>
      </c>
      <c r="S2" s="66">
        <f>VLOOKUP($B2,'Stats 2020'!$D$25:$J$200,MATCH(Graphs!S$1,'Stats 2020'!$D$18:$J$18,0),0)</f>
        <v>1</v>
      </c>
      <c r="T2" s="66" t="str">
        <f>VLOOKUP($B2,'Stats 2020'!$D$25:$J$200,MATCH(Graphs!T$1,'Stats 2020'!$D$18:$J$18,0),0)</f>
        <v/>
      </c>
      <c r="U2" s="66">
        <f>VLOOKUP($B2,'Stats 2020'!$D$25:$J$200,MATCH(Graphs!U$1,'Stats 2020'!$D$18:$J$18,0),0)</f>
        <v>1</v>
      </c>
      <c r="V2" s="66">
        <f>VLOOKUP($B2,'Stats 2020'!$D$25:$J$200,MATCH(Graphs!V$1,'Stats 2020'!$D$18:$J$18,0),0)</f>
        <v>1</v>
      </c>
      <c r="W2" s="69"/>
      <c r="X2" s="65">
        <f>B2</f>
        <v>43854</v>
      </c>
      <c r="Y2" s="69">
        <f>SUM(Q$2:Q2)/COUNTA($P$2:$P2)</f>
        <v>1</v>
      </c>
      <c r="Z2" s="69">
        <f>SUM(R$2:R2)/COUNTA($P$2:$P2)</f>
        <v>0</v>
      </c>
      <c r="AA2" s="69">
        <f>SUM(S$2:S2)/COUNTA($P$2:$P2)</f>
        <v>1</v>
      </c>
      <c r="AB2" s="69">
        <f>SUM(T$2:T2)/COUNTA($P$2:$P2)</f>
        <v>0</v>
      </c>
      <c r="AC2" s="69">
        <f>SUM(U$2:U2)/COUNTA($P$2:$P2)</f>
        <v>1</v>
      </c>
      <c r="AD2" s="69">
        <f>SUM(V$2:V2)/COUNTA($P$2:$P2)</f>
        <v>1</v>
      </c>
      <c r="AE2" s="70">
        <f>AVERAGE(Y2:AD2)</f>
        <v>0.66666666666666663</v>
      </c>
      <c r="AF2" s="58" t="e">
        <f ca="1">VLOOKUP($A2,$X$1:$AE$59,MATCH(AF$1,$X$1:$AE$1,0),0)</f>
        <v>#N/A</v>
      </c>
      <c r="AG2" s="58" t="e">
        <f t="shared" ref="AF2:AL11" ca="1" si="4">VLOOKUP($A2,$X$1:$AE$59,MATCH(AG$1,$X$1:$AE$1,0),0)</f>
        <v>#N/A</v>
      </c>
      <c r="AH2" s="58" t="e">
        <f t="shared" ca="1" si="4"/>
        <v>#N/A</v>
      </c>
      <c r="AI2" s="58" t="e">
        <f t="shared" ca="1" si="4"/>
        <v>#N/A</v>
      </c>
      <c r="AJ2" s="58" t="e">
        <f t="shared" ca="1" si="4"/>
        <v>#N/A</v>
      </c>
      <c r="AK2" s="58" t="e">
        <f t="shared" ca="1" si="4"/>
        <v>#N/A</v>
      </c>
      <c r="AL2" s="58" t="e">
        <f t="shared" ca="1" si="4"/>
        <v>#N/A</v>
      </c>
      <c r="AO2" s="53" t="s">
        <v>71</v>
      </c>
      <c r="AP2" s="66"/>
    </row>
    <row r="3" spans="1:42" ht="16.5" customHeight="1">
      <c r="A3" s="74" t="e">
        <f ca="1">IF(AND((TODAY()-B3)&lt;7,(TODAY()-B3&gt;=0)),B3,NA())</f>
        <v>#N/A</v>
      </c>
      <c r="B3" s="56">
        <f>B2+7</f>
        <v>43861</v>
      </c>
      <c r="C3" s="59">
        <f ca="1">IF($B3&lt;=TODAY(),SUMIF('Stats 2020'!$M$24:$M$1048576,"&lt;="&amp;Graphs!$B3,'Stats 2020'!O$24:O$1048576),NA())</f>
        <v>50</v>
      </c>
      <c r="D3" s="59">
        <f t="shared" ref="D3:D8" ca="1" si="5">IF($B3&lt;=TODAY(),MAX($C3,$E3,$G3,$H3)+11,NA())</f>
        <v>72</v>
      </c>
      <c r="E3" s="59">
        <f ca="1">IF($B3&lt;=TODAY(),SUMIF('Stats 2020'!$M$24:$M$1048576,"&lt;="&amp;Graphs!$B3,'Stats 2020'!Q$24:Q$1048576),NA())</f>
        <v>50</v>
      </c>
      <c r="F3" s="59">
        <f t="shared" ref="F3:F8" ca="1" si="6">IF($B3&lt;=TODAY(),MAX($C3,$E3,$G3,$H3)+11,NA())</f>
        <v>72</v>
      </c>
      <c r="G3" s="59">
        <f ca="1">IF($B3&lt;=TODAY(),SUMIF('Stats 2020'!$M$24:$M$1048576,"&lt;="&amp;Graphs!$B3,'Stats 2020'!S$24:S$1048576),NA())</f>
        <v>61</v>
      </c>
      <c r="H3" s="59">
        <f ca="1">IF($B3&lt;=TODAY(),SUMIF('Stats 2020'!$M$24:$M$1048576,"&lt;="&amp;Graphs!$B3,'Stats 2020'!T$24:T$1048576),NA())</f>
        <v>50</v>
      </c>
      <c r="I3" s="58" t="e">
        <f t="shared" ca="1" si="3"/>
        <v>#N/A</v>
      </c>
      <c r="J3" s="58" t="e">
        <f t="shared" ca="1" si="3"/>
        <v>#N/A</v>
      </c>
      <c r="K3" s="58" t="e">
        <f t="shared" ca="1" si="3"/>
        <v>#N/A</v>
      </c>
      <c r="L3" s="58" t="e">
        <f t="shared" ca="1" si="3"/>
        <v>#N/A</v>
      </c>
      <c r="M3" s="58" t="e">
        <f t="shared" ca="1" si="3"/>
        <v>#N/A</v>
      </c>
      <c r="N3" s="58" t="e">
        <f t="shared" ca="1" si="3"/>
        <v>#N/A</v>
      </c>
      <c r="O3" s="60"/>
      <c r="P3" s="65">
        <f t="shared" ref="P3:P58" si="7">B3</f>
        <v>43861</v>
      </c>
      <c r="Q3" s="66">
        <f>VLOOKUP($B3,'Stats 2020'!$D$25:$J$200,MATCH(Graphs!Q$1,'Stats 2020'!$D$18:$J$18,0),0)</f>
        <v>1</v>
      </c>
      <c r="R3" s="66" t="str">
        <f>VLOOKUP($B3,'Stats 2020'!$D$25:$J$200,MATCH(Graphs!R$1,'Stats 2020'!$D$18:$J$18,0),0)</f>
        <v/>
      </c>
      <c r="S3" s="66">
        <f>VLOOKUP($B3,'Stats 2020'!$D$25:$J$200,MATCH(Graphs!S$1,'Stats 2020'!$D$18:$J$18,0),0)</f>
        <v>1</v>
      </c>
      <c r="T3" s="66" t="str">
        <f>VLOOKUP($B3,'Stats 2020'!$D$25:$J$200,MATCH(Graphs!T$1,'Stats 2020'!$D$18:$J$18,0),0)</f>
        <v/>
      </c>
      <c r="U3" s="66">
        <f>VLOOKUP($B3,'Stats 2020'!$D$25:$J$200,MATCH(Graphs!U$1,'Stats 2020'!$D$18:$J$18,0),0)</f>
        <v>0</v>
      </c>
      <c r="V3" s="66">
        <f>VLOOKUP($B3,'Stats 2020'!$D$25:$J$200,MATCH(Graphs!V$1,'Stats 2020'!$D$18:$J$18,0),0)</f>
        <v>1</v>
      </c>
      <c r="W3" s="69"/>
      <c r="X3" s="65">
        <f t="shared" ref="X3:X47" si="8">B3</f>
        <v>43861</v>
      </c>
      <c r="Y3" s="69">
        <f>SUM(Q$2:Q3)/COUNTA($P$2:$P3)</f>
        <v>1</v>
      </c>
      <c r="Z3" s="69">
        <f>SUM(R$2:R3)/COUNTA($P$2:$P3)</f>
        <v>0</v>
      </c>
      <c r="AA3" s="69">
        <f>SUM(S$2:S3)/COUNTA($P$2:$P3)</f>
        <v>1</v>
      </c>
      <c r="AB3" s="69">
        <f>SUM(T$2:T3)/COUNTA($P$2:$P3)</f>
        <v>0</v>
      </c>
      <c r="AC3" s="69">
        <f>SUM(U$2:U3)/COUNTA($P$2:$P3)</f>
        <v>0.5</v>
      </c>
      <c r="AD3" s="69">
        <f>SUM(V$2:V3)/COUNTA($P$2:$P3)</f>
        <v>1</v>
      </c>
      <c r="AE3" s="70">
        <f t="shared" ref="AE3:AE14" si="9">AVERAGE(Y3:AD3)</f>
        <v>0.58333333333333337</v>
      </c>
      <c r="AF3" s="58" t="e">
        <f t="shared" ca="1" si="4"/>
        <v>#N/A</v>
      </c>
      <c r="AG3" s="58" t="e">
        <f t="shared" ca="1" si="4"/>
        <v>#N/A</v>
      </c>
      <c r="AH3" s="58" t="e">
        <f t="shared" ca="1" si="4"/>
        <v>#N/A</v>
      </c>
      <c r="AI3" s="58" t="e">
        <f t="shared" ca="1" si="4"/>
        <v>#N/A</v>
      </c>
      <c r="AJ3" s="58" t="e">
        <f t="shared" ca="1" si="4"/>
        <v>#N/A</v>
      </c>
      <c r="AK3" s="58" t="e">
        <f t="shared" ca="1" si="4"/>
        <v>#N/A</v>
      </c>
      <c r="AL3" s="58" t="e">
        <f t="shared" ca="1" si="4"/>
        <v>#N/A</v>
      </c>
      <c r="AP3" s="66"/>
    </row>
    <row r="4" spans="1:42" ht="16.5" customHeight="1">
      <c r="A4" s="74" t="e">
        <f ca="1">IF(AND((TODAY()-B4)&lt;7,(TODAY()-B4&gt;=0)),B4,NA())</f>
        <v>#N/A</v>
      </c>
      <c r="B4" s="56">
        <f t="shared" ref="B4:B67" si="10">B3+7</f>
        <v>43868</v>
      </c>
      <c r="C4" s="59">
        <f ca="1">IF($B4&lt;=TODAY(),SUMIF('Stats 2020'!$M$24:$M$1048576,"&lt;="&amp;Graphs!$B4,'Stats 2020'!O$24:O$1048576),NA())</f>
        <v>61</v>
      </c>
      <c r="D4" s="59">
        <f t="shared" ca="1" si="5"/>
        <v>83</v>
      </c>
      <c r="E4" s="59">
        <f ca="1">IF($B4&lt;=TODAY(),SUMIF('Stats 2020'!$M$24:$M$1048576,"&lt;="&amp;Graphs!$B4,'Stats 2020'!Q$24:Q$1048576),NA())</f>
        <v>50</v>
      </c>
      <c r="F4" s="59">
        <f t="shared" ca="1" si="6"/>
        <v>83</v>
      </c>
      <c r="G4" s="59">
        <f ca="1">IF($B4&lt;=TODAY(),SUMIF('Stats 2020'!$M$24:$M$1048576,"&lt;="&amp;Graphs!$B4,'Stats 2020'!S$24:S$1048576),NA())</f>
        <v>72</v>
      </c>
      <c r="H4" s="59">
        <f ca="1">IF($B4&lt;=TODAY(),SUMIF('Stats 2020'!$M$24:$M$1048576,"&lt;="&amp;Graphs!$B4,'Stats 2020'!T$24:T$1048576),NA())</f>
        <v>50</v>
      </c>
      <c r="I4" s="58" t="e">
        <f t="shared" ca="1" si="3"/>
        <v>#N/A</v>
      </c>
      <c r="J4" s="58" t="e">
        <f t="shared" ca="1" si="3"/>
        <v>#N/A</v>
      </c>
      <c r="K4" s="58" t="e">
        <f t="shared" ca="1" si="3"/>
        <v>#N/A</v>
      </c>
      <c r="L4" s="58" t="e">
        <f t="shared" ca="1" si="3"/>
        <v>#N/A</v>
      </c>
      <c r="M4" s="58" t="e">
        <f t="shared" ca="1" si="3"/>
        <v>#N/A</v>
      </c>
      <c r="N4" s="58" t="e">
        <f t="shared" ca="1" si="3"/>
        <v>#N/A</v>
      </c>
      <c r="O4" s="60"/>
      <c r="P4" s="65">
        <f t="shared" si="7"/>
        <v>43868</v>
      </c>
      <c r="Q4" s="66">
        <f>VLOOKUP($B4,'Stats 2020'!$D$25:$J$200,MATCH(Graphs!Q$1,'Stats 2020'!$D$18:$J$18,0),0)</f>
        <v>0</v>
      </c>
      <c r="R4" s="66" t="str">
        <f>VLOOKUP($B4,'Stats 2020'!$D$25:$J$200,MATCH(Graphs!R$1,'Stats 2020'!$D$18:$J$18,0),0)</f>
        <v/>
      </c>
      <c r="S4" s="66">
        <f>VLOOKUP($B4,'Stats 2020'!$D$25:$J$200,MATCH(Graphs!S$1,'Stats 2020'!$D$18:$J$18,0),0)</f>
        <v>1</v>
      </c>
      <c r="T4" s="66" t="str">
        <f>VLOOKUP($B4,'Stats 2020'!$D$25:$J$200,MATCH(Graphs!T$1,'Stats 2020'!$D$18:$J$18,0),0)</f>
        <v/>
      </c>
      <c r="U4" s="66">
        <f>VLOOKUP($B4,'Stats 2020'!$D$25:$J$200,MATCH(Graphs!U$1,'Stats 2020'!$D$18:$J$18,0),0)</f>
        <v>0</v>
      </c>
      <c r="V4" s="66">
        <f>VLOOKUP($B4,'Stats 2020'!$D$25:$J$200,MATCH(Graphs!V$1,'Stats 2020'!$D$18:$J$18,0),0)</f>
        <v>1</v>
      </c>
      <c r="W4" s="69"/>
      <c r="X4" s="65">
        <f t="shared" si="8"/>
        <v>43868</v>
      </c>
      <c r="Y4" s="69">
        <f>SUM(Q$2:Q4)/COUNTA($P$2:$P4)</f>
        <v>0.66666666666666663</v>
      </c>
      <c r="Z4" s="69">
        <f>SUM(R$2:R4)/COUNTA($P$2:$P4)</f>
        <v>0</v>
      </c>
      <c r="AA4" s="69">
        <f>SUM(S$2:S4)/COUNTA($P$2:$P4)</f>
        <v>1</v>
      </c>
      <c r="AB4" s="69">
        <f>SUM(T$2:T4)/COUNTA($P$2:$P4)</f>
        <v>0</v>
      </c>
      <c r="AC4" s="69">
        <f>SUM(U$2:U4)/COUNTA($P$2:$P4)</f>
        <v>0.33333333333333331</v>
      </c>
      <c r="AD4" s="69">
        <f>SUM(V$2:V4)/COUNTA($P$2:$P4)</f>
        <v>1</v>
      </c>
      <c r="AE4" s="70">
        <f t="shared" si="9"/>
        <v>0.5</v>
      </c>
      <c r="AF4" s="58" t="e">
        <f t="shared" ca="1" si="4"/>
        <v>#N/A</v>
      </c>
      <c r="AG4" s="58" t="e">
        <f t="shared" ca="1" si="4"/>
        <v>#N/A</v>
      </c>
      <c r="AH4" s="58" t="e">
        <f t="shared" ca="1" si="4"/>
        <v>#N/A</v>
      </c>
      <c r="AI4" s="58" t="e">
        <f t="shared" ca="1" si="4"/>
        <v>#N/A</v>
      </c>
      <c r="AJ4" s="58" t="e">
        <f t="shared" ca="1" si="4"/>
        <v>#N/A</v>
      </c>
      <c r="AK4" s="58" t="e">
        <f t="shared" ca="1" si="4"/>
        <v>#N/A</v>
      </c>
      <c r="AL4" s="58" t="e">
        <f t="shared" ca="1" si="4"/>
        <v>#N/A</v>
      </c>
      <c r="AP4" s="66"/>
    </row>
    <row r="5" spans="1:42" ht="16.5" customHeight="1">
      <c r="A5" s="74" t="e">
        <f ca="1">IF(AND((TODAY()-B5)&lt;7,(TODAY()-B5&gt;=0)),B5,NA())</f>
        <v>#N/A</v>
      </c>
      <c r="B5" s="56">
        <f t="shared" si="10"/>
        <v>43875</v>
      </c>
      <c r="C5" s="59">
        <f ca="1">IF($B5&lt;=TODAY(),SUMIF('Stats 2020'!$M$24:$M$1048576,"&lt;="&amp;Graphs!$B5,'Stats 2020'!O$24:O$1048576),NA())</f>
        <v>61</v>
      </c>
      <c r="D5" s="59">
        <f t="shared" ca="1" si="5"/>
        <v>94</v>
      </c>
      <c r="E5" s="59">
        <f ca="1">IF($B5&lt;=TODAY(),SUMIF('Stats 2020'!$M$24:$M$1048576,"&lt;="&amp;Graphs!$B5,'Stats 2020'!Q$24:Q$1048576),NA())</f>
        <v>50</v>
      </c>
      <c r="F5" s="59">
        <f t="shared" ca="1" si="6"/>
        <v>94</v>
      </c>
      <c r="G5" s="59">
        <f ca="1">IF($B5&lt;=TODAY(),SUMIF('Stats 2020'!$M$24:$M$1048576,"&lt;="&amp;Graphs!$B5,'Stats 2020'!S$24:S$1048576),NA())</f>
        <v>83</v>
      </c>
      <c r="H5" s="59">
        <f ca="1">IF($B5&lt;=TODAY(),SUMIF('Stats 2020'!$M$24:$M$1048576,"&lt;="&amp;Graphs!$B5,'Stats 2020'!T$24:T$1048576),NA())</f>
        <v>50</v>
      </c>
      <c r="I5" s="58" t="e">
        <f t="shared" ca="1" si="3"/>
        <v>#N/A</v>
      </c>
      <c r="J5" s="58" t="e">
        <f t="shared" ca="1" si="3"/>
        <v>#N/A</v>
      </c>
      <c r="K5" s="58" t="e">
        <f t="shared" ca="1" si="3"/>
        <v>#N/A</v>
      </c>
      <c r="L5" s="58" t="e">
        <f t="shared" ca="1" si="3"/>
        <v>#N/A</v>
      </c>
      <c r="M5" s="58" t="e">
        <f t="shared" ca="1" si="3"/>
        <v>#N/A</v>
      </c>
      <c r="N5" s="58" t="e">
        <f t="shared" ca="1" si="3"/>
        <v>#N/A</v>
      </c>
      <c r="O5" s="60"/>
      <c r="P5" s="65">
        <f t="shared" si="7"/>
        <v>43875</v>
      </c>
      <c r="Q5" s="66">
        <f>VLOOKUP($B5,'Stats 2020'!$D$25:$J$200,MATCH(Graphs!Q$1,'Stats 2020'!$D$18:$J$18,0),0)</f>
        <v>1</v>
      </c>
      <c r="R5" s="66" t="str">
        <f>VLOOKUP($B5,'Stats 2020'!$D$25:$J$200,MATCH(Graphs!R$1,'Stats 2020'!$D$18:$J$18,0),0)</f>
        <v/>
      </c>
      <c r="S5" s="66">
        <f>VLOOKUP($B5,'Stats 2020'!$D$25:$J$200,MATCH(Graphs!S$1,'Stats 2020'!$D$18:$J$18,0),0)</f>
        <v>1</v>
      </c>
      <c r="T5" s="66" t="str">
        <f>VLOOKUP($B5,'Stats 2020'!$D$25:$J$200,MATCH(Graphs!T$1,'Stats 2020'!$D$18:$J$18,0),0)</f>
        <v/>
      </c>
      <c r="U5" s="66">
        <f>VLOOKUP($B5,'Stats 2020'!$D$25:$J$200,MATCH(Graphs!U$1,'Stats 2020'!$D$18:$J$18,0),0)</f>
        <v>0</v>
      </c>
      <c r="V5" s="66">
        <f>VLOOKUP($B5,'Stats 2020'!$D$25:$J$200,MATCH(Graphs!V$1,'Stats 2020'!$D$18:$J$18,0),0)</f>
        <v>1</v>
      </c>
      <c r="W5" s="69"/>
      <c r="X5" s="65">
        <f t="shared" si="8"/>
        <v>43875</v>
      </c>
      <c r="Y5" s="69">
        <f>SUM(Q$2:Q5)/COUNTA($P$2:$P5)</f>
        <v>0.75</v>
      </c>
      <c r="Z5" s="69">
        <f>SUM(R$2:R5)/COUNTA($P$2:$P5)</f>
        <v>0</v>
      </c>
      <c r="AA5" s="69">
        <f>SUM(S$2:S5)/COUNTA($P$2:$P5)</f>
        <v>1</v>
      </c>
      <c r="AB5" s="69">
        <f>SUM(T$2:T5)/COUNTA($P$2:$P5)</f>
        <v>0</v>
      </c>
      <c r="AC5" s="69">
        <f>SUM(U$2:U5)/COUNTA($P$2:$P5)</f>
        <v>0.25</v>
      </c>
      <c r="AD5" s="69">
        <f>SUM(V$2:V5)/COUNTA($P$2:$P5)</f>
        <v>1</v>
      </c>
      <c r="AE5" s="70">
        <f t="shared" si="9"/>
        <v>0.5</v>
      </c>
      <c r="AF5" s="58" t="e">
        <f t="shared" ca="1" si="4"/>
        <v>#N/A</v>
      </c>
      <c r="AG5" s="58" t="e">
        <f t="shared" ca="1" si="4"/>
        <v>#N/A</v>
      </c>
      <c r="AH5" s="58" t="e">
        <f t="shared" ca="1" si="4"/>
        <v>#N/A</v>
      </c>
      <c r="AI5" s="58" t="e">
        <f t="shared" ca="1" si="4"/>
        <v>#N/A</v>
      </c>
      <c r="AJ5" s="58" t="e">
        <f t="shared" ca="1" si="4"/>
        <v>#N/A</v>
      </c>
      <c r="AK5" s="58" t="e">
        <f t="shared" ca="1" si="4"/>
        <v>#N/A</v>
      </c>
      <c r="AL5" s="58" t="e">
        <f t="shared" ca="1" si="4"/>
        <v>#N/A</v>
      </c>
      <c r="AO5" s="81" t="s">
        <v>72</v>
      </c>
      <c r="AP5" s="66"/>
    </row>
    <row r="6" spans="1:42" ht="16.5" customHeight="1">
      <c r="A6" s="74" t="e">
        <f ca="1">IF(AND((TODAY()-B6)&lt;7,(TODAY()-B6&gt;=0)),B6,NA())</f>
        <v>#N/A</v>
      </c>
      <c r="B6" s="56">
        <f t="shared" si="10"/>
        <v>43882</v>
      </c>
      <c r="C6" s="59">
        <f ca="1">IF($B6&lt;=TODAY(),SUMIF('Stats 2020'!$M$24:$M$1048576,"&lt;="&amp;Graphs!$B6,'Stats 2020'!O$24:O$1048576),NA())</f>
        <v>61</v>
      </c>
      <c r="D6" s="59">
        <f t="shared" ca="1" si="5"/>
        <v>94</v>
      </c>
      <c r="E6" s="59">
        <f ca="1">IF($B6&lt;=TODAY(),SUMIF('Stats 2020'!$M$24:$M$1048576,"&lt;="&amp;Graphs!$B6,'Stats 2020'!Q$24:Q$1048576),NA())</f>
        <v>50</v>
      </c>
      <c r="F6" s="59">
        <f t="shared" ca="1" si="6"/>
        <v>94</v>
      </c>
      <c r="G6" s="59">
        <f ca="1">IF($B6&lt;=TODAY(),SUMIF('Stats 2020'!$M$24:$M$1048576,"&lt;="&amp;Graphs!$B6,'Stats 2020'!S$24:S$1048576),NA())</f>
        <v>83</v>
      </c>
      <c r="H6" s="59">
        <f ca="1">IF($B6&lt;=TODAY(),SUMIF('Stats 2020'!$M$24:$M$1048576,"&lt;="&amp;Graphs!$B6,'Stats 2020'!T$24:T$1048576),NA())</f>
        <v>50</v>
      </c>
      <c r="I6" s="58" t="e">
        <f t="shared" ca="1" si="3"/>
        <v>#N/A</v>
      </c>
      <c r="J6" s="58" t="e">
        <f t="shared" ca="1" si="3"/>
        <v>#N/A</v>
      </c>
      <c r="K6" s="58" t="e">
        <f t="shared" ca="1" si="3"/>
        <v>#N/A</v>
      </c>
      <c r="L6" s="58" t="e">
        <f t="shared" ca="1" si="3"/>
        <v>#N/A</v>
      </c>
      <c r="M6" s="58" t="e">
        <f t="shared" ca="1" si="3"/>
        <v>#N/A</v>
      </c>
      <c r="N6" s="58" t="e">
        <f t="shared" ca="1" si="3"/>
        <v>#N/A</v>
      </c>
      <c r="O6" s="60"/>
      <c r="P6" s="65">
        <f t="shared" si="7"/>
        <v>43882</v>
      </c>
      <c r="Q6" s="66">
        <f>VLOOKUP($B6,'Stats 2020'!$D$25:$J$200,MATCH(Graphs!Q$1,'Stats 2020'!$D$18:$J$18,0),0)</f>
        <v>1</v>
      </c>
      <c r="R6" s="66" t="str">
        <f>VLOOKUP($B6,'Stats 2020'!$D$25:$J$200,MATCH(Graphs!R$1,'Stats 2020'!$D$18:$J$18,0),0)</f>
        <v/>
      </c>
      <c r="S6" s="66">
        <f>VLOOKUP($B6,'Stats 2020'!$D$25:$J$200,MATCH(Graphs!S$1,'Stats 2020'!$D$18:$J$18,0),0)</f>
        <v>1</v>
      </c>
      <c r="T6" s="66" t="str">
        <f>VLOOKUP($B6,'Stats 2020'!$D$25:$J$200,MATCH(Graphs!T$1,'Stats 2020'!$D$18:$J$18,0),0)</f>
        <v/>
      </c>
      <c r="U6" s="66">
        <f>VLOOKUP($B6,'Stats 2020'!$D$25:$J$200,MATCH(Graphs!U$1,'Stats 2020'!$D$18:$J$18,0),0)</f>
        <v>1</v>
      </c>
      <c r="V6" s="66">
        <f>VLOOKUP($B6,'Stats 2020'!$D$25:$J$200,MATCH(Graphs!V$1,'Stats 2020'!$D$18:$J$18,0),0)</f>
        <v>1</v>
      </c>
      <c r="W6" s="69"/>
      <c r="X6" s="65">
        <f t="shared" si="8"/>
        <v>43882</v>
      </c>
      <c r="Y6" s="69">
        <f>SUM(Q$2:Q6)/COUNTA($P$2:$P6)</f>
        <v>0.8</v>
      </c>
      <c r="Z6" s="69">
        <f>SUM(R$2:R6)/COUNTA($P$2:$P6)</f>
        <v>0</v>
      </c>
      <c r="AA6" s="69">
        <f>SUM(S$2:S6)/COUNTA($P$2:$P6)</f>
        <v>1</v>
      </c>
      <c r="AB6" s="69">
        <f>SUM(T$2:T6)/COUNTA($P$2:$P6)</f>
        <v>0</v>
      </c>
      <c r="AC6" s="69">
        <f>SUM(U$2:U6)/COUNTA($P$2:$P6)</f>
        <v>0.4</v>
      </c>
      <c r="AD6" s="69">
        <f>SUM(V$2:V6)/COUNTA($P$2:$P6)</f>
        <v>1</v>
      </c>
      <c r="AE6" s="70">
        <f t="shared" si="9"/>
        <v>0.53333333333333333</v>
      </c>
      <c r="AF6" s="75" t="e">
        <f t="shared" ca="1" si="4"/>
        <v>#N/A</v>
      </c>
      <c r="AG6" s="75" t="e">
        <f t="shared" ca="1" si="4"/>
        <v>#N/A</v>
      </c>
      <c r="AH6" s="75" t="e">
        <f t="shared" ca="1" si="4"/>
        <v>#N/A</v>
      </c>
      <c r="AI6" s="75" t="e">
        <f t="shared" ca="1" si="4"/>
        <v>#N/A</v>
      </c>
      <c r="AJ6" s="75" t="e">
        <f t="shared" ca="1" si="4"/>
        <v>#N/A</v>
      </c>
      <c r="AK6" s="75" t="e">
        <f t="shared" ca="1" si="4"/>
        <v>#N/A</v>
      </c>
      <c r="AL6" s="75" t="e">
        <f t="shared" ca="1" si="4"/>
        <v>#N/A</v>
      </c>
      <c r="AO6" s="81" t="s">
        <v>73</v>
      </c>
      <c r="AP6" s="66"/>
    </row>
    <row r="7" spans="1:42" ht="16.5" customHeight="1">
      <c r="A7" s="74" t="e">
        <f t="shared" ref="A7:A59" ca="1" si="11">IF(AND((TODAY()-B7)&lt;7,(TODAY()-B7&gt;=0)),B7,NA())</f>
        <v>#N/A</v>
      </c>
      <c r="B7" s="56">
        <f>B6+7</f>
        <v>43889</v>
      </c>
      <c r="C7" s="59">
        <f ca="1">IF($B7&lt;=TODAY(),SUMIF('Stats 2020'!$M$24:$M$1048576,"&lt;="&amp;Graphs!$B7,'Stats 2020'!O$24:O$1048576),NA())</f>
        <v>63.75</v>
      </c>
      <c r="D7" s="59">
        <f t="shared" ca="1" si="5"/>
        <v>96.75</v>
      </c>
      <c r="E7" s="59">
        <f ca="1">IF($B7&lt;=TODAY(),SUMIF('Stats 2020'!$M$24:$M$1048576,"&lt;="&amp;Graphs!$B7,'Stats 2020'!Q$24:Q$1048576),NA())</f>
        <v>61</v>
      </c>
      <c r="F7" s="59">
        <f t="shared" ca="1" si="6"/>
        <v>96.75</v>
      </c>
      <c r="G7" s="59">
        <f ca="1">IF($B7&lt;=TODAY(),SUMIF('Stats 2020'!$M$24:$M$1048576,"&lt;="&amp;Graphs!$B7,'Stats 2020'!S$24:S$1048576),NA())</f>
        <v>85.75</v>
      </c>
      <c r="H7" s="59">
        <f ca="1">IF($B7&lt;=TODAY(),SUMIF('Stats 2020'!$M$24:$M$1048576,"&lt;="&amp;Graphs!$B7,'Stats 2020'!T$24:T$1048576),NA())</f>
        <v>61</v>
      </c>
      <c r="I7" s="58" t="e">
        <f t="shared" ca="1" si="3"/>
        <v>#N/A</v>
      </c>
      <c r="J7" s="58" t="e">
        <f t="shared" ca="1" si="3"/>
        <v>#N/A</v>
      </c>
      <c r="K7" s="58" t="e">
        <f t="shared" ca="1" si="3"/>
        <v>#N/A</v>
      </c>
      <c r="L7" s="58" t="e">
        <f t="shared" ca="1" si="3"/>
        <v>#N/A</v>
      </c>
      <c r="M7" s="58" t="e">
        <f t="shared" ca="1" si="3"/>
        <v>#N/A</v>
      </c>
      <c r="N7" s="58" t="e">
        <f t="shared" ca="1" si="3"/>
        <v>#N/A</v>
      </c>
      <c r="O7" s="60"/>
      <c r="P7" s="65">
        <f t="shared" si="7"/>
        <v>43889</v>
      </c>
      <c r="Q7" s="66">
        <f>VLOOKUP($B7,'Stats 2020'!$D$25:$J$200,MATCH(Graphs!Q$1,'Stats 2020'!$D$18:$J$18,0),0)</f>
        <v>1</v>
      </c>
      <c r="R7" s="66" t="str">
        <f>VLOOKUP($B7,'Stats 2020'!$D$25:$J$200,MATCH(Graphs!R$1,'Stats 2020'!$D$18:$J$18,0),0)</f>
        <v/>
      </c>
      <c r="S7" s="66">
        <f>VLOOKUP($B7,'Stats 2020'!$D$25:$J$200,MATCH(Graphs!S$1,'Stats 2020'!$D$18:$J$18,0),0)</f>
        <v>0</v>
      </c>
      <c r="T7" s="66" t="str">
        <f>VLOOKUP($B7,'Stats 2020'!$D$25:$J$200,MATCH(Graphs!T$1,'Stats 2020'!$D$18:$J$18,0),0)</f>
        <v/>
      </c>
      <c r="U7" s="66">
        <f>VLOOKUP($B7,'Stats 2020'!$D$25:$J$200,MATCH(Graphs!U$1,'Stats 2020'!$D$18:$J$18,0),0)</f>
        <v>1</v>
      </c>
      <c r="V7" s="66">
        <f>VLOOKUP($B7,'Stats 2020'!$D$25:$J$200,MATCH(Graphs!V$1,'Stats 2020'!$D$18:$J$18,0),0)</f>
        <v>0</v>
      </c>
      <c r="W7" s="66"/>
      <c r="X7" s="65">
        <f t="shared" si="8"/>
        <v>43889</v>
      </c>
      <c r="Y7" s="69">
        <f>SUM(Q$2:Q7)/COUNTA($P$2:$P7)</f>
        <v>0.83333333333333337</v>
      </c>
      <c r="Z7" s="69">
        <f>SUM(R$2:R7)/COUNTA($P$2:$P7)</f>
        <v>0</v>
      </c>
      <c r="AA7" s="69">
        <f>SUM(S$2:S7)/COUNTA($P$2:$P7)</f>
        <v>0.83333333333333337</v>
      </c>
      <c r="AB7" s="69">
        <f>SUM(T$2:T7)/COUNTA($P$2:$P7)</f>
        <v>0</v>
      </c>
      <c r="AC7" s="69">
        <f>SUM(U$2:U7)/COUNTA($P$2:$P7)</f>
        <v>0.5</v>
      </c>
      <c r="AD7" s="69">
        <f>SUM(V$2:V7)/COUNTA($P$2:$P7)</f>
        <v>0.83333333333333337</v>
      </c>
      <c r="AE7" s="70">
        <f t="shared" si="9"/>
        <v>0.50000000000000011</v>
      </c>
      <c r="AF7" s="58" t="e">
        <f t="shared" ca="1" si="4"/>
        <v>#N/A</v>
      </c>
      <c r="AG7" s="58" t="e">
        <f t="shared" ca="1" si="4"/>
        <v>#N/A</v>
      </c>
      <c r="AH7" s="58" t="e">
        <f t="shared" ca="1" si="4"/>
        <v>#N/A</v>
      </c>
      <c r="AI7" s="58" t="e">
        <f t="shared" ca="1" si="4"/>
        <v>#N/A</v>
      </c>
      <c r="AJ7" s="58" t="e">
        <f t="shared" ca="1" si="4"/>
        <v>#N/A</v>
      </c>
      <c r="AK7" s="58" t="e">
        <f t="shared" ca="1" si="4"/>
        <v>#N/A</v>
      </c>
      <c r="AL7" s="58" t="e">
        <f t="shared" ca="1" si="4"/>
        <v>#N/A</v>
      </c>
      <c r="AO7" s="81" t="s">
        <v>74</v>
      </c>
      <c r="AP7" s="66"/>
    </row>
    <row r="8" spans="1:42" ht="16.5" customHeight="1">
      <c r="A8" s="74" t="e">
        <f t="shared" ca="1" si="11"/>
        <v>#N/A</v>
      </c>
      <c r="B8" s="56">
        <f t="shared" si="10"/>
        <v>43896</v>
      </c>
      <c r="C8" s="59">
        <f ca="1">IF($B8&lt;=TODAY(),SUMIF('Stats 2020'!$M$24:$M$1048576,"&lt;="&amp;Graphs!$B8,'Stats 2020'!O$24:O$1048576),NA())</f>
        <v>63.75</v>
      </c>
      <c r="D8" s="59">
        <f t="shared" ca="1" si="5"/>
        <v>96.75</v>
      </c>
      <c r="E8" s="59">
        <f ca="1">IF($B8&lt;=TODAY(),SUMIF('Stats 2020'!$M$24:$M$1048576,"&lt;="&amp;Graphs!$B8,'Stats 2020'!Q$24:Q$1048576),NA())</f>
        <v>61</v>
      </c>
      <c r="F8" s="59">
        <f t="shared" ca="1" si="6"/>
        <v>96.75</v>
      </c>
      <c r="G8" s="59">
        <f ca="1">IF($B8&lt;=TODAY(),SUMIF('Stats 2020'!$M$24:$M$1048576,"&lt;="&amp;Graphs!$B8,'Stats 2020'!S$24:S$1048576),NA())</f>
        <v>85.75</v>
      </c>
      <c r="H8" s="59">
        <f ca="1">IF($B8&lt;=TODAY(),SUMIF('Stats 2020'!$M$24:$M$1048576,"&lt;="&amp;Graphs!$B8,'Stats 2020'!T$24:T$1048576),NA())</f>
        <v>61</v>
      </c>
      <c r="I8" s="58" t="e">
        <f t="shared" ca="1" si="3"/>
        <v>#N/A</v>
      </c>
      <c r="J8" s="58" t="e">
        <f t="shared" ca="1" si="3"/>
        <v>#N/A</v>
      </c>
      <c r="K8" s="58" t="e">
        <f t="shared" ca="1" si="3"/>
        <v>#N/A</v>
      </c>
      <c r="L8" s="58" t="e">
        <f t="shared" ca="1" si="3"/>
        <v>#N/A</v>
      </c>
      <c r="M8" s="58" t="e">
        <f t="shared" ca="1" si="3"/>
        <v>#N/A</v>
      </c>
      <c r="N8" s="58" t="e">
        <f t="shared" ca="1" si="3"/>
        <v>#N/A</v>
      </c>
      <c r="O8" s="60"/>
      <c r="P8" s="65">
        <f t="shared" si="7"/>
        <v>43896</v>
      </c>
      <c r="Q8" s="66">
        <f>VLOOKUP($B8,'Stats 2020'!$D$25:$J$200,MATCH(Graphs!Q$1,'Stats 2020'!$D$18:$J$18,0),0)</f>
        <v>1</v>
      </c>
      <c r="R8" s="66" t="str">
        <f>VLOOKUP($B8,'Stats 2020'!$D$25:$J$200,MATCH(Graphs!R$1,'Stats 2020'!$D$18:$J$18,0),0)</f>
        <v/>
      </c>
      <c r="S8" s="66">
        <f>VLOOKUP($B8,'Stats 2020'!$D$25:$J$200,MATCH(Graphs!S$1,'Stats 2020'!$D$18:$J$18,0),0)</f>
        <v>1</v>
      </c>
      <c r="T8" s="66" t="str">
        <f>VLOOKUP($B8,'Stats 2020'!$D$25:$J$200,MATCH(Graphs!T$1,'Stats 2020'!$D$18:$J$18,0),0)</f>
        <v/>
      </c>
      <c r="U8" s="66">
        <f>VLOOKUP($B8,'Stats 2020'!$D$25:$J$200,MATCH(Graphs!U$1,'Stats 2020'!$D$18:$J$18,0),0)</f>
        <v>1</v>
      </c>
      <c r="V8" s="66">
        <f>VLOOKUP($B8,'Stats 2020'!$D$25:$J$200,MATCH(Graphs!V$1,'Stats 2020'!$D$18:$J$18,0),0)</f>
        <v>1</v>
      </c>
      <c r="W8" s="66"/>
      <c r="X8" s="65">
        <f t="shared" si="8"/>
        <v>43896</v>
      </c>
      <c r="Y8" s="69">
        <f>SUM(Q$2:Q8)/COUNTA($P$2:$P8)</f>
        <v>0.8571428571428571</v>
      </c>
      <c r="Z8" s="69">
        <f>SUM(R$2:R8)/COUNTA($P$2:$P8)</f>
        <v>0</v>
      </c>
      <c r="AA8" s="69">
        <f>SUM(S$2:S8)/COUNTA($P$2:$P8)</f>
        <v>0.8571428571428571</v>
      </c>
      <c r="AB8" s="69">
        <f>SUM(T$2:T8)/COUNTA($P$2:$P8)</f>
        <v>0</v>
      </c>
      <c r="AC8" s="69">
        <f>SUM(U$2:U8)/COUNTA($P$2:$P8)</f>
        <v>0.5714285714285714</v>
      </c>
      <c r="AD8" s="69">
        <f>SUM(V$2:V8)/COUNTA($P$2:$P8)</f>
        <v>0.8571428571428571</v>
      </c>
      <c r="AE8" s="70">
        <f t="shared" si="9"/>
        <v>0.52380952380952384</v>
      </c>
      <c r="AF8" s="58" t="e">
        <f t="shared" ca="1" si="4"/>
        <v>#N/A</v>
      </c>
      <c r="AG8" s="58" t="e">
        <f t="shared" ca="1" si="4"/>
        <v>#N/A</v>
      </c>
      <c r="AH8" s="58" t="e">
        <f t="shared" ca="1" si="4"/>
        <v>#N/A</v>
      </c>
      <c r="AI8" s="58" t="e">
        <f t="shared" ca="1" si="4"/>
        <v>#N/A</v>
      </c>
      <c r="AJ8" s="58" t="e">
        <f t="shared" ca="1" si="4"/>
        <v>#N/A</v>
      </c>
      <c r="AK8" s="58" t="e">
        <f t="shared" ca="1" si="4"/>
        <v>#N/A</v>
      </c>
      <c r="AL8" s="58" t="e">
        <f t="shared" ca="1" si="4"/>
        <v>#N/A</v>
      </c>
      <c r="AO8" s="81" t="s">
        <v>75</v>
      </c>
      <c r="AP8" s="66"/>
    </row>
    <row r="9" spans="1:42" ht="16.5" customHeight="1">
      <c r="A9" s="74" t="e">
        <f t="shared" ca="1" si="11"/>
        <v>#N/A</v>
      </c>
      <c r="B9" s="56">
        <f t="shared" si="10"/>
        <v>43903</v>
      </c>
      <c r="C9" s="59">
        <f ca="1">IF($B9&lt;=TODAY(),SUMIF('Stats 2020'!$M$24:$M$1048576,"&lt;="&amp;Graphs!$B9,'Stats 2020'!O$24:O$1048576),NA())</f>
        <v>63.75</v>
      </c>
      <c r="D9" s="59">
        <f ca="1">IF($B9&lt;=TODAY(),MAX($C9,$E9,$G9,$H9)+11+16.5,NA())</f>
        <v>113.25</v>
      </c>
      <c r="E9" s="59">
        <f ca="1">IF($B9&lt;=TODAY(),SUMIF('Stats 2020'!$M$24:$M$1048576,"&lt;="&amp;Graphs!$B9,'Stats 2020'!Q$24:Q$1048576),NA())</f>
        <v>72</v>
      </c>
      <c r="F9" s="59">
        <f ca="1">IF($B9&lt;=TODAY(),MAX($C9,$E9,$G9,$H9)+11+16.5,NA())</f>
        <v>113.25</v>
      </c>
      <c r="G9" s="59">
        <f ca="1">IF($B9&lt;=TODAY(),SUMIF('Stats 2020'!$M$24:$M$1048576,"&lt;="&amp;Graphs!$B9,'Stats 2020'!S$24:S$1048576),NA())</f>
        <v>85.75</v>
      </c>
      <c r="H9" s="59">
        <f ca="1">IF($B9&lt;=TODAY(),SUMIF('Stats 2020'!$M$24:$M$1048576,"&lt;="&amp;Graphs!$B9,'Stats 2020'!T$24:T$1048576),NA())</f>
        <v>61</v>
      </c>
      <c r="I9" s="58" t="e">
        <f t="shared" ca="1" si="3"/>
        <v>#N/A</v>
      </c>
      <c r="J9" s="58" t="e">
        <f t="shared" ca="1" si="3"/>
        <v>#N/A</v>
      </c>
      <c r="K9" s="58" t="e">
        <f t="shared" ca="1" si="3"/>
        <v>#N/A</v>
      </c>
      <c r="L9" s="58" t="e">
        <f t="shared" ca="1" si="3"/>
        <v>#N/A</v>
      </c>
      <c r="M9" s="58" t="e">
        <f t="shared" ca="1" si="3"/>
        <v>#N/A</v>
      </c>
      <c r="N9" s="58" t="e">
        <f t="shared" ca="1" si="3"/>
        <v>#N/A</v>
      </c>
      <c r="O9" s="60"/>
      <c r="P9" s="65">
        <f t="shared" si="7"/>
        <v>43903</v>
      </c>
      <c r="Q9" s="66">
        <f>VLOOKUP($B9,'Stats 2020'!$D$25:$J$200,MATCH(Graphs!Q$1,'Stats 2020'!$D$18:$J$18,0),0)</f>
        <v>1</v>
      </c>
      <c r="R9" s="66" t="str">
        <f>VLOOKUP($B9,'Stats 2020'!$D$25:$J$200,MATCH(Graphs!R$1,'Stats 2020'!$D$18:$J$18,0),0)</f>
        <v/>
      </c>
      <c r="S9" s="66">
        <f>VLOOKUP($B9,'Stats 2020'!$D$25:$J$200,MATCH(Graphs!S$1,'Stats 2020'!$D$18:$J$18,0),0)</f>
        <v>0</v>
      </c>
      <c r="T9" s="66" t="str">
        <f>VLOOKUP($B9,'Stats 2020'!$D$25:$J$200,MATCH(Graphs!T$1,'Stats 2020'!$D$18:$J$18,0),0)</f>
        <v/>
      </c>
      <c r="U9" s="66">
        <f>VLOOKUP($B9,'Stats 2020'!$D$25:$J$200,MATCH(Graphs!U$1,'Stats 2020'!$D$18:$J$18,0),0)</f>
        <v>1</v>
      </c>
      <c r="V9" s="66">
        <f>VLOOKUP($B9,'Stats 2020'!$D$25:$J$200,MATCH(Graphs!V$1,'Stats 2020'!$D$18:$J$18,0),0)</f>
        <v>1</v>
      </c>
      <c r="W9" s="66"/>
      <c r="X9" s="65">
        <f t="shared" si="8"/>
        <v>43903</v>
      </c>
      <c r="Y9" s="69">
        <f>SUM(Q$2:Q9)/COUNTA($P$2:$P9)</f>
        <v>0.875</v>
      </c>
      <c r="Z9" s="69">
        <f>SUM(R$2:R9)/COUNTA($P$2:$P9)</f>
        <v>0</v>
      </c>
      <c r="AA9" s="69">
        <f>SUM(S$2:S9)/COUNTA($P$2:$P9)</f>
        <v>0.75</v>
      </c>
      <c r="AB9" s="69">
        <f>SUM(T$2:T9)/COUNTA($P$2:$P9)</f>
        <v>0</v>
      </c>
      <c r="AC9" s="69">
        <f>SUM(U$2:U9)/COUNTA($P$2:$P9)</f>
        <v>0.625</v>
      </c>
      <c r="AD9" s="69">
        <f>SUM(V$2:V9)/COUNTA($P$2:$P9)</f>
        <v>0.875</v>
      </c>
      <c r="AE9" s="70">
        <f t="shared" si="9"/>
        <v>0.52083333333333337</v>
      </c>
      <c r="AF9" s="58" t="e">
        <f t="shared" ca="1" si="4"/>
        <v>#N/A</v>
      </c>
      <c r="AG9" s="58" t="e">
        <f t="shared" ca="1" si="4"/>
        <v>#N/A</v>
      </c>
      <c r="AH9" s="58" t="e">
        <f t="shared" ca="1" si="4"/>
        <v>#N/A</v>
      </c>
      <c r="AI9" s="58" t="e">
        <f t="shared" ca="1" si="4"/>
        <v>#N/A</v>
      </c>
      <c r="AJ9" s="58" t="e">
        <f t="shared" ca="1" si="4"/>
        <v>#N/A</v>
      </c>
      <c r="AK9" s="58" t="e">
        <f t="shared" ca="1" si="4"/>
        <v>#N/A</v>
      </c>
      <c r="AL9" s="58" t="e">
        <f t="shared" ca="1" si="4"/>
        <v>#N/A</v>
      </c>
      <c r="AO9" s="81" t="s">
        <v>76</v>
      </c>
      <c r="AP9" s="66"/>
    </row>
    <row r="10" spans="1:42">
      <c r="A10" s="74" t="e">
        <f t="shared" ca="1" si="11"/>
        <v>#N/A</v>
      </c>
      <c r="B10" s="56">
        <f t="shared" si="10"/>
        <v>43910</v>
      </c>
      <c r="C10" s="59">
        <f ca="1">IF($B10&lt;=TODAY(),SUMIF('Stats 2020'!$M$24:$M$1048576,"&lt;="&amp;Graphs!$B10,'Stats 2020'!O$24:O$1048576),NA())</f>
        <v>63.75</v>
      </c>
      <c r="D10" s="59">
        <f t="shared" ref="D10:D73" ca="1" si="12">IF($B10&lt;=TODAY(),MAX($C10,$E10,$G10,$H10)+11+16.5,NA())</f>
        <v>113.25</v>
      </c>
      <c r="E10" s="59">
        <f ca="1">IF($B10&lt;=TODAY(),SUMIF('Stats 2020'!$M$24:$M$1048576,"&lt;="&amp;Graphs!$B10,'Stats 2020'!Q$24:Q$1048576),NA())</f>
        <v>72</v>
      </c>
      <c r="F10" s="59">
        <f t="shared" ref="F10:F73" ca="1" si="13">IF($B10&lt;=TODAY(),MAX($C10,$E10,$G10,$H10)+11+16.5,NA())</f>
        <v>113.25</v>
      </c>
      <c r="G10" s="59">
        <f ca="1">IF($B10&lt;=TODAY(),SUMIF('Stats 2020'!$M$24:$M$1048576,"&lt;="&amp;Graphs!$B10,'Stats 2020'!S$24:S$1048576),NA())</f>
        <v>85.75</v>
      </c>
      <c r="H10" s="59">
        <f ca="1">IF($B10&lt;=TODAY(),SUMIF('Stats 2020'!$M$24:$M$1048576,"&lt;="&amp;Graphs!$B10,'Stats 2020'!T$24:T$1048576),NA())</f>
        <v>61</v>
      </c>
      <c r="I10" s="58" t="e">
        <f t="shared" ca="1" si="3"/>
        <v>#N/A</v>
      </c>
      <c r="J10" s="58" t="e">
        <f t="shared" ca="1" si="3"/>
        <v>#N/A</v>
      </c>
      <c r="K10" s="58" t="e">
        <f t="shared" ca="1" si="3"/>
        <v>#N/A</v>
      </c>
      <c r="L10" s="58" t="e">
        <f t="shared" ca="1" si="3"/>
        <v>#N/A</v>
      </c>
      <c r="M10" s="58" t="e">
        <f t="shared" ca="1" si="3"/>
        <v>#N/A</v>
      </c>
      <c r="N10" s="58" t="e">
        <f t="shared" ca="1" si="3"/>
        <v>#N/A</v>
      </c>
      <c r="O10" s="60"/>
      <c r="P10" s="65">
        <f t="shared" si="7"/>
        <v>43910</v>
      </c>
      <c r="Q10" s="66">
        <f>VLOOKUP($B10,'Stats 2020'!$D$25:$J$200,MATCH(Graphs!Q$1,'Stats 2020'!$D$18:$J$18,0),0)</f>
        <v>1</v>
      </c>
      <c r="R10" s="66" t="str">
        <f>VLOOKUP($B10,'Stats 2020'!$D$25:$J$200,MATCH(Graphs!R$1,'Stats 2020'!$D$18:$J$18,0),0)</f>
        <v/>
      </c>
      <c r="S10" s="66">
        <f>VLOOKUP($B10,'Stats 2020'!$D$25:$J$200,MATCH(Graphs!S$1,'Stats 2020'!$D$18:$J$18,0),0)</f>
        <v>1</v>
      </c>
      <c r="T10" s="66">
        <f>VLOOKUP($B10,'Stats 2020'!$D$25:$J$200,MATCH(Graphs!T$1,'Stats 2020'!$D$18:$J$18,0),0)</f>
        <v>1</v>
      </c>
      <c r="U10" s="66">
        <f>VLOOKUP($B10,'Stats 2020'!$D$25:$J$200,MATCH(Graphs!U$1,'Stats 2020'!$D$18:$J$18,0),0)</f>
        <v>1</v>
      </c>
      <c r="V10" s="66">
        <f>VLOOKUP($B10,'Stats 2020'!$D$25:$J$200,MATCH(Graphs!V$1,'Stats 2020'!$D$18:$J$18,0),0)</f>
        <v>1</v>
      </c>
      <c r="W10" s="66"/>
      <c r="X10" s="65">
        <f t="shared" si="8"/>
        <v>43910</v>
      </c>
      <c r="Y10" s="69">
        <f>SUM(Q$2:Q10)/COUNTA($P$2:$P10)</f>
        <v>0.88888888888888884</v>
      </c>
      <c r="Z10" s="69">
        <f>SUM(R$2:R10)/COUNTA($P$2:$P10)</f>
        <v>0</v>
      </c>
      <c r="AA10" s="69">
        <f>SUM(S$2:S10)/COUNTA($P$2:$P10)</f>
        <v>0.77777777777777779</v>
      </c>
      <c r="AB10" s="69">
        <f>SUM(T$2:T10)/COUNTA($P$2:$P10)</f>
        <v>0.1111111111111111</v>
      </c>
      <c r="AC10" s="69">
        <f>SUM(U$2:U10)/COUNTA($P$2:$P10)</f>
        <v>0.66666666666666663</v>
      </c>
      <c r="AD10" s="69">
        <f>SUM(V$2:V10)/COUNTA($P$2:$P10)</f>
        <v>0.88888888888888884</v>
      </c>
      <c r="AE10" s="70">
        <f t="shared" si="9"/>
        <v>0.55555555555555547</v>
      </c>
      <c r="AF10" s="58" t="e">
        <f t="shared" ca="1" si="4"/>
        <v>#N/A</v>
      </c>
      <c r="AG10" s="58" t="e">
        <f t="shared" ca="1" si="4"/>
        <v>#N/A</v>
      </c>
      <c r="AH10" s="58" t="e">
        <f t="shared" ca="1" si="4"/>
        <v>#N/A</v>
      </c>
      <c r="AI10" s="58" t="e">
        <f t="shared" ca="1" si="4"/>
        <v>#N/A</v>
      </c>
      <c r="AJ10" s="58" t="e">
        <f t="shared" ca="1" si="4"/>
        <v>#N/A</v>
      </c>
      <c r="AK10" s="58" t="e">
        <f t="shared" ca="1" si="4"/>
        <v>#N/A</v>
      </c>
      <c r="AL10" s="58" t="e">
        <f t="shared" ca="1" si="4"/>
        <v>#N/A</v>
      </c>
      <c r="AP10" s="66"/>
    </row>
    <row r="11" spans="1:42">
      <c r="A11" s="74" t="e">
        <f t="shared" ca="1" si="11"/>
        <v>#N/A</v>
      </c>
      <c r="B11" s="56">
        <f>7+B10</f>
        <v>43917</v>
      </c>
      <c r="C11" s="59">
        <f ca="1">IF($B11&lt;=TODAY(),SUMIF('Stats 2020'!$M$24:$M$1048576,"&lt;="&amp;Graphs!$B11,'Stats 2020'!O$24:O$1048576),NA())</f>
        <v>63.75</v>
      </c>
      <c r="D11" s="59">
        <f t="shared" ca="1" si="12"/>
        <v>113.25</v>
      </c>
      <c r="E11" s="59">
        <f ca="1">IF($B11&lt;=TODAY(),SUMIF('Stats 2020'!$M$24:$M$1048576,"&lt;="&amp;Graphs!$B11,'Stats 2020'!Q$24:Q$1048576),NA())</f>
        <v>72</v>
      </c>
      <c r="F11" s="59">
        <f t="shared" ca="1" si="13"/>
        <v>113.25</v>
      </c>
      <c r="G11" s="59">
        <f ca="1">IF($B11&lt;=TODAY(),SUMIF('Stats 2020'!$M$24:$M$1048576,"&lt;="&amp;Graphs!$B11,'Stats 2020'!S$24:S$1048576),NA())</f>
        <v>85.75</v>
      </c>
      <c r="H11" s="59">
        <f ca="1">IF($B11&lt;=TODAY(),SUMIF('Stats 2020'!$M$24:$M$1048576,"&lt;="&amp;Graphs!$B11,'Stats 2020'!T$24:T$1048576),NA())</f>
        <v>61</v>
      </c>
      <c r="I11" s="58" t="e">
        <f t="shared" ca="1" si="3"/>
        <v>#N/A</v>
      </c>
      <c r="J11" s="58" t="e">
        <f t="shared" ca="1" si="3"/>
        <v>#N/A</v>
      </c>
      <c r="K11" s="58" t="e">
        <f t="shared" ca="1" si="3"/>
        <v>#N/A</v>
      </c>
      <c r="L11" s="58" t="e">
        <f t="shared" ca="1" si="3"/>
        <v>#N/A</v>
      </c>
      <c r="M11" s="58" t="e">
        <f t="shared" ca="1" si="3"/>
        <v>#N/A</v>
      </c>
      <c r="N11" s="58" t="e">
        <f t="shared" ca="1" si="3"/>
        <v>#N/A</v>
      </c>
      <c r="O11" s="60"/>
      <c r="P11" s="65">
        <f t="shared" si="7"/>
        <v>43917</v>
      </c>
      <c r="Q11" s="66">
        <f>VLOOKUP($B11,'Stats 2020'!$D$25:$J$200,MATCH(Graphs!Q$1,'Stats 2020'!$D$18:$J$18,0),0)</f>
        <v>1</v>
      </c>
      <c r="R11" s="66">
        <f>VLOOKUP($B11,'Stats 2020'!$D$25:$J$200,MATCH(Graphs!R$1,'Stats 2020'!$D$18:$J$18,0),0)</f>
        <v>1</v>
      </c>
      <c r="S11" s="66">
        <f>VLOOKUP($B11,'Stats 2020'!$D$25:$J$200,MATCH(Graphs!S$1,'Stats 2020'!$D$18:$J$18,0),0)</f>
        <v>1</v>
      </c>
      <c r="T11" s="66">
        <f>VLOOKUP($B11,'Stats 2020'!$D$25:$J$200,MATCH(Graphs!T$1,'Stats 2020'!$D$18:$J$18,0),0)</f>
        <v>1</v>
      </c>
      <c r="U11" s="66">
        <f>VLOOKUP($B11,'Stats 2020'!$D$25:$J$200,MATCH(Graphs!U$1,'Stats 2020'!$D$18:$J$18,0),0)</f>
        <v>1</v>
      </c>
      <c r="V11" s="66">
        <f>VLOOKUP($B11,'Stats 2020'!$D$25:$J$200,MATCH(Graphs!V$1,'Stats 2020'!$D$18:$J$18,0),0)</f>
        <v>1</v>
      </c>
      <c r="W11" s="66"/>
      <c r="X11" s="65">
        <f t="shared" si="8"/>
        <v>43917</v>
      </c>
      <c r="Y11" s="69">
        <f>SUM(Q$2:Q11)/COUNTA($P$2:$P11)</f>
        <v>0.9</v>
      </c>
      <c r="Z11" s="69">
        <f>SUM(R$2:R11)/COUNTA($P$2:$P11)</f>
        <v>0.1</v>
      </c>
      <c r="AA11" s="69">
        <f>SUM(S$2:S11)/COUNTA($P$2:$P11)</f>
        <v>0.8</v>
      </c>
      <c r="AB11" s="69">
        <f>SUM(T$2:T11)/COUNTA($P$2:$P11)</f>
        <v>0.2</v>
      </c>
      <c r="AC11" s="69">
        <f>SUM(U$2:U11)/COUNTA($P$2:$P11)</f>
        <v>0.7</v>
      </c>
      <c r="AD11" s="69">
        <f>SUM(V$2:V11)/COUNTA($P$2:$P11)</f>
        <v>0.9</v>
      </c>
      <c r="AE11" s="70">
        <f>AVERAGE(Y11:AD11)</f>
        <v>0.6</v>
      </c>
      <c r="AF11" s="58" t="e">
        <f t="shared" ca="1" si="4"/>
        <v>#N/A</v>
      </c>
      <c r="AG11" s="58" t="e">
        <f t="shared" ca="1" si="4"/>
        <v>#N/A</v>
      </c>
      <c r="AH11" s="58" t="e">
        <f t="shared" ca="1" si="4"/>
        <v>#N/A</v>
      </c>
      <c r="AI11" s="58" t="e">
        <f t="shared" ca="1" si="4"/>
        <v>#N/A</v>
      </c>
      <c r="AJ11" s="58" t="e">
        <f t="shared" ca="1" si="4"/>
        <v>#N/A</v>
      </c>
      <c r="AK11" s="58" t="e">
        <f t="shared" ca="1" si="4"/>
        <v>#N/A</v>
      </c>
      <c r="AL11" s="58" t="e">
        <f t="shared" ca="1" si="4"/>
        <v>#N/A</v>
      </c>
      <c r="AP11" s="66"/>
    </row>
    <row r="12" spans="1:42" ht="16.5" customHeight="1">
      <c r="A12" s="74" t="e">
        <f t="shared" ca="1" si="11"/>
        <v>#N/A</v>
      </c>
      <c r="B12" s="56">
        <f>B10+14</f>
        <v>43924</v>
      </c>
      <c r="C12" s="59">
        <f ca="1">IF($B12&lt;=TODAY(),SUMIF('Stats 2020'!$M$24:$M$1048576,"&lt;="&amp;Graphs!$B12,'Stats 2020'!O$24:O$1048576),NA())</f>
        <v>63.75</v>
      </c>
      <c r="D12" s="59">
        <f t="shared" ca="1" si="12"/>
        <v>113.25</v>
      </c>
      <c r="E12" s="59">
        <f ca="1">IF($B12&lt;=TODAY(),SUMIF('Stats 2020'!$M$24:$M$1048576,"&lt;="&amp;Graphs!$B12,'Stats 2020'!Q$24:Q$1048576),NA())</f>
        <v>72</v>
      </c>
      <c r="F12" s="59">
        <f t="shared" ca="1" si="13"/>
        <v>113.25</v>
      </c>
      <c r="G12" s="59">
        <f ca="1">IF($B12&lt;=TODAY(),SUMIF('Stats 2020'!$M$24:$M$1048576,"&lt;="&amp;Graphs!$B12,'Stats 2020'!S$24:S$1048576),NA())</f>
        <v>85.75</v>
      </c>
      <c r="H12" s="59">
        <f ca="1">IF($B12&lt;=TODAY(),SUMIF('Stats 2020'!$M$24:$M$1048576,"&lt;="&amp;Graphs!$B12,'Stats 2020'!T$24:T$1048576),NA())</f>
        <v>61</v>
      </c>
      <c r="I12" s="58" t="e">
        <f t="shared" ref="I12:N21" ca="1" si="14">VLOOKUP($A12,$B$1:$H$59,MATCH(I$1,$B$1:$H$1,0),0)</f>
        <v>#N/A</v>
      </c>
      <c r="J12" s="58" t="e">
        <f t="shared" ca="1" si="14"/>
        <v>#N/A</v>
      </c>
      <c r="K12" s="58" t="e">
        <f t="shared" ca="1" si="14"/>
        <v>#N/A</v>
      </c>
      <c r="L12" s="58" t="e">
        <f t="shared" ca="1" si="14"/>
        <v>#N/A</v>
      </c>
      <c r="M12" s="58" t="e">
        <f t="shared" ca="1" si="14"/>
        <v>#N/A</v>
      </c>
      <c r="N12" s="58" t="e">
        <f t="shared" ca="1" si="14"/>
        <v>#N/A</v>
      </c>
      <c r="O12" s="60"/>
      <c r="P12" s="65">
        <f t="shared" si="7"/>
        <v>43924</v>
      </c>
      <c r="Q12" s="66">
        <f>VLOOKUP($B12,'Stats 2020'!$D$25:$J$200,MATCH(Graphs!Q$1,'Stats 2020'!$D$18:$J$18,0),0)</f>
        <v>1</v>
      </c>
      <c r="R12" s="66" t="str">
        <f>VLOOKUP($B12,'Stats 2020'!$D$25:$J$200,MATCH(Graphs!R$1,'Stats 2020'!$D$18:$J$18,0),0)</f>
        <v/>
      </c>
      <c r="S12" s="66">
        <f>VLOOKUP($B12,'Stats 2020'!$D$25:$J$200,MATCH(Graphs!S$1,'Stats 2020'!$D$18:$J$18,0),0)</f>
        <v>1</v>
      </c>
      <c r="T12" s="66">
        <f>VLOOKUP($B12,'Stats 2020'!$D$25:$J$200,MATCH(Graphs!T$1,'Stats 2020'!$D$18:$J$18,0),0)</f>
        <v>1</v>
      </c>
      <c r="U12" s="66">
        <f>VLOOKUP($B12,'Stats 2020'!$D$25:$J$200,MATCH(Graphs!U$1,'Stats 2020'!$D$18:$J$18,0),0)</f>
        <v>1</v>
      </c>
      <c r="V12" s="66">
        <f>VLOOKUP($B12,'Stats 2020'!$D$25:$J$200,MATCH(Graphs!V$1,'Stats 2020'!$D$18:$J$18,0),0)</f>
        <v>1</v>
      </c>
      <c r="W12" s="66"/>
      <c r="X12" s="65">
        <f t="shared" si="8"/>
        <v>43924</v>
      </c>
      <c r="Y12" s="69">
        <f>SUM(Q$2:Q12)/COUNTA($P$2:$P12)</f>
        <v>0.90909090909090906</v>
      </c>
      <c r="Z12" s="69">
        <f>SUM(R$2:R12)/COUNTA($P$2:$P12)</f>
        <v>9.0909090909090912E-2</v>
      </c>
      <c r="AA12" s="69">
        <f>SUM(S$2:S12)/COUNTA($P$2:$P12)</f>
        <v>0.81818181818181823</v>
      </c>
      <c r="AB12" s="69">
        <f>SUM(T$2:T12)/COUNTA($P$2:$P12)</f>
        <v>0.27272727272727271</v>
      </c>
      <c r="AC12" s="69">
        <f>SUM(U$2:U12)/COUNTA($P$2:$P12)</f>
        <v>0.72727272727272729</v>
      </c>
      <c r="AD12" s="69">
        <f>SUM(V$2:V12)/COUNTA($P$2:$P12)</f>
        <v>0.90909090909090906</v>
      </c>
      <c r="AE12" s="70">
        <f t="shared" si="9"/>
        <v>0.62121212121212122</v>
      </c>
      <c r="AF12" s="58" t="e">
        <f t="shared" ref="AF12:AL21" ca="1" si="15">VLOOKUP($A12,$X$1:$AE$59,MATCH(AF$1,$X$1:$AE$1,0),0)</f>
        <v>#N/A</v>
      </c>
      <c r="AG12" s="58" t="e">
        <f t="shared" ca="1" si="15"/>
        <v>#N/A</v>
      </c>
      <c r="AH12" s="58" t="e">
        <f t="shared" ca="1" si="15"/>
        <v>#N/A</v>
      </c>
      <c r="AI12" s="58" t="e">
        <f t="shared" ca="1" si="15"/>
        <v>#N/A</v>
      </c>
      <c r="AJ12" s="58" t="e">
        <f t="shared" ca="1" si="15"/>
        <v>#N/A</v>
      </c>
      <c r="AK12" s="58" t="e">
        <f t="shared" ca="1" si="15"/>
        <v>#N/A</v>
      </c>
      <c r="AL12" s="58" t="e">
        <f t="shared" ca="1" si="15"/>
        <v>#N/A</v>
      </c>
      <c r="AP12" s="66"/>
    </row>
    <row r="13" spans="1:42" ht="16.5" customHeight="1">
      <c r="A13" s="74" t="e">
        <f t="shared" ca="1" si="11"/>
        <v>#N/A</v>
      </c>
      <c r="B13" s="56">
        <f t="shared" si="10"/>
        <v>43931</v>
      </c>
      <c r="C13" s="59">
        <f ca="1">IF($B13&lt;=TODAY(),SUMIF('Stats 2020'!$M$24:$M$1048576,"&lt;="&amp;Graphs!$B13,'Stats 2020'!O$24:O$1048576),NA())</f>
        <v>63.75</v>
      </c>
      <c r="D13" s="59">
        <f t="shared" ca="1" si="12"/>
        <v>113.25</v>
      </c>
      <c r="E13" s="59">
        <f ca="1">IF($B13&lt;=TODAY(),SUMIF('Stats 2020'!$M$24:$M$1048576,"&lt;="&amp;Graphs!$B13,'Stats 2020'!Q$24:Q$1048576),NA())</f>
        <v>72</v>
      </c>
      <c r="F13" s="59">
        <f t="shared" ca="1" si="13"/>
        <v>113.25</v>
      </c>
      <c r="G13" s="59">
        <f ca="1">IF($B13&lt;=TODAY(),SUMIF('Stats 2020'!$M$24:$M$1048576,"&lt;="&amp;Graphs!$B13,'Stats 2020'!S$24:S$1048576),NA())</f>
        <v>85.75</v>
      </c>
      <c r="H13" s="59">
        <f ca="1">IF($B13&lt;=TODAY(),SUMIF('Stats 2020'!$M$24:$M$1048576,"&lt;="&amp;Graphs!$B13,'Stats 2020'!T$24:T$1048576),NA())</f>
        <v>61</v>
      </c>
      <c r="I13" s="58" t="e">
        <f t="shared" ca="1" si="14"/>
        <v>#N/A</v>
      </c>
      <c r="J13" s="58" t="e">
        <f t="shared" ca="1" si="14"/>
        <v>#N/A</v>
      </c>
      <c r="K13" s="58" t="e">
        <f t="shared" ca="1" si="14"/>
        <v>#N/A</v>
      </c>
      <c r="L13" s="58" t="e">
        <f t="shared" ca="1" si="14"/>
        <v>#N/A</v>
      </c>
      <c r="M13" s="58" t="e">
        <f t="shared" ca="1" si="14"/>
        <v>#N/A</v>
      </c>
      <c r="N13" s="58" t="e">
        <f t="shared" ca="1" si="14"/>
        <v>#N/A</v>
      </c>
      <c r="O13" s="60"/>
      <c r="P13" s="65">
        <f t="shared" si="7"/>
        <v>43931</v>
      </c>
      <c r="Q13" s="66"/>
      <c r="R13" s="66"/>
      <c r="S13" s="66"/>
      <c r="T13" s="66"/>
      <c r="U13" s="66"/>
      <c r="V13" s="66"/>
      <c r="W13" s="66"/>
      <c r="X13" s="65">
        <f t="shared" si="8"/>
        <v>43931</v>
      </c>
      <c r="Y13" s="69">
        <f>SUM(Q$2:Q12)/COUNTA($P$2:$P12)</f>
        <v>0.90909090909090906</v>
      </c>
      <c r="Z13" s="69">
        <f>SUM(R$2:R12)/COUNTA($P$2:$P12)</f>
        <v>9.0909090909090912E-2</v>
      </c>
      <c r="AA13" s="69">
        <f>SUM(S$2:S12)/COUNTA($P$2:$P12)</f>
        <v>0.81818181818181823</v>
      </c>
      <c r="AB13" s="69">
        <f>SUM(T$2:T12)/COUNTA($P$2:$P12)</f>
        <v>0.27272727272727271</v>
      </c>
      <c r="AC13" s="69">
        <f>SUM(U$2:U12)/COUNTA($P$2:$P12)</f>
        <v>0.72727272727272729</v>
      </c>
      <c r="AD13" s="69">
        <f>SUM(V$2:V12)/COUNTA($P$2:$P12)</f>
        <v>0.90909090909090906</v>
      </c>
      <c r="AE13" s="70">
        <f t="shared" si="9"/>
        <v>0.62121212121212122</v>
      </c>
      <c r="AF13" s="58" t="e">
        <f t="shared" ca="1" si="15"/>
        <v>#N/A</v>
      </c>
      <c r="AG13" s="58" t="e">
        <f t="shared" ca="1" si="15"/>
        <v>#N/A</v>
      </c>
      <c r="AH13" s="58" t="e">
        <f t="shared" ca="1" si="15"/>
        <v>#N/A</v>
      </c>
      <c r="AI13" s="58" t="e">
        <f t="shared" ca="1" si="15"/>
        <v>#N/A</v>
      </c>
      <c r="AJ13" s="58" t="e">
        <f t="shared" ca="1" si="15"/>
        <v>#N/A</v>
      </c>
      <c r="AK13" s="58" t="e">
        <f t="shared" ca="1" si="15"/>
        <v>#N/A</v>
      </c>
      <c r="AL13" s="58" t="e">
        <f t="shared" ca="1" si="15"/>
        <v>#N/A</v>
      </c>
      <c r="AP13" s="66"/>
    </row>
    <row r="14" spans="1:42" ht="16.5" customHeight="1">
      <c r="A14" s="74" t="e">
        <f t="shared" ca="1" si="11"/>
        <v>#N/A</v>
      </c>
      <c r="B14" s="56">
        <f>B13+7</f>
        <v>43938</v>
      </c>
      <c r="C14" s="59">
        <f ca="1">IF($B14&lt;=TODAY(),SUMIF('Stats 2020'!$M$24:$M$1048576,"&lt;="&amp;Graphs!$B14,'Stats 2020'!O$24:O$1048576),NA())</f>
        <v>74.75</v>
      </c>
      <c r="D14" s="59">
        <f t="shared" ca="1" si="12"/>
        <v>113.25</v>
      </c>
      <c r="E14" s="59">
        <f ca="1">IF($B14&lt;=TODAY(),SUMIF('Stats 2020'!$M$24:$M$1048576,"&lt;="&amp;Graphs!$B14,'Stats 2020'!Q$24:Q$1048576),NA())</f>
        <v>72</v>
      </c>
      <c r="F14" s="59">
        <f t="shared" ca="1" si="13"/>
        <v>113.25</v>
      </c>
      <c r="G14" s="59">
        <f ca="1">IF($B14&lt;=TODAY(),SUMIF('Stats 2020'!$M$24:$M$1048576,"&lt;="&amp;Graphs!$B14,'Stats 2020'!S$24:S$1048576),NA())</f>
        <v>85.75</v>
      </c>
      <c r="H14" s="59">
        <f ca="1">IF($B14&lt;=TODAY(),SUMIF('Stats 2020'!$M$24:$M$1048576,"&lt;="&amp;Graphs!$B14,'Stats 2020'!T$24:T$1048576),NA())</f>
        <v>61</v>
      </c>
      <c r="I14" s="58" t="e">
        <f t="shared" ca="1" si="14"/>
        <v>#N/A</v>
      </c>
      <c r="J14" s="58" t="e">
        <f t="shared" ca="1" si="14"/>
        <v>#N/A</v>
      </c>
      <c r="K14" s="58" t="e">
        <f t="shared" ca="1" si="14"/>
        <v>#N/A</v>
      </c>
      <c r="L14" s="58" t="e">
        <f t="shared" ca="1" si="14"/>
        <v>#N/A</v>
      </c>
      <c r="M14" s="58" t="e">
        <f t="shared" ca="1" si="14"/>
        <v>#N/A</v>
      </c>
      <c r="N14" s="58" t="e">
        <f t="shared" ca="1" si="14"/>
        <v>#N/A</v>
      </c>
      <c r="O14" s="60"/>
      <c r="P14" s="65">
        <f t="shared" si="7"/>
        <v>43938</v>
      </c>
      <c r="Q14" s="66">
        <f>VLOOKUP($B14,'Stats 2020'!$D$25:$J$200,MATCH(Graphs!Q$1,'Stats 2020'!$D$18:$J$18,0),0)</f>
        <v>1</v>
      </c>
      <c r="R14" s="66" t="str">
        <f>VLOOKUP($B14,'Stats 2020'!$D$25:$J$200,MATCH(Graphs!R$1,'Stats 2020'!$D$18:$J$18,0),0)</f>
        <v/>
      </c>
      <c r="S14" s="66">
        <f>VLOOKUP($B14,'Stats 2020'!$D$25:$J$200,MATCH(Graphs!S$1,'Stats 2020'!$D$18:$J$18,0),0)</f>
        <v>1</v>
      </c>
      <c r="T14" s="66" t="str">
        <f>VLOOKUP($B14,'Stats 2020'!$D$25:$J$200,MATCH(Graphs!T$1,'Stats 2020'!$D$18:$J$18,0),0)</f>
        <v/>
      </c>
      <c r="U14" s="66">
        <f>VLOOKUP($B14,'Stats 2020'!$D$25:$J$200,MATCH(Graphs!U$1,'Stats 2020'!$D$18:$J$18,0),0)</f>
        <v>1</v>
      </c>
      <c r="V14" s="66">
        <f>VLOOKUP($B14,'Stats 2020'!$D$25:$J$200,MATCH(Graphs!V$1,'Stats 2020'!$D$18:$J$18,0),0)</f>
        <v>1</v>
      </c>
      <c r="W14" s="66"/>
      <c r="X14" s="65">
        <f t="shared" si="8"/>
        <v>43938</v>
      </c>
      <c r="Y14" s="69">
        <f>SUM(Q$2:Q14)/COUNTA($P$2:$P14)</f>
        <v>0.84615384615384615</v>
      </c>
      <c r="Z14" s="69">
        <f>SUM(R$2:R14)/COUNTA($P$2:$P14)</f>
        <v>7.6923076923076927E-2</v>
      </c>
      <c r="AA14" s="69">
        <f>SUM(S$2:S14)/COUNTA($P$2:$P14)</f>
        <v>0.76923076923076927</v>
      </c>
      <c r="AB14" s="69">
        <f>SUM(T$2:T14)/COUNTA($P$2:$P14)</f>
        <v>0.23076923076923078</v>
      </c>
      <c r="AC14" s="69">
        <f>SUM(U$2:U14)/COUNTA($P$2:$P14)</f>
        <v>0.69230769230769229</v>
      </c>
      <c r="AD14" s="69">
        <f>SUM(V$2:V14)/COUNTA($P$2:$P14)</f>
        <v>0.84615384615384615</v>
      </c>
      <c r="AE14" s="70">
        <f t="shared" si="9"/>
        <v>0.57692307692307698</v>
      </c>
      <c r="AF14" s="58" t="e">
        <f t="shared" ca="1" si="15"/>
        <v>#N/A</v>
      </c>
      <c r="AG14" s="58" t="e">
        <f t="shared" ca="1" si="15"/>
        <v>#N/A</v>
      </c>
      <c r="AH14" s="58" t="e">
        <f t="shared" ca="1" si="15"/>
        <v>#N/A</v>
      </c>
      <c r="AI14" s="58" t="e">
        <f t="shared" ca="1" si="15"/>
        <v>#N/A</v>
      </c>
      <c r="AJ14" s="58" t="e">
        <f t="shared" ca="1" si="15"/>
        <v>#N/A</v>
      </c>
      <c r="AK14" s="58" t="e">
        <f t="shared" ca="1" si="15"/>
        <v>#N/A</v>
      </c>
      <c r="AL14" s="58" t="e">
        <f t="shared" ca="1" si="15"/>
        <v>#N/A</v>
      </c>
      <c r="AP14" s="66"/>
    </row>
    <row r="15" spans="1:42" ht="16.5" customHeight="1">
      <c r="A15" s="74" t="e">
        <f t="shared" ca="1" si="11"/>
        <v>#N/A</v>
      </c>
      <c r="B15" s="56">
        <f t="shared" si="10"/>
        <v>43945</v>
      </c>
      <c r="C15" s="59">
        <f ca="1">IF($B15&lt;=TODAY(),SUMIF('Stats 2020'!$M$24:$M$1048576,"&lt;="&amp;Graphs!$B15,'Stats 2020'!O$24:O$1048576),NA())</f>
        <v>74.75</v>
      </c>
      <c r="D15" s="59">
        <f t="shared" ca="1" si="12"/>
        <v>113.25</v>
      </c>
      <c r="E15" s="59">
        <f ca="1">IF($B15&lt;=TODAY(),SUMIF('Stats 2020'!$M$24:$M$1048576,"&lt;="&amp;Graphs!$B15,'Stats 2020'!Q$24:Q$1048576),NA())</f>
        <v>72</v>
      </c>
      <c r="F15" s="59">
        <f t="shared" ca="1" si="13"/>
        <v>113.25</v>
      </c>
      <c r="G15" s="59">
        <f ca="1">IF($B15&lt;=TODAY(),SUMIF('Stats 2020'!$M$24:$M$1048576,"&lt;="&amp;Graphs!$B15,'Stats 2020'!S$24:S$1048576),NA())</f>
        <v>85.75</v>
      </c>
      <c r="H15" s="59">
        <f ca="1">IF($B15&lt;=TODAY(),SUMIF('Stats 2020'!$M$24:$M$1048576,"&lt;="&amp;Graphs!$B15,'Stats 2020'!T$24:T$1048576),NA())</f>
        <v>61</v>
      </c>
      <c r="I15" s="58" t="e">
        <f t="shared" ca="1" si="14"/>
        <v>#N/A</v>
      </c>
      <c r="J15" s="58" t="e">
        <f t="shared" ca="1" si="14"/>
        <v>#N/A</v>
      </c>
      <c r="K15" s="58" t="e">
        <f t="shared" ca="1" si="14"/>
        <v>#N/A</v>
      </c>
      <c r="L15" s="58" t="e">
        <f t="shared" ca="1" si="14"/>
        <v>#N/A</v>
      </c>
      <c r="M15" s="58" t="e">
        <f t="shared" ca="1" si="14"/>
        <v>#N/A</v>
      </c>
      <c r="N15" s="58" t="e">
        <f t="shared" ca="1" si="14"/>
        <v>#N/A</v>
      </c>
      <c r="O15" s="60"/>
      <c r="P15" s="65">
        <f t="shared" si="7"/>
        <v>43945</v>
      </c>
      <c r="Q15" s="66">
        <f>VLOOKUP($B15,'Stats 2020'!$D$25:$J$200,MATCH(Graphs!Q$1,'Stats 2020'!$D$18:$J$18,0),0)</f>
        <v>1</v>
      </c>
      <c r="R15" s="66" t="str">
        <f>VLOOKUP($B15,'Stats 2020'!$D$25:$J$200,MATCH(Graphs!R$1,'Stats 2020'!$D$18:$J$18,0),0)</f>
        <v/>
      </c>
      <c r="S15" s="66">
        <f>VLOOKUP($B15,'Stats 2020'!$D$25:$J$200,MATCH(Graphs!S$1,'Stats 2020'!$D$18:$J$18,0),0)</f>
        <v>1</v>
      </c>
      <c r="T15" s="66">
        <f>VLOOKUP($B15,'Stats 2020'!$D$25:$J$200,MATCH(Graphs!T$1,'Stats 2020'!$D$18:$J$18,0),0)</f>
        <v>1</v>
      </c>
      <c r="U15" s="66">
        <f>VLOOKUP($B15,'Stats 2020'!$D$25:$J$200,MATCH(Graphs!U$1,'Stats 2020'!$D$18:$J$18,0),0)</f>
        <v>1</v>
      </c>
      <c r="V15" s="66">
        <f>VLOOKUP($B15,'Stats 2020'!$D$25:$J$200,MATCH(Graphs!V$1,'Stats 2020'!$D$18:$J$18,0),0)</f>
        <v>1</v>
      </c>
      <c r="W15" s="66"/>
      <c r="X15" s="65">
        <f t="shared" si="8"/>
        <v>43945</v>
      </c>
      <c r="Y15" s="69">
        <f>SUM(Q$2:Q15)/COUNTA($P$2:$P15)</f>
        <v>0.8571428571428571</v>
      </c>
      <c r="Z15" s="69">
        <f>SUM(R$2:R15)/COUNTA($P$2:$P15)</f>
        <v>7.1428571428571425E-2</v>
      </c>
      <c r="AA15" s="69">
        <f>SUM(S$2:S15)/COUNTA($P$2:$P15)</f>
        <v>0.7857142857142857</v>
      </c>
      <c r="AB15" s="69">
        <f>SUM(T$2:T15)/COUNTA($P$2:$P15)</f>
        <v>0.2857142857142857</v>
      </c>
      <c r="AC15" s="69">
        <f>SUM(U$2:U15)/COUNTA($P$2:$P15)</f>
        <v>0.7142857142857143</v>
      </c>
      <c r="AD15" s="69">
        <f>SUM(V$2:V15)/COUNTA($P$2:$P15)</f>
        <v>0.8571428571428571</v>
      </c>
      <c r="AE15" s="70">
        <f t="shared" ref="AE15:AE78" si="16">AVERAGE(Y15:AD15)</f>
        <v>0.59523809523809523</v>
      </c>
      <c r="AF15" s="58" t="e">
        <f t="shared" ca="1" si="15"/>
        <v>#N/A</v>
      </c>
      <c r="AG15" s="58" t="e">
        <f t="shared" ca="1" si="15"/>
        <v>#N/A</v>
      </c>
      <c r="AH15" s="58" t="e">
        <f t="shared" ca="1" si="15"/>
        <v>#N/A</v>
      </c>
      <c r="AI15" s="58" t="e">
        <f t="shared" ca="1" si="15"/>
        <v>#N/A</v>
      </c>
      <c r="AJ15" s="58" t="e">
        <f t="shared" ca="1" si="15"/>
        <v>#N/A</v>
      </c>
      <c r="AK15" s="58" t="e">
        <f t="shared" ca="1" si="15"/>
        <v>#N/A</v>
      </c>
      <c r="AL15" s="58" t="e">
        <f t="shared" ca="1" si="15"/>
        <v>#N/A</v>
      </c>
      <c r="AP15" s="66"/>
    </row>
    <row r="16" spans="1:42" ht="16.5" customHeight="1">
      <c r="A16" s="74" t="e">
        <f t="shared" ca="1" si="11"/>
        <v>#N/A</v>
      </c>
      <c r="B16" s="56">
        <f t="shared" si="10"/>
        <v>43952</v>
      </c>
      <c r="C16" s="59">
        <f ca="1">IF($B16&lt;=TODAY(),SUMIF('Stats 2020'!$M$24:$M$1048576,"&lt;="&amp;Graphs!$B16,'Stats 2020'!O$24:O$1048576),NA())</f>
        <v>74.75</v>
      </c>
      <c r="D16" s="59">
        <f t="shared" ca="1" si="12"/>
        <v>113.25</v>
      </c>
      <c r="E16" s="59">
        <f ca="1">IF($B16&lt;=TODAY(),SUMIF('Stats 2020'!$M$24:$M$1048576,"&lt;="&amp;Graphs!$B16,'Stats 2020'!Q$24:Q$1048576),NA())</f>
        <v>72</v>
      </c>
      <c r="F16" s="59">
        <f t="shared" ca="1" si="13"/>
        <v>113.25</v>
      </c>
      <c r="G16" s="59">
        <f ca="1">IF($B16&lt;=TODAY(),SUMIF('Stats 2020'!$M$24:$M$1048576,"&lt;="&amp;Graphs!$B16,'Stats 2020'!S$24:S$1048576),NA())</f>
        <v>85.75</v>
      </c>
      <c r="H16" s="59">
        <f ca="1">IF($B16&lt;=TODAY(),SUMIF('Stats 2020'!$M$24:$M$1048576,"&lt;="&amp;Graphs!$B16,'Stats 2020'!T$24:T$1048576),NA())</f>
        <v>61</v>
      </c>
      <c r="I16" s="58" t="e">
        <f t="shared" ca="1" si="14"/>
        <v>#N/A</v>
      </c>
      <c r="J16" s="58" t="e">
        <f t="shared" ca="1" si="14"/>
        <v>#N/A</v>
      </c>
      <c r="K16" s="58" t="e">
        <f t="shared" ca="1" si="14"/>
        <v>#N/A</v>
      </c>
      <c r="L16" s="58" t="e">
        <f t="shared" ca="1" si="14"/>
        <v>#N/A</v>
      </c>
      <c r="M16" s="58" t="e">
        <f t="shared" ca="1" si="14"/>
        <v>#N/A</v>
      </c>
      <c r="N16" s="58" t="e">
        <f t="shared" ca="1" si="14"/>
        <v>#N/A</v>
      </c>
      <c r="O16" s="60"/>
      <c r="P16" s="65">
        <f t="shared" si="7"/>
        <v>43952</v>
      </c>
      <c r="Q16" s="66">
        <f>VLOOKUP($B16,'Stats 2020'!$D$25:$J$200,MATCH(Graphs!Q$1,'Stats 2020'!$D$18:$J$18,0),0)</f>
        <v>1</v>
      </c>
      <c r="R16" s="66" t="str">
        <f>VLOOKUP($B16,'Stats 2020'!$D$25:$J$200,MATCH(Graphs!R$1,'Stats 2020'!$D$18:$J$18,0),0)</f>
        <v/>
      </c>
      <c r="S16" s="66">
        <f>VLOOKUP($B16,'Stats 2020'!$D$25:$J$200,MATCH(Graphs!S$1,'Stats 2020'!$D$18:$J$18,0),0)</f>
        <v>1</v>
      </c>
      <c r="T16" s="66">
        <f>VLOOKUP($B16,'Stats 2020'!$D$25:$J$200,MATCH(Graphs!T$1,'Stats 2020'!$D$18:$J$18,0),0)</f>
        <v>1</v>
      </c>
      <c r="U16" s="66">
        <f>VLOOKUP($B16,'Stats 2020'!$D$25:$J$200,MATCH(Graphs!U$1,'Stats 2020'!$D$18:$J$18,0),0)</f>
        <v>1</v>
      </c>
      <c r="V16" s="66">
        <f>VLOOKUP($B16,'Stats 2020'!$D$25:$J$200,MATCH(Graphs!V$1,'Stats 2020'!$D$18:$J$18,0),0)</f>
        <v>1</v>
      </c>
      <c r="W16" s="66"/>
      <c r="X16" s="65">
        <f t="shared" si="8"/>
        <v>43952</v>
      </c>
      <c r="Y16" s="69">
        <f>SUM(Q$2:Q16)/COUNTA($P$2:$P16)</f>
        <v>0.8666666666666667</v>
      </c>
      <c r="Z16" s="69">
        <f>SUM(R$2:R16)/COUNTA($P$2:$P16)</f>
        <v>6.6666666666666666E-2</v>
      </c>
      <c r="AA16" s="69">
        <f>SUM(S$2:S16)/COUNTA($P$2:$P16)</f>
        <v>0.8</v>
      </c>
      <c r="AB16" s="69">
        <f>SUM(T$2:T16)/COUNTA($P$2:$P16)</f>
        <v>0.33333333333333331</v>
      </c>
      <c r="AC16" s="69">
        <f>SUM(U$2:U16)/COUNTA($P$2:$P16)</f>
        <v>0.73333333333333328</v>
      </c>
      <c r="AD16" s="69">
        <f>SUM(V$2:V16)/COUNTA($P$2:$P16)</f>
        <v>0.8666666666666667</v>
      </c>
      <c r="AE16" s="70">
        <f t="shared" si="16"/>
        <v>0.61111111111111116</v>
      </c>
      <c r="AF16" s="58" t="e">
        <f t="shared" ca="1" si="15"/>
        <v>#N/A</v>
      </c>
      <c r="AG16" s="58" t="e">
        <f t="shared" ca="1" si="15"/>
        <v>#N/A</v>
      </c>
      <c r="AH16" s="58" t="e">
        <f t="shared" ca="1" si="15"/>
        <v>#N/A</v>
      </c>
      <c r="AI16" s="58" t="e">
        <f t="shared" ca="1" si="15"/>
        <v>#N/A</v>
      </c>
      <c r="AJ16" s="58" t="e">
        <f t="shared" ca="1" si="15"/>
        <v>#N/A</v>
      </c>
      <c r="AK16" s="58" t="e">
        <f t="shared" ca="1" si="15"/>
        <v>#N/A</v>
      </c>
      <c r="AL16" s="58" t="e">
        <f t="shared" ca="1" si="15"/>
        <v>#N/A</v>
      </c>
      <c r="AP16" s="66"/>
    </row>
    <row r="17" spans="1:42" ht="16.5" customHeight="1">
      <c r="A17" s="74" t="e">
        <f t="shared" ca="1" si="11"/>
        <v>#N/A</v>
      </c>
      <c r="B17" s="56">
        <f t="shared" si="10"/>
        <v>43959</v>
      </c>
      <c r="C17" s="59">
        <f ca="1">IF($B17&lt;=TODAY(),SUMIF('Stats 2020'!$M$24:$M$1048576,"&lt;="&amp;Graphs!$B17,'Stats 2020'!O$24:O$1048576),NA())</f>
        <v>74.75</v>
      </c>
      <c r="D17" s="59">
        <f t="shared" ca="1" si="12"/>
        <v>113.25</v>
      </c>
      <c r="E17" s="59">
        <f ca="1">IF($B17&lt;=TODAY(),SUMIF('Stats 2020'!$M$24:$M$1048576,"&lt;="&amp;Graphs!$B17,'Stats 2020'!Q$24:Q$1048576),NA())</f>
        <v>72</v>
      </c>
      <c r="F17" s="59">
        <f t="shared" ca="1" si="13"/>
        <v>113.25</v>
      </c>
      <c r="G17" s="59">
        <f ca="1">IF($B17&lt;=TODAY(),SUMIF('Stats 2020'!$M$24:$M$1048576,"&lt;="&amp;Graphs!$B17,'Stats 2020'!S$24:S$1048576),NA())</f>
        <v>85.75</v>
      </c>
      <c r="H17" s="59">
        <f ca="1">IF($B17&lt;=TODAY(),SUMIF('Stats 2020'!$M$24:$M$1048576,"&lt;="&amp;Graphs!$B17,'Stats 2020'!T$24:T$1048576),NA())</f>
        <v>61</v>
      </c>
      <c r="I17" s="58" t="e">
        <f t="shared" ca="1" si="14"/>
        <v>#N/A</v>
      </c>
      <c r="J17" s="58" t="e">
        <f t="shared" ca="1" si="14"/>
        <v>#N/A</v>
      </c>
      <c r="K17" s="58" t="e">
        <f t="shared" ca="1" si="14"/>
        <v>#N/A</v>
      </c>
      <c r="L17" s="58" t="e">
        <f t="shared" ca="1" si="14"/>
        <v>#N/A</v>
      </c>
      <c r="M17" s="58" t="e">
        <f t="shared" ca="1" si="14"/>
        <v>#N/A</v>
      </c>
      <c r="N17" s="58" t="e">
        <f t="shared" ca="1" si="14"/>
        <v>#N/A</v>
      </c>
      <c r="O17" s="60"/>
      <c r="P17" s="65">
        <f t="shared" si="7"/>
        <v>43959</v>
      </c>
      <c r="Q17" s="66">
        <f>VLOOKUP($B17,'Stats 2020'!$D$25:$J$200,MATCH(Graphs!Q$1,'Stats 2020'!$D$18:$J$18,0),0)</f>
        <v>1</v>
      </c>
      <c r="R17" s="66" t="str">
        <f>VLOOKUP($B17,'Stats 2020'!$D$25:$J$200,MATCH(Graphs!R$1,'Stats 2020'!$D$18:$J$18,0),0)</f>
        <v/>
      </c>
      <c r="S17" s="66">
        <f>VLOOKUP($B17,'Stats 2020'!$D$25:$J$200,MATCH(Graphs!S$1,'Stats 2020'!$D$18:$J$18,0),0)</f>
        <v>1</v>
      </c>
      <c r="T17" s="66" t="str">
        <f>VLOOKUP($B17,'Stats 2020'!$D$25:$J$200,MATCH(Graphs!T$1,'Stats 2020'!$D$18:$J$18,0),0)</f>
        <v/>
      </c>
      <c r="U17" s="66">
        <f>VLOOKUP($B17,'Stats 2020'!$D$25:$J$200,MATCH(Graphs!U$1,'Stats 2020'!$D$18:$J$18,0),0)</f>
        <v>1</v>
      </c>
      <c r="V17" s="66">
        <f>VLOOKUP($B17,'Stats 2020'!$D$25:$J$200,MATCH(Graphs!V$1,'Stats 2020'!$D$18:$J$18,0),0)</f>
        <v>1</v>
      </c>
      <c r="W17" s="66"/>
      <c r="X17" s="65">
        <f t="shared" si="8"/>
        <v>43959</v>
      </c>
      <c r="Y17" s="69">
        <f>SUM(Q$2:Q17)/COUNTA($P$2:$P17)</f>
        <v>0.875</v>
      </c>
      <c r="Z17" s="69">
        <f>SUM(R$2:R17)/COUNTA($P$2:$P17)</f>
        <v>6.25E-2</v>
      </c>
      <c r="AA17" s="69">
        <f>SUM(S$2:S17)/COUNTA($P$2:$P17)</f>
        <v>0.8125</v>
      </c>
      <c r="AB17" s="69">
        <f>SUM(T$2:T17)/COUNTA($P$2:$P17)</f>
        <v>0.3125</v>
      </c>
      <c r="AC17" s="69">
        <f>SUM(U$2:U17)/COUNTA($P$2:$P17)</f>
        <v>0.75</v>
      </c>
      <c r="AD17" s="69">
        <f>SUM(V$2:V17)/COUNTA($P$2:$P17)</f>
        <v>0.875</v>
      </c>
      <c r="AE17" s="70">
        <f t="shared" si="16"/>
        <v>0.61458333333333337</v>
      </c>
      <c r="AF17" s="58" t="e">
        <f t="shared" ca="1" si="15"/>
        <v>#N/A</v>
      </c>
      <c r="AG17" s="58" t="e">
        <f t="shared" ca="1" si="15"/>
        <v>#N/A</v>
      </c>
      <c r="AH17" s="58" t="e">
        <f t="shared" ca="1" si="15"/>
        <v>#N/A</v>
      </c>
      <c r="AI17" s="58" t="e">
        <f t="shared" ca="1" si="15"/>
        <v>#N/A</v>
      </c>
      <c r="AJ17" s="58" t="e">
        <f t="shared" ca="1" si="15"/>
        <v>#N/A</v>
      </c>
      <c r="AK17" s="58" t="e">
        <f t="shared" ca="1" si="15"/>
        <v>#N/A</v>
      </c>
      <c r="AL17" s="58" t="e">
        <f t="shared" ca="1" si="15"/>
        <v>#N/A</v>
      </c>
      <c r="AP17" s="66"/>
    </row>
    <row r="18" spans="1:42" ht="16.5" customHeight="1">
      <c r="A18" s="74" t="e">
        <f t="shared" ca="1" si="11"/>
        <v>#N/A</v>
      </c>
      <c r="B18" s="56">
        <f t="shared" si="10"/>
        <v>43966</v>
      </c>
      <c r="C18" s="59">
        <f ca="1">IF($B18&lt;=TODAY(),SUMIF('Stats 2020'!$M$24:$M$1048576,"&lt;="&amp;Graphs!$B18,'Stats 2020'!O$24:O$1048576),NA())</f>
        <v>74.75</v>
      </c>
      <c r="D18" s="59">
        <f t="shared" ca="1" si="12"/>
        <v>113.25</v>
      </c>
      <c r="E18" s="59">
        <f ca="1">IF($B18&lt;=TODAY(),SUMIF('Stats 2020'!$M$24:$M$1048576,"&lt;="&amp;Graphs!$B18,'Stats 2020'!Q$24:Q$1048576),NA())</f>
        <v>72</v>
      </c>
      <c r="F18" s="59">
        <f t="shared" ca="1" si="13"/>
        <v>113.25</v>
      </c>
      <c r="G18" s="59">
        <f ca="1">IF($B18&lt;=TODAY(),SUMIF('Stats 2020'!$M$24:$M$1048576,"&lt;="&amp;Graphs!$B18,'Stats 2020'!S$24:S$1048576),NA())</f>
        <v>85.75</v>
      </c>
      <c r="H18" s="59">
        <f ca="1">IF($B18&lt;=TODAY(),SUMIF('Stats 2020'!$M$24:$M$1048576,"&lt;="&amp;Graphs!$B18,'Stats 2020'!T$24:T$1048576),NA())</f>
        <v>61</v>
      </c>
      <c r="I18" s="58" t="e">
        <f t="shared" ca="1" si="14"/>
        <v>#N/A</v>
      </c>
      <c r="J18" s="58" t="e">
        <f t="shared" ca="1" si="14"/>
        <v>#N/A</v>
      </c>
      <c r="K18" s="58" t="e">
        <f t="shared" ca="1" si="14"/>
        <v>#N/A</v>
      </c>
      <c r="L18" s="58" t="e">
        <f t="shared" ca="1" si="14"/>
        <v>#N/A</v>
      </c>
      <c r="M18" s="58" t="e">
        <f t="shared" ca="1" si="14"/>
        <v>#N/A</v>
      </c>
      <c r="N18" s="58" t="e">
        <f t="shared" ca="1" si="14"/>
        <v>#N/A</v>
      </c>
      <c r="O18" s="60"/>
      <c r="P18" s="65">
        <f t="shared" si="7"/>
        <v>43966</v>
      </c>
      <c r="Q18" s="66">
        <f>VLOOKUP($B18,'Stats 2020'!$D$25:$J$200,MATCH(Graphs!Q$1,'Stats 2020'!$D$18:$J$18,0),0)</f>
        <v>1</v>
      </c>
      <c r="R18" s="66" t="str">
        <f>VLOOKUP($B18,'Stats 2020'!$D$25:$J$200,MATCH(Graphs!R$1,'Stats 2020'!$D$18:$J$18,0),0)</f>
        <v/>
      </c>
      <c r="S18" s="66">
        <f>VLOOKUP($B18,'Stats 2020'!$D$25:$J$200,MATCH(Graphs!S$1,'Stats 2020'!$D$18:$J$18,0),0)</f>
        <v>1</v>
      </c>
      <c r="T18" s="66" t="str">
        <f>VLOOKUP($B18,'Stats 2020'!$D$25:$J$200,MATCH(Graphs!T$1,'Stats 2020'!$D$18:$J$18,0),0)</f>
        <v/>
      </c>
      <c r="U18" s="66">
        <f>VLOOKUP($B18,'Stats 2020'!$D$25:$J$200,MATCH(Graphs!U$1,'Stats 2020'!$D$18:$J$18,0),0)</f>
        <v>1</v>
      </c>
      <c r="V18" s="66">
        <f>VLOOKUP($B18,'Stats 2020'!$D$25:$J$200,MATCH(Graphs!V$1,'Stats 2020'!$D$18:$J$18,0),0)</f>
        <v>1</v>
      </c>
      <c r="W18" s="66"/>
      <c r="X18" s="65">
        <f t="shared" si="8"/>
        <v>43966</v>
      </c>
      <c r="Y18" s="69">
        <f>SUM(Q$2:Q18)/COUNTA($P$2:$P18)</f>
        <v>0.88235294117647056</v>
      </c>
      <c r="Z18" s="69">
        <f>SUM(R$2:R18)/COUNTA($P$2:$P18)</f>
        <v>5.8823529411764705E-2</v>
      </c>
      <c r="AA18" s="69">
        <f>SUM(S$2:S18)/COUNTA($P$2:$P18)</f>
        <v>0.82352941176470584</v>
      </c>
      <c r="AB18" s="69">
        <f>SUM(T$2:T18)/COUNTA($P$2:$P18)</f>
        <v>0.29411764705882354</v>
      </c>
      <c r="AC18" s="69">
        <f>SUM(U$2:U18)/COUNTA($P$2:$P18)</f>
        <v>0.76470588235294112</v>
      </c>
      <c r="AD18" s="69">
        <f>SUM(V$2:V18)/COUNTA($P$2:$P18)</f>
        <v>0.88235294117647056</v>
      </c>
      <c r="AE18" s="70">
        <f t="shared" si="16"/>
        <v>0.61764705882352933</v>
      </c>
      <c r="AF18" s="58" t="e">
        <f t="shared" ca="1" si="15"/>
        <v>#N/A</v>
      </c>
      <c r="AG18" s="58" t="e">
        <f t="shared" ca="1" si="15"/>
        <v>#N/A</v>
      </c>
      <c r="AH18" s="58" t="e">
        <f t="shared" ca="1" si="15"/>
        <v>#N/A</v>
      </c>
      <c r="AI18" s="58" t="e">
        <f t="shared" ca="1" si="15"/>
        <v>#N/A</v>
      </c>
      <c r="AJ18" s="58" t="e">
        <f t="shared" ca="1" si="15"/>
        <v>#N/A</v>
      </c>
      <c r="AK18" s="58" t="e">
        <f t="shared" ca="1" si="15"/>
        <v>#N/A</v>
      </c>
      <c r="AL18" s="58" t="e">
        <f t="shared" ca="1" si="15"/>
        <v>#N/A</v>
      </c>
      <c r="AP18" s="66"/>
    </row>
    <row r="19" spans="1:42" ht="16.5" customHeight="1">
      <c r="A19" s="74" t="e">
        <f t="shared" ca="1" si="11"/>
        <v>#N/A</v>
      </c>
      <c r="B19" s="56">
        <f t="shared" si="10"/>
        <v>43973</v>
      </c>
      <c r="C19" s="59">
        <f ca="1">IF($B19&lt;=TODAY(),SUMIF('Stats 2020'!$M$24:$M$1048576,"&lt;="&amp;Graphs!$B19,'Stats 2020'!O$24:O$1048576),NA())</f>
        <v>74.75</v>
      </c>
      <c r="D19" s="59">
        <f t="shared" ca="1" si="12"/>
        <v>113.25</v>
      </c>
      <c r="E19" s="59">
        <f ca="1">IF($B19&lt;=TODAY(),SUMIF('Stats 2020'!$M$24:$M$1048576,"&lt;="&amp;Graphs!$B19,'Stats 2020'!Q$24:Q$1048576),NA())</f>
        <v>72</v>
      </c>
      <c r="F19" s="59">
        <f t="shared" ca="1" si="13"/>
        <v>113.25</v>
      </c>
      <c r="G19" s="59">
        <f ca="1">IF($B19&lt;=TODAY(),SUMIF('Stats 2020'!$M$24:$M$1048576,"&lt;="&amp;Graphs!$B19,'Stats 2020'!S$24:S$1048576),NA())</f>
        <v>85.75</v>
      </c>
      <c r="H19" s="59">
        <f ca="1">IF($B19&lt;=TODAY(),SUMIF('Stats 2020'!$M$24:$M$1048576,"&lt;="&amp;Graphs!$B19,'Stats 2020'!T$24:T$1048576),NA())</f>
        <v>72</v>
      </c>
      <c r="I19" s="58" t="e">
        <f t="shared" ca="1" si="14"/>
        <v>#N/A</v>
      </c>
      <c r="J19" s="58" t="e">
        <f t="shared" ca="1" si="14"/>
        <v>#N/A</v>
      </c>
      <c r="K19" s="58" t="e">
        <f t="shared" ca="1" si="14"/>
        <v>#N/A</v>
      </c>
      <c r="L19" s="58" t="e">
        <f t="shared" ca="1" si="14"/>
        <v>#N/A</v>
      </c>
      <c r="M19" s="58" t="e">
        <f t="shared" ca="1" si="14"/>
        <v>#N/A</v>
      </c>
      <c r="N19" s="58" t="e">
        <f t="shared" ca="1" si="14"/>
        <v>#N/A</v>
      </c>
      <c r="O19" s="60"/>
      <c r="P19" s="65">
        <f t="shared" si="7"/>
        <v>43973</v>
      </c>
      <c r="Q19" s="66">
        <f>VLOOKUP($B19,'Stats 2020'!$D$25:$J$200,MATCH(Graphs!Q$1,'Stats 2020'!$D$18:$J$18,0),0)</f>
        <v>1</v>
      </c>
      <c r="R19" s="66" t="str">
        <f>VLOOKUP($B19,'Stats 2020'!$D$25:$J$200,MATCH(Graphs!R$1,'Stats 2020'!$D$18:$J$18,0),0)</f>
        <v/>
      </c>
      <c r="S19" s="66">
        <f>VLOOKUP($B19,'Stats 2020'!$D$25:$J$200,MATCH(Graphs!S$1,'Stats 2020'!$D$18:$J$18,0),0)</f>
        <v>1</v>
      </c>
      <c r="T19" s="66" t="str">
        <f>VLOOKUP($B19,'Stats 2020'!$D$25:$J$200,MATCH(Graphs!T$1,'Stats 2020'!$D$18:$J$18,0),0)</f>
        <v/>
      </c>
      <c r="U19" s="66">
        <f>VLOOKUP($B19,'Stats 2020'!$D$25:$J$200,MATCH(Graphs!U$1,'Stats 2020'!$D$18:$J$18,0),0)</f>
        <v>1</v>
      </c>
      <c r="V19" s="66">
        <f>VLOOKUP($B19,'Stats 2020'!$D$25:$J$200,MATCH(Graphs!V$1,'Stats 2020'!$D$18:$J$18,0),0)</f>
        <v>0</v>
      </c>
      <c r="W19" s="66"/>
      <c r="X19" s="65">
        <f t="shared" si="8"/>
        <v>43973</v>
      </c>
      <c r="Y19" s="69">
        <f>SUM(Q$2:Q19)/COUNTA($P$2:$P19)</f>
        <v>0.88888888888888884</v>
      </c>
      <c r="Z19" s="69">
        <f>SUM(R$2:R19)/COUNTA($P$2:$P19)</f>
        <v>5.5555555555555552E-2</v>
      </c>
      <c r="AA19" s="69">
        <f>SUM(S$2:S19)/COUNTA($P$2:$P19)</f>
        <v>0.83333333333333337</v>
      </c>
      <c r="AB19" s="69">
        <f>SUM(T$2:T19)/COUNTA($P$2:$P19)</f>
        <v>0.27777777777777779</v>
      </c>
      <c r="AC19" s="69">
        <f>SUM(U$2:U19)/COUNTA($P$2:$P19)</f>
        <v>0.77777777777777779</v>
      </c>
      <c r="AD19" s="69">
        <f>SUM(V$2:V19)/COUNTA($P$2:$P19)</f>
        <v>0.83333333333333337</v>
      </c>
      <c r="AE19" s="70">
        <f t="shared" si="16"/>
        <v>0.61111111111111105</v>
      </c>
      <c r="AF19" s="58" t="e">
        <f t="shared" ca="1" si="15"/>
        <v>#N/A</v>
      </c>
      <c r="AG19" s="58" t="e">
        <f t="shared" ca="1" si="15"/>
        <v>#N/A</v>
      </c>
      <c r="AH19" s="58" t="e">
        <f t="shared" ca="1" si="15"/>
        <v>#N/A</v>
      </c>
      <c r="AI19" s="58" t="e">
        <f t="shared" ca="1" si="15"/>
        <v>#N/A</v>
      </c>
      <c r="AJ19" s="58" t="e">
        <f t="shared" ca="1" si="15"/>
        <v>#N/A</v>
      </c>
      <c r="AK19" s="58" t="e">
        <f t="shared" ca="1" si="15"/>
        <v>#N/A</v>
      </c>
      <c r="AL19" s="58" t="e">
        <f t="shared" ca="1" si="15"/>
        <v>#N/A</v>
      </c>
      <c r="AP19" s="66"/>
    </row>
    <row r="20" spans="1:42" ht="16.5" customHeight="1">
      <c r="A20" s="74" t="e">
        <f t="shared" ca="1" si="11"/>
        <v>#N/A</v>
      </c>
      <c r="B20" s="56">
        <f t="shared" si="10"/>
        <v>43980</v>
      </c>
      <c r="C20" s="59">
        <f ca="1">IF($B20&lt;=TODAY(),SUMIF('Stats 2020'!$M$24:$M$1048576,"&lt;="&amp;Graphs!$B20,'Stats 2020'!O$24:O$1048576),NA())</f>
        <v>77.5</v>
      </c>
      <c r="D20" s="59">
        <f ca="1">IF($B20&lt;=TODAY(),MAX($C20,$E20,$G20,$H20)+11+16.5,NA())</f>
        <v>113.25</v>
      </c>
      <c r="E20" s="59">
        <f ca="1">IF($B20&lt;=TODAY(),SUMIF('Stats 2020'!$M$24:$M$1048576,"&lt;="&amp;Graphs!$B20,'Stats 2020'!Q$24:Q$1048576),NA())</f>
        <v>72</v>
      </c>
      <c r="F20" s="59">
        <f t="shared" ca="1" si="13"/>
        <v>113.25</v>
      </c>
      <c r="G20" s="59">
        <f ca="1">IF($B20&lt;=TODAY(),SUMIF('Stats 2020'!$M$24:$M$1048576,"&lt;="&amp;Graphs!$B20,'Stats 2020'!S$24:S$1048576),NA())</f>
        <v>85.75</v>
      </c>
      <c r="H20" s="59">
        <f ca="1">IF($B20&lt;=TODAY(),SUMIF('Stats 2020'!$M$24:$M$1048576,"&lt;="&amp;Graphs!$B20,'Stats 2020'!T$24:T$1048576),NA())</f>
        <v>72</v>
      </c>
      <c r="I20" s="58" t="e">
        <f t="shared" ca="1" si="14"/>
        <v>#N/A</v>
      </c>
      <c r="J20" s="58" t="e">
        <f t="shared" ca="1" si="14"/>
        <v>#N/A</v>
      </c>
      <c r="K20" s="58" t="e">
        <f t="shared" ca="1" si="14"/>
        <v>#N/A</v>
      </c>
      <c r="L20" s="58" t="e">
        <f t="shared" ca="1" si="14"/>
        <v>#N/A</v>
      </c>
      <c r="M20" s="58" t="e">
        <f t="shared" ca="1" si="14"/>
        <v>#N/A</v>
      </c>
      <c r="N20" s="58" t="e">
        <f t="shared" ca="1" si="14"/>
        <v>#N/A</v>
      </c>
      <c r="O20" s="60"/>
      <c r="P20" s="65">
        <f t="shared" si="7"/>
        <v>43980</v>
      </c>
      <c r="Q20" s="66">
        <f>VLOOKUP($B20,'Stats 2020'!$D$25:$J$200,MATCH(Graphs!Q$1,'Stats 2020'!$D$18:$J$18,0),0)</f>
        <v>1</v>
      </c>
      <c r="R20" s="66" t="str">
        <f>VLOOKUP($B20,'Stats 2020'!$D$25:$J$200,MATCH(Graphs!R$1,'Stats 2020'!$D$18:$J$18,0),0)</f>
        <v/>
      </c>
      <c r="S20" s="66">
        <f>VLOOKUP($B20,'Stats 2020'!$D$25:$J$200,MATCH(Graphs!S$1,'Stats 2020'!$D$18:$J$18,0),0)</f>
        <v>1</v>
      </c>
      <c r="T20" s="66" t="str">
        <f>VLOOKUP($B20,'Stats 2020'!$D$25:$J$200,MATCH(Graphs!T$1,'Stats 2020'!$D$18:$J$18,0),0)</f>
        <v/>
      </c>
      <c r="U20" s="66">
        <f>VLOOKUP($B20,'Stats 2020'!$D$25:$J$200,MATCH(Graphs!U$1,'Stats 2020'!$D$18:$J$18,0),0)</f>
        <v>1</v>
      </c>
      <c r="V20" s="66">
        <f>VLOOKUP($B20,'Stats 2020'!$D$25:$J$200,MATCH(Graphs!V$1,'Stats 2020'!$D$18:$J$18,0),0)</f>
        <v>1</v>
      </c>
      <c r="W20" s="66"/>
      <c r="X20" s="65">
        <f t="shared" si="8"/>
        <v>43980</v>
      </c>
      <c r="Y20" s="69">
        <f>SUM(Q$2:Q20)/COUNTA($P$2:$P20)</f>
        <v>0.89473684210526316</v>
      </c>
      <c r="Z20" s="69">
        <f>SUM(R$2:R20)/COUNTA($P$2:$P20)</f>
        <v>5.2631578947368418E-2</v>
      </c>
      <c r="AA20" s="69">
        <f>SUM(S$2:S20)/COUNTA($P$2:$P20)</f>
        <v>0.84210526315789469</v>
      </c>
      <c r="AB20" s="69">
        <f>SUM(T$2:T20)/COUNTA($P$2:$P20)</f>
        <v>0.26315789473684209</v>
      </c>
      <c r="AC20" s="69">
        <f>SUM(U$2:U20)/COUNTA($P$2:$P20)</f>
        <v>0.78947368421052633</v>
      </c>
      <c r="AD20" s="69">
        <f>SUM(V$2:V20)/COUNTA($P$2:$P20)</f>
        <v>0.84210526315789469</v>
      </c>
      <c r="AE20" s="70">
        <f t="shared" si="16"/>
        <v>0.61403508771929827</v>
      </c>
      <c r="AF20" s="58" t="e">
        <f t="shared" ca="1" si="15"/>
        <v>#N/A</v>
      </c>
      <c r="AG20" s="58" t="e">
        <f t="shared" ca="1" si="15"/>
        <v>#N/A</v>
      </c>
      <c r="AH20" s="58" t="e">
        <f t="shared" ca="1" si="15"/>
        <v>#N/A</v>
      </c>
      <c r="AI20" s="58" t="e">
        <f t="shared" ca="1" si="15"/>
        <v>#N/A</v>
      </c>
      <c r="AJ20" s="58" t="e">
        <f t="shared" ca="1" si="15"/>
        <v>#N/A</v>
      </c>
      <c r="AK20" s="58" t="e">
        <f t="shared" ca="1" si="15"/>
        <v>#N/A</v>
      </c>
      <c r="AL20" s="58" t="e">
        <f t="shared" ca="1" si="15"/>
        <v>#N/A</v>
      </c>
      <c r="AM20" s="73"/>
      <c r="AN20" s="73"/>
      <c r="AO20" s="73"/>
      <c r="AP20" s="73"/>
    </row>
    <row r="21" spans="1:42" ht="16.5" customHeight="1">
      <c r="A21" s="74" t="e">
        <f t="shared" ca="1" si="11"/>
        <v>#N/A</v>
      </c>
      <c r="B21" s="56">
        <f t="shared" si="10"/>
        <v>43987</v>
      </c>
      <c r="C21" s="59">
        <f ca="1">IF($B21&lt;=TODAY(),SUMIF('Stats 2020'!$M$24:$M$1048576,"&lt;="&amp;Graphs!$B21,'Stats 2020'!O$24:O$1048576),NA())</f>
        <v>77.5</v>
      </c>
      <c r="D21" s="59">
        <f t="shared" ca="1" si="12"/>
        <v>113.25</v>
      </c>
      <c r="E21" s="59">
        <f ca="1">IF($B21&lt;=TODAY(),SUMIF('Stats 2020'!$M$24:$M$1048576,"&lt;="&amp;Graphs!$B21,'Stats 2020'!Q$24:Q$1048576),NA())</f>
        <v>72</v>
      </c>
      <c r="F21" s="59">
        <f t="shared" ca="1" si="13"/>
        <v>113.25</v>
      </c>
      <c r="G21" s="59">
        <f ca="1">IF($B21&lt;=TODAY(),SUMIF('Stats 2020'!$M$24:$M$1048576,"&lt;="&amp;Graphs!$B21,'Stats 2020'!S$24:S$1048576),NA())</f>
        <v>85.75</v>
      </c>
      <c r="H21" s="59">
        <f ca="1">IF($B21&lt;=TODAY(),SUMIF('Stats 2020'!$M$24:$M$1048576,"&lt;="&amp;Graphs!$B21,'Stats 2020'!T$24:T$1048576),NA())</f>
        <v>72</v>
      </c>
      <c r="I21" s="58" t="e">
        <f t="shared" ca="1" si="14"/>
        <v>#N/A</v>
      </c>
      <c r="J21" s="58" t="e">
        <f t="shared" ca="1" si="14"/>
        <v>#N/A</v>
      </c>
      <c r="K21" s="58" t="e">
        <f t="shared" ca="1" si="14"/>
        <v>#N/A</v>
      </c>
      <c r="L21" s="58" t="e">
        <f t="shared" ca="1" si="14"/>
        <v>#N/A</v>
      </c>
      <c r="M21" s="58" t="e">
        <f t="shared" ca="1" si="14"/>
        <v>#N/A</v>
      </c>
      <c r="N21" s="58" t="e">
        <f t="shared" ca="1" si="14"/>
        <v>#N/A</v>
      </c>
      <c r="O21" s="60"/>
      <c r="P21" s="65">
        <f t="shared" si="7"/>
        <v>43987</v>
      </c>
      <c r="Q21" s="66">
        <f>VLOOKUP($B21,'Stats 2020'!$D$25:$J$200,MATCH(Graphs!Q$1,'Stats 2020'!$D$18:$J$18,0),0)</f>
        <v>1</v>
      </c>
      <c r="R21" s="66" t="str">
        <f>VLOOKUP($B21,'Stats 2020'!$D$25:$J$200,MATCH(Graphs!R$1,'Stats 2020'!$D$18:$J$18,0),0)</f>
        <v/>
      </c>
      <c r="S21" s="66">
        <f>VLOOKUP($B21,'Stats 2020'!$D$25:$J$200,MATCH(Graphs!S$1,'Stats 2020'!$D$18:$J$18,0),0)</f>
        <v>1</v>
      </c>
      <c r="T21" s="66" t="str">
        <f>VLOOKUP($B21,'Stats 2020'!$D$25:$J$200,MATCH(Graphs!T$1,'Stats 2020'!$D$18:$J$18,0),0)</f>
        <v/>
      </c>
      <c r="U21" s="66">
        <f>VLOOKUP($B21,'Stats 2020'!$D$25:$J$200,MATCH(Graphs!U$1,'Stats 2020'!$D$18:$J$18,0),0)</f>
        <v>1</v>
      </c>
      <c r="V21" s="66">
        <f>VLOOKUP($B21,'Stats 2020'!$D$25:$J$200,MATCH(Graphs!V$1,'Stats 2020'!$D$18:$J$18,0),0)</f>
        <v>1</v>
      </c>
      <c r="W21" s="66"/>
      <c r="X21" s="65">
        <f t="shared" si="8"/>
        <v>43987</v>
      </c>
      <c r="Y21" s="69">
        <f>SUM(Q$2:Q21)/COUNTA($P$2:$P21)</f>
        <v>0.9</v>
      </c>
      <c r="Z21" s="69">
        <f>SUM(R$2:R21)/COUNTA($P$2:$P21)</f>
        <v>0.05</v>
      </c>
      <c r="AA21" s="69">
        <f>SUM(S$2:S21)/COUNTA($P$2:$P21)</f>
        <v>0.85</v>
      </c>
      <c r="AB21" s="69">
        <f>SUM(T$2:T21)/COUNTA($P$2:$P21)</f>
        <v>0.25</v>
      </c>
      <c r="AC21" s="69">
        <f>SUM(U$2:U21)/COUNTA($P$2:$P21)</f>
        <v>0.8</v>
      </c>
      <c r="AD21" s="69">
        <f>SUM(V$2:V21)/COUNTA($P$2:$P21)</f>
        <v>0.85</v>
      </c>
      <c r="AE21" s="70">
        <f t="shared" si="16"/>
        <v>0.61666666666666659</v>
      </c>
      <c r="AF21" s="58" t="e">
        <f t="shared" ca="1" si="15"/>
        <v>#N/A</v>
      </c>
      <c r="AG21" s="58" t="e">
        <f t="shared" ca="1" si="15"/>
        <v>#N/A</v>
      </c>
      <c r="AH21" s="58" t="e">
        <f t="shared" ca="1" si="15"/>
        <v>#N/A</v>
      </c>
      <c r="AI21" s="58" t="e">
        <f t="shared" ca="1" si="15"/>
        <v>#N/A</v>
      </c>
      <c r="AJ21" s="58" t="e">
        <f t="shared" ca="1" si="15"/>
        <v>#N/A</v>
      </c>
      <c r="AK21" s="58" t="e">
        <f t="shared" ca="1" si="15"/>
        <v>#N/A</v>
      </c>
      <c r="AL21" s="58" t="e">
        <f t="shared" ca="1" si="15"/>
        <v>#N/A</v>
      </c>
      <c r="AP21" s="66"/>
    </row>
    <row r="22" spans="1:42" ht="16.5" customHeight="1">
      <c r="A22" s="74" t="e">
        <f t="shared" ca="1" si="11"/>
        <v>#N/A</v>
      </c>
      <c r="B22" s="56">
        <f t="shared" si="10"/>
        <v>43994</v>
      </c>
      <c r="C22" s="59">
        <f ca="1">IF($B22&lt;=TODAY(),SUMIF('Stats 2020'!$M$24:$M$1048576,"&lt;="&amp;Graphs!$B22,'Stats 2020'!O$24:O$1048576),NA())</f>
        <v>77.5</v>
      </c>
      <c r="D22" s="59">
        <f t="shared" ca="1" si="12"/>
        <v>113.25</v>
      </c>
      <c r="E22" s="59">
        <f ca="1">IF($B22&lt;=TODAY(),SUMIF('Stats 2020'!$M$24:$M$1048576,"&lt;="&amp;Graphs!$B22,'Stats 2020'!Q$24:Q$1048576),NA())</f>
        <v>72</v>
      </c>
      <c r="F22" s="59">
        <f t="shared" ca="1" si="13"/>
        <v>113.25</v>
      </c>
      <c r="G22" s="59">
        <f ca="1">IF($B22&lt;=TODAY(),SUMIF('Stats 2020'!$M$24:$M$1048576,"&lt;="&amp;Graphs!$B22,'Stats 2020'!S$24:S$1048576),NA())</f>
        <v>85.75</v>
      </c>
      <c r="H22" s="59">
        <f ca="1">IF($B22&lt;=TODAY(),SUMIF('Stats 2020'!$M$24:$M$1048576,"&lt;="&amp;Graphs!$B22,'Stats 2020'!T$24:T$1048576),NA())</f>
        <v>72</v>
      </c>
      <c r="I22" s="58" t="e">
        <f t="shared" ref="I22:N31" ca="1" si="17">VLOOKUP($A22,$B$1:$H$59,MATCH(I$1,$B$1:$H$1,0),0)</f>
        <v>#N/A</v>
      </c>
      <c r="J22" s="58" t="e">
        <f t="shared" ca="1" si="17"/>
        <v>#N/A</v>
      </c>
      <c r="K22" s="58" t="e">
        <f t="shared" ca="1" si="17"/>
        <v>#N/A</v>
      </c>
      <c r="L22" s="58" t="e">
        <f t="shared" ca="1" si="17"/>
        <v>#N/A</v>
      </c>
      <c r="M22" s="58" t="e">
        <f t="shared" ca="1" si="17"/>
        <v>#N/A</v>
      </c>
      <c r="N22" s="58" t="e">
        <f t="shared" ca="1" si="17"/>
        <v>#N/A</v>
      </c>
      <c r="O22" s="60"/>
      <c r="P22" s="65">
        <f t="shared" si="7"/>
        <v>43994</v>
      </c>
      <c r="Q22" s="66">
        <f>VLOOKUP($B22,'Stats 2020'!$D$25:$J$200,MATCH(Graphs!Q$1,'Stats 2020'!$D$18:$J$18,0),0)</f>
        <v>1</v>
      </c>
      <c r="R22" s="66" t="str">
        <f>VLOOKUP($B22,'Stats 2020'!$D$25:$J$200,MATCH(Graphs!R$1,'Stats 2020'!$D$18:$J$18,0),0)</f>
        <v/>
      </c>
      <c r="S22" s="66">
        <f>VLOOKUP($B22,'Stats 2020'!$D$25:$J$200,MATCH(Graphs!S$1,'Stats 2020'!$D$18:$J$18,0),0)</f>
        <v>1</v>
      </c>
      <c r="T22" s="66">
        <f>VLOOKUP($B22,'Stats 2020'!$D$25:$J$200,MATCH(Graphs!T$1,'Stats 2020'!$D$18:$J$18,0),0)</f>
        <v>1</v>
      </c>
      <c r="U22" s="66">
        <f>VLOOKUP($B22,'Stats 2020'!$D$25:$J$200,MATCH(Graphs!U$1,'Stats 2020'!$D$18:$J$18,0),0)</f>
        <v>1</v>
      </c>
      <c r="V22" s="66">
        <f>VLOOKUP($B22,'Stats 2020'!$D$25:$J$200,MATCH(Graphs!V$1,'Stats 2020'!$D$18:$J$18,0),0)</f>
        <v>1</v>
      </c>
      <c r="W22" s="66"/>
      <c r="X22" s="65">
        <f t="shared" si="8"/>
        <v>43994</v>
      </c>
      <c r="Y22" s="69">
        <f>SUM(Q$2:Q22)/COUNTA($P$2:$P22)</f>
        <v>0.90476190476190477</v>
      </c>
      <c r="Z22" s="69">
        <f>SUM(R$2:R22)/COUNTA($P$2:$P22)</f>
        <v>4.7619047619047616E-2</v>
      </c>
      <c r="AA22" s="69">
        <f>SUM(S$2:S22)/COUNTA($P$2:$P22)</f>
        <v>0.8571428571428571</v>
      </c>
      <c r="AB22" s="69">
        <f>SUM(T$2:T22)/COUNTA($P$2:$P22)</f>
        <v>0.2857142857142857</v>
      </c>
      <c r="AC22" s="69">
        <f>SUM(U$2:U22)/COUNTA($P$2:$P22)</f>
        <v>0.80952380952380953</v>
      </c>
      <c r="AD22" s="69">
        <f>SUM(V$2:V22)/COUNTA($P$2:$P22)</f>
        <v>0.8571428571428571</v>
      </c>
      <c r="AE22" s="70">
        <f t="shared" si="16"/>
        <v>0.62698412698412687</v>
      </c>
      <c r="AF22" s="58" t="e">
        <f t="shared" ref="AF22:AL31" ca="1" si="18">VLOOKUP($A22,$X$1:$AE$59,MATCH(AF$1,$X$1:$AE$1,0),0)</f>
        <v>#N/A</v>
      </c>
      <c r="AG22" s="58" t="e">
        <f t="shared" ca="1" si="18"/>
        <v>#N/A</v>
      </c>
      <c r="AH22" s="58" t="e">
        <f t="shared" ca="1" si="18"/>
        <v>#N/A</v>
      </c>
      <c r="AI22" s="58" t="e">
        <f t="shared" ca="1" si="18"/>
        <v>#N/A</v>
      </c>
      <c r="AJ22" s="58" t="e">
        <f t="shared" ca="1" si="18"/>
        <v>#N/A</v>
      </c>
      <c r="AK22" s="58" t="e">
        <f t="shared" ca="1" si="18"/>
        <v>#N/A</v>
      </c>
      <c r="AL22" s="58" t="e">
        <f t="shared" ca="1" si="18"/>
        <v>#N/A</v>
      </c>
      <c r="AP22" s="66"/>
    </row>
    <row r="23" spans="1:42" ht="16.5" customHeight="1">
      <c r="A23" s="74" t="e">
        <f t="shared" ca="1" si="11"/>
        <v>#N/A</v>
      </c>
      <c r="B23" s="56">
        <f t="shared" si="10"/>
        <v>44001</v>
      </c>
      <c r="C23" s="59">
        <f ca="1">IF($B23&lt;=TODAY(),SUMIF('Stats 2020'!$M$24:$M$1048576,"&lt;="&amp;Graphs!$B23,'Stats 2020'!O$24:O$1048576),NA())</f>
        <v>88.5</v>
      </c>
      <c r="D23" s="59">
        <f ca="1">IF($B23&lt;=TODAY(),MAX($C23,$E23,$G23,$H23)+11+16.5,NA())</f>
        <v>116</v>
      </c>
      <c r="E23" s="59">
        <f ca="1">IF($B23&lt;=TODAY(),SUMIF('Stats 2020'!$M$24:$M$1048576,"&lt;="&amp;Graphs!$B23,'Stats 2020'!Q$24:Q$1048576),NA())</f>
        <v>72</v>
      </c>
      <c r="F23" s="59">
        <f t="shared" ca="1" si="13"/>
        <v>116</v>
      </c>
      <c r="G23" s="59">
        <f ca="1">IF($B23&lt;=TODAY(),SUMIF('Stats 2020'!$M$24:$M$1048576,"&lt;="&amp;Graphs!$B23,'Stats 2020'!S$24:S$1048576),NA())</f>
        <v>88.5</v>
      </c>
      <c r="H23" s="59">
        <f ca="1">IF($B23&lt;=TODAY(),SUMIF('Stats 2020'!$M$24:$M$1048576,"&lt;="&amp;Graphs!$B23,'Stats 2020'!T$24:T$1048576),NA())</f>
        <v>74.75</v>
      </c>
      <c r="I23" s="58" t="e">
        <f t="shared" ca="1" si="17"/>
        <v>#N/A</v>
      </c>
      <c r="J23" s="58" t="e">
        <f t="shared" ca="1" si="17"/>
        <v>#N/A</v>
      </c>
      <c r="K23" s="58" t="e">
        <f t="shared" ca="1" si="17"/>
        <v>#N/A</v>
      </c>
      <c r="L23" s="58" t="e">
        <f t="shared" ca="1" si="17"/>
        <v>#N/A</v>
      </c>
      <c r="M23" s="58" t="e">
        <f t="shared" ca="1" si="17"/>
        <v>#N/A</v>
      </c>
      <c r="N23" s="58" t="e">
        <f t="shared" ca="1" si="17"/>
        <v>#N/A</v>
      </c>
      <c r="O23" s="60"/>
      <c r="P23" s="65">
        <f t="shared" si="7"/>
        <v>44001</v>
      </c>
      <c r="Q23" s="66">
        <f>VLOOKUP($B23,'Stats 2020'!$D$25:$J$200,MATCH(Graphs!Q$1,'Stats 2020'!$D$18:$J$18,0),0)</f>
        <v>0</v>
      </c>
      <c r="R23" s="66" t="str">
        <f>VLOOKUP($B23,'Stats 2020'!$D$25:$J$200,MATCH(Graphs!R$1,'Stats 2020'!$D$18:$J$18,0),0)</f>
        <v/>
      </c>
      <c r="S23" s="66">
        <f>VLOOKUP($B23,'Stats 2020'!$D$25:$J$200,MATCH(Graphs!S$1,'Stats 2020'!$D$18:$J$18,0),0)</f>
        <v>1</v>
      </c>
      <c r="T23" s="66">
        <f>VLOOKUP($B23,'Stats 2020'!$D$25:$J$200,MATCH(Graphs!T$1,'Stats 2020'!$D$18:$J$18,0),0)</f>
        <v>1</v>
      </c>
      <c r="U23" s="66">
        <f>VLOOKUP($B23,'Stats 2020'!$D$25:$J$200,MATCH(Graphs!U$1,'Stats 2020'!$D$18:$J$18,0),0)</f>
        <v>1</v>
      </c>
      <c r="V23" s="66">
        <f>VLOOKUP($B23,'Stats 2020'!$D$25:$J$200,MATCH(Graphs!V$1,'Stats 2020'!$D$18:$J$18,0),0)</f>
        <v>1</v>
      </c>
      <c r="W23" s="66"/>
      <c r="X23" s="65">
        <f t="shared" si="8"/>
        <v>44001</v>
      </c>
      <c r="Y23" s="69">
        <f>SUM(Q$2:Q23)/COUNTA($P$2:$P23)</f>
        <v>0.86363636363636365</v>
      </c>
      <c r="Z23" s="69">
        <f>SUM(R$2:R23)/COUNTA($P$2:$P23)</f>
        <v>4.5454545454545456E-2</v>
      </c>
      <c r="AA23" s="69">
        <f>SUM(S$2:S23)/COUNTA($P$2:$P23)</f>
        <v>0.86363636363636365</v>
      </c>
      <c r="AB23" s="69">
        <f>SUM(T$2:T23)/COUNTA($P$2:$P23)</f>
        <v>0.31818181818181818</v>
      </c>
      <c r="AC23" s="69">
        <f>SUM(U$2:U23)/COUNTA($P$2:$P23)</f>
        <v>0.81818181818181823</v>
      </c>
      <c r="AD23" s="69">
        <f>SUM(V$2:V23)/COUNTA($P$2:$P23)</f>
        <v>0.86363636363636365</v>
      </c>
      <c r="AE23" s="70">
        <f t="shared" si="16"/>
        <v>0.62878787878787878</v>
      </c>
      <c r="AF23" s="58" t="e">
        <f t="shared" ca="1" si="18"/>
        <v>#N/A</v>
      </c>
      <c r="AG23" s="58" t="e">
        <f t="shared" ca="1" si="18"/>
        <v>#N/A</v>
      </c>
      <c r="AH23" s="58" t="e">
        <f t="shared" ca="1" si="18"/>
        <v>#N/A</v>
      </c>
      <c r="AI23" s="58" t="e">
        <f t="shared" ca="1" si="18"/>
        <v>#N/A</v>
      </c>
      <c r="AJ23" s="58" t="e">
        <f t="shared" ca="1" si="18"/>
        <v>#N/A</v>
      </c>
      <c r="AK23" s="58" t="e">
        <f t="shared" ca="1" si="18"/>
        <v>#N/A</v>
      </c>
      <c r="AL23" s="58" t="e">
        <f t="shared" ca="1" si="18"/>
        <v>#N/A</v>
      </c>
      <c r="AP23" s="66"/>
    </row>
    <row r="24" spans="1:42" ht="16.5" customHeight="1">
      <c r="A24" s="74" t="e">
        <f t="shared" ca="1" si="11"/>
        <v>#N/A</v>
      </c>
      <c r="B24" s="56">
        <f t="shared" si="10"/>
        <v>44008</v>
      </c>
      <c r="C24" s="59">
        <f ca="1">IF($B24&lt;=TODAY(),SUMIF('Stats 2020'!$M$24:$M$1048576,"&lt;="&amp;Graphs!$B24,'Stats 2020'!O$24:O$1048576),NA())</f>
        <v>99.5</v>
      </c>
      <c r="D24" s="59">
        <f t="shared" ca="1" si="12"/>
        <v>127</v>
      </c>
      <c r="E24" s="59">
        <f ca="1">IF($B24&lt;=TODAY(),SUMIF('Stats 2020'!$M$24:$M$1048576,"&lt;="&amp;Graphs!$B24,'Stats 2020'!Q$24:Q$1048576),NA())</f>
        <v>72</v>
      </c>
      <c r="F24" s="59">
        <f t="shared" ca="1" si="13"/>
        <v>127</v>
      </c>
      <c r="G24" s="59">
        <f ca="1">IF($B24&lt;=TODAY(),SUMIF('Stats 2020'!$M$24:$M$1048576,"&lt;="&amp;Graphs!$B24,'Stats 2020'!S$24:S$1048576),NA())</f>
        <v>88.5</v>
      </c>
      <c r="H24" s="59">
        <f ca="1">IF($B24&lt;=TODAY(),SUMIF('Stats 2020'!$M$24:$M$1048576,"&lt;="&amp;Graphs!$B24,'Stats 2020'!T$24:T$1048576),NA())</f>
        <v>74.75</v>
      </c>
      <c r="I24" s="58" t="e">
        <f t="shared" ca="1" si="17"/>
        <v>#N/A</v>
      </c>
      <c r="J24" s="58" t="e">
        <f t="shared" ca="1" si="17"/>
        <v>#N/A</v>
      </c>
      <c r="K24" s="58" t="e">
        <f t="shared" ca="1" si="17"/>
        <v>#N/A</v>
      </c>
      <c r="L24" s="58" t="e">
        <f t="shared" ca="1" si="17"/>
        <v>#N/A</v>
      </c>
      <c r="M24" s="58" t="e">
        <f t="shared" ca="1" si="17"/>
        <v>#N/A</v>
      </c>
      <c r="N24" s="58" t="e">
        <f t="shared" ca="1" si="17"/>
        <v>#N/A</v>
      </c>
      <c r="O24" s="60"/>
      <c r="P24" s="65">
        <f t="shared" si="7"/>
        <v>44008</v>
      </c>
      <c r="Q24" s="66">
        <f>VLOOKUP($B24,'Stats 2020'!$D$25:$J$200,MATCH(Graphs!Q$1,'Stats 2020'!$D$18:$J$18,0),0)</f>
        <v>0</v>
      </c>
      <c r="R24" s="66" t="str">
        <f>VLOOKUP($B24,'Stats 2020'!$D$25:$J$200,MATCH(Graphs!R$1,'Stats 2020'!$D$18:$J$18,0),0)</f>
        <v/>
      </c>
      <c r="S24" s="66">
        <f>VLOOKUP($B24,'Stats 2020'!$D$25:$J$200,MATCH(Graphs!S$1,'Stats 2020'!$D$18:$J$18,0),0)</f>
        <v>1</v>
      </c>
      <c r="T24" s="66" t="str">
        <f>VLOOKUP($B24,'Stats 2020'!$D$25:$J$200,MATCH(Graphs!T$1,'Stats 2020'!$D$18:$J$18,0),0)</f>
        <v/>
      </c>
      <c r="U24" s="66">
        <f>VLOOKUP($B24,'Stats 2020'!$D$25:$J$200,MATCH(Graphs!U$1,'Stats 2020'!$D$18:$J$18,0),0)</f>
        <v>1</v>
      </c>
      <c r="V24" s="66">
        <f>VLOOKUP($B24,'Stats 2020'!$D$25:$J$200,MATCH(Graphs!V$1,'Stats 2020'!$D$18:$J$18,0),0)</f>
        <v>1</v>
      </c>
      <c r="W24" s="66"/>
      <c r="X24" s="65">
        <f t="shared" si="8"/>
        <v>44008</v>
      </c>
      <c r="Y24" s="69">
        <f>SUM(Q$2:Q24)/COUNTA($P$2:$P24)</f>
        <v>0.82608695652173914</v>
      </c>
      <c r="Z24" s="69">
        <f>SUM(R$2:R24)/COUNTA($P$2:$P24)</f>
        <v>4.3478260869565216E-2</v>
      </c>
      <c r="AA24" s="69">
        <f>SUM(S$2:S24)/COUNTA($P$2:$P24)</f>
        <v>0.86956521739130432</v>
      </c>
      <c r="AB24" s="69">
        <f>SUM(T$2:T24)/COUNTA($P$2:$P24)</f>
        <v>0.30434782608695654</v>
      </c>
      <c r="AC24" s="69">
        <f>SUM(U$2:U24)/COUNTA($P$2:$P24)</f>
        <v>0.82608695652173914</v>
      </c>
      <c r="AD24" s="69">
        <f>SUM(V$2:V24)/COUNTA($P$2:$P24)</f>
        <v>0.86956521739130432</v>
      </c>
      <c r="AE24" s="70">
        <f t="shared" si="16"/>
        <v>0.62318840579710144</v>
      </c>
      <c r="AF24" s="58" t="e">
        <f t="shared" ca="1" si="18"/>
        <v>#N/A</v>
      </c>
      <c r="AG24" s="58" t="e">
        <f t="shared" ca="1" si="18"/>
        <v>#N/A</v>
      </c>
      <c r="AH24" s="58" t="e">
        <f t="shared" ca="1" si="18"/>
        <v>#N/A</v>
      </c>
      <c r="AI24" s="58" t="e">
        <f t="shared" ca="1" si="18"/>
        <v>#N/A</v>
      </c>
      <c r="AJ24" s="58" t="e">
        <f t="shared" ca="1" si="18"/>
        <v>#N/A</v>
      </c>
      <c r="AK24" s="58" t="e">
        <f t="shared" ca="1" si="18"/>
        <v>#N/A</v>
      </c>
      <c r="AL24" s="58" t="e">
        <f t="shared" ca="1" si="18"/>
        <v>#N/A</v>
      </c>
      <c r="AP24" s="66"/>
    </row>
    <row r="25" spans="1:42" ht="16.5" customHeight="1">
      <c r="A25" s="74" t="e">
        <f t="shared" ca="1" si="11"/>
        <v>#N/A</v>
      </c>
      <c r="B25" s="56">
        <f t="shared" si="10"/>
        <v>44015</v>
      </c>
      <c r="C25" s="59">
        <f ca="1">IF($B25&lt;=TODAY(),SUMIF('Stats 2020'!$M$24:$M$1048576,"&lt;="&amp;Graphs!$B25,'Stats 2020'!O$24:O$1048576),NA())</f>
        <v>102.25</v>
      </c>
      <c r="D25" s="59">
        <f t="shared" ca="1" si="12"/>
        <v>129.75</v>
      </c>
      <c r="E25" s="59">
        <f ca="1">IF($B25&lt;=TODAY(),SUMIF('Stats 2020'!$M$24:$M$1048576,"&lt;="&amp;Graphs!$B25,'Stats 2020'!Q$24:Q$1048576),NA())</f>
        <v>72</v>
      </c>
      <c r="F25" s="59">
        <f t="shared" ca="1" si="13"/>
        <v>129.75</v>
      </c>
      <c r="G25" s="59">
        <f ca="1">IF($B25&lt;=TODAY(),SUMIF('Stats 2020'!$M$24:$M$1048576,"&lt;="&amp;Graphs!$B25,'Stats 2020'!S$24:S$1048576),NA())</f>
        <v>88.5</v>
      </c>
      <c r="H25" s="59">
        <f ca="1">IF($B25&lt;=TODAY(),SUMIF('Stats 2020'!$M$24:$M$1048576,"&lt;="&amp;Graphs!$B25,'Stats 2020'!T$24:T$1048576),NA())</f>
        <v>74.75</v>
      </c>
      <c r="I25" s="58" t="e">
        <f t="shared" ca="1" si="17"/>
        <v>#N/A</v>
      </c>
      <c r="J25" s="58" t="e">
        <f t="shared" ca="1" si="17"/>
        <v>#N/A</v>
      </c>
      <c r="K25" s="58" t="e">
        <f t="shared" ca="1" si="17"/>
        <v>#N/A</v>
      </c>
      <c r="L25" s="58" t="e">
        <f t="shared" ca="1" si="17"/>
        <v>#N/A</v>
      </c>
      <c r="M25" s="58" t="e">
        <f t="shared" ca="1" si="17"/>
        <v>#N/A</v>
      </c>
      <c r="N25" s="58" t="e">
        <f t="shared" ca="1" si="17"/>
        <v>#N/A</v>
      </c>
      <c r="O25" s="60"/>
      <c r="P25" s="65">
        <f t="shared" si="7"/>
        <v>44015</v>
      </c>
      <c r="Q25" s="66">
        <f>VLOOKUP($B25,'Stats 2020'!$D$25:$J$200,MATCH(Graphs!Q$1,'Stats 2020'!$D$18:$J$18,0),0)</f>
        <v>1</v>
      </c>
      <c r="R25" s="66" t="str">
        <f>VLOOKUP($B25,'Stats 2020'!$D$25:$J$200,MATCH(Graphs!R$1,'Stats 2020'!$D$18:$J$18,0),0)</f>
        <v/>
      </c>
      <c r="S25" s="66">
        <f>VLOOKUP($B25,'Stats 2020'!$D$25:$J$200,MATCH(Graphs!S$1,'Stats 2020'!$D$18:$J$18,0),0)</f>
        <v>1</v>
      </c>
      <c r="T25" s="66" t="str">
        <f>VLOOKUP($B25,'Stats 2020'!$D$25:$J$200,MATCH(Graphs!T$1,'Stats 2020'!$D$18:$J$18,0),0)</f>
        <v/>
      </c>
      <c r="U25" s="66">
        <f>VLOOKUP($B25,'Stats 2020'!$D$25:$J$200,MATCH(Graphs!U$1,'Stats 2020'!$D$18:$J$18,0),0)</f>
        <v>1</v>
      </c>
      <c r="V25" s="66">
        <f>VLOOKUP($B25,'Stats 2020'!$D$25:$J$200,MATCH(Graphs!V$1,'Stats 2020'!$D$18:$J$18,0),0)</f>
        <v>1</v>
      </c>
      <c r="W25" s="66"/>
      <c r="X25" s="65">
        <f t="shared" si="8"/>
        <v>44015</v>
      </c>
      <c r="Y25" s="69">
        <f>SUM(Q$2:Q24)/COUNTA($P$2:$P24)</f>
        <v>0.82608695652173914</v>
      </c>
      <c r="Z25" s="69">
        <f>SUM(R$2:R24)/COUNTA($P$2:$P24)</f>
        <v>4.3478260869565216E-2</v>
      </c>
      <c r="AA25" s="69">
        <f>SUM(S$2:S24)/COUNTA($P$2:$P24)</f>
        <v>0.86956521739130432</v>
      </c>
      <c r="AB25" s="69">
        <f>SUM(T$2:T24)/COUNTA($P$2:$P24)</f>
        <v>0.30434782608695654</v>
      </c>
      <c r="AC25" s="69">
        <f>SUM(U$2:U24)/COUNTA($P$2:$P24)</f>
        <v>0.82608695652173914</v>
      </c>
      <c r="AD25" s="69">
        <f>SUM(V$2:V24)/COUNTA($P$2:$P24)</f>
        <v>0.86956521739130432</v>
      </c>
      <c r="AE25" s="70">
        <f t="shared" si="16"/>
        <v>0.62318840579710144</v>
      </c>
      <c r="AF25" s="58" t="e">
        <f t="shared" ca="1" si="18"/>
        <v>#N/A</v>
      </c>
      <c r="AG25" s="58" t="e">
        <f t="shared" ca="1" si="18"/>
        <v>#N/A</v>
      </c>
      <c r="AH25" s="58" t="e">
        <f t="shared" ca="1" si="18"/>
        <v>#N/A</v>
      </c>
      <c r="AI25" s="58" t="e">
        <f t="shared" ca="1" si="18"/>
        <v>#N/A</v>
      </c>
      <c r="AJ25" s="58" t="e">
        <f t="shared" ca="1" si="18"/>
        <v>#N/A</v>
      </c>
      <c r="AK25" s="58" t="e">
        <f t="shared" ca="1" si="18"/>
        <v>#N/A</v>
      </c>
      <c r="AL25" s="58" t="e">
        <f t="shared" ca="1" si="18"/>
        <v>#N/A</v>
      </c>
      <c r="AP25" s="66"/>
    </row>
    <row r="26" spans="1:42" ht="16.5" customHeight="1">
      <c r="A26" s="74" t="e">
        <f t="shared" ca="1" si="11"/>
        <v>#N/A</v>
      </c>
      <c r="B26" s="56">
        <f t="shared" si="10"/>
        <v>44022</v>
      </c>
      <c r="C26" s="59">
        <f ca="1">IF($B26&lt;=TODAY(),SUMIF('Stats 2020'!$M$24:$M$1048576,"&lt;="&amp;Graphs!$B26,'Stats 2020'!O$24:O$1048576),NA())</f>
        <v>105</v>
      </c>
      <c r="D26" s="59">
        <f t="shared" ca="1" si="12"/>
        <v>132.5</v>
      </c>
      <c r="E26" s="59">
        <f ca="1">IF($B26&lt;=TODAY(),SUMIF('Stats 2020'!$M$24:$M$1048576,"&lt;="&amp;Graphs!$B26,'Stats 2020'!Q$24:Q$1048576),NA())</f>
        <v>72</v>
      </c>
      <c r="F26" s="59">
        <f t="shared" ca="1" si="13"/>
        <v>132.5</v>
      </c>
      <c r="G26" s="59">
        <f ca="1">IF($B26&lt;=TODAY(),SUMIF('Stats 2020'!$M$24:$M$1048576,"&lt;="&amp;Graphs!$B26,'Stats 2020'!S$24:S$1048576),NA())</f>
        <v>99.5</v>
      </c>
      <c r="H26" s="59">
        <f ca="1">IF($B26&lt;=TODAY(),SUMIF('Stats 2020'!$M$24:$M$1048576,"&lt;="&amp;Graphs!$B26,'Stats 2020'!T$24:T$1048576),NA())</f>
        <v>74.75</v>
      </c>
      <c r="I26" s="58" t="e">
        <f t="shared" ca="1" si="17"/>
        <v>#N/A</v>
      </c>
      <c r="J26" s="58" t="e">
        <f t="shared" ca="1" si="17"/>
        <v>#N/A</v>
      </c>
      <c r="K26" s="58" t="e">
        <f t="shared" ca="1" si="17"/>
        <v>#N/A</v>
      </c>
      <c r="L26" s="58" t="e">
        <f t="shared" ca="1" si="17"/>
        <v>#N/A</v>
      </c>
      <c r="M26" s="58" t="e">
        <f t="shared" ca="1" si="17"/>
        <v>#N/A</v>
      </c>
      <c r="N26" s="58" t="e">
        <f t="shared" ca="1" si="17"/>
        <v>#N/A</v>
      </c>
      <c r="O26" s="60"/>
      <c r="P26" s="65">
        <f t="shared" si="7"/>
        <v>44022</v>
      </c>
      <c r="Q26" s="66">
        <f>VLOOKUP($B26,'Stats 2020'!$D$25:$J$200,MATCH(Graphs!Q$1,'Stats 2020'!$D$18:$J$18,0),0)</f>
        <v>1</v>
      </c>
      <c r="R26" s="66" t="str">
        <f>VLOOKUP($B26,'Stats 2020'!$D$25:$J$200,MATCH(Graphs!R$1,'Stats 2020'!$D$18:$J$18,0),0)</f>
        <v/>
      </c>
      <c r="S26" s="66">
        <f>VLOOKUP($B26,'Stats 2020'!$D$25:$J$200,MATCH(Graphs!S$1,'Stats 2020'!$D$18:$J$18,0),0)</f>
        <v>1</v>
      </c>
      <c r="T26" s="66" t="str">
        <f>VLOOKUP($B26,'Stats 2020'!$D$25:$J$200,MATCH(Graphs!T$1,'Stats 2020'!$D$18:$J$18,0),0)</f>
        <v/>
      </c>
      <c r="U26" s="66">
        <f>VLOOKUP($B26,'Stats 2020'!$D$25:$J$200,MATCH(Graphs!U$1,'Stats 2020'!$D$18:$J$18,0),0)</f>
        <v>0</v>
      </c>
      <c r="V26" s="66">
        <f>VLOOKUP($B26,'Stats 2020'!$D$25:$J$200,MATCH(Graphs!V$1,'Stats 2020'!$D$18:$J$18,0),0)</f>
        <v>1</v>
      </c>
      <c r="W26" s="66"/>
      <c r="X26" s="65">
        <f t="shared" si="8"/>
        <v>44022</v>
      </c>
      <c r="Y26" s="69">
        <f>SUM(Q$2:Q26)/COUNTA($P$2:$P26)</f>
        <v>0.84</v>
      </c>
      <c r="Z26" s="69">
        <f>SUM(R$2:R26)/COUNTA($P$2:$P26)</f>
        <v>0.04</v>
      </c>
      <c r="AA26" s="69">
        <f>SUM(S$2:S26)/COUNTA($P$2:$P26)</f>
        <v>0.88</v>
      </c>
      <c r="AB26" s="69">
        <f>SUM(T$2:T26)/COUNTA($P$2:$P26)</f>
        <v>0.28000000000000003</v>
      </c>
      <c r="AC26" s="69">
        <f>SUM(U$2:U26)/COUNTA($P$2:$P26)</f>
        <v>0.8</v>
      </c>
      <c r="AD26" s="69">
        <f>SUM(V$2:V26)/COUNTA($P$2:$P26)</f>
        <v>0.88</v>
      </c>
      <c r="AE26" s="70">
        <f t="shared" si="16"/>
        <v>0.62</v>
      </c>
      <c r="AF26" s="58" t="e">
        <f t="shared" ca="1" si="18"/>
        <v>#N/A</v>
      </c>
      <c r="AG26" s="58" t="e">
        <f t="shared" ca="1" si="18"/>
        <v>#N/A</v>
      </c>
      <c r="AH26" s="58" t="e">
        <f t="shared" ca="1" si="18"/>
        <v>#N/A</v>
      </c>
      <c r="AI26" s="58" t="e">
        <f t="shared" ca="1" si="18"/>
        <v>#N/A</v>
      </c>
      <c r="AJ26" s="58" t="e">
        <f t="shared" ca="1" si="18"/>
        <v>#N/A</v>
      </c>
      <c r="AK26" s="58" t="e">
        <f t="shared" ca="1" si="18"/>
        <v>#N/A</v>
      </c>
      <c r="AL26" s="58" t="e">
        <f t="shared" ca="1" si="18"/>
        <v>#N/A</v>
      </c>
      <c r="AP26" s="66"/>
    </row>
    <row r="27" spans="1:42" ht="16.5" customHeight="1">
      <c r="A27" s="74" t="e">
        <f t="shared" ca="1" si="11"/>
        <v>#N/A</v>
      </c>
      <c r="B27" s="56">
        <f t="shared" si="10"/>
        <v>44029</v>
      </c>
      <c r="C27" s="59">
        <f ca="1">IF($B27&lt;=TODAY(),SUMIF('Stats 2020'!$M$24:$M$1048576,"&lt;="&amp;Graphs!$B27,'Stats 2020'!O$24:O$1048576),NA())</f>
        <v>116</v>
      </c>
      <c r="D27" s="59">
        <f t="shared" ca="1" si="12"/>
        <v>143.5</v>
      </c>
      <c r="E27" s="59">
        <f ca="1">IF($B27&lt;=TODAY(),SUMIF('Stats 2020'!$M$24:$M$1048576,"&lt;="&amp;Graphs!$B27,'Stats 2020'!Q$24:Q$1048576),NA())</f>
        <v>83</v>
      </c>
      <c r="F27" s="59">
        <f t="shared" ca="1" si="13"/>
        <v>143.5</v>
      </c>
      <c r="G27" s="59">
        <f ca="1">IF($B27&lt;=TODAY(),SUMIF('Stats 2020'!$M$24:$M$1048576,"&lt;="&amp;Graphs!$B27,'Stats 2020'!S$24:S$1048576),NA())</f>
        <v>99.5</v>
      </c>
      <c r="H27" s="59">
        <f ca="1">IF($B27&lt;=TODAY(),SUMIF('Stats 2020'!$M$24:$M$1048576,"&lt;="&amp;Graphs!$B27,'Stats 2020'!T$24:T$1048576),NA())</f>
        <v>74.75</v>
      </c>
      <c r="I27" s="58" t="e">
        <f t="shared" ca="1" si="17"/>
        <v>#N/A</v>
      </c>
      <c r="J27" s="58" t="e">
        <f t="shared" ca="1" si="17"/>
        <v>#N/A</v>
      </c>
      <c r="K27" s="58" t="e">
        <f t="shared" ca="1" si="17"/>
        <v>#N/A</v>
      </c>
      <c r="L27" s="58" t="e">
        <f t="shared" ca="1" si="17"/>
        <v>#N/A</v>
      </c>
      <c r="M27" s="58" t="e">
        <f t="shared" ca="1" si="17"/>
        <v>#N/A</v>
      </c>
      <c r="N27" s="58" t="e">
        <f t="shared" ca="1" si="17"/>
        <v>#N/A</v>
      </c>
      <c r="O27" s="60"/>
      <c r="P27" s="65">
        <f t="shared" si="7"/>
        <v>44029</v>
      </c>
      <c r="Q27" s="66">
        <f>VLOOKUP($B27,'Stats 2020'!$D$25:$J$200,MATCH(Graphs!Q$1,'Stats 2020'!$D$18:$J$18,0),0)</f>
        <v>0</v>
      </c>
      <c r="R27" s="66" t="str">
        <f>VLOOKUP($B27,'Stats 2020'!$D$25:$J$200,MATCH(Graphs!R$1,'Stats 2020'!$D$18:$J$18,0),0)</f>
        <v/>
      </c>
      <c r="S27" s="66">
        <f>VLOOKUP($B27,'Stats 2020'!$D$25:$J$200,MATCH(Graphs!S$1,'Stats 2020'!$D$18:$J$18,0),0)</f>
        <v>0</v>
      </c>
      <c r="T27" s="66" t="str">
        <f>VLOOKUP($B27,'Stats 2020'!$D$25:$J$200,MATCH(Graphs!T$1,'Stats 2020'!$D$18:$J$18,0),0)</f>
        <v/>
      </c>
      <c r="U27" s="66">
        <f>VLOOKUP($B27,'Stats 2020'!$D$25:$J$200,MATCH(Graphs!U$1,'Stats 2020'!$D$18:$J$18,0),0)</f>
        <v>1</v>
      </c>
      <c r="V27" s="66">
        <f>VLOOKUP($B27,'Stats 2020'!$D$25:$J$200,MATCH(Graphs!V$1,'Stats 2020'!$D$18:$J$18,0),0)</f>
        <v>1</v>
      </c>
      <c r="W27" s="66"/>
      <c r="X27" s="65">
        <f t="shared" si="8"/>
        <v>44029</v>
      </c>
      <c r="Y27" s="69">
        <f>SUM(Q$2:Q27)/COUNTA($P$2:$P27)</f>
        <v>0.80769230769230771</v>
      </c>
      <c r="Z27" s="69">
        <f>SUM(R$2:R27)/COUNTA($P$2:$P27)</f>
        <v>3.8461538461538464E-2</v>
      </c>
      <c r="AA27" s="69">
        <f>SUM(S$2:S27)/COUNTA($P$2:$P27)</f>
        <v>0.84615384615384615</v>
      </c>
      <c r="AB27" s="69">
        <f>SUM(T$2:T27)/COUNTA($P$2:$P27)</f>
        <v>0.26923076923076922</v>
      </c>
      <c r="AC27" s="69">
        <f>SUM(U$2:U27)/COUNTA($P$2:$P27)</f>
        <v>0.80769230769230771</v>
      </c>
      <c r="AD27" s="69">
        <f>SUM(V$2:V27)/COUNTA($P$2:$P27)</f>
        <v>0.88461538461538458</v>
      </c>
      <c r="AE27" s="70">
        <f t="shared" si="16"/>
        <v>0.60897435897435892</v>
      </c>
      <c r="AF27" s="58" t="e">
        <f t="shared" ca="1" si="18"/>
        <v>#N/A</v>
      </c>
      <c r="AG27" s="58" t="e">
        <f t="shared" ca="1" si="18"/>
        <v>#N/A</v>
      </c>
      <c r="AH27" s="58" t="e">
        <f t="shared" ca="1" si="18"/>
        <v>#N/A</v>
      </c>
      <c r="AI27" s="58" t="e">
        <f t="shared" ca="1" si="18"/>
        <v>#N/A</v>
      </c>
      <c r="AJ27" s="58" t="e">
        <f t="shared" ca="1" si="18"/>
        <v>#N/A</v>
      </c>
      <c r="AK27" s="58" t="e">
        <f t="shared" ca="1" si="18"/>
        <v>#N/A</v>
      </c>
      <c r="AL27" s="58" t="e">
        <f t="shared" ca="1" si="18"/>
        <v>#N/A</v>
      </c>
      <c r="AP27" s="66"/>
    </row>
    <row r="28" spans="1:42" ht="16.5" customHeight="1">
      <c r="A28" s="74" t="e">
        <f t="shared" ca="1" si="11"/>
        <v>#N/A</v>
      </c>
      <c r="B28" s="56">
        <f t="shared" si="10"/>
        <v>44036</v>
      </c>
      <c r="C28" s="59">
        <f ca="1">IF($B28&lt;=TODAY(),SUMIF('Stats 2020'!$M$24:$M$1048576,"&lt;="&amp;Graphs!$B28,'Stats 2020'!O$24:O$1048576),NA())</f>
        <v>116</v>
      </c>
      <c r="D28" s="59">
        <f t="shared" ca="1" si="12"/>
        <v>143.5</v>
      </c>
      <c r="E28" s="59">
        <f ca="1">IF($B28&lt;=TODAY(),SUMIF('Stats 2020'!$M$24:$M$1048576,"&lt;="&amp;Graphs!$B28,'Stats 2020'!Q$24:Q$1048576),NA())</f>
        <v>83</v>
      </c>
      <c r="F28" s="59">
        <f t="shared" ca="1" si="13"/>
        <v>143.5</v>
      </c>
      <c r="G28" s="59">
        <f ca="1">IF($B28&lt;=TODAY(),SUMIF('Stats 2020'!$M$24:$M$1048576,"&lt;="&amp;Graphs!$B28,'Stats 2020'!S$24:S$1048576),NA())</f>
        <v>99.5</v>
      </c>
      <c r="H28" s="59">
        <f ca="1">IF($B28&lt;=TODAY(),SUMIF('Stats 2020'!$M$24:$M$1048576,"&lt;="&amp;Graphs!$B28,'Stats 2020'!T$24:T$1048576),NA())</f>
        <v>85.75</v>
      </c>
      <c r="I28" s="58" t="e">
        <f t="shared" ca="1" si="17"/>
        <v>#N/A</v>
      </c>
      <c r="J28" s="58" t="e">
        <f t="shared" ca="1" si="17"/>
        <v>#N/A</v>
      </c>
      <c r="K28" s="58" t="e">
        <f t="shared" ca="1" si="17"/>
        <v>#N/A</v>
      </c>
      <c r="L28" s="58" t="e">
        <f t="shared" ca="1" si="17"/>
        <v>#N/A</v>
      </c>
      <c r="M28" s="58" t="e">
        <f t="shared" ca="1" si="17"/>
        <v>#N/A</v>
      </c>
      <c r="N28" s="58" t="e">
        <f t="shared" ca="1" si="17"/>
        <v>#N/A</v>
      </c>
      <c r="O28" s="60"/>
      <c r="P28" s="65">
        <f t="shared" si="7"/>
        <v>44036</v>
      </c>
      <c r="Q28" s="66">
        <f>VLOOKUP($B28,'Stats 2020'!$D$25:$J$200,MATCH(Graphs!Q$1,'Stats 2020'!$D$18:$J$18,0),0)</f>
        <v>1</v>
      </c>
      <c r="R28" s="66">
        <f>VLOOKUP($B28,'Stats 2020'!$D$25:$J$200,MATCH(Graphs!R$1,'Stats 2020'!$D$18:$J$18,0),0)</f>
        <v>1</v>
      </c>
      <c r="S28" s="66">
        <f>VLOOKUP($B28,'Stats 2020'!$D$25:$J$200,MATCH(Graphs!S$1,'Stats 2020'!$D$18:$J$18,0),0)</f>
        <v>1</v>
      </c>
      <c r="T28" s="66">
        <f>VLOOKUP($B28,'Stats 2020'!$D$25:$J$200,MATCH(Graphs!T$1,'Stats 2020'!$D$18:$J$18,0),0)</f>
        <v>1</v>
      </c>
      <c r="U28" s="66">
        <f>VLOOKUP($B28,'Stats 2020'!$D$25:$J$200,MATCH(Graphs!U$1,'Stats 2020'!$D$18:$J$18,0),0)</f>
        <v>1</v>
      </c>
      <c r="V28" s="66">
        <f>VLOOKUP($B28,'Stats 2020'!$D$25:$J$200,MATCH(Graphs!V$1,'Stats 2020'!$D$18:$J$18,0),0)</f>
        <v>0</v>
      </c>
      <c r="W28" s="66"/>
      <c r="X28" s="65">
        <f t="shared" si="8"/>
        <v>44036</v>
      </c>
      <c r="Y28" s="69">
        <f>SUM(Q$2:Q28)/COUNTA($P$2:$P28)</f>
        <v>0.81481481481481477</v>
      </c>
      <c r="Z28" s="69">
        <f>SUM(R$2:R28)/COUNTA($P$2:$P28)</f>
        <v>7.407407407407407E-2</v>
      </c>
      <c r="AA28" s="69">
        <f>SUM(S$2:S28)/COUNTA($P$2:$P28)</f>
        <v>0.85185185185185186</v>
      </c>
      <c r="AB28" s="69">
        <f>SUM(T$2:T28)/COUNTA($P$2:$P28)</f>
        <v>0.29629629629629628</v>
      </c>
      <c r="AC28" s="69">
        <f>SUM(U$2:U28)/COUNTA($P$2:$P28)</f>
        <v>0.81481481481481477</v>
      </c>
      <c r="AD28" s="69">
        <f>SUM(V$2:V28)/COUNTA($P$2:$P28)</f>
        <v>0.85185185185185186</v>
      </c>
      <c r="AE28" s="70">
        <f t="shared" si="16"/>
        <v>0.61728395061728403</v>
      </c>
      <c r="AF28" s="58" t="e">
        <f t="shared" ca="1" si="18"/>
        <v>#N/A</v>
      </c>
      <c r="AG28" s="58" t="e">
        <f t="shared" ca="1" si="18"/>
        <v>#N/A</v>
      </c>
      <c r="AH28" s="58" t="e">
        <f t="shared" ca="1" si="18"/>
        <v>#N/A</v>
      </c>
      <c r="AI28" s="58" t="e">
        <f t="shared" ca="1" si="18"/>
        <v>#N/A</v>
      </c>
      <c r="AJ28" s="58" t="e">
        <f t="shared" ca="1" si="18"/>
        <v>#N/A</v>
      </c>
      <c r="AK28" s="58" t="e">
        <f t="shared" ca="1" si="18"/>
        <v>#N/A</v>
      </c>
      <c r="AL28" s="58" t="e">
        <f t="shared" ca="1" si="18"/>
        <v>#N/A</v>
      </c>
      <c r="AP28" s="66"/>
    </row>
    <row r="29" spans="1:42" ht="16.5" customHeight="1">
      <c r="A29" s="74" t="e">
        <f t="shared" ca="1" si="11"/>
        <v>#N/A</v>
      </c>
      <c r="B29" s="56">
        <f t="shared" si="10"/>
        <v>44043</v>
      </c>
      <c r="C29" s="59">
        <f ca="1">IF($B29&lt;=TODAY(),SUMIF('Stats 2020'!$M$24:$M$1048576,"&lt;="&amp;Graphs!$B29,'Stats 2020'!O$24:O$1048576),NA())</f>
        <v>127</v>
      </c>
      <c r="D29" s="59">
        <f t="shared" ca="1" si="12"/>
        <v>154.5</v>
      </c>
      <c r="E29" s="59">
        <f ca="1">IF($B29&lt;=TODAY(),SUMIF('Stats 2020'!$M$24:$M$1048576,"&lt;="&amp;Graphs!$B29,'Stats 2020'!Q$24:Q$1048576),NA())</f>
        <v>83</v>
      </c>
      <c r="F29" s="59">
        <f t="shared" ca="1" si="13"/>
        <v>154.5</v>
      </c>
      <c r="G29" s="59">
        <f ca="1">IF($B29&lt;=TODAY(),SUMIF('Stats 2020'!$M$24:$M$1048576,"&lt;="&amp;Graphs!$B29,'Stats 2020'!S$24:S$1048576),NA())</f>
        <v>99.5</v>
      </c>
      <c r="H29" s="59">
        <f ca="1">IF($B29&lt;=TODAY(),SUMIF('Stats 2020'!$M$24:$M$1048576,"&lt;="&amp;Graphs!$B29,'Stats 2020'!T$24:T$1048576),NA())</f>
        <v>85.75</v>
      </c>
      <c r="I29" s="58" t="e">
        <f t="shared" ca="1" si="17"/>
        <v>#N/A</v>
      </c>
      <c r="J29" s="58" t="e">
        <f t="shared" ca="1" si="17"/>
        <v>#N/A</v>
      </c>
      <c r="K29" s="58" t="e">
        <f t="shared" ca="1" si="17"/>
        <v>#N/A</v>
      </c>
      <c r="L29" s="58" t="e">
        <f t="shared" ca="1" si="17"/>
        <v>#N/A</v>
      </c>
      <c r="M29" s="58" t="e">
        <f t="shared" ca="1" si="17"/>
        <v>#N/A</v>
      </c>
      <c r="N29" s="58" t="e">
        <f t="shared" ca="1" si="17"/>
        <v>#N/A</v>
      </c>
      <c r="O29" s="60"/>
      <c r="P29" s="65">
        <f t="shared" si="7"/>
        <v>44043</v>
      </c>
      <c r="Q29" s="66">
        <f>VLOOKUP($B29,'Stats 2020'!$D$25:$J$200,MATCH(Graphs!Q$1,'Stats 2020'!$D$18:$J$18,0),0)</f>
        <v>0</v>
      </c>
      <c r="R29" s="66" t="str">
        <f>VLOOKUP($B29,'Stats 2020'!$D$25:$J$200,MATCH(Graphs!R$1,'Stats 2020'!$D$18:$J$18,0),0)</f>
        <v/>
      </c>
      <c r="S29" s="66">
        <f>VLOOKUP($B29,'Stats 2020'!$D$25:$J$200,MATCH(Graphs!S$1,'Stats 2020'!$D$18:$J$18,0),0)</f>
        <v>1</v>
      </c>
      <c r="T29" s="66" t="str">
        <f>VLOOKUP($B29,'Stats 2020'!$D$25:$J$200,MATCH(Graphs!T$1,'Stats 2020'!$D$18:$J$18,0),0)</f>
        <v/>
      </c>
      <c r="U29" s="66">
        <f>VLOOKUP($B29,'Stats 2020'!$D$25:$J$200,MATCH(Graphs!U$1,'Stats 2020'!$D$18:$J$18,0),0)</f>
        <v>1</v>
      </c>
      <c r="V29" s="66">
        <f>VLOOKUP($B29,'Stats 2020'!$D$25:$J$200,MATCH(Graphs!V$1,'Stats 2020'!$D$18:$J$18,0),0)</f>
        <v>1</v>
      </c>
      <c r="W29" s="66"/>
      <c r="X29" s="65">
        <f t="shared" si="8"/>
        <v>44043</v>
      </c>
      <c r="Y29" s="69">
        <f>SUM(Q$2:Q29)/COUNTA($P$2:$P29)</f>
        <v>0.7857142857142857</v>
      </c>
      <c r="Z29" s="69">
        <f>SUM(R$2:R29)/COUNTA($P$2:$P29)</f>
        <v>7.1428571428571425E-2</v>
      </c>
      <c r="AA29" s="69">
        <f>SUM(S$2:S29)/COUNTA($P$2:$P29)</f>
        <v>0.8571428571428571</v>
      </c>
      <c r="AB29" s="69">
        <f>SUM(T$2:T29)/COUNTA($P$2:$P29)</f>
        <v>0.2857142857142857</v>
      </c>
      <c r="AC29" s="69">
        <f>SUM(U$2:U29)/COUNTA($P$2:$P29)</f>
        <v>0.8214285714285714</v>
      </c>
      <c r="AD29" s="69">
        <f>SUM(V$2:V29)/COUNTA($P$2:$P29)</f>
        <v>0.8571428571428571</v>
      </c>
      <c r="AE29" s="70">
        <f t="shared" si="16"/>
        <v>0.61309523809523803</v>
      </c>
      <c r="AF29" s="58" t="e">
        <f t="shared" ca="1" si="18"/>
        <v>#N/A</v>
      </c>
      <c r="AG29" s="58" t="e">
        <f t="shared" ca="1" si="18"/>
        <v>#N/A</v>
      </c>
      <c r="AH29" s="58" t="e">
        <f t="shared" ca="1" si="18"/>
        <v>#N/A</v>
      </c>
      <c r="AI29" s="58" t="e">
        <f t="shared" ca="1" si="18"/>
        <v>#N/A</v>
      </c>
      <c r="AJ29" s="58" t="e">
        <f t="shared" ca="1" si="18"/>
        <v>#N/A</v>
      </c>
      <c r="AK29" s="58" t="e">
        <f t="shared" ca="1" si="18"/>
        <v>#N/A</v>
      </c>
      <c r="AL29" s="58" t="e">
        <f t="shared" ca="1" si="18"/>
        <v>#N/A</v>
      </c>
      <c r="AP29" s="66"/>
    </row>
    <row r="30" spans="1:42" ht="16.5" customHeight="1">
      <c r="A30" s="74" t="e">
        <f t="shared" ca="1" si="11"/>
        <v>#N/A</v>
      </c>
      <c r="B30" s="56">
        <f t="shared" si="10"/>
        <v>44050</v>
      </c>
      <c r="C30" s="59">
        <f ca="1">IF($B30&lt;=TODAY(),SUMIF('Stats 2020'!$M$24:$M$1048576,"&lt;="&amp;Graphs!$B30,'Stats 2020'!O$24:O$1048576),NA())</f>
        <v>127</v>
      </c>
      <c r="D30" s="59">
        <f t="shared" ca="1" si="12"/>
        <v>154.5</v>
      </c>
      <c r="E30" s="59">
        <f ca="1">IF($B30&lt;=TODAY(),SUMIF('Stats 2020'!$M$24:$M$1048576,"&lt;="&amp;Graphs!$B30,'Stats 2020'!Q$24:Q$1048576),NA())</f>
        <v>83</v>
      </c>
      <c r="F30" s="59">
        <f t="shared" ca="1" si="13"/>
        <v>154.5</v>
      </c>
      <c r="G30" s="59">
        <f ca="1">IF($B30&lt;=TODAY(),SUMIF('Stats 2020'!$M$24:$M$1048576,"&lt;="&amp;Graphs!$B30,'Stats 2020'!S$24:S$1048576),NA())</f>
        <v>99.5</v>
      </c>
      <c r="H30" s="59">
        <f ca="1">IF($B30&lt;=TODAY(),SUMIF('Stats 2020'!$M$24:$M$1048576,"&lt;="&amp;Graphs!$B30,'Stats 2020'!T$24:T$1048576),NA())</f>
        <v>85.75</v>
      </c>
      <c r="I30" s="58" t="e">
        <f t="shared" ca="1" si="17"/>
        <v>#N/A</v>
      </c>
      <c r="J30" s="58" t="e">
        <f t="shared" ca="1" si="17"/>
        <v>#N/A</v>
      </c>
      <c r="K30" s="58" t="e">
        <f t="shared" ca="1" si="17"/>
        <v>#N/A</v>
      </c>
      <c r="L30" s="58" t="e">
        <f t="shared" ca="1" si="17"/>
        <v>#N/A</v>
      </c>
      <c r="M30" s="58" t="e">
        <f t="shared" ca="1" si="17"/>
        <v>#N/A</v>
      </c>
      <c r="N30" s="58" t="e">
        <f t="shared" ca="1" si="17"/>
        <v>#N/A</v>
      </c>
      <c r="O30" s="60"/>
      <c r="P30" s="65">
        <f t="shared" si="7"/>
        <v>44050</v>
      </c>
      <c r="Q30" s="66">
        <f>VLOOKUP($B30,'Stats 2020'!$D$25:$J$200,MATCH(Graphs!Q$1,'Stats 2020'!$D$18:$J$18,0),0)</f>
        <v>1</v>
      </c>
      <c r="R30" s="66" t="str">
        <f>VLOOKUP($B30,'Stats 2020'!$D$25:$J$200,MATCH(Graphs!R$1,'Stats 2020'!$D$18:$J$18,0),0)</f>
        <v/>
      </c>
      <c r="S30" s="66">
        <f>VLOOKUP($B30,'Stats 2020'!$D$25:$J$200,MATCH(Graphs!S$1,'Stats 2020'!$D$18:$J$18,0),0)</f>
        <v>1</v>
      </c>
      <c r="T30" s="66" t="str">
        <f>VLOOKUP($B30,'Stats 2020'!$D$25:$J$200,MATCH(Graphs!T$1,'Stats 2020'!$D$18:$J$18,0),0)</f>
        <v/>
      </c>
      <c r="U30" s="66">
        <f>VLOOKUP($B30,'Stats 2020'!$D$25:$J$200,MATCH(Graphs!U$1,'Stats 2020'!$D$18:$J$18,0),0)</f>
        <v>1</v>
      </c>
      <c r="V30" s="66">
        <f>VLOOKUP($B30,'Stats 2020'!$D$25:$J$200,MATCH(Graphs!V$1,'Stats 2020'!$D$18:$J$18,0),0)</f>
        <v>1</v>
      </c>
      <c r="W30" s="66"/>
      <c r="X30" s="65">
        <f t="shared" si="8"/>
        <v>44050</v>
      </c>
      <c r="Y30" s="69">
        <f>SUM(Q$2:Q30)/COUNTA($P$2:$P30)</f>
        <v>0.7931034482758621</v>
      </c>
      <c r="Z30" s="69">
        <f>SUM(R$2:R30)/COUNTA($P$2:$P30)</f>
        <v>6.8965517241379309E-2</v>
      </c>
      <c r="AA30" s="69">
        <f>SUM(S$2:S30)/COUNTA($P$2:$P30)</f>
        <v>0.86206896551724133</v>
      </c>
      <c r="AB30" s="69">
        <f>SUM(T$2:T30)/COUNTA($P$2:$P30)</f>
        <v>0.27586206896551724</v>
      </c>
      <c r="AC30" s="69">
        <f>SUM(U$2:U30)/COUNTA($P$2:$P30)</f>
        <v>0.82758620689655171</v>
      </c>
      <c r="AD30" s="69">
        <f>SUM(V$2:V30)/COUNTA($P$2:$P30)</f>
        <v>0.86206896551724133</v>
      </c>
      <c r="AE30" s="70">
        <f t="shared" si="16"/>
        <v>0.61494252873563215</v>
      </c>
      <c r="AF30" s="58" t="e">
        <f t="shared" ca="1" si="18"/>
        <v>#N/A</v>
      </c>
      <c r="AG30" s="58" t="e">
        <f t="shared" ca="1" si="18"/>
        <v>#N/A</v>
      </c>
      <c r="AH30" s="58" t="e">
        <f t="shared" ca="1" si="18"/>
        <v>#N/A</v>
      </c>
      <c r="AI30" s="58" t="e">
        <f t="shared" ca="1" si="18"/>
        <v>#N/A</v>
      </c>
      <c r="AJ30" s="58" t="e">
        <f t="shared" ca="1" si="18"/>
        <v>#N/A</v>
      </c>
      <c r="AK30" s="58" t="e">
        <f t="shared" ca="1" si="18"/>
        <v>#N/A</v>
      </c>
      <c r="AL30" s="58" t="e">
        <f t="shared" ca="1" si="18"/>
        <v>#N/A</v>
      </c>
      <c r="AP30" s="66"/>
    </row>
    <row r="31" spans="1:42" ht="16.5" customHeight="1">
      <c r="A31" s="74" t="e">
        <f t="shared" ca="1" si="11"/>
        <v>#N/A</v>
      </c>
      <c r="B31" s="56">
        <f t="shared" si="10"/>
        <v>44057</v>
      </c>
      <c r="C31" s="59">
        <f ca="1">IF($B31&lt;=TODAY(),SUMIF('Stats 2020'!$M$24:$M$1048576,"&lt;="&amp;Graphs!$B31,'Stats 2020'!O$24:O$1048576),NA())</f>
        <v>129.75</v>
      </c>
      <c r="D31" s="59">
        <f t="shared" ca="1" si="12"/>
        <v>157.25</v>
      </c>
      <c r="E31" s="59">
        <f ca="1">IF($B31&lt;=TODAY(),SUMIF('Stats 2020'!$M$24:$M$1048576,"&lt;="&amp;Graphs!$B31,'Stats 2020'!Q$24:Q$1048576),NA())</f>
        <v>83</v>
      </c>
      <c r="F31" s="59">
        <f t="shared" ca="1" si="13"/>
        <v>157.25</v>
      </c>
      <c r="G31" s="59">
        <f ca="1">IF($B31&lt;=TODAY(),SUMIF('Stats 2020'!$M$24:$M$1048576,"&lt;="&amp;Graphs!$B31,'Stats 2020'!S$24:S$1048576),NA())</f>
        <v>99.5</v>
      </c>
      <c r="H31" s="59">
        <f ca="1">IF($B31&lt;=TODAY(),SUMIF('Stats 2020'!$M$24:$M$1048576,"&lt;="&amp;Graphs!$B31,'Stats 2020'!T$24:T$1048576),NA())</f>
        <v>85.75</v>
      </c>
      <c r="I31" s="58" t="e">
        <f t="shared" ca="1" si="17"/>
        <v>#N/A</v>
      </c>
      <c r="J31" s="58" t="e">
        <f t="shared" ca="1" si="17"/>
        <v>#N/A</v>
      </c>
      <c r="K31" s="58" t="e">
        <f t="shared" ca="1" si="17"/>
        <v>#N/A</v>
      </c>
      <c r="L31" s="58" t="e">
        <f t="shared" ca="1" si="17"/>
        <v>#N/A</v>
      </c>
      <c r="M31" s="58" t="e">
        <f t="shared" ca="1" si="17"/>
        <v>#N/A</v>
      </c>
      <c r="N31" s="58" t="e">
        <f t="shared" ca="1" si="17"/>
        <v>#N/A</v>
      </c>
      <c r="O31" s="60"/>
      <c r="P31" s="65">
        <f t="shared" si="7"/>
        <v>44057</v>
      </c>
      <c r="Q31" s="66">
        <f>VLOOKUP($B31,'Stats 2020'!$D$25:$J$200,MATCH(Graphs!Q$1,'Stats 2020'!$D$18:$J$18,0),0)</f>
        <v>1</v>
      </c>
      <c r="R31" s="66">
        <f>VLOOKUP($B31,'Stats 2020'!$D$25:$J$200,MATCH(Graphs!R$1,'Stats 2020'!$D$18:$J$18,0),0)</f>
        <v>1</v>
      </c>
      <c r="S31" s="66">
        <f>VLOOKUP($B31,'Stats 2020'!$D$25:$J$200,MATCH(Graphs!S$1,'Stats 2020'!$D$18:$J$18,0),0)</f>
        <v>1</v>
      </c>
      <c r="T31" s="66" t="str">
        <f>VLOOKUP($B31,'Stats 2020'!$D$25:$J$200,MATCH(Graphs!T$1,'Stats 2020'!$D$18:$J$18,0),0)</f>
        <v/>
      </c>
      <c r="U31" s="66">
        <f>VLOOKUP($B31,'Stats 2020'!$D$25:$J$200,MATCH(Graphs!U$1,'Stats 2020'!$D$18:$J$18,0),0)</f>
        <v>1</v>
      </c>
      <c r="V31" s="66">
        <f>VLOOKUP($B31,'Stats 2020'!$D$25:$J$200,MATCH(Graphs!V$1,'Stats 2020'!$D$18:$J$18,0),0)</f>
        <v>1</v>
      </c>
      <c r="W31" s="66"/>
      <c r="X31" s="65">
        <f t="shared" si="8"/>
        <v>44057</v>
      </c>
      <c r="Y31" s="69">
        <f>SUM(Q$2:Q31)/COUNTA($P$2:$P31)</f>
        <v>0.8</v>
      </c>
      <c r="Z31" s="69">
        <f>SUM(R$2:R31)/COUNTA($P$2:$P31)</f>
        <v>0.1</v>
      </c>
      <c r="AA31" s="69">
        <f>SUM(S$2:S31)/COUNTA($P$2:$P31)</f>
        <v>0.8666666666666667</v>
      </c>
      <c r="AB31" s="69">
        <f>SUM(T$2:T31)/COUNTA($P$2:$P31)</f>
        <v>0.26666666666666666</v>
      </c>
      <c r="AC31" s="69">
        <f>SUM(U$2:U31)/COUNTA($P$2:$P31)</f>
        <v>0.83333333333333337</v>
      </c>
      <c r="AD31" s="69">
        <f>SUM(V$2:V31)/COUNTA($P$2:$P31)</f>
        <v>0.8666666666666667</v>
      </c>
      <c r="AE31" s="70">
        <f t="shared" si="16"/>
        <v>0.62222222222222223</v>
      </c>
      <c r="AF31" s="58" t="e">
        <f t="shared" ca="1" si="18"/>
        <v>#N/A</v>
      </c>
      <c r="AG31" s="58" t="e">
        <f t="shared" ca="1" si="18"/>
        <v>#N/A</v>
      </c>
      <c r="AH31" s="58" t="e">
        <f t="shared" ca="1" si="18"/>
        <v>#N/A</v>
      </c>
      <c r="AI31" s="58" t="e">
        <f t="shared" ca="1" si="18"/>
        <v>#N/A</v>
      </c>
      <c r="AJ31" s="58" t="e">
        <f t="shared" ca="1" si="18"/>
        <v>#N/A</v>
      </c>
      <c r="AK31" s="58" t="e">
        <f t="shared" ca="1" si="18"/>
        <v>#N/A</v>
      </c>
      <c r="AL31" s="58" t="e">
        <f t="shared" ca="1" si="18"/>
        <v>#N/A</v>
      </c>
      <c r="AP31" s="66"/>
    </row>
    <row r="32" spans="1:42" ht="16.5" customHeight="1">
      <c r="A32" s="74" t="e">
        <f t="shared" ca="1" si="11"/>
        <v>#N/A</v>
      </c>
      <c r="B32" s="56">
        <f t="shared" si="10"/>
        <v>44064</v>
      </c>
      <c r="C32" s="59">
        <f ca="1">IF($B32&lt;=TODAY(),SUMIF('Stats 2020'!$M$24:$M$1048576,"&lt;="&amp;Graphs!$B32,'Stats 2020'!O$24:O$1048576),NA())</f>
        <v>129.75</v>
      </c>
      <c r="D32" s="59">
        <f t="shared" ca="1" si="12"/>
        <v>157.25</v>
      </c>
      <c r="E32" s="59">
        <f ca="1">IF($B32&lt;=TODAY(),SUMIF('Stats 2020'!$M$24:$M$1048576,"&lt;="&amp;Graphs!$B32,'Stats 2020'!Q$24:Q$1048576),NA())</f>
        <v>94</v>
      </c>
      <c r="F32" s="59">
        <f t="shared" ca="1" si="13"/>
        <v>157.25</v>
      </c>
      <c r="G32" s="59">
        <f ca="1">IF($B32&lt;=TODAY(),SUMIF('Stats 2020'!$M$24:$M$1048576,"&lt;="&amp;Graphs!$B32,'Stats 2020'!S$24:S$1048576),NA())</f>
        <v>99.5</v>
      </c>
      <c r="H32" s="59">
        <f ca="1">IF($B32&lt;=TODAY(),SUMIF('Stats 2020'!$M$24:$M$1048576,"&lt;="&amp;Graphs!$B32,'Stats 2020'!T$24:T$1048576),NA())</f>
        <v>85.75</v>
      </c>
      <c r="I32" s="58" t="e">
        <f t="shared" ref="I32:N41" ca="1" si="19">VLOOKUP($A32,$B$1:$H$59,MATCH(I$1,$B$1:$H$1,0),0)</f>
        <v>#N/A</v>
      </c>
      <c r="J32" s="58" t="e">
        <f t="shared" ca="1" si="19"/>
        <v>#N/A</v>
      </c>
      <c r="K32" s="58" t="e">
        <f t="shared" ca="1" si="19"/>
        <v>#N/A</v>
      </c>
      <c r="L32" s="58" t="e">
        <f t="shared" ca="1" si="19"/>
        <v>#N/A</v>
      </c>
      <c r="M32" s="58" t="e">
        <f t="shared" ca="1" si="19"/>
        <v>#N/A</v>
      </c>
      <c r="N32" s="58" t="e">
        <f t="shared" ca="1" si="19"/>
        <v>#N/A</v>
      </c>
      <c r="O32" s="60"/>
      <c r="P32" s="65">
        <f t="shared" si="7"/>
        <v>44064</v>
      </c>
      <c r="Q32" s="66">
        <f>VLOOKUP($B32,'Stats 2020'!$D$25:$J$200,MATCH(Graphs!Q$1,'Stats 2020'!$D$18:$J$18,0),0)</f>
        <v>1</v>
      </c>
      <c r="R32" s="66" t="str">
        <f>VLOOKUP($B32,'Stats 2020'!$D$25:$J$200,MATCH(Graphs!R$1,'Stats 2020'!$D$18:$J$18,0),0)</f>
        <v/>
      </c>
      <c r="S32" s="66">
        <f>VLOOKUP($B32,'Stats 2020'!$D$25:$J$200,MATCH(Graphs!S$1,'Stats 2020'!$D$18:$J$18,0),0)</f>
        <v>0</v>
      </c>
      <c r="T32" s="66">
        <f>VLOOKUP($B32,'Stats 2020'!$D$25:$J$200,MATCH(Graphs!T$1,'Stats 2020'!$D$18:$J$18,0),0)</f>
        <v>1</v>
      </c>
      <c r="U32" s="66">
        <f>VLOOKUP($B32,'Stats 2020'!$D$25:$J$200,MATCH(Graphs!U$1,'Stats 2020'!$D$18:$J$18,0),0)</f>
        <v>1</v>
      </c>
      <c r="V32" s="66">
        <f>VLOOKUP($B32,'Stats 2020'!$D$25:$J$200,MATCH(Graphs!V$1,'Stats 2020'!$D$18:$J$18,0),0)</f>
        <v>1</v>
      </c>
      <c r="W32" s="66"/>
      <c r="X32" s="65">
        <f t="shared" si="8"/>
        <v>44064</v>
      </c>
      <c r="Y32" s="69">
        <f>SUM(Q$2:Q32)/COUNTA($P$2:$P32)</f>
        <v>0.80645161290322576</v>
      </c>
      <c r="Z32" s="69">
        <f>SUM(R$2:R32)/COUNTA($P$2:$P32)</f>
        <v>9.6774193548387094E-2</v>
      </c>
      <c r="AA32" s="69">
        <f>SUM(S$2:S32)/COUNTA($P$2:$P32)</f>
        <v>0.83870967741935487</v>
      </c>
      <c r="AB32" s="69">
        <f>SUM(T$2:T32)/COUNTA($P$2:$P32)</f>
        <v>0.29032258064516131</v>
      </c>
      <c r="AC32" s="69">
        <f>SUM(U$2:U32)/COUNTA($P$2:$P32)</f>
        <v>0.83870967741935487</v>
      </c>
      <c r="AD32" s="69">
        <f>SUM(V$2:V32)/COUNTA($P$2:$P32)</f>
        <v>0.87096774193548387</v>
      </c>
      <c r="AE32" s="70">
        <f t="shared" si="16"/>
        <v>0.62365591397849462</v>
      </c>
      <c r="AF32" s="58" t="e">
        <f t="shared" ref="AF32:AL41" ca="1" si="20">VLOOKUP($A32,$X$1:$AE$59,MATCH(AF$1,$X$1:$AE$1,0),0)</f>
        <v>#N/A</v>
      </c>
      <c r="AG32" s="58" t="e">
        <f t="shared" ca="1" si="20"/>
        <v>#N/A</v>
      </c>
      <c r="AH32" s="58" t="e">
        <f t="shared" ca="1" si="20"/>
        <v>#N/A</v>
      </c>
      <c r="AI32" s="58" t="e">
        <f t="shared" ca="1" si="20"/>
        <v>#N/A</v>
      </c>
      <c r="AJ32" s="58" t="e">
        <f t="shared" ca="1" si="20"/>
        <v>#N/A</v>
      </c>
      <c r="AK32" s="58" t="e">
        <f t="shared" ca="1" si="20"/>
        <v>#N/A</v>
      </c>
      <c r="AL32" s="58" t="e">
        <f t="shared" ca="1" si="20"/>
        <v>#N/A</v>
      </c>
      <c r="AP32" s="66"/>
    </row>
    <row r="33" spans="1:42" ht="16.5" customHeight="1">
      <c r="A33" s="74" t="e">
        <f t="shared" ca="1" si="11"/>
        <v>#N/A</v>
      </c>
      <c r="B33" s="56">
        <f t="shared" si="10"/>
        <v>44071</v>
      </c>
      <c r="C33" s="59">
        <f ca="1">IF($B33&lt;=TODAY(),SUMIF('Stats 2020'!$M$24:$M$1048576,"&lt;="&amp;Graphs!$B33,'Stats 2020'!O$24:O$1048576),NA())</f>
        <v>140.75</v>
      </c>
      <c r="D33" s="59">
        <f t="shared" ca="1" si="12"/>
        <v>168.25</v>
      </c>
      <c r="E33" s="59">
        <f ca="1">IF($B33&lt;=TODAY(),SUMIF('Stats 2020'!$M$24:$M$1048576,"&lt;="&amp;Graphs!$B33,'Stats 2020'!Q$24:Q$1048576),NA())</f>
        <v>94</v>
      </c>
      <c r="F33" s="59">
        <f t="shared" ca="1" si="13"/>
        <v>168.25</v>
      </c>
      <c r="G33" s="59">
        <f ca="1">IF($B33&lt;=TODAY(),SUMIF('Stats 2020'!$M$24:$M$1048576,"&lt;="&amp;Graphs!$B33,'Stats 2020'!S$24:S$1048576),NA())</f>
        <v>110.5</v>
      </c>
      <c r="H33" s="59">
        <f ca="1">IF($B33&lt;=TODAY(),SUMIF('Stats 2020'!$M$24:$M$1048576,"&lt;="&amp;Graphs!$B33,'Stats 2020'!T$24:T$1048576),NA())</f>
        <v>85.75</v>
      </c>
      <c r="I33" s="58" t="e">
        <f t="shared" ca="1" si="19"/>
        <v>#N/A</v>
      </c>
      <c r="J33" s="58" t="e">
        <f t="shared" ca="1" si="19"/>
        <v>#N/A</v>
      </c>
      <c r="K33" s="58" t="e">
        <f t="shared" ca="1" si="19"/>
        <v>#N/A</v>
      </c>
      <c r="L33" s="58" t="e">
        <f t="shared" ca="1" si="19"/>
        <v>#N/A</v>
      </c>
      <c r="M33" s="58" t="e">
        <f t="shared" ca="1" si="19"/>
        <v>#N/A</v>
      </c>
      <c r="N33" s="58" t="e">
        <f t="shared" ca="1" si="19"/>
        <v>#N/A</v>
      </c>
      <c r="O33" s="60"/>
      <c r="P33" s="65">
        <f t="shared" si="7"/>
        <v>44071</v>
      </c>
      <c r="Q33" s="66">
        <f>VLOOKUP($B33,'Stats 2020'!$D$25:$J$200,MATCH(Graphs!Q$1,'Stats 2020'!$D$18:$J$18,0),0)</f>
        <v>0</v>
      </c>
      <c r="R33" s="66" t="str">
        <f>VLOOKUP($B33,'Stats 2020'!$D$25:$J$200,MATCH(Graphs!R$1,'Stats 2020'!$D$18:$J$18,0),0)</f>
        <v/>
      </c>
      <c r="S33" s="66">
        <f>VLOOKUP($B33,'Stats 2020'!$D$25:$J$200,MATCH(Graphs!S$1,'Stats 2020'!$D$18:$J$18,0),0)</f>
        <v>1</v>
      </c>
      <c r="T33" s="66">
        <f>VLOOKUP($B33,'Stats 2020'!$D$25:$J$200,MATCH(Graphs!T$1,'Stats 2020'!$D$18:$J$18,0),0)</f>
        <v>1</v>
      </c>
      <c r="U33" s="66">
        <f>VLOOKUP($B33,'Stats 2020'!$D$25:$J$200,MATCH(Graphs!U$1,'Stats 2020'!$D$18:$J$18,0),0)</f>
        <v>0</v>
      </c>
      <c r="V33" s="66">
        <f>VLOOKUP($B33,'Stats 2020'!$D$25:$J$200,MATCH(Graphs!V$1,'Stats 2020'!$D$18:$J$18,0),0)</f>
        <v>1</v>
      </c>
      <c r="W33" s="66"/>
      <c r="X33" s="65">
        <f t="shared" si="8"/>
        <v>44071</v>
      </c>
      <c r="Y33" s="69">
        <f>SUM(Q$2:Q33)/COUNTA($P$2:$P33)</f>
        <v>0.78125</v>
      </c>
      <c r="Z33" s="69">
        <f>SUM(R$2:R33)/COUNTA($P$2:$P33)</f>
        <v>9.375E-2</v>
      </c>
      <c r="AA33" s="69">
        <f>SUM(S$2:S33)/COUNTA($P$2:$P33)</f>
        <v>0.84375</v>
      </c>
      <c r="AB33" s="69">
        <f>SUM(T$2:T33)/COUNTA($P$2:$P33)</f>
        <v>0.3125</v>
      </c>
      <c r="AC33" s="69">
        <f>SUM(U$2:U33)/COUNTA($P$2:$P33)</f>
        <v>0.8125</v>
      </c>
      <c r="AD33" s="69">
        <f>SUM(V$2:V33)/COUNTA($P$2:$P33)</f>
        <v>0.875</v>
      </c>
      <c r="AE33" s="70">
        <f t="shared" si="16"/>
        <v>0.61979166666666663</v>
      </c>
      <c r="AF33" s="58" t="e">
        <f t="shared" ca="1" si="20"/>
        <v>#N/A</v>
      </c>
      <c r="AG33" s="58" t="e">
        <f t="shared" ca="1" si="20"/>
        <v>#N/A</v>
      </c>
      <c r="AH33" s="58" t="e">
        <f t="shared" ca="1" si="20"/>
        <v>#N/A</v>
      </c>
      <c r="AI33" s="58" t="e">
        <f t="shared" ca="1" si="20"/>
        <v>#N/A</v>
      </c>
      <c r="AJ33" s="58" t="e">
        <f t="shared" ca="1" si="20"/>
        <v>#N/A</v>
      </c>
      <c r="AK33" s="58" t="e">
        <f t="shared" ca="1" si="20"/>
        <v>#N/A</v>
      </c>
      <c r="AL33" s="58" t="e">
        <f t="shared" ca="1" si="20"/>
        <v>#N/A</v>
      </c>
      <c r="AP33" s="66"/>
    </row>
    <row r="34" spans="1:42" ht="16.5" customHeight="1">
      <c r="A34" s="74" t="e">
        <f t="shared" ca="1" si="11"/>
        <v>#N/A</v>
      </c>
      <c r="B34" s="56">
        <f t="shared" si="10"/>
        <v>44078</v>
      </c>
      <c r="C34" s="59">
        <f ca="1">IF($B34&lt;=TODAY(),SUMIF('Stats 2020'!$M$24:$M$1048576,"&lt;="&amp;Graphs!$B34,'Stats 2020'!O$24:O$1048576),NA())</f>
        <v>143.5</v>
      </c>
      <c r="D34" s="59">
        <f t="shared" ca="1" si="12"/>
        <v>171</v>
      </c>
      <c r="E34" s="59">
        <f ca="1">IF($B34&lt;=TODAY(),SUMIF('Stats 2020'!$M$24:$M$1048576,"&lt;="&amp;Graphs!$B34,'Stats 2020'!Q$24:Q$1048576),NA())</f>
        <v>94</v>
      </c>
      <c r="F34" s="59">
        <f t="shared" ca="1" si="13"/>
        <v>171</v>
      </c>
      <c r="G34" s="59">
        <f ca="1">IF($B34&lt;=TODAY(),SUMIF('Stats 2020'!$M$24:$M$1048576,"&lt;="&amp;Graphs!$B34,'Stats 2020'!S$24:S$1048576),NA())</f>
        <v>110.5</v>
      </c>
      <c r="H34" s="59">
        <f ca="1">IF($B34&lt;=TODAY(),SUMIF('Stats 2020'!$M$24:$M$1048576,"&lt;="&amp;Graphs!$B34,'Stats 2020'!T$24:T$1048576),NA())</f>
        <v>85.75</v>
      </c>
      <c r="I34" s="58" t="e">
        <f t="shared" ca="1" si="19"/>
        <v>#N/A</v>
      </c>
      <c r="J34" s="58" t="e">
        <f t="shared" ca="1" si="19"/>
        <v>#N/A</v>
      </c>
      <c r="K34" s="58" t="e">
        <f t="shared" ca="1" si="19"/>
        <v>#N/A</v>
      </c>
      <c r="L34" s="58" t="e">
        <f t="shared" ca="1" si="19"/>
        <v>#N/A</v>
      </c>
      <c r="M34" s="58" t="e">
        <f t="shared" ca="1" si="19"/>
        <v>#N/A</v>
      </c>
      <c r="N34" s="58" t="e">
        <f t="shared" ca="1" si="19"/>
        <v>#N/A</v>
      </c>
      <c r="O34" s="60"/>
      <c r="P34" s="65">
        <f t="shared" si="7"/>
        <v>44078</v>
      </c>
      <c r="Q34" s="66">
        <f>VLOOKUP($B34,'Stats 2020'!$D$25:$J$200,MATCH(Graphs!Q$1,'Stats 2020'!$D$18:$J$18,0),0)</f>
        <v>1</v>
      </c>
      <c r="R34" s="66" t="str">
        <f>VLOOKUP($B34,'Stats 2020'!$D$25:$J$200,MATCH(Graphs!R$1,'Stats 2020'!$D$18:$J$18,0),0)</f>
        <v/>
      </c>
      <c r="S34" s="66">
        <f>VLOOKUP($B34,'Stats 2020'!$D$25:$J$200,MATCH(Graphs!S$1,'Stats 2020'!$D$18:$J$18,0),0)</f>
        <v>1</v>
      </c>
      <c r="T34" s="66">
        <f>VLOOKUP($B34,'Stats 2020'!$D$25:$J$200,MATCH(Graphs!T$1,'Stats 2020'!$D$18:$J$18,0),0)</f>
        <v>1</v>
      </c>
      <c r="U34" s="66">
        <f>VLOOKUP($B34,'Stats 2020'!$D$25:$J$200,MATCH(Graphs!U$1,'Stats 2020'!$D$18:$J$18,0),0)</f>
        <v>1</v>
      </c>
      <c r="V34" s="66">
        <f>VLOOKUP($B34,'Stats 2020'!$D$25:$J$200,MATCH(Graphs!V$1,'Stats 2020'!$D$18:$J$18,0),0)</f>
        <v>1</v>
      </c>
      <c r="W34" s="66"/>
      <c r="X34" s="65">
        <f t="shared" si="8"/>
        <v>44078</v>
      </c>
      <c r="Y34" s="69">
        <f>SUM(Q$2:Q34)/COUNTA($P$2:$P34)</f>
        <v>0.78787878787878785</v>
      </c>
      <c r="Z34" s="69">
        <f>SUM(R$2:R34)/COUNTA($P$2:$P34)</f>
        <v>9.0909090909090912E-2</v>
      </c>
      <c r="AA34" s="69">
        <f>SUM(S$2:S34)/COUNTA($P$2:$P34)</f>
        <v>0.84848484848484851</v>
      </c>
      <c r="AB34" s="69">
        <f>SUM(T$2:T34)/COUNTA($P$2:$P34)</f>
        <v>0.33333333333333331</v>
      </c>
      <c r="AC34" s="69">
        <f>SUM(U$2:U34)/COUNTA($P$2:$P34)</f>
        <v>0.81818181818181823</v>
      </c>
      <c r="AD34" s="69">
        <f>SUM(V$2:V34)/COUNTA($P$2:$P34)</f>
        <v>0.87878787878787878</v>
      </c>
      <c r="AE34" s="70">
        <f t="shared" si="16"/>
        <v>0.6262626262626263</v>
      </c>
      <c r="AF34" s="58" t="e">
        <f t="shared" ca="1" si="20"/>
        <v>#N/A</v>
      </c>
      <c r="AG34" s="58" t="e">
        <f t="shared" ca="1" si="20"/>
        <v>#N/A</v>
      </c>
      <c r="AH34" s="58" t="e">
        <f t="shared" ca="1" si="20"/>
        <v>#N/A</v>
      </c>
      <c r="AI34" s="58" t="e">
        <f t="shared" ca="1" si="20"/>
        <v>#N/A</v>
      </c>
      <c r="AJ34" s="58" t="e">
        <f t="shared" ca="1" si="20"/>
        <v>#N/A</v>
      </c>
      <c r="AK34" s="58" t="e">
        <f t="shared" ca="1" si="20"/>
        <v>#N/A</v>
      </c>
      <c r="AL34" s="58" t="e">
        <f t="shared" ca="1" si="20"/>
        <v>#N/A</v>
      </c>
      <c r="AP34" s="66"/>
    </row>
    <row r="35" spans="1:42" ht="16.5" customHeight="1">
      <c r="A35" s="74" t="e">
        <f t="shared" ca="1" si="11"/>
        <v>#N/A</v>
      </c>
      <c r="B35" s="56">
        <f t="shared" si="10"/>
        <v>44085</v>
      </c>
      <c r="C35" s="59">
        <f ca="1">IF($B35&lt;=TODAY(),SUMIF('Stats 2020'!$M$24:$M$1048576,"&lt;="&amp;Graphs!$B35,'Stats 2020'!O$24:O$1048576),NA())</f>
        <v>143.5</v>
      </c>
      <c r="D35" s="59">
        <f t="shared" ca="1" si="12"/>
        <v>171</v>
      </c>
      <c r="E35" s="59">
        <f ca="1">IF($B35&lt;=TODAY(),SUMIF('Stats 2020'!$M$24:$M$1048576,"&lt;="&amp;Graphs!$B35,'Stats 2020'!Q$24:Q$1048576),NA())</f>
        <v>94</v>
      </c>
      <c r="F35" s="59">
        <f t="shared" ca="1" si="13"/>
        <v>171</v>
      </c>
      <c r="G35" s="59">
        <f ca="1">IF($B35&lt;=TODAY(),SUMIF('Stats 2020'!$M$24:$M$1048576,"&lt;="&amp;Graphs!$B35,'Stats 2020'!S$24:S$1048576),NA())</f>
        <v>110.5</v>
      </c>
      <c r="H35" s="59">
        <f ca="1">IF($B35&lt;=TODAY(),SUMIF('Stats 2020'!$M$24:$M$1048576,"&lt;="&amp;Graphs!$B35,'Stats 2020'!T$24:T$1048576),NA())</f>
        <v>85.75</v>
      </c>
      <c r="I35" s="58" t="e">
        <f t="shared" ca="1" si="19"/>
        <v>#N/A</v>
      </c>
      <c r="J35" s="58" t="e">
        <f t="shared" ca="1" si="19"/>
        <v>#N/A</v>
      </c>
      <c r="K35" s="58" t="e">
        <f t="shared" ca="1" si="19"/>
        <v>#N/A</v>
      </c>
      <c r="L35" s="58" t="e">
        <f t="shared" ca="1" si="19"/>
        <v>#N/A</v>
      </c>
      <c r="M35" s="58" t="e">
        <f t="shared" ca="1" si="19"/>
        <v>#N/A</v>
      </c>
      <c r="N35" s="58" t="e">
        <f t="shared" ca="1" si="19"/>
        <v>#N/A</v>
      </c>
      <c r="O35" s="60"/>
      <c r="P35" s="65">
        <f t="shared" si="7"/>
        <v>44085</v>
      </c>
      <c r="Q35" s="66">
        <f>VLOOKUP($B35,'Stats 2020'!$D$25:$J$200,MATCH(Graphs!Q$1,'Stats 2020'!$D$18:$J$18,0),0)</f>
        <v>1</v>
      </c>
      <c r="R35" s="66" t="str">
        <f>VLOOKUP($B35,'Stats 2020'!$D$25:$J$200,MATCH(Graphs!R$1,'Stats 2020'!$D$18:$J$18,0),0)</f>
        <v/>
      </c>
      <c r="S35" s="66">
        <f>VLOOKUP($B35,'Stats 2020'!$D$25:$J$200,MATCH(Graphs!S$1,'Stats 2020'!$D$18:$J$18,0),0)</f>
        <v>1</v>
      </c>
      <c r="T35" s="66" t="str">
        <f>VLOOKUP($B35,'Stats 2020'!$D$25:$J$200,MATCH(Graphs!T$1,'Stats 2020'!$D$18:$J$18,0),0)</f>
        <v/>
      </c>
      <c r="U35" s="66">
        <f>VLOOKUP($B35,'Stats 2020'!$D$25:$J$200,MATCH(Graphs!U$1,'Stats 2020'!$D$18:$J$18,0),0)</f>
        <v>1</v>
      </c>
      <c r="V35" s="66">
        <f>VLOOKUP($B35,'Stats 2020'!$D$25:$J$200,MATCH(Graphs!V$1,'Stats 2020'!$D$18:$J$18,0),0)</f>
        <v>1</v>
      </c>
      <c r="W35" s="66"/>
      <c r="X35" s="65">
        <f t="shared" si="8"/>
        <v>44085</v>
      </c>
      <c r="Y35" s="69">
        <f>SUM(Q$2:Q35)/COUNTA($P$2:$P35)</f>
        <v>0.79411764705882348</v>
      </c>
      <c r="Z35" s="69">
        <f>SUM(R$2:R35)/COUNTA($P$2:$P35)</f>
        <v>8.8235294117647065E-2</v>
      </c>
      <c r="AA35" s="69">
        <f>SUM(S$2:S35)/COUNTA($P$2:$P35)</f>
        <v>0.8529411764705882</v>
      </c>
      <c r="AB35" s="69">
        <f>SUM(T$2:T35)/COUNTA($P$2:$P35)</f>
        <v>0.3235294117647059</v>
      </c>
      <c r="AC35" s="69">
        <f>SUM(U$2:U35)/COUNTA($P$2:$P35)</f>
        <v>0.82352941176470584</v>
      </c>
      <c r="AD35" s="69">
        <f>SUM(V$2:V35)/COUNTA($P$2:$P35)</f>
        <v>0.88235294117647056</v>
      </c>
      <c r="AE35" s="70">
        <f t="shared" si="16"/>
        <v>0.62745098039215697</v>
      </c>
      <c r="AF35" s="58" t="e">
        <f t="shared" ca="1" si="20"/>
        <v>#N/A</v>
      </c>
      <c r="AG35" s="58" t="e">
        <f t="shared" ca="1" si="20"/>
        <v>#N/A</v>
      </c>
      <c r="AH35" s="58" t="e">
        <f t="shared" ca="1" si="20"/>
        <v>#N/A</v>
      </c>
      <c r="AI35" s="58" t="e">
        <f t="shared" ca="1" si="20"/>
        <v>#N/A</v>
      </c>
      <c r="AJ35" s="58" t="e">
        <f t="shared" ca="1" si="20"/>
        <v>#N/A</v>
      </c>
      <c r="AK35" s="58" t="e">
        <f t="shared" ca="1" si="20"/>
        <v>#N/A</v>
      </c>
      <c r="AL35" s="58" t="e">
        <f t="shared" ca="1" si="20"/>
        <v>#N/A</v>
      </c>
      <c r="AP35" s="66"/>
    </row>
    <row r="36" spans="1:42" ht="16.5" customHeight="1">
      <c r="A36" s="74" t="e">
        <f t="shared" ca="1" si="11"/>
        <v>#N/A</v>
      </c>
      <c r="B36" s="56">
        <f t="shared" si="10"/>
        <v>44092</v>
      </c>
      <c r="C36" s="59">
        <f ca="1">IF($B36&lt;=TODAY(),SUMIF('Stats 2020'!$M$24:$M$1048576,"&lt;="&amp;Graphs!$B36,'Stats 2020'!O$24:O$1048576),NA())</f>
        <v>143.5</v>
      </c>
      <c r="D36" s="59">
        <f t="shared" ca="1" si="12"/>
        <v>171</v>
      </c>
      <c r="E36" s="59">
        <f ca="1">IF($B36&lt;=TODAY(),SUMIF('Stats 2020'!$M$24:$M$1048576,"&lt;="&amp;Graphs!$B36,'Stats 2020'!Q$24:Q$1048576),NA())</f>
        <v>94</v>
      </c>
      <c r="F36" s="59">
        <f t="shared" ca="1" si="13"/>
        <v>171</v>
      </c>
      <c r="G36" s="59">
        <f ca="1">IF($B36&lt;=TODAY(),SUMIF('Stats 2020'!$M$24:$M$1048576,"&lt;="&amp;Graphs!$B36,'Stats 2020'!S$24:S$1048576),NA())</f>
        <v>121.5</v>
      </c>
      <c r="H36" s="59">
        <f ca="1">IF($B36&lt;=TODAY(),SUMIF('Stats 2020'!$M$24:$M$1048576,"&lt;="&amp;Graphs!$B36,'Stats 2020'!T$24:T$1048576),NA())</f>
        <v>85.75</v>
      </c>
      <c r="I36" s="58" t="e">
        <f t="shared" ca="1" si="19"/>
        <v>#N/A</v>
      </c>
      <c r="J36" s="58" t="e">
        <f t="shared" ca="1" si="19"/>
        <v>#N/A</v>
      </c>
      <c r="K36" s="58" t="e">
        <f t="shared" ca="1" si="19"/>
        <v>#N/A</v>
      </c>
      <c r="L36" s="58" t="e">
        <f t="shared" ca="1" si="19"/>
        <v>#N/A</v>
      </c>
      <c r="M36" s="58" t="e">
        <f t="shared" ca="1" si="19"/>
        <v>#N/A</v>
      </c>
      <c r="N36" s="58" t="e">
        <f t="shared" ca="1" si="19"/>
        <v>#N/A</v>
      </c>
      <c r="O36" s="60"/>
      <c r="P36" s="65">
        <f t="shared" si="7"/>
        <v>44092</v>
      </c>
      <c r="Q36" s="66">
        <f>VLOOKUP($B36,'Stats 2020'!$D$25:$J$200,MATCH(Graphs!Q$1,'Stats 2020'!$D$18:$J$18,0),0)</f>
        <v>1</v>
      </c>
      <c r="R36" s="66" t="str">
        <f>VLOOKUP($B36,'Stats 2020'!$D$25:$J$200,MATCH(Graphs!R$1,'Stats 2020'!$D$18:$J$18,0),0)</f>
        <v/>
      </c>
      <c r="S36" s="66">
        <f>VLOOKUP($B36,'Stats 2020'!$D$25:$J$200,MATCH(Graphs!S$1,'Stats 2020'!$D$18:$J$18,0),0)</f>
        <v>1</v>
      </c>
      <c r="T36" s="66">
        <f>VLOOKUP($B36,'Stats 2020'!$D$25:$J$200,MATCH(Graphs!T$1,'Stats 2020'!$D$18:$J$18,0),0)</f>
        <v>1</v>
      </c>
      <c r="U36" s="66">
        <f>VLOOKUP($B36,'Stats 2020'!$D$25:$J$200,MATCH(Graphs!U$1,'Stats 2020'!$D$18:$J$18,0),0)</f>
        <v>0</v>
      </c>
      <c r="V36" s="66">
        <f>VLOOKUP($B36,'Stats 2020'!$D$25:$J$200,MATCH(Graphs!V$1,'Stats 2020'!$D$18:$J$18,0),0)</f>
        <v>1</v>
      </c>
      <c r="W36" s="66"/>
      <c r="X36" s="65">
        <f t="shared" si="8"/>
        <v>44092</v>
      </c>
      <c r="Y36" s="69">
        <f>SUM(Q$2:Q36)/COUNTA($P$2:$P36)</f>
        <v>0.8</v>
      </c>
      <c r="Z36" s="69">
        <f>SUM(R$2:R36)/COUNTA($P$2:$P36)</f>
        <v>8.5714285714285715E-2</v>
      </c>
      <c r="AA36" s="69">
        <f>SUM(S$2:S36)/COUNTA($P$2:$P36)</f>
        <v>0.8571428571428571</v>
      </c>
      <c r="AB36" s="69">
        <f>SUM(T$2:T36)/COUNTA($P$2:$P36)</f>
        <v>0.34285714285714286</v>
      </c>
      <c r="AC36" s="69">
        <f>SUM(U$2:U36)/COUNTA($P$2:$P36)</f>
        <v>0.8</v>
      </c>
      <c r="AD36" s="69">
        <f>SUM(V$2:V36)/COUNTA($P$2:$P36)</f>
        <v>0.88571428571428568</v>
      </c>
      <c r="AE36" s="70">
        <f t="shared" si="16"/>
        <v>0.62857142857142867</v>
      </c>
      <c r="AF36" s="58" t="e">
        <f t="shared" ca="1" si="20"/>
        <v>#N/A</v>
      </c>
      <c r="AG36" s="58" t="e">
        <f t="shared" ca="1" si="20"/>
        <v>#N/A</v>
      </c>
      <c r="AH36" s="58" t="e">
        <f t="shared" ca="1" si="20"/>
        <v>#N/A</v>
      </c>
      <c r="AI36" s="58" t="e">
        <f t="shared" ca="1" si="20"/>
        <v>#N/A</v>
      </c>
      <c r="AJ36" s="58" t="e">
        <f t="shared" ca="1" si="20"/>
        <v>#N/A</v>
      </c>
      <c r="AK36" s="58" t="e">
        <f t="shared" ca="1" si="20"/>
        <v>#N/A</v>
      </c>
      <c r="AL36" s="58" t="e">
        <f t="shared" ca="1" si="20"/>
        <v>#N/A</v>
      </c>
      <c r="AP36" s="66"/>
    </row>
    <row r="37" spans="1:42" ht="16.5" customHeight="1">
      <c r="A37" s="74" t="e">
        <f t="shared" ca="1" si="11"/>
        <v>#N/A</v>
      </c>
      <c r="B37" s="56">
        <f t="shared" si="10"/>
        <v>44099</v>
      </c>
      <c r="C37" s="59">
        <f ca="1">IF($B37&lt;=TODAY(),SUMIF('Stats 2020'!$M$24:$M$1048576,"&lt;="&amp;Graphs!$B37,'Stats 2020'!O$24:O$1048576),NA())</f>
        <v>146.25</v>
      </c>
      <c r="D37" s="59">
        <f t="shared" ca="1" si="12"/>
        <v>173.75</v>
      </c>
      <c r="E37" s="59">
        <f ca="1">IF($B37&lt;=TODAY(),SUMIF('Stats 2020'!$M$24:$M$1048576,"&lt;="&amp;Graphs!$B37,'Stats 2020'!Q$24:Q$1048576),NA())</f>
        <v>94</v>
      </c>
      <c r="F37" s="59">
        <f t="shared" ca="1" si="13"/>
        <v>173.75</v>
      </c>
      <c r="G37" s="59">
        <f ca="1">IF($B37&lt;=TODAY(),SUMIF('Stats 2020'!$M$24:$M$1048576,"&lt;="&amp;Graphs!$B37,'Stats 2020'!S$24:S$1048576),NA())</f>
        <v>121.5</v>
      </c>
      <c r="H37" s="59">
        <f ca="1">IF($B37&lt;=TODAY(),SUMIF('Stats 2020'!$M$24:$M$1048576,"&lt;="&amp;Graphs!$B37,'Stats 2020'!T$24:T$1048576),NA())</f>
        <v>85.75</v>
      </c>
      <c r="I37" s="58" t="e">
        <f t="shared" ca="1" si="19"/>
        <v>#N/A</v>
      </c>
      <c r="J37" s="58" t="e">
        <f t="shared" ca="1" si="19"/>
        <v>#N/A</v>
      </c>
      <c r="K37" s="58" t="e">
        <f t="shared" ca="1" si="19"/>
        <v>#N/A</v>
      </c>
      <c r="L37" s="58" t="e">
        <f t="shared" ca="1" si="19"/>
        <v>#N/A</v>
      </c>
      <c r="M37" s="58" t="e">
        <f t="shared" ca="1" si="19"/>
        <v>#N/A</v>
      </c>
      <c r="N37" s="58" t="e">
        <f t="shared" ca="1" si="19"/>
        <v>#N/A</v>
      </c>
      <c r="O37" s="60"/>
      <c r="P37" s="65">
        <f t="shared" si="7"/>
        <v>44099</v>
      </c>
      <c r="Q37" s="66">
        <f>VLOOKUP($B37,'Stats 2020'!$D$25:$J$200,MATCH(Graphs!Q$1,'Stats 2020'!$D$18:$J$18,0),0)</f>
        <v>1</v>
      </c>
      <c r="R37" s="66" t="str">
        <f>VLOOKUP($B37,'Stats 2020'!$D$25:$J$200,MATCH(Graphs!R$1,'Stats 2020'!$D$18:$J$18,0),0)</f>
        <v/>
      </c>
      <c r="S37" s="66">
        <f>VLOOKUP($B37,'Stats 2020'!$D$25:$J$200,MATCH(Graphs!S$1,'Stats 2020'!$D$18:$J$18,0),0)</f>
        <v>1</v>
      </c>
      <c r="T37" s="66" t="str">
        <f>VLOOKUP($B37,'Stats 2020'!$D$25:$J$200,MATCH(Graphs!T$1,'Stats 2020'!$D$18:$J$18,0),0)</f>
        <v/>
      </c>
      <c r="U37" s="66">
        <f>VLOOKUP($B37,'Stats 2020'!$D$25:$J$200,MATCH(Graphs!U$1,'Stats 2020'!$D$18:$J$18,0),0)</f>
        <v>1</v>
      </c>
      <c r="V37" s="66">
        <f>VLOOKUP($B37,'Stats 2020'!$D$25:$J$200,MATCH(Graphs!V$1,'Stats 2020'!$D$18:$J$18,0),0)</f>
        <v>1</v>
      </c>
      <c r="W37" s="66"/>
      <c r="X37" s="65">
        <f t="shared" si="8"/>
        <v>44099</v>
      </c>
      <c r="Y37" s="69">
        <f>SUM(Q$2:Q36)/COUNTA($P$2:$P36)</f>
        <v>0.8</v>
      </c>
      <c r="Z37" s="69">
        <f>SUM(R$2:R36)/COUNTA($P$2:$P36)</f>
        <v>8.5714285714285715E-2</v>
      </c>
      <c r="AA37" s="69">
        <f>SUM(S$2:S36)/COUNTA($P$2:$P36)</f>
        <v>0.8571428571428571</v>
      </c>
      <c r="AB37" s="69">
        <f>SUM(T$2:T36)/COUNTA($P$2:$P36)</f>
        <v>0.34285714285714286</v>
      </c>
      <c r="AC37" s="69">
        <f>SUM(U$2:U36)/COUNTA($P$2:$P36)</f>
        <v>0.8</v>
      </c>
      <c r="AD37" s="69">
        <f>SUM(V$2:V36)/COUNTA($P$2:$P36)</f>
        <v>0.88571428571428568</v>
      </c>
      <c r="AE37" s="70">
        <f t="shared" si="16"/>
        <v>0.62857142857142867</v>
      </c>
      <c r="AF37" s="58" t="e">
        <f t="shared" ca="1" si="20"/>
        <v>#N/A</v>
      </c>
      <c r="AG37" s="58" t="e">
        <f t="shared" ca="1" si="20"/>
        <v>#N/A</v>
      </c>
      <c r="AH37" s="58" t="e">
        <f t="shared" ca="1" si="20"/>
        <v>#N/A</v>
      </c>
      <c r="AI37" s="58" t="e">
        <f t="shared" ca="1" si="20"/>
        <v>#N/A</v>
      </c>
      <c r="AJ37" s="58" t="e">
        <f t="shared" ca="1" si="20"/>
        <v>#N/A</v>
      </c>
      <c r="AK37" s="58" t="e">
        <f t="shared" ca="1" si="20"/>
        <v>#N/A</v>
      </c>
      <c r="AL37" s="58" t="e">
        <f t="shared" ca="1" si="20"/>
        <v>#N/A</v>
      </c>
      <c r="AP37" s="66"/>
    </row>
    <row r="38" spans="1:42" ht="16.5" customHeight="1">
      <c r="A38" s="74" t="e">
        <f t="shared" ca="1" si="11"/>
        <v>#N/A</v>
      </c>
      <c r="B38" s="56">
        <f t="shared" si="10"/>
        <v>44106</v>
      </c>
      <c r="C38" s="59">
        <f ca="1">IF($B38&lt;=TODAY(),SUMIF('Stats 2020'!$M$24:$M$1048576,"&lt;="&amp;Graphs!$B38,'Stats 2020'!O$24:O$1048576),NA())</f>
        <v>146.25</v>
      </c>
      <c r="D38" s="59">
        <f t="shared" ca="1" si="12"/>
        <v>173.75</v>
      </c>
      <c r="E38" s="59">
        <f ca="1">IF($B38&lt;=TODAY(),SUMIF('Stats 2020'!$M$24:$M$1048576,"&lt;="&amp;Graphs!$B38,'Stats 2020'!Q$24:Q$1048576),NA())</f>
        <v>94</v>
      </c>
      <c r="F38" s="59">
        <f t="shared" ca="1" si="13"/>
        <v>173.75</v>
      </c>
      <c r="G38" s="59">
        <f ca="1">IF($B38&lt;=TODAY(),SUMIF('Stats 2020'!$M$24:$M$1048576,"&lt;="&amp;Graphs!$B38,'Stats 2020'!S$24:S$1048576),NA())</f>
        <v>121.5</v>
      </c>
      <c r="H38" s="59">
        <f ca="1">IF($B38&lt;=TODAY(),SUMIF('Stats 2020'!$M$24:$M$1048576,"&lt;="&amp;Graphs!$B38,'Stats 2020'!T$24:T$1048576),NA())</f>
        <v>85.75</v>
      </c>
      <c r="I38" s="58" t="e">
        <f t="shared" ca="1" si="19"/>
        <v>#N/A</v>
      </c>
      <c r="J38" s="58" t="e">
        <f t="shared" ca="1" si="19"/>
        <v>#N/A</v>
      </c>
      <c r="K38" s="58" t="e">
        <f t="shared" ca="1" si="19"/>
        <v>#N/A</v>
      </c>
      <c r="L38" s="58" t="e">
        <f t="shared" ca="1" si="19"/>
        <v>#N/A</v>
      </c>
      <c r="M38" s="58" t="e">
        <f t="shared" ca="1" si="19"/>
        <v>#N/A</v>
      </c>
      <c r="N38" s="58" t="e">
        <f t="shared" ca="1" si="19"/>
        <v>#N/A</v>
      </c>
      <c r="O38" s="60"/>
      <c r="P38" s="65">
        <f t="shared" si="7"/>
        <v>44106</v>
      </c>
      <c r="Q38" s="66">
        <f>VLOOKUP($B38,'Stats 2020'!$D$25:$J$200,MATCH(Graphs!Q$1,'Stats 2020'!$D$18:$J$18,0),0)</f>
        <v>1</v>
      </c>
      <c r="R38" s="66" t="str">
        <f>VLOOKUP($B38,'Stats 2020'!$D$25:$J$200,MATCH(Graphs!R$1,'Stats 2020'!$D$18:$J$18,0),0)</f>
        <v/>
      </c>
      <c r="S38" s="66">
        <f>VLOOKUP($B38,'Stats 2020'!$D$25:$J$200,MATCH(Graphs!S$1,'Stats 2020'!$D$18:$J$18,0),0)</f>
        <v>1</v>
      </c>
      <c r="T38" s="66" t="str">
        <f>VLOOKUP($B38,'Stats 2020'!$D$25:$J$200,MATCH(Graphs!T$1,'Stats 2020'!$D$18:$J$18,0),0)</f>
        <v/>
      </c>
      <c r="U38" s="66">
        <f>VLOOKUP($B38,'Stats 2020'!$D$25:$J$200,MATCH(Graphs!U$1,'Stats 2020'!$D$18:$J$18,0),0)</f>
        <v>1</v>
      </c>
      <c r="V38" s="66">
        <f>VLOOKUP($B38,'Stats 2020'!$D$25:$J$200,MATCH(Graphs!V$1,'Stats 2020'!$D$18:$J$18,0),0)</f>
        <v>1</v>
      </c>
      <c r="W38" s="66"/>
      <c r="X38" s="65">
        <f t="shared" si="8"/>
        <v>44106</v>
      </c>
      <c r="Y38" s="69">
        <f>SUM(Q$2:Q38)/COUNTA($P$2:$P38)</f>
        <v>0.81081081081081086</v>
      </c>
      <c r="Z38" s="69">
        <f>SUM(R$2:R38)/COUNTA($P$2:$P38)</f>
        <v>8.1081081081081086E-2</v>
      </c>
      <c r="AA38" s="69">
        <f>SUM(S$2:S38)/COUNTA($P$2:$P38)</f>
        <v>0.86486486486486491</v>
      </c>
      <c r="AB38" s="69">
        <f>SUM(T$2:T38)/COUNTA($P$2:$P38)</f>
        <v>0.32432432432432434</v>
      </c>
      <c r="AC38" s="69">
        <f>SUM(U$2:U38)/COUNTA($P$2:$P38)</f>
        <v>0.81081081081081086</v>
      </c>
      <c r="AD38" s="69">
        <f>SUM(V$2:V38)/COUNTA($P$2:$P38)</f>
        <v>0.89189189189189189</v>
      </c>
      <c r="AE38" s="70">
        <f t="shared" si="16"/>
        <v>0.63063063063063074</v>
      </c>
      <c r="AF38" s="58" t="e">
        <f t="shared" ca="1" si="20"/>
        <v>#N/A</v>
      </c>
      <c r="AG38" s="58" t="e">
        <f t="shared" ca="1" si="20"/>
        <v>#N/A</v>
      </c>
      <c r="AH38" s="58" t="e">
        <f t="shared" ca="1" si="20"/>
        <v>#N/A</v>
      </c>
      <c r="AI38" s="58" t="e">
        <f t="shared" ca="1" si="20"/>
        <v>#N/A</v>
      </c>
      <c r="AJ38" s="58" t="e">
        <f t="shared" ca="1" si="20"/>
        <v>#N/A</v>
      </c>
      <c r="AK38" s="58" t="e">
        <f t="shared" ca="1" si="20"/>
        <v>#N/A</v>
      </c>
      <c r="AL38" s="58" t="e">
        <f t="shared" ca="1" si="20"/>
        <v>#N/A</v>
      </c>
      <c r="AP38" s="66"/>
    </row>
    <row r="39" spans="1:42" ht="16.5" customHeight="1">
      <c r="A39" s="74" t="e">
        <f t="shared" ca="1" si="11"/>
        <v>#N/A</v>
      </c>
      <c r="B39" s="56">
        <f t="shared" si="10"/>
        <v>44113</v>
      </c>
      <c r="C39" s="59">
        <f ca="1">IF($B39&lt;=TODAY(),SUMIF('Stats 2020'!$M$24:$M$1048576,"&lt;="&amp;Graphs!$B39,'Stats 2020'!O$24:O$1048576),NA())</f>
        <v>149</v>
      </c>
      <c r="D39" s="59">
        <f t="shared" ca="1" si="12"/>
        <v>176.5</v>
      </c>
      <c r="E39" s="59">
        <f ca="1">IF($B39&lt;=TODAY(),SUMIF('Stats 2020'!$M$24:$M$1048576,"&lt;="&amp;Graphs!$B39,'Stats 2020'!Q$24:Q$1048576),NA())</f>
        <v>105</v>
      </c>
      <c r="F39" s="59">
        <f t="shared" ca="1" si="13"/>
        <v>176.5</v>
      </c>
      <c r="G39" s="59">
        <f ca="1">IF($B39&lt;=TODAY(),SUMIF('Stats 2020'!$M$24:$M$1048576,"&lt;="&amp;Graphs!$B39,'Stats 2020'!S$24:S$1048576),NA())</f>
        <v>121.5</v>
      </c>
      <c r="H39" s="59">
        <f ca="1">IF($B39&lt;=TODAY(),SUMIF('Stats 2020'!$M$24:$M$1048576,"&lt;="&amp;Graphs!$B39,'Stats 2020'!T$24:T$1048576),NA())</f>
        <v>85.75</v>
      </c>
      <c r="I39" s="58" t="e">
        <f t="shared" ca="1" si="19"/>
        <v>#N/A</v>
      </c>
      <c r="J39" s="58" t="e">
        <f t="shared" ca="1" si="19"/>
        <v>#N/A</v>
      </c>
      <c r="K39" s="58" t="e">
        <f t="shared" ca="1" si="19"/>
        <v>#N/A</v>
      </c>
      <c r="L39" s="58" t="e">
        <f t="shared" ca="1" si="19"/>
        <v>#N/A</v>
      </c>
      <c r="M39" s="58" t="e">
        <f t="shared" ca="1" si="19"/>
        <v>#N/A</v>
      </c>
      <c r="N39" s="58" t="e">
        <f t="shared" ca="1" si="19"/>
        <v>#N/A</v>
      </c>
      <c r="O39" s="60"/>
      <c r="P39" s="65">
        <f t="shared" si="7"/>
        <v>44113</v>
      </c>
      <c r="Q39" s="66">
        <f>VLOOKUP($B39,'Stats 2020'!$D$25:$J$200,MATCH(Graphs!Q$1,'Stats 2020'!$D$18:$J$18,0),0)</f>
        <v>1</v>
      </c>
      <c r="R39" s="66" t="str">
        <f>VLOOKUP($B39,'Stats 2020'!$D$25:$J$200,MATCH(Graphs!R$1,'Stats 2020'!$D$18:$J$18,0),0)</f>
        <v/>
      </c>
      <c r="S39" s="66">
        <f>VLOOKUP($B39,'Stats 2020'!$D$25:$J$200,MATCH(Graphs!S$1,'Stats 2020'!$D$18:$J$18,0),0)</f>
        <v>0</v>
      </c>
      <c r="T39" s="66" t="str">
        <f>VLOOKUP($B39,'Stats 2020'!$D$25:$J$200,MATCH(Graphs!T$1,'Stats 2020'!$D$18:$J$18,0),0)</f>
        <v/>
      </c>
      <c r="U39" s="66">
        <f>VLOOKUP($B39,'Stats 2020'!$D$25:$J$200,MATCH(Graphs!U$1,'Stats 2020'!$D$18:$J$18,0),0)</f>
        <v>1</v>
      </c>
      <c r="V39" s="66">
        <f>VLOOKUP($B39,'Stats 2020'!$D$25:$J$200,MATCH(Graphs!V$1,'Stats 2020'!$D$18:$J$18,0),0)</f>
        <v>1</v>
      </c>
      <c r="W39" s="66"/>
      <c r="X39" s="65">
        <f t="shared" si="8"/>
        <v>44113</v>
      </c>
      <c r="Y39" s="69">
        <f>SUM(Q$2:Q39)/COUNTA($P$2:$P39)</f>
        <v>0.81578947368421051</v>
      </c>
      <c r="Z39" s="69">
        <f>SUM(R$2:R39)/COUNTA($P$2:$P39)</f>
        <v>7.8947368421052627E-2</v>
      </c>
      <c r="AA39" s="69">
        <f>SUM(S$2:S39)/COUNTA($P$2:$P39)</f>
        <v>0.84210526315789469</v>
      </c>
      <c r="AB39" s="69">
        <f>SUM(T$2:T39)/COUNTA($P$2:$P39)</f>
        <v>0.31578947368421051</v>
      </c>
      <c r="AC39" s="69">
        <f>SUM(U$2:U39)/COUNTA($P$2:$P39)</f>
        <v>0.81578947368421051</v>
      </c>
      <c r="AD39" s="69">
        <f>SUM(V$2:V39)/COUNTA($P$2:$P39)</f>
        <v>0.89473684210526316</v>
      </c>
      <c r="AE39" s="70">
        <f t="shared" si="16"/>
        <v>0.62719298245614041</v>
      </c>
      <c r="AF39" s="58" t="e">
        <f t="shared" ca="1" si="20"/>
        <v>#N/A</v>
      </c>
      <c r="AG39" s="58" t="e">
        <f t="shared" ca="1" si="20"/>
        <v>#N/A</v>
      </c>
      <c r="AH39" s="58" t="e">
        <f t="shared" ca="1" si="20"/>
        <v>#N/A</v>
      </c>
      <c r="AI39" s="58" t="e">
        <f t="shared" ca="1" si="20"/>
        <v>#N/A</v>
      </c>
      <c r="AJ39" s="58" t="e">
        <f t="shared" ca="1" si="20"/>
        <v>#N/A</v>
      </c>
      <c r="AK39" s="58" t="e">
        <f t="shared" ca="1" si="20"/>
        <v>#N/A</v>
      </c>
      <c r="AL39" s="58" t="e">
        <f t="shared" ca="1" si="20"/>
        <v>#N/A</v>
      </c>
      <c r="AP39" s="66"/>
    </row>
    <row r="40" spans="1:42" ht="16.5" customHeight="1">
      <c r="A40" s="74" t="e">
        <f t="shared" ca="1" si="11"/>
        <v>#N/A</v>
      </c>
      <c r="B40" s="56">
        <f t="shared" si="10"/>
        <v>44120</v>
      </c>
      <c r="C40" s="59">
        <f ca="1">IF($B40&lt;=TODAY(),SUMIF('Stats 2020'!$M$24:$M$1048576,"&lt;="&amp;Graphs!$B40,'Stats 2020'!O$24:O$1048576),NA())</f>
        <v>149</v>
      </c>
      <c r="D40" s="59">
        <f t="shared" ca="1" si="12"/>
        <v>176.5</v>
      </c>
      <c r="E40" s="59">
        <f ca="1">IF($B40&lt;=TODAY(),SUMIF('Stats 2020'!$M$24:$M$1048576,"&lt;="&amp;Graphs!$B40,'Stats 2020'!Q$24:Q$1048576),NA())</f>
        <v>105</v>
      </c>
      <c r="F40" s="59">
        <f t="shared" ca="1" si="13"/>
        <v>176.5</v>
      </c>
      <c r="G40" s="59">
        <f ca="1">IF($B40&lt;=TODAY(),SUMIF('Stats 2020'!$M$24:$M$1048576,"&lt;="&amp;Graphs!$B40,'Stats 2020'!S$24:S$1048576),NA())</f>
        <v>121.5</v>
      </c>
      <c r="H40" s="59">
        <f ca="1">IF($B40&lt;=TODAY(),SUMIF('Stats 2020'!$M$24:$M$1048576,"&lt;="&amp;Graphs!$B40,'Stats 2020'!T$24:T$1048576),NA())</f>
        <v>85.75</v>
      </c>
      <c r="I40" s="58" t="e">
        <f t="shared" ca="1" si="19"/>
        <v>#N/A</v>
      </c>
      <c r="J40" s="58" t="e">
        <f t="shared" ca="1" si="19"/>
        <v>#N/A</v>
      </c>
      <c r="K40" s="58" t="e">
        <f t="shared" ca="1" si="19"/>
        <v>#N/A</v>
      </c>
      <c r="L40" s="58" t="e">
        <f t="shared" ca="1" si="19"/>
        <v>#N/A</v>
      </c>
      <c r="M40" s="58" t="e">
        <f t="shared" ca="1" si="19"/>
        <v>#N/A</v>
      </c>
      <c r="N40" s="58" t="e">
        <f t="shared" ca="1" si="19"/>
        <v>#N/A</v>
      </c>
      <c r="O40" s="60"/>
      <c r="P40" s="65">
        <f t="shared" si="7"/>
        <v>44120</v>
      </c>
      <c r="Q40" s="66">
        <f>VLOOKUP($B40,'Stats 2020'!$D$25:$J$200,MATCH(Graphs!Q$1,'Stats 2020'!$D$18:$J$18,0),0)</f>
        <v>1</v>
      </c>
      <c r="R40" s="66" t="str">
        <f>VLOOKUP($B40,'Stats 2020'!$D$25:$J$200,MATCH(Graphs!R$1,'Stats 2020'!$D$18:$J$18,0),0)</f>
        <v/>
      </c>
      <c r="S40" s="66">
        <f>VLOOKUP($B40,'Stats 2020'!$D$25:$J$200,MATCH(Graphs!S$1,'Stats 2020'!$D$18:$J$18,0),0)</f>
        <v>1</v>
      </c>
      <c r="T40" s="66" t="str">
        <f>VLOOKUP($B40,'Stats 2020'!$D$25:$J$200,MATCH(Graphs!T$1,'Stats 2020'!$D$18:$J$18,0),0)</f>
        <v/>
      </c>
      <c r="U40" s="66">
        <f>VLOOKUP($B40,'Stats 2020'!$D$25:$J$200,MATCH(Graphs!U$1,'Stats 2020'!$D$18:$J$18,0),0)</f>
        <v>1</v>
      </c>
      <c r="V40" s="66">
        <f>VLOOKUP($B40,'Stats 2020'!$D$25:$J$200,MATCH(Graphs!V$1,'Stats 2020'!$D$18:$J$18,0),0)</f>
        <v>1</v>
      </c>
      <c r="W40" s="66"/>
      <c r="X40" s="65">
        <f t="shared" si="8"/>
        <v>44120</v>
      </c>
      <c r="Y40" s="69">
        <f>SUM(Q$2:Q40)/COUNTA($P$2:$P40)</f>
        <v>0.82051282051282048</v>
      </c>
      <c r="Z40" s="69">
        <f>SUM(R$2:R40)/COUNTA($P$2:$P40)</f>
        <v>7.6923076923076927E-2</v>
      </c>
      <c r="AA40" s="69">
        <f>SUM(S$2:S40)/COUNTA($P$2:$P40)</f>
        <v>0.84615384615384615</v>
      </c>
      <c r="AB40" s="69">
        <f>SUM(T$2:T40)/COUNTA($P$2:$P40)</f>
        <v>0.30769230769230771</v>
      </c>
      <c r="AC40" s="69">
        <f>SUM(U$2:U40)/COUNTA($P$2:$P40)</f>
        <v>0.82051282051282048</v>
      </c>
      <c r="AD40" s="69">
        <f>SUM(V$2:V40)/COUNTA($P$2:$P40)</f>
        <v>0.89743589743589747</v>
      </c>
      <c r="AE40" s="70">
        <f t="shared" si="16"/>
        <v>0.62820512820512808</v>
      </c>
      <c r="AF40" s="58" t="e">
        <f t="shared" ca="1" si="20"/>
        <v>#N/A</v>
      </c>
      <c r="AG40" s="58" t="e">
        <f t="shared" ca="1" si="20"/>
        <v>#N/A</v>
      </c>
      <c r="AH40" s="58" t="e">
        <f t="shared" ca="1" si="20"/>
        <v>#N/A</v>
      </c>
      <c r="AI40" s="58" t="e">
        <f t="shared" ca="1" si="20"/>
        <v>#N/A</v>
      </c>
      <c r="AJ40" s="58" t="e">
        <f t="shared" ca="1" si="20"/>
        <v>#N/A</v>
      </c>
      <c r="AK40" s="58" t="e">
        <f t="shared" ca="1" si="20"/>
        <v>#N/A</v>
      </c>
      <c r="AL40" s="58" t="e">
        <f t="shared" ca="1" si="20"/>
        <v>#N/A</v>
      </c>
      <c r="AP40" s="66"/>
    </row>
    <row r="41" spans="1:42" ht="16.5" customHeight="1">
      <c r="A41" s="74" t="e">
        <f t="shared" ca="1" si="11"/>
        <v>#N/A</v>
      </c>
      <c r="B41" s="56">
        <f t="shared" si="10"/>
        <v>44127</v>
      </c>
      <c r="C41" s="59">
        <f ca="1">IF($B41&lt;=TODAY(),SUMIF('Stats 2020'!$M$24:$M$1048576,"&lt;="&amp;Graphs!$B41,'Stats 2020'!O$24:O$1048576),NA())</f>
        <v>154.5</v>
      </c>
      <c r="D41" s="59">
        <f t="shared" ca="1" si="12"/>
        <v>182</v>
      </c>
      <c r="E41" s="59">
        <f ca="1">IF($B41&lt;=TODAY(),SUMIF('Stats 2020'!$M$24:$M$1048576,"&lt;="&amp;Graphs!$B41,'Stats 2020'!Q$24:Q$1048576),NA())</f>
        <v>116</v>
      </c>
      <c r="F41" s="59">
        <f t="shared" ca="1" si="13"/>
        <v>182</v>
      </c>
      <c r="G41" s="59">
        <f ca="1">IF($B41&lt;=TODAY(),SUMIF('Stats 2020'!$M$24:$M$1048576,"&lt;="&amp;Graphs!$B41,'Stats 2020'!S$24:S$1048576),NA())</f>
        <v>132.5</v>
      </c>
      <c r="H41" s="59">
        <f ca="1">IF($B41&lt;=TODAY(),SUMIF('Stats 2020'!$M$24:$M$1048576,"&lt;="&amp;Graphs!$B41,'Stats 2020'!T$24:T$1048576),NA())</f>
        <v>85.75</v>
      </c>
      <c r="I41" s="58" t="e">
        <f t="shared" ca="1" si="19"/>
        <v>#N/A</v>
      </c>
      <c r="J41" s="58" t="e">
        <f t="shared" ca="1" si="19"/>
        <v>#N/A</v>
      </c>
      <c r="K41" s="58" t="e">
        <f t="shared" ca="1" si="19"/>
        <v>#N/A</v>
      </c>
      <c r="L41" s="58" t="e">
        <f t="shared" ca="1" si="19"/>
        <v>#N/A</v>
      </c>
      <c r="M41" s="58" t="e">
        <f t="shared" ca="1" si="19"/>
        <v>#N/A</v>
      </c>
      <c r="N41" s="58" t="e">
        <f t="shared" ca="1" si="19"/>
        <v>#N/A</v>
      </c>
      <c r="O41" s="60"/>
      <c r="P41" s="65">
        <f t="shared" si="7"/>
        <v>44127</v>
      </c>
      <c r="Q41" s="66">
        <f>VLOOKUP($B41,'Stats 2020'!$D$25:$J$200,MATCH(Graphs!Q$1,'Stats 2020'!$D$18:$J$18,0),0)</f>
        <v>1</v>
      </c>
      <c r="R41" s="66">
        <f>VLOOKUP($B41,'Stats 2020'!$D$25:$J$200,MATCH(Graphs!R$1,'Stats 2020'!$D$18:$J$18,0),0)</f>
        <v>1</v>
      </c>
      <c r="S41" s="66">
        <f>VLOOKUP($B41,'Stats 2020'!$D$25:$J$200,MATCH(Graphs!S$1,'Stats 2020'!$D$18:$J$18,0),0)</f>
        <v>0</v>
      </c>
      <c r="T41" s="66" t="str">
        <f>VLOOKUP($B41,'Stats 2020'!$D$25:$J$200,MATCH(Graphs!T$1,'Stats 2020'!$D$18:$J$18,0),0)</f>
        <v/>
      </c>
      <c r="U41" s="66">
        <f>VLOOKUP($B41,'Stats 2020'!$D$25:$J$200,MATCH(Graphs!U$1,'Stats 2020'!$D$18:$J$18,0),0)</f>
        <v>0</v>
      </c>
      <c r="V41" s="66">
        <f>VLOOKUP($B41,'Stats 2020'!$D$25:$J$200,MATCH(Graphs!V$1,'Stats 2020'!$D$18:$J$18,0),0)</f>
        <v>1</v>
      </c>
      <c r="W41" s="66"/>
      <c r="X41" s="65">
        <f t="shared" si="8"/>
        <v>44127</v>
      </c>
      <c r="Y41" s="69">
        <f>SUM(Q$2:Q41)/COUNTA($P$2:$P41)</f>
        <v>0.82499999999999996</v>
      </c>
      <c r="Z41" s="69">
        <f>SUM(R$2:R41)/COUNTA($P$2:$P41)</f>
        <v>0.1</v>
      </c>
      <c r="AA41" s="69">
        <f>SUM(S$2:S41)/COUNTA($P$2:$P41)</f>
        <v>0.82499999999999996</v>
      </c>
      <c r="AB41" s="69">
        <f>SUM(T$2:T41)/COUNTA($P$2:$P41)</f>
        <v>0.3</v>
      </c>
      <c r="AC41" s="69">
        <f>SUM(U$2:U41)/COUNTA($P$2:$P41)</f>
        <v>0.8</v>
      </c>
      <c r="AD41" s="69">
        <f>SUM(V$2:V41)/COUNTA($P$2:$P41)</f>
        <v>0.9</v>
      </c>
      <c r="AE41" s="70">
        <f t="shared" si="16"/>
        <v>0.62499999999999989</v>
      </c>
      <c r="AF41" s="58" t="e">
        <f t="shared" ca="1" si="20"/>
        <v>#N/A</v>
      </c>
      <c r="AG41" s="58" t="e">
        <f t="shared" ca="1" si="20"/>
        <v>#N/A</v>
      </c>
      <c r="AH41" s="58" t="e">
        <f t="shared" ca="1" si="20"/>
        <v>#N/A</v>
      </c>
      <c r="AI41" s="58" t="e">
        <f t="shared" ca="1" si="20"/>
        <v>#N/A</v>
      </c>
      <c r="AJ41" s="58" t="e">
        <f t="shared" ca="1" si="20"/>
        <v>#N/A</v>
      </c>
      <c r="AK41" s="58" t="e">
        <f t="shared" ca="1" si="20"/>
        <v>#N/A</v>
      </c>
      <c r="AL41" s="58" t="e">
        <f t="shared" ca="1" si="20"/>
        <v>#N/A</v>
      </c>
      <c r="AP41" s="66"/>
    </row>
    <row r="42" spans="1:42" ht="16.5" customHeight="1">
      <c r="A42" s="74" t="e">
        <f t="shared" ca="1" si="11"/>
        <v>#N/A</v>
      </c>
      <c r="B42" s="56">
        <f t="shared" si="10"/>
        <v>44134</v>
      </c>
      <c r="C42" s="59">
        <f ca="1">IF($B42&lt;=TODAY(),SUMIF('Stats 2020'!$M$24:$M$1048576,"&lt;="&amp;Graphs!$B42,'Stats 2020'!O$24:O$1048576),NA())</f>
        <v>154.5</v>
      </c>
      <c r="D42" s="59">
        <f t="shared" ca="1" si="12"/>
        <v>182</v>
      </c>
      <c r="E42" s="59">
        <f ca="1">IF($B42&lt;=TODAY(),SUMIF('Stats 2020'!$M$24:$M$1048576,"&lt;="&amp;Graphs!$B42,'Stats 2020'!Q$24:Q$1048576),NA())</f>
        <v>116</v>
      </c>
      <c r="F42" s="59">
        <f t="shared" ca="1" si="13"/>
        <v>182</v>
      </c>
      <c r="G42" s="59">
        <f ca="1">IF($B42&lt;=TODAY(),SUMIF('Stats 2020'!$M$24:$M$1048576,"&lt;="&amp;Graphs!$B42,'Stats 2020'!S$24:S$1048576),NA())</f>
        <v>132.5</v>
      </c>
      <c r="H42" s="59">
        <f ca="1">IF($B42&lt;=TODAY(),SUMIF('Stats 2020'!$M$24:$M$1048576,"&lt;="&amp;Graphs!$B42,'Stats 2020'!T$24:T$1048576),NA())</f>
        <v>85.75</v>
      </c>
      <c r="I42" s="58" t="e">
        <f t="shared" ref="I42:N51" ca="1" si="21">VLOOKUP($A42,$B$1:$H$59,MATCH(I$1,$B$1:$H$1,0),0)</f>
        <v>#N/A</v>
      </c>
      <c r="J42" s="58" t="e">
        <f t="shared" ca="1" si="21"/>
        <v>#N/A</v>
      </c>
      <c r="K42" s="58" t="e">
        <f t="shared" ca="1" si="21"/>
        <v>#N/A</v>
      </c>
      <c r="L42" s="58" t="e">
        <f t="shared" ca="1" si="21"/>
        <v>#N/A</v>
      </c>
      <c r="M42" s="58" t="e">
        <f t="shared" ca="1" si="21"/>
        <v>#N/A</v>
      </c>
      <c r="N42" s="58" t="e">
        <f t="shared" ca="1" si="21"/>
        <v>#N/A</v>
      </c>
      <c r="O42" s="60"/>
      <c r="P42" s="65">
        <f t="shared" si="7"/>
        <v>44134</v>
      </c>
      <c r="Q42" s="66">
        <f>VLOOKUP($B42,'Stats 2020'!$D$25:$J$200,MATCH(Graphs!Q$1,'Stats 2020'!$D$18:$J$18,0),0)</f>
        <v>1</v>
      </c>
      <c r="R42" s="66">
        <f>VLOOKUP($B42,'Stats 2020'!$D$25:$J$200,MATCH(Graphs!R$1,'Stats 2020'!$D$18:$J$18,0),0)</f>
        <v>1</v>
      </c>
      <c r="S42" s="66">
        <f>VLOOKUP($B42,'Stats 2020'!$D$25:$J$200,MATCH(Graphs!S$1,'Stats 2020'!$D$18:$J$18,0),0)</f>
        <v>1</v>
      </c>
      <c r="T42" s="66">
        <f>VLOOKUP($B42,'Stats 2020'!$D$25:$J$200,MATCH(Graphs!T$1,'Stats 2020'!$D$18:$J$18,0),0)</f>
        <v>1</v>
      </c>
      <c r="U42" s="66">
        <f>VLOOKUP($B42,'Stats 2020'!$D$25:$J$200,MATCH(Graphs!U$1,'Stats 2020'!$D$18:$J$18,0),0)</f>
        <v>1</v>
      </c>
      <c r="V42" s="66">
        <f>VLOOKUP($B42,'Stats 2020'!$D$25:$J$200,MATCH(Graphs!V$1,'Stats 2020'!$D$18:$J$18,0),0)</f>
        <v>1</v>
      </c>
      <c r="W42" s="66"/>
      <c r="X42" s="65">
        <f t="shared" si="8"/>
        <v>44134</v>
      </c>
      <c r="Y42" s="69">
        <f>SUM(Q$2:Q42)/COUNTA($P$2:$P42)</f>
        <v>0.82926829268292679</v>
      </c>
      <c r="Z42" s="69">
        <f>SUM(R$2:R42)/COUNTA($P$2:$P42)</f>
        <v>0.12195121951219512</v>
      </c>
      <c r="AA42" s="69">
        <f>SUM(S$2:S42)/COUNTA($P$2:$P42)</f>
        <v>0.82926829268292679</v>
      </c>
      <c r="AB42" s="69">
        <f>SUM(T$2:T42)/COUNTA($P$2:$P42)</f>
        <v>0.31707317073170732</v>
      </c>
      <c r="AC42" s="69">
        <f>SUM(U$2:U42)/COUNTA($P$2:$P42)</f>
        <v>0.80487804878048785</v>
      </c>
      <c r="AD42" s="69">
        <f>SUM(V$2:V42)/COUNTA($P$2:$P42)</f>
        <v>0.90243902439024393</v>
      </c>
      <c r="AE42" s="70">
        <f t="shared" si="16"/>
        <v>0.63414634146341464</v>
      </c>
      <c r="AF42" s="58" t="e">
        <f t="shared" ref="AF42:AL51" ca="1" si="22">VLOOKUP($A42,$X$1:$AE$59,MATCH(AF$1,$X$1:$AE$1,0),0)</f>
        <v>#N/A</v>
      </c>
      <c r="AG42" s="58" t="e">
        <f t="shared" ca="1" si="22"/>
        <v>#N/A</v>
      </c>
      <c r="AH42" s="58" t="e">
        <f t="shared" ca="1" si="22"/>
        <v>#N/A</v>
      </c>
      <c r="AI42" s="58" t="e">
        <f t="shared" ca="1" si="22"/>
        <v>#N/A</v>
      </c>
      <c r="AJ42" s="58" t="e">
        <f t="shared" ca="1" si="22"/>
        <v>#N/A</v>
      </c>
      <c r="AK42" s="58" t="e">
        <f t="shared" ca="1" si="22"/>
        <v>#N/A</v>
      </c>
      <c r="AL42" s="58" t="e">
        <f t="shared" ca="1" si="22"/>
        <v>#N/A</v>
      </c>
      <c r="AP42" s="66"/>
    </row>
    <row r="43" spans="1:42" ht="16.5" customHeight="1">
      <c r="A43" s="74" t="e">
        <f t="shared" ca="1" si="11"/>
        <v>#N/A</v>
      </c>
      <c r="B43" s="56">
        <f t="shared" si="10"/>
        <v>44141</v>
      </c>
      <c r="C43" s="59">
        <f ca="1">IF($B43&lt;=TODAY(),SUMIF('Stats 2020'!$M$24:$M$1048576,"&lt;="&amp;Graphs!$B43,'Stats 2020'!O$24:O$1048576),NA())</f>
        <v>154.5</v>
      </c>
      <c r="D43" s="59">
        <f t="shared" ca="1" si="12"/>
        <v>182</v>
      </c>
      <c r="E43" s="59">
        <f ca="1">IF($B43&lt;=TODAY(),SUMIF('Stats 2020'!$M$24:$M$1048576,"&lt;="&amp;Graphs!$B43,'Stats 2020'!Q$24:Q$1048576),NA())</f>
        <v>127</v>
      </c>
      <c r="F43" s="59">
        <f t="shared" ca="1" si="13"/>
        <v>182</v>
      </c>
      <c r="G43" s="59">
        <f ca="1">IF($B43&lt;=TODAY(),SUMIF('Stats 2020'!$M$24:$M$1048576,"&lt;="&amp;Graphs!$B43,'Stats 2020'!S$24:S$1048576),NA())</f>
        <v>132.5</v>
      </c>
      <c r="H43" s="59">
        <f ca="1">IF($B43&lt;=TODAY(),SUMIF('Stats 2020'!$M$24:$M$1048576,"&lt;="&amp;Graphs!$B43,'Stats 2020'!T$24:T$1048576),NA())</f>
        <v>85.75</v>
      </c>
      <c r="I43" s="58" t="e">
        <f t="shared" ca="1" si="21"/>
        <v>#N/A</v>
      </c>
      <c r="J43" s="58" t="e">
        <f t="shared" ca="1" si="21"/>
        <v>#N/A</v>
      </c>
      <c r="K43" s="58" t="e">
        <f t="shared" ca="1" si="21"/>
        <v>#N/A</v>
      </c>
      <c r="L43" s="58" t="e">
        <f t="shared" ca="1" si="21"/>
        <v>#N/A</v>
      </c>
      <c r="M43" s="58" t="e">
        <f t="shared" ca="1" si="21"/>
        <v>#N/A</v>
      </c>
      <c r="N43" s="58" t="e">
        <f t="shared" ca="1" si="21"/>
        <v>#N/A</v>
      </c>
      <c r="O43" s="60"/>
      <c r="P43" s="65">
        <f t="shared" si="7"/>
        <v>44141</v>
      </c>
      <c r="Q43" s="66">
        <f>VLOOKUP($B43,'Stats 2020'!$D$25:$J$200,MATCH(Graphs!Q$1,'Stats 2020'!$D$18:$J$18,0),0)</f>
        <v>1</v>
      </c>
      <c r="R43" s="66">
        <f>VLOOKUP($B43,'Stats 2020'!$D$25:$J$200,MATCH(Graphs!R$1,'Stats 2020'!$D$18:$J$18,0),0)</f>
        <v>1</v>
      </c>
      <c r="S43" s="66">
        <f>VLOOKUP($B43,'Stats 2020'!$D$25:$J$200,MATCH(Graphs!S$1,'Stats 2020'!$D$18:$J$18,0),0)</f>
        <v>0</v>
      </c>
      <c r="T43" s="66" t="str">
        <f>VLOOKUP($B43,'Stats 2020'!$D$25:$J$200,MATCH(Graphs!T$1,'Stats 2020'!$D$18:$J$18,0),0)</f>
        <v/>
      </c>
      <c r="U43" s="66">
        <f>VLOOKUP($B43,'Stats 2020'!$D$25:$J$200,MATCH(Graphs!U$1,'Stats 2020'!$D$18:$J$18,0),0)</f>
        <v>1</v>
      </c>
      <c r="V43" s="66">
        <f>VLOOKUP($B43,'Stats 2020'!$D$25:$J$200,MATCH(Graphs!V$1,'Stats 2020'!$D$18:$J$18,0),0)</f>
        <v>1</v>
      </c>
      <c r="W43" s="66"/>
      <c r="X43" s="65">
        <f t="shared" si="8"/>
        <v>44141</v>
      </c>
      <c r="Y43" s="69">
        <f>SUM(Q$2:Q43)/COUNTA($P$2:$P43)</f>
        <v>0.83333333333333337</v>
      </c>
      <c r="Z43" s="69">
        <f>SUM(R$2:R43)/COUNTA($P$2:$P43)</f>
        <v>0.14285714285714285</v>
      </c>
      <c r="AA43" s="69">
        <f>SUM(S$2:S43)/COUNTA($P$2:$P43)</f>
        <v>0.80952380952380953</v>
      </c>
      <c r="AB43" s="69">
        <f>SUM(T$2:T43)/COUNTA($P$2:$P43)</f>
        <v>0.30952380952380953</v>
      </c>
      <c r="AC43" s="69">
        <f>SUM(U$2:U43)/COUNTA($P$2:$P43)</f>
        <v>0.80952380952380953</v>
      </c>
      <c r="AD43" s="69">
        <f>SUM(V$2:V43)/COUNTA($P$2:$P43)</f>
        <v>0.90476190476190477</v>
      </c>
      <c r="AE43" s="70">
        <f t="shared" si="16"/>
        <v>0.634920634920635</v>
      </c>
      <c r="AF43" s="58" t="e">
        <f t="shared" ca="1" si="22"/>
        <v>#N/A</v>
      </c>
      <c r="AG43" s="58" t="e">
        <f t="shared" ca="1" si="22"/>
        <v>#N/A</v>
      </c>
      <c r="AH43" s="58" t="e">
        <f t="shared" ca="1" si="22"/>
        <v>#N/A</v>
      </c>
      <c r="AI43" s="58" t="e">
        <f t="shared" ca="1" si="22"/>
        <v>#N/A</v>
      </c>
      <c r="AJ43" s="58" t="e">
        <f t="shared" ca="1" si="22"/>
        <v>#N/A</v>
      </c>
      <c r="AK43" s="58" t="e">
        <f t="shared" ca="1" si="22"/>
        <v>#N/A</v>
      </c>
      <c r="AL43" s="58" t="e">
        <f t="shared" ca="1" si="22"/>
        <v>#N/A</v>
      </c>
      <c r="AP43" s="66"/>
    </row>
    <row r="44" spans="1:42" ht="16.5" customHeight="1">
      <c r="A44" s="74" t="e">
        <f t="shared" ca="1" si="11"/>
        <v>#N/A</v>
      </c>
      <c r="B44" s="56">
        <f t="shared" si="10"/>
        <v>44148</v>
      </c>
      <c r="C44" s="59">
        <f ca="1">IF($B44&lt;=TODAY(),SUMIF('Stats 2020'!$M$24:$M$1048576,"&lt;="&amp;Graphs!$B44,'Stats 2020'!O$24:O$1048576),NA())</f>
        <v>165.5</v>
      </c>
      <c r="D44" s="59">
        <f t="shared" ca="1" si="12"/>
        <v>193</v>
      </c>
      <c r="E44" s="59">
        <f ca="1">IF($B44&lt;=TODAY(),SUMIF('Stats 2020'!$M$24:$M$1048576,"&lt;="&amp;Graphs!$B44,'Stats 2020'!Q$24:Q$1048576),NA())</f>
        <v>127</v>
      </c>
      <c r="F44" s="59">
        <f t="shared" ca="1" si="13"/>
        <v>193</v>
      </c>
      <c r="G44" s="59">
        <f ca="1">IF($B44&lt;=TODAY(),SUMIF('Stats 2020'!$M$24:$M$1048576,"&lt;="&amp;Graphs!$B44,'Stats 2020'!S$24:S$1048576),NA())</f>
        <v>132.5</v>
      </c>
      <c r="H44" s="59">
        <f ca="1">IF($B44&lt;=TODAY(),SUMIF('Stats 2020'!$M$24:$M$1048576,"&lt;="&amp;Graphs!$B44,'Stats 2020'!T$24:T$1048576),NA())</f>
        <v>85.75</v>
      </c>
      <c r="I44" s="58" t="e">
        <f t="shared" ca="1" si="21"/>
        <v>#N/A</v>
      </c>
      <c r="J44" s="58" t="e">
        <f t="shared" ca="1" si="21"/>
        <v>#N/A</v>
      </c>
      <c r="K44" s="58" t="e">
        <f t="shared" ca="1" si="21"/>
        <v>#N/A</v>
      </c>
      <c r="L44" s="58" t="e">
        <f t="shared" ca="1" si="21"/>
        <v>#N/A</v>
      </c>
      <c r="M44" s="58" t="e">
        <f t="shared" ca="1" si="21"/>
        <v>#N/A</v>
      </c>
      <c r="N44" s="58" t="e">
        <f t="shared" ca="1" si="21"/>
        <v>#N/A</v>
      </c>
      <c r="O44" s="60"/>
      <c r="P44" s="65">
        <f t="shared" si="7"/>
        <v>44148</v>
      </c>
      <c r="Q44" s="66">
        <f>VLOOKUP($B44,'Stats 2020'!$D$25:$J$200,MATCH(Graphs!Q$1,'Stats 2020'!$D$18:$J$18,0),0)</f>
        <v>0</v>
      </c>
      <c r="R44" s="66">
        <f>VLOOKUP($B44,'Stats 2020'!$D$25:$J$200,MATCH(Graphs!R$1,'Stats 2020'!$D$18:$J$18,0),0)</f>
        <v>1</v>
      </c>
      <c r="S44" s="66">
        <f>VLOOKUP($B44,'Stats 2020'!$D$25:$J$200,MATCH(Graphs!S$1,'Stats 2020'!$D$18:$J$18,0),0)</f>
        <v>1</v>
      </c>
      <c r="T44" s="66" t="str">
        <f>VLOOKUP($B44,'Stats 2020'!$D$25:$J$200,MATCH(Graphs!T$1,'Stats 2020'!$D$18:$J$18,0),0)</f>
        <v/>
      </c>
      <c r="U44" s="66">
        <f>VLOOKUP($B44,'Stats 2020'!$D$25:$J$200,MATCH(Graphs!U$1,'Stats 2020'!$D$18:$J$18,0),0)</f>
        <v>1</v>
      </c>
      <c r="V44" s="66">
        <f>VLOOKUP($B44,'Stats 2020'!$D$25:$J$200,MATCH(Graphs!V$1,'Stats 2020'!$D$18:$J$18,0),0)</f>
        <v>1</v>
      </c>
      <c r="W44" s="66"/>
      <c r="X44" s="65">
        <f t="shared" si="8"/>
        <v>44148</v>
      </c>
      <c r="Y44" s="69">
        <f>SUM(Q$2:Q44)/COUNTA($P$2:$P44)</f>
        <v>0.81395348837209303</v>
      </c>
      <c r="Z44" s="69">
        <f>SUM(R$2:R44)/COUNTA($P$2:$P44)</f>
        <v>0.16279069767441862</v>
      </c>
      <c r="AA44" s="69">
        <f>SUM(S$2:S44)/COUNTA($P$2:$P44)</f>
        <v>0.81395348837209303</v>
      </c>
      <c r="AB44" s="69">
        <f>SUM(T$2:T44)/COUNTA($P$2:$P44)</f>
        <v>0.30232558139534882</v>
      </c>
      <c r="AC44" s="69">
        <f>SUM(U$2:U44)/COUNTA($P$2:$P44)</f>
        <v>0.81395348837209303</v>
      </c>
      <c r="AD44" s="69">
        <f>SUM(V$2:V44)/COUNTA($P$2:$P44)</f>
        <v>0.90697674418604646</v>
      </c>
      <c r="AE44" s="70">
        <f t="shared" si="16"/>
        <v>0.63565891472868219</v>
      </c>
      <c r="AF44" s="58" t="e">
        <f t="shared" ca="1" si="22"/>
        <v>#N/A</v>
      </c>
      <c r="AG44" s="58" t="e">
        <f t="shared" ca="1" si="22"/>
        <v>#N/A</v>
      </c>
      <c r="AH44" s="58" t="e">
        <f t="shared" ca="1" si="22"/>
        <v>#N/A</v>
      </c>
      <c r="AI44" s="58" t="e">
        <f t="shared" ca="1" si="22"/>
        <v>#N/A</v>
      </c>
      <c r="AJ44" s="58" t="e">
        <f t="shared" ca="1" si="22"/>
        <v>#N/A</v>
      </c>
      <c r="AK44" s="58" t="e">
        <f t="shared" ca="1" si="22"/>
        <v>#N/A</v>
      </c>
      <c r="AL44" s="58" t="e">
        <f t="shared" ca="1" si="22"/>
        <v>#N/A</v>
      </c>
      <c r="AP44" s="66"/>
    </row>
    <row r="45" spans="1:42" ht="16.5" customHeight="1">
      <c r="A45" s="74" t="e">
        <f t="shared" ca="1" si="11"/>
        <v>#N/A</v>
      </c>
      <c r="B45" s="56">
        <f t="shared" si="10"/>
        <v>44155</v>
      </c>
      <c r="C45" s="59">
        <f ca="1">IF($B45&lt;=TODAY(),SUMIF('Stats 2020'!$M$24:$M$1048576,"&lt;="&amp;Graphs!$B45,'Stats 2020'!O$24:O$1048576),NA())</f>
        <v>165.5</v>
      </c>
      <c r="D45" s="59">
        <f t="shared" ca="1" si="12"/>
        <v>193</v>
      </c>
      <c r="E45" s="59">
        <f ca="1">IF($B45&lt;=TODAY(),SUMIF('Stats 2020'!$M$24:$M$1048576,"&lt;="&amp;Graphs!$B45,'Stats 2020'!Q$24:Q$1048576),NA())</f>
        <v>127</v>
      </c>
      <c r="F45" s="59">
        <f t="shared" ca="1" si="13"/>
        <v>193</v>
      </c>
      <c r="G45" s="59">
        <f ca="1">IF($B45&lt;=TODAY(),SUMIF('Stats 2020'!$M$24:$M$1048576,"&lt;="&amp;Graphs!$B45,'Stats 2020'!S$24:S$1048576),NA())</f>
        <v>132.5</v>
      </c>
      <c r="H45" s="59">
        <f ca="1">IF($B45&lt;=TODAY(),SUMIF('Stats 2020'!$M$24:$M$1048576,"&lt;="&amp;Graphs!$B45,'Stats 2020'!T$24:T$1048576),NA())</f>
        <v>85.75</v>
      </c>
      <c r="I45" s="58" t="e">
        <f t="shared" ca="1" si="21"/>
        <v>#N/A</v>
      </c>
      <c r="J45" s="58" t="e">
        <f t="shared" ca="1" si="21"/>
        <v>#N/A</v>
      </c>
      <c r="K45" s="58" t="e">
        <f t="shared" ca="1" si="21"/>
        <v>#N/A</v>
      </c>
      <c r="L45" s="58" t="e">
        <f t="shared" ca="1" si="21"/>
        <v>#N/A</v>
      </c>
      <c r="M45" s="58" t="e">
        <f t="shared" ca="1" si="21"/>
        <v>#N/A</v>
      </c>
      <c r="N45" s="58" t="e">
        <f t="shared" ca="1" si="21"/>
        <v>#N/A</v>
      </c>
      <c r="O45" s="60"/>
      <c r="P45" s="65">
        <f t="shared" si="7"/>
        <v>44155</v>
      </c>
      <c r="Q45" s="66">
        <f>VLOOKUP($B45,'Stats 2020'!$D$25:$J$200,MATCH(Graphs!Q$1,'Stats 2020'!$D$18:$J$18,0),0)</f>
        <v>1</v>
      </c>
      <c r="R45" s="66">
        <f>VLOOKUP($B45,'Stats 2020'!$D$25:$J$200,MATCH(Graphs!R$1,'Stats 2020'!$D$18:$J$18,0),0)</f>
        <v>1</v>
      </c>
      <c r="S45" s="66">
        <f>VLOOKUP($B45,'Stats 2020'!$D$25:$J$200,MATCH(Graphs!S$1,'Stats 2020'!$D$18:$J$18,0),0)</f>
        <v>1</v>
      </c>
      <c r="T45" s="66">
        <f>VLOOKUP($B45,'Stats 2020'!$D$25:$J$200,MATCH(Graphs!T$1,'Stats 2020'!$D$18:$J$18,0),0)</f>
        <v>1</v>
      </c>
      <c r="U45" s="66">
        <f>VLOOKUP($B45,'Stats 2020'!$D$25:$J$200,MATCH(Graphs!U$1,'Stats 2020'!$D$18:$J$18,0),0)</f>
        <v>1</v>
      </c>
      <c r="V45" s="66">
        <f>VLOOKUP($B45,'Stats 2020'!$D$25:$J$200,MATCH(Graphs!V$1,'Stats 2020'!$D$18:$J$18,0),0)</f>
        <v>1</v>
      </c>
      <c r="W45" s="66"/>
      <c r="X45" s="65">
        <f t="shared" si="8"/>
        <v>44155</v>
      </c>
      <c r="Y45" s="69">
        <f>SUM(Q$2:Q45)/COUNTA($P$2:$P45)</f>
        <v>0.81818181818181823</v>
      </c>
      <c r="Z45" s="69">
        <f>SUM(R$2:R45)/COUNTA($P$2:$P45)</f>
        <v>0.18181818181818182</v>
      </c>
      <c r="AA45" s="69">
        <f>SUM(S$2:S45)/COUNTA($P$2:$P45)</f>
        <v>0.81818181818181823</v>
      </c>
      <c r="AB45" s="69">
        <f>SUM(T$2:T45)/COUNTA($P$2:$P45)</f>
        <v>0.31818181818181818</v>
      </c>
      <c r="AC45" s="69">
        <f>SUM(U$2:U45)/COUNTA($P$2:$P45)</f>
        <v>0.81818181818181823</v>
      </c>
      <c r="AD45" s="69">
        <f>SUM(V$2:V45)/COUNTA($P$2:$P45)</f>
        <v>0.90909090909090906</v>
      </c>
      <c r="AE45" s="70">
        <f t="shared" si="16"/>
        <v>0.64393939393939403</v>
      </c>
      <c r="AF45" s="58" t="e">
        <f t="shared" ca="1" si="22"/>
        <v>#N/A</v>
      </c>
      <c r="AG45" s="58" t="e">
        <f t="shared" ca="1" si="22"/>
        <v>#N/A</v>
      </c>
      <c r="AH45" s="58" t="e">
        <f t="shared" ca="1" si="22"/>
        <v>#N/A</v>
      </c>
      <c r="AI45" s="58" t="e">
        <f t="shared" ca="1" si="22"/>
        <v>#N/A</v>
      </c>
      <c r="AJ45" s="58" t="e">
        <f t="shared" ca="1" si="22"/>
        <v>#N/A</v>
      </c>
      <c r="AK45" s="58" t="e">
        <f t="shared" ca="1" si="22"/>
        <v>#N/A</v>
      </c>
      <c r="AL45" s="58" t="e">
        <f t="shared" ca="1" si="22"/>
        <v>#N/A</v>
      </c>
    </row>
    <row r="46" spans="1:42" ht="16.5" customHeight="1">
      <c r="A46" s="74" t="e">
        <f t="shared" ca="1" si="11"/>
        <v>#N/A</v>
      </c>
      <c r="B46" s="56">
        <f t="shared" si="10"/>
        <v>44162</v>
      </c>
      <c r="C46" s="59">
        <f ca="1">IF($B46&lt;=TODAY(),SUMIF('Stats 2020'!$M$24:$M$1048576,"&lt;="&amp;Graphs!$B46,'Stats 2020'!O$24:O$1048576),NA())</f>
        <v>165.5</v>
      </c>
      <c r="D46" s="59">
        <f t="shared" ca="1" si="12"/>
        <v>193</v>
      </c>
      <c r="E46" s="59">
        <f ca="1">IF($B46&lt;=TODAY(),SUMIF('Stats 2020'!$M$24:$M$1048576,"&lt;="&amp;Graphs!$B46,'Stats 2020'!Q$24:Q$1048576),NA())</f>
        <v>127</v>
      </c>
      <c r="F46" s="59">
        <f t="shared" ca="1" si="13"/>
        <v>193</v>
      </c>
      <c r="G46" s="59">
        <f ca="1">IF($B46&lt;=TODAY(),SUMIF('Stats 2020'!$M$24:$M$1048576,"&lt;="&amp;Graphs!$B46,'Stats 2020'!S$24:S$1048576),NA())</f>
        <v>132.5</v>
      </c>
      <c r="H46" s="59">
        <f ca="1">IF($B46&lt;=TODAY(),SUMIF('Stats 2020'!$M$24:$M$1048576,"&lt;="&amp;Graphs!$B46,'Stats 2020'!T$24:T$1048576),NA())</f>
        <v>85.75</v>
      </c>
      <c r="I46" s="58" t="e">
        <f t="shared" ca="1" si="21"/>
        <v>#N/A</v>
      </c>
      <c r="J46" s="58" t="e">
        <f t="shared" ca="1" si="21"/>
        <v>#N/A</v>
      </c>
      <c r="K46" s="58" t="e">
        <f t="shared" ca="1" si="21"/>
        <v>#N/A</v>
      </c>
      <c r="L46" s="58" t="e">
        <f t="shared" ca="1" si="21"/>
        <v>#N/A</v>
      </c>
      <c r="M46" s="58" t="e">
        <f t="shared" ca="1" si="21"/>
        <v>#N/A</v>
      </c>
      <c r="N46" s="58" t="e">
        <f t="shared" ca="1" si="21"/>
        <v>#N/A</v>
      </c>
      <c r="O46" s="60"/>
      <c r="P46" s="65">
        <f t="shared" si="7"/>
        <v>44162</v>
      </c>
      <c r="Q46" s="66">
        <f>VLOOKUP($B46,'Stats 2020'!$D$25:$J$200,MATCH(Graphs!Q$1,'Stats 2020'!$D$18:$J$18,0),0)</f>
        <v>1</v>
      </c>
      <c r="R46" s="66" t="str">
        <f>VLOOKUP($B46,'Stats 2020'!$D$25:$J$200,MATCH(Graphs!R$1,'Stats 2020'!$D$18:$J$18,0),0)</f>
        <v/>
      </c>
      <c r="S46" s="66">
        <f>VLOOKUP($B46,'Stats 2020'!$D$25:$J$200,MATCH(Graphs!S$1,'Stats 2020'!$D$18:$J$18,0),0)</f>
        <v>1</v>
      </c>
      <c r="T46" s="66">
        <f>VLOOKUP($B46,'Stats 2020'!$D$25:$J$200,MATCH(Graphs!T$1,'Stats 2020'!$D$18:$J$18,0),0)</f>
        <v>1</v>
      </c>
      <c r="U46" s="66">
        <f>VLOOKUP($B46,'Stats 2020'!$D$25:$J$200,MATCH(Graphs!U$1,'Stats 2020'!$D$18:$J$18,0),0)</f>
        <v>1</v>
      </c>
      <c r="V46" s="66">
        <f>VLOOKUP($B46,'Stats 2020'!$D$25:$J$200,MATCH(Graphs!V$1,'Stats 2020'!$D$18:$J$18,0),0)</f>
        <v>1</v>
      </c>
      <c r="W46" s="66"/>
      <c r="X46" s="65">
        <f t="shared" si="8"/>
        <v>44162</v>
      </c>
      <c r="Y46" s="69">
        <f>SUM(Q$2:Q46)/COUNTA($P$2:$P46)</f>
        <v>0.82222222222222219</v>
      </c>
      <c r="Z46" s="69">
        <f>SUM(R$2:R46)/COUNTA($P$2:$P46)</f>
        <v>0.17777777777777778</v>
      </c>
      <c r="AA46" s="69">
        <f>SUM(S$2:S46)/COUNTA($P$2:$P46)</f>
        <v>0.82222222222222219</v>
      </c>
      <c r="AB46" s="69">
        <f>SUM(T$2:T46)/COUNTA($P$2:$P46)</f>
        <v>0.33333333333333331</v>
      </c>
      <c r="AC46" s="69">
        <f>SUM(U$2:U46)/COUNTA($P$2:$P46)</f>
        <v>0.82222222222222219</v>
      </c>
      <c r="AD46" s="69">
        <f>SUM(V$2:V46)/COUNTA($P$2:$P46)</f>
        <v>0.91111111111111109</v>
      </c>
      <c r="AE46" s="70">
        <f t="shared" si="16"/>
        <v>0.64814814814814814</v>
      </c>
      <c r="AF46" s="58" t="e">
        <f t="shared" ca="1" si="22"/>
        <v>#N/A</v>
      </c>
      <c r="AG46" s="58" t="e">
        <f t="shared" ca="1" si="22"/>
        <v>#N/A</v>
      </c>
      <c r="AH46" s="58" t="e">
        <f t="shared" ca="1" si="22"/>
        <v>#N/A</v>
      </c>
      <c r="AI46" s="58" t="e">
        <f t="shared" ca="1" si="22"/>
        <v>#N/A</v>
      </c>
      <c r="AJ46" s="58" t="e">
        <f t="shared" ca="1" si="22"/>
        <v>#N/A</v>
      </c>
      <c r="AK46" s="58" t="e">
        <f t="shared" ca="1" si="22"/>
        <v>#N/A</v>
      </c>
      <c r="AL46" s="58" t="e">
        <f t="shared" ca="1" si="22"/>
        <v>#N/A</v>
      </c>
    </row>
    <row r="47" spans="1:42" ht="16.5" customHeight="1">
      <c r="A47" s="74" t="e">
        <f t="shared" ca="1" si="11"/>
        <v>#N/A</v>
      </c>
      <c r="B47" s="56">
        <f t="shared" si="10"/>
        <v>44169</v>
      </c>
      <c r="C47" s="59">
        <f ca="1">IF($B47&lt;=TODAY(),SUMIF('Stats 2020'!$M$24:$M$1048576,"&lt;="&amp;Graphs!$B47,'Stats 2020'!O$24:O$1048576),NA())</f>
        <v>176.5</v>
      </c>
      <c r="D47" s="59">
        <f t="shared" ca="1" si="12"/>
        <v>204</v>
      </c>
      <c r="E47" s="59">
        <f ca="1">IF($B47&lt;=TODAY(),SUMIF('Stats 2020'!$M$24:$M$1048576,"&lt;="&amp;Graphs!$B47,'Stats 2020'!Q$24:Q$1048576),NA())</f>
        <v>127</v>
      </c>
      <c r="F47" s="59">
        <f t="shared" ca="1" si="13"/>
        <v>204</v>
      </c>
      <c r="G47" s="59">
        <f ca="1">IF($B47&lt;=TODAY(),SUMIF('Stats 2020'!$M$24:$M$1048576,"&lt;="&amp;Graphs!$B47,'Stats 2020'!S$24:S$1048576),NA())</f>
        <v>132.5</v>
      </c>
      <c r="H47" s="59">
        <f ca="1">IF($B47&lt;=TODAY(),SUMIF('Stats 2020'!$M$24:$M$1048576,"&lt;="&amp;Graphs!$B47,'Stats 2020'!T$24:T$1048576),NA())</f>
        <v>85.75</v>
      </c>
      <c r="I47" s="58" t="e">
        <f t="shared" ca="1" si="21"/>
        <v>#N/A</v>
      </c>
      <c r="J47" s="58" t="e">
        <f t="shared" ca="1" si="21"/>
        <v>#N/A</v>
      </c>
      <c r="K47" s="58" t="e">
        <f t="shared" ca="1" si="21"/>
        <v>#N/A</v>
      </c>
      <c r="L47" s="58" t="e">
        <f t="shared" ca="1" si="21"/>
        <v>#N/A</v>
      </c>
      <c r="M47" s="58" t="e">
        <f t="shared" ca="1" si="21"/>
        <v>#N/A</v>
      </c>
      <c r="N47" s="58" t="e">
        <f t="shared" ca="1" si="21"/>
        <v>#N/A</v>
      </c>
      <c r="O47" s="60"/>
      <c r="P47" s="65">
        <f t="shared" si="7"/>
        <v>44169</v>
      </c>
      <c r="Q47" s="66">
        <f>VLOOKUP($B47,'Stats 2020'!$D$25:$J$200,MATCH(Graphs!Q$1,'Stats 2020'!$D$18:$J$18,0),0)</f>
        <v>0</v>
      </c>
      <c r="R47" s="66">
        <f>VLOOKUP($B47,'Stats 2020'!$D$25:$J$200,MATCH(Graphs!R$1,'Stats 2020'!$D$18:$J$18,0),0)</f>
        <v>1</v>
      </c>
      <c r="S47" s="66">
        <f>VLOOKUP($B47,'Stats 2020'!$D$25:$J$200,MATCH(Graphs!S$1,'Stats 2020'!$D$18:$J$18,0),0)</f>
        <v>1</v>
      </c>
      <c r="T47" s="66" t="str">
        <f>VLOOKUP($B47,'Stats 2020'!$D$25:$J$200,MATCH(Graphs!T$1,'Stats 2020'!$D$18:$J$18,0),0)</f>
        <v/>
      </c>
      <c r="U47" s="66">
        <f>VLOOKUP($B47,'Stats 2020'!$D$25:$J$200,MATCH(Graphs!U$1,'Stats 2020'!$D$18:$J$18,0),0)</f>
        <v>1</v>
      </c>
      <c r="V47" s="66">
        <f>VLOOKUP($B47,'Stats 2020'!$D$25:$J$200,MATCH(Graphs!V$1,'Stats 2020'!$D$18:$J$18,0),0)</f>
        <v>1</v>
      </c>
      <c r="W47" s="66"/>
      <c r="X47" s="65">
        <f t="shared" si="8"/>
        <v>44169</v>
      </c>
      <c r="Y47" s="69">
        <f>SUM(Q$2:Q47)/COUNTA($P$2:$P47)</f>
        <v>0.80434782608695654</v>
      </c>
      <c r="Z47" s="69">
        <f>SUM(R$2:R47)/COUNTA($P$2:$P47)</f>
        <v>0.19565217391304349</v>
      </c>
      <c r="AA47" s="69">
        <f>SUM(S$2:S47)/COUNTA($P$2:$P47)</f>
        <v>0.82608695652173914</v>
      </c>
      <c r="AB47" s="69">
        <f>SUM(T$2:T47)/COUNTA($P$2:$P47)</f>
        <v>0.32608695652173914</v>
      </c>
      <c r="AC47" s="69">
        <f>SUM(U$2:U47)/COUNTA($P$2:$P47)</f>
        <v>0.82608695652173914</v>
      </c>
      <c r="AD47" s="69">
        <f>SUM(V$2:V47)/COUNTA($P$2:$P47)</f>
        <v>0.91304347826086951</v>
      </c>
      <c r="AE47" s="70">
        <f t="shared" si="16"/>
        <v>0.64855072463768126</v>
      </c>
      <c r="AF47" s="58" t="e">
        <f t="shared" ca="1" si="22"/>
        <v>#N/A</v>
      </c>
      <c r="AG47" s="58" t="e">
        <f t="shared" ca="1" si="22"/>
        <v>#N/A</v>
      </c>
      <c r="AH47" s="58" t="e">
        <f t="shared" ca="1" si="22"/>
        <v>#N/A</v>
      </c>
      <c r="AI47" s="58" t="e">
        <f t="shared" ca="1" si="22"/>
        <v>#N/A</v>
      </c>
      <c r="AJ47" s="58" t="e">
        <f t="shared" ca="1" si="22"/>
        <v>#N/A</v>
      </c>
      <c r="AK47" s="58" t="e">
        <f t="shared" ca="1" si="22"/>
        <v>#N/A</v>
      </c>
      <c r="AL47" s="58" t="e">
        <f t="shared" ca="1" si="22"/>
        <v>#N/A</v>
      </c>
      <c r="AM47" s="61"/>
      <c r="AN47" s="71"/>
      <c r="AO47" s="71"/>
      <c r="AP47" s="72"/>
    </row>
    <row r="48" spans="1:42" ht="16.5" customHeight="1">
      <c r="A48" s="74" t="e">
        <f t="shared" ca="1" si="11"/>
        <v>#N/A</v>
      </c>
      <c r="B48" s="56">
        <f t="shared" si="10"/>
        <v>44176</v>
      </c>
      <c r="C48" s="59">
        <f ca="1">IF($B48&lt;=TODAY(),SUMIF('Stats 2020'!$M$24:$M$1048576,"&lt;="&amp;Graphs!$B48,'Stats 2020'!O$24:O$1048576),NA())</f>
        <v>179.25</v>
      </c>
      <c r="D48" s="59">
        <f t="shared" ca="1" si="12"/>
        <v>206.75</v>
      </c>
      <c r="E48" s="59">
        <f ca="1">IF($B48&lt;=TODAY(),SUMIF('Stats 2020'!$M$24:$M$1048576,"&lt;="&amp;Graphs!$B48,'Stats 2020'!Q$24:Q$1048576),NA())</f>
        <v>127</v>
      </c>
      <c r="F48" s="59">
        <f t="shared" ca="1" si="13"/>
        <v>206.75</v>
      </c>
      <c r="G48" s="59">
        <f ca="1">IF($B48&lt;=TODAY(),SUMIF('Stats 2020'!$M$24:$M$1048576,"&lt;="&amp;Graphs!$B48,'Stats 2020'!S$24:S$1048576),NA())</f>
        <v>132.5</v>
      </c>
      <c r="H48" s="59">
        <f ca="1">IF($B48&lt;=TODAY(),SUMIF('Stats 2020'!$M$24:$M$1048576,"&lt;="&amp;Graphs!$B48,'Stats 2020'!T$24:T$1048576),NA())</f>
        <v>85.75</v>
      </c>
      <c r="I48" s="58" t="e">
        <f t="shared" ca="1" si="21"/>
        <v>#N/A</v>
      </c>
      <c r="J48" s="58" t="e">
        <f t="shared" ca="1" si="21"/>
        <v>#N/A</v>
      </c>
      <c r="K48" s="58" t="e">
        <f t="shared" ca="1" si="21"/>
        <v>#N/A</v>
      </c>
      <c r="L48" s="58" t="e">
        <f t="shared" ca="1" si="21"/>
        <v>#N/A</v>
      </c>
      <c r="M48" s="58" t="e">
        <f t="shared" ca="1" si="21"/>
        <v>#N/A</v>
      </c>
      <c r="N48" s="58" t="e">
        <f t="shared" ca="1" si="21"/>
        <v>#N/A</v>
      </c>
      <c r="O48" s="60"/>
      <c r="P48" s="65">
        <f t="shared" si="7"/>
        <v>44176</v>
      </c>
      <c r="Q48" s="66">
        <f>VLOOKUP($B48,'Stats 2020'!$D$25:$J$200,MATCH(Graphs!Q$1,'Stats 2020'!$D$18:$J$18,0),0)</f>
        <v>1</v>
      </c>
      <c r="R48" s="66">
        <f>VLOOKUP($B48,'Stats 2020'!$D$25:$J$200,MATCH(Graphs!R$1,'Stats 2020'!$D$18:$J$18,0),0)</f>
        <v>1</v>
      </c>
      <c r="S48" s="66">
        <f>VLOOKUP($B48,'Stats 2020'!$D$25:$J$200,MATCH(Graphs!S$1,'Stats 2020'!$D$18:$J$18,0),0)</f>
        <v>1</v>
      </c>
      <c r="T48" s="66" t="str">
        <f>VLOOKUP($B48,'Stats 2020'!$D$25:$J$200,MATCH(Graphs!T$1,'Stats 2020'!$D$18:$J$18,0),0)</f>
        <v/>
      </c>
      <c r="U48" s="66">
        <f>VLOOKUP($B48,'Stats 2020'!$D$25:$J$200,MATCH(Graphs!U$1,'Stats 2020'!$D$18:$J$18,0),0)</f>
        <v>1</v>
      </c>
      <c r="V48" s="66">
        <f>VLOOKUP($B48,'Stats 2020'!$D$25:$J$200,MATCH(Graphs!V$1,'Stats 2020'!$D$18:$J$18,0),0)</f>
        <v>1</v>
      </c>
      <c r="W48" s="66"/>
      <c r="X48" s="65">
        <f t="shared" ref="X48:X55" si="23">B48</f>
        <v>44176</v>
      </c>
      <c r="Y48" s="69">
        <f>SUM(Q$2:Q48)/COUNTA($P$2:$P48)</f>
        <v>0.80851063829787229</v>
      </c>
      <c r="Z48" s="69">
        <f>SUM(R$2:R48)/COUNTA($P$2:$P48)</f>
        <v>0.21276595744680851</v>
      </c>
      <c r="AA48" s="69">
        <f>SUM(S$2:S48)/COUNTA($P$2:$P48)</f>
        <v>0.82978723404255317</v>
      </c>
      <c r="AB48" s="69">
        <f>SUM(T$2:T48)/COUNTA($P$2:$P48)</f>
        <v>0.31914893617021278</v>
      </c>
      <c r="AC48" s="69">
        <f>SUM(U$2:U48)/COUNTA($P$2:$P48)</f>
        <v>0.82978723404255317</v>
      </c>
      <c r="AD48" s="69">
        <f>SUM(V$2:V48)/COUNTA($P$2:$P48)</f>
        <v>0.91489361702127658</v>
      </c>
      <c r="AE48" s="70">
        <f t="shared" si="16"/>
        <v>0.65248226950354604</v>
      </c>
      <c r="AF48" s="58" t="e">
        <f t="shared" ca="1" si="22"/>
        <v>#N/A</v>
      </c>
      <c r="AG48" s="58" t="e">
        <f t="shared" ca="1" si="22"/>
        <v>#N/A</v>
      </c>
      <c r="AH48" s="58" t="e">
        <f t="shared" ca="1" si="22"/>
        <v>#N/A</v>
      </c>
      <c r="AI48" s="58" t="e">
        <f t="shared" ca="1" si="22"/>
        <v>#N/A</v>
      </c>
      <c r="AJ48" s="58" t="e">
        <f t="shared" ca="1" si="22"/>
        <v>#N/A</v>
      </c>
      <c r="AK48" s="58" t="e">
        <f t="shared" ca="1" si="22"/>
        <v>#N/A</v>
      </c>
      <c r="AL48" s="58" t="e">
        <f t="shared" ca="1" si="22"/>
        <v>#N/A</v>
      </c>
      <c r="AM48" s="61"/>
      <c r="AN48" s="72"/>
      <c r="AO48" s="71"/>
      <c r="AP48" s="72"/>
    </row>
    <row r="49" spans="1:42" ht="16.5" customHeight="1">
      <c r="A49" s="74" t="e">
        <f t="shared" ca="1" si="11"/>
        <v>#N/A</v>
      </c>
      <c r="B49" s="56">
        <f t="shared" si="10"/>
        <v>44183</v>
      </c>
      <c r="C49" s="59">
        <f ca="1">IF($B49&lt;=TODAY(),SUMIF('Stats 2020'!$M$24:$M$1048576,"&lt;="&amp;Graphs!$B49,'Stats 2020'!O$24:O$1048576),NA())</f>
        <v>179.25</v>
      </c>
      <c r="D49" s="59">
        <f t="shared" ca="1" si="12"/>
        <v>206.75</v>
      </c>
      <c r="E49" s="59">
        <f ca="1">IF($B49&lt;=TODAY(),SUMIF('Stats 2020'!$M$24:$M$1048576,"&lt;="&amp;Graphs!$B49,'Stats 2020'!Q$24:Q$1048576),NA())</f>
        <v>138</v>
      </c>
      <c r="F49" s="59">
        <f t="shared" ca="1" si="13"/>
        <v>206.75</v>
      </c>
      <c r="G49" s="59">
        <f ca="1">IF($B49&lt;=TODAY(),SUMIF('Stats 2020'!$M$24:$M$1048576,"&lt;="&amp;Graphs!$B49,'Stats 2020'!S$24:S$1048576),NA())</f>
        <v>143.5</v>
      </c>
      <c r="H49" s="59">
        <f ca="1">IF($B49&lt;=TODAY(),SUMIF('Stats 2020'!$M$24:$M$1048576,"&lt;="&amp;Graphs!$B49,'Stats 2020'!T$24:T$1048576),NA())</f>
        <v>85.75</v>
      </c>
      <c r="I49" s="58" t="e">
        <f t="shared" ca="1" si="21"/>
        <v>#N/A</v>
      </c>
      <c r="J49" s="58" t="e">
        <f t="shared" ca="1" si="21"/>
        <v>#N/A</v>
      </c>
      <c r="K49" s="58" t="e">
        <f t="shared" ca="1" si="21"/>
        <v>#N/A</v>
      </c>
      <c r="L49" s="58" t="e">
        <f t="shared" ca="1" si="21"/>
        <v>#N/A</v>
      </c>
      <c r="M49" s="58" t="e">
        <f t="shared" ca="1" si="21"/>
        <v>#N/A</v>
      </c>
      <c r="N49" s="58" t="e">
        <f t="shared" ca="1" si="21"/>
        <v>#N/A</v>
      </c>
      <c r="O49" s="60"/>
      <c r="P49" s="65">
        <f t="shared" si="7"/>
        <v>44183</v>
      </c>
      <c r="Q49" s="66">
        <f>VLOOKUP($B49,'Stats 2020'!$D$25:$J$200,MATCH(Graphs!Q$1,'Stats 2020'!$D$18:$J$18,0),0)</f>
        <v>1</v>
      </c>
      <c r="R49" s="66">
        <f>VLOOKUP($B49,'Stats 2020'!$D$25:$J$200,MATCH(Graphs!R$1,'Stats 2020'!$D$18:$J$18,0),0)</f>
        <v>1</v>
      </c>
      <c r="S49" s="66">
        <f>VLOOKUP($B49,'Stats 2020'!$D$25:$J$200,MATCH(Graphs!S$1,'Stats 2020'!$D$18:$J$18,0),0)</f>
        <v>0</v>
      </c>
      <c r="T49" s="66">
        <f>VLOOKUP($B49,'Stats 2020'!$D$25:$J$200,MATCH(Graphs!T$1,'Stats 2020'!$D$18:$J$18,0),0)</f>
        <v>1</v>
      </c>
      <c r="U49" s="66">
        <f>VLOOKUP($B49,'Stats 2020'!$D$25:$J$200,MATCH(Graphs!U$1,'Stats 2020'!$D$18:$J$18,0),0)</f>
        <v>0</v>
      </c>
      <c r="V49" s="66">
        <f>VLOOKUP($B49,'Stats 2020'!$D$25:$J$200,MATCH(Graphs!V$1,'Stats 2020'!$D$18:$J$18,0),0)</f>
        <v>1</v>
      </c>
      <c r="W49" s="66"/>
      <c r="X49" s="65">
        <f t="shared" si="23"/>
        <v>44183</v>
      </c>
      <c r="Y49" s="69">
        <f>SUM(Q$2:Q48)/COUNTA($P$2:$P48)</f>
        <v>0.80851063829787229</v>
      </c>
      <c r="Z49" s="69">
        <f>SUM(R$2:R48)/COUNTA($P$2:$P48)</f>
        <v>0.21276595744680851</v>
      </c>
      <c r="AA49" s="69">
        <f>SUM(S$2:S48)/COUNTA($P$2:$P48)</f>
        <v>0.82978723404255317</v>
      </c>
      <c r="AB49" s="69">
        <f>SUM(T$2:T48)/COUNTA($P$2:$P48)</f>
        <v>0.31914893617021278</v>
      </c>
      <c r="AC49" s="69">
        <f>SUM(U$2:U48)/COUNTA($P$2:$P48)</f>
        <v>0.82978723404255317</v>
      </c>
      <c r="AD49" s="69">
        <f>SUM(V$2:V48)/COUNTA($P$2:$P48)</f>
        <v>0.91489361702127658</v>
      </c>
      <c r="AE49" s="70">
        <f t="shared" si="16"/>
        <v>0.65248226950354604</v>
      </c>
      <c r="AF49" s="58" t="e">
        <f t="shared" ca="1" si="22"/>
        <v>#N/A</v>
      </c>
      <c r="AG49" s="58" t="e">
        <f t="shared" ca="1" si="22"/>
        <v>#N/A</v>
      </c>
      <c r="AH49" s="58" t="e">
        <f t="shared" ca="1" si="22"/>
        <v>#N/A</v>
      </c>
      <c r="AI49" s="58" t="e">
        <f t="shared" ca="1" si="22"/>
        <v>#N/A</v>
      </c>
      <c r="AJ49" s="58" t="e">
        <f t="shared" ca="1" si="22"/>
        <v>#N/A</v>
      </c>
      <c r="AK49" s="58" t="e">
        <f t="shared" ca="1" si="22"/>
        <v>#N/A</v>
      </c>
      <c r="AL49" s="58" t="e">
        <f t="shared" ca="1" si="22"/>
        <v>#N/A</v>
      </c>
      <c r="AM49" s="62"/>
      <c r="AN49" s="72"/>
      <c r="AO49" s="71"/>
      <c r="AP49" s="72"/>
    </row>
    <row r="50" spans="1:42" ht="16.5" customHeight="1">
      <c r="A50" s="74" t="e">
        <f t="shared" ca="1" si="11"/>
        <v>#N/A</v>
      </c>
      <c r="B50" s="56">
        <f t="shared" si="10"/>
        <v>44190</v>
      </c>
      <c r="C50" s="59">
        <f ca="1">IF($B50&lt;=TODAY(),SUMIF('Stats 2020'!$M$24:$M$1048576,"&lt;="&amp;Graphs!$B50,'Stats 2020'!O$24:O$1048576),NA())</f>
        <v>179.25</v>
      </c>
      <c r="D50" s="59">
        <f t="shared" ca="1" si="12"/>
        <v>206.75</v>
      </c>
      <c r="E50" s="59">
        <f ca="1">IF($B50&lt;=TODAY(),SUMIF('Stats 2020'!$M$24:$M$1048576,"&lt;="&amp;Graphs!$B50,'Stats 2020'!Q$24:Q$1048576),NA())</f>
        <v>138</v>
      </c>
      <c r="F50" s="59">
        <f t="shared" ca="1" si="13"/>
        <v>206.75</v>
      </c>
      <c r="G50" s="59">
        <f ca="1">IF($B50&lt;=TODAY(),SUMIF('Stats 2020'!$M$24:$M$1048576,"&lt;="&amp;Graphs!$B50,'Stats 2020'!S$24:S$1048576),NA())</f>
        <v>143.5</v>
      </c>
      <c r="H50" s="59">
        <f ca="1">IF($B50&lt;=TODAY(),SUMIF('Stats 2020'!$M$24:$M$1048576,"&lt;="&amp;Graphs!$B50,'Stats 2020'!T$24:T$1048576),NA())</f>
        <v>85.75</v>
      </c>
      <c r="I50" s="58" t="e">
        <f t="shared" ca="1" si="21"/>
        <v>#N/A</v>
      </c>
      <c r="J50" s="58" t="e">
        <f t="shared" ca="1" si="21"/>
        <v>#N/A</v>
      </c>
      <c r="K50" s="58" t="e">
        <f t="shared" ca="1" si="21"/>
        <v>#N/A</v>
      </c>
      <c r="L50" s="58" t="e">
        <f t="shared" ca="1" si="21"/>
        <v>#N/A</v>
      </c>
      <c r="M50" s="58" t="e">
        <f t="shared" ca="1" si="21"/>
        <v>#N/A</v>
      </c>
      <c r="N50" s="58" t="e">
        <f t="shared" ca="1" si="21"/>
        <v>#N/A</v>
      </c>
      <c r="O50" s="60"/>
      <c r="P50" s="65">
        <f t="shared" si="7"/>
        <v>44190</v>
      </c>
      <c r="Q50" s="66"/>
      <c r="R50" s="66"/>
      <c r="S50" s="66"/>
      <c r="T50" s="66"/>
      <c r="U50" s="66"/>
      <c r="V50" s="66"/>
      <c r="W50" s="66"/>
      <c r="X50" s="65">
        <f t="shared" si="23"/>
        <v>44190</v>
      </c>
      <c r="Y50" s="69">
        <f>SUM(Q$2:Q50)/COUNTA($P$2:$P50)</f>
        <v>0.79591836734693877</v>
      </c>
      <c r="Z50" s="69">
        <f>SUM(R$2:R50)/COUNTA($P$2:$P50)</f>
        <v>0.22448979591836735</v>
      </c>
      <c r="AA50" s="69">
        <f>SUM(S$2:S50)/COUNTA($P$2:$P50)</f>
        <v>0.79591836734693877</v>
      </c>
      <c r="AB50" s="69">
        <f>SUM(T$2:T50)/COUNTA($P$2:$P50)</f>
        <v>0.32653061224489793</v>
      </c>
      <c r="AC50" s="69">
        <f>SUM(U$2:U50)/COUNTA($P$2:$P50)</f>
        <v>0.79591836734693877</v>
      </c>
      <c r="AD50" s="69">
        <f>SUM(V$2:V50)/COUNTA($P$2:$P50)</f>
        <v>0.89795918367346939</v>
      </c>
      <c r="AE50" s="70">
        <f t="shared" ref="AE50:AE64" si="24">AVERAGE(Y50:AD50)</f>
        <v>0.6394557823129251</v>
      </c>
      <c r="AF50" s="58" t="e">
        <f t="shared" ca="1" si="22"/>
        <v>#N/A</v>
      </c>
      <c r="AG50" s="58" t="e">
        <f t="shared" ca="1" si="22"/>
        <v>#N/A</v>
      </c>
      <c r="AH50" s="58" t="e">
        <f t="shared" ca="1" si="22"/>
        <v>#N/A</v>
      </c>
      <c r="AI50" s="58" t="e">
        <f t="shared" ca="1" si="22"/>
        <v>#N/A</v>
      </c>
      <c r="AJ50" s="58" t="e">
        <f t="shared" ca="1" si="22"/>
        <v>#N/A</v>
      </c>
      <c r="AK50" s="58" t="e">
        <f t="shared" ca="1" si="22"/>
        <v>#N/A</v>
      </c>
      <c r="AL50" s="58" t="e">
        <f t="shared" ca="1" si="22"/>
        <v>#N/A</v>
      </c>
      <c r="AM50" s="62"/>
      <c r="AN50" s="72"/>
      <c r="AO50" s="72"/>
      <c r="AP50" s="72"/>
    </row>
    <row r="51" spans="1:42" ht="16.5" customHeight="1">
      <c r="A51" s="74" t="e">
        <f t="shared" ca="1" si="11"/>
        <v>#N/A</v>
      </c>
      <c r="B51" s="56">
        <f t="shared" si="10"/>
        <v>44197</v>
      </c>
      <c r="C51" s="59">
        <f ca="1">IF($B51&lt;=TODAY(),SUMIF('Stats 2020'!$M$24:$M$1048576,"&lt;="&amp;Graphs!$B51,'Stats 2020'!O$24:O$1048576),NA())</f>
        <v>179.25</v>
      </c>
      <c r="D51" s="59">
        <f t="shared" ca="1" si="12"/>
        <v>206.75</v>
      </c>
      <c r="E51" s="59">
        <f ca="1">IF($B51&lt;=TODAY(),SUMIF('Stats 2020'!$M$24:$M$1048576,"&lt;="&amp;Graphs!$B51,'Stats 2020'!Q$24:Q$1048576),NA())</f>
        <v>138</v>
      </c>
      <c r="F51" s="59">
        <f t="shared" ca="1" si="13"/>
        <v>206.75</v>
      </c>
      <c r="G51" s="59">
        <f ca="1">IF($B51&lt;=TODAY(),SUMIF('Stats 2020'!$M$24:$M$1048576,"&lt;="&amp;Graphs!$B51,'Stats 2020'!S$24:S$1048576),NA())</f>
        <v>143.5</v>
      </c>
      <c r="H51" s="59">
        <f ca="1">IF($B51&lt;=TODAY(),SUMIF('Stats 2020'!$M$24:$M$1048576,"&lt;="&amp;Graphs!$B51,'Stats 2020'!T$24:T$1048576),NA())</f>
        <v>85.75</v>
      </c>
      <c r="I51" s="58" t="e">
        <f t="shared" ca="1" si="21"/>
        <v>#N/A</v>
      </c>
      <c r="J51" s="58" t="e">
        <f t="shared" ca="1" si="21"/>
        <v>#N/A</v>
      </c>
      <c r="K51" s="58" t="e">
        <f t="shared" ca="1" si="21"/>
        <v>#N/A</v>
      </c>
      <c r="L51" s="58" t="e">
        <f t="shared" ca="1" si="21"/>
        <v>#N/A</v>
      </c>
      <c r="M51" s="58" t="e">
        <f t="shared" ca="1" si="21"/>
        <v>#N/A</v>
      </c>
      <c r="N51" s="58" t="e">
        <f t="shared" ca="1" si="21"/>
        <v>#N/A</v>
      </c>
      <c r="O51" s="60"/>
      <c r="P51" s="65">
        <f t="shared" si="7"/>
        <v>44197</v>
      </c>
      <c r="Q51" s="66"/>
      <c r="R51" s="66"/>
      <c r="S51" s="66"/>
      <c r="T51" s="66"/>
      <c r="U51" s="66"/>
      <c r="V51" s="66"/>
      <c r="W51" s="66"/>
      <c r="X51" s="65">
        <f t="shared" si="23"/>
        <v>44197</v>
      </c>
      <c r="Y51" s="69">
        <f>SUM(Q$2:Q50)/COUNTA($P$2:$P50)</f>
        <v>0.79591836734693877</v>
      </c>
      <c r="Z51" s="69">
        <f>SUM(R$2:R50)/COUNTA($P$2:$P50)</f>
        <v>0.22448979591836735</v>
      </c>
      <c r="AA51" s="69">
        <f>SUM(S$2:S50)/COUNTA($P$2:$P50)</f>
        <v>0.79591836734693877</v>
      </c>
      <c r="AB51" s="69">
        <f>SUM(T$2:T50)/COUNTA($P$2:$P50)</f>
        <v>0.32653061224489793</v>
      </c>
      <c r="AC51" s="69">
        <f>SUM(U$2:U50)/COUNTA($P$2:$P50)</f>
        <v>0.79591836734693877</v>
      </c>
      <c r="AD51" s="69">
        <f>SUM(V$2:V50)/COUNTA($P$2:$P50)</f>
        <v>0.89795918367346939</v>
      </c>
      <c r="AE51" s="70">
        <f t="shared" si="24"/>
        <v>0.6394557823129251</v>
      </c>
      <c r="AF51" s="58" t="e">
        <f t="shared" ca="1" si="22"/>
        <v>#N/A</v>
      </c>
      <c r="AG51" s="58" t="e">
        <f t="shared" ca="1" si="22"/>
        <v>#N/A</v>
      </c>
      <c r="AH51" s="58" t="e">
        <f t="shared" ca="1" si="22"/>
        <v>#N/A</v>
      </c>
      <c r="AI51" s="58" t="e">
        <f t="shared" ca="1" si="22"/>
        <v>#N/A</v>
      </c>
      <c r="AJ51" s="58" t="e">
        <f t="shared" ca="1" si="22"/>
        <v>#N/A</v>
      </c>
      <c r="AK51" s="58" t="e">
        <f t="shared" ca="1" si="22"/>
        <v>#N/A</v>
      </c>
      <c r="AL51" s="58" t="e">
        <f t="shared" ca="1" si="22"/>
        <v>#N/A</v>
      </c>
      <c r="AP51" s="66"/>
    </row>
    <row r="52" spans="1:42" ht="16.5" customHeight="1">
      <c r="A52" s="74" t="e">
        <f t="shared" ca="1" si="11"/>
        <v>#N/A</v>
      </c>
      <c r="B52" s="56">
        <f t="shared" si="10"/>
        <v>44204</v>
      </c>
      <c r="C52" s="59">
        <f ca="1">IF($B52&lt;=TODAY(),SUMIF('Stats 2020'!$M$24:$M$1048576,"&lt;="&amp;Graphs!$B52,'Stats 2020'!O$24:O$1048576),NA())</f>
        <v>179.25</v>
      </c>
      <c r="D52" s="59">
        <f t="shared" ca="1" si="12"/>
        <v>206.75</v>
      </c>
      <c r="E52" s="59">
        <f ca="1">IF($B52&lt;=TODAY(),SUMIF('Stats 2020'!$M$24:$M$1048576,"&lt;="&amp;Graphs!$B52,'Stats 2020'!Q$24:Q$1048576),NA())</f>
        <v>149</v>
      </c>
      <c r="F52" s="59">
        <f t="shared" ca="1" si="13"/>
        <v>206.75</v>
      </c>
      <c r="G52" s="59">
        <f ca="1">IF($B52&lt;=TODAY(),SUMIF('Stats 2020'!$M$24:$M$1048576,"&lt;="&amp;Graphs!$B52,'Stats 2020'!S$24:S$1048576),NA())</f>
        <v>154.5</v>
      </c>
      <c r="H52" s="59">
        <f ca="1">IF($B52&lt;=TODAY(),SUMIF('Stats 2020'!$M$24:$M$1048576,"&lt;="&amp;Graphs!$B52,'Stats 2020'!T$24:T$1048576),NA())</f>
        <v>85.75</v>
      </c>
      <c r="I52" s="58" t="e">
        <f t="shared" ref="I52:N67" ca="1" si="25">VLOOKUP($A52,$B$1:$H$59,MATCH(I$1,$B$1:$H$1,0),0)</f>
        <v>#N/A</v>
      </c>
      <c r="J52" s="58" t="e">
        <f t="shared" ca="1" si="25"/>
        <v>#N/A</v>
      </c>
      <c r="K52" s="58" t="e">
        <f t="shared" ca="1" si="25"/>
        <v>#N/A</v>
      </c>
      <c r="L52" s="58" t="e">
        <f t="shared" ca="1" si="25"/>
        <v>#N/A</v>
      </c>
      <c r="M52" s="58" t="e">
        <f t="shared" ca="1" si="25"/>
        <v>#N/A</v>
      </c>
      <c r="N52" s="58" t="e">
        <f t="shared" ca="1" si="25"/>
        <v>#N/A</v>
      </c>
      <c r="O52" s="60"/>
      <c r="P52" s="65">
        <f t="shared" si="7"/>
        <v>44204</v>
      </c>
      <c r="Q52" s="66">
        <f>VLOOKUP($B52,'Stats 2020'!$D$25:$J$200,MATCH(Graphs!Q$1,'Stats 2020'!$D$18:$J$18,0),0)</f>
        <v>1</v>
      </c>
      <c r="R52" s="66" t="str">
        <f>VLOOKUP($B52,'Stats 2020'!$D$25:$J$200,MATCH(Graphs!R$1,'Stats 2020'!$D$18:$J$18,0),0)</f>
        <v/>
      </c>
      <c r="S52" s="66">
        <f>VLOOKUP($B52,'Stats 2020'!$D$25:$J$200,MATCH(Graphs!S$1,'Stats 2020'!$D$18:$J$18,0),0)</f>
        <v>0</v>
      </c>
      <c r="T52" s="66" t="str">
        <f>VLOOKUP($B52,'Stats 2020'!$D$25:$J$200,MATCH(Graphs!T$1,'Stats 2020'!$D$18:$J$18,0),0)</f>
        <v/>
      </c>
      <c r="U52" s="66">
        <f>VLOOKUP($B52,'Stats 2020'!$D$25:$J$200,MATCH(Graphs!U$1,'Stats 2020'!$D$18:$J$18,0),0)</f>
        <v>0</v>
      </c>
      <c r="V52" s="66">
        <f>VLOOKUP($B52,'Stats 2020'!$D$25:$J$200,MATCH(Graphs!V$1,'Stats 2020'!$D$18:$J$18,0),0)</f>
        <v>1</v>
      </c>
      <c r="W52" s="66"/>
      <c r="X52" s="65">
        <f t="shared" si="23"/>
        <v>44204</v>
      </c>
      <c r="Y52" s="69">
        <f>SUM(Q$2:Q52)/COUNTA($P$2:$P52)</f>
        <v>0.78431372549019607</v>
      </c>
      <c r="Z52" s="69">
        <f>SUM(R$2:R52)/COUNTA($P$2:$P52)</f>
        <v>0.21568627450980393</v>
      </c>
      <c r="AA52" s="69">
        <f>SUM(S$2:S52)/COUNTA($P$2:$P52)</f>
        <v>0.76470588235294112</v>
      </c>
      <c r="AB52" s="69">
        <f>SUM(T$2:T52)/COUNTA($P$2:$P52)</f>
        <v>0.31372549019607843</v>
      </c>
      <c r="AC52" s="69">
        <f>SUM(U$2:U52)/COUNTA($P$2:$P52)</f>
        <v>0.76470588235294112</v>
      </c>
      <c r="AD52" s="69">
        <f>SUM(V$2:V52)/COUNTA($P$2:$P52)</f>
        <v>0.88235294117647056</v>
      </c>
      <c r="AE52" s="70">
        <f t="shared" si="24"/>
        <v>0.62091503267973847</v>
      </c>
      <c r="AF52" s="58" t="e">
        <f t="shared" ref="AF52:AL67" ca="1" si="26">VLOOKUP($A52,$X$1:$AE$59,MATCH(AF$1,$X$1:$AE$1,0),0)</f>
        <v>#N/A</v>
      </c>
      <c r="AG52" s="58" t="e">
        <f t="shared" ca="1" si="26"/>
        <v>#N/A</v>
      </c>
      <c r="AH52" s="58" t="e">
        <f t="shared" ca="1" si="26"/>
        <v>#N/A</v>
      </c>
      <c r="AI52" s="58" t="e">
        <f t="shared" ca="1" si="26"/>
        <v>#N/A</v>
      </c>
      <c r="AJ52" s="58" t="e">
        <f t="shared" ca="1" si="26"/>
        <v>#N/A</v>
      </c>
      <c r="AK52" s="58" t="e">
        <f t="shared" ca="1" si="26"/>
        <v>#N/A</v>
      </c>
      <c r="AL52" s="58" t="e">
        <f t="shared" ca="1" si="26"/>
        <v>#N/A</v>
      </c>
      <c r="AP52" s="66"/>
    </row>
    <row r="53" spans="1:42" ht="16.5" customHeight="1">
      <c r="A53" s="74" t="e">
        <f t="shared" ca="1" si="11"/>
        <v>#N/A</v>
      </c>
      <c r="B53" s="56">
        <f t="shared" si="10"/>
        <v>44211</v>
      </c>
      <c r="C53" s="59">
        <f ca="1">IF($B53&lt;=TODAY(),SUMIF('Stats 2020'!$M$24:$M$1048576,"&lt;="&amp;Graphs!$B53,'Stats 2020'!O$24:O$1048576),NA())</f>
        <v>190.25</v>
      </c>
      <c r="D53" s="59">
        <f t="shared" ca="1" si="12"/>
        <v>217.75</v>
      </c>
      <c r="E53" s="59">
        <f ca="1">IF($B53&lt;=TODAY(),SUMIF('Stats 2020'!$M$24:$M$1048576,"&lt;="&amp;Graphs!$B53,'Stats 2020'!Q$24:Q$1048576),NA())</f>
        <v>160</v>
      </c>
      <c r="F53" s="59">
        <f t="shared" ca="1" si="13"/>
        <v>217.75</v>
      </c>
      <c r="G53" s="59">
        <f ca="1">IF($B53&lt;=TODAY(),SUMIF('Stats 2020'!$M$24:$M$1048576,"&lt;="&amp;Graphs!$B53,'Stats 2020'!S$24:S$1048576),NA())</f>
        <v>165.5</v>
      </c>
      <c r="H53" s="59">
        <f ca="1">IF($B53&lt;=TODAY(),SUMIF('Stats 2020'!$M$24:$M$1048576,"&lt;="&amp;Graphs!$B53,'Stats 2020'!T$24:T$1048576),NA())</f>
        <v>90.75</v>
      </c>
      <c r="I53" s="58" t="e">
        <f t="shared" ca="1" si="25"/>
        <v>#N/A</v>
      </c>
      <c r="J53" s="58" t="e">
        <f t="shared" ca="1" si="25"/>
        <v>#N/A</v>
      </c>
      <c r="K53" s="58" t="e">
        <f t="shared" ca="1" si="25"/>
        <v>#N/A</v>
      </c>
      <c r="L53" s="58" t="e">
        <f t="shared" ca="1" si="25"/>
        <v>#N/A</v>
      </c>
      <c r="M53" s="58" t="e">
        <f t="shared" ca="1" si="25"/>
        <v>#N/A</v>
      </c>
      <c r="N53" s="58" t="e">
        <f t="shared" ca="1" si="25"/>
        <v>#N/A</v>
      </c>
      <c r="O53" s="60"/>
      <c r="P53" s="65">
        <f t="shared" si="7"/>
        <v>44211</v>
      </c>
      <c r="Q53" s="66">
        <f>VLOOKUP($B53,'Stats 2020'!$D$25:$J$200,MATCH(Graphs!Q$1,'Stats 2020'!$D$18:$J$18,0),0)</f>
        <v>0</v>
      </c>
      <c r="R53" s="66">
        <f>VLOOKUP($B53,'Stats 2020'!$D$25:$J$200,MATCH(Graphs!R$1,'Stats 2020'!$D$18:$J$18,0),0)</f>
        <v>1</v>
      </c>
      <c r="S53" s="66">
        <f>VLOOKUP($B53,'Stats 2020'!$D$25:$J$200,MATCH(Graphs!S$1,'Stats 2020'!$D$18:$J$18,0),0)</f>
        <v>0</v>
      </c>
      <c r="T53" s="66">
        <f>VLOOKUP($B53,'Stats 2020'!$D$25:$J$200,MATCH(Graphs!T$1,'Stats 2020'!$D$18:$J$18,0),0)</f>
        <v>1</v>
      </c>
      <c r="U53" s="66">
        <f>VLOOKUP($B53,'Stats 2020'!$D$25:$J$200,MATCH(Graphs!U$1,'Stats 2020'!$D$18:$J$18,0),0)</f>
        <v>0</v>
      </c>
      <c r="V53" s="66">
        <f>VLOOKUP($B53,'Stats 2020'!$D$25:$J$200,MATCH(Graphs!V$1,'Stats 2020'!$D$18:$J$18,0),0)</f>
        <v>1</v>
      </c>
      <c r="W53" s="66"/>
      <c r="X53" s="65">
        <f t="shared" si="23"/>
        <v>44211</v>
      </c>
      <c r="Y53" s="69">
        <f>SUM(Q$2:Q52)/COUNTA($P$2:$P52)</f>
        <v>0.78431372549019607</v>
      </c>
      <c r="Z53" s="69">
        <f>SUM(R$2:R52)/COUNTA($P$2:$P52)</f>
        <v>0.21568627450980393</v>
      </c>
      <c r="AA53" s="69">
        <f>SUM(S$2:S52)/COUNTA($P$2:$P52)</f>
        <v>0.76470588235294112</v>
      </c>
      <c r="AB53" s="69">
        <f>SUM(T$2:T52)/COUNTA($P$2:$P52)</f>
        <v>0.31372549019607843</v>
      </c>
      <c r="AC53" s="69">
        <f>SUM(U$2:U52)/COUNTA($P$2:$P52)</f>
        <v>0.76470588235294112</v>
      </c>
      <c r="AD53" s="69">
        <f>SUM(V$2:V52)/COUNTA($P$2:$P52)</f>
        <v>0.88235294117647056</v>
      </c>
      <c r="AE53" s="70">
        <f t="shared" si="24"/>
        <v>0.62091503267973847</v>
      </c>
      <c r="AF53" s="58" t="e">
        <f t="shared" ca="1" si="26"/>
        <v>#N/A</v>
      </c>
      <c r="AG53" s="58" t="e">
        <f t="shared" ca="1" si="26"/>
        <v>#N/A</v>
      </c>
      <c r="AH53" s="58" t="e">
        <f t="shared" ca="1" si="26"/>
        <v>#N/A</v>
      </c>
      <c r="AI53" s="58" t="e">
        <f t="shared" ca="1" si="26"/>
        <v>#N/A</v>
      </c>
      <c r="AJ53" s="58" t="e">
        <f t="shared" ca="1" si="26"/>
        <v>#N/A</v>
      </c>
      <c r="AK53" s="58" t="e">
        <f t="shared" ca="1" si="26"/>
        <v>#N/A</v>
      </c>
      <c r="AL53" s="58" t="e">
        <f t="shared" ca="1" si="26"/>
        <v>#N/A</v>
      </c>
    </row>
    <row r="54" spans="1:42" ht="16.5" customHeight="1">
      <c r="A54" s="74" t="e">
        <f t="shared" ca="1" si="11"/>
        <v>#N/A</v>
      </c>
      <c r="B54" s="56">
        <f t="shared" si="10"/>
        <v>44218</v>
      </c>
      <c r="C54" s="59">
        <f ca="1">IF($B54&lt;=TODAY(),SUMIF('Stats 2020'!$M$24:$M$1048576,"&lt;="&amp;Graphs!$B54,'Stats 2020'!O$24:O$1048576),NA())</f>
        <v>190.25</v>
      </c>
      <c r="D54" s="59">
        <f t="shared" ca="1" si="12"/>
        <v>217.75</v>
      </c>
      <c r="E54" s="59">
        <f ca="1">IF($B54&lt;=TODAY(),SUMIF('Stats 2020'!$M$24:$M$1048576,"&lt;="&amp;Graphs!$B54,'Stats 2020'!Q$24:Q$1048576),NA())</f>
        <v>160</v>
      </c>
      <c r="F54" s="59">
        <f t="shared" ca="1" si="13"/>
        <v>217.75</v>
      </c>
      <c r="G54" s="59">
        <f ca="1">IF($B54&lt;=TODAY(),SUMIF('Stats 2020'!$M$24:$M$1048576,"&lt;="&amp;Graphs!$B54,'Stats 2020'!S$24:S$1048576),NA())</f>
        <v>165.5</v>
      </c>
      <c r="H54" s="59">
        <f ca="1">IF($B54&lt;=TODAY(),SUMIF('Stats 2020'!$M$24:$M$1048576,"&lt;="&amp;Graphs!$B54,'Stats 2020'!T$24:T$1048576),NA())</f>
        <v>90.75</v>
      </c>
      <c r="I54" s="58" t="e">
        <f t="shared" ca="1" si="25"/>
        <v>#N/A</v>
      </c>
      <c r="J54" s="58" t="e">
        <f t="shared" ca="1" si="25"/>
        <v>#N/A</v>
      </c>
      <c r="K54" s="58" t="e">
        <f t="shared" ca="1" si="25"/>
        <v>#N/A</v>
      </c>
      <c r="L54" s="58" t="e">
        <f t="shared" ca="1" si="25"/>
        <v>#N/A</v>
      </c>
      <c r="M54" s="58" t="e">
        <f t="shared" ca="1" si="25"/>
        <v>#N/A</v>
      </c>
      <c r="N54" s="58" t="e">
        <f t="shared" ca="1" si="25"/>
        <v>#N/A</v>
      </c>
      <c r="O54" s="60"/>
      <c r="P54" s="65">
        <f t="shared" si="7"/>
        <v>44218</v>
      </c>
      <c r="Q54" s="66">
        <f>VLOOKUP($B54,'Stats 2020'!$D$25:$J$200,MATCH(Graphs!Q$1,'Stats 2020'!$D$18:$J$18,0),0)</f>
        <v>1</v>
      </c>
      <c r="R54" s="66">
        <f>VLOOKUP($B54,'Stats 2020'!$D$25:$J$200,MATCH(Graphs!R$1,'Stats 2020'!$D$18:$J$18,0),0)</f>
        <v>1</v>
      </c>
      <c r="S54" s="66">
        <f>VLOOKUP($B54,'Stats 2020'!$D$25:$J$200,MATCH(Graphs!S$1,'Stats 2020'!$D$18:$J$18,0),0)</f>
        <v>1</v>
      </c>
      <c r="T54" s="66">
        <f>VLOOKUP($B54,'Stats 2020'!$D$25:$J$200,MATCH(Graphs!T$1,'Stats 2020'!$D$18:$J$18,0),0)</f>
        <v>1</v>
      </c>
      <c r="U54" s="66">
        <f>VLOOKUP($B54,'Stats 2020'!$D$25:$J$200,MATCH(Graphs!U$1,'Stats 2020'!$D$18:$J$18,0),0)</f>
        <v>1</v>
      </c>
      <c r="V54" s="66">
        <f>VLOOKUP($B54,'Stats 2020'!$D$25:$J$200,MATCH(Graphs!V$1,'Stats 2020'!$D$18:$J$18,0),0)</f>
        <v>1</v>
      </c>
      <c r="W54" s="66"/>
      <c r="X54" s="65">
        <f t="shared" si="23"/>
        <v>44218</v>
      </c>
      <c r="Y54" s="69">
        <f>SUM(Q$2:Q54)/COUNTA($P$2:$P54)</f>
        <v>0.77358490566037741</v>
      </c>
      <c r="Z54" s="69">
        <f>SUM(R$2:R54)/COUNTA($P$2:$P54)</f>
        <v>0.24528301886792453</v>
      </c>
      <c r="AA54" s="69">
        <f>SUM(S$2:S54)/COUNTA($P$2:$P54)</f>
        <v>0.75471698113207553</v>
      </c>
      <c r="AB54" s="69">
        <f>SUM(T$2:T54)/COUNTA($P$2:$P54)</f>
        <v>0.33962264150943394</v>
      </c>
      <c r="AC54" s="69">
        <f>SUM(U$2:U54)/COUNTA($P$2:$P54)</f>
        <v>0.75471698113207553</v>
      </c>
      <c r="AD54" s="69">
        <f>SUM(V$2:V54)/COUNTA($P$2:$P54)</f>
        <v>0.8867924528301887</v>
      </c>
      <c r="AE54" s="70">
        <f t="shared" si="24"/>
        <v>0.62578616352201266</v>
      </c>
      <c r="AF54" s="58" t="e">
        <f t="shared" ca="1" si="26"/>
        <v>#N/A</v>
      </c>
      <c r="AG54" s="58" t="e">
        <f t="shared" ca="1" si="26"/>
        <v>#N/A</v>
      </c>
      <c r="AH54" s="58" t="e">
        <f t="shared" ca="1" si="26"/>
        <v>#N/A</v>
      </c>
      <c r="AI54" s="58" t="e">
        <f t="shared" ca="1" si="26"/>
        <v>#N/A</v>
      </c>
      <c r="AJ54" s="58" t="e">
        <f t="shared" ca="1" si="26"/>
        <v>#N/A</v>
      </c>
      <c r="AK54" s="58" t="e">
        <f t="shared" ca="1" si="26"/>
        <v>#N/A</v>
      </c>
      <c r="AL54" s="58" t="e">
        <f t="shared" ca="1" si="26"/>
        <v>#N/A</v>
      </c>
    </row>
    <row r="55" spans="1:42" ht="16.5" customHeight="1">
      <c r="A55" s="74" t="e">
        <f t="shared" ca="1" si="11"/>
        <v>#N/A</v>
      </c>
      <c r="B55" s="56">
        <f t="shared" si="10"/>
        <v>44225</v>
      </c>
      <c r="C55" s="59">
        <f ca="1">IF($B55&lt;=TODAY(),SUMIF('Stats 2020'!$M$24:$M$1048576,"&lt;="&amp;Graphs!$B55,'Stats 2020'!O$24:O$1048576),NA())</f>
        <v>201.25</v>
      </c>
      <c r="D55" s="59">
        <f t="shared" ca="1" si="12"/>
        <v>228.75</v>
      </c>
      <c r="E55" s="59">
        <f ca="1">IF($B55&lt;=TODAY(),SUMIF('Stats 2020'!$M$24:$M$1048576,"&lt;="&amp;Graphs!$B55,'Stats 2020'!Q$24:Q$1048576),NA())</f>
        <v>160</v>
      </c>
      <c r="F55" s="59">
        <f t="shared" ca="1" si="13"/>
        <v>228.75</v>
      </c>
      <c r="G55" s="59">
        <f ca="1">IF($B55&lt;=TODAY(),SUMIF('Stats 2020'!$M$24:$M$1048576,"&lt;="&amp;Graphs!$B55,'Stats 2020'!S$24:S$1048576),NA())</f>
        <v>165.5</v>
      </c>
      <c r="H55" s="59">
        <f ca="1">IF($B55&lt;=TODAY(),SUMIF('Stats 2020'!$M$24:$M$1048576,"&lt;="&amp;Graphs!$B55,'Stats 2020'!T$24:T$1048576),NA())</f>
        <v>101.75</v>
      </c>
      <c r="I55" s="58" t="e">
        <f t="shared" ca="1" si="25"/>
        <v>#N/A</v>
      </c>
      <c r="J55" s="58" t="e">
        <f t="shared" ca="1" si="25"/>
        <v>#N/A</v>
      </c>
      <c r="K55" s="58" t="e">
        <f t="shared" ca="1" si="25"/>
        <v>#N/A</v>
      </c>
      <c r="L55" s="58" t="e">
        <f t="shared" ca="1" si="25"/>
        <v>#N/A</v>
      </c>
      <c r="M55" s="58" t="e">
        <f t="shared" ca="1" si="25"/>
        <v>#N/A</v>
      </c>
      <c r="N55" s="58" t="e">
        <f t="shared" ca="1" si="25"/>
        <v>#N/A</v>
      </c>
      <c r="O55" s="60"/>
      <c r="P55" s="65">
        <f t="shared" si="7"/>
        <v>44225</v>
      </c>
      <c r="Q55" s="66">
        <f>VLOOKUP($B55,'Stats 2020'!$D$25:$J$200,MATCH(Graphs!Q$1,'Stats 2020'!$D$18:$J$18,0),0)</f>
        <v>0</v>
      </c>
      <c r="R55" s="66" t="str">
        <f>VLOOKUP($B55,'Stats 2020'!$D$25:$J$200,MATCH(Graphs!R$1,'Stats 2020'!$D$18:$J$18,0),0)</f>
        <v/>
      </c>
      <c r="S55" s="66">
        <f>VLOOKUP($B55,'Stats 2020'!$D$25:$J$200,MATCH(Graphs!S$1,'Stats 2020'!$D$18:$J$18,0),0)</f>
        <v>1</v>
      </c>
      <c r="T55" s="66" t="str">
        <f>VLOOKUP($B55,'Stats 2020'!$D$25:$J$200,MATCH(Graphs!T$1,'Stats 2020'!$D$18:$J$18,0),0)</f>
        <v/>
      </c>
      <c r="U55" s="66">
        <f>VLOOKUP($B55,'Stats 2020'!$D$25:$J$200,MATCH(Graphs!U$1,'Stats 2020'!$D$18:$J$18,0),0)</f>
        <v>1</v>
      </c>
      <c r="V55" s="66">
        <f>VLOOKUP($B55,'Stats 2020'!$D$25:$J$200,MATCH(Graphs!V$1,'Stats 2020'!$D$18:$J$18,0),0)</f>
        <v>0</v>
      </c>
      <c r="W55" s="66"/>
      <c r="X55" s="65">
        <f t="shared" si="23"/>
        <v>44225</v>
      </c>
      <c r="Y55" s="69">
        <f>SUM(Q$2:Q54)/COUNTA($P$2:$P54)</f>
        <v>0.77358490566037741</v>
      </c>
      <c r="Z55" s="69">
        <f>SUM(R$2:R54)/COUNTA($P$2:$P54)</f>
        <v>0.24528301886792453</v>
      </c>
      <c r="AA55" s="69">
        <f>SUM(S$2:S54)/COUNTA($P$2:$P54)</f>
        <v>0.75471698113207553</v>
      </c>
      <c r="AB55" s="69">
        <f>SUM(T$2:T54)/COUNTA($P$2:$P54)</f>
        <v>0.33962264150943394</v>
      </c>
      <c r="AC55" s="69">
        <f>SUM(U$2:U54)/COUNTA($P$2:$P54)</f>
        <v>0.75471698113207553</v>
      </c>
      <c r="AD55" s="69">
        <f>SUM(V$2:V54)/COUNTA($P$2:$P54)</f>
        <v>0.8867924528301887</v>
      </c>
      <c r="AE55" s="70">
        <f t="shared" si="24"/>
        <v>0.62578616352201266</v>
      </c>
      <c r="AF55" s="58" t="e">
        <f t="shared" ca="1" si="26"/>
        <v>#N/A</v>
      </c>
      <c r="AG55" s="58" t="e">
        <f t="shared" ca="1" si="26"/>
        <v>#N/A</v>
      </c>
      <c r="AH55" s="58" t="e">
        <f t="shared" ca="1" si="26"/>
        <v>#N/A</v>
      </c>
      <c r="AI55" s="58" t="e">
        <f t="shared" ca="1" si="26"/>
        <v>#N/A</v>
      </c>
      <c r="AJ55" s="58" t="e">
        <f t="shared" ca="1" si="26"/>
        <v>#N/A</v>
      </c>
      <c r="AK55" s="58" t="e">
        <f t="shared" ca="1" si="26"/>
        <v>#N/A</v>
      </c>
      <c r="AL55" s="58" t="e">
        <f t="shared" ca="1" si="26"/>
        <v>#N/A</v>
      </c>
      <c r="AM55" s="61"/>
      <c r="AN55" s="71"/>
      <c r="AO55" s="71"/>
      <c r="AP55" s="72"/>
    </row>
    <row r="56" spans="1:42" ht="16.5" customHeight="1">
      <c r="A56" s="74" t="e">
        <f t="shared" ca="1" si="11"/>
        <v>#N/A</v>
      </c>
      <c r="B56" s="56">
        <f t="shared" si="10"/>
        <v>44232</v>
      </c>
      <c r="C56" s="59">
        <f ca="1">IF($B56&lt;=TODAY(),SUMIF('Stats 2020'!$M$24:$M$1048576,"&lt;="&amp;Graphs!$B56,'Stats 2020'!O$24:O$1048576),NA())</f>
        <v>201.25</v>
      </c>
      <c r="D56" s="59">
        <f t="shared" ca="1" si="12"/>
        <v>228.75</v>
      </c>
      <c r="E56" s="59">
        <f ca="1">IF($B56&lt;=TODAY(),SUMIF('Stats 2020'!$M$24:$M$1048576,"&lt;="&amp;Graphs!$B56,'Stats 2020'!Q$24:Q$1048576),NA())</f>
        <v>160</v>
      </c>
      <c r="F56" s="59">
        <f t="shared" ca="1" si="13"/>
        <v>228.75</v>
      </c>
      <c r="G56" s="59">
        <f ca="1">IF($B56&lt;=TODAY(),SUMIF('Stats 2020'!$M$24:$M$1048576,"&lt;="&amp;Graphs!$B56,'Stats 2020'!S$24:S$1048576),NA())</f>
        <v>165.5</v>
      </c>
      <c r="H56" s="59">
        <f ca="1">IF($B56&lt;=TODAY(),SUMIF('Stats 2020'!$M$24:$M$1048576,"&lt;="&amp;Graphs!$B56,'Stats 2020'!T$24:T$1048576),NA())</f>
        <v>101.75</v>
      </c>
      <c r="I56" s="58" t="e">
        <f t="shared" ca="1" si="25"/>
        <v>#N/A</v>
      </c>
      <c r="J56" s="58" t="e">
        <f t="shared" ca="1" si="25"/>
        <v>#N/A</v>
      </c>
      <c r="K56" s="58" t="e">
        <f t="shared" ca="1" si="25"/>
        <v>#N/A</v>
      </c>
      <c r="L56" s="58" t="e">
        <f t="shared" ca="1" si="25"/>
        <v>#N/A</v>
      </c>
      <c r="M56" s="58" t="e">
        <f t="shared" ca="1" si="25"/>
        <v>#N/A</v>
      </c>
      <c r="N56" s="58" t="e">
        <f t="shared" ca="1" si="25"/>
        <v>#N/A</v>
      </c>
      <c r="O56" s="60"/>
      <c r="P56" s="65">
        <f t="shared" si="7"/>
        <v>44232</v>
      </c>
      <c r="Q56" s="66">
        <f>VLOOKUP($B56,'Stats 2020'!$D$25:$J$200,MATCH(Graphs!Q$1,'Stats 2020'!$D$18:$J$18,0),0)</f>
        <v>1</v>
      </c>
      <c r="R56" s="66">
        <f>VLOOKUP($B56,'Stats 2020'!$D$25:$J$200,MATCH(Graphs!R$1,'Stats 2020'!$D$18:$J$18,0),0)</f>
        <v>1</v>
      </c>
      <c r="S56" s="66">
        <f>VLOOKUP($B56,'Stats 2020'!$D$25:$J$200,MATCH(Graphs!S$1,'Stats 2020'!$D$18:$J$18,0),0)</f>
        <v>1</v>
      </c>
      <c r="T56" s="66">
        <f>VLOOKUP($B56,'Stats 2020'!$D$25:$J$200,MATCH(Graphs!T$1,'Stats 2020'!$D$18:$J$18,0),0)</f>
        <v>1</v>
      </c>
      <c r="U56" s="66">
        <f>VLOOKUP($B56,'Stats 2020'!$D$25:$J$200,MATCH(Graphs!U$1,'Stats 2020'!$D$18:$J$18,0),0)</f>
        <v>1</v>
      </c>
      <c r="V56" s="66">
        <f>VLOOKUP($B56,'Stats 2020'!$D$25:$J$200,MATCH(Graphs!V$1,'Stats 2020'!$D$18:$J$18,0),0)</f>
        <v>1</v>
      </c>
      <c r="W56" s="66"/>
      <c r="X56" s="65">
        <f>B56</f>
        <v>44232</v>
      </c>
      <c r="Y56" s="69">
        <f>SUM(Q$2:Q56)/COUNTA($P$2:$P56)</f>
        <v>0.76363636363636367</v>
      </c>
      <c r="Z56" s="69">
        <f>SUM(R$2:R56)/COUNTA($P$2:$P56)</f>
        <v>0.25454545454545452</v>
      </c>
      <c r="AA56" s="69">
        <f>SUM(S$2:S56)/COUNTA($P$2:$P56)</f>
        <v>0.76363636363636367</v>
      </c>
      <c r="AB56" s="69">
        <f>SUM(T$2:T56)/COUNTA($P$2:$P56)</f>
        <v>0.34545454545454546</v>
      </c>
      <c r="AC56" s="69">
        <f>SUM(U$2:U56)/COUNTA($P$2:$P56)</f>
        <v>0.76363636363636367</v>
      </c>
      <c r="AD56" s="69">
        <f>SUM(V$2:V56)/COUNTA($P$2:$P56)</f>
        <v>0.87272727272727268</v>
      </c>
      <c r="AE56" s="70">
        <f t="shared" si="24"/>
        <v>0.6272727272727272</v>
      </c>
      <c r="AF56" s="58" t="e">
        <f t="shared" ca="1" si="26"/>
        <v>#N/A</v>
      </c>
      <c r="AG56" s="58" t="e">
        <f t="shared" ca="1" si="26"/>
        <v>#N/A</v>
      </c>
      <c r="AH56" s="58" t="e">
        <f t="shared" ca="1" si="26"/>
        <v>#N/A</v>
      </c>
      <c r="AI56" s="58" t="e">
        <f t="shared" ca="1" si="26"/>
        <v>#N/A</v>
      </c>
      <c r="AJ56" s="58" t="e">
        <f t="shared" ca="1" si="26"/>
        <v>#N/A</v>
      </c>
      <c r="AK56" s="58" t="e">
        <f t="shared" ca="1" si="26"/>
        <v>#N/A</v>
      </c>
      <c r="AL56" s="58" t="e">
        <f t="shared" ca="1" si="26"/>
        <v>#N/A</v>
      </c>
      <c r="AM56" s="62"/>
      <c r="AN56" s="72"/>
      <c r="AO56" s="71"/>
      <c r="AP56" s="72"/>
    </row>
    <row r="57" spans="1:42" ht="16.5" customHeight="1">
      <c r="A57" s="74" t="e">
        <f t="shared" ca="1" si="11"/>
        <v>#N/A</v>
      </c>
      <c r="B57" s="56">
        <f t="shared" si="10"/>
        <v>44239</v>
      </c>
      <c r="C57" s="59">
        <f ca="1">IF($B57&lt;=TODAY(),SUMIF('Stats 2020'!$M$24:$M$1048576,"&lt;="&amp;Graphs!$B57,'Stats 2020'!O$24:O$1048576),NA())</f>
        <v>201.25</v>
      </c>
      <c r="D57" s="59">
        <f t="shared" ca="1" si="12"/>
        <v>228.75</v>
      </c>
      <c r="E57" s="59">
        <f ca="1">IF($B57&lt;=TODAY(),SUMIF('Stats 2020'!$M$24:$M$1048576,"&lt;="&amp;Graphs!$B57,'Stats 2020'!Q$24:Q$1048576),NA())</f>
        <v>160</v>
      </c>
      <c r="F57" s="59">
        <f t="shared" ca="1" si="13"/>
        <v>228.75</v>
      </c>
      <c r="G57" s="59">
        <f ca="1">IF($B57&lt;=TODAY(),SUMIF('Stats 2020'!$M$24:$M$1048576,"&lt;="&amp;Graphs!$B57,'Stats 2020'!S$24:S$1048576),NA())</f>
        <v>165.5</v>
      </c>
      <c r="H57" s="59">
        <f ca="1">IF($B57&lt;=TODAY(),SUMIF('Stats 2020'!$M$24:$M$1048576,"&lt;="&amp;Graphs!$B57,'Stats 2020'!T$24:T$1048576),NA())</f>
        <v>101.75</v>
      </c>
      <c r="I57" s="58" t="e">
        <f t="shared" ca="1" si="25"/>
        <v>#N/A</v>
      </c>
      <c r="J57" s="58" t="e">
        <f t="shared" ca="1" si="25"/>
        <v>#N/A</v>
      </c>
      <c r="K57" s="58" t="e">
        <f t="shared" ca="1" si="25"/>
        <v>#N/A</v>
      </c>
      <c r="L57" s="58" t="e">
        <f t="shared" ca="1" si="25"/>
        <v>#N/A</v>
      </c>
      <c r="M57" s="58" t="e">
        <f t="shared" ca="1" si="25"/>
        <v>#N/A</v>
      </c>
      <c r="N57" s="58" t="e">
        <f t="shared" ca="1" si="25"/>
        <v>#N/A</v>
      </c>
      <c r="O57" s="60"/>
      <c r="P57" s="65">
        <f t="shared" si="7"/>
        <v>44239</v>
      </c>
      <c r="Q57" s="66">
        <f>VLOOKUP($B57,'Stats 2020'!$D$25:$J$200,MATCH(Graphs!Q$1,'Stats 2020'!$D$18:$J$18,0),0)</f>
        <v>1</v>
      </c>
      <c r="R57" s="66">
        <f>VLOOKUP($B57,'Stats 2020'!$D$25:$J$200,MATCH(Graphs!R$1,'Stats 2020'!$D$18:$J$18,0),0)</f>
        <v>1</v>
      </c>
      <c r="S57" s="66">
        <f>VLOOKUP($B57,'Stats 2020'!$D$25:$J$200,MATCH(Graphs!S$1,'Stats 2020'!$D$18:$J$18,0),0)</f>
        <v>1</v>
      </c>
      <c r="T57" s="66" t="str">
        <f>VLOOKUP($B57,'Stats 2020'!$D$25:$J$200,MATCH(Graphs!T$1,'Stats 2020'!$D$18:$J$18,0),0)</f>
        <v/>
      </c>
      <c r="U57" s="66">
        <f>VLOOKUP($B57,'Stats 2020'!$D$25:$J$200,MATCH(Graphs!U$1,'Stats 2020'!$D$18:$J$18,0),0)</f>
        <v>1</v>
      </c>
      <c r="V57" s="66">
        <f>VLOOKUP($B57,'Stats 2020'!$D$25:$J$200,MATCH(Graphs!V$1,'Stats 2020'!$D$18:$J$18,0),0)</f>
        <v>1</v>
      </c>
      <c r="W57" s="66"/>
      <c r="X57" s="65">
        <f>B57</f>
        <v>44239</v>
      </c>
      <c r="Y57" s="69">
        <f>SUM(Q$2:Q56)/COUNTA($P$2:$P56)</f>
        <v>0.76363636363636367</v>
      </c>
      <c r="Z57" s="69">
        <f>SUM(R$2:R56)/COUNTA($P$2:$P56)</f>
        <v>0.25454545454545452</v>
      </c>
      <c r="AA57" s="69">
        <f>SUM(S$2:S56)/COUNTA($P$2:$P56)</f>
        <v>0.76363636363636367</v>
      </c>
      <c r="AB57" s="69">
        <f>SUM(T$2:T56)/COUNTA($P$2:$P56)</f>
        <v>0.34545454545454546</v>
      </c>
      <c r="AC57" s="69">
        <f>SUM(U$2:U56)/COUNTA($P$2:$P56)</f>
        <v>0.76363636363636367</v>
      </c>
      <c r="AD57" s="69">
        <f>SUM(V$2:V56)/COUNTA($P$2:$P56)</f>
        <v>0.87272727272727268</v>
      </c>
      <c r="AE57" s="70">
        <f t="shared" si="24"/>
        <v>0.6272727272727272</v>
      </c>
      <c r="AF57" s="58" t="e">
        <f t="shared" ca="1" si="26"/>
        <v>#N/A</v>
      </c>
      <c r="AG57" s="58" t="e">
        <f t="shared" ca="1" si="26"/>
        <v>#N/A</v>
      </c>
      <c r="AH57" s="58" t="e">
        <f t="shared" ca="1" si="26"/>
        <v>#N/A</v>
      </c>
      <c r="AI57" s="58" t="e">
        <f t="shared" ca="1" si="26"/>
        <v>#N/A</v>
      </c>
      <c r="AJ57" s="58" t="e">
        <f t="shared" ca="1" si="26"/>
        <v>#N/A</v>
      </c>
      <c r="AK57" s="58" t="e">
        <f t="shared" ca="1" si="26"/>
        <v>#N/A</v>
      </c>
      <c r="AL57" s="58" t="e">
        <f t="shared" ca="1" si="26"/>
        <v>#N/A</v>
      </c>
      <c r="AM57" s="62"/>
      <c r="AN57" s="72"/>
      <c r="AO57" s="72"/>
      <c r="AP57" s="72"/>
    </row>
    <row r="58" spans="1:42" ht="24.75" customHeight="1">
      <c r="A58" s="74" t="e">
        <f t="shared" ca="1" si="11"/>
        <v>#N/A</v>
      </c>
      <c r="B58" s="56">
        <f t="shared" si="10"/>
        <v>44246</v>
      </c>
      <c r="C58" s="59">
        <f ca="1">IF($B58&lt;=TODAY(),SUMIF('Stats 2020'!$M$24:$M$1048576,"&lt;="&amp;Graphs!$B58,'Stats 2020'!O$24:O$1048576),NA())</f>
        <v>201.25</v>
      </c>
      <c r="D58" s="59">
        <f t="shared" ca="1" si="12"/>
        <v>228.75</v>
      </c>
      <c r="E58" s="59">
        <f ca="1">IF($B58&lt;=TODAY(),SUMIF('Stats 2020'!$M$24:$M$1048576,"&lt;="&amp;Graphs!$B58,'Stats 2020'!Q$24:Q$1048576),NA())</f>
        <v>171</v>
      </c>
      <c r="F58" s="59">
        <f t="shared" ca="1" si="13"/>
        <v>228.75</v>
      </c>
      <c r="G58" s="59">
        <f ca="1">IF($B58&lt;=TODAY(),SUMIF('Stats 2020'!$M$24:$M$1048576,"&lt;="&amp;Graphs!$B58,'Stats 2020'!S$24:S$1048576),NA())</f>
        <v>176.5</v>
      </c>
      <c r="H58" s="59">
        <f ca="1">IF($B58&lt;=TODAY(),SUMIF('Stats 2020'!$M$24:$M$1048576,"&lt;="&amp;Graphs!$B58,'Stats 2020'!T$24:T$1048576),NA())</f>
        <v>101.75</v>
      </c>
      <c r="I58" s="58" t="e">
        <f t="shared" ca="1" si="25"/>
        <v>#N/A</v>
      </c>
      <c r="J58" s="58" t="e">
        <f t="shared" ca="1" si="25"/>
        <v>#N/A</v>
      </c>
      <c r="K58" s="58" t="e">
        <f t="shared" ca="1" si="25"/>
        <v>#N/A</v>
      </c>
      <c r="L58" s="58" t="e">
        <f t="shared" ca="1" si="25"/>
        <v>#N/A</v>
      </c>
      <c r="M58" s="58" t="e">
        <f t="shared" ca="1" si="25"/>
        <v>#N/A</v>
      </c>
      <c r="N58" s="58" t="e">
        <f t="shared" ca="1" si="25"/>
        <v>#N/A</v>
      </c>
      <c r="O58" s="60"/>
      <c r="P58" s="65">
        <f t="shared" si="7"/>
        <v>44246</v>
      </c>
      <c r="Q58" s="66">
        <f>VLOOKUP($B58,'Stats 2020'!$D$25:$J$200,MATCH(Graphs!Q$1,'Stats 2020'!$D$18:$J$18,0),0)</f>
        <v>1</v>
      </c>
      <c r="R58" s="66">
        <f>VLOOKUP($B58,'Stats 2020'!$D$25:$J$200,MATCH(Graphs!R$1,'Stats 2020'!$D$18:$J$18,0),0)</f>
        <v>1</v>
      </c>
      <c r="S58" s="66">
        <f>VLOOKUP($B58,'Stats 2020'!$D$25:$J$200,MATCH(Graphs!S$1,'Stats 2020'!$D$18:$J$18,0),0)</f>
        <v>0</v>
      </c>
      <c r="T58" s="66" t="str">
        <f>VLOOKUP($B58,'Stats 2020'!$D$25:$J$200,MATCH(Graphs!T$1,'Stats 2020'!$D$18:$J$18,0),0)</f>
        <v/>
      </c>
      <c r="U58" s="66">
        <f>VLOOKUP($B58,'Stats 2020'!$D$25:$J$200,MATCH(Graphs!U$1,'Stats 2020'!$D$18:$J$18,0),0)</f>
        <v>0</v>
      </c>
      <c r="V58" s="66">
        <f>VLOOKUP($B58,'Stats 2020'!$D$25:$J$200,MATCH(Graphs!V$1,'Stats 2020'!$D$18:$J$18,0),0)</f>
        <v>1</v>
      </c>
      <c r="W58" s="66"/>
      <c r="X58" s="65">
        <f>B58</f>
        <v>44246</v>
      </c>
      <c r="Y58" s="69">
        <f>SUM(Q$2:Q58)/COUNTA($P$2:$P58)</f>
        <v>0.77192982456140347</v>
      </c>
      <c r="Z58" s="69">
        <f>SUM(R$2:R58)/COUNTA($P$2:$P58)</f>
        <v>0.2807017543859649</v>
      </c>
      <c r="AA58" s="69">
        <f>SUM(S$2:S58)/COUNTA($P$2:$P58)</f>
        <v>0.75438596491228072</v>
      </c>
      <c r="AB58" s="69">
        <f>SUM(T$2:T58)/COUNTA($P$2:$P58)</f>
        <v>0.33333333333333331</v>
      </c>
      <c r="AC58" s="69">
        <f>SUM(U$2:U58)/COUNTA($P$2:$P58)</f>
        <v>0.75438596491228072</v>
      </c>
      <c r="AD58" s="69">
        <f>SUM(V$2:V58)/COUNTA($P$2:$P58)</f>
        <v>0.8771929824561403</v>
      </c>
      <c r="AE58" s="70">
        <f t="shared" si="24"/>
        <v>0.62865497076023391</v>
      </c>
      <c r="AF58" s="58" t="e">
        <f t="shared" ca="1" si="26"/>
        <v>#N/A</v>
      </c>
      <c r="AG58" s="58" t="e">
        <f t="shared" ca="1" si="26"/>
        <v>#N/A</v>
      </c>
      <c r="AH58" s="58" t="e">
        <f t="shared" ca="1" si="26"/>
        <v>#N/A</v>
      </c>
      <c r="AI58" s="58" t="e">
        <f t="shared" ca="1" si="26"/>
        <v>#N/A</v>
      </c>
      <c r="AJ58" s="58" t="e">
        <f t="shared" ca="1" si="26"/>
        <v>#N/A</v>
      </c>
      <c r="AK58" s="58" t="e">
        <f t="shared" ca="1" si="26"/>
        <v>#N/A</v>
      </c>
      <c r="AL58" s="58" t="e">
        <f t="shared" ca="1" si="26"/>
        <v>#N/A</v>
      </c>
      <c r="AP58" s="66"/>
    </row>
    <row r="59" spans="1:42" ht="24.75" customHeight="1">
      <c r="A59" s="74" t="e">
        <f t="shared" ca="1" si="11"/>
        <v>#N/A</v>
      </c>
      <c r="B59" s="56">
        <f t="shared" si="10"/>
        <v>44253</v>
      </c>
      <c r="C59" s="59">
        <f ca="1">IF($B59&lt;=TODAY(),SUMIF('Stats 2020'!$M$24:$M$1048576,"&lt;="&amp;Graphs!$B59,'Stats 2020'!O$24:O$1048576),NA())</f>
        <v>201.25</v>
      </c>
      <c r="D59" s="59">
        <f t="shared" ca="1" si="12"/>
        <v>228.75</v>
      </c>
      <c r="E59" s="59">
        <f ca="1">IF($B59&lt;=TODAY(),SUMIF('Stats 2020'!$M$24:$M$1048576,"&lt;="&amp;Graphs!$B59,'Stats 2020'!Q$24:Q$1048576),NA())</f>
        <v>171</v>
      </c>
      <c r="F59" s="59">
        <f t="shared" ca="1" si="13"/>
        <v>228.75</v>
      </c>
      <c r="G59" s="59">
        <f ca="1">IF($B59&lt;=TODAY(),SUMIF('Stats 2020'!$M$24:$M$1048576,"&lt;="&amp;Graphs!$B59,'Stats 2020'!S$24:S$1048576),NA())</f>
        <v>176.5</v>
      </c>
      <c r="H59" s="59">
        <f ca="1">IF($B59&lt;=TODAY(),SUMIF('Stats 2020'!$M$24:$M$1048576,"&lt;="&amp;Graphs!$B59,'Stats 2020'!T$24:T$1048576),NA())</f>
        <v>112.75</v>
      </c>
      <c r="I59" s="58" t="e">
        <f t="shared" ca="1" si="25"/>
        <v>#N/A</v>
      </c>
      <c r="J59" s="58" t="e">
        <f t="shared" ca="1" si="25"/>
        <v>#N/A</v>
      </c>
      <c r="K59" s="58" t="e">
        <f t="shared" ca="1" si="25"/>
        <v>#N/A</v>
      </c>
      <c r="L59" s="58" t="e">
        <f t="shared" ca="1" si="25"/>
        <v>#N/A</v>
      </c>
      <c r="M59" s="58" t="e">
        <f t="shared" ca="1" si="25"/>
        <v>#N/A</v>
      </c>
      <c r="N59" s="58" t="e">
        <f t="shared" ca="1" si="25"/>
        <v>#N/A</v>
      </c>
      <c r="O59" s="60"/>
      <c r="P59" s="65">
        <f t="shared" ref="P59" si="27">B59</f>
        <v>44253</v>
      </c>
      <c r="Q59" s="66">
        <f>VLOOKUP($B59,'Stats 2020'!$D$25:$J$200,MATCH(Graphs!Q$1,'Stats 2020'!$D$18:$J$18,0),0)</f>
        <v>1</v>
      </c>
      <c r="R59" s="66">
        <f>VLOOKUP($B59,'Stats 2020'!$D$25:$J$200,MATCH(Graphs!R$1,'Stats 2020'!$D$18:$J$18,0),0)</f>
        <v>1</v>
      </c>
      <c r="S59" s="66">
        <f>VLOOKUP($B59,'Stats 2020'!$D$25:$J$200,MATCH(Graphs!S$1,'Stats 2020'!$D$18:$J$18,0),0)</f>
        <v>1</v>
      </c>
      <c r="T59" s="66">
        <f>VLOOKUP($B59,'Stats 2020'!$D$25:$J$200,MATCH(Graphs!T$1,'Stats 2020'!$D$18:$J$18,0),0)</f>
        <v>1</v>
      </c>
      <c r="U59" s="66">
        <f>VLOOKUP($B59,'Stats 2020'!$D$25:$J$200,MATCH(Graphs!U$1,'Stats 2020'!$D$18:$J$18,0),0)</f>
        <v>1</v>
      </c>
      <c r="V59" s="66">
        <f>VLOOKUP($B59,'Stats 2020'!$D$25:$J$200,MATCH(Graphs!V$1,'Stats 2020'!$D$18:$J$18,0),0)</f>
        <v>0</v>
      </c>
      <c r="W59" s="66"/>
      <c r="X59" s="65">
        <f>B59</f>
        <v>44253</v>
      </c>
      <c r="Y59" s="69">
        <f>SUM(Q$2:Q58)/COUNTA($P$2:$P58)</f>
        <v>0.77192982456140347</v>
      </c>
      <c r="Z59" s="69">
        <f>SUM(R$2:R58)/COUNTA($P$2:$P58)</f>
        <v>0.2807017543859649</v>
      </c>
      <c r="AA59" s="69">
        <f>SUM(S$2:S58)/COUNTA($P$2:$P58)</f>
        <v>0.75438596491228072</v>
      </c>
      <c r="AB59" s="69">
        <f>SUM(T$2:T58)/COUNTA($P$2:$P58)</f>
        <v>0.33333333333333331</v>
      </c>
      <c r="AC59" s="69">
        <f>SUM(U$2:U58)/COUNTA($P$2:$P58)</f>
        <v>0.75438596491228072</v>
      </c>
      <c r="AD59" s="69">
        <f>SUM(V$2:V58)/COUNTA($P$2:$P58)</f>
        <v>0.8771929824561403</v>
      </c>
      <c r="AE59" s="70">
        <f t="shared" si="24"/>
        <v>0.62865497076023391</v>
      </c>
      <c r="AF59" s="58" t="e">
        <f t="shared" ca="1" si="26"/>
        <v>#N/A</v>
      </c>
      <c r="AG59" s="58" t="e">
        <f t="shared" ca="1" si="26"/>
        <v>#N/A</v>
      </c>
      <c r="AH59" s="58" t="e">
        <f t="shared" ca="1" si="26"/>
        <v>#N/A</v>
      </c>
      <c r="AI59" s="58" t="e">
        <f t="shared" ca="1" si="26"/>
        <v>#N/A</v>
      </c>
      <c r="AJ59" s="58" t="e">
        <f t="shared" ca="1" si="26"/>
        <v>#N/A</v>
      </c>
      <c r="AK59" s="58" t="e">
        <f t="shared" ca="1" si="26"/>
        <v>#N/A</v>
      </c>
      <c r="AL59" s="58" t="e">
        <f t="shared" ca="1" si="26"/>
        <v>#N/A</v>
      </c>
      <c r="AP59" s="66"/>
    </row>
    <row r="60" spans="1:42" ht="24.75" customHeight="1">
      <c r="A60" s="74" t="e">
        <f t="shared" ref="A60:A78" ca="1" si="28">IF(AND((TODAY()-B60)&lt;7,(TODAY()-B60&gt;=0)),B60,NA())</f>
        <v>#N/A</v>
      </c>
      <c r="B60" s="56">
        <f t="shared" si="10"/>
        <v>44260</v>
      </c>
      <c r="C60" s="59">
        <f ca="1">IF($B60&lt;=TODAY(),SUMIF('Stats 2020'!$M$24:$M$1048576,"&lt;="&amp;Graphs!$B60,'Stats 2020'!O$24:O$1048576),NA())</f>
        <v>212.25</v>
      </c>
      <c r="D60" s="59">
        <f t="shared" ca="1" si="12"/>
        <v>239.75</v>
      </c>
      <c r="E60" s="59">
        <f ca="1">IF($B60&lt;=TODAY(),SUMIF('Stats 2020'!$M$24:$M$1048576,"&lt;="&amp;Graphs!$B60,'Stats 2020'!Q$24:Q$1048576),NA())</f>
        <v>171</v>
      </c>
      <c r="F60" s="59">
        <f t="shared" ca="1" si="13"/>
        <v>239.75</v>
      </c>
      <c r="G60" s="59">
        <f ca="1">IF($B60&lt;=TODAY(),SUMIF('Stats 2020'!$M$24:$M$1048576,"&lt;="&amp;Graphs!$B60,'Stats 2020'!S$24:S$1048576),NA())</f>
        <v>176.5</v>
      </c>
      <c r="H60" s="59">
        <f ca="1">IF($B60&lt;=TODAY(),SUMIF('Stats 2020'!$M$24:$M$1048576,"&lt;="&amp;Graphs!$B60,'Stats 2020'!T$24:T$1048576),NA())</f>
        <v>112.75</v>
      </c>
      <c r="I60" s="58" t="e">
        <f t="shared" ca="1" si="25"/>
        <v>#N/A</v>
      </c>
      <c r="J60" s="58" t="e">
        <f t="shared" ca="1" si="25"/>
        <v>#N/A</v>
      </c>
      <c r="K60" s="58" t="e">
        <f t="shared" ca="1" si="25"/>
        <v>#N/A</v>
      </c>
      <c r="L60" s="58" t="e">
        <f t="shared" ca="1" si="25"/>
        <v>#N/A</v>
      </c>
      <c r="M60" s="58" t="e">
        <f t="shared" ca="1" si="25"/>
        <v>#N/A</v>
      </c>
      <c r="N60" s="58" t="e">
        <f t="shared" ca="1" si="25"/>
        <v>#N/A</v>
      </c>
      <c r="O60" s="60"/>
      <c r="P60" s="65">
        <f t="shared" ref="P60" si="29">B61</f>
        <v>44267</v>
      </c>
      <c r="Q60" s="66">
        <f>VLOOKUP($B60,'Stats 2020'!$D$25:$J$200,MATCH(Graphs!Q$1,'Stats 2020'!$D$18:$J$18,0),0)</f>
        <v>0</v>
      </c>
      <c r="R60" s="66">
        <f>VLOOKUP($B60,'Stats 2020'!$D$25:$J$200,MATCH(Graphs!R$1,'Stats 2020'!$D$18:$J$18,0),0)</f>
        <v>1</v>
      </c>
      <c r="S60" s="66">
        <f>VLOOKUP($B60,'Stats 2020'!$D$25:$J$200,MATCH(Graphs!S$1,'Stats 2020'!$D$18:$J$18,0),0)</f>
        <v>1</v>
      </c>
      <c r="T60" s="66" t="str">
        <f>VLOOKUP($B60,'Stats 2020'!$D$25:$J$200,MATCH(Graphs!T$1,'Stats 2020'!$D$18:$J$18,0),0)</f>
        <v/>
      </c>
      <c r="U60" s="66">
        <f>VLOOKUP($B60,'Stats 2020'!$D$25:$J$200,MATCH(Graphs!U$1,'Stats 2020'!$D$18:$J$18,0),0)</f>
        <v>1</v>
      </c>
      <c r="V60" s="66">
        <f>VLOOKUP($B60,'Stats 2020'!$D$25:$J$200,MATCH(Graphs!V$1,'Stats 2020'!$D$18:$J$18,0),0)</f>
        <v>1</v>
      </c>
      <c r="W60" s="66"/>
      <c r="X60" s="65">
        <f t="shared" ref="X60:X78" si="30">B60</f>
        <v>44260</v>
      </c>
      <c r="Y60" s="69">
        <f>SUM(Q$2:Q60)/COUNTA($P$2:$P60)</f>
        <v>0.76271186440677963</v>
      </c>
      <c r="Z60" s="69">
        <f>SUM(R$2:R60)/COUNTA($P$2:$P60)</f>
        <v>0.30508474576271188</v>
      </c>
      <c r="AA60" s="69">
        <f>SUM(S$2:S60)/COUNTA($P$2:$P60)</f>
        <v>0.76271186440677963</v>
      </c>
      <c r="AB60" s="69">
        <f>SUM(T$2:T60)/COUNTA($P$2:$P60)</f>
        <v>0.33898305084745761</v>
      </c>
      <c r="AC60" s="69">
        <f>SUM(U$2:U60)/COUNTA($P$2:$P60)</f>
        <v>0.76271186440677963</v>
      </c>
      <c r="AD60" s="69">
        <f>SUM(V$2:V60)/COUNTA($P$2:$P60)</f>
        <v>0.86440677966101698</v>
      </c>
      <c r="AE60" s="70">
        <f t="shared" si="24"/>
        <v>0.63276836158192096</v>
      </c>
      <c r="AF60" s="58" t="e">
        <f t="shared" ca="1" si="26"/>
        <v>#N/A</v>
      </c>
      <c r="AG60" s="58" t="e">
        <f t="shared" ca="1" si="26"/>
        <v>#N/A</v>
      </c>
      <c r="AH60" s="58" t="e">
        <f t="shared" ca="1" si="26"/>
        <v>#N/A</v>
      </c>
      <c r="AI60" s="58" t="e">
        <f t="shared" ca="1" si="26"/>
        <v>#N/A</v>
      </c>
      <c r="AJ60" s="58" t="e">
        <f t="shared" ca="1" si="26"/>
        <v>#N/A</v>
      </c>
      <c r="AK60" s="58" t="e">
        <f t="shared" ca="1" si="26"/>
        <v>#N/A</v>
      </c>
      <c r="AL60" s="58" t="e">
        <f t="shared" ca="1" si="26"/>
        <v>#N/A</v>
      </c>
      <c r="AP60" s="66"/>
    </row>
    <row r="61" spans="1:42" ht="24.75" customHeight="1">
      <c r="A61" s="74" t="e">
        <f t="shared" ca="1" si="28"/>
        <v>#N/A</v>
      </c>
      <c r="B61" s="56">
        <f t="shared" si="10"/>
        <v>44267</v>
      </c>
      <c r="C61" s="59">
        <f ca="1">IF($B61&lt;=TODAY(),SUMIF('Stats 2020'!$M$24:$M$1048576,"&lt;="&amp;Graphs!$B61,'Stats 2020'!O$24:O$1048576),NA())</f>
        <v>212.25</v>
      </c>
      <c r="D61" s="59">
        <f t="shared" ca="1" si="12"/>
        <v>239.75</v>
      </c>
      <c r="E61" s="59">
        <f ca="1">IF($B61&lt;=TODAY(),SUMIF('Stats 2020'!$M$24:$M$1048576,"&lt;="&amp;Graphs!$B61,'Stats 2020'!Q$24:Q$1048576),NA())</f>
        <v>171</v>
      </c>
      <c r="F61" s="59">
        <f t="shared" ca="1" si="13"/>
        <v>239.75</v>
      </c>
      <c r="G61" s="59">
        <f ca="1">IF($B61&lt;=TODAY(),SUMIF('Stats 2020'!$M$24:$M$1048576,"&lt;="&amp;Graphs!$B61,'Stats 2020'!S$24:S$1048576),NA())</f>
        <v>176.5</v>
      </c>
      <c r="H61" s="59">
        <f ca="1">IF($B61&lt;=TODAY(),SUMIF('Stats 2020'!$M$24:$M$1048576,"&lt;="&amp;Graphs!$B61,'Stats 2020'!T$24:T$1048576),NA())</f>
        <v>112.75</v>
      </c>
      <c r="I61" s="58" t="e">
        <f t="shared" ca="1" si="25"/>
        <v>#N/A</v>
      </c>
      <c r="J61" s="58" t="e">
        <f t="shared" ca="1" si="25"/>
        <v>#N/A</v>
      </c>
      <c r="K61" s="58" t="e">
        <f t="shared" ca="1" si="25"/>
        <v>#N/A</v>
      </c>
      <c r="L61" s="58" t="e">
        <f t="shared" ca="1" si="25"/>
        <v>#N/A</v>
      </c>
      <c r="M61" s="58" t="e">
        <f t="shared" ca="1" si="25"/>
        <v>#N/A</v>
      </c>
      <c r="N61" s="58" t="e">
        <f t="shared" ca="1" si="25"/>
        <v>#N/A</v>
      </c>
      <c r="O61" s="60"/>
      <c r="Q61" s="66">
        <f>VLOOKUP($B61,'Stats 2020'!$D$25:$J$200,MATCH(Graphs!Q$1,'Stats 2020'!$D$18:$J$18,0),0)</f>
        <v>1</v>
      </c>
      <c r="R61" s="66">
        <f>VLOOKUP($B61,'Stats 2020'!$D$25:$J$200,MATCH(Graphs!R$1,'Stats 2020'!$D$18:$J$18,0),0)</f>
        <v>1</v>
      </c>
      <c r="S61" s="66">
        <f>VLOOKUP($B61,'Stats 2020'!$D$25:$J$200,MATCH(Graphs!S$1,'Stats 2020'!$D$18:$J$18,0),0)</f>
        <v>1</v>
      </c>
      <c r="T61" s="66">
        <f>VLOOKUP($B61,'Stats 2020'!$D$25:$J$200,MATCH(Graphs!T$1,'Stats 2020'!$D$18:$J$18,0),0)</f>
        <v>1</v>
      </c>
      <c r="U61" s="66">
        <f>VLOOKUP($B61,'Stats 2020'!$D$25:$J$200,MATCH(Graphs!U$1,'Stats 2020'!$D$18:$J$18,0),0)</f>
        <v>1</v>
      </c>
      <c r="V61" s="66">
        <f>VLOOKUP($B61,'Stats 2020'!$D$25:$J$200,MATCH(Graphs!V$1,'Stats 2020'!$D$18:$J$18,0),0)</f>
        <v>1</v>
      </c>
      <c r="W61" s="66"/>
      <c r="X61" s="65">
        <f t="shared" si="30"/>
        <v>44267</v>
      </c>
      <c r="Y61" s="69">
        <f>SUM(Q$2:Q60)/COUNTA($P$2:$P60)</f>
        <v>0.76271186440677963</v>
      </c>
      <c r="Z61" s="69">
        <f>SUM(R$2:R60)/COUNTA($P$2:$P60)</f>
        <v>0.30508474576271188</v>
      </c>
      <c r="AA61" s="69">
        <f>SUM(S$2:S60)/COUNTA($P$2:$P60)</f>
        <v>0.76271186440677963</v>
      </c>
      <c r="AB61" s="69">
        <f>SUM(T$2:T60)/COUNTA($P$2:$P60)</f>
        <v>0.33898305084745761</v>
      </c>
      <c r="AC61" s="69">
        <f>SUM(U$2:U60)/COUNTA($P$2:$P60)</f>
        <v>0.76271186440677963</v>
      </c>
      <c r="AD61" s="69">
        <f>SUM(V$2:V60)/COUNTA($P$2:$P60)</f>
        <v>0.86440677966101698</v>
      </c>
      <c r="AE61" s="70">
        <f t="shared" si="24"/>
        <v>0.63276836158192096</v>
      </c>
      <c r="AF61" s="58" t="e">
        <f t="shared" ca="1" si="26"/>
        <v>#N/A</v>
      </c>
      <c r="AG61" s="58" t="e">
        <f t="shared" ca="1" si="26"/>
        <v>#N/A</v>
      </c>
      <c r="AH61" s="58" t="e">
        <f t="shared" ca="1" si="26"/>
        <v>#N/A</v>
      </c>
      <c r="AI61" s="58" t="e">
        <f t="shared" ca="1" si="26"/>
        <v>#N/A</v>
      </c>
      <c r="AJ61" s="58" t="e">
        <f t="shared" ca="1" si="26"/>
        <v>#N/A</v>
      </c>
      <c r="AK61" s="58" t="e">
        <f t="shared" ca="1" si="26"/>
        <v>#N/A</v>
      </c>
      <c r="AL61" s="58" t="e">
        <f t="shared" ca="1" si="26"/>
        <v>#N/A</v>
      </c>
      <c r="AP61" s="66"/>
    </row>
    <row r="62" spans="1:42" ht="24.75" customHeight="1">
      <c r="A62" s="74" t="e">
        <f t="shared" ca="1" si="28"/>
        <v>#N/A</v>
      </c>
      <c r="B62" s="56">
        <f t="shared" si="10"/>
        <v>44274</v>
      </c>
      <c r="C62" s="59">
        <f ca="1">IF($B62&lt;=TODAY(),SUMIF('Stats 2020'!$M$24:$M$1048576,"&lt;="&amp;Graphs!$B62,'Stats 2020'!O$24:O$1048576),NA())</f>
        <v>212.25</v>
      </c>
      <c r="D62" s="59">
        <f t="shared" ca="1" si="12"/>
        <v>239.75</v>
      </c>
      <c r="E62" s="59">
        <f ca="1">IF($B62&lt;=TODAY(),SUMIF('Stats 2020'!$M$24:$M$1048576,"&lt;="&amp;Graphs!$B62,'Stats 2020'!Q$24:Q$1048576),NA())</f>
        <v>171</v>
      </c>
      <c r="F62" s="59">
        <f t="shared" ca="1" si="13"/>
        <v>239.75</v>
      </c>
      <c r="G62" s="59">
        <f ca="1">IF($B62&lt;=TODAY(),SUMIF('Stats 2020'!$M$24:$M$1048576,"&lt;="&amp;Graphs!$B62,'Stats 2020'!S$24:S$1048576),NA())</f>
        <v>176.5</v>
      </c>
      <c r="H62" s="59">
        <f ca="1">IF($B62&lt;=TODAY(),SUMIF('Stats 2020'!$M$24:$M$1048576,"&lt;="&amp;Graphs!$B62,'Stats 2020'!T$24:T$1048576),NA())</f>
        <v>112.75</v>
      </c>
      <c r="I62" s="58" t="e">
        <f t="shared" ca="1" si="25"/>
        <v>#N/A</v>
      </c>
      <c r="J62" s="58" t="e">
        <f t="shared" ca="1" si="25"/>
        <v>#N/A</v>
      </c>
      <c r="K62" s="58" t="e">
        <f t="shared" ca="1" si="25"/>
        <v>#N/A</v>
      </c>
      <c r="L62" s="58" t="e">
        <f t="shared" ca="1" si="25"/>
        <v>#N/A</v>
      </c>
      <c r="M62" s="58" t="e">
        <f t="shared" ca="1" si="25"/>
        <v>#N/A</v>
      </c>
      <c r="N62" s="58" t="e">
        <f t="shared" ca="1" si="25"/>
        <v>#N/A</v>
      </c>
      <c r="O62" s="60"/>
      <c r="P62" s="65">
        <f t="shared" ref="P62:P63" si="31">B63</f>
        <v>44281</v>
      </c>
      <c r="Q62" s="66">
        <f>VLOOKUP($B62,'Stats 2020'!$D$25:$J$200,MATCH(Graphs!Q$1,'Stats 2020'!$D$18:$J$18,0),0)</f>
        <v>1</v>
      </c>
      <c r="R62" s="66" t="str">
        <f>VLOOKUP($B62,'Stats 2020'!$D$25:$J$200,MATCH(Graphs!R$1,'Stats 2020'!$D$18:$J$18,0),0)</f>
        <v/>
      </c>
      <c r="S62" s="66">
        <f>VLOOKUP($B62,'Stats 2020'!$D$25:$J$200,MATCH(Graphs!S$1,'Stats 2020'!$D$18:$J$18,0),0)</f>
        <v>1</v>
      </c>
      <c r="T62" s="66">
        <f>VLOOKUP($B62,'Stats 2020'!$D$25:$J$200,MATCH(Graphs!T$1,'Stats 2020'!$D$18:$J$18,0),0)</f>
        <v>1</v>
      </c>
      <c r="U62" s="66">
        <f>VLOOKUP($B62,'Stats 2020'!$D$25:$J$200,MATCH(Graphs!U$1,'Stats 2020'!$D$18:$J$18,0),0)</f>
        <v>1</v>
      </c>
      <c r="V62" s="66">
        <f>VLOOKUP($B62,'Stats 2020'!$D$25:$J$200,MATCH(Graphs!V$1,'Stats 2020'!$D$18:$J$18,0),0)</f>
        <v>1</v>
      </c>
      <c r="W62" s="66"/>
      <c r="X62" s="65">
        <f t="shared" si="30"/>
        <v>44274</v>
      </c>
      <c r="Y62" s="69">
        <f>SUM(Q$2:Q62)/COUNTA($P$2:$P62)</f>
        <v>0.78333333333333333</v>
      </c>
      <c r="Z62" s="69">
        <f>SUM(R$2:R62)/COUNTA($P$2:$P62)</f>
        <v>0.31666666666666665</v>
      </c>
      <c r="AA62" s="69">
        <f>SUM(S$2:S62)/COUNTA($P$2:$P62)</f>
        <v>0.78333333333333333</v>
      </c>
      <c r="AB62" s="69">
        <f>SUM(T$2:T62)/COUNTA($P$2:$P62)</f>
        <v>0.36666666666666664</v>
      </c>
      <c r="AC62" s="69">
        <f>SUM(U$2:U62)/COUNTA($P$2:$P62)</f>
        <v>0.78333333333333333</v>
      </c>
      <c r="AD62" s="69">
        <f>SUM(V$2:V62)/COUNTA($P$2:$P62)</f>
        <v>0.8833333333333333</v>
      </c>
      <c r="AE62" s="70">
        <f t="shared" si="24"/>
        <v>0.65277777777777779</v>
      </c>
      <c r="AF62" s="58" t="e">
        <f t="shared" ca="1" si="26"/>
        <v>#N/A</v>
      </c>
      <c r="AG62" s="58" t="e">
        <f t="shared" ca="1" si="26"/>
        <v>#N/A</v>
      </c>
      <c r="AH62" s="58" t="e">
        <f t="shared" ca="1" si="26"/>
        <v>#N/A</v>
      </c>
      <c r="AI62" s="58" t="e">
        <f t="shared" ca="1" si="26"/>
        <v>#N/A</v>
      </c>
      <c r="AJ62" s="58" t="e">
        <f t="shared" ca="1" si="26"/>
        <v>#N/A</v>
      </c>
      <c r="AK62" s="58" t="e">
        <f t="shared" ca="1" si="26"/>
        <v>#N/A</v>
      </c>
      <c r="AL62" s="58" t="e">
        <f t="shared" ca="1" si="26"/>
        <v>#N/A</v>
      </c>
      <c r="AP62" s="66"/>
    </row>
    <row r="63" spans="1:42" ht="24.75" customHeight="1">
      <c r="A63" s="74" t="e">
        <f t="shared" ca="1" si="28"/>
        <v>#N/A</v>
      </c>
      <c r="B63" s="56">
        <f t="shared" si="10"/>
        <v>44281</v>
      </c>
      <c r="C63" s="59">
        <f ca="1">IF($B63&lt;=TODAY(),SUMIF('Stats 2020'!$M$24:$M$1048576,"&lt;="&amp;Graphs!$B63,'Stats 2020'!O$24:O$1048576),NA())</f>
        <v>212.25</v>
      </c>
      <c r="D63" s="59">
        <f t="shared" ca="1" si="12"/>
        <v>239.75</v>
      </c>
      <c r="E63" s="59">
        <f ca="1">IF($B63&lt;=TODAY(),SUMIF('Stats 2020'!$M$24:$M$1048576,"&lt;="&amp;Graphs!$B63,'Stats 2020'!Q$24:Q$1048576),NA())</f>
        <v>171</v>
      </c>
      <c r="F63" s="59">
        <f t="shared" ca="1" si="13"/>
        <v>239.75</v>
      </c>
      <c r="G63" s="59">
        <f ca="1">IF($B63&lt;=TODAY(),SUMIF('Stats 2020'!$M$24:$M$1048576,"&lt;="&amp;Graphs!$B63,'Stats 2020'!S$24:S$1048576),NA())</f>
        <v>176.5</v>
      </c>
      <c r="H63" s="59">
        <f ca="1">IF($B63&lt;=TODAY(),SUMIF('Stats 2020'!$M$24:$M$1048576,"&lt;="&amp;Graphs!$B63,'Stats 2020'!T$24:T$1048576),NA())</f>
        <v>123.75</v>
      </c>
      <c r="I63" s="58" t="e">
        <f t="shared" ca="1" si="25"/>
        <v>#N/A</v>
      </c>
      <c r="J63" s="58" t="e">
        <f t="shared" ca="1" si="25"/>
        <v>#N/A</v>
      </c>
      <c r="K63" s="58" t="e">
        <f t="shared" ca="1" si="25"/>
        <v>#N/A</v>
      </c>
      <c r="L63" s="58" t="e">
        <f t="shared" ca="1" si="25"/>
        <v>#N/A</v>
      </c>
      <c r="M63" s="58" t="e">
        <f t="shared" ca="1" si="25"/>
        <v>#N/A</v>
      </c>
      <c r="N63" s="58" t="e">
        <f t="shared" ca="1" si="25"/>
        <v>#N/A</v>
      </c>
      <c r="O63" s="60"/>
      <c r="P63" s="65">
        <f t="shared" si="31"/>
        <v>44288</v>
      </c>
      <c r="Q63" s="66">
        <f>VLOOKUP($B63,'Stats 2020'!$D$25:$J$200,MATCH(Graphs!Q$1,'Stats 2020'!$D$18:$J$18,0),0)</f>
        <v>1</v>
      </c>
      <c r="R63" s="66">
        <f>VLOOKUP($B63,'Stats 2020'!$D$25:$J$200,MATCH(Graphs!R$1,'Stats 2020'!$D$18:$J$18,0),0)</f>
        <v>1</v>
      </c>
      <c r="S63" s="66">
        <f>VLOOKUP($B63,'Stats 2020'!$D$25:$J$200,MATCH(Graphs!S$1,'Stats 2020'!$D$18:$J$18,0),0)</f>
        <v>1</v>
      </c>
      <c r="T63" s="66" t="str">
        <f>VLOOKUP($B63,'Stats 2020'!$D$25:$J$200,MATCH(Graphs!T$1,'Stats 2020'!$D$18:$J$18,0),0)</f>
        <v/>
      </c>
      <c r="U63" s="66">
        <f>VLOOKUP($B63,'Stats 2020'!$D$25:$J$200,MATCH(Graphs!U$1,'Stats 2020'!$D$18:$J$18,0),0)</f>
        <v>1</v>
      </c>
      <c r="V63" s="66">
        <f>VLOOKUP($B63,'Stats 2020'!$D$25:$J$200,MATCH(Graphs!V$1,'Stats 2020'!$D$18:$J$18,0),0)</f>
        <v>0</v>
      </c>
      <c r="W63" s="66"/>
      <c r="X63" s="65">
        <f t="shared" si="30"/>
        <v>44281</v>
      </c>
      <c r="Y63" s="69">
        <f>SUM(Q$2:Q62)/COUNTA($P$2:$P62)</f>
        <v>0.78333333333333333</v>
      </c>
      <c r="Z63" s="69">
        <f>SUM(R$2:R62)/COUNTA($P$2:$P62)</f>
        <v>0.31666666666666665</v>
      </c>
      <c r="AA63" s="69">
        <f>SUM(S$2:S62)/COUNTA($P$2:$P62)</f>
        <v>0.78333333333333333</v>
      </c>
      <c r="AB63" s="69">
        <f>SUM(T$2:T62)/COUNTA($P$2:$P62)</f>
        <v>0.36666666666666664</v>
      </c>
      <c r="AC63" s="69">
        <f>SUM(U$2:U62)/COUNTA($P$2:$P62)</f>
        <v>0.78333333333333333</v>
      </c>
      <c r="AD63" s="69">
        <f>SUM(V$2:V62)/COUNTA($P$2:$P62)</f>
        <v>0.8833333333333333</v>
      </c>
      <c r="AE63" s="70">
        <f t="shared" si="24"/>
        <v>0.65277777777777779</v>
      </c>
      <c r="AF63" s="58" t="e">
        <f t="shared" ca="1" si="26"/>
        <v>#N/A</v>
      </c>
      <c r="AG63" s="58" t="e">
        <f t="shared" ca="1" si="26"/>
        <v>#N/A</v>
      </c>
      <c r="AH63" s="58" t="e">
        <f t="shared" ca="1" si="26"/>
        <v>#N/A</v>
      </c>
      <c r="AI63" s="58" t="e">
        <f t="shared" ca="1" si="26"/>
        <v>#N/A</v>
      </c>
      <c r="AJ63" s="58" t="e">
        <f t="shared" ca="1" si="26"/>
        <v>#N/A</v>
      </c>
      <c r="AK63" s="58" t="e">
        <f t="shared" ca="1" si="26"/>
        <v>#N/A</v>
      </c>
      <c r="AL63" s="58" t="e">
        <f t="shared" ca="1" si="26"/>
        <v>#N/A</v>
      </c>
      <c r="AP63" s="66"/>
    </row>
    <row r="64" spans="1:42" ht="24.75" customHeight="1">
      <c r="A64" s="74" t="e">
        <f t="shared" ca="1" si="28"/>
        <v>#N/A</v>
      </c>
      <c r="B64" s="56">
        <f t="shared" si="10"/>
        <v>44288</v>
      </c>
      <c r="C64" s="59">
        <f ca="1">IF($B64&lt;=TODAY(),SUMIF('Stats 2020'!$M$24:$M$1048576,"&lt;="&amp;Graphs!$B64,'Stats 2020'!O$24:O$1048576),NA())</f>
        <v>212.25</v>
      </c>
      <c r="D64" s="59">
        <f t="shared" ca="1" si="12"/>
        <v>239.75</v>
      </c>
      <c r="E64" s="59">
        <f ca="1">IF($B64&lt;=TODAY(),SUMIF('Stats 2020'!$M$24:$M$1048576,"&lt;="&amp;Graphs!$B64,'Stats 2020'!Q$24:Q$1048576),NA())</f>
        <v>171</v>
      </c>
      <c r="F64" s="59">
        <f t="shared" ca="1" si="13"/>
        <v>239.75</v>
      </c>
      <c r="G64" s="59">
        <f ca="1">IF($B64&lt;=TODAY(),SUMIF('Stats 2020'!$M$24:$M$1048576,"&lt;="&amp;Graphs!$B64,'Stats 2020'!S$24:S$1048576),NA())</f>
        <v>176.5</v>
      </c>
      <c r="H64" s="59">
        <f ca="1">IF($B64&lt;=TODAY(),SUMIF('Stats 2020'!$M$24:$M$1048576,"&lt;="&amp;Graphs!$B64,'Stats 2020'!T$24:T$1048576),NA())</f>
        <v>123.75</v>
      </c>
      <c r="I64" s="58" t="e">
        <f t="shared" ca="1" si="25"/>
        <v>#N/A</v>
      </c>
      <c r="J64" s="58" t="e">
        <f t="shared" ca="1" si="25"/>
        <v>#N/A</v>
      </c>
      <c r="K64" s="58" t="e">
        <f t="shared" ca="1" si="25"/>
        <v>#N/A</v>
      </c>
      <c r="L64" s="58" t="e">
        <f t="shared" ca="1" si="25"/>
        <v>#N/A</v>
      </c>
      <c r="M64" s="58" t="e">
        <f t="shared" ca="1" si="25"/>
        <v>#N/A</v>
      </c>
      <c r="N64" s="58" t="e">
        <f t="shared" ca="1" si="25"/>
        <v>#N/A</v>
      </c>
      <c r="O64" s="60"/>
      <c r="Q64" s="66"/>
      <c r="R64" s="66"/>
      <c r="S64" s="66"/>
      <c r="T64" s="66"/>
      <c r="U64" s="66"/>
      <c r="V64" s="66"/>
      <c r="W64" s="66"/>
      <c r="X64" s="65">
        <f t="shared" si="30"/>
        <v>44288</v>
      </c>
      <c r="Y64" s="69">
        <f>SUM(Q$2:Q64)/COUNTA($P$2:$P64)</f>
        <v>0.78688524590163933</v>
      </c>
      <c r="Z64" s="69">
        <f>SUM(R$2:R64)/COUNTA($P$2:$P64)</f>
        <v>0.32786885245901637</v>
      </c>
      <c r="AA64" s="69">
        <f>SUM(S$2:S64)/COUNTA($P$2:$P64)</f>
        <v>0.78688524590163933</v>
      </c>
      <c r="AB64" s="69">
        <f>SUM(T$2:T64)/COUNTA($P$2:$P64)</f>
        <v>0.36065573770491804</v>
      </c>
      <c r="AC64" s="69">
        <f>SUM(U$2:U64)/COUNTA($P$2:$P64)</f>
        <v>0.78688524590163933</v>
      </c>
      <c r="AD64" s="69">
        <f>SUM(V$2:V64)/COUNTA($P$2:$P64)</f>
        <v>0.86885245901639341</v>
      </c>
      <c r="AE64" s="70">
        <f t="shared" si="24"/>
        <v>0.65300546448087426</v>
      </c>
      <c r="AF64" s="58" t="e">
        <f t="shared" ca="1" si="26"/>
        <v>#N/A</v>
      </c>
      <c r="AG64" s="58" t="e">
        <f t="shared" ca="1" si="26"/>
        <v>#N/A</v>
      </c>
      <c r="AH64" s="58" t="e">
        <f t="shared" ca="1" si="26"/>
        <v>#N/A</v>
      </c>
      <c r="AI64" s="58" t="e">
        <f t="shared" ca="1" si="26"/>
        <v>#N/A</v>
      </c>
      <c r="AJ64" s="58" t="e">
        <f t="shared" ca="1" si="26"/>
        <v>#N/A</v>
      </c>
      <c r="AK64" s="58" t="e">
        <f t="shared" ca="1" si="26"/>
        <v>#N/A</v>
      </c>
      <c r="AL64" s="58" t="e">
        <f t="shared" ca="1" si="26"/>
        <v>#N/A</v>
      </c>
      <c r="AP64" s="66"/>
    </row>
    <row r="65" spans="1:42" ht="24.75" customHeight="1">
      <c r="A65" s="74" t="e">
        <f t="shared" ca="1" si="28"/>
        <v>#N/A</v>
      </c>
      <c r="B65" s="56">
        <f t="shared" si="10"/>
        <v>44295</v>
      </c>
      <c r="C65" s="59">
        <f ca="1">IF($B65&lt;=TODAY(),SUMIF('Stats 2020'!$M$24:$M$1048576,"&lt;="&amp;Graphs!$B65,'Stats 2020'!O$24:O$1048576),NA())</f>
        <v>212.25</v>
      </c>
      <c r="D65" s="59">
        <f t="shared" ca="1" si="12"/>
        <v>239.75</v>
      </c>
      <c r="E65" s="59">
        <f ca="1">IF($B65&lt;=TODAY(),SUMIF('Stats 2020'!$M$24:$M$1048576,"&lt;="&amp;Graphs!$B65,'Stats 2020'!Q$24:Q$1048576),NA())</f>
        <v>171</v>
      </c>
      <c r="F65" s="59">
        <f t="shared" ca="1" si="13"/>
        <v>239.75</v>
      </c>
      <c r="G65" s="59">
        <f ca="1">IF($B65&lt;=TODAY(),SUMIF('Stats 2020'!$M$24:$M$1048576,"&lt;="&amp;Graphs!$B65,'Stats 2020'!S$24:S$1048576),NA())</f>
        <v>176.5</v>
      </c>
      <c r="H65" s="59">
        <f ca="1">IF($B65&lt;=TODAY(),SUMIF('Stats 2020'!$M$24:$M$1048576,"&lt;="&amp;Graphs!$B65,'Stats 2020'!T$24:T$1048576),NA())</f>
        <v>123.75</v>
      </c>
      <c r="I65" s="58" t="e">
        <f t="shared" ca="1" si="25"/>
        <v>#N/A</v>
      </c>
      <c r="J65" s="58" t="e">
        <f t="shared" ca="1" si="25"/>
        <v>#N/A</v>
      </c>
      <c r="K65" s="58" t="e">
        <f t="shared" ca="1" si="25"/>
        <v>#N/A</v>
      </c>
      <c r="L65" s="58" t="e">
        <f t="shared" ca="1" si="25"/>
        <v>#N/A</v>
      </c>
      <c r="M65" s="58" t="e">
        <f t="shared" ca="1" si="25"/>
        <v>#N/A</v>
      </c>
      <c r="N65" s="58" t="e">
        <f t="shared" ca="1" si="25"/>
        <v>#N/A</v>
      </c>
      <c r="O65" s="60"/>
      <c r="Q65" s="66">
        <f>VLOOKUP($B65,'Stats 2020'!$D$25:$J$200,MATCH(Graphs!Q$1,'Stats 2020'!$D$18:$J$18,0),0)</f>
        <v>1</v>
      </c>
      <c r="R65" s="66">
        <f>VLOOKUP($B65,'Stats 2020'!$D$25:$J$200,MATCH(Graphs!R$1,'Stats 2020'!$D$18:$J$18,0),0)</f>
        <v>1</v>
      </c>
      <c r="S65" s="66">
        <f>VLOOKUP($B65,'Stats 2020'!$D$25:$J$200,MATCH(Graphs!S$1,'Stats 2020'!$D$18:$J$18,0),0)</f>
        <v>1</v>
      </c>
      <c r="T65" s="66">
        <f>VLOOKUP($B65,'Stats 2020'!$D$25:$J$200,MATCH(Graphs!T$1,'Stats 2020'!$D$18:$J$18,0),0)</f>
        <v>1</v>
      </c>
      <c r="U65" s="66">
        <f>VLOOKUP($B65,'Stats 2020'!$D$25:$J$200,MATCH(Graphs!U$1,'Stats 2020'!$D$18:$J$18,0),0)</f>
        <v>1</v>
      </c>
      <c r="V65" s="66">
        <f>VLOOKUP($B65,'Stats 2020'!$D$25:$J$200,MATCH(Graphs!V$1,'Stats 2020'!$D$18:$J$18,0),0)</f>
        <v>1</v>
      </c>
      <c r="W65" s="66"/>
      <c r="X65" s="65">
        <f t="shared" si="30"/>
        <v>44295</v>
      </c>
      <c r="Y65" s="69">
        <f>SUM(Q$2:Q65)/COUNTA($P$2:$P65)</f>
        <v>0.80327868852459017</v>
      </c>
      <c r="Z65" s="69">
        <f>SUM(R$2:R65)/COUNTA($P$2:$P65)</f>
        <v>0.34426229508196721</v>
      </c>
      <c r="AA65" s="69">
        <f>SUM(S$2:S65)/COUNTA($P$2:$P65)</f>
        <v>0.80327868852459017</v>
      </c>
      <c r="AB65" s="69">
        <f>SUM(T$2:T65)/COUNTA($P$2:$P65)</f>
        <v>0.37704918032786883</v>
      </c>
      <c r="AC65" s="69">
        <f>SUM(U$2:U65)/COUNTA($P$2:$P65)</f>
        <v>0.80327868852459017</v>
      </c>
      <c r="AD65" s="69">
        <f>SUM(V$2:V65)/COUNTA($P$2:$P65)</f>
        <v>0.88524590163934425</v>
      </c>
      <c r="AE65" s="70">
        <f t="shared" si="16"/>
        <v>0.6693989071038251</v>
      </c>
      <c r="AF65" s="58" t="e">
        <f t="shared" ca="1" si="26"/>
        <v>#N/A</v>
      </c>
      <c r="AG65" s="58" t="e">
        <f t="shared" ca="1" si="26"/>
        <v>#N/A</v>
      </c>
      <c r="AH65" s="58" t="e">
        <f t="shared" ca="1" si="26"/>
        <v>#N/A</v>
      </c>
      <c r="AI65" s="58" t="e">
        <f t="shared" ca="1" si="26"/>
        <v>#N/A</v>
      </c>
      <c r="AJ65" s="58" t="e">
        <f t="shared" ca="1" si="26"/>
        <v>#N/A</v>
      </c>
      <c r="AK65" s="58" t="e">
        <f t="shared" ca="1" si="26"/>
        <v>#N/A</v>
      </c>
      <c r="AL65" s="58" t="e">
        <f t="shared" ca="1" si="26"/>
        <v>#N/A</v>
      </c>
      <c r="AP65" s="66"/>
    </row>
    <row r="66" spans="1:42" ht="24.75" customHeight="1">
      <c r="A66" s="74" t="e">
        <f t="shared" ca="1" si="28"/>
        <v>#N/A</v>
      </c>
      <c r="B66" s="56">
        <f t="shared" si="10"/>
        <v>44302</v>
      </c>
      <c r="C66" s="59">
        <f ca="1">IF($B66&lt;=TODAY(),SUMIF('Stats 2020'!$M$24:$M$1048576,"&lt;="&amp;Graphs!$B66,'Stats 2020'!O$24:O$1048576),NA())</f>
        <v>212.25</v>
      </c>
      <c r="D66" s="59">
        <f t="shared" ca="1" si="12"/>
        <v>239.75</v>
      </c>
      <c r="E66" s="59">
        <f ca="1">IF($B66&lt;=TODAY(),SUMIF('Stats 2020'!$M$24:$M$1048576,"&lt;="&amp;Graphs!$B66,'Stats 2020'!Q$24:Q$1048576),NA())</f>
        <v>171</v>
      </c>
      <c r="F66" s="59">
        <f t="shared" ca="1" si="13"/>
        <v>239.75</v>
      </c>
      <c r="G66" s="59">
        <f ca="1">IF($B66&lt;=TODAY(),SUMIF('Stats 2020'!$M$24:$M$1048576,"&lt;="&amp;Graphs!$B66,'Stats 2020'!S$24:S$1048576),NA())</f>
        <v>176.5</v>
      </c>
      <c r="H66" s="59">
        <f ca="1">IF($B66&lt;=TODAY(),SUMIF('Stats 2020'!$M$24:$M$1048576,"&lt;="&amp;Graphs!$B66,'Stats 2020'!T$24:T$1048576),NA())</f>
        <v>123.75</v>
      </c>
      <c r="I66" s="58" t="e">
        <f t="shared" ca="1" si="25"/>
        <v>#N/A</v>
      </c>
      <c r="J66" s="58" t="e">
        <f t="shared" ca="1" si="25"/>
        <v>#N/A</v>
      </c>
      <c r="K66" s="58" t="e">
        <f t="shared" ca="1" si="25"/>
        <v>#N/A</v>
      </c>
      <c r="L66" s="58" t="e">
        <f t="shared" ca="1" si="25"/>
        <v>#N/A</v>
      </c>
      <c r="M66" s="58" t="e">
        <f t="shared" ca="1" si="25"/>
        <v>#N/A</v>
      </c>
      <c r="N66" s="58" t="e">
        <f t="shared" ca="1" si="25"/>
        <v>#N/A</v>
      </c>
      <c r="O66" s="60"/>
      <c r="P66" s="65">
        <f t="shared" ref="P66" si="32">B67</f>
        <v>44309</v>
      </c>
      <c r="Q66" s="66" t="e">
        <f>VLOOKUP($B67,'Stats 2020'!$D$25:$J$89,MATCH(Graphs!Q$1,'Stats 2020'!$D$18:$J$18,0),0)</f>
        <v>#N/A</v>
      </c>
      <c r="R66" s="66" t="e">
        <f>VLOOKUP($B67,'Stats 2020'!$D$25:$J$89,MATCH(Graphs!R$1,'Stats 2020'!$D$18:$J$18,0),0)</f>
        <v>#N/A</v>
      </c>
      <c r="S66" s="66" t="e">
        <f>VLOOKUP($B67,'Stats 2020'!$D$25:$J$89,MATCH(Graphs!S$1,'Stats 2020'!$D$18:$J$18,0),0)</f>
        <v>#N/A</v>
      </c>
      <c r="T66" s="66" t="e">
        <f>VLOOKUP($B67,'Stats 2020'!$D$25:$J$89,MATCH(Graphs!T$1,'Stats 2020'!$D$18:$J$18,0),0)</f>
        <v>#N/A</v>
      </c>
      <c r="U66" s="66" t="e">
        <f>VLOOKUP($B67,'Stats 2020'!$D$25:$J$89,MATCH(Graphs!U$1,'Stats 2020'!$D$18:$J$18,0),0)</f>
        <v>#N/A</v>
      </c>
      <c r="V66" s="66" t="e">
        <f>VLOOKUP($B67,'Stats 2020'!$D$25:$J$89,MATCH(Graphs!V$1,'Stats 2020'!$D$18:$J$18,0),0)</f>
        <v>#N/A</v>
      </c>
      <c r="W66" s="66"/>
      <c r="X66" s="65">
        <f t="shared" si="30"/>
        <v>44302</v>
      </c>
      <c r="Y66" s="69" t="e">
        <f>SUM(Q$2:Q66)/COUNTA($P$2:$P66)</f>
        <v>#N/A</v>
      </c>
      <c r="Z66" s="69" t="e">
        <f>SUM(R$2:R66)/COUNTA($P$2:$P66)</f>
        <v>#N/A</v>
      </c>
      <c r="AA66" s="69" t="e">
        <f>SUM(S$2:S66)/COUNTA($P$2:$P66)</f>
        <v>#N/A</v>
      </c>
      <c r="AB66" s="69" t="e">
        <f>SUM(T$2:T66)/COUNTA($P$2:$P66)</f>
        <v>#N/A</v>
      </c>
      <c r="AC66" s="69" t="e">
        <f>SUM(U$2:U66)/COUNTA($P$2:$P66)</f>
        <v>#N/A</v>
      </c>
      <c r="AD66" s="69" t="e">
        <f>SUM(V$2:V66)/COUNTA($P$2:$P66)</f>
        <v>#N/A</v>
      </c>
      <c r="AE66" s="70" t="e">
        <f t="shared" si="16"/>
        <v>#N/A</v>
      </c>
      <c r="AF66" s="58" t="e">
        <f t="shared" ca="1" si="26"/>
        <v>#N/A</v>
      </c>
      <c r="AG66" s="58" t="e">
        <f t="shared" ca="1" si="26"/>
        <v>#N/A</v>
      </c>
      <c r="AH66" s="58" t="e">
        <f t="shared" ca="1" si="26"/>
        <v>#N/A</v>
      </c>
      <c r="AI66" s="58" t="e">
        <f t="shared" ca="1" si="26"/>
        <v>#N/A</v>
      </c>
      <c r="AJ66" s="58" t="e">
        <f t="shared" ca="1" si="26"/>
        <v>#N/A</v>
      </c>
      <c r="AK66" s="58" t="e">
        <f t="shared" ca="1" si="26"/>
        <v>#N/A</v>
      </c>
      <c r="AL66" s="58" t="e">
        <f t="shared" ca="1" si="26"/>
        <v>#N/A</v>
      </c>
      <c r="AP66" s="66"/>
    </row>
    <row r="67" spans="1:42" ht="24.75" customHeight="1">
      <c r="A67" s="74" t="e">
        <f t="shared" ca="1" si="28"/>
        <v>#N/A</v>
      </c>
      <c r="B67" s="56">
        <f t="shared" si="10"/>
        <v>44309</v>
      </c>
      <c r="C67" s="59">
        <f ca="1">IF($B67&lt;=TODAY(),SUMIF('Stats 2020'!$M$24:$M$1048576,"&lt;="&amp;Graphs!$B67,'Stats 2020'!O$24:O$1048576),NA())</f>
        <v>212.25</v>
      </c>
      <c r="D67" s="59">
        <f t="shared" ca="1" si="12"/>
        <v>239.75</v>
      </c>
      <c r="E67" s="59">
        <f ca="1">IF($B67&lt;=TODAY(),SUMIF('Stats 2020'!$M$24:$M$1048576,"&lt;="&amp;Graphs!$B67,'Stats 2020'!Q$24:Q$1048576),NA())</f>
        <v>171</v>
      </c>
      <c r="F67" s="59">
        <f t="shared" ca="1" si="13"/>
        <v>239.75</v>
      </c>
      <c r="G67" s="59">
        <f ca="1">IF($B67&lt;=TODAY(),SUMIF('Stats 2020'!$M$24:$M$1048576,"&lt;="&amp;Graphs!$B67,'Stats 2020'!S$24:S$1048576),NA())</f>
        <v>176.5</v>
      </c>
      <c r="H67" s="59">
        <f ca="1">IF($B67&lt;=TODAY(),SUMIF('Stats 2020'!$M$24:$M$1048576,"&lt;="&amp;Graphs!$B67,'Stats 2020'!T$24:T$1048576),NA())</f>
        <v>123.75</v>
      </c>
      <c r="I67" s="58" t="e">
        <f t="shared" ca="1" si="25"/>
        <v>#N/A</v>
      </c>
      <c r="J67" s="58" t="e">
        <f t="shared" ca="1" si="25"/>
        <v>#N/A</v>
      </c>
      <c r="K67" s="58" t="e">
        <f t="shared" ca="1" si="25"/>
        <v>#N/A</v>
      </c>
      <c r="L67" s="58" t="e">
        <f t="shared" ca="1" si="25"/>
        <v>#N/A</v>
      </c>
      <c r="M67" s="58" t="e">
        <f t="shared" ca="1" si="25"/>
        <v>#N/A</v>
      </c>
      <c r="N67" s="58" t="e">
        <f t="shared" ca="1" si="25"/>
        <v>#N/A</v>
      </c>
      <c r="O67" s="60"/>
      <c r="W67" s="66"/>
      <c r="X67" s="65">
        <f t="shared" si="30"/>
        <v>44309</v>
      </c>
      <c r="Y67" s="69" t="e">
        <f>SUM(Q$2:Q67)/COUNTA($P$2:$P67)</f>
        <v>#N/A</v>
      </c>
      <c r="Z67" s="69" t="e">
        <f>SUM(R$2:R67)/COUNTA($P$2:$P67)</f>
        <v>#N/A</v>
      </c>
      <c r="AA67" s="69" t="e">
        <f>SUM(S$2:S67)/COUNTA($P$2:$P67)</f>
        <v>#N/A</v>
      </c>
      <c r="AB67" s="69" t="e">
        <f>SUM(T$2:T67)/COUNTA($P$2:$P67)</f>
        <v>#N/A</v>
      </c>
      <c r="AC67" s="69" t="e">
        <f>SUM(U$2:U67)/COUNTA($P$2:$P67)</f>
        <v>#N/A</v>
      </c>
      <c r="AD67" s="69" t="e">
        <f>SUM(V$2:V67)/COUNTA($P$2:$P67)</f>
        <v>#N/A</v>
      </c>
      <c r="AE67" s="70" t="e">
        <f t="shared" si="16"/>
        <v>#N/A</v>
      </c>
      <c r="AF67" s="58" t="e">
        <f t="shared" ca="1" si="26"/>
        <v>#N/A</v>
      </c>
      <c r="AG67" s="58" t="e">
        <f t="shared" ca="1" si="26"/>
        <v>#N/A</v>
      </c>
      <c r="AH67" s="58" t="e">
        <f t="shared" ca="1" si="26"/>
        <v>#N/A</v>
      </c>
      <c r="AI67" s="58" t="e">
        <f t="shared" ca="1" si="26"/>
        <v>#N/A</v>
      </c>
      <c r="AJ67" s="58" t="e">
        <f t="shared" ca="1" si="26"/>
        <v>#N/A</v>
      </c>
      <c r="AK67" s="58" t="e">
        <f t="shared" ca="1" si="26"/>
        <v>#N/A</v>
      </c>
      <c r="AL67" s="58" t="e">
        <f t="shared" ca="1" si="26"/>
        <v>#N/A</v>
      </c>
      <c r="AP67" s="66"/>
    </row>
    <row r="68" spans="1:42" ht="24.75" customHeight="1">
      <c r="A68" s="74" t="e">
        <f t="shared" ca="1" si="28"/>
        <v>#N/A</v>
      </c>
      <c r="B68" s="56">
        <f t="shared" ref="B68" si="33">B67+7</f>
        <v>44316</v>
      </c>
      <c r="C68" s="59">
        <f ca="1">IF($B68&lt;=TODAY(),SUMIF('Stats 2020'!$M$24:$M$1048576,"&lt;="&amp;Graphs!$B68,'Stats 2020'!O$24:O$1048576),NA())</f>
        <v>212.25</v>
      </c>
      <c r="D68" s="59">
        <f t="shared" ca="1" si="12"/>
        <v>239.75</v>
      </c>
      <c r="E68" s="59">
        <f ca="1">IF($B68&lt;=TODAY(),SUMIF('Stats 2020'!$M$24:$M$1048576,"&lt;="&amp;Graphs!$B68,'Stats 2020'!Q$24:Q$1048576),NA())</f>
        <v>182</v>
      </c>
      <c r="F68" s="59">
        <f t="shared" ca="1" si="13"/>
        <v>239.75</v>
      </c>
      <c r="G68" s="59">
        <f ca="1">IF($B68&lt;=TODAY(),SUMIF('Stats 2020'!$M$24:$M$1048576,"&lt;="&amp;Graphs!$B68,'Stats 2020'!S$24:S$1048576),NA())</f>
        <v>176.5</v>
      </c>
      <c r="H68" s="59">
        <f ca="1">IF($B68&lt;=TODAY(),SUMIF('Stats 2020'!$M$24:$M$1048576,"&lt;="&amp;Graphs!$B68,'Stats 2020'!T$24:T$1048576),NA())</f>
        <v>123.75</v>
      </c>
      <c r="I68" s="58" t="e">
        <f t="shared" ref="I68:N68" ca="1" si="34">VLOOKUP($A68,$B$1:$H$59,MATCH(I$1,$B$1:$H$1,0),0)</f>
        <v>#N/A</v>
      </c>
      <c r="J68" s="58" t="e">
        <f t="shared" ca="1" si="34"/>
        <v>#N/A</v>
      </c>
      <c r="K68" s="58" t="e">
        <f t="shared" ca="1" si="34"/>
        <v>#N/A</v>
      </c>
      <c r="L68" s="58" t="e">
        <f t="shared" ca="1" si="34"/>
        <v>#N/A</v>
      </c>
      <c r="M68" s="58" t="e">
        <f t="shared" ca="1" si="34"/>
        <v>#N/A</v>
      </c>
      <c r="N68" s="58" t="e">
        <f t="shared" ca="1" si="34"/>
        <v>#N/A</v>
      </c>
      <c r="O68" s="60"/>
      <c r="P68" s="65">
        <f t="shared" ref="P68" si="35">B69</f>
        <v>44323</v>
      </c>
      <c r="Q68" s="66" t="e">
        <f>VLOOKUP($B69,'Stats 2020'!$D$25:$J$89,MATCH(Graphs!Q$1,'Stats 2020'!$D$18:$J$18,0),0)</f>
        <v>#N/A</v>
      </c>
      <c r="R68" s="66" t="e">
        <f>VLOOKUP($B69,'Stats 2020'!$D$25:$J$89,MATCH(Graphs!R$1,'Stats 2020'!$D$18:$J$18,0),0)</f>
        <v>#N/A</v>
      </c>
      <c r="S68" s="66" t="e">
        <f>VLOOKUP($B69,'Stats 2020'!$D$25:$J$89,MATCH(Graphs!S$1,'Stats 2020'!$D$18:$J$18,0),0)</f>
        <v>#N/A</v>
      </c>
      <c r="T68" s="66" t="e">
        <f>VLOOKUP($B69,'Stats 2020'!$D$25:$J$89,MATCH(Graphs!T$1,'Stats 2020'!$D$18:$J$18,0),0)</f>
        <v>#N/A</v>
      </c>
      <c r="U68" s="66" t="e">
        <f>VLOOKUP($B69,'Stats 2020'!$D$25:$J$89,MATCH(Graphs!U$1,'Stats 2020'!$D$18:$J$18,0),0)</f>
        <v>#N/A</v>
      </c>
      <c r="V68" s="66" t="e">
        <f>VLOOKUP($B69,'Stats 2020'!$D$25:$J$89,MATCH(Graphs!V$1,'Stats 2020'!$D$18:$J$18,0),0)</f>
        <v>#N/A</v>
      </c>
      <c r="W68" s="66"/>
      <c r="X68" s="65">
        <f t="shared" si="30"/>
        <v>44316</v>
      </c>
      <c r="Y68" s="69" t="e">
        <f>SUM(Q$2:Q68)/COUNTA($P$2:$P68)</f>
        <v>#N/A</v>
      </c>
      <c r="Z68" s="69" t="e">
        <f>SUM(R$2:R68)/COUNTA($P$2:$P68)</f>
        <v>#N/A</v>
      </c>
      <c r="AA68" s="69" t="e">
        <f>SUM(S$2:S68)/COUNTA($P$2:$P68)</f>
        <v>#N/A</v>
      </c>
      <c r="AB68" s="69" t="e">
        <f>SUM(T$2:T68)/COUNTA($P$2:$P68)</f>
        <v>#N/A</v>
      </c>
      <c r="AC68" s="69" t="e">
        <f>SUM(U$2:U68)/COUNTA($P$2:$P68)</f>
        <v>#N/A</v>
      </c>
      <c r="AD68" s="69" t="e">
        <f>SUM(V$2:V68)/COUNTA($P$2:$P68)</f>
        <v>#N/A</v>
      </c>
      <c r="AE68" s="70" t="e">
        <f t="shared" si="16"/>
        <v>#N/A</v>
      </c>
      <c r="AF68" s="58" t="e">
        <f t="shared" ref="AF68:AL78" ca="1" si="36">VLOOKUP($A68,$X$1:$AE$59,MATCH(AF$1,$X$1:$AE$1,0),0)</f>
        <v>#N/A</v>
      </c>
      <c r="AG68" s="58" t="e">
        <f t="shared" ca="1" si="36"/>
        <v>#N/A</v>
      </c>
      <c r="AH68" s="58" t="e">
        <f t="shared" ca="1" si="36"/>
        <v>#N/A</v>
      </c>
      <c r="AI68" s="58" t="e">
        <f t="shared" ca="1" si="36"/>
        <v>#N/A</v>
      </c>
      <c r="AJ68" s="58" t="e">
        <f t="shared" ca="1" si="36"/>
        <v>#N/A</v>
      </c>
      <c r="AK68" s="58" t="e">
        <f t="shared" ca="1" si="36"/>
        <v>#N/A</v>
      </c>
      <c r="AL68" s="58" t="e">
        <f t="shared" ca="1" si="36"/>
        <v>#N/A</v>
      </c>
      <c r="AP68" s="66"/>
    </row>
    <row r="69" spans="1:42" ht="24.75" customHeight="1">
      <c r="A69" s="74" t="e">
        <f t="shared" ca="1" si="28"/>
        <v>#N/A</v>
      </c>
      <c r="B69" s="56">
        <f t="shared" ref="B69:B78" si="37">B68+7</f>
        <v>44323</v>
      </c>
      <c r="C69" s="59">
        <f ca="1">IF($B69&lt;=TODAY(),SUMIF('Stats 2020'!$M$24:$M$1048576,"&lt;="&amp;Graphs!$B69,'Stats 2020'!O$24:O$1048576),NA())</f>
        <v>212.25</v>
      </c>
      <c r="D69" s="59">
        <f t="shared" ca="1" si="12"/>
        <v>239.75</v>
      </c>
      <c r="E69" s="59">
        <f ca="1">IF($B69&lt;=TODAY(),SUMIF('Stats 2020'!$M$24:$M$1048576,"&lt;="&amp;Graphs!$B69,'Stats 2020'!Q$24:Q$1048576),NA())</f>
        <v>182</v>
      </c>
      <c r="F69" s="59">
        <f t="shared" ca="1" si="13"/>
        <v>239.75</v>
      </c>
      <c r="G69" s="59">
        <f ca="1">IF($B69&lt;=TODAY(),SUMIF('Stats 2020'!$M$24:$M$1048576,"&lt;="&amp;Graphs!$B69,'Stats 2020'!S$24:S$1048576),NA())</f>
        <v>187.5</v>
      </c>
      <c r="H69" s="59">
        <f ca="1">IF($B69&lt;=TODAY(),SUMIF('Stats 2020'!$M$24:$M$1048576,"&lt;="&amp;Graphs!$B69,'Stats 2020'!T$24:T$1048576),NA())</f>
        <v>123.75</v>
      </c>
      <c r="I69" s="58" t="e">
        <f t="shared" ref="I69:N78" ca="1" si="38">VLOOKUP($A69,$B$1:$H$59,MATCH(I$1,$B$1:$H$1,0),0)</f>
        <v>#N/A</v>
      </c>
      <c r="J69" s="58" t="e">
        <f t="shared" ca="1" si="38"/>
        <v>#N/A</v>
      </c>
      <c r="K69" s="58" t="e">
        <f t="shared" ca="1" si="38"/>
        <v>#N/A</v>
      </c>
      <c r="L69" s="58" t="e">
        <f t="shared" ca="1" si="38"/>
        <v>#N/A</v>
      </c>
      <c r="M69" s="58" t="e">
        <f t="shared" ca="1" si="38"/>
        <v>#N/A</v>
      </c>
      <c r="N69" s="58" t="e">
        <f t="shared" ca="1" si="38"/>
        <v>#N/A</v>
      </c>
      <c r="O69" s="60"/>
      <c r="W69" s="66"/>
      <c r="X69" s="65">
        <f t="shared" si="30"/>
        <v>44323</v>
      </c>
      <c r="Y69" s="69" t="e">
        <f>SUM(Q$2:Q69)/COUNTA($P$2:$P69)</f>
        <v>#N/A</v>
      </c>
      <c r="Z69" s="69" t="e">
        <f>SUM(R$2:R69)/COUNTA($P$2:$P69)</f>
        <v>#N/A</v>
      </c>
      <c r="AA69" s="69" t="e">
        <f>SUM(S$2:S69)/COUNTA($P$2:$P69)</f>
        <v>#N/A</v>
      </c>
      <c r="AB69" s="69" t="e">
        <f>SUM(T$2:T69)/COUNTA($P$2:$P69)</f>
        <v>#N/A</v>
      </c>
      <c r="AC69" s="69" t="e">
        <f>SUM(U$2:U69)/COUNTA($P$2:$P69)</f>
        <v>#N/A</v>
      </c>
      <c r="AD69" s="69" t="e">
        <f>SUM(V$2:V69)/COUNTA($P$2:$P69)</f>
        <v>#N/A</v>
      </c>
      <c r="AE69" s="70" t="e">
        <f t="shared" si="16"/>
        <v>#N/A</v>
      </c>
      <c r="AF69" s="58" t="e">
        <f t="shared" ca="1" si="36"/>
        <v>#N/A</v>
      </c>
      <c r="AG69" s="58" t="e">
        <f t="shared" ca="1" si="36"/>
        <v>#N/A</v>
      </c>
      <c r="AH69" s="58" t="e">
        <f t="shared" ca="1" si="36"/>
        <v>#N/A</v>
      </c>
      <c r="AI69" s="58" t="e">
        <f t="shared" ca="1" si="36"/>
        <v>#N/A</v>
      </c>
      <c r="AJ69" s="58" t="e">
        <f t="shared" ca="1" si="36"/>
        <v>#N/A</v>
      </c>
      <c r="AK69" s="58" t="e">
        <f t="shared" ca="1" si="36"/>
        <v>#N/A</v>
      </c>
      <c r="AL69" s="58" t="e">
        <f t="shared" ca="1" si="36"/>
        <v>#N/A</v>
      </c>
      <c r="AP69" s="66"/>
    </row>
    <row r="70" spans="1:42" ht="24.75" customHeight="1">
      <c r="A70" s="74" t="e">
        <f t="shared" ca="1" si="28"/>
        <v>#N/A</v>
      </c>
      <c r="B70" s="56">
        <f t="shared" si="37"/>
        <v>44330</v>
      </c>
      <c r="C70" s="59">
        <f ca="1">IF($B70&lt;=TODAY(),SUMIF('Stats 2020'!$M$24:$M$1048576,"&lt;="&amp;Graphs!$B70,'Stats 2020'!O$24:O$1048576),NA())</f>
        <v>215</v>
      </c>
      <c r="D70" s="59">
        <f t="shared" ca="1" si="12"/>
        <v>242.5</v>
      </c>
      <c r="E70" s="59">
        <f ca="1">IF($B70&lt;=TODAY(),SUMIF('Stats 2020'!$M$24:$M$1048576,"&lt;="&amp;Graphs!$B70,'Stats 2020'!Q$24:Q$1048576),NA())</f>
        <v>182</v>
      </c>
      <c r="F70" s="59">
        <f t="shared" ca="1" si="13"/>
        <v>242.5</v>
      </c>
      <c r="G70" s="59">
        <f ca="1">IF($B70&lt;=TODAY(),SUMIF('Stats 2020'!$M$24:$M$1048576,"&lt;="&amp;Graphs!$B70,'Stats 2020'!S$24:S$1048576),NA())</f>
        <v>187.5</v>
      </c>
      <c r="H70" s="59">
        <f ca="1">IF($B70&lt;=TODAY(),SUMIF('Stats 2020'!$M$24:$M$1048576,"&lt;="&amp;Graphs!$B70,'Stats 2020'!T$24:T$1048576),NA())</f>
        <v>123.75</v>
      </c>
      <c r="I70" s="58" t="e">
        <f t="shared" ca="1" si="38"/>
        <v>#N/A</v>
      </c>
      <c r="J70" s="58" t="e">
        <f t="shared" ca="1" si="38"/>
        <v>#N/A</v>
      </c>
      <c r="K70" s="58" t="e">
        <f t="shared" ca="1" si="38"/>
        <v>#N/A</v>
      </c>
      <c r="L70" s="58" t="e">
        <f t="shared" ca="1" si="38"/>
        <v>#N/A</v>
      </c>
      <c r="M70" s="58" t="e">
        <f t="shared" ca="1" si="38"/>
        <v>#N/A</v>
      </c>
      <c r="N70" s="58" t="e">
        <f t="shared" ca="1" si="38"/>
        <v>#N/A</v>
      </c>
      <c r="O70" s="60"/>
      <c r="P70" s="65">
        <f t="shared" ref="P70" si="39">B71</f>
        <v>44337</v>
      </c>
      <c r="Q70" s="66" t="e">
        <f>VLOOKUP($B71,'Stats 2020'!$D$25:$J$89,MATCH(Graphs!Q$1,'Stats 2020'!$D$18:$J$18,0),0)</f>
        <v>#N/A</v>
      </c>
      <c r="R70" s="66" t="e">
        <f>VLOOKUP($B71,'Stats 2020'!$D$25:$J$89,MATCH(Graphs!R$1,'Stats 2020'!$D$18:$J$18,0),0)</f>
        <v>#N/A</v>
      </c>
      <c r="S70" s="66" t="e">
        <f>VLOOKUP($B71,'Stats 2020'!$D$25:$J$89,MATCH(Graphs!S$1,'Stats 2020'!$D$18:$J$18,0),0)</f>
        <v>#N/A</v>
      </c>
      <c r="T70" s="66" t="e">
        <f>VLOOKUP($B71,'Stats 2020'!$D$25:$J$89,MATCH(Graphs!T$1,'Stats 2020'!$D$18:$J$18,0),0)</f>
        <v>#N/A</v>
      </c>
      <c r="U70" s="66" t="e">
        <f>VLOOKUP($B71,'Stats 2020'!$D$25:$J$89,MATCH(Graphs!U$1,'Stats 2020'!$D$18:$J$18,0),0)</f>
        <v>#N/A</v>
      </c>
      <c r="V70" s="66" t="e">
        <f>VLOOKUP($B71,'Stats 2020'!$D$25:$J$89,MATCH(Graphs!V$1,'Stats 2020'!$D$18:$J$18,0),0)</f>
        <v>#N/A</v>
      </c>
      <c r="W70" s="66"/>
      <c r="X70" s="65">
        <f t="shared" si="30"/>
        <v>44330</v>
      </c>
      <c r="Y70" s="69" t="e">
        <f>SUM(Q$2:Q70)/COUNTA($P$2:$P70)</f>
        <v>#N/A</v>
      </c>
      <c r="Z70" s="69" t="e">
        <f>SUM(R$2:R70)/COUNTA($P$2:$P70)</f>
        <v>#N/A</v>
      </c>
      <c r="AA70" s="69" t="e">
        <f>SUM(S$2:S70)/COUNTA($P$2:$P70)</f>
        <v>#N/A</v>
      </c>
      <c r="AB70" s="69" t="e">
        <f>SUM(T$2:T70)/COUNTA($P$2:$P70)</f>
        <v>#N/A</v>
      </c>
      <c r="AC70" s="69" t="e">
        <f>SUM(U$2:U70)/COUNTA($P$2:$P70)</f>
        <v>#N/A</v>
      </c>
      <c r="AD70" s="69" t="e">
        <f>SUM(V$2:V70)/COUNTA($P$2:$P70)</f>
        <v>#N/A</v>
      </c>
      <c r="AE70" s="70" t="e">
        <f t="shared" si="16"/>
        <v>#N/A</v>
      </c>
      <c r="AF70" s="58" t="e">
        <f t="shared" ca="1" si="36"/>
        <v>#N/A</v>
      </c>
      <c r="AG70" s="58" t="e">
        <f t="shared" ca="1" si="36"/>
        <v>#N/A</v>
      </c>
      <c r="AH70" s="58" t="e">
        <f t="shared" ca="1" si="36"/>
        <v>#N/A</v>
      </c>
      <c r="AI70" s="58" t="e">
        <f t="shared" ca="1" si="36"/>
        <v>#N/A</v>
      </c>
      <c r="AJ70" s="58" t="e">
        <f t="shared" ca="1" si="36"/>
        <v>#N/A</v>
      </c>
      <c r="AK70" s="58" t="e">
        <f t="shared" ca="1" si="36"/>
        <v>#N/A</v>
      </c>
      <c r="AL70" s="58" t="e">
        <f t="shared" ca="1" si="36"/>
        <v>#N/A</v>
      </c>
      <c r="AP70" s="66"/>
    </row>
    <row r="71" spans="1:42" ht="24.75" customHeight="1">
      <c r="A71" s="74" t="e">
        <f t="shared" ca="1" si="28"/>
        <v>#N/A</v>
      </c>
      <c r="B71" s="56">
        <f t="shared" si="37"/>
        <v>44337</v>
      </c>
      <c r="C71" s="59">
        <f ca="1">IF($B71&lt;=TODAY(),SUMIF('Stats 2020'!$M$24:$M$1048576,"&lt;="&amp;Graphs!$B71,'Stats 2020'!O$24:O$1048576),NA())</f>
        <v>215</v>
      </c>
      <c r="D71" s="59">
        <f t="shared" ca="1" si="12"/>
        <v>242.5</v>
      </c>
      <c r="E71" s="59">
        <f ca="1">IF($B71&lt;=TODAY(),SUMIF('Stats 2020'!$M$24:$M$1048576,"&lt;="&amp;Graphs!$B71,'Stats 2020'!Q$24:Q$1048576),NA())</f>
        <v>193</v>
      </c>
      <c r="F71" s="59">
        <f t="shared" ca="1" si="13"/>
        <v>242.5</v>
      </c>
      <c r="G71" s="59">
        <f ca="1">IF($B71&lt;=TODAY(),SUMIF('Stats 2020'!$M$24:$M$1048576,"&lt;="&amp;Graphs!$B71,'Stats 2020'!S$24:S$1048576),NA())</f>
        <v>187.5</v>
      </c>
      <c r="H71" s="59">
        <f ca="1">IF($B71&lt;=TODAY(),SUMIF('Stats 2020'!$M$24:$M$1048576,"&lt;="&amp;Graphs!$B71,'Stats 2020'!T$24:T$1048576),NA())</f>
        <v>123.75</v>
      </c>
      <c r="I71" s="58" t="e">
        <f t="shared" ca="1" si="38"/>
        <v>#N/A</v>
      </c>
      <c r="J71" s="58" t="e">
        <f t="shared" ca="1" si="38"/>
        <v>#N/A</v>
      </c>
      <c r="K71" s="58" t="e">
        <f t="shared" ca="1" si="38"/>
        <v>#N/A</v>
      </c>
      <c r="L71" s="58" t="e">
        <f t="shared" ca="1" si="38"/>
        <v>#N/A</v>
      </c>
      <c r="M71" s="58" t="e">
        <f t="shared" ca="1" si="38"/>
        <v>#N/A</v>
      </c>
      <c r="N71" s="58" t="e">
        <f t="shared" ca="1" si="38"/>
        <v>#N/A</v>
      </c>
      <c r="O71" s="60"/>
      <c r="W71" s="66"/>
      <c r="X71" s="65">
        <f t="shared" si="30"/>
        <v>44337</v>
      </c>
      <c r="Y71" s="69" t="e">
        <f>SUM(Q$2:Q71)/COUNTA($P$2:$P71)</f>
        <v>#N/A</v>
      </c>
      <c r="Z71" s="69" t="e">
        <f>SUM(R$2:R71)/COUNTA($P$2:$P71)</f>
        <v>#N/A</v>
      </c>
      <c r="AA71" s="69" t="e">
        <f>SUM(S$2:S71)/COUNTA($P$2:$P71)</f>
        <v>#N/A</v>
      </c>
      <c r="AB71" s="69" t="e">
        <f>SUM(T$2:T71)/COUNTA($P$2:$P71)</f>
        <v>#N/A</v>
      </c>
      <c r="AC71" s="69" t="e">
        <f>SUM(U$2:U71)/COUNTA($P$2:$P71)</f>
        <v>#N/A</v>
      </c>
      <c r="AD71" s="69" t="e">
        <f>SUM(V$2:V71)/COUNTA($P$2:$P71)</f>
        <v>#N/A</v>
      </c>
      <c r="AE71" s="70" t="e">
        <f t="shared" si="16"/>
        <v>#N/A</v>
      </c>
      <c r="AF71" s="58" t="e">
        <f t="shared" ca="1" si="36"/>
        <v>#N/A</v>
      </c>
      <c r="AG71" s="58" t="e">
        <f t="shared" ca="1" si="36"/>
        <v>#N/A</v>
      </c>
      <c r="AH71" s="58" t="e">
        <f t="shared" ca="1" si="36"/>
        <v>#N/A</v>
      </c>
      <c r="AI71" s="58" t="e">
        <f t="shared" ca="1" si="36"/>
        <v>#N/A</v>
      </c>
      <c r="AJ71" s="58" t="e">
        <f t="shared" ca="1" si="36"/>
        <v>#N/A</v>
      </c>
      <c r="AK71" s="58" t="e">
        <f t="shared" ca="1" si="36"/>
        <v>#N/A</v>
      </c>
      <c r="AL71" s="58" t="e">
        <f t="shared" ca="1" si="36"/>
        <v>#N/A</v>
      </c>
      <c r="AP71" s="66"/>
    </row>
    <row r="72" spans="1:42" ht="24.75" customHeight="1">
      <c r="A72" s="74" t="e">
        <f t="shared" ca="1" si="28"/>
        <v>#N/A</v>
      </c>
      <c r="B72" s="56">
        <f t="shared" si="37"/>
        <v>44344</v>
      </c>
      <c r="C72" s="59">
        <f ca="1">IF($B72&lt;=TODAY(),SUMIF('Stats 2020'!$M$24:$M$1048576,"&lt;="&amp;Graphs!$B72,'Stats 2020'!O$24:O$1048576),NA())</f>
        <v>215</v>
      </c>
      <c r="D72" s="59">
        <f t="shared" ca="1" si="12"/>
        <v>242.5</v>
      </c>
      <c r="E72" s="59">
        <f ca="1">IF($B72&lt;=TODAY(),SUMIF('Stats 2020'!$M$24:$M$1048576,"&lt;="&amp;Graphs!$B72,'Stats 2020'!Q$24:Q$1048576),NA())</f>
        <v>193</v>
      </c>
      <c r="F72" s="59">
        <f t="shared" ca="1" si="13"/>
        <v>242.5</v>
      </c>
      <c r="G72" s="59">
        <f ca="1">IF($B72&lt;=TODAY(),SUMIF('Stats 2020'!$M$24:$M$1048576,"&lt;="&amp;Graphs!$B72,'Stats 2020'!S$24:S$1048576),NA())</f>
        <v>187.5</v>
      </c>
      <c r="H72" s="59">
        <f ca="1">IF($B72&lt;=TODAY(),SUMIF('Stats 2020'!$M$24:$M$1048576,"&lt;="&amp;Graphs!$B72,'Stats 2020'!T$24:T$1048576),NA())</f>
        <v>123.75</v>
      </c>
      <c r="I72" s="58" t="e">
        <f t="shared" ca="1" si="38"/>
        <v>#N/A</v>
      </c>
      <c r="J72" s="58" t="e">
        <f t="shared" ca="1" si="38"/>
        <v>#N/A</v>
      </c>
      <c r="K72" s="58" t="e">
        <f t="shared" ca="1" si="38"/>
        <v>#N/A</v>
      </c>
      <c r="L72" s="58" t="e">
        <f t="shared" ca="1" si="38"/>
        <v>#N/A</v>
      </c>
      <c r="M72" s="58" t="e">
        <f t="shared" ca="1" si="38"/>
        <v>#N/A</v>
      </c>
      <c r="N72" s="58" t="e">
        <f t="shared" ca="1" si="38"/>
        <v>#N/A</v>
      </c>
      <c r="O72" s="60"/>
      <c r="P72" s="65">
        <f t="shared" ref="P72" si="40">B73</f>
        <v>44351</v>
      </c>
      <c r="Q72" s="66" t="e">
        <f>VLOOKUP($B73,'Stats 2020'!$D$25:$J$89,MATCH(Graphs!Q$1,'Stats 2020'!$D$18:$J$18,0),0)</f>
        <v>#N/A</v>
      </c>
      <c r="R72" s="66" t="e">
        <f>VLOOKUP($B73,'Stats 2020'!$D$25:$J$89,MATCH(Graphs!R$1,'Stats 2020'!$D$18:$J$18,0),0)</f>
        <v>#N/A</v>
      </c>
      <c r="S72" s="66" t="e">
        <f>VLOOKUP($B73,'Stats 2020'!$D$25:$J$89,MATCH(Graphs!S$1,'Stats 2020'!$D$18:$J$18,0),0)</f>
        <v>#N/A</v>
      </c>
      <c r="T72" s="66" t="e">
        <f>VLOOKUP($B73,'Stats 2020'!$D$25:$J$89,MATCH(Graphs!T$1,'Stats 2020'!$D$18:$J$18,0),0)</f>
        <v>#N/A</v>
      </c>
      <c r="U72" s="66" t="e">
        <f>VLOOKUP($B73,'Stats 2020'!$D$25:$J$89,MATCH(Graphs!U$1,'Stats 2020'!$D$18:$J$18,0),0)</f>
        <v>#N/A</v>
      </c>
      <c r="V72" s="66" t="e">
        <f>VLOOKUP($B73,'Stats 2020'!$D$25:$J$89,MATCH(Graphs!V$1,'Stats 2020'!$D$18:$J$18,0),0)</f>
        <v>#N/A</v>
      </c>
      <c r="W72" s="66"/>
      <c r="X72" s="65">
        <f t="shared" si="30"/>
        <v>44344</v>
      </c>
      <c r="Y72" s="69" t="e">
        <f>SUM(Q$2:Q72)/COUNTA($P$2:$P72)</f>
        <v>#N/A</v>
      </c>
      <c r="Z72" s="69" t="e">
        <f>SUM(R$2:R72)/COUNTA($P$2:$P72)</f>
        <v>#N/A</v>
      </c>
      <c r="AA72" s="69" t="e">
        <f>SUM(S$2:S72)/COUNTA($P$2:$P72)</f>
        <v>#N/A</v>
      </c>
      <c r="AB72" s="69" t="e">
        <f>SUM(T$2:T72)/COUNTA($P$2:$P72)</f>
        <v>#N/A</v>
      </c>
      <c r="AC72" s="69" t="e">
        <f>SUM(U$2:U72)/COUNTA($P$2:$P72)</f>
        <v>#N/A</v>
      </c>
      <c r="AD72" s="69" t="e">
        <f>SUM(V$2:V72)/COUNTA($P$2:$P72)</f>
        <v>#N/A</v>
      </c>
      <c r="AE72" s="70" t="e">
        <f t="shared" si="16"/>
        <v>#N/A</v>
      </c>
      <c r="AF72" s="58" t="e">
        <f t="shared" ca="1" si="36"/>
        <v>#N/A</v>
      </c>
      <c r="AG72" s="58" t="e">
        <f t="shared" ca="1" si="36"/>
        <v>#N/A</v>
      </c>
      <c r="AH72" s="58" t="e">
        <f t="shared" ca="1" si="36"/>
        <v>#N/A</v>
      </c>
      <c r="AI72" s="58" t="e">
        <f t="shared" ca="1" si="36"/>
        <v>#N/A</v>
      </c>
      <c r="AJ72" s="58" t="e">
        <f t="shared" ca="1" si="36"/>
        <v>#N/A</v>
      </c>
      <c r="AK72" s="58" t="e">
        <f t="shared" ca="1" si="36"/>
        <v>#N/A</v>
      </c>
      <c r="AL72" s="58" t="e">
        <f t="shared" ca="1" si="36"/>
        <v>#N/A</v>
      </c>
      <c r="AP72" s="66"/>
    </row>
    <row r="73" spans="1:42" ht="24.75" customHeight="1">
      <c r="A73" s="74" t="e">
        <f t="shared" ca="1" si="28"/>
        <v>#N/A</v>
      </c>
      <c r="B73" s="56">
        <f t="shared" si="37"/>
        <v>44351</v>
      </c>
      <c r="C73" s="59">
        <f ca="1">IF($B73&lt;=TODAY(),SUMIF('Stats 2020'!$M$24:$M$1048576,"&lt;="&amp;Graphs!$B73,'Stats 2020'!O$24:O$1048576),NA())</f>
        <v>215</v>
      </c>
      <c r="D73" s="59">
        <f t="shared" ca="1" si="12"/>
        <v>242.5</v>
      </c>
      <c r="E73" s="59">
        <f ca="1">IF($B73&lt;=TODAY(),SUMIF('Stats 2020'!$M$24:$M$1048576,"&lt;="&amp;Graphs!$B73,'Stats 2020'!Q$24:Q$1048576),NA())</f>
        <v>193</v>
      </c>
      <c r="F73" s="59">
        <f t="shared" ca="1" si="13"/>
        <v>242.5</v>
      </c>
      <c r="G73" s="59">
        <f ca="1">IF($B73&lt;=TODAY(),SUMIF('Stats 2020'!$M$24:$M$1048576,"&lt;="&amp;Graphs!$B73,'Stats 2020'!S$24:S$1048576),NA())</f>
        <v>187.5</v>
      </c>
      <c r="H73" s="59">
        <f ca="1">IF($B73&lt;=TODAY(),SUMIF('Stats 2020'!$M$24:$M$1048576,"&lt;="&amp;Graphs!$B73,'Stats 2020'!T$24:T$1048576),NA())</f>
        <v>123.75</v>
      </c>
      <c r="I73" s="58" t="e">
        <f t="shared" ca="1" si="38"/>
        <v>#N/A</v>
      </c>
      <c r="J73" s="58" t="e">
        <f t="shared" ca="1" si="38"/>
        <v>#N/A</v>
      </c>
      <c r="K73" s="58" t="e">
        <f t="shared" ca="1" si="38"/>
        <v>#N/A</v>
      </c>
      <c r="L73" s="58" t="e">
        <f t="shared" ca="1" si="38"/>
        <v>#N/A</v>
      </c>
      <c r="M73" s="58" t="e">
        <f t="shared" ca="1" si="38"/>
        <v>#N/A</v>
      </c>
      <c r="N73" s="58" t="e">
        <f t="shared" ca="1" si="38"/>
        <v>#N/A</v>
      </c>
      <c r="O73" s="60"/>
      <c r="W73" s="66"/>
      <c r="X73" s="65">
        <f t="shared" si="30"/>
        <v>44351</v>
      </c>
      <c r="Y73" s="69" t="e">
        <f>SUM(Q$2:Q72)/COUNTA($P$2:$P72)</f>
        <v>#N/A</v>
      </c>
      <c r="Z73" s="69" t="e">
        <f>SUM(R$2:R72)/COUNTA($P$2:$P72)</f>
        <v>#N/A</v>
      </c>
      <c r="AA73" s="69" t="e">
        <f>SUM(S$2:S72)/COUNTA($P$2:$P72)</f>
        <v>#N/A</v>
      </c>
      <c r="AB73" s="69" t="e">
        <f>SUM(T$2:T72)/COUNTA($P$2:$P72)</f>
        <v>#N/A</v>
      </c>
      <c r="AC73" s="69" t="e">
        <f>SUM(U$2:U72)/COUNTA($P$2:$P72)</f>
        <v>#N/A</v>
      </c>
      <c r="AD73" s="69" t="e">
        <f>SUM(V$2:V72)/COUNTA($P$2:$P72)</f>
        <v>#N/A</v>
      </c>
      <c r="AE73" s="70" t="e">
        <f t="shared" si="16"/>
        <v>#N/A</v>
      </c>
      <c r="AF73" s="58" t="e">
        <f t="shared" ca="1" si="36"/>
        <v>#N/A</v>
      </c>
      <c r="AG73" s="58" t="e">
        <f t="shared" ca="1" si="36"/>
        <v>#N/A</v>
      </c>
      <c r="AH73" s="58" t="e">
        <f t="shared" ca="1" si="36"/>
        <v>#N/A</v>
      </c>
      <c r="AI73" s="58" t="e">
        <f t="shared" ca="1" si="36"/>
        <v>#N/A</v>
      </c>
      <c r="AJ73" s="58" t="e">
        <f t="shared" ca="1" si="36"/>
        <v>#N/A</v>
      </c>
      <c r="AK73" s="58" t="e">
        <f t="shared" ca="1" si="36"/>
        <v>#N/A</v>
      </c>
      <c r="AL73" s="58" t="e">
        <f t="shared" ca="1" si="36"/>
        <v>#N/A</v>
      </c>
      <c r="AP73" s="66"/>
    </row>
    <row r="74" spans="1:42" ht="24.75" customHeight="1">
      <c r="A74" s="74" t="e">
        <f t="shared" ca="1" si="28"/>
        <v>#N/A</v>
      </c>
      <c r="B74" s="56">
        <f t="shared" si="37"/>
        <v>44358</v>
      </c>
      <c r="C74" s="59">
        <f ca="1">IF($B74&lt;=TODAY(),SUMIF('Stats 2020'!$M$24:$M$1048576,"&lt;="&amp;Graphs!$B74,'Stats 2020'!O$24:O$1048576),NA())</f>
        <v>215</v>
      </c>
      <c r="D74" s="59">
        <f t="shared" ref="D74:D78" ca="1" si="41">IF($B74&lt;=TODAY(),MAX($C74,$E74,$G74,$H74)+11+16.5,NA())</f>
        <v>242.5</v>
      </c>
      <c r="E74" s="59">
        <f ca="1">IF($B74&lt;=TODAY(),SUMIF('Stats 2020'!$M$24:$M$1048576,"&lt;="&amp;Graphs!$B74,'Stats 2020'!Q$24:Q$1048576),NA())</f>
        <v>193</v>
      </c>
      <c r="F74" s="59">
        <f t="shared" ref="F74:F78" ca="1" si="42">IF($B74&lt;=TODAY(),MAX($C74,$E74,$G74,$H74)+11+16.5,NA())</f>
        <v>242.5</v>
      </c>
      <c r="G74" s="59">
        <f ca="1">IF($B74&lt;=TODAY(),SUMIF('Stats 2020'!$M$24:$M$1048576,"&lt;="&amp;Graphs!$B74,'Stats 2020'!S$24:S$1048576),NA())</f>
        <v>187.5</v>
      </c>
      <c r="H74" s="59">
        <f ca="1">IF($B74&lt;=TODAY(),SUMIF('Stats 2020'!$M$24:$M$1048576,"&lt;="&amp;Graphs!$B74,'Stats 2020'!T$24:T$1048576),NA())</f>
        <v>123.75</v>
      </c>
      <c r="I74" s="58" t="e">
        <f t="shared" ca="1" si="38"/>
        <v>#N/A</v>
      </c>
      <c r="J74" s="58" t="e">
        <f t="shared" ca="1" si="38"/>
        <v>#N/A</v>
      </c>
      <c r="K74" s="58" t="e">
        <f t="shared" ca="1" si="38"/>
        <v>#N/A</v>
      </c>
      <c r="L74" s="58" t="e">
        <f t="shared" ca="1" si="38"/>
        <v>#N/A</v>
      </c>
      <c r="M74" s="58" t="e">
        <f t="shared" ca="1" si="38"/>
        <v>#N/A</v>
      </c>
      <c r="N74" s="58" t="e">
        <f t="shared" ca="1" si="38"/>
        <v>#N/A</v>
      </c>
      <c r="O74" s="60"/>
      <c r="P74" s="65">
        <f t="shared" ref="P74" si="43">B75</f>
        <v>44365</v>
      </c>
      <c r="Q74" s="66" t="e">
        <f>VLOOKUP($B75,'Stats 2020'!$D$25:$J$89,MATCH(Graphs!Q$1,'Stats 2020'!$D$18:$J$18,0),0)</f>
        <v>#N/A</v>
      </c>
      <c r="R74" s="66" t="e">
        <f>VLOOKUP($B75,'Stats 2020'!$D$25:$J$89,MATCH(Graphs!R$1,'Stats 2020'!$D$18:$J$18,0),0)</f>
        <v>#N/A</v>
      </c>
      <c r="S74" s="66" t="e">
        <f>VLOOKUP($B75,'Stats 2020'!$D$25:$J$89,MATCH(Graphs!S$1,'Stats 2020'!$D$18:$J$18,0),0)</f>
        <v>#N/A</v>
      </c>
      <c r="T74" s="66" t="e">
        <f>VLOOKUP($B75,'Stats 2020'!$D$25:$J$89,MATCH(Graphs!T$1,'Stats 2020'!$D$18:$J$18,0),0)</f>
        <v>#N/A</v>
      </c>
      <c r="U74" s="66" t="e">
        <f>VLOOKUP($B75,'Stats 2020'!$D$25:$J$89,MATCH(Graphs!U$1,'Stats 2020'!$D$18:$J$18,0),0)</f>
        <v>#N/A</v>
      </c>
      <c r="V74" s="66" t="e">
        <f>VLOOKUP($B75,'Stats 2020'!$D$25:$J$89,MATCH(Graphs!V$1,'Stats 2020'!$D$18:$J$18,0),0)</f>
        <v>#N/A</v>
      </c>
      <c r="W74" s="66"/>
      <c r="X74" s="65">
        <f t="shared" si="30"/>
        <v>44358</v>
      </c>
      <c r="Y74" s="69" t="e">
        <f>SUM(Q$2:Q74)/COUNTA($P$2:$P74)</f>
        <v>#N/A</v>
      </c>
      <c r="Z74" s="69" t="e">
        <f>SUM(R$2:R74)/COUNTA($P$2:$P74)</f>
        <v>#N/A</v>
      </c>
      <c r="AA74" s="69" t="e">
        <f>SUM(S$2:S74)/COUNTA($P$2:$P74)</f>
        <v>#N/A</v>
      </c>
      <c r="AB74" s="69" t="e">
        <f>SUM(T$2:T74)/COUNTA($P$2:$P74)</f>
        <v>#N/A</v>
      </c>
      <c r="AC74" s="69" t="e">
        <f>SUM(U$2:U74)/COUNTA($P$2:$P74)</f>
        <v>#N/A</v>
      </c>
      <c r="AD74" s="69" t="e">
        <f>SUM(V$2:V74)/COUNTA($P$2:$P74)</f>
        <v>#N/A</v>
      </c>
      <c r="AE74" s="70" t="e">
        <f t="shared" si="16"/>
        <v>#N/A</v>
      </c>
      <c r="AF74" s="58" t="e">
        <f t="shared" ca="1" si="36"/>
        <v>#N/A</v>
      </c>
      <c r="AG74" s="58" t="e">
        <f t="shared" ca="1" si="36"/>
        <v>#N/A</v>
      </c>
      <c r="AH74" s="58" t="e">
        <f t="shared" ca="1" si="36"/>
        <v>#N/A</v>
      </c>
      <c r="AI74" s="58" t="e">
        <f t="shared" ca="1" si="36"/>
        <v>#N/A</v>
      </c>
      <c r="AJ74" s="58" t="e">
        <f t="shared" ca="1" si="36"/>
        <v>#N/A</v>
      </c>
      <c r="AK74" s="58" t="e">
        <f t="shared" ca="1" si="36"/>
        <v>#N/A</v>
      </c>
      <c r="AL74" s="58" t="e">
        <f t="shared" ca="1" si="36"/>
        <v>#N/A</v>
      </c>
      <c r="AP74" s="66"/>
    </row>
    <row r="75" spans="1:42" ht="24.75" customHeight="1">
      <c r="A75" s="74" t="e">
        <f t="shared" ca="1" si="28"/>
        <v>#N/A</v>
      </c>
      <c r="B75" s="56">
        <f t="shared" si="37"/>
        <v>44365</v>
      </c>
      <c r="C75" s="59">
        <f ca="1">IF($B75&lt;=TODAY(),SUMIF('Stats 2020'!$M$24:$M$1048576,"&lt;="&amp;Graphs!$B75,'Stats 2020'!O$24:O$1048576),NA())</f>
        <v>215</v>
      </c>
      <c r="D75" s="59">
        <f t="shared" ca="1" si="41"/>
        <v>242.5</v>
      </c>
      <c r="E75" s="59">
        <f ca="1">IF($B75&lt;=TODAY(),SUMIF('Stats 2020'!$M$24:$M$1048576,"&lt;="&amp;Graphs!$B75,'Stats 2020'!Q$24:Q$1048576),NA())</f>
        <v>193</v>
      </c>
      <c r="F75" s="59">
        <f t="shared" ca="1" si="42"/>
        <v>242.5</v>
      </c>
      <c r="G75" s="59">
        <f ca="1">IF($B75&lt;=TODAY(),SUMIF('Stats 2020'!$M$24:$M$1048576,"&lt;="&amp;Graphs!$B75,'Stats 2020'!S$24:S$1048576),NA())</f>
        <v>187.5</v>
      </c>
      <c r="H75" s="59">
        <f ca="1">IF($B75&lt;=TODAY(),SUMIF('Stats 2020'!$M$24:$M$1048576,"&lt;="&amp;Graphs!$B75,'Stats 2020'!T$24:T$1048576),NA())</f>
        <v>123.75</v>
      </c>
      <c r="I75" s="58" t="e">
        <f t="shared" ca="1" si="38"/>
        <v>#N/A</v>
      </c>
      <c r="J75" s="58" t="e">
        <f t="shared" ca="1" si="38"/>
        <v>#N/A</v>
      </c>
      <c r="K75" s="58" t="e">
        <f t="shared" ca="1" si="38"/>
        <v>#N/A</v>
      </c>
      <c r="L75" s="58" t="e">
        <f t="shared" ca="1" si="38"/>
        <v>#N/A</v>
      </c>
      <c r="M75" s="58" t="e">
        <f t="shared" ca="1" si="38"/>
        <v>#N/A</v>
      </c>
      <c r="N75" s="58" t="e">
        <f t="shared" ca="1" si="38"/>
        <v>#N/A</v>
      </c>
      <c r="O75" s="60"/>
      <c r="W75" s="66"/>
      <c r="X75" s="65">
        <f t="shared" si="30"/>
        <v>44365</v>
      </c>
      <c r="Y75" s="69" t="e">
        <f>SUM(Q$2:Q75)/COUNTA($P$2:$P75)</f>
        <v>#N/A</v>
      </c>
      <c r="Z75" s="69" t="e">
        <f>SUM(R$2:R75)/COUNTA($P$2:$P75)</f>
        <v>#N/A</v>
      </c>
      <c r="AA75" s="69" t="e">
        <f>SUM(S$2:S75)/COUNTA($P$2:$P75)</f>
        <v>#N/A</v>
      </c>
      <c r="AB75" s="69" t="e">
        <f>SUM(T$2:T75)/COUNTA($P$2:$P75)</f>
        <v>#N/A</v>
      </c>
      <c r="AC75" s="69" t="e">
        <f>SUM(U$2:U75)/COUNTA($P$2:$P75)</f>
        <v>#N/A</v>
      </c>
      <c r="AD75" s="69" t="e">
        <f>SUM(V$2:V75)/COUNTA($P$2:$P75)</f>
        <v>#N/A</v>
      </c>
      <c r="AE75" s="70" t="e">
        <f t="shared" si="16"/>
        <v>#N/A</v>
      </c>
      <c r="AF75" s="58" t="e">
        <f t="shared" ca="1" si="36"/>
        <v>#N/A</v>
      </c>
      <c r="AG75" s="58" t="e">
        <f t="shared" ca="1" si="36"/>
        <v>#N/A</v>
      </c>
      <c r="AH75" s="58" t="e">
        <f t="shared" ca="1" si="36"/>
        <v>#N/A</v>
      </c>
      <c r="AI75" s="58" t="e">
        <f t="shared" ca="1" si="36"/>
        <v>#N/A</v>
      </c>
      <c r="AJ75" s="58" t="e">
        <f t="shared" ca="1" si="36"/>
        <v>#N/A</v>
      </c>
      <c r="AK75" s="58" t="e">
        <f t="shared" ca="1" si="36"/>
        <v>#N/A</v>
      </c>
      <c r="AL75" s="58" t="e">
        <f t="shared" ca="1" si="36"/>
        <v>#N/A</v>
      </c>
      <c r="AP75" s="66"/>
    </row>
    <row r="76" spans="1:42" ht="24.75" customHeight="1">
      <c r="A76" s="74" t="e">
        <f t="shared" ca="1" si="28"/>
        <v>#N/A</v>
      </c>
      <c r="B76" s="56">
        <f t="shared" si="37"/>
        <v>44372</v>
      </c>
      <c r="C76" s="59">
        <f ca="1">IF($B76&lt;=TODAY(),SUMIF('Stats 2020'!$M$24:$M$1048576,"&lt;="&amp;Graphs!$B76,'Stats 2020'!O$24:O$1048576),NA())</f>
        <v>215</v>
      </c>
      <c r="D76" s="59">
        <f t="shared" ca="1" si="41"/>
        <v>242.5</v>
      </c>
      <c r="E76" s="59">
        <f ca="1">IF($B76&lt;=TODAY(),SUMIF('Stats 2020'!$M$24:$M$1048576,"&lt;="&amp;Graphs!$B76,'Stats 2020'!Q$24:Q$1048576),NA())</f>
        <v>193</v>
      </c>
      <c r="F76" s="59">
        <f t="shared" ca="1" si="42"/>
        <v>242.5</v>
      </c>
      <c r="G76" s="59">
        <f ca="1">IF($B76&lt;=TODAY(),SUMIF('Stats 2020'!$M$24:$M$1048576,"&lt;="&amp;Graphs!$B76,'Stats 2020'!S$24:S$1048576),NA())</f>
        <v>187.5</v>
      </c>
      <c r="H76" s="59">
        <f ca="1">IF($B76&lt;=TODAY(),SUMIF('Stats 2020'!$M$24:$M$1048576,"&lt;="&amp;Graphs!$B76,'Stats 2020'!T$24:T$1048576),NA())</f>
        <v>123.75</v>
      </c>
      <c r="I76" s="58" t="e">
        <f t="shared" ca="1" si="38"/>
        <v>#N/A</v>
      </c>
      <c r="J76" s="58" t="e">
        <f t="shared" ca="1" si="38"/>
        <v>#N/A</v>
      </c>
      <c r="K76" s="58" t="e">
        <f t="shared" ca="1" si="38"/>
        <v>#N/A</v>
      </c>
      <c r="L76" s="58" t="e">
        <f t="shared" ca="1" si="38"/>
        <v>#N/A</v>
      </c>
      <c r="M76" s="58" t="e">
        <f t="shared" ca="1" si="38"/>
        <v>#N/A</v>
      </c>
      <c r="N76" s="58" t="e">
        <f t="shared" ca="1" si="38"/>
        <v>#N/A</v>
      </c>
      <c r="O76" s="60"/>
      <c r="P76" s="65">
        <f t="shared" ref="P76" si="44">B77</f>
        <v>44379</v>
      </c>
      <c r="Q76" s="66" t="e">
        <f>VLOOKUP($B77,'Stats 2020'!$D$25:$J$89,MATCH(Graphs!Q$1,'Stats 2020'!$D$18:$J$18,0),0)</f>
        <v>#N/A</v>
      </c>
      <c r="R76" s="66" t="e">
        <f>VLOOKUP($B77,'Stats 2020'!$D$25:$J$89,MATCH(Graphs!R$1,'Stats 2020'!$D$18:$J$18,0),0)</f>
        <v>#N/A</v>
      </c>
      <c r="S76" s="66" t="e">
        <f>VLOOKUP($B77,'Stats 2020'!$D$25:$J$89,MATCH(Graphs!S$1,'Stats 2020'!$D$18:$J$18,0),0)</f>
        <v>#N/A</v>
      </c>
      <c r="T76" s="66" t="e">
        <f>VLOOKUP($B77,'Stats 2020'!$D$25:$J$89,MATCH(Graphs!T$1,'Stats 2020'!$D$18:$J$18,0),0)</f>
        <v>#N/A</v>
      </c>
      <c r="U76" s="66" t="e">
        <f>VLOOKUP($B77,'Stats 2020'!$D$25:$J$89,MATCH(Graphs!U$1,'Stats 2020'!$D$18:$J$18,0),0)</f>
        <v>#N/A</v>
      </c>
      <c r="V76" s="66" t="e">
        <f>VLOOKUP($B77,'Stats 2020'!$D$25:$J$89,MATCH(Graphs!V$1,'Stats 2020'!$D$18:$J$18,0),0)</f>
        <v>#N/A</v>
      </c>
      <c r="W76" s="66"/>
      <c r="X76" s="65">
        <f t="shared" si="30"/>
        <v>44372</v>
      </c>
      <c r="Y76" s="69" t="e">
        <f>SUM(Q$2:Q76)/COUNTA($P$2:$P76)</f>
        <v>#N/A</v>
      </c>
      <c r="Z76" s="69" t="e">
        <f>SUM(R$2:R76)/COUNTA($P$2:$P76)</f>
        <v>#N/A</v>
      </c>
      <c r="AA76" s="69" t="e">
        <f>SUM(S$2:S76)/COUNTA($P$2:$P76)</f>
        <v>#N/A</v>
      </c>
      <c r="AB76" s="69" t="e">
        <f>SUM(T$2:T76)/COUNTA($P$2:$P76)</f>
        <v>#N/A</v>
      </c>
      <c r="AC76" s="69" t="e">
        <f>SUM(U$2:U76)/COUNTA($P$2:$P76)</f>
        <v>#N/A</v>
      </c>
      <c r="AD76" s="69" t="e">
        <f>SUM(V$2:V76)/COUNTA($P$2:$P76)</f>
        <v>#N/A</v>
      </c>
      <c r="AE76" s="70" t="e">
        <f t="shared" si="16"/>
        <v>#N/A</v>
      </c>
      <c r="AF76" s="58" t="e">
        <f t="shared" ca="1" si="36"/>
        <v>#N/A</v>
      </c>
      <c r="AG76" s="58" t="e">
        <f t="shared" ca="1" si="36"/>
        <v>#N/A</v>
      </c>
      <c r="AH76" s="58" t="e">
        <f t="shared" ca="1" si="36"/>
        <v>#N/A</v>
      </c>
      <c r="AI76" s="58" t="e">
        <f t="shared" ca="1" si="36"/>
        <v>#N/A</v>
      </c>
      <c r="AJ76" s="58" t="e">
        <f t="shared" ca="1" si="36"/>
        <v>#N/A</v>
      </c>
      <c r="AK76" s="58" t="e">
        <f t="shared" ca="1" si="36"/>
        <v>#N/A</v>
      </c>
      <c r="AL76" s="58" t="e">
        <f t="shared" ca="1" si="36"/>
        <v>#N/A</v>
      </c>
      <c r="AP76" s="66"/>
    </row>
    <row r="77" spans="1:42" ht="24.75" customHeight="1">
      <c r="A77" s="74" t="e">
        <f t="shared" ca="1" si="28"/>
        <v>#N/A</v>
      </c>
      <c r="B77" s="56">
        <f t="shared" si="37"/>
        <v>44379</v>
      </c>
      <c r="C77" s="59">
        <f ca="1">IF($B77&lt;=TODAY(),SUMIF('Stats 2020'!$M$24:$M$1048576,"&lt;="&amp;Graphs!$B77,'Stats 2020'!O$24:O$1048576),NA())</f>
        <v>215</v>
      </c>
      <c r="D77" s="59">
        <f t="shared" ca="1" si="41"/>
        <v>242.5</v>
      </c>
      <c r="E77" s="59">
        <f ca="1">IF($B77&lt;=TODAY(),SUMIF('Stats 2020'!$M$24:$M$1048576,"&lt;="&amp;Graphs!$B77,'Stats 2020'!Q$24:Q$1048576),NA())</f>
        <v>193</v>
      </c>
      <c r="F77" s="59">
        <f t="shared" ca="1" si="42"/>
        <v>242.5</v>
      </c>
      <c r="G77" s="59">
        <f ca="1">IF($B77&lt;=TODAY(),SUMIF('Stats 2020'!$M$24:$M$1048576,"&lt;="&amp;Graphs!$B77,'Stats 2020'!S$24:S$1048576),NA())</f>
        <v>187.5</v>
      </c>
      <c r="H77" s="59">
        <f ca="1">IF($B77&lt;=TODAY(),SUMIF('Stats 2020'!$M$24:$M$1048576,"&lt;="&amp;Graphs!$B77,'Stats 2020'!T$24:T$1048576),NA())</f>
        <v>123.75</v>
      </c>
      <c r="I77" s="58" t="e">
        <f t="shared" ca="1" si="38"/>
        <v>#N/A</v>
      </c>
      <c r="J77" s="58" t="e">
        <f t="shared" ca="1" si="38"/>
        <v>#N/A</v>
      </c>
      <c r="K77" s="58" t="e">
        <f t="shared" ca="1" si="38"/>
        <v>#N/A</v>
      </c>
      <c r="L77" s="58" t="e">
        <f t="shared" ca="1" si="38"/>
        <v>#N/A</v>
      </c>
      <c r="M77" s="58" t="e">
        <f t="shared" ca="1" si="38"/>
        <v>#N/A</v>
      </c>
      <c r="N77" s="58" t="e">
        <f t="shared" ca="1" si="38"/>
        <v>#N/A</v>
      </c>
      <c r="O77" s="60"/>
      <c r="W77" s="66"/>
      <c r="X77" s="65">
        <f t="shared" si="30"/>
        <v>44379</v>
      </c>
      <c r="Y77" s="69" t="e">
        <f>SUM(Q$2:Q77)/COUNTA($P$2:$P77)</f>
        <v>#N/A</v>
      </c>
      <c r="Z77" s="69" t="e">
        <f>SUM(R$2:R77)/COUNTA($P$2:$P77)</f>
        <v>#N/A</v>
      </c>
      <c r="AA77" s="69" t="e">
        <f>SUM(S$2:S77)/COUNTA($P$2:$P77)</f>
        <v>#N/A</v>
      </c>
      <c r="AB77" s="69" t="e">
        <f>SUM(T$2:T77)/COUNTA($P$2:$P77)</f>
        <v>#N/A</v>
      </c>
      <c r="AC77" s="69" t="e">
        <f>SUM(U$2:U77)/COUNTA($P$2:$P77)</f>
        <v>#N/A</v>
      </c>
      <c r="AD77" s="69" t="e">
        <f>SUM(V$2:V77)/COUNTA($P$2:$P77)</f>
        <v>#N/A</v>
      </c>
      <c r="AE77" s="70" t="e">
        <f t="shared" si="16"/>
        <v>#N/A</v>
      </c>
      <c r="AF77" s="58" t="e">
        <f t="shared" ca="1" si="36"/>
        <v>#N/A</v>
      </c>
      <c r="AG77" s="58" t="e">
        <f t="shared" ca="1" si="36"/>
        <v>#N/A</v>
      </c>
      <c r="AH77" s="58" t="e">
        <f t="shared" ca="1" si="36"/>
        <v>#N/A</v>
      </c>
      <c r="AI77" s="58" t="e">
        <f t="shared" ca="1" si="36"/>
        <v>#N/A</v>
      </c>
      <c r="AJ77" s="58" t="e">
        <f t="shared" ca="1" si="36"/>
        <v>#N/A</v>
      </c>
      <c r="AK77" s="58" t="e">
        <f t="shared" ca="1" si="36"/>
        <v>#N/A</v>
      </c>
      <c r="AL77" s="58" t="e">
        <f t="shared" ca="1" si="36"/>
        <v>#N/A</v>
      </c>
      <c r="AP77" s="66"/>
    </row>
    <row r="78" spans="1:42" ht="24.75" customHeight="1">
      <c r="A78" s="74" t="e">
        <f t="shared" ca="1" si="28"/>
        <v>#N/A</v>
      </c>
      <c r="B78" s="56">
        <f t="shared" si="37"/>
        <v>44386</v>
      </c>
      <c r="C78" s="59">
        <f ca="1">IF($B78&lt;=TODAY(),SUMIF('Stats 2020'!$M$24:$M$1048576,"&lt;="&amp;Graphs!$B78,'Stats 2020'!O$24:O$1048576),NA())</f>
        <v>215</v>
      </c>
      <c r="D78" s="59">
        <f t="shared" ca="1" si="41"/>
        <v>242.5</v>
      </c>
      <c r="E78" s="59">
        <f ca="1">IF($B78&lt;=TODAY(),SUMIF('Stats 2020'!$M$24:$M$1048576,"&lt;="&amp;Graphs!$B78,'Stats 2020'!Q$24:Q$1048576),NA())</f>
        <v>193</v>
      </c>
      <c r="F78" s="59">
        <f t="shared" ca="1" si="42"/>
        <v>242.5</v>
      </c>
      <c r="G78" s="59">
        <f ca="1">IF($B78&lt;=TODAY(),SUMIF('Stats 2020'!$M$24:$M$1048576,"&lt;="&amp;Graphs!$B78,'Stats 2020'!S$24:S$1048576),NA())</f>
        <v>187.5</v>
      </c>
      <c r="H78" s="59">
        <f ca="1">IF($B78&lt;=TODAY(),SUMIF('Stats 2020'!$M$24:$M$1048576,"&lt;="&amp;Graphs!$B78,'Stats 2020'!T$24:T$1048576),NA())</f>
        <v>123.75</v>
      </c>
      <c r="I78" s="58" t="e">
        <f t="shared" ca="1" si="38"/>
        <v>#N/A</v>
      </c>
      <c r="J78" s="58" t="e">
        <f t="shared" ca="1" si="38"/>
        <v>#N/A</v>
      </c>
      <c r="K78" s="58" t="e">
        <f t="shared" ca="1" si="38"/>
        <v>#N/A</v>
      </c>
      <c r="L78" s="58" t="e">
        <f t="shared" ca="1" si="38"/>
        <v>#N/A</v>
      </c>
      <c r="M78" s="58" t="e">
        <f t="shared" ca="1" si="38"/>
        <v>#N/A</v>
      </c>
      <c r="N78" s="58" t="e">
        <f t="shared" ca="1" si="38"/>
        <v>#N/A</v>
      </c>
      <c r="O78" s="60"/>
      <c r="P78" s="65">
        <f t="shared" ref="P78" si="45">B79</f>
        <v>0</v>
      </c>
      <c r="Q78" s="66" t="e">
        <f>VLOOKUP($B79,'Stats 2020'!$D$25:$J$89,MATCH(Graphs!Q$1,'Stats 2020'!$D$18:$J$18,0),0)</f>
        <v>#N/A</v>
      </c>
      <c r="R78" s="66" t="e">
        <f>VLOOKUP($B79,'Stats 2020'!$D$25:$J$89,MATCH(Graphs!R$1,'Stats 2020'!$D$18:$J$18,0),0)</f>
        <v>#N/A</v>
      </c>
      <c r="S78" s="66" t="e">
        <f>VLOOKUP($B79,'Stats 2020'!$D$25:$J$89,MATCH(Graphs!S$1,'Stats 2020'!$D$18:$J$18,0),0)</f>
        <v>#N/A</v>
      </c>
      <c r="T78" s="66" t="e">
        <f>VLOOKUP($B79,'Stats 2020'!$D$25:$J$89,MATCH(Graphs!T$1,'Stats 2020'!$D$18:$J$18,0),0)</f>
        <v>#N/A</v>
      </c>
      <c r="U78" s="66" t="e">
        <f>VLOOKUP($B79,'Stats 2020'!$D$25:$J$89,MATCH(Graphs!U$1,'Stats 2020'!$D$18:$J$18,0),0)</f>
        <v>#N/A</v>
      </c>
      <c r="V78" s="66" t="e">
        <f>VLOOKUP($B79,'Stats 2020'!$D$25:$J$89,MATCH(Graphs!V$1,'Stats 2020'!$D$18:$J$18,0),0)</f>
        <v>#N/A</v>
      </c>
      <c r="W78" s="66"/>
      <c r="X78" s="65">
        <f t="shared" si="30"/>
        <v>44386</v>
      </c>
      <c r="Y78" s="69" t="e">
        <f>SUM(Q$2:Q78)/COUNTA($P$2:$P78)</f>
        <v>#N/A</v>
      </c>
      <c r="Z78" s="69" t="e">
        <f>SUM(R$2:R78)/COUNTA($P$2:$P78)</f>
        <v>#N/A</v>
      </c>
      <c r="AA78" s="69" t="e">
        <f>SUM(S$2:S78)/COUNTA($P$2:$P78)</f>
        <v>#N/A</v>
      </c>
      <c r="AB78" s="69" t="e">
        <f>SUM(T$2:T78)/COUNTA($P$2:$P78)</f>
        <v>#N/A</v>
      </c>
      <c r="AC78" s="69" t="e">
        <f>SUM(U$2:U78)/COUNTA($P$2:$P78)</f>
        <v>#N/A</v>
      </c>
      <c r="AD78" s="69" t="e">
        <f>SUM(V$2:V78)/COUNTA($P$2:$P78)</f>
        <v>#N/A</v>
      </c>
      <c r="AE78" s="70" t="e">
        <f t="shared" si="16"/>
        <v>#N/A</v>
      </c>
      <c r="AF78" s="58" t="e">
        <f t="shared" ca="1" si="36"/>
        <v>#N/A</v>
      </c>
      <c r="AG78" s="58" t="e">
        <f t="shared" ca="1" si="36"/>
        <v>#N/A</v>
      </c>
      <c r="AH78" s="58" t="e">
        <f t="shared" ca="1" si="36"/>
        <v>#N/A</v>
      </c>
      <c r="AI78" s="58" t="e">
        <f t="shared" ca="1" si="36"/>
        <v>#N/A</v>
      </c>
      <c r="AJ78" s="58" t="e">
        <f t="shared" ca="1" si="36"/>
        <v>#N/A</v>
      </c>
      <c r="AK78" s="58" t="e">
        <f t="shared" ca="1" si="36"/>
        <v>#N/A</v>
      </c>
      <c r="AL78" s="58" t="e">
        <f t="shared" ca="1" si="36"/>
        <v>#N/A</v>
      </c>
      <c r="AP78" s="66"/>
    </row>
  </sheetData>
  <conditionalFormatting sqref="A2:AL2 P3:P59 Q3:V65 A3:O78 W3:AL78">
    <cfRule type="expression" dxfId="194" priority="1">
      <formula>$B2&gt;TODAY()</formula>
    </cfRule>
  </conditionalFormatting>
  <conditionalFormatting sqref="P60 P62:P63 P66:V66 P68:V68 P70:V70 P72:V72 P74:V74 P76:V76 P78:V78">
    <cfRule type="expression" dxfId="193" priority="948">
      <formula>$B61&gt;TODAY()</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22E06-C269-4207-91BE-2208B29C81BB}">
  <sheetPr codeName="Sheet3"/>
  <dimension ref="B1:AH160"/>
  <sheetViews>
    <sheetView tabSelected="1" zoomScale="85" zoomScaleNormal="85" zoomScaleSheetLayoutView="70" workbookViewId="0">
      <pane xSplit="14" ySplit="23" topLeftCell="O57" activePane="bottomRight" state="frozen"/>
      <selection pane="topRight" activeCell="P1" sqref="P1"/>
      <selection pane="bottomLeft" activeCell="A24" sqref="A24"/>
      <selection pane="bottomRight" activeCell="M25" sqref="M25"/>
    </sheetView>
  </sheetViews>
  <sheetFormatPr defaultColWidth="11.3828125" defaultRowHeight="16.75"/>
  <cols>
    <col min="1" max="1" width="4" style="1" customWidth="1"/>
    <col min="2" max="2" width="5.15234375" style="207" customWidth="1"/>
    <col min="3" max="3" width="7.3046875" style="2" customWidth="1"/>
    <col min="4" max="4" width="12.53515625" style="1" customWidth="1"/>
    <col min="5" max="5" width="10.3046875" style="1" bestFit="1" customWidth="1"/>
    <col min="6" max="6" width="7.15234375" style="1" customWidth="1"/>
    <col min="7" max="7" width="7.3828125" style="1" customWidth="1"/>
    <col min="8" max="9" width="7.15234375" style="1" customWidth="1"/>
    <col min="10" max="10" width="9.61328125" style="1" bestFit="1" customWidth="1"/>
    <col min="11" max="12" width="1.3828125" style="1" customWidth="1"/>
    <col min="13" max="13" width="12.53515625" style="29" bestFit="1" customWidth="1"/>
    <col min="14" max="14" width="26.53515625" style="1" customWidth="1"/>
    <col min="15" max="15" width="16.69140625" style="1" customWidth="1"/>
    <col min="16" max="17" width="14.3828125" style="1" customWidth="1"/>
    <col min="18" max="18" width="13.3828125" style="1" customWidth="1"/>
    <col min="19" max="19" width="18.69140625" style="1" customWidth="1"/>
    <col min="20" max="20" width="20.3828125" style="1" customWidth="1"/>
    <col min="21" max="21" width="5.3828125" style="1" hidden="1" customWidth="1"/>
    <col min="22" max="22" width="11.3828125" style="1"/>
    <col min="23" max="23" width="16.69140625" style="1" customWidth="1"/>
    <col min="24" max="24" width="11.69140625" style="1" bestFit="1" customWidth="1"/>
    <col min="25" max="25" width="43.53515625" style="1" customWidth="1"/>
    <col min="26" max="26" width="16.3046875" style="1" customWidth="1"/>
    <col min="27" max="27" width="24.3046875" style="1" bestFit="1" customWidth="1"/>
    <col min="28" max="28" width="12.69140625" style="1" bestFit="1" customWidth="1"/>
    <col min="29" max="29" width="23" style="1" bestFit="1" customWidth="1"/>
    <col min="30" max="30" width="20" style="1" bestFit="1" customWidth="1"/>
    <col min="31" max="16384" width="11.3828125" style="1"/>
  </cols>
  <sheetData>
    <row r="1" spans="2:27" ht="8.25" customHeight="1"/>
    <row r="2" spans="2:27" ht="40.5" customHeight="1">
      <c r="C2" s="232" t="s">
        <v>5</v>
      </c>
      <c r="D2" s="233"/>
      <c r="E2" s="233"/>
      <c r="F2" s="233"/>
      <c r="G2" s="233"/>
      <c r="H2" s="233"/>
      <c r="I2" s="233"/>
      <c r="J2" s="233"/>
      <c r="K2" s="233"/>
      <c r="L2" s="233"/>
      <c r="M2" s="233"/>
      <c r="N2" s="233"/>
      <c r="O2" s="233"/>
      <c r="P2" s="233"/>
      <c r="Q2" s="233"/>
      <c r="R2" s="233"/>
      <c r="S2" s="233"/>
      <c r="T2" s="233"/>
      <c r="U2" s="233"/>
      <c r="V2" s="233"/>
      <c r="W2" s="233"/>
      <c r="X2" s="233"/>
      <c r="Y2" s="233"/>
      <c r="Z2" s="233"/>
      <c r="AA2" s="233"/>
    </row>
    <row r="3" spans="2:27" ht="8.25" customHeight="1"/>
    <row r="4" spans="2:27" ht="9.75" customHeight="1"/>
    <row r="5" spans="2:27" ht="21.75" customHeight="1">
      <c r="B5" s="208"/>
      <c r="C5" s="7" t="s">
        <v>13</v>
      </c>
      <c r="D5" s="8"/>
      <c r="E5" s="8"/>
      <c r="F5" s="8"/>
      <c r="G5" s="8"/>
      <c r="H5" s="8"/>
      <c r="I5" s="9"/>
      <c r="J5" s="9"/>
      <c r="L5" s="6"/>
      <c r="M5" s="31" t="s">
        <v>14</v>
      </c>
      <c r="N5" s="8"/>
      <c r="O5" s="234" t="s">
        <v>31</v>
      </c>
      <c r="P5" s="234"/>
      <c r="Q5" s="234"/>
      <c r="R5" s="234"/>
      <c r="S5" s="235"/>
      <c r="T5" s="236">
        <f>W16</f>
        <v>6838.25</v>
      </c>
      <c r="U5" s="237"/>
      <c r="V5" s="238" t="s">
        <v>52</v>
      </c>
      <c r="W5" s="239"/>
      <c r="X5" s="238" t="s">
        <v>56</v>
      </c>
      <c r="Y5" s="239"/>
      <c r="Z5" s="238" t="s">
        <v>61</v>
      </c>
      <c r="AA5" s="239"/>
    </row>
    <row r="6" spans="2:27" ht="23.25" customHeight="1">
      <c r="B6" s="208"/>
      <c r="L6" s="6"/>
      <c r="V6" s="240"/>
      <c r="W6" s="241"/>
      <c r="X6" s="240"/>
      <c r="Y6" s="241"/>
      <c r="Z6" s="240"/>
      <c r="AA6" s="241"/>
    </row>
    <row r="7" spans="2:27">
      <c r="B7" s="33" t="s">
        <v>328</v>
      </c>
      <c r="C7" s="33" t="s">
        <v>6</v>
      </c>
      <c r="D7" s="33" t="s">
        <v>7</v>
      </c>
      <c r="E7" s="35" t="s">
        <v>8</v>
      </c>
      <c r="F7" s="35" t="s">
        <v>9</v>
      </c>
      <c r="I7" s="11"/>
      <c r="J7" s="11"/>
      <c r="L7" s="6"/>
      <c r="N7" s="33" t="s">
        <v>6</v>
      </c>
      <c r="O7" s="68" t="s">
        <v>16</v>
      </c>
      <c r="P7" s="68" t="s">
        <v>17</v>
      </c>
      <c r="Q7" s="244" t="s">
        <v>26</v>
      </c>
      <c r="R7" s="244"/>
      <c r="S7" s="245" t="s">
        <v>27</v>
      </c>
      <c r="T7" s="245"/>
      <c r="U7" s="34"/>
      <c r="V7" s="242"/>
      <c r="W7" s="243"/>
      <c r="X7" s="242"/>
      <c r="Y7" s="243"/>
      <c r="Z7" s="242"/>
      <c r="AA7" s="243"/>
    </row>
    <row r="8" spans="2:27" ht="16.5" customHeight="1">
      <c r="B8" s="10">
        <f>RANK(G13,$G$8:$G$13,1)
 + COUNTIFS($G$8:$G$13,G13,$H$8:$H$13,"&gt;"&amp;H13)</f>
        <v>1</v>
      </c>
      <c r="C8" s="12" t="s">
        <v>21</v>
      </c>
      <c r="D8" s="12">
        <f t="shared" ref="D8:D13" si="0">ROUND(HLOOKUP(C8,$E$18:$J$20,3,FALSE),0)</f>
        <v>34</v>
      </c>
      <c r="E8" s="28">
        <f t="shared" ref="E8:E13" ca="1" si="1">D8/$C$20</f>
        <v>0.80952380952380953</v>
      </c>
      <c r="F8" s="28">
        <f ca="1">1-E8</f>
        <v>0.19047619047619047</v>
      </c>
      <c r="G8" s="27">
        <f>RANK(D10,$D$8:$D$13,0)</f>
        <v>3</v>
      </c>
      <c r="H8" s="27">
        <f>RANK(E21,$E$21:$J$21,0)</f>
        <v>4</v>
      </c>
      <c r="L8" s="6"/>
      <c r="N8" s="10" t="s">
        <v>2</v>
      </c>
      <c r="O8" s="13">
        <f>R20</f>
        <v>282</v>
      </c>
      <c r="P8" s="13">
        <v>0</v>
      </c>
      <c r="Q8" s="231"/>
      <c r="R8" s="231"/>
      <c r="S8" s="231" t="s">
        <v>18</v>
      </c>
      <c r="T8" s="231"/>
      <c r="V8" s="231" t="s">
        <v>48</v>
      </c>
      <c r="W8" s="231"/>
      <c r="X8" s="231" t="s">
        <v>58</v>
      </c>
      <c r="Y8" s="231"/>
      <c r="Z8" s="231" t="s">
        <v>65</v>
      </c>
      <c r="AA8" s="231"/>
    </row>
    <row r="9" spans="2:27">
      <c r="B9" s="10">
        <f>RANK(G12,$G$8:$G$13,1)
 + COUNTIFS($G$8:$G$13,G12,$H$8:$H$13,"&gt;"&amp;H12)</f>
        <v>2</v>
      </c>
      <c r="C9" s="12" t="s">
        <v>3</v>
      </c>
      <c r="D9" s="12">
        <f t="shared" si="0"/>
        <v>29</v>
      </c>
      <c r="E9" s="28">
        <f t="shared" ca="1" si="1"/>
        <v>0.69047619047619047</v>
      </c>
      <c r="F9" s="28">
        <f ca="1">1-E9</f>
        <v>0.30952380952380953</v>
      </c>
      <c r="G9" s="27">
        <f>RANK(D13,$D$8:$D$13,0)</f>
        <v>6</v>
      </c>
      <c r="H9" s="27">
        <f>RANK(F21,$E$21:$J$21,0)</f>
        <v>3</v>
      </c>
      <c r="J9"/>
      <c r="L9" s="6"/>
      <c r="N9" s="10" t="s">
        <v>4</v>
      </c>
      <c r="O9" s="13">
        <f>P20</f>
        <v>382</v>
      </c>
      <c r="P9" s="13">
        <v>0</v>
      </c>
      <c r="Q9" s="231"/>
      <c r="R9" s="231"/>
      <c r="S9" s="231" t="s">
        <v>18</v>
      </c>
      <c r="T9" s="231"/>
      <c r="V9" s="231" t="s">
        <v>49</v>
      </c>
      <c r="W9" s="231"/>
      <c r="X9" s="231" t="s">
        <v>57</v>
      </c>
      <c r="Y9" s="231"/>
      <c r="Z9" s="231" t="s">
        <v>64</v>
      </c>
      <c r="AA9" s="231"/>
    </row>
    <row r="10" spans="2:27">
      <c r="B10" s="10">
        <f>RANK(G8,$G$8:$G$13,1)
 + COUNTIFS($G$8:$G$13,G8,$H$8:$H$13,"&gt;"&amp;H8)</f>
        <v>3</v>
      </c>
      <c r="C10" s="12" t="s">
        <v>0</v>
      </c>
      <c r="D10" s="12">
        <f t="shared" si="0"/>
        <v>23</v>
      </c>
      <c r="E10" s="28">
        <f t="shared" ca="1" si="1"/>
        <v>0.54761904761904767</v>
      </c>
      <c r="F10" s="28">
        <f ca="1">1-E10</f>
        <v>0.45238095238095233</v>
      </c>
      <c r="G10" s="27">
        <f>RANK(D11,$D$8:$D$13,0)</f>
        <v>5</v>
      </c>
      <c r="H10" s="27">
        <f>RANK(G21,$E$21:$J$21,0)</f>
        <v>5</v>
      </c>
      <c r="J10"/>
      <c r="L10" s="6"/>
      <c r="M10"/>
      <c r="N10" s="10" t="s">
        <v>3</v>
      </c>
      <c r="O10" s="13">
        <f>S20</f>
        <v>201.75</v>
      </c>
      <c r="P10" s="13">
        <v>0</v>
      </c>
      <c r="Q10" s="231"/>
      <c r="R10" s="231"/>
      <c r="S10" s="231" t="s">
        <v>18</v>
      </c>
      <c r="T10" s="231"/>
      <c r="V10" s="231" t="s">
        <v>48</v>
      </c>
      <c r="W10" s="231"/>
      <c r="X10" s="231" t="s">
        <v>60</v>
      </c>
      <c r="Y10" s="231"/>
      <c r="Z10" s="231" t="s">
        <v>66</v>
      </c>
      <c r="AA10" s="231"/>
    </row>
    <row r="11" spans="2:27">
      <c r="B11" s="10">
        <f>RANK(G10,$G$8:$G$13,1)
 + COUNTIFS($G$8:$G$13,G10,$H$8:$H$13,"&gt;"&amp;H10)</f>
        <v>5</v>
      </c>
      <c r="C11" s="12" t="s">
        <v>1</v>
      </c>
      <c r="D11" s="12">
        <f t="shared" si="0"/>
        <v>19</v>
      </c>
      <c r="E11" s="28">
        <f t="shared" ca="1" si="1"/>
        <v>0.45238095238095238</v>
      </c>
      <c r="F11" s="28">
        <f t="shared" ref="F11" ca="1" si="2">1-E11</f>
        <v>0.54761904761904767</v>
      </c>
      <c r="G11" s="27">
        <f>RANK(D12,$D$8:$D$13,0)</f>
        <v>4</v>
      </c>
      <c r="H11" s="27">
        <f>RANK(H21,$E$21:$J$21,0)</f>
        <v>5</v>
      </c>
      <c r="L11" s="6"/>
      <c r="N11" s="10" t="s">
        <v>1</v>
      </c>
      <c r="O11" s="13">
        <f>Q20</f>
        <v>321</v>
      </c>
      <c r="P11" s="13">
        <v>0</v>
      </c>
      <c r="Q11" s="231"/>
      <c r="R11" s="231"/>
      <c r="S11" s="231" t="s">
        <v>18</v>
      </c>
      <c r="T11" s="231"/>
      <c r="V11" s="231" t="s">
        <v>48</v>
      </c>
      <c r="W11" s="231"/>
      <c r="X11" s="231" t="s">
        <v>59</v>
      </c>
      <c r="Y11" s="231"/>
      <c r="Z11" s="231" t="s">
        <v>67</v>
      </c>
      <c r="AA11" s="231"/>
    </row>
    <row r="12" spans="2:27">
      <c r="B12" s="10">
        <f>RANK(G11,$G$8:$G$13,1)
 + COUNTIFS($G$8:$G$13,G11,$H$8:$H$13,"&gt;"&amp;H11)</f>
        <v>4</v>
      </c>
      <c r="C12" s="12" t="s">
        <v>2</v>
      </c>
      <c r="D12" s="12">
        <f t="shared" si="0"/>
        <v>22</v>
      </c>
      <c r="E12" s="28">
        <f t="shared" ca="1" si="1"/>
        <v>0.52380952380952384</v>
      </c>
      <c r="F12" s="28">
        <f ca="1">1-E12</f>
        <v>0.47619047619047616</v>
      </c>
      <c r="G12" s="27">
        <f>RANK(D9,$D$8:$D$13,0)</f>
        <v>2</v>
      </c>
      <c r="H12" s="27">
        <f>RANK(I21,$E$21:$J$21,0)</f>
        <v>2</v>
      </c>
      <c r="I12"/>
      <c r="L12" s="6"/>
      <c r="N12" s="10" t="s">
        <v>0</v>
      </c>
      <c r="O12" s="47">
        <f>O20</f>
        <v>272.25</v>
      </c>
      <c r="P12" s="13">
        <v>0</v>
      </c>
      <c r="Q12" s="231"/>
      <c r="R12" s="231"/>
      <c r="S12" s="231" t="s">
        <v>18</v>
      </c>
      <c r="T12" s="231"/>
      <c r="V12" s="231" t="s">
        <v>50</v>
      </c>
      <c r="W12" s="231"/>
      <c r="X12" s="231" t="s">
        <v>356</v>
      </c>
      <c r="Y12" s="231"/>
      <c r="Z12" s="231" t="s">
        <v>63</v>
      </c>
      <c r="AA12" s="231"/>
    </row>
    <row r="13" spans="2:27">
      <c r="B13" s="10">
        <f>RANK(G9,$G$8:$G$13,1)
 + COUNTIFS($G$8:$G$13,G9,$H$8:$H$13,"&gt;"&amp;H9)</f>
        <v>6</v>
      </c>
      <c r="C13" s="12" t="s">
        <v>4</v>
      </c>
      <c r="D13" s="12">
        <f t="shared" si="0"/>
        <v>15</v>
      </c>
      <c r="E13" s="28">
        <f t="shared" ca="1" si="1"/>
        <v>0.35714285714285715</v>
      </c>
      <c r="F13" s="28">
        <f ca="1">1-E13</f>
        <v>0.64285714285714279</v>
      </c>
      <c r="G13" s="27">
        <f>RANK(D8,$D$8:$D$13,0)</f>
        <v>1</v>
      </c>
      <c r="H13" s="27">
        <f>RANK(J21,$E$21:$J$21,0)</f>
        <v>1</v>
      </c>
      <c r="L13" s="6"/>
      <c r="N13" s="10" t="s">
        <v>22</v>
      </c>
      <c r="O13" s="13">
        <f>T20</f>
        <v>141.25</v>
      </c>
      <c r="P13" s="13">
        <v>0</v>
      </c>
      <c r="Q13" s="231"/>
      <c r="R13" s="231"/>
      <c r="S13" s="231" t="s">
        <v>18</v>
      </c>
      <c r="T13" s="231"/>
      <c r="V13" s="231" t="s">
        <v>51</v>
      </c>
      <c r="W13" s="231"/>
      <c r="X13" s="246" t="s">
        <v>363</v>
      </c>
      <c r="Y13" s="246"/>
      <c r="Z13" s="231" t="s">
        <v>62</v>
      </c>
      <c r="AA13" s="231"/>
    </row>
    <row r="14" spans="2:27" ht="17.149999999999999" thickBot="1">
      <c r="L14" s="6"/>
      <c r="N14" s="29"/>
      <c r="O14" s="29"/>
      <c r="P14" s="29"/>
      <c r="Q14" s="248"/>
      <c r="R14" s="248"/>
      <c r="S14" s="248"/>
      <c r="T14" s="248"/>
      <c r="X14" s="247"/>
      <c r="Y14" s="247"/>
    </row>
    <row r="15" spans="2:27" ht="13.5" customHeight="1" thickBot="1">
      <c r="L15" s="6"/>
      <c r="M15"/>
      <c r="Q15" s="1" t="s">
        <v>362</v>
      </c>
      <c r="S15" s="15">
        <v>1000</v>
      </c>
      <c r="V15" s="137" t="s">
        <v>121</v>
      </c>
      <c r="W15" s="138">
        <f>O16+S16</f>
        <v>5838.25</v>
      </c>
    </row>
    <row r="16" spans="2:27" ht="17.149999999999999" thickBot="1">
      <c r="L16" s="6"/>
      <c r="N16" s="14" t="s">
        <v>19</v>
      </c>
      <c r="O16" s="15">
        <f>SUM(O8:O13)</f>
        <v>1600.25</v>
      </c>
      <c r="P16" s="87"/>
      <c r="Q16" s="254" t="s">
        <v>376</v>
      </c>
      <c r="R16" s="255"/>
      <c r="S16" s="15">
        <f>'Stats 2025'!W16-'Stats 2025'!O16-120-S15</f>
        <v>4238</v>
      </c>
      <c r="T16" s="1" t="s">
        <v>375</v>
      </c>
      <c r="V16" s="137" t="s">
        <v>69</v>
      </c>
      <c r="W16" s="138">
        <f>S16+S15+O16</f>
        <v>6838.25</v>
      </c>
    </row>
    <row r="17" spans="2:34" ht="12" customHeight="1">
      <c r="B17" s="208"/>
      <c r="E17" s="27">
        <f>RANK(E20,$E20:$J20)</f>
        <v>3</v>
      </c>
      <c r="F17" s="27">
        <f t="shared" ref="F17:J17" si="3">RANK(F20,$E20:$J20)</f>
        <v>6</v>
      </c>
      <c r="G17" s="27">
        <f t="shared" si="3"/>
        <v>5</v>
      </c>
      <c r="H17" s="27">
        <f t="shared" si="3"/>
        <v>4</v>
      </c>
      <c r="I17" s="27">
        <f t="shared" si="3"/>
        <v>2</v>
      </c>
      <c r="J17" s="27">
        <f t="shared" si="3"/>
        <v>1</v>
      </c>
      <c r="L17" s="6"/>
      <c r="V17" s="249"/>
    </row>
    <row r="18" spans="2:34">
      <c r="B18" s="208"/>
      <c r="E18" s="16" t="s">
        <v>0</v>
      </c>
      <c r="F18" s="16" t="s">
        <v>4</v>
      </c>
      <c r="G18" s="16" t="s">
        <v>1</v>
      </c>
      <c r="H18" s="16" t="s">
        <v>2</v>
      </c>
      <c r="I18" s="16" t="s">
        <v>3</v>
      </c>
      <c r="J18" s="16" t="s">
        <v>21</v>
      </c>
      <c r="L18" s="6"/>
      <c r="O18" s="16" t="e" vm="1">
        <v>#VALUE!</v>
      </c>
      <c r="P18" s="16" t="s">
        <v>4</v>
      </c>
      <c r="Q18" s="16" t="s">
        <v>1</v>
      </c>
      <c r="R18" s="16" t="s">
        <v>2</v>
      </c>
      <c r="S18" s="16" t="s">
        <v>3</v>
      </c>
      <c r="T18" s="16" t="s">
        <v>22</v>
      </c>
      <c r="U18" s="16"/>
      <c r="V18" s="250"/>
    </row>
    <row r="19" spans="2:34" ht="6" customHeight="1">
      <c r="B19" s="208"/>
      <c r="E19" s="17"/>
      <c r="F19" s="17"/>
      <c r="G19" s="17"/>
      <c r="H19" s="17"/>
      <c r="I19" s="17"/>
      <c r="J19" s="17"/>
      <c r="L19" s="6"/>
      <c r="O19" s="17"/>
      <c r="P19" s="17"/>
      <c r="Q19" s="17"/>
      <c r="R19" s="17"/>
      <c r="S19" s="17"/>
      <c r="T19" s="17"/>
      <c r="U19" s="17"/>
    </row>
    <row r="20" spans="2:34" ht="16.75" customHeight="1">
      <c r="B20" s="208"/>
      <c r="C20" s="139">
        <f ca="1">COUNT(C23:C91)</f>
        <v>42</v>
      </c>
      <c r="E20" s="24">
        <f>SUM(E25:E91)+0.00002</f>
        <v>23.000019999999999</v>
      </c>
      <c r="F20" s="24">
        <f>SUM(F25:F91)+0.00005</f>
        <v>15.00005</v>
      </c>
      <c r="G20" s="24">
        <f>SUM(G25:G91)+0.00005</f>
        <v>19.000050000000002</v>
      </c>
      <c r="H20" s="24">
        <f>SUM(H25:H91)+0.00006</f>
        <v>22.000060000000001</v>
      </c>
      <c r="I20" s="24">
        <f>SUM(I25:I91)+0.00009</f>
        <v>29.00009</v>
      </c>
      <c r="J20" s="24">
        <f>SUM(J25:J91)+0.0001</f>
        <v>34.000100000000003</v>
      </c>
      <c r="L20" s="6"/>
      <c r="N20" s="1" t="s">
        <v>69</v>
      </c>
      <c r="O20" s="19">
        <f>SUM(O24:O91)</f>
        <v>272.25</v>
      </c>
      <c r="P20" s="19">
        <f t="shared" ref="P20:R20" si="4">SUM(P24:P91)</f>
        <v>382</v>
      </c>
      <c r="Q20" s="19">
        <f t="shared" si="4"/>
        <v>321</v>
      </c>
      <c r="R20" s="19">
        <f t="shared" si="4"/>
        <v>282</v>
      </c>
      <c r="S20" s="19">
        <f>SUM(S24:S91)</f>
        <v>201.75</v>
      </c>
      <c r="T20" s="19">
        <f>SUM(T24:T91)</f>
        <v>141.25</v>
      </c>
      <c r="U20" s="19"/>
      <c r="W20" s="193"/>
      <c r="X20" s="193"/>
      <c r="Y20" s="193"/>
      <c r="Z20" s="193"/>
    </row>
    <row r="21" spans="2:34">
      <c r="B21" s="208"/>
      <c r="E21" s="209">
        <f>O21</f>
        <v>3.25</v>
      </c>
      <c r="F21" s="209">
        <f t="shared" ref="F21:J21" si="5">P21</f>
        <v>6.5</v>
      </c>
      <c r="G21" s="209">
        <f t="shared" si="5"/>
        <v>0</v>
      </c>
      <c r="H21" s="209">
        <f t="shared" si="5"/>
        <v>0</v>
      </c>
      <c r="I21" s="209">
        <f t="shared" si="5"/>
        <v>9.75</v>
      </c>
      <c r="J21" s="209">
        <f t="shared" si="5"/>
        <v>16.25</v>
      </c>
      <c r="L21" s="6"/>
      <c r="N21" s="1" t="s">
        <v>389</v>
      </c>
      <c r="O21" s="20" cm="1">
        <f t="array" ref="O21">SUM(SUMIF($N$24:$N$100,{"LI";"LIFO";"LIFO+"},O24:O100))</f>
        <v>3.25</v>
      </c>
      <c r="P21" s="20" cm="1">
        <f t="array" ref="P21">SUM(SUMIF($N$24:$N$100,{"LI";"LIFO";"LIFO+"},P24:P100))</f>
        <v>6.5</v>
      </c>
      <c r="Q21" s="20" cm="1">
        <f t="array" ref="Q21">SUM(SUMIF($N$24:$N$100,{"LI";"LIFO";"LIFO+"},Q24:Q100))</f>
        <v>0</v>
      </c>
      <c r="R21" s="20" cm="1">
        <f t="array" ref="R21">SUM(SUMIF($N$24:$N$100,{"LI";"LIFO";"LIFO+"},R24:R100))</f>
        <v>0</v>
      </c>
      <c r="S21" s="20" cm="1">
        <f t="array" ref="S21">SUM(SUMIF($N$24:$N$100,{"LI";"LIFO";"LIFO+"},S24:S100))</f>
        <v>9.75</v>
      </c>
      <c r="T21" s="20" cm="1">
        <f t="array" ref="T21">SUM(SUMIF($N$24:$N$100,{"LI";"LIFO";"LIFO+"},T24:T100))</f>
        <v>16.25</v>
      </c>
      <c r="U21" s="20"/>
      <c r="W21" s="193"/>
      <c r="X21" s="193"/>
      <c r="Y21" s="193"/>
      <c r="Z21" s="193"/>
    </row>
    <row r="22" spans="2:34">
      <c r="B22" s="208"/>
      <c r="E22" s="217"/>
      <c r="F22" s="217"/>
      <c r="G22" s="217"/>
      <c r="H22" s="217"/>
      <c r="I22" s="217"/>
      <c r="J22" s="217"/>
      <c r="L22" s="6"/>
      <c r="W22" s="193"/>
      <c r="X22" s="193"/>
      <c r="Y22" s="193"/>
      <c r="Z22" s="193"/>
    </row>
    <row r="23" spans="2:34">
      <c r="B23" s="208"/>
      <c r="C23" s="12" t="s">
        <v>10</v>
      </c>
      <c r="D23" s="10" t="s">
        <v>11</v>
      </c>
      <c r="E23" s="12" t="s">
        <v>12</v>
      </c>
      <c r="F23" s="12" t="s">
        <v>12</v>
      </c>
      <c r="G23" s="12" t="s">
        <v>12</v>
      </c>
      <c r="H23" s="12" t="s">
        <v>12</v>
      </c>
      <c r="I23" s="12" t="s">
        <v>12</v>
      </c>
      <c r="J23" s="12" t="s">
        <v>12</v>
      </c>
      <c r="L23" s="6"/>
      <c r="M23" s="67" t="s">
        <v>11</v>
      </c>
      <c r="N23" s="67" t="s">
        <v>15</v>
      </c>
      <c r="O23" s="12" t="s">
        <v>16</v>
      </c>
      <c r="P23" s="12" t="s">
        <v>16</v>
      </c>
      <c r="Q23" s="12" t="s">
        <v>16</v>
      </c>
      <c r="R23" s="12" t="s">
        <v>16</v>
      </c>
      <c r="S23" s="12" t="s">
        <v>16</v>
      </c>
      <c r="T23" s="12" t="s">
        <v>16</v>
      </c>
      <c r="U23" s="12"/>
    </row>
    <row r="24" spans="2:34">
      <c r="B24" s="208"/>
      <c r="C24" s="12"/>
      <c r="D24" s="10"/>
      <c r="E24" s="12"/>
      <c r="F24" s="12"/>
      <c r="G24" s="12"/>
      <c r="H24" s="12"/>
      <c r="I24" s="12"/>
      <c r="J24" s="12"/>
      <c r="L24" s="6"/>
      <c r="M24" s="21">
        <v>46003</v>
      </c>
      <c r="N24" s="67" t="s">
        <v>20</v>
      </c>
      <c r="O24" s="25">
        <v>20</v>
      </c>
      <c r="P24" s="25">
        <v>20</v>
      </c>
      <c r="Q24" s="25">
        <v>20</v>
      </c>
      <c r="R24" s="25">
        <v>20</v>
      </c>
      <c r="S24" s="25">
        <v>20</v>
      </c>
      <c r="T24" s="25">
        <v>20</v>
      </c>
      <c r="U24" s="25"/>
      <c r="V24" s="179"/>
      <c r="Y24" s="179"/>
      <c r="Z24" s="179"/>
      <c r="AA24" s="34"/>
      <c r="AB24" s="34"/>
      <c r="AC24" s="34"/>
      <c r="AD24" s="34"/>
      <c r="AE24" s="34"/>
      <c r="AF24" s="34"/>
      <c r="AG24" s="179"/>
      <c r="AH24" s="179"/>
    </row>
    <row r="25" spans="2:34">
      <c r="B25" s="208"/>
      <c r="C25" s="251"/>
      <c r="D25" s="252"/>
      <c r="E25" s="252"/>
      <c r="F25" s="252"/>
      <c r="G25" s="252"/>
      <c r="H25" s="252"/>
      <c r="I25" s="252"/>
      <c r="J25" s="253"/>
      <c r="L25" s="6"/>
      <c r="M25" s="21">
        <f>M24</f>
        <v>46003</v>
      </c>
      <c r="N25" s="10" t="s">
        <v>46</v>
      </c>
      <c r="O25" s="25"/>
      <c r="P25" s="25"/>
      <c r="Q25" s="25"/>
      <c r="R25" s="25"/>
      <c r="S25" s="25"/>
      <c r="T25" s="25">
        <f>13/4</f>
        <v>3.25</v>
      </c>
      <c r="U25" s="25"/>
      <c r="V25" s="179"/>
      <c r="Y25" s="200"/>
      <c r="Z25" s="201"/>
      <c r="AC25" s="198"/>
      <c r="AE25" s="63"/>
      <c r="AG25" s="179"/>
      <c r="AH25" s="179"/>
    </row>
    <row r="26" spans="2:34">
      <c r="B26" s="208"/>
      <c r="C26" s="12">
        <f t="shared" ref="C26:C40" ca="1" si="6">IF(D26&lt;=TODAY(),1,"")</f>
        <v>1</v>
      </c>
      <c r="D26" s="22">
        <f t="shared" ref="D26:D40" si="7">IF(M26="","",M26)</f>
        <v>46003</v>
      </c>
      <c r="E26" s="26">
        <f t="shared" ref="E26:J40" si="8">IF(O26="","",IF(O26=0,1,0))</f>
        <v>1</v>
      </c>
      <c r="F26" s="26">
        <f t="shared" si="8"/>
        <v>1</v>
      </c>
      <c r="G26" s="26">
        <f t="shared" si="8"/>
        <v>1</v>
      </c>
      <c r="H26" s="26">
        <f t="shared" si="8"/>
        <v>1</v>
      </c>
      <c r="I26" s="26">
        <f t="shared" si="8"/>
        <v>1</v>
      </c>
      <c r="J26" s="26">
        <f t="shared" si="8"/>
        <v>1</v>
      </c>
      <c r="M26" s="21">
        <f>M25</f>
        <v>46003</v>
      </c>
      <c r="N26" s="10" t="s">
        <v>24</v>
      </c>
      <c r="O26" s="25">
        <v>0</v>
      </c>
      <c r="P26" s="25">
        <v>0</v>
      </c>
      <c r="Q26" s="25">
        <v>0</v>
      </c>
      <c r="R26" s="25">
        <v>0</v>
      </c>
      <c r="S26" s="25">
        <v>0</v>
      </c>
      <c r="T26" s="25">
        <v>0</v>
      </c>
      <c r="U26" s="25"/>
      <c r="V26" s="179"/>
      <c r="Z26" s="201"/>
      <c r="AC26" s="198"/>
      <c r="AE26" s="63"/>
      <c r="AG26" s="179"/>
      <c r="AH26" s="179"/>
    </row>
    <row r="27" spans="2:34">
      <c r="B27" s="208"/>
      <c r="C27" s="224"/>
      <c r="D27" s="225"/>
      <c r="E27" s="228"/>
      <c r="F27" s="229"/>
      <c r="G27" s="229"/>
      <c r="H27" s="229"/>
      <c r="I27" s="229"/>
      <c r="J27" s="230"/>
      <c r="M27" s="21">
        <v>46010</v>
      </c>
      <c r="N27" s="10" t="s">
        <v>46</v>
      </c>
      <c r="O27" s="25"/>
      <c r="P27" s="25">
        <f>13/4</f>
        <v>3.25</v>
      </c>
      <c r="Q27" s="25"/>
      <c r="R27" s="25"/>
      <c r="S27" s="25"/>
      <c r="T27" s="25"/>
      <c r="U27" s="25"/>
      <c r="V27" s="179"/>
      <c r="Z27" s="201"/>
      <c r="AC27" s="198"/>
      <c r="AE27" s="63"/>
      <c r="AG27" s="179"/>
      <c r="AH27" s="179"/>
    </row>
    <row r="28" spans="2:34">
      <c r="B28" s="208"/>
      <c r="C28" s="12">
        <f t="shared" ca="1" si="6"/>
        <v>1</v>
      </c>
      <c r="D28" s="22">
        <f t="shared" si="7"/>
        <v>46010</v>
      </c>
      <c r="E28" s="26">
        <f t="shared" si="8"/>
        <v>0</v>
      </c>
      <c r="F28" s="26">
        <f t="shared" si="8"/>
        <v>1</v>
      </c>
      <c r="G28" s="26">
        <f t="shared" si="8"/>
        <v>1</v>
      </c>
      <c r="H28" s="26">
        <f t="shared" si="8"/>
        <v>1</v>
      </c>
      <c r="I28" s="26">
        <f t="shared" si="8"/>
        <v>1</v>
      </c>
      <c r="J28" s="26">
        <f t="shared" si="8"/>
        <v>1</v>
      </c>
      <c r="M28" s="21">
        <f>M27</f>
        <v>46010</v>
      </c>
      <c r="N28" s="10" t="s">
        <v>24</v>
      </c>
      <c r="O28" s="25">
        <v>13</v>
      </c>
      <c r="P28" s="25">
        <v>0</v>
      </c>
      <c r="Q28" s="25">
        <v>0</v>
      </c>
      <c r="R28" s="25">
        <v>0</v>
      </c>
      <c r="S28" s="25">
        <v>0</v>
      </c>
      <c r="T28" s="25">
        <v>0</v>
      </c>
      <c r="U28" s="25"/>
      <c r="V28" s="179"/>
      <c r="Z28" s="201"/>
      <c r="AC28" s="198"/>
      <c r="AE28" s="63"/>
      <c r="AG28" s="179"/>
      <c r="AH28" s="179"/>
    </row>
    <row r="29" spans="2:34">
      <c r="B29" s="208"/>
      <c r="C29" s="12">
        <f t="shared" ca="1" si="6"/>
        <v>1</v>
      </c>
      <c r="D29" s="22">
        <f t="shared" si="7"/>
        <v>46031</v>
      </c>
      <c r="E29" s="26">
        <f t="shared" si="8"/>
        <v>0</v>
      </c>
      <c r="F29" s="26">
        <f t="shared" si="8"/>
        <v>1</v>
      </c>
      <c r="G29" s="26">
        <f t="shared" si="8"/>
        <v>0</v>
      </c>
      <c r="H29" s="26">
        <f t="shared" si="8"/>
        <v>1</v>
      </c>
      <c r="I29" s="26">
        <f t="shared" si="8"/>
        <v>1</v>
      </c>
      <c r="J29" s="26">
        <f t="shared" si="8"/>
        <v>0</v>
      </c>
      <c r="M29" s="21">
        <v>46031</v>
      </c>
      <c r="N29" s="10" t="s">
        <v>24</v>
      </c>
      <c r="O29" s="25">
        <v>13</v>
      </c>
      <c r="P29" s="25">
        <v>0</v>
      </c>
      <c r="Q29" s="25">
        <v>13</v>
      </c>
      <c r="R29" s="25">
        <v>0</v>
      </c>
      <c r="S29" s="25">
        <v>0</v>
      </c>
      <c r="T29" s="25">
        <v>13</v>
      </c>
      <c r="U29" s="25"/>
      <c r="V29" s="179"/>
      <c r="Z29" s="201"/>
      <c r="AC29" s="198"/>
      <c r="AE29" s="63"/>
      <c r="AG29" s="179"/>
      <c r="AH29" s="179"/>
    </row>
    <row r="30" spans="2:34">
      <c r="B30" s="208"/>
      <c r="C30" s="224"/>
      <c r="D30" s="225"/>
      <c r="E30" s="228"/>
      <c r="F30" s="229"/>
      <c r="G30" s="229"/>
      <c r="H30" s="229"/>
      <c r="I30" s="229"/>
      <c r="J30" s="230"/>
      <c r="M30" s="21">
        <v>46038</v>
      </c>
      <c r="N30" s="10" t="s">
        <v>46</v>
      </c>
      <c r="O30" s="25">
        <v>3.25</v>
      </c>
      <c r="P30" s="25"/>
      <c r="Q30" s="25"/>
      <c r="R30" s="25"/>
      <c r="S30" s="25"/>
      <c r="T30" s="25"/>
      <c r="U30" s="25"/>
      <c r="V30" s="179"/>
      <c r="W30" s="179"/>
      <c r="Z30" s="179"/>
      <c r="AE30" s="63"/>
      <c r="AG30" s="179"/>
      <c r="AH30" s="179"/>
    </row>
    <row r="31" spans="2:34">
      <c r="B31" s="208"/>
      <c r="C31" s="12">
        <f t="shared" ca="1" si="6"/>
        <v>1</v>
      </c>
      <c r="D31" s="22">
        <f t="shared" si="7"/>
        <v>46038</v>
      </c>
      <c r="E31" s="26">
        <f t="shared" si="8"/>
        <v>1</v>
      </c>
      <c r="F31" s="26">
        <f t="shared" si="8"/>
        <v>0</v>
      </c>
      <c r="G31" s="26">
        <f t="shared" si="8"/>
        <v>1</v>
      </c>
      <c r="H31" s="26">
        <f t="shared" si="8"/>
        <v>0</v>
      </c>
      <c r="I31" s="26">
        <f t="shared" si="8"/>
        <v>0</v>
      </c>
      <c r="J31" s="26">
        <f t="shared" si="8"/>
        <v>0</v>
      </c>
      <c r="M31" s="21">
        <v>46038</v>
      </c>
      <c r="N31" s="10" t="s">
        <v>24</v>
      </c>
      <c r="O31" s="25">
        <v>0</v>
      </c>
      <c r="P31" s="25">
        <v>13</v>
      </c>
      <c r="Q31" s="25">
        <v>0</v>
      </c>
      <c r="R31" s="25">
        <v>13</v>
      </c>
      <c r="S31" s="25">
        <v>13</v>
      </c>
      <c r="T31" s="25">
        <v>13</v>
      </c>
      <c r="U31" s="25"/>
      <c r="V31" s="179"/>
      <c r="Z31" s="201"/>
      <c r="AC31" s="198"/>
      <c r="AD31" s="34"/>
      <c r="AE31" s="199"/>
      <c r="AG31" s="179"/>
      <c r="AH31" s="179"/>
    </row>
    <row r="32" spans="2:34">
      <c r="B32" s="208"/>
      <c r="C32" s="224"/>
      <c r="D32" s="225"/>
      <c r="E32" s="225"/>
      <c r="F32" s="225"/>
      <c r="G32" s="225"/>
      <c r="H32" s="225"/>
      <c r="I32" s="225"/>
      <c r="J32" s="226"/>
      <c r="M32" s="21">
        <v>46045</v>
      </c>
      <c r="N32" s="10" t="s">
        <v>46</v>
      </c>
      <c r="O32" s="25"/>
      <c r="P32" s="25"/>
      <c r="Q32" s="25"/>
      <c r="R32" s="25"/>
      <c r="S32" s="25">
        <f>13/4</f>
        <v>3.25</v>
      </c>
      <c r="T32" s="25"/>
      <c r="U32" s="25"/>
      <c r="V32" s="179"/>
      <c r="W32" s="179"/>
      <c r="Z32" s="179"/>
    </row>
    <row r="33" spans="2:34">
      <c r="B33" s="208"/>
      <c r="C33" s="12">
        <f t="shared" ca="1" si="6"/>
        <v>1</v>
      </c>
      <c r="D33" s="22">
        <f t="shared" si="7"/>
        <v>46045</v>
      </c>
      <c r="E33" s="26">
        <f t="shared" si="8"/>
        <v>0</v>
      </c>
      <c r="F33" s="26">
        <f t="shared" si="8"/>
        <v>0</v>
      </c>
      <c r="G33" s="26">
        <f t="shared" si="8"/>
        <v>1</v>
      </c>
      <c r="H33" s="26">
        <f t="shared" si="8"/>
        <v>1</v>
      </c>
      <c r="I33" s="26">
        <f t="shared" si="8"/>
        <v>1</v>
      </c>
      <c r="J33" s="26">
        <f t="shared" si="8"/>
        <v>1</v>
      </c>
      <c r="M33" s="21">
        <v>46045</v>
      </c>
      <c r="N33" s="10" t="s">
        <v>24</v>
      </c>
      <c r="O33" s="25">
        <v>13</v>
      </c>
      <c r="P33" s="25">
        <v>13</v>
      </c>
      <c r="Q33" s="25">
        <v>0</v>
      </c>
      <c r="R33" s="25">
        <v>0</v>
      </c>
      <c r="S33" s="25">
        <v>0</v>
      </c>
      <c r="T33" s="25">
        <v>0</v>
      </c>
      <c r="U33" s="25"/>
      <c r="V33" s="179"/>
      <c r="Y33" s="179"/>
      <c r="Z33" s="179"/>
    </row>
    <row r="34" spans="2:34">
      <c r="B34" s="208"/>
      <c r="C34" s="12">
        <f t="shared" ca="1" si="6"/>
        <v>1</v>
      </c>
      <c r="D34" s="22">
        <f t="shared" si="7"/>
        <v>46052</v>
      </c>
      <c r="E34" s="26">
        <f t="shared" si="8"/>
        <v>0</v>
      </c>
      <c r="F34" s="26">
        <f t="shared" si="8"/>
        <v>1</v>
      </c>
      <c r="G34" s="26">
        <f t="shared" si="8"/>
        <v>0</v>
      </c>
      <c r="H34" s="26">
        <f t="shared" si="8"/>
        <v>1</v>
      </c>
      <c r="I34" s="26">
        <f t="shared" si="8"/>
        <v>1</v>
      </c>
      <c r="J34" s="26">
        <f t="shared" si="8"/>
        <v>1</v>
      </c>
      <c r="M34" s="21">
        <v>46052</v>
      </c>
      <c r="N34" s="10" t="s">
        <v>24</v>
      </c>
      <c r="O34" s="25">
        <v>13</v>
      </c>
      <c r="P34" s="25">
        <v>0</v>
      </c>
      <c r="Q34" s="25">
        <v>13</v>
      </c>
      <c r="R34" s="25">
        <v>0</v>
      </c>
      <c r="S34" s="25">
        <v>0</v>
      </c>
      <c r="T34" s="25">
        <v>0</v>
      </c>
      <c r="U34" s="25"/>
      <c r="V34" s="179"/>
      <c r="AD34" s="2"/>
      <c r="AG34" s="179"/>
      <c r="AH34" s="179"/>
    </row>
    <row r="35" spans="2:34">
      <c r="B35" s="208"/>
      <c r="C35" s="224"/>
      <c r="D35" s="225"/>
      <c r="E35" s="228"/>
      <c r="F35" s="229"/>
      <c r="G35" s="229"/>
      <c r="H35" s="229"/>
      <c r="I35" s="229"/>
      <c r="J35" s="230"/>
      <c r="M35" s="21">
        <v>46059</v>
      </c>
      <c r="N35" s="10" t="s">
        <v>46</v>
      </c>
      <c r="O35" s="25"/>
      <c r="P35" s="25">
        <f>13/4</f>
        <v>3.25</v>
      </c>
      <c r="Q35" s="25"/>
      <c r="R35" s="25"/>
      <c r="S35" s="25"/>
      <c r="T35" s="25"/>
      <c r="U35" s="25"/>
      <c r="V35" s="179"/>
      <c r="AB35" s="58"/>
      <c r="AG35" s="179"/>
      <c r="AH35" s="179"/>
    </row>
    <row r="36" spans="2:34">
      <c r="B36" s="208"/>
      <c r="C36" s="12">
        <f t="shared" ca="1" si="6"/>
        <v>1</v>
      </c>
      <c r="D36" s="22">
        <f t="shared" si="7"/>
        <v>46059</v>
      </c>
      <c r="E36" s="26">
        <f t="shared" si="8"/>
        <v>1</v>
      </c>
      <c r="F36" s="26">
        <f t="shared" si="8"/>
        <v>1</v>
      </c>
      <c r="G36" s="26">
        <f t="shared" si="8"/>
        <v>0</v>
      </c>
      <c r="H36" s="26">
        <f t="shared" si="8"/>
        <v>0</v>
      </c>
      <c r="I36" s="26">
        <f t="shared" si="8"/>
        <v>1</v>
      </c>
      <c r="J36" s="26">
        <f t="shared" si="8"/>
        <v>1</v>
      </c>
      <c r="M36" s="21">
        <f>M35</f>
        <v>46059</v>
      </c>
      <c r="N36" s="10" t="s">
        <v>24</v>
      </c>
      <c r="O36" s="25">
        <v>0</v>
      </c>
      <c r="P36" s="25">
        <v>0</v>
      </c>
      <c r="Q36" s="25">
        <v>13</v>
      </c>
      <c r="R36" s="25">
        <v>13</v>
      </c>
      <c r="S36" s="25">
        <v>0</v>
      </c>
      <c r="T36" s="25">
        <v>0</v>
      </c>
      <c r="U36" s="25"/>
      <c r="V36" s="179"/>
      <c r="AC36" s="27" t="s">
        <v>341</v>
      </c>
      <c r="AD36" s="27">
        <v>100</v>
      </c>
    </row>
    <row r="37" spans="2:34">
      <c r="B37" s="208"/>
      <c r="C37" s="12">
        <f t="shared" ca="1" si="6"/>
        <v>1</v>
      </c>
      <c r="D37" s="22">
        <f t="shared" si="7"/>
        <v>46066</v>
      </c>
      <c r="E37" s="26">
        <f t="shared" si="8"/>
        <v>1</v>
      </c>
      <c r="F37" s="26">
        <f t="shared" si="8"/>
        <v>1</v>
      </c>
      <c r="G37" s="26">
        <f t="shared" si="8"/>
        <v>1</v>
      </c>
      <c r="H37" s="26">
        <f t="shared" si="8"/>
        <v>0</v>
      </c>
      <c r="I37" s="26">
        <f t="shared" si="8"/>
        <v>1</v>
      </c>
      <c r="J37" s="26">
        <f t="shared" si="8"/>
        <v>1</v>
      </c>
      <c r="M37" s="21">
        <v>46066</v>
      </c>
      <c r="N37" s="10" t="s">
        <v>24</v>
      </c>
      <c r="O37" s="25">
        <v>0</v>
      </c>
      <c r="P37" s="25">
        <v>0</v>
      </c>
      <c r="Q37" s="25">
        <v>0</v>
      </c>
      <c r="R37" s="25">
        <v>13</v>
      </c>
      <c r="S37" s="25">
        <v>0</v>
      </c>
      <c r="T37" s="25">
        <v>0</v>
      </c>
      <c r="U37" s="25"/>
      <c r="V37" s="179"/>
      <c r="AC37" s="27">
        <v>2.57</v>
      </c>
      <c r="AD37" s="27">
        <f>100-AC37</f>
        <v>97.43</v>
      </c>
    </row>
    <row r="38" spans="2:34" ht="16.5" customHeight="1">
      <c r="B38" s="208"/>
      <c r="C38" s="224"/>
      <c r="D38" s="225"/>
      <c r="E38" s="228"/>
      <c r="F38" s="229"/>
      <c r="G38" s="229"/>
      <c r="H38" s="229"/>
      <c r="I38" s="229"/>
      <c r="J38" s="230"/>
      <c r="M38" s="21">
        <v>46073</v>
      </c>
      <c r="N38" s="10" t="s">
        <v>46</v>
      </c>
      <c r="O38" s="25"/>
      <c r="P38" s="25"/>
      <c r="Q38" s="25"/>
      <c r="R38" s="25"/>
      <c r="S38" s="25"/>
      <c r="T38" s="25">
        <f>13/4</f>
        <v>3.25</v>
      </c>
      <c r="U38" s="25"/>
      <c r="V38" s="179"/>
      <c r="AC38" s="27">
        <v>2.6</v>
      </c>
      <c r="AD38" s="27">
        <f t="shared" ref="AD38:AD41" si="9">100-AC38</f>
        <v>97.4</v>
      </c>
    </row>
    <row r="39" spans="2:34">
      <c r="B39" s="208"/>
      <c r="C39" s="12">
        <f t="shared" ref="C39" ca="1" si="10">IF(D39&lt;=TODAY(),1,"")</f>
        <v>1</v>
      </c>
      <c r="D39" s="22">
        <f t="shared" ref="D39" si="11">IF(M39="","",M39)</f>
        <v>46073</v>
      </c>
      <c r="E39" s="26">
        <f t="shared" ref="E39" si="12">IF(O39="","",IF(O39=0,1,0))</f>
        <v>1</v>
      </c>
      <c r="F39" s="26">
        <f t="shared" ref="F39" si="13">IF(P39="","",IF(P39=0,1,0))</f>
        <v>1</v>
      </c>
      <c r="G39" s="26">
        <f t="shared" ref="G39" si="14">IF(Q39="","",IF(Q39=0,1,0))</f>
        <v>0</v>
      </c>
      <c r="H39" s="26">
        <f t="shared" ref="H39" si="15">IF(R39="","",IF(R39=0,1,0))</f>
        <v>1</v>
      </c>
      <c r="I39" s="26">
        <f t="shared" ref="I39" si="16">IF(S39="","",IF(S39=0,1,0))</f>
        <v>1</v>
      </c>
      <c r="J39" s="26">
        <f t="shared" ref="J39" si="17">IF(T39="","",IF(T39=0,1,0))</f>
        <v>1</v>
      </c>
      <c r="M39" s="21">
        <v>46073</v>
      </c>
      <c r="N39" s="10" t="s">
        <v>24</v>
      </c>
      <c r="O39" s="25">
        <v>0</v>
      </c>
      <c r="P39" s="25">
        <v>0</v>
      </c>
      <c r="Q39" s="25">
        <v>13</v>
      </c>
      <c r="R39" s="25">
        <v>0</v>
      </c>
      <c r="S39" s="25">
        <v>0</v>
      </c>
      <c r="T39" s="25">
        <v>0</v>
      </c>
      <c r="V39" s="179"/>
      <c r="AC39" s="27">
        <v>2.2400000000000002</v>
      </c>
      <c r="AD39" s="27">
        <f t="shared" si="9"/>
        <v>97.76</v>
      </c>
    </row>
    <row r="40" spans="2:34">
      <c r="B40" s="208"/>
      <c r="C40" s="12">
        <f t="shared" ca="1" si="6"/>
        <v>1</v>
      </c>
      <c r="D40" s="22">
        <f t="shared" si="7"/>
        <v>46080</v>
      </c>
      <c r="E40" s="26">
        <f t="shared" si="8"/>
        <v>1</v>
      </c>
      <c r="F40" s="26">
        <f t="shared" si="8"/>
        <v>1</v>
      </c>
      <c r="G40" s="26">
        <f t="shared" si="8"/>
        <v>1</v>
      </c>
      <c r="H40" s="26">
        <f t="shared" si="8"/>
        <v>0</v>
      </c>
      <c r="I40" s="26">
        <f t="shared" si="8"/>
        <v>1</v>
      </c>
      <c r="J40" s="26">
        <f t="shared" si="8"/>
        <v>0</v>
      </c>
      <c r="M40" s="21">
        <v>46080</v>
      </c>
      <c r="N40" s="10" t="s">
        <v>24</v>
      </c>
      <c r="O40" s="25">
        <v>0</v>
      </c>
      <c r="P40" s="25">
        <v>0</v>
      </c>
      <c r="Q40" s="25">
        <v>0</v>
      </c>
      <c r="R40" s="25">
        <v>13</v>
      </c>
      <c r="S40" s="25">
        <v>0</v>
      </c>
      <c r="T40" s="25">
        <v>13</v>
      </c>
      <c r="V40" s="179"/>
      <c r="AC40" s="27">
        <v>2.02</v>
      </c>
      <c r="AD40" s="27">
        <f t="shared" si="9"/>
        <v>97.98</v>
      </c>
    </row>
    <row r="41" spans="2:34">
      <c r="B41" s="208"/>
      <c r="C41" s="12">
        <f t="shared" ref="C41" ca="1" si="18">IF(D41&lt;=TODAY(),1,"")</f>
        <v>1</v>
      </c>
      <c r="D41" s="22">
        <f t="shared" ref="D41" si="19">IF(M41="","",M41)</f>
        <v>46087</v>
      </c>
      <c r="E41" s="26">
        <f t="shared" ref="E41" si="20">IF(O41="","",IF(O41=0,1,0))</f>
        <v>1</v>
      </c>
      <c r="F41" s="26">
        <f t="shared" ref="F41" si="21">IF(P41="","",IF(P41=0,1,0))</f>
        <v>1</v>
      </c>
      <c r="G41" s="26">
        <f t="shared" ref="G41" si="22">IF(Q41="","",IF(Q41=0,1,0))</f>
        <v>0</v>
      </c>
      <c r="H41" s="26">
        <f t="shared" ref="H41" si="23">IF(R41="","",IF(R41=0,1,0))</f>
        <v>0</v>
      </c>
      <c r="I41" s="26">
        <f t="shared" ref="I41" si="24">IF(S41="","",IF(S41=0,1,0))</f>
        <v>1</v>
      </c>
      <c r="J41" s="26">
        <f t="shared" ref="J41" si="25">IF(T41="","",IF(T41=0,1,0))</f>
        <v>1</v>
      </c>
      <c r="M41" s="21">
        <f>M40+7</f>
        <v>46087</v>
      </c>
      <c r="N41" s="10" t="s">
        <v>24</v>
      </c>
      <c r="O41" s="25">
        <v>0</v>
      </c>
      <c r="P41" s="25">
        <v>0</v>
      </c>
      <c r="Q41" s="25">
        <v>13</v>
      </c>
      <c r="R41" s="25">
        <v>13</v>
      </c>
      <c r="S41" s="25">
        <v>0</v>
      </c>
      <c r="T41" s="25">
        <v>0</v>
      </c>
      <c r="V41" s="179"/>
      <c r="AC41" s="27">
        <v>1.84</v>
      </c>
      <c r="AD41" s="27">
        <f t="shared" si="9"/>
        <v>98.16</v>
      </c>
    </row>
    <row r="42" spans="2:34">
      <c r="B42" s="208"/>
      <c r="C42" s="12">
        <f t="shared" ref="C42:C91" ca="1" si="26">IF(D42&lt;=TODAY(),1,"")</f>
        <v>1</v>
      </c>
      <c r="D42" s="22">
        <f t="shared" ref="D42:D91" si="27">IF(M42="","",M42)</f>
        <v>46094</v>
      </c>
      <c r="E42" s="26">
        <f t="shared" ref="E42:E91" si="28">IF(O42="","",IF(O42=0,1,0))</f>
        <v>1</v>
      </c>
      <c r="F42" s="26">
        <f t="shared" ref="F42:F91" si="29">IF(P42="","",IF(P42=0,1,0))</f>
        <v>1</v>
      </c>
      <c r="G42" s="26">
        <f t="shared" ref="G42:G91" si="30">IF(Q42="","",IF(Q42=0,1,0))</f>
        <v>1</v>
      </c>
      <c r="H42" s="26">
        <f t="shared" ref="H42:H91" si="31">IF(R42="","",IF(R42=0,1,0))</f>
        <v>0</v>
      </c>
      <c r="I42" s="26">
        <f t="shared" ref="I42:I91" si="32">IF(S42="","",IF(S42=0,1,0))</f>
        <v>1</v>
      </c>
      <c r="J42" s="26">
        <f t="shared" ref="J42:J91" si="33">IF(T42="","",IF(T42=0,1,0))</f>
        <v>1</v>
      </c>
      <c r="M42" s="21">
        <f>M41+7</f>
        <v>46094</v>
      </c>
      <c r="N42" s="10" t="s">
        <v>24</v>
      </c>
      <c r="O42" s="25">
        <v>0</v>
      </c>
      <c r="P42" s="25">
        <v>0</v>
      </c>
      <c r="Q42" s="25">
        <v>0</v>
      </c>
      <c r="R42" s="25">
        <v>13</v>
      </c>
      <c r="S42" s="25">
        <v>0</v>
      </c>
      <c r="T42" s="25">
        <v>0</v>
      </c>
      <c r="V42" s="179"/>
    </row>
    <row r="43" spans="2:34">
      <c r="B43" s="208"/>
      <c r="C43" s="12">
        <f t="shared" ca="1" si="26"/>
        <v>1</v>
      </c>
      <c r="D43" s="22">
        <f t="shared" si="27"/>
        <v>46101</v>
      </c>
      <c r="E43" s="26">
        <f t="shared" si="28"/>
        <v>0</v>
      </c>
      <c r="F43" s="26">
        <f t="shared" si="29"/>
        <v>1</v>
      </c>
      <c r="G43" s="26">
        <f t="shared" si="30"/>
        <v>0</v>
      </c>
      <c r="H43" s="26">
        <f t="shared" si="31"/>
        <v>0</v>
      </c>
      <c r="I43" s="26">
        <f t="shared" si="32"/>
        <v>0</v>
      </c>
      <c r="J43" s="26">
        <f t="shared" si="33"/>
        <v>1</v>
      </c>
      <c r="M43" s="21">
        <f>M42+7</f>
        <v>46101</v>
      </c>
      <c r="N43" s="10" t="s">
        <v>24</v>
      </c>
      <c r="O43" s="25">
        <v>13</v>
      </c>
      <c r="P43" s="25">
        <v>0</v>
      </c>
      <c r="Q43" s="25">
        <v>13</v>
      </c>
      <c r="R43" s="25">
        <v>13</v>
      </c>
      <c r="S43" s="25">
        <v>13</v>
      </c>
      <c r="T43" s="25">
        <v>0</v>
      </c>
      <c r="V43" s="179"/>
      <c r="Y43" s="179"/>
      <c r="Z43" s="179"/>
    </row>
    <row r="44" spans="2:34">
      <c r="B44" s="208"/>
      <c r="C44" s="12">
        <f t="shared" ca="1" si="26"/>
        <v>1</v>
      </c>
      <c r="D44" s="22">
        <f t="shared" si="27"/>
        <v>46108</v>
      </c>
      <c r="E44" s="26">
        <f t="shared" si="28"/>
        <v>1</v>
      </c>
      <c r="F44" s="26">
        <f t="shared" si="29"/>
        <v>0</v>
      </c>
      <c r="G44" s="26">
        <f t="shared" si="30"/>
        <v>1</v>
      </c>
      <c r="H44" s="26">
        <f t="shared" si="31"/>
        <v>1</v>
      </c>
      <c r="I44" s="26">
        <f t="shared" si="32"/>
        <v>1</v>
      </c>
      <c r="J44" s="26">
        <f t="shared" si="33"/>
        <v>1</v>
      </c>
      <c r="M44" s="21">
        <f>M43+7</f>
        <v>46108</v>
      </c>
      <c r="N44" s="10" t="s">
        <v>24</v>
      </c>
      <c r="O44" s="25">
        <v>0</v>
      </c>
      <c r="P44" s="25">
        <v>13</v>
      </c>
      <c r="Q44" s="25">
        <v>0</v>
      </c>
      <c r="R44" s="25">
        <v>0</v>
      </c>
      <c r="S44" s="25">
        <v>0</v>
      </c>
      <c r="T44" s="25">
        <v>0</v>
      </c>
      <c r="V44" s="179"/>
      <c r="Y44" s="179"/>
      <c r="Z44" s="179"/>
    </row>
    <row r="45" spans="2:34">
      <c r="B45" s="208"/>
      <c r="C45" s="12">
        <f t="shared" ca="1" si="26"/>
        <v>1</v>
      </c>
      <c r="D45" s="22">
        <f t="shared" si="27"/>
        <v>46122</v>
      </c>
      <c r="E45" s="26">
        <f t="shared" si="28"/>
        <v>1</v>
      </c>
      <c r="F45" s="26">
        <f t="shared" si="29"/>
        <v>0</v>
      </c>
      <c r="G45" s="26">
        <f t="shared" si="30"/>
        <v>0</v>
      </c>
      <c r="H45" s="26">
        <f t="shared" si="31"/>
        <v>0</v>
      </c>
      <c r="I45" s="26">
        <f t="shared" si="32"/>
        <v>1</v>
      </c>
      <c r="J45" s="26">
        <f t="shared" si="33"/>
        <v>1</v>
      </c>
      <c r="M45" s="21">
        <f>M44+14</f>
        <v>46122</v>
      </c>
      <c r="N45" s="10" t="s">
        <v>24</v>
      </c>
      <c r="O45" s="25">
        <v>0</v>
      </c>
      <c r="P45" s="25">
        <v>13</v>
      </c>
      <c r="Q45" s="25">
        <v>13</v>
      </c>
      <c r="R45" s="25">
        <v>13</v>
      </c>
      <c r="S45" s="25">
        <v>0</v>
      </c>
      <c r="T45" s="25">
        <v>0</v>
      </c>
      <c r="V45" s="179"/>
      <c r="Y45" s="179"/>
      <c r="Z45" s="179"/>
    </row>
    <row r="46" spans="2:34">
      <c r="B46" s="208"/>
      <c r="C46" s="12">
        <f t="shared" ca="1" si="26"/>
        <v>1</v>
      </c>
      <c r="D46" s="22">
        <f t="shared" si="27"/>
        <v>46129</v>
      </c>
      <c r="E46" s="26">
        <f t="shared" si="28"/>
        <v>0</v>
      </c>
      <c r="F46" s="26">
        <f t="shared" si="29"/>
        <v>1</v>
      </c>
      <c r="G46" s="26">
        <f t="shared" si="30"/>
        <v>0</v>
      </c>
      <c r="H46" s="26">
        <f t="shared" si="31"/>
        <v>0</v>
      </c>
      <c r="I46" s="26">
        <f t="shared" si="32"/>
        <v>1</v>
      </c>
      <c r="J46" s="26">
        <f t="shared" si="33"/>
        <v>1</v>
      </c>
      <c r="M46" s="21">
        <f>M45+7</f>
        <v>46129</v>
      </c>
      <c r="N46" s="10" t="s">
        <v>24</v>
      </c>
      <c r="O46" s="25">
        <v>13</v>
      </c>
      <c r="P46" s="25">
        <v>0</v>
      </c>
      <c r="Q46" s="25">
        <v>13</v>
      </c>
      <c r="R46" s="25">
        <v>13</v>
      </c>
      <c r="S46" s="25">
        <v>0</v>
      </c>
      <c r="T46" s="25">
        <v>0</v>
      </c>
      <c r="V46" s="179"/>
      <c r="Y46" s="179"/>
      <c r="Z46" s="179"/>
    </row>
    <row r="47" spans="2:34">
      <c r="B47" s="208"/>
      <c r="C47" s="12">
        <f t="shared" ca="1" si="26"/>
        <v>1</v>
      </c>
      <c r="D47" s="22">
        <f t="shared" si="27"/>
        <v>46136</v>
      </c>
      <c r="E47" s="26">
        <f t="shared" si="28"/>
        <v>0</v>
      </c>
      <c r="F47" s="26">
        <f t="shared" si="29"/>
        <v>1</v>
      </c>
      <c r="G47" s="26">
        <f t="shared" si="30"/>
        <v>1</v>
      </c>
      <c r="H47" s="26">
        <f t="shared" si="31"/>
        <v>1</v>
      </c>
      <c r="I47" s="26">
        <f t="shared" si="32"/>
        <v>1</v>
      </c>
      <c r="J47" s="26">
        <f t="shared" si="33"/>
        <v>1</v>
      </c>
      <c r="M47" s="21">
        <f>M46+7</f>
        <v>46136</v>
      </c>
      <c r="N47" s="10" t="s">
        <v>24</v>
      </c>
      <c r="O47" s="25">
        <v>13</v>
      </c>
      <c r="P47" s="25">
        <v>0</v>
      </c>
      <c r="Q47" s="25">
        <v>0</v>
      </c>
      <c r="R47" s="25">
        <v>0</v>
      </c>
      <c r="S47" s="25">
        <v>0</v>
      </c>
      <c r="T47" s="25">
        <v>0</v>
      </c>
      <c r="V47" s="179"/>
      <c r="AG47" s="179"/>
      <c r="AH47" s="179"/>
    </row>
    <row r="48" spans="2:34">
      <c r="B48" s="208"/>
      <c r="C48" s="12">
        <f t="shared" ca="1" si="26"/>
        <v>1</v>
      </c>
      <c r="D48" s="22">
        <f t="shared" si="27"/>
        <v>46150</v>
      </c>
      <c r="E48" s="26">
        <f t="shared" si="28"/>
        <v>1</v>
      </c>
      <c r="F48" s="26">
        <f t="shared" si="29"/>
        <v>1</v>
      </c>
      <c r="G48" s="26">
        <f t="shared" si="30"/>
        <v>1</v>
      </c>
      <c r="H48" s="26">
        <f t="shared" si="31"/>
        <v>0</v>
      </c>
      <c r="I48" s="26">
        <f t="shared" si="32"/>
        <v>0</v>
      </c>
      <c r="J48" s="26">
        <f t="shared" si="33"/>
        <v>1</v>
      </c>
      <c r="M48" s="21">
        <f>M47+14</f>
        <v>46150</v>
      </c>
      <c r="N48" s="10" t="s">
        <v>24</v>
      </c>
      <c r="O48" s="25">
        <v>0</v>
      </c>
      <c r="P48" s="25">
        <v>0</v>
      </c>
      <c r="Q48" s="25">
        <v>0</v>
      </c>
      <c r="R48" s="25">
        <v>13</v>
      </c>
      <c r="S48" s="25">
        <v>13</v>
      </c>
      <c r="T48" s="25">
        <v>0</v>
      </c>
      <c r="V48" s="179"/>
      <c r="AG48" s="179"/>
      <c r="AH48" s="179"/>
    </row>
    <row r="49" spans="2:34">
      <c r="B49" s="208"/>
      <c r="C49" s="224"/>
      <c r="D49" s="225"/>
      <c r="E49" s="228"/>
      <c r="F49" s="229"/>
      <c r="G49" s="229"/>
      <c r="H49" s="229"/>
      <c r="I49" s="229"/>
      <c r="J49" s="230"/>
      <c r="M49" s="21">
        <f>M48+7</f>
        <v>46157</v>
      </c>
      <c r="N49" s="10" t="s">
        <v>46</v>
      </c>
      <c r="O49" s="25"/>
      <c r="P49" s="25"/>
      <c r="Q49" s="25"/>
      <c r="R49" s="25"/>
      <c r="S49" s="25">
        <f>13/4</f>
        <v>3.25</v>
      </c>
      <c r="T49" s="25"/>
      <c r="V49" s="179"/>
      <c r="AG49" s="179"/>
      <c r="AH49" s="179"/>
    </row>
    <row r="50" spans="2:34">
      <c r="B50" s="208"/>
      <c r="C50" s="12">
        <f t="shared" ca="1" si="26"/>
        <v>1</v>
      </c>
      <c r="D50" s="22">
        <f t="shared" si="27"/>
        <v>46157</v>
      </c>
      <c r="E50" s="26">
        <f t="shared" si="28"/>
        <v>0</v>
      </c>
      <c r="F50" s="26">
        <f t="shared" si="29"/>
        <v>0</v>
      </c>
      <c r="G50" s="26">
        <f t="shared" si="30"/>
        <v>1</v>
      </c>
      <c r="H50" s="26">
        <f t="shared" si="31"/>
        <v>1</v>
      </c>
      <c r="I50" s="26">
        <f t="shared" si="32"/>
        <v>1</v>
      </c>
      <c r="J50" s="26">
        <f t="shared" si="33"/>
        <v>1</v>
      </c>
      <c r="M50" s="21">
        <f>M49</f>
        <v>46157</v>
      </c>
      <c r="N50" s="10" t="s">
        <v>24</v>
      </c>
      <c r="O50" s="25">
        <v>13</v>
      </c>
      <c r="P50" s="25">
        <v>13</v>
      </c>
      <c r="Q50" s="25">
        <v>0</v>
      </c>
      <c r="R50" s="25">
        <v>0</v>
      </c>
      <c r="S50" s="25">
        <v>0</v>
      </c>
      <c r="T50" s="25">
        <v>0</v>
      </c>
      <c r="V50" s="179"/>
      <c r="AG50" s="179"/>
      <c r="AH50" s="179"/>
    </row>
    <row r="51" spans="2:34">
      <c r="B51" s="208"/>
      <c r="C51" s="224"/>
      <c r="D51" s="225"/>
      <c r="E51" s="228"/>
      <c r="F51" s="229"/>
      <c r="G51" s="229"/>
      <c r="H51" s="229"/>
      <c r="I51" s="229"/>
      <c r="J51" s="230"/>
      <c r="M51" s="21">
        <f>M50+7</f>
        <v>46164</v>
      </c>
      <c r="N51" s="10" t="s">
        <v>43</v>
      </c>
      <c r="O51" s="25"/>
      <c r="P51" s="25"/>
      <c r="Q51" s="25"/>
      <c r="R51" s="25"/>
      <c r="S51" s="25"/>
      <c r="T51" s="25">
        <f>13/2</f>
        <v>6.5</v>
      </c>
      <c r="V51" s="179"/>
      <c r="AG51" s="179"/>
      <c r="AH51" s="179"/>
    </row>
    <row r="52" spans="2:34">
      <c r="B52" s="208"/>
      <c r="C52" s="12">
        <f t="shared" ca="1" si="26"/>
        <v>1</v>
      </c>
      <c r="D52" s="22">
        <f t="shared" si="27"/>
        <v>46164</v>
      </c>
      <c r="E52" s="26">
        <f t="shared" si="28"/>
        <v>0</v>
      </c>
      <c r="F52" s="26">
        <f t="shared" si="29"/>
        <v>0</v>
      </c>
      <c r="G52" s="26">
        <f t="shared" si="30"/>
        <v>0</v>
      </c>
      <c r="H52" s="26">
        <f t="shared" si="31"/>
        <v>0</v>
      </c>
      <c r="I52" s="26">
        <f t="shared" si="32"/>
        <v>0</v>
      </c>
      <c r="J52" s="26">
        <f t="shared" si="33"/>
        <v>1</v>
      </c>
      <c r="M52" s="21">
        <f>M51</f>
        <v>46164</v>
      </c>
      <c r="N52" s="10" t="s">
        <v>24</v>
      </c>
      <c r="O52" s="25">
        <v>13</v>
      </c>
      <c r="P52" s="25">
        <v>13</v>
      </c>
      <c r="Q52" s="25">
        <v>13</v>
      </c>
      <c r="R52" s="25">
        <v>13</v>
      </c>
      <c r="S52" s="25">
        <v>13</v>
      </c>
      <c r="T52" s="25">
        <v>0</v>
      </c>
      <c r="V52" s="179"/>
      <c r="AG52" s="179"/>
      <c r="AH52" s="179"/>
    </row>
    <row r="53" spans="2:34">
      <c r="B53" s="208"/>
      <c r="C53" s="12">
        <f t="shared" ca="1" si="26"/>
        <v>1</v>
      </c>
      <c r="D53" s="22">
        <f t="shared" si="27"/>
        <v>46171</v>
      </c>
      <c r="E53" s="26">
        <f t="shared" si="28"/>
        <v>1</v>
      </c>
      <c r="F53" s="26">
        <f t="shared" si="29"/>
        <v>0</v>
      </c>
      <c r="G53" s="26">
        <f t="shared" si="30"/>
        <v>0</v>
      </c>
      <c r="H53" s="26">
        <f t="shared" si="31"/>
        <v>0</v>
      </c>
      <c r="I53" s="26">
        <f t="shared" si="32"/>
        <v>0</v>
      </c>
      <c r="J53" s="26">
        <f t="shared" si="33"/>
        <v>1</v>
      </c>
      <c r="M53" s="21">
        <f>M52+7</f>
        <v>46171</v>
      </c>
      <c r="N53" s="10" t="s">
        <v>24</v>
      </c>
      <c r="O53" s="25">
        <v>0</v>
      </c>
      <c r="P53" s="25">
        <v>13</v>
      </c>
      <c r="Q53" s="25">
        <v>13</v>
      </c>
      <c r="R53" s="25">
        <v>13</v>
      </c>
      <c r="S53" s="25">
        <v>13</v>
      </c>
      <c r="T53" s="25">
        <v>0</v>
      </c>
      <c r="V53" s="179"/>
      <c r="AG53" s="179"/>
      <c r="AH53" s="179"/>
    </row>
    <row r="54" spans="2:34">
      <c r="B54" s="208"/>
      <c r="C54" s="12">
        <f t="shared" ca="1" si="26"/>
        <v>1</v>
      </c>
      <c r="D54" s="22">
        <f t="shared" si="27"/>
        <v>46178</v>
      </c>
      <c r="E54" s="26">
        <f t="shared" si="28"/>
        <v>0</v>
      </c>
      <c r="F54" s="26">
        <f t="shared" si="29"/>
        <v>0</v>
      </c>
      <c r="G54" s="26">
        <f t="shared" si="30"/>
        <v>0</v>
      </c>
      <c r="H54" s="26">
        <f t="shared" si="31"/>
        <v>1</v>
      </c>
      <c r="I54" s="26">
        <f t="shared" si="32"/>
        <v>1</v>
      </c>
      <c r="J54" s="26">
        <f t="shared" si="33"/>
        <v>0</v>
      </c>
      <c r="M54" s="21">
        <f t="shared" ref="M54:M63" si="34">M53+7</f>
        <v>46178</v>
      </c>
      <c r="N54" s="10" t="s">
        <v>24</v>
      </c>
      <c r="O54" s="25">
        <v>13</v>
      </c>
      <c r="P54" s="25">
        <v>13</v>
      </c>
      <c r="Q54" s="25">
        <v>13</v>
      </c>
      <c r="R54" s="25">
        <v>0</v>
      </c>
      <c r="S54" s="25">
        <v>0</v>
      </c>
      <c r="T54" s="25">
        <v>13</v>
      </c>
      <c r="V54" s="179"/>
      <c r="AG54" s="179"/>
      <c r="AH54" s="179"/>
    </row>
    <row r="55" spans="2:34">
      <c r="B55" s="208"/>
      <c r="C55" s="12">
        <f t="shared" ca="1" si="26"/>
        <v>1</v>
      </c>
      <c r="D55" s="22">
        <f t="shared" si="27"/>
        <v>46185</v>
      </c>
      <c r="E55" s="26">
        <f t="shared" si="28"/>
        <v>0</v>
      </c>
      <c r="F55" s="26">
        <f t="shared" si="29"/>
        <v>0</v>
      </c>
      <c r="G55" s="26">
        <f t="shared" si="30"/>
        <v>0</v>
      </c>
      <c r="H55" s="26">
        <f t="shared" si="31"/>
        <v>1</v>
      </c>
      <c r="I55" s="26">
        <f t="shared" si="32"/>
        <v>0</v>
      </c>
      <c r="J55" s="26">
        <f t="shared" si="33"/>
        <v>1</v>
      </c>
      <c r="M55" s="21">
        <f t="shared" si="34"/>
        <v>46185</v>
      </c>
      <c r="N55" s="10" t="s">
        <v>24</v>
      </c>
      <c r="O55" s="25">
        <v>13</v>
      </c>
      <c r="P55" s="25">
        <v>13</v>
      </c>
      <c r="Q55" s="25">
        <v>13</v>
      </c>
      <c r="R55" s="25">
        <v>0</v>
      </c>
      <c r="S55" s="25">
        <v>13</v>
      </c>
      <c r="T55" s="25">
        <v>0</v>
      </c>
      <c r="V55" s="179"/>
      <c r="AG55" s="179"/>
      <c r="AH55" s="179"/>
    </row>
    <row r="56" spans="2:34">
      <c r="B56" s="208"/>
      <c r="C56" s="12">
        <f t="shared" ca="1" si="26"/>
        <v>1</v>
      </c>
      <c r="D56" s="22">
        <f t="shared" si="27"/>
        <v>46192</v>
      </c>
      <c r="E56" s="26">
        <f t="shared" si="28"/>
        <v>0</v>
      </c>
      <c r="F56" s="26">
        <f t="shared" si="29"/>
        <v>0</v>
      </c>
      <c r="G56" s="26">
        <f t="shared" si="30"/>
        <v>0</v>
      </c>
      <c r="H56" s="26">
        <f t="shared" si="31"/>
        <v>1</v>
      </c>
      <c r="I56" s="26">
        <f t="shared" si="32"/>
        <v>0</v>
      </c>
      <c r="J56" s="26">
        <f t="shared" si="33"/>
        <v>1</v>
      </c>
      <c r="M56" s="21">
        <f t="shared" si="34"/>
        <v>46192</v>
      </c>
      <c r="N56" s="10" t="s">
        <v>24</v>
      </c>
      <c r="O56" s="25">
        <v>13</v>
      </c>
      <c r="P56" s="25">
        <v>13</v>
      </c>
      <c r="Q56" s="25">
        <v>13</v>
      </c>
      <c r="R56" s="25">
        <v>0</v>
      </c>
      <c r="S56" s="25">
        <v>13</v>
      </c>
      <c r="T56" s="25">
        <v>0</v>
      </c>
      <c r="V56" s="179"/>
      <c r="AG56" s="179"/>
      <c r="AH56" s="179"/>
    </row>
    <row r="57" spans="2:34">
      <c r="B57" s="208"/>
      <c r="C57" s="12"/>
      <c r="D57" s="22"/>
      <c r="E57" s="228"/>
      <c r="F57" s="229"/>
      <c r="G57" s="229"/>
      <c r="H57" s="229"/>
      <c r="I57" s="229"/>
      <c r="J57" s="230"/>
      <c r="M57" s="21">
        <v>46192</v>
      </c>
      <c r="N57" s="10" t="s">
        <v>46</v>
      </c>
      <c r="O57" s="25"/>
      <c r="P57" s="25"/>
      <c r="Q57" s="25"/>
      <c r="R57" s="25"/>
      <c r="S57" s="25"/>
      <c r="T57" s="25">
        <v>3.25</v>
      </c>
      <c r="V57" s="179"/>
      <c r="AG57" s="179"/>
      <c r="AH57" s="179"/>
    </row>
    <row r="58" spans="2:34">
      <c r="B58" s="208"/>
      <c r="C58" s="12">
        <f t="shared" ca="1" si="26"/>
        <v>1</v>
      </c>
      <c r="D58" s="22">
        <f t="shared" si="27"/>
        <v>46199</v>
      </c>
      <c r="E58" s="26">
        <f t="shared" si="28"/>
        <v>1</v>
      </c>
      <c r="F58" s="26">
        <f t="shared" si="29"/>
        <v>0</v>
      </c>
      <c r="G58" s="26">
        <f t="shared" si="30"/>
        <v>0</v>
      </c>
      <c r="H58" s="26">
        <f t="shared" si="31"/>
        <v>0</v>
      </c>
      <c r="I58" s="26">
        <f t="shared" si="32"/>
        <v>1</v>
      </c>
      <c r="J58" s="26">
        <f t="shared" si="33"/>
        <v>1</v>
      </c>
      <c r="M58" s="21">
        <v>46199</v>
      </c>
      <c r="N58" s="10" t="s">
        <v>24</v>
      </c>
      <c r="O58" s="25">
        <v>0</v>
      </c>
      <c r="P58" s="25">
        <v>13</v>
      </c>
      <c r="Q58" s="25">
        <v>13</v>
      </c>
      <c r="R58" s="25">
        <v>13</v>
      </c>
      <c r="S58" s="25">
        <v>0</v>
      </c>
      <c r="T58" s="25">
        <v>0</v>
      </c>
      <c r="V58" s="179"/>
      <c r="AG58" s="179"/>
      <c r="AH58" s="179"/>
    </row>
    <row r="59" spans="2:34">
      <c r="C59" s="12">
        <f t="shared" ca="1" si="26"/>
        <v>1</v>
      </c>
      <c r="D59" s="22">
        <f t="shared" si="27"/>
        <v>46206</v>
      </c>
      <c r="E59" s="26">
        <f t="shared" si="28"/>
        <v>1</v>
      </c>
      <c r="F59" s="26">
        <f t="shared" si="29"/>
        <v>0</v>
      </c>
      <c r="G59" s="26">
        <f t="shared" si="30"/>
        <v>1</v>
      </c>
      <c r="H59" s="26">
        <f t="shared" si="31"/>
        <v>0</v>
      </c>
      <c r="I59" s="26">
        <f t="shared" si="32"/>
        <v>1</v>
      </c>
      <c r="J59" s="26">
        <f t="shared" si="33"/>
        <v>1</v>
      </c>
      <c r="M59" s="21">
        <f t="shared" si="34"/>
        <v>46206</v>
      </c>
      <c r="N59" s="10" t="s">
        <v>24</v>
      </c>
      <c r="O59" s="25">
        <v>0</v>
      </c>
      <c r="P59" s="25">
        <v>13</v>
      </c>
      <c r="Q59" s="25">
        <v>0</v>
      </c>
      <c r="R59" s="25">
        <v>13</v>
      </c>
      <c r="S59" s="25">
        <v>0</v>
      </c>
      <c r="T59" s="25">
        <v>0</v>
      </c>
      <c r="V59" s="179"/>
      <c r="AG59" s="179"/>
      <c r="AH59" s="179"/>
    </row>
    <row r="60" spans="2:34">
      <c r="C60" s="12">
        <f t="shared" ca="1" si="26"/>
        <v>1</v>
      </c>
      <c r="D60" s="22">
        <f t="shared" si="27"/>
        <v>46213</v>
      </c>
      <c r="E60" s="26">
        <f t="shared" si="28"/>
        <v>1</v>
      </c>
      <c r="F60" s="26">
        <f t="shared" si="29"/>
        <v>0</v>
      </c>
      <c r="G60" s="26">
        <f t="shared" si="30"/>
        <v>1</v>
      </c>
      <c r="H60" s="26">
        <f t="shared" si="31"/>
        <v>1</v>
      </c>
      <c r="I60" s="26">
        <f t="shared" si="32"/>
        <v>1</v>
      </c>
      <c r="J60" s="26">
        <f t="shared" si="33"/>
        <v>1</v>
      </c>
      <c r="M60" s="21">
        <f t="shared" si="34"/>
        <v>46213</v>
      </c>
      <c r="N60" s="10" t="s">
        <v>24</v>
      </c>
      <c r="O60" s="25">
        <v>0</v>
      </c>
      <c r="P60" s="25">
        <v>13</v>
      </c>
      <c r="Q60" s="25">
        <v>0</v>
      </c>
      <c r="R60" s="25">
        <v>0</v>
      </c>
      <c r="S60" s="25">
        <v>0</v>
      </c>
      <c r="T60" s="25">
        <v>0</v>
      </c>
      <c r="V60" s="179"/>
      <c r="AG60" s="179"/>
      <c r="AH60" s="179"/>
    </row>
    <row r="61" spans="2:34">
      <c r="C61" s="12">
        <f t="shared" ca="1" si="26"/>
        <v>1</v>
      </c>
      <c r="D61" s="22">
        <f t="shared" si="27"/>
        <v>46220</v>
      </c>
      <c r="E61" s="26">
        <f t="shared" si="28"/>
        <v>1</v>
      </c>
      <c r="F61" s="26">
        <f t="shared" si="29"/>
        <v>0</v>
      </c>
      <c r="G61" s="26">
        <f t="shared" si="30"/>
        <v>0</v>
      </c>
      <c r="H61" s="26">
        <f t="shared" si="31"/>
        <v>1</v>
      </c>
      <c r="I61" s="26">
        <f t="shared" si="32"/>
        <v>1</v>
      </c>
      <c r="J61" s="26">
        <f t="shared" si="33"/>
        <v>0</v>
      </c>
      <c r="M61" s="21">
        <f t="shared" si="34"/>
        <v>46220</v>
      </c>
      <c r="N61" s="10" t="s">
        <v>24</v>
      </c>
      <c r="O61" s="25">
        <v>0</v>
      </c>
      <c r="P61" s="25">
        <v>13</v>
      </c>
      <c r="Q61" s="25">
        <v>13</v>
      </c>
      <c r="R61" s="25">
        <v>0</v>
      </c>
      <c r="S61" s="25">
        <v>0</v>
      </c>
      <c r="T61" s="25">
        <v>13</v>
      </c>
      <c r="V61" s="179"/>
      <c r="AG61" s="179"/>
      <c r="AH61" s="179"/>
    </row>
    <row r="62" spans="2:34">
      <c r="C62" s="12">
        <f t="shared" ca="1" si="26"/>
        <v>1</v>
      </c>
      <c r="D62" s="22">
        <f t="shared" si="27"/>
        <v>46227</v>
      </c>
      <c r="E62" s="26">
        <f t="shared" si="28"/>
        <v>1</v>
      </c>
      <c r="F62" s="26">
        <f t="shared" si="29"/>
        <v>0</v>
      </c>
      <c r="G62" s="26">
        <f t="shared" si="30"/>
        <v>0</v>
      </c>
      <c r="H62" s="26">
        <f t="shared" si="31"/>
        <v>0</v>
      </c>
      <c r="I62" s="26">
        <f t="shared" si="32"/>
        <v>1</v>
      </c>
      <c r="J62" s="26">
        <f t="shared" si="33"/>
        <v>1</v>
      </c>
      <c r="M62" s="21">
        <f t="shared" si="34"/>
        <v>46227</v>
      </c>
      <c r="N62" s="10" t="s">
        <v>24</v>
      </c>
      <c r="O62" s="25">
        <v>0</v>
      </c>
      <c r="P62" s="25">
        <v>13</v>
      </c>
      <c r="Q62" s="25">
        <v>13</v>
      </c>
      <c r="R62" s="25">
        <v>13</v>
      </c>
      <c r="S62" s="25">
        <v>0</v>
      </c>
      <c r="T62" s="25">
        <v>0</v>
      </c>
      <c r="V62" s="179"/>
      <c r="AG62" s="179"/>
      <c r="AH62" s="179"/>
    </row>
    <row r="63" spans="2:34">
      <c r="C63" s="12">
        <f t="shared" ca="1" si="26"/>
        <v>1</v>
      </c>
      <c r="D63" s="22">
        <f t="shared" si="27"/>
        <v>46234</v>
      </c>
      <c r="E63" s="26">
        <f>IF(O63="","",IF(O63=0,1,0))</f>
        <v>1</v>
      </c>
      <c r="F63" s="26">
        <f t="shared" si="29"/>
        <v>1</v>
      </c>
      <c r="G63" s="26">
        <f t="shared" si="30"/>
        <v>0</v>
      </c>
      <c r="H63" s="26">
        <f t="shared" si="31"/>
        <v>0</v>
      </c>
      <c r="I63" s="26">
        <f t="shared" si="32"/>
        <v>1</v>
      </c>
      <c r="J63" s="26">
        <f t="shared" si="33"/>
        <v>1</v>
      </c>
      <c r="M63" s="21">
        <f t="shared" si="34"/>
        <v>46234</v>
      </c>
      <c r="N63" s="10" t="s">
        <v>24</v>
      </c>
      <c r="O63" s="25">
        <v>0</v>
      </c>
      <c r="P63" s="25">
        <v>0</v>
      </c>
      <c r="Q63" s="25">
        <v>13</v>
      </c>
      <c r="R63" s="25">
        <v>13</v>
      </c>
      <c r="S63" s="25">
        <v>0</v>
      </c>
      <c r="T63" s="25">
        <v>0</v>
      </c>
      <c r="V63" s="179"/>
      <c r="AG63" s="179"/>
      <c r="AH63" s="179"/>
    </row>
    <row r="64" spans="2:34">
      <c r="C64" s="12"/>
      <c r="D64" s="22"/>
      <c r="E64" s="228"/>
      <c r="F64" s="229"/>
      <c r="G64" s="229"/>
      <c r="H64" s="229"/>
      <c r="I64" s="229"/>
      <c r="J64" s="230"/>
      <c r="M64" s="21">
        <v>46241</v>
      </c>
      <c r="N64" s="10" t="s">
        <v>46</v>
      </c>
      <c r="O64" s="25"/>
      <c r="P64" s="25"/>
      <c r="Q64" s="25"/>
      <c r="R64" s="25"/>
      <c r="S64" s="25">
        <v>3.25</v>
      </c>
      <c r="T64" s="25"/>
      <c r="V64" s="179"/>
      <c r="AG64" s="179"/>
      <c r="AH64" s="179"/>
    </row>
    <row r="65" spans="3:34">
      <c r="C65" s="12">
        <f t="shared" ca="1" si="26"/>
        <v>1</v>
      </c>
      <c r="D65" s="22">
        <f t="shared" si="27"/>
        <v>46241</v>
      </c>
      <c r="E65" s="26">
        <f t="shared" si="28"/>
        <v>0</v>
      </c>
      <c r="F65" s="26">
        <f t="shared" si="29"/>
        <v>0</v>
      </c>
      <c r="G65" s="26">
        <f t="shared" si="30"/>
        <v>0</v>
      </c>
      <c r="H65" s="26">
        <f t="shared" si="31"/>
        <v>1</v>
      </c>
      <c r="I65" s="26">
        <f t="shared" si="32"/>
        <v>1</v>
      </c>
      <c r="J65" s="26">
        <f t="shared" si="33"/>
        <v>1</v>
      </c>
      <c r="M65" s="21">
        <v>46241</v>
      </c>
      <c r="N65" s="10" t="s">
        <v>24</v>
      </c>
      <c r="O65" s="25">
        <v>13</v>
      </c>
      <c r="P65" s="25">
        <v>13</v>
      </c>
      <c r="Q65" s="25">
        <v>13</v>
      </c>
      <c r="R65" s="25">
        <v>0</v>
      </c>
      <c r="S65" s="25">
        <v>0</v>
      </c>
      <c r="T65" s="25">
        <v>0</v>
      </c>
      <c r="V65" s="179"/>
      <c r="AG65" s="179"/>
      <c r="AH65" s="179"/>
    </row>
    <row r="66" spans="3:34">
      <c r="C66" s="12">
        <f t="shared" ca="1" si="26"/>
        <v>1</v>
      </c>
      <c r="D66" s="22">
        <f t="shared" si="27"/>
        <v>46248</v>
      </c>
      <c r="E66" s="26">
        <f t="shared" si="28"/>
        <v>0</v>
      </c>
      <c r="F66" s="26">
        <f t="shared" si="29"/>
        <v>0</v>
      </c>
      <c r="G66" s="26">
        <f t="shared" si="30"/>
        <v>1</v>
      </c>
      <c r="H66" s="26">
        <f t="shared" si="31"/>
        <v>1</v>
      </c>
      <c r="I66" s="26">
        <f t="shared" si="32"/>
        <v>1</v>
      </c>
      <c r="J66" s="26">
        <f t="shared" si="33"/>
        <v>1</v>
      </c>
      <c r="M66" s="21">
        <f t="shared" ref="M66:M76" si="35">M65+7</f>
        <v>46248</v>
      </c>
      <c r="N66" s="10" t="s">
        <v>24</v>
      </c>
      <c r="O66" s="25">
        <v>13</v>
      </c>
      <c r="P66" s="25">
        <v>13</v>
      </c>
      <c r="Q66" s="25">
        <v>0</v>
      </c>
      <c r="R66" s="25">
        <v>0</v>
      </c>
      <c r="S66" s="25">
        <v>0</v>
      </c>
      <c r="T66" s="25">
        <v>0</v>
      </c>
      <c r="V66" s="179"/>
      <c r="AG66" s="179"/>
      <c r="AH66" s="179"/>
    </row>
    <row r="67" spans="3:34">
      <c r="C67" s="12">
        <f t="shared" ca="1" si="26"/>
        <v>1</v>
      </c>
      <c r="D67" s="22">
        <f t="shared" si="27"/>
        <v>46255</v>
      </c>
      <c r="E67" s="26">
        <f t="shared" si="28"/>
        <v>0</v>
      </c>
      <c r="F67" s="26">
        <f t="shared" si="29"/>
        <v>0</v>
      </c>
      <c r="G67" s="26">
        <f t="shared" si="30"/>
        <v>0</v>
      </c>
      <c r="H67" s="26">
        <f t="shared" si="31"/>
        <v>1</v>
      </c>
      <c r="I67" s="26">
        <f t="shared" si="32"/>
        <v>1</v>
      </c>
      <c r="J67" s="26">
        <f t="shared" si="33"/>
        <v>0</v>
      </c>
      <c r="M67" s="21">
        <f t="shared" si="35"/>
        <v>46255</v>
      </c>
      <c r="N67" s="10" t="s">
        <v>24</v>
      </c>
      <c r="O67" s="25">
        <v>13</v>
      </c>
      <c r="P67" s="25">
        <v>13</v>
      </c>
      <c r="Q67" s="25">
        <v>13</v>
      </c>
      <c r="R67" s="25">
        <v>0</v>
      </c>
      <c r="S67" s="25">
        <v>0</v>
      </c>
      <c r="T67" s="25">
        <v>13</v>
      </c>
      <c r="V67" s="179"/>
      <c r="AG67" s="179"/>
      <c r="AH67" s="179"/>
    </row>
    <row r="68" spans="3:34">
      <c r="C68" s="12">
        <f t="shared" ca="1" si="26"/>
        <v>1</v>
      </c>
      <c r="D68" s="22">
        <f t="shared" si="27"/>
        <v>46262</v>
      </c>
      <c r="E68" s="26">
        <f t="shared" si="28"/>
        <v>0</v>
      </c>
      <c r="F68" s="26">
        <f t="shared" si="29"/>
        <v>0</v>
      </c>
      <c r="G68" s="26">
        <f t="shared" si="30"/>
        <v>1</v>
      </c>
      <c r="H68" s="26">
        <f t="shared" si="31"/>
        <v>1</v>
      </c>
      <c r="I68" s="26">
        <f t="shared" si="32"/>
        <v>1</v>
      </c>
      <c r="J68" s="26">
        <f t="shared" si="33"/>
        <v>1</v>
      </c>
      <c r="M68" s="21">
        <f t="shared" si="35"/>
        <v>46262</v>
      </c>
      <c r="N68" s="10" t="s">
        <v>24</v>
      </c>
      <c r="O68" s="25">
        <v>13.5</v>
      </c>
      <c r="P68" s="25">
        <v>13.5</v>
      </c>
      <c r="Q68" s="25">
        <v>0</v>
      </c>
      <c r="R68" s="25">
        <v>0</v>
      </c>
      <c r="S68" s="25">
        <v>0</v>
      </c>
      <c r="T68" s="25">
        <v>0</v>
      </c>
      <c r="V68" s="179"/>
      <c r="AG68" s="179"/>
      <c r="AH68" s="179"/>
    </row>
    <row r="69" spans="3:34">
      <c r="C69" s="12">
        <f t="shared" ca="1" si="26"/>
        <v>1</v>
      </c>
      <c r="D69" s="22">
        <f t="shared" si="27"/>
        <v>46269</v>
      </c>
      <c r="E69" s="26">
        <f t="shared" si="28"/>
        <v>1</v>
      </c>
      <c r="F69" s="26">
        <f t="shared" si="29"/>
        <v>0</v>
      </c>
      <c r="G69" s="26">
        <f t="shared" si="30"/>
        <v>0</v>
      </c>
      <c r="H69" s="26">
        <f t="shared" si="31"/>
        <v>1</v>
      </c>
      <c r="I69" s="26">
        <f t="shared" si="32"/>
        <v>0</v>
      </c>
      <c r="J69" s="26">
        <f t="shared" si="33"/>
        <v>1</v>
      </c>
      <c r="M69" s="21">
        <f t="shared" si="35"/>
        <v>46269</v>
      </c>
      <c r="N69" s="10" t="s">
        <v>24</v>
      </c>
      <c r="O69" s="25">
        <v>0</v>
      </c>
      <c r="P69" s="25">
        <v>13.5</v>
      </c>
      <c r="Q69" s="25">
        <v>13.5</v>
      </c>
      <c r="R69" s="25">
        <v>0</v>
      </c>
      <c r="S69" s="25">
        <v>13.5</v>
      </c>
      <c r="T69" s="25">
        <v>0</v>
      </c>
      <c r="V69" s="179"/>
      <c r="AG69" s="179"/>
      <c r="AH69" s="179"/>
    </row>
    <row r="70" spans="3:34">
      <c r="C70" s="12">
        <f t="shared" ca="1" si="26"/>
        <v>1</v>
      </c>
      <c r="D70" s="22">
        <f t="shared" si="27"/>
        <v>46276</v>
      </c>
      <c r="E70" s="26">
        <f t="shared" si="28"/>
        <v>0</v>
      </c>
      <c r="F70" s="26">
        <f t="shared" si="29"/>
        <v>0</v>
      </c>
      <c r="G70" s="26">
        <f t="shared" si="30"/>
        <v>0</v>
      </c>
      <c r="H70" s="26">
        <f t="shared" si="31"/>
        <v>1</v>
      </c>
      <c r="I70" s="26">
        <f t="shared" si="32"/>
        <v>1</v>
      </c>
      <c r="J70" s="26">
        <f t="shared" si="33"/>
        <v>1</v>
      </c>
      <c r="M70" s="21">
        <f t="shared" si="35"/>
        <v>46276</v>
      </c>
      <c r="N70" s="10" t="s">
        <v>24</v>
      </c>
      <c r="O70" s="25">
        <v>13.5</v>
      </c>
      <c r="P70" s="25">
        <v>13.5</v>
      </c>
      <c r="Q70" s="25">
        <v>13.5</v>
      </c>
      <c r="R70" s="25">
        <v>0</v>
      </c>
      <c r="S70" s="25">
        <v>0</v>
      </c>
      <c r="T70" s="25">
        <v>0</v>
      </c>
      <c r="V70" s="179"/>
      <c r="AG70" s="179"/>
      <c r="AH70" s="179"/>
    </row>
    <row r="71" spans="3:34">
      <c r="C71" s="12">
        <f t="shared" ca="1" si="26"/>
        <v>1</v>
      </c>
      <c r="D71" s="22">
        <f t="shared" si="27"/>
        <v>46283</v>
      </c>
      <c r="E71" s="26">
        <f t="shared" si="28"/>
        <v>0</v>
      </c>
      <c r="F71" s="26">
        <f t="shared" si="29"/>
        <v>0</v>
      </c>
      <c r="G71" s="26">
        <f t="shared" si="30"/>
        <v>0</v>
      </c>
      <c r="H71" s="26">
        <f t="shared" si="31"/>
        <v>1</v>
      </c>
      <c r="I71" s="26">
        <f t="shared" si="32"/>
        <v>0</v>
      </c>
      <c r="J71" s="26">
        <f t="shared" si="33"/>
        <v>0</v>
      </c>
      <c r="M71" s="21">
        <f t="shared" si="35"/>
        <v>46283</v>
      </c>
      <c r="N71" s="10" t="s">
        <v>24</v>
      </c>
      <c r="O71" s="25">
        <v>13.5</v>
      </c>
      <c r="P71" s="25">
        <v>13.5</v>
      </c>
      <c r="Q71" s="25">
        <v>13.5</v>
      </c>
      <c r="R71" s="25">
        <v>0</v>
      </c>
      <c r="S71" s="25">
        <v>13.5</v>
      </c>
      <c r="T71" s="25">
        <v>13.5</v>
      </c>
      <c r="AG71" s="179"/>
      <c r="AH71" s="179"/>
    </row>
    <row r="72" spans="3:34">
      <c r="C72" s="12">
        <f t="shared" ca="1" si="26"/>
        <v>1</v>
      </c>
      <c r="D72" s="22">
        <f t="shared" si="27"/>
        <v>46290</v>
      </c>
      <c r="E72" s="26">
        <f t="shared" si="28"/>
        <v>1</v>
      </c>
      <c r="F72" s="26">
        <f t="shared" si="29"/>
        <v>0</v>
      </c>
      <c r="G72" s="26">
        <f t="shared" si="30"/>
        <v>1</v>
      </c>
      <c r="H72" s="26">
        <f t="shared" si="31"/>
        <v>0</v>
      </c>
      <c r="I72" s="26">
        <f t="shared" si="32"/>
        <v>1</v>
      </c>
      <c r="J72" s="26">
        <f t="shared" si="33"/>
        <v>0</v>
      </c>
      <c r="M72" s="21">
        <f t="shared" si="35"/>
        <v>46290</v>
      </c>
      <c r="N72" s="10" t="s">
        <v>24</v>
      </c>
      <c r="O72" s="25">
        <v>0</v>
      </c>
      <c r="P72" s="25">
        <v>13.5</v>
      </c>
      <c r="Q72" s="25">
        <v>0</v>
      </c>
      <c r="R72" s="25">
        <v>13.5</v>
      </c>
      <c r="S72" s="25">
        <v>0</v>
      </c>
      <c r="T72" s="25">
        <v>13.5</v>
      </c>
      <c r="AG72" s="179"/>
      <c r="AH72" s="179"/>
    </row>
    <row r="73" spans="3:34">
      <c r="C73" s="12">
        <f t="shared" ca="1" si="26"/>
        <v>1</v>
      </c>
      <c r="D73" s="22">
        <f t="shared" si="27"/>
        <v>46297</v>
      </c>
      <c r="E73" s="26">
        <f t="shared" si="28"/>
        <v>1</v>
      </c>
      <c r="F73" s="26">
        <f t="shared" si="29"/>
        <v>0</v>
      </c>
      <c r="G73" s="26">
        <f t="shared" si="30"/>
        <v>1</v>
      </c>
      <c r="H73" s="26">
        <f t="shared" si="31"/>
        <v>0</v>
      </c>
      <c r="I73" s="26">
        <f t="shared" si="32"/>
        <v>0</v>
      </c>
      <c r="J73" s="26">
        <f t="shared" si="33"/>
        <v>1</v>
      </c>
      <c r="M73" s="21">
        <f t="shared" si="35"/>
        <v>46297</v>
      </c>
      <c r="N73" s="10" t="s">
        <v>24</v>
      </c>
      <c r="O73" s="25">
        <v>0</v>
      </c>
      <c r="P73" s="25">
        <v>13.5</v>
      </c>
      <c r="Q73" s="25">
        <v>0</v>
      </c>
      <c r="R73" s="25">
        <v>13.5</v>
      </c>
      <c r="S73" s="25">
        <v>13.5</v>
      </c>
      <c r="T73" s="25">
        <v>0</v>
      </c>
      <c r="AG73" s="179"/>
      <c r="AH73" s="179"/>
    </row>
    <row r="74" spans="3:34">
      <c r="C74" s="12">
        <f t="shared" ca="1" si="26"/>
        <v>1</v>
      </c>
      <c r="D74" s="22">
        <f t="shared" si="27"/>
        <v>46304</v>
      </c>
      <c r="E74" s="26">
        <f t="shared" si="28"/>
        <v>1</v>
      </c>
      <c r="F74" s="26">
        <f t="shared" si="29"/>
        <v>0</v>
      </c>
      <c r="G74" s="26">
        <f t="shared" si="30"/>
        <v>1</v>
      </c>
      <c r="H74" s="26">
        <f t="shared" si="31"/>
        <v>0</v>
      </c>
      <c r="I74" s="26">
        <f t="shared" si="32"/>
        <v>0</v>
      </c>
      <c r="J74" s="26">
        <f t="shared" si="33"/>
        <v>1</v>
      </c>
      <c r="M74" s="21">
        <f t="shared" si="35"/>
        <v>46304</v>
      </c>
      <c r="N74" s="10" t="s">
        <v>24</v>
      </c>
      <c r="O74" s="25">
        <v>0</v>
      </c>
      <c r="P74" s="25">
        <v>13.5</v>
      </c>
      <c r="Q74" s="25">
        <v>0</v>
      </c>
      <c r="R74" s="25">
        <v>13.5</v>
      </c>
      <c r="S74" s="25">
        <v>13.5</v>
      </c>
      <c r="T74" s="25">
        <v>0</v>
      </c>
      <c r="AG74" s="179"/>
      <c r="AH74" s="179"/>
    </row>
    <row r="75" spans="3:34">
      <c r="C75" s="12">
        <f t="shared" ca="1" si="26"/>
        <v>1</v>
      </c>
      <c r="D75" s="22">
        <f t="shared" si="27"/>
        <v>46311</v>
      </c>
      <c r="E75" s="26">
        <f t="shared" si="28"/>
        <v>0</v>
      </c>
      <c r="F75" s="26">
        <f t="shared" si="29"/>
        <v>0</v>
      </c>
      <c r="G75" s="26">
        <f t="shared" si="30"/>
        <v>1</v>
      </c>
      <c r="H75" s="26">
        <f t="shared" si="31"/>
        <v>0</v>
      </c>
      <c r="I75" s="26">
        <f t="shared" si="32"/>
        <v>0</v>
      </c>
      <c r="J75" s="26">
        <f t="shared" si="33"/>
        <v>1</v>
      </c>
      <c r="M75" s="21">
        <f t="shared" si="35"/>
        <v>46311</v>
      </c>
      <c r="N75" s="10" t="s">
        <v>24</v>
      </c>
      <c r="O75" s="25">
        <v>13.5</v>
      </c>
      <c r="P75" s="25">
        <v>13.5</v>
      </c>
      <c r="Q75" s="25">
        <v>0</v>
      </c>
      <c r="R75" s="25">
        <v>13.5</v>
      </c>
      <c r="S75" s="25">
        <v>13.5</v>
      </c>
      <c r="T75" s="25">
        <v>0</v>
      </c>
      <c r="AG75" s="179"/>
      <c r="AH75" s="179"/>
    </row>
    <row r="76" spans="3:34">
      <c r="C76" s="12">
        <f t="shared" ca="1" si="26"/>
        <v>1</v>
      </c>
      <c r="D76" s="22">
        <f t="shared" si="27"/>
        <v>46318</v>
      </c>
      <c r="E76" s="26">
        <f t="shared" si="28"/>
        <v>1</v>
      </c>
      <c r="F76" s="26">
        <f t="shared" si="29"/>
        <v>0</v>
      </c>
      <c r="G76" s="26">
        <f t="shared" si="30"/>
        <v>0</v>
      </c>
      <c r="H76" s="26">
        <f t="shared" si="31"/>
        <v>1</v>
      </c>
      <c r="I76" s="26">
        <f t="shared" si="32"/>
        <v>0</v>
      </c>
      <c r="J76" s="26">
        <f t="shared" si="33"/>
        <v>1</v>
      </c>
      <c r="M76" s="21">
        <f t="shared" si="35"/>
        <v>46318</v>
      </c>
      <c r="N76" s="10" t="s">
        <v>24</v>
      </c>
      <c r="O76" s="25">
        <v>0</v>
      </c>
      <c r="P76" s="25">
        <v>13.5</v>
      </c>
      <c r="Q76" s="25">
        <v>13.5</v>
      </c>
      <c r="R76" s="25">
        <v>0</v>
      </c>
      <c r="S76" s="25">
        <v>13.5</v>
      </c>
      <c r="T76" s="25">
        <v>0</v>
      </c>
      <c r="AG76" s="179"/>
      <c r="AH76" s="179"/>
    </row>
    <row r="77" spans="3:34">
      <c r="C77" s="12" t="str">
        <f t="shared" ca="1" si="26"/>
        <v/>
      </c>
      <c r="D77" s="22" t="str">
        <f t="shared" si="27"/>
        <v/>
      </c>
      <c r="E77" s="26" t="str">
        <f>IF(O77="","",IF(O77=0,1,0))</f>
        <v/>
      </c>
      <c r="F77" s="26" t="str">
        <f t="shared" si="29"/>
        <v/>
      </c>
      <c r="G77" s="26" t="str">
        <f t="shared" si="30"/>
        <v/>
      </c>
      <c r="H77" s="26" t="str">
        <f t="shared" si="31"/>
        <v/>
      </c>
      <c r="I77" s="26" t="str">
        <f t="shared" si="32"/>
        <v/>
      </c>
      <c r="J77" s="26" t="str">
        <f t="shared" si="33"/>
        <v/>
      </c>
      <c r="M77" s="21"/>
      <c r="N77" s="10"/>
      <c r="O77" s="25"/>
      <c r="P77" s="25"/>
      <c r="Q77" s="25"/>
      <c r="R77" s="25"/>
      <c r="S77" s="25"/>
      <c r="T77" s="25"/>
      <c r="AG77" s="179"/>
      <c r="AH77" s="179"/>
    </row>
    <row r="78" spans="3:34">
      <c r="C78" s="12" t="str">
        <f t="shared" ca="1" si="26"/>
        <v/>
      </c>
      <c r="D78" s="22" t="str">
        <f t="shared" si="27"/>
        <v/>
      </c>
      <c r="E78" s="26" t="str">
        <f>IF(O78="","",IF(O78=0,1,0))</f>
        <v/>
      </c>
      <c r="F78" s="26" t="str">
        <f t="shared" si="29"/>
        <v/>
      </c>
      <c r="G78" s="26" t="str">
        <f t="shared" si="30"/>
        <v/>
      </c>
      <c r="H78" s="26" t="str">
        <f t="shared" si="31"/>
        <v/>
      </c>
      <c r="I78" s="26" t="str">
        <f t="shared" si="32"/>
        <v/>
      </c>
      <c r="J78" s="26" t="str">
        <f t="shared" si="33"/>
        <v/>
      </c>
      <c r="M78" s="21"/>
      <c r="N78" s="10"/>
      <c r="O78" s="25"/>
      <c r="P78" s="25"/>
      <c r="Q78" s="25"/>
      <c r="R78" s="25"/>
      <c r="S78" s="25"/>
      <c r="T78" s="25"/>
      <c r="AG78" s="179"/>
      <c r="AH78" s="179"/>
    </row>
    <row r="79" spans="3:34">
      <c r="C79" s="12" t="str">
        <f t="shared" ca="1" si="26"/>
        <v/>
      </c>
      <c r="D79" s="22" t="str">
        <f t="shared" si="27"/>
        <v/>
      </c>
      <c r="E79" s="26" t="str">
        <f t="shared" si="28"/>
        <v/>
      </c>
      <c r="F79" s="26" t="str">
        <f t="shared" si="29"/>
        <v/>
      </c>
      <c r="G79" s="26" t="str">
        <f t="shared" si="30"/>
        <v/>
      </c>
      <c r="H79" s="26" t="str">
        <f t="shared" si="31"/>
        <v/>
      </c>
      <c r="I79" s="26" t="str">
        <f t="shared" si="32"/>
        <v/>
      </c>
      <c r="J79" s="26" t="str">
        <f t="shared" si="33"/>
        <v/>
      </c>
      <c r="M79" s="21"/>
      <c r="N79" s="10"/>
      <c r="O79" s="25"/>
      <c r="P79" s="25"/>
      <c r="Q79" s="25"/>
      <c r="R79" s="25"/>
      <c r="S79" s="25"/>
      <c r="T79" s="25"/>
      <c r="W79" s="187"/>
      <c r="AG79" s="179"/>
      <c r="AH79" s="179"/>
    </row>
    <row r="80" spans="3:34">
      <c r="C80" s="12" t="str">
        <f t="shared" ca="1" si="26"/>
        <v/>
      </c>
      <c r="D80" s="22" t="str">
        <f t="shared" si="27"/>
        <v/>
      </c>
      <c r="E80" s="26" t="str">
        <f t="shared" si="28"/>
        <v/>
      </c>
      <c r="F80" s="26" t="str">
        <f t="shared" si="29"/>
        <v/>
      </c>
      <c r="G80" s="26" t="str">
        <f t="shared" si="30"/>
        <v/>
      </c>
      <c r="H80" s="26" t="str">
        <f t="shared" si="31"/>
        <v/>
      </c>
      <c r="I80" s="26" t="str">
        <f t="shared" si="32"/>
        <v/>
      </c>
      <c r="J80" s="26" t="str">
        <f t="shared" si="33"/>
        <v/>
      </c>
      <c r="M80" s="21"/>
      <c r="N80" s="10"/>
      <c r="O80" s="25"/>
      <c r="P80" s="25"/>
      <c r="Q80" s="25"/>
      <c r="R80" s="25"/>
      <c r="S80" s="25"/>
      <c r="T80" s="25"/>
      <c r="AG80" s="179"/>
      <c r="AH80" s="179"/>
    </row>
    <row r="81" spans="3:20">
      <c r="C81" s="12" t="str">
        <f t="shared" ca="1" si="26"/>
        <v/>
      </c>
      <c r="D81" s="22" t="str">
        <f t="shared" si="27"/>
        <v/>
      </c>
      <c r="E81" s="26" t="str">
        <f t="shared" si="28"/>
        <v/>
      </c>
      <c r="F81" s="26" t="str">
        <f t="shared" si="29"/>
        <v/>
      </c>
      <c r="G81" s="26" t="str">
        <f t="shared" si="30"/>
        <v/>
      </c>
      <c r="H81" s="26" t="str">
        <f t="shared" si="31"/>
        <v/>
      </c>
      <c r="I81" s="26" t="str">
        <f t="shared" si="32"/>
        <v/>
      </c>
      <c r="J81" s="26" t="str">
        <f t="shared" si="33"/>
        <v/>
      </c>
      <c r="M81" s="21"/>
      <c r="N81" s="10"/>
      <c r="O81" s="25"/>
      <c r="P81" s="25"/>
      <c r="Q81" s="25"/>
      <c r="R81" s="25"/>
      <c r="S81" s="25"/>
      <c r="T81" s="25"/>
    </row>
    <row r="82" spans="3:20">
      <c r="C82" s="12" t="str">
        <f t="shared" ca="1" si="26"/>
        <v/>
      </c>
      <c r="D82" s="22" t="str">
        <f t="shared" si="27"/>
        <v/>
      </c>
      <c r="E82" s="26" t="str">
        <f t="shared" si="28"/>
        <v/>
      </c>
      <c r="F82" s="26" t="str">
        <f t="shared" si="29"/>
        <v/>
      </c>
      <c r="G82" s="26" t="str">
        <f t="shared" si="30"/>
        <v/>
      </c>
      <c r="H82" s="26" t="str">
        <f t="shared" si="31"/>
        <v/>
      </c>
      <c r="I82" s="26" t="str">
        <f t="shared" si="32"/>
        <v/>
      </c>
      <c r="J82" s="26" t="str">
        <f t="shared" si="33"/>
        <v/>
      </c>
      <c r="M82" s="21"/>
      <c r="N82" s="10"/>
      <c r="O82" s="25"/>
      <c r="P82" s="25"/>
      <c r="Q82" s="25"/>
      <c r="R82" s="25"/>
      <c r="S82" s="25"/>
      <c r="T82" s="25"/>
    </row>
    <row r="83" spans="3:20">
      <c r="C83" s="12" t="str">
        <f t="shared" ca="1" si="26"/>
        <v/>
      </c>
      <c r="D83" s="22" t="str">
        <f t="shared" si="27"/>
        <v/>
      </c>
      <c r="E83" s="26" t="str">
        <f t="shared" si="28"/>
        <v/>
      </c>
      <c r="F83" s="26" t="str">
        <f t="shared" si="29"/>
        <v/>
      </c>
      <c r="G83" s="26" t="str">
        <f t="shared" si="30"/>
        <v/>
      </c>
      <c r="H83" s="26" t="str">
        <f t="shared" si="31"/>
        <v/>
      </c>
      <c r="I83" s="26" t="str">
        <f t="shared" si="32"/>
        <v/>
      </c>
      <c r="J83" s="26" t="str">
        <f t="shared" si="33"/>
        <v/>
      </c>
      <c r="M83" s="21"/>
      <c r="N83" s="10"/>
      <c r="O83" s="25"/>
      <c r="P83" s="25"/>
      <c r="Q83" s="25"/>
      <c r="R83" s="25"/>
      <c r="S83" s="25"/>
      <c r="T83" s="25"/>
    </row>
    <row r="84" spans="3:20">
      <c r="C84" s="12" t="str">
        <f t="shared" ca="1" si="26"/>
        <v/>
      </c>
      <c r="D84" s="22" t="str">
        <f t="shared" si="27"/>
        <v/>
      </c>
      <c r="E84" s="26" t="str">
        <f t="shared" si="28"/>
        <v/>
      </c>
      <c r="F84" s="26" t="str">
        <f t="shared" si="29"/>
        <v/>
      </c>
      <c r="G84" s="26" t="str">
        <f t="shared" si="30"/>
        <v/>
      </c>
      <c r="H84" s="26" t="str">
        <f t="shared" si="31"/>
        <v/>
      </c>
      <c r="I84" s="26" t="str">
        <f t="shared" si="32"/>
        <v/>
      </c>
      <c r="J84" s="26" t="str">
        <f t="shared" si="33"/>
        <v/>
      </c>
      <c r="M84" s="21"/>
      <c r="N84" s="10"/>
      <c r="O84" s="25"/>
      <c r="P84" s="25"/>
      <c r="Q84" s="25"/>
      <c r="R84" s="25"/>
      <c r="S84" s="25"/>
      <c r="T84" s="25"/>
    </row>
    <row r="85" spans="3:20">
      <c r="C85" s="12" t="str">
        <f t="shared" ca="1" si="26"/>
        <v/>
      </c>
      <c r="D85" s="22" t="str">
        <f t="shared" si="27"/>
        <v/>
      </c>
      <c r="E85" s="26" t="str">
        <f t="shared" si="28"/>
        <v/>
      </c>
      <c r="F85" s="26" t="str">
        <f t="shared" si="29"/>
        <v/>
      </c>
      <c r="G85" s="26" t="str">
        <f t="shared" si="30"/>
        <v/>
      </c>
      <c r="H85" s="26" t="str">
        <f t="shared" si="31"/>
        <v/>
      </c>
      <c r="I85" s="26" t="str">
        <f t="shared" si="32"/>
        <v/>
      </c>
      <c r="J85" s="26" t="str">
        <f t="shared" si="33"/>
        <v/>
      </c>
      <c r="M85" s="21"/>
      <c r="N85" s="10"/>
      <c r="O85" s="25"/>
      <c r="P85" s="25"/>
      <c r="Q85" s="25"/>
      <c r="R85" s="25"/>
      <c r="S85" s="25"/>
      <c r="T85" s="25"/>
    </row>
    <row r="86" spans="3:20">
      <c r="C86" s="12" t="str">
        <f t="shared" ca="1" si="26"/>
        <v/>
      </c>
      <c r="D86" s="22" t="str">
        <f t="shared" si="27"/>
        <v/>
      </c>
      <c r="E86" s="26" t="str">
        <f t="shared" si="28"/>
        <v/>
      </c>
      <c r="F86" s="26" t="str">
        <f t="shared" si="29"/>
        <v/>
      </c>
      <c r="G86" s="26" t="str">
        <f t="shared" si="30"/>
        <v/>
      </c>
      <c r="H86" s="26" t="str">
        <f t="shared" si="31"/>
        <v/>
      </c>
      <c r="I86" s="26" t="str">
        <f t="shared" si="32"/>
        <v/>
      </c>
      <c r="J86" s="26" t="str">
        <f t="shared" si="33"/>
        <v/>
      </c>
      <c r="M86" s="21"/>
      <c r="N86" s="10"/>
      <c r="O86" s="25"/>
      <c r="P86" s="25"/>
      <c r="Q86" s="25"/>
      <c r="R86" s="25"/>
      <c r="S86" s="25"/>
      <c r="T86" s="25"/>
    </row>
    <row r="87" spans="3:20">
      <c r="C87" s="12" t="str">
        <f t="shared" ca="1" si="26"/>
        <v/>
      </c>
      <c r="D87" s="22" t="str">
        <f t="shared" si="27"/>
        <v/>
      </c>
      <c r="E87" s="26" t="str">
        <f t="shared" si="28"/>
        <v/>
      </c>
      <c r="F87" s="26" t="str">
        <f t="shared" si="29"/>
        <v/>
      </c>
      <c r="G87" s="26" t="str">
        <f t="shared" si="30"/>
        <v/>
      </c>
      <c r="H87" s="26" t="str">
        <f t="shared" si="31"/>
        <v/>
      </c>
      <c r="I87" s="26" t="str">
        <f t="shared" si="32"/>
        <v/>
      </c>
      <c r="J87" s="26" t="str">
        <f t="shared" si="33"/>
        <v/>
      </c>
      <c r="M87" s="21"/>
      <c r="N87" s="10"/>
      <c r="O87" s="25"/>
      <c r="P87" s="25"/>
      <c r="Q87" s="25"/>
      <c r="R87" s="25"/>
      <c r="S87" s="25"/>
      <c r="T87" s="25"/>
    </row>
    <row r="88" spans="3:20">
      <c r="C88" s="12" t="str">
        <f t="shared" ca="1" si="26"/>
        <v/>
      </c>
      <c r="D88" s="22" t="str">
        <f t="shared" si="27"/>
        <v/>
      </c>
      <c r="E88" s="26" t="str">
        <f t="shared" si="28"/>
        <v/>
      </c>
      <c r="F88" s="26" t="str">
        <f t="shared" si="29"/>
        <v/>
      </c>
      <c r="G88" s="26" t="str">
        <f t="shared" si="30"/>
        <v/>
      </c>
      <c r="H88" s="26" t="str">
        <f t="shared" si="31"/>
        <v/>
      </c>
      <c r="I88" s="26" t="str">
        <f t="shared" si="32"/>
        <v/>
      </c>
      <c r="J88" s="26" t="str">
        <f t="shared" si="33"/>
        <v/>
      </c>
      <c r="M88" s="21"/>
      <c r="N88" s="10"/>
      <c r="O88" s="25"/>
      <c r="P88" s="25"/>
      <c r="Q88" s="25"/>
      <c r="R88" s="25"/>
      <c r="S88" s="25"/>
      <c r="T88" s="25"/>
    </row>
    <row r="89" spans="3:20">
      <c r="C89" s="12" t="str">
        <f t="shared" ca="1" si="26"/>
        <v/>
      </c>
      <c r="D89" s="22" t="str">
        <f t="shared" si="27"/>
        <v/>
      </c>
      <c r="E89" s="26" t="str">
        <f t="shared" si="28"/>
        <v/>
      </c>
      <c r="F89" s="26" t="str">
        <f t="shared" si="29"/>
        <v/>
      </c>
      <c r="G89" s="26" t="str">
        <f t="shared" si="30"/>
        <v/>
      </c>
      <c r="H89" s="26" t="str">
        <f t="shared" si="31"/>
        <v/>
      </c>
      <c r="I89" s="26" t="str">
        <f t="shared" si="32"/>
        <v/>
      </c>
      <c r="J89" s="26" t="str">
        <f t="shared" si="33"/>
        <v/>
      </c>
      <c r="M89" s="21"/>
      <c r="N89" s="10"/>
      <c r="O89" s="25"/>
      <c r="P89" s="25"/>
      <c r="Q89" s="25"/>
      <c r="R89" s="25"/>
      <c r="S89" s="25"/>
      <c r="T89" s="25"/>
    </row>
    <row r="90" spans="3:20">
      <c r="C90" s="12" t="str">
        <f t="shared" ca="1" si="26"/>
        <v/>
      </c>
      <c r="D90" s="22" t="str">
        <f t="shared" si="27"/>
        <v/>
      </c>
      <c r="E90" s="26" t="str">
        <f t="shared" si="28"/>
        <v/>
      </c>
      <c r="F90" s="26" t="str">
        <f t="shared" si="29"/>
        <v/>
      </c>
      <c r="G90" s="26" t="str">
        <f t="shared" si="30"/>
        <v/>
      </c>
      <c r="H90" s="26" t="str">
        <f t="shared" si="31"/>
        <v/>
      </c>
      <c r="I90" s="26" t="str">
        <f t="shared" si="32"/>
        <v/>
      </c>
      <c r="J90" s="26" t="str">
        <f t="shared" si="33"/>
        <v/>
      </c>
      <c r="M90" s="21"/>
      <c r="N90" s="10"/>
      <c r="O90" s="25"/>
      <c r="P90" s="25"/>
      <c r="Q90" s="25"/>
      <c r="R90" s="25"/>
      <c r="S90" s="25"/>
      <c r="T90" s="25"/>
    </row>
    <row r="91" spans="3:20">
      <c r="C91" s="12" t="str">
        <f t="shared" ca="1" si="26"/>
        <v/>
      </c>
      <c r="D91" s="22" t="str">
        <f t="shared" si="27"/>
        <v/>
      </c>
      <c r="E91" s="26" t="str">
        <f t="shared" si="28"/>
        <v/>
      </c>
      <c r="F91" s="26" t="str">
        <f t="shared" si="29"/>
        <v/>
      </c>
      <c r="G91" s="26" t="str">
        <f t="shared" si="30"/>
        <v/>
      </c>
      <c r="H91" s="26" t="str">
        <f t="shared" si="31"/>
        <v/>
      </c>
      <c r="I91" s="26" t="str">
        <f t="shared" si="32"/>
        <v/>
      </c>
      <c r="J91" s="26" t="str">
        <f t="shared" si="33"/>
        <v/>
      </c>
      <c r="M91" s="21"/>
      <c r="N91" s="10"/>
      <c r="O91" s="25"/>
      <c r="P91" s="25"/>
      <c r="Q91" s="25"/>
      <c r="R91" s="25"/>
      <c r="S91" s="25"/>
      <c r="T91" s="25"/>
    </row>
    <row r="109" spans="3:11">
      <c r="E109" s="1" t="str">
        <f>E18</f>
        <v>JWU</v>
      </c>
      <c r="F109" s="1" t="str">
        <f t="shared" ref="F109:K109" si="36">F18</f>
        <v>CBO</v>
      </c>
      <c r="G109" s="1" t="str">
        <f t="shared" si="36"/>
        <v>PKN</v>
      </c>
      <c r="H109" s="1" t="str">
        <f t="shared" si="36"/>
        <v>YMI</v>
      </c>
      <c r="I109" s="1" t="str">
        <f t="shared" si="36"/>
        <v>SJU</v>
      </c>
      <c r="J109" s="1" t="str">
        <f t="shared" si="36"/>
        <v>MSO</v>
      </c>
      <c r="K109" s="1">
        <f t="shared" si="36"/>
        <v>0</v>
      </c>
    </row>
    <row r="110" spans="3:11">
      <c r="C110" s="2">
        <v>1</v>
      </c>
      <c r="D110" s="22">
        <v>46003</v>
      </c>
      <c r="E110" s="1">
        <v>1</v>
      </c>
      <c r="F110" s="1">
        <v>1</v>
      </c>
      <c r="G110" s="1">
        <v>1</v>
      </c>
      <c r="H110" s="1">
        <v>1</v>
      </c>
      <c r="I110" s="1">
        <v>1</v>
      </c>
      <c r="J110" s="1">
        <v>1</v>
      </c>
    </row>
    <row r="111" spans="3:11">
      <c r="C111" s="2">
        <v>1</v>
      </c>
      <c r="D111" s="22">
        <v>46010</v>
      </c>
      <c r="E111" s="179">
        <v>1</v>
      </c>
      <c r="F111" s="179">
        <v>2</v>
      </c>
      <c r="G111" s="179">
        <v>2</v>
      </c>
      <c r="H111" s="179">
        <v>2</v>
      </c>
      <c r="I111" s="179">
        <v>2</v>
      </c>
      <c r="J111" s="179">
        <v>2</v>
      </c>
    </row>
    <row r="112" spans="3:11">
      <c r="C112" s="2">
        <v>1</v>
      </c>
      <c r="D112" s="22">
        <v>46031</v>
      </c>
      <c r="E112" s="179">
        <v>1</v>
      </c>
      <c r="F112" s="179">
        <v>3</v>
      </c>
      <c r="G112" s="179">
        <v>2</v>
      </c>
      <c r="H112" s="179">
        <v>3</v>
      </c>
      <c r="I112" s="179">
        <v>3</v>
      </c>
      <c r="J112" s="179">
        <v>2</v>
      </c>
    </row>
    <row r="113" spans="3:10">
      <c r="C113" s="2">
        <v>1</v>
      </c>
      <c r="D113" s="22">
        <v>46038</v>
      </c>
      <c r="E113" s="179">
        <v>2</v>
      </c>
      <c r="F113" s="179">
        <v>3</v>
      </c>
      <c r="G113" s="179">
        <v>3</v>
      </c>
      <c r="H113" s="179">
        <v>3</v>
      </c>
      <c r="I113" s="179">
        <v>3</v>
      </c>
      <c r="J113" s="179">
        <v>2</v>
      </c>
    </row>
    <row r="114" spans="3:10">
      <c r="C114" s="2">
        <v>1</v>
      </c>
      <c r="D114" s="22">
        <v>46045</v>
      </c>
      <c r="E114" s="179">
        <v>2</v>
      </c>
      <c r="F114" s="179">
        <v>3</v>
      </c>
      <c r="G114" s="179">
        <v>4</v>
      </c>
      <c r="H114" s="179">
        <v>4</v>
      </c>
      <c r="I114" s="179">
        <v>4</v>
      </c>
      <c r="J114" s="179">
        <v>3</v>
      </c>
    </row>
    <row r="115" spans="3:10">
      <c r="C115" s="2">
        <v>1</v>
      </c>
      <c r="D115" s="22">
        <v>46052</v>
      </c>
      <c r="E115" s="179">
        <v>2</v>
      </c>
      <c r="F115" s="179">
        <v>4</v>
      </c>
      <c r="G115" s="179">
        <v>4</v>
      </c>
      <c r="H115" s="179">
        <v>5</v>
      </c>
      <c r="I115" s="179">
        <v>5</v>
      </c>
      <c r="J115" s="179">
        <v>4</v>
      </c>
    </row>
    <row r="116" spans="3:10">
      <c r="C116" s="2">
        <v>1</v>
      </c>
      <c r="D116" s="22">
        <v>46059</v>
      </c>
      <c r="E116" s="179">
        <v>3</v>
      </c>
      <c r="F116" s="179">
        <v>5</v>
      </c>
      <c r="G116" s="179">
        <v>4</v>
      </c>
      <c r="H116" s="179">
        <v>5</v>
      </c>
      <c r="I116" s="179">
        <v>6</v>
      </c>
      <c r="J116" s="179">
        <v>5</v>
      </c>
    </row>
    <row r="117" spans="3:10">
      <c r="C117" s="2">
        <v>1</v>
      </c>
      <c r="D117" s="22">
        <v>46066</v>
      </c>
      <c r="E117" s="179">
        <v>4</v>
      </c>
      <c r="F117" s="179">
        <v>6</v>
      </c>
      <c r="G117" s="179">
        <v>5</v>
      </c>
      <c r="H117" s="179">
        <v>5</v>
      </c>
      <c r="I117" s="179">
        <v>7</v>
      </c>
      <c r="J117" s="179">
        <v>6</v>
      </c>
    </row>
    <row r="118" spans="3:10">
      <c r="C118" s="2">
        <v>1</v>
      </c>
      <c r="D118" s="22">
        <v>46073</v>
      </c>
      <c r="E118" s="179">
        <v>5</v>
      </c>
      <c r="F118" s="179">
        <v>7</v>
      </c>
      <c r="G118" s="179">
        <v>5</v>
      </c>
      <c r="H118" s="179">
        <v>6</v>
      </c>
      <c r="I118" s="179">
        <v>8</v>
      </c>
      <c r="J118" s="179">
        <v>7</v>
      </c>
    </row>
    <row r="119" spans="3:10">
      <c r="C119" s="2">
        <v>1</v>
      </c>
      <c r="D119" s="22">
        <v>46080</v>
      </c>
      <c r="E119" s="179">
        <v>6</v>
      </c>
      <c r="F119" s="179">
        <v>8</v>
      </c>
      <c r="G119" s="179">
        <v>6</v>
      </c>
      <c r="H119" s="179">
        <v>6</v>
      </c>
      <c r="I119" s="179">
        <v>9</v>
      </c>
      <c r="J119" s="179">
        <v>7</v>
      </c>
    </row>
    <row r="120" spans="3:10">
      <c r="C120" s="2">
        <v>1</v>
      </c>
      <c r="D120" s="22">
        <v>46087</v>
      </c>
      <c r="E120" s="179">
        <v>7</v>
      </c>
      <c r="F120" s="179">
        <v>9</v>
      </c>
      <c r="G120" s="179">
        <v>6</v>
      </c>
      <c r="H120" s="179">
        <v>6</v>
      </c>
      <c r="I120" s="179">
        <v>10</v>
      </c>
      <c r="J120" s="179">
        <v>8</v>
      </c>
    </row>
    <row r="121" spans="3:10">
      <c r="C121" s="2">
        <v>1</v>
      </c>
      <c r="D121" s="22">
        <v>46094</v>
      </c>
      <c r="E121" s="179">
        <v>8</v>
      </c>
      <c r="F121" s="179">
        <v>10</v>
      </c>
      <c r="G121" s="179">
        <v>7</v>
      </c>
      <c r="H121" s="179">
        <v>6</v>
      </c>
      <c r="I121" s="179">
        <v>11</v>
      </c>
      <c r="J121" s="179">
        <v>9</v>
      </c>
    </row>
    <row r="122" spans="3:10">
      <c r="C122" s="2">
        <v>1</v>
      </c>
      <c r="D122" s="22">
        <v>46101</v>
      </c>
      <c r="E122" s="179">
        <v>8</v>
      </c>
      <c r="F122" s="179">
        <v>11</v>
      </c>
      <c r="G122" s="179">
        <v>7</v>
      </c>
      <c r="H122" s="179">
        <v>6</v>
      </c>
      <c r="I122" s="179">
        <v>11</v>
      </c>
      <c r="J122" s="179">
        <v>10</v>
      </c>
    </row>
    <row r="123" spans="3:10">
      <c r="C123" s="2">
        <v>1</v>
      </c>
      <c r="D123" s="22">
        <v>46108</v>
      </c>
      <c r="E123" s="179">
        <v>9</v>
      </c>
      <c r="F123" s="179">
        <v>11</v>
      </c>
      <c r="G123" s="179">
        <v>8</v>
      </c>
      <c r="H123" s="179">
        <v>7</v>
      </c>
      <c r="I123" s="179">
        <v>12</v>
      </c>
      <c r="J123" s="179">
        <v>11</v>
      </c>
    </row>
    <row r="124" spans="3:10">
      <c r="C124" s="2">
        <v>1</v>
      </c>
      <c r="D124" s="22">
        <v>46122</v>
      </c>
      <c r="E124" s="179">
        <v>10</v>
      </c>
      <c r="F124" s="179">
        <v>11</v>
      </c>
      <c r="G124" s="179">
        <v>8</v>
      </c>
      <c r="H124" s="179">
        <v>7</v>
      </c>
      <c r="I124" s="179">
        <v>13</v>
      </c>
      <c r="J124" s="179">
        <v>12</v>
      </c>
    </row>
    <row r="125" spans="3:10">
      <c r="C125" s="2">
        <v>1</v>
      </c>
      <c r="D125" s="22">
        <v>46129</v>
      </c>
      <c r="E125" s="179">
        <v>10</v>
      </c>
      <c r="F125" s="179">
        <v>12</v>
      </c>
      <c r="G125" s="179">
        <v>8</v>
      </c>
      <c r="H125" s="179">
        <v>7</v>
      </c>
      <c r="I125" s="179">
        <v>14</v>
      </c>
      <c r="J125" s="179">
        <v>13</v>
      </c>
    </row>
    <row r="126" spans="3:10">
      <c r="C126" s="2">
        <v>1</v>
      </c>
      <c r="D126" s="22">
        <v>46136</v>
      </c>
      <c r="E126" s="179">
        <v>10</v>
      </c>
      <c r="F126" s="179">
        <v>13</v>
      </c>
      <c r="G126" s="179">
        <v>9</v>
      </c>
      <c r="H126" s="179">
        <v>8</v>
      </c>
      <c r="I126" s="179">
        <v>15</v>
      </c>
      <c r="J126" s="179">
        <v>14</v>
      </c>
    </row>
    <row r="127" spans="3:10">
      <c r="C127" s="2">
        <v>1</v>
      </c>
      <c r="D127" s="22">
        <v>46150</v>
      </c>
      <c r="E127" s="179">
        <v>11</v>
      </c>
      <c r="F127" s="179">
        <v>14</v>
      </c>
      <c r="G127" s="179">
        <v>10</v>
      </c>
      <c r="H127" s="179">
        <v>8</v>
      </c>
      <c r="I127" s="179">
        <v>15</v>
      </c>
      <c r="J127" s="179">
        <v>15</v>
      </c>
    </row>
    <row r="128" spans="3:10">
      <c r="C128" s="2">
        <v>1</v>
      </c>
      <c r="D128" s="22">
        <v>46157</v>
      </c>
      <c r="E128" s="179">
        <v>11</v>
      </c>
      <c r="F128" s="179">
        <v>14</v>
      </c>
      <c r="G128" s="179">
        <v>11</v>
      </c>
      <c r="H128" s="179">
        <v>9</v>
      </c>
      <c r="I128" s="179">
        <v>16</v>
      </c>
      <c r="J128" s="179">
        <v>16</v>
      </c>
    </row>
    <row r="129" spans="3:10">
      <c r="C129" s="2">
        <v>1</v>
      </c>
      <c r="D129" s="22">
        <v>46164</v>
      </c>
      <c r="E129" s="179">
        <v>11</v>
      </c>
      <c r="F129" s="179">
        <v>14</v>
      </c>
      <c r="G129" s="179">
        <v>11</v>
      </c>
      <c r="H129" s="179">
        <v>9</v>
      </c>
      <c r="I129" s="179">
        <v>16</v>
      </c>
      <c r="J129" s="179">
        <v>17</v>
      </c>
    </row>
    <row r="130" spans="3:10">
      <c r="C130" s="2">
        <v>1</v>
      </c>
      <c r="D130" s="22">
        <v>46171</v>
      </c>
      <c r="E130" s="179">
        <v>12</v>
      </c>
      <c r="F130" s="179">
        <v>14</v>
      </c>
      <c r="G130" s="179">
        <v>11</v>
      </c>
      <c r="H130" s="179">
        <v>9</v>
      </c>
      <c r="I130" s="179">
        <v>16</v>
      </c>
      <c r="J130" s="179">
        <v>18</v>
      </c>
    </row>
    <row r="131" spans="3:10">
      <c r="C131" s="2">
        <v>1</v>
      </c>
      <c r="D131" s="22">
        <v>46178</v>
      </c>
      <c r="E131" s="179">
        <v>12</v>
      </c>
      <c r="F131" s="179">
        <v>14</v>
      </c>
      <c r="G131" s="179">
        <v>11</v>
      </c>
      <c r="H131" s="179">
        <v>10</v>
      </c>
      <c r="I131" s="179">
        <v>17</v>
      </c>
      <c r="J131" s="179">
        <v>18</v>
      </c>
    </row>
    <row r="132" spans="3:10">
      <c r="C132" s="2">
        <v>1</v>
      </c>
      <c r="D132" s="22">
        <v>46185</v>
      </c>
      <c r="E132" s="179">
        <v>12</v>
      </c>
      <c r="F132" s="179">
        <v>14</v>
      </c>
      <c r="G132" s="179">
        <v>11</v>
      </c>
      <c r="H132" s="179">
        <v>11</v>
      </c>
      <c r="I132" s="179">
        <v>17</v>
      </c>
      <c r="J132" s="179">
        <v>19</v>
      </c>
    </row>
    <row r="133" spans="3:10">
      <c r="C133" s="2">
        <v>1</v>
      </c>
      <c r="D133" s="22">
        <v>46192</v>
      </c>
      <c r="E133" s="179">
        <v>12</v>
      </c>
      <c r="F133" s="179">
        <v>14</v>
      </c>
      <c r="G133" s="179">
        <v>11</v>
      </c>
      <c r="H133" s="179">
        <v>12</v>
      </c>
      <c r="I133" s="179">
        <v>17</v>
      </c>
      <c r="J133" s="179">
        <v>20</v>
      </c>
    </row>
    <row r="134" spans="3:10">
      <c r="C134" s="2">
        <v>1</v>
      </c>
      <c r="D134" s="22">
        <v>46199</v>
      </c>
      <c r="E134" s="179">
        <v>13</v>
      </c>
      <c r="F134" s="179">
        <v>14</v>
      </c>
      <c r="G134" s="179">
        <v>11</v>
      </c>
      <c r="H134" s="179">
        <v>12</v>
      </c>
      <c r="I134" s="179">
        <v>18</v>
      </c>
      <c r="J134" s="179">
        <v>21</v>
      </c>
    </row>
    <row r="135" spans="3:10">
      <c r="C135" s="2">
        <v>1</v>
      </c>
      <c r="D135" s="22">
        <v>46206</v>
      </c>
      <c r="E135" s="179">
        <v>14</v>
      </c>
      <c r="F135" s="179">
        <v>14</v>
      </c>
      <c r="G135" s="179">
        <v>12</v>
      </c>
      <c r="H135" s="179">
        <v>12</v>
      </c>
      <c r="I135" s="179">
        <v>19</v>
      </c>
      <c r="J135" s="179">
        <v>22</v>
      </c>
    </row>
    <row r="136" spans="3:10">
      <c r="C136" s="2">
        <v>1</v>
      </c>
      <c r="D136" s="22">
        <v>46213</v>
      </c>
      <c r="E136" s="179">
        <v>15</v>
      </c>
      <c r="F136" s="179">
        <v>14</v>
      </c>
      <c r="G136" s="179">
        <v>13</v>
      </c>
      <c r="H136" s="179">
        <v>13</v>
      </c>
      <c r="I136" s="179">
        <v>20</v>
      </c>
      <c r="J136" s="179">
        <v>23</v>
      </c>
    </row>
    <row r="137" spans="3:10">
      <c r="C137" s="2">
        <v>1</v>
      </c>
      <c r="D137" s="22">
        <v>46220</v>
      </c>
      <c r="E137" s="179">
        <v>16</v>
      </c>
      <c r="F137" s="179">
        <v>14</v>
      </c>
      <c r="G137" s="179">
        <v>13</v>
      </c>
      <c r="H137" s="179">
        <v>14</v>
      </c>
      <c r="I137" s="179">
        <v>21</v>
      </c>
      <c r="J137" s="179">
        <v>23</v>
      </c>
    </row>
    <row r="138" spans="3:10">
      <c r="C138" s="2">
        <v>1</v>
      </c>
      <c r="D138" s="22">
        <v>46227</v>
      </c>
      <c r="E138" s="179">
        <v>17</v>
      </c>
      <c r="F138" s="179">
        <v>14</v>
      </c>
      <c r="G138" s="179">
        <v>13</v>
      </c>
      <c r="H138" s="179">
        <v>14</v>
      </c>
      <c r="I138" s="179">
        <v>22</v>
      </c>
      <c r="J138" s="179">
        <v>24</v>
      </c>
    </row>
    <row r="139" spans="3:10">
      <c r="C139" s="2">
        <v>1</v>
      </c>
      <c r="D139" s="22">
        <v>46234</v>
      </c>
      <c r="E139" s="179">
        <v>18</v>
      </c>
      <c r="F139" s="179">
        <v>15</v>
      </c>
      <c r="G139" s="179">
        <v>13</v>
      </c>
      <c r="H139" s="179">
        <v>14</v>
      </c>
      <c r="I139" s="179">
        <v>23</v>
      </c>
      <c r="J139" s="179">
        <v>25</v>
      </c>
    </row>
    <row r="140" spans="3:10">
      <c r="C140" s="2">
        <v>1</v>
      </c>
      <c r="D140" s="22">
        <v>46241</v>
      </c>
      <c r="E140" s="179">
        <v>18</v>
      </c>
      <c r="F140" s="179">
        <v>15</v>
      </c>
      <c r="G140" s="179">
        <v>13</v>
      </c>
      <c r="H140" s="179">
        <v>15</v>
      </c>
      <c r="I140" s="179">
        <v>24</v>
      </c>
      <c r="J140" s="179">
        <v>26</v>
      </c>
    </row>
    <row r="141" spans="3:10">
      <c r="C141" s="2">
        <v>1</v>
      </c>
      <c r="D141" s="22">
        <v>46248</v>
      </c>
      <c r="E141" s="179">
        <v>18</v>
      </c>
      <c r="F141" s="179">
        <v>15</v>
      </c>
      <c r="G141" s="179">
        <v>14</v>
      </c>
      <c r="H141" s="179">
        <v>16</v>
      </c>
      <c r="I141" s="179">
        <v>25</v>
      </c>
      <c r="J141" s="179">
        <v>27</v>
      </c>
    </row>
    <row r="142" spans="3:10">
      <c r="C142" s="2">
        <v>1</v>
      </c>
      <c r="D142" s="22">
        <v>46255</v>
      </c>
      <c r="E142" s="179">
        <v>18</v>
      </c>
      <c r="F142" s="179">
        <v>15</v>
      </c>
      <c r="G142" s="179">
        <v>14</v>
      </c>
      <c r="H142" s="179">
        <v>17</v>
      </c>
      <c r="I142" s="179">
        <v>26</v>
      </c>
      <c r="J142" s="179">
        <v>27</v>
      </c>
    </row>
    <row r="143" spans="3:10">
      <c r="C143" s="2">
        <v>1</v>
      </c>
      <c r="D143" s="22">
        <v>46262</v>
      </c>
      <c r="E143" s="179">
        <v>18</v>
      </c>
      <c r="F143" s="179">
        <v>15</v>
      </c>
      <c r="G143" s="179">
        <v>15</v>
      </c>
      <c r="H143" s="179">
        <v>18</v>
      </c>
      <c r="I143" s="179">
        <v>27</v>
      </c>
      <c r="J143" s="179">
        <v>28</v>
      </c>
    </row>
    <row r="144" spans="3:10">
      <c r="C144" s="2">
        <v>1</v>
      </c>
      <c r="D144" s="22">
        <v>46269</v>
      </c>
      <c r="E144" s="179">
        <v>19</v>
      </c>
      <c r="F144" s="179">
        <v>15</v>
      </c>
      <c r="G144" s="179">
        <v>15</v>
      </c>
      <c r="H144" s="179">
        <v>19</v>
      </c>
      <c r="I144" s="179">
        <v>27</v>
      </c>
      <c r="J144" s="179">
        <v>29</v>
      </c>
    </row>
    <row r="145" spans="3:10">
      <c r="C145" s="2">
        <v>1</v>
      </c>
      <c r="D145" s="22">
        <v>46276</v>
      </c>
      <c r="E145" s="179">
        <v>19</v>
      </c>
      <c r="F145" s="179">
        <v>15</v>
      </c>
      <c r="G145" s="179">
        <v>15</v>
      </c>
      <c r="H145" s="179">
        <v>20</v>
      </c>
      <c r="I145" s="179">
        <v>28</v>
      </c>
      <c r="J145" s="179">
        <v>30</v>
      </c>
    </row>
    <row r="146" spans="3:10">
      <c r="C146" s="2">
        <v>1</v>
      </c>
      <c r="D146" s="22">
        <v>46283</v>
      </c>
      <c r="E146" s="179">
        <v>19</v>
      </c>
      <c r="F146" s="179">
        <v>15</v>
      </c>
      <c r="G146" s="179">
        <v>15</v>
      </c>
      <c r="H146" s="179">
        <v>21</v>
      </c>
      <c r="I146" s="179">
        <v>28</v>
      </c>
      <c r="J146" s="179">
        <v>30</v>
      </c>
    </row>
    <row r="147" spans="3:10">
      <c r="C147" s="2">
        <v>1</v>
      </c>
      <c r="D147" s="22">
        <v>46290</v>
      </c>
      <c r="E147" s="179">
        <v>20</v>
      </c>
      <c r="F147" s="179">
        <v>15</v>
      </c>
      <c r="G147" s="179">
        <v>16</v>
      </c>
      <c r="H147" s="179">
        <v>21</v>
      </c>
      <c r="I147" s="179">
        <v>29</v>
      </c>
      <c r="J147" s="179">
        <v>30</v>
      </c>
    </row>
    <row r="148" spans="3:10">
      <c r="C148" s="2">
        <v>1</v>
      </c>
      <c r="D148" s="22">
        <v>46297</v>
      </c>
      <c r="E148" s="179">
        <v>21</v>
      </c>
      <c r="F148" s="179">
        <v>15</v>
      </c>
      <c r="G148" s="179">
        <v>17</v>
      </c>
      <c r="H148" s="179">
        <v>21</v>
      </c>
      <c r="I148" s="179">
        <v>29</v>
      </c>
      <c r="J148" s="179">
        <v>31</v>
      </c>
    </row>
    <row r="149" spans="3:10">
      <c r="C149" s="2">
        <v>1</v>
      </c>
      <c r="D149" s="22">
        <v>46304</v>
      </c>
      <c r="E149" s="179">
        <v>22</v>
      </c>
      <c r="F149" s="179">
        <v>15</v>
      </c>
      <c r="G149" s="179">
        <v>18</v>
      </c>
      <c r="H149" s="179">
        <v>21</v>
      </c>
      <c r="I149" s="179">
        <v>29</v>
      </c>
      <c r="J149" s="179">
        <v>32</v>
      </c>
    </row>
    <row r="150" spans="3:10">
      <c r="C150" s="2">
        <v>1</v>
      </c>
      <c r="D150" s="22">
        <v>46311</v>
      </c>
      <c r="E150" s="179">
        <v>22</v>
      </c>
      <c r="F150" s="179">
        <v>15</v>
      </c>
      <c r="G150" s="179">
        <v>19</v>
      </c>
      <c r="H150" s="179">
        <v>21</v>
      </c>
      <c r="I150" s="179">
        <v>29</v>
      </c>
      <c r="J150" s="179">
        <v>33</v>
      </c>
    </row>
    <row r="151" spans="3:10">
      <c r="C151" s="2">
        <v>1</v>
      </c>
      <c r="D151" s="22">
        <v>46318</v>
      </c>
      <c r="E151" s="179">
        <v>23</v>
      </c>
      <c r="F151" s="179">
        <v>15</v>
      </c>
      <c r="G151" s="179">
        <v>19</v>
      </c>
      <c r="H151" s="179">
        <v>22</v>
      </c>
      <c r="I151" s="179">
        <v>29</v>
      </c>
      <c r="J151" s="179">
        <v>34</v>
      </c>
    </row>
    <row r="152" spans="3:10">
      <c r="C152" s="2" t="s">
        <v>111</v>
      </c>
      <c r="D152" s="22">
        <v>46325</v>
      </c>
      <c r="E152" s="1" t="s">
        <v>111</v>
      </c>
      <c r="F152" s="1" t="s">
        <v>111</v>
      </c>
      <c r="G152" s="1" t="s">
        <v>111</v>
      </c>
      <c r="H152" s="1" t="s">
        <v>111</v>
      </c>
      <c r="I152" s="1" t="s">
        <v>111</v>
      </c>
      <c r="J152" s="179"/>
    </row>
    <row r="153" spans="3:10">
      <c r="C153" s="2" t="s">
        <v>111</v>
      </c>
      <c r="D153" s="22">
        <v>46332</v>
      </c>
      <c r="E153" s="1" t="s">
        <v>111</v>
      </c>
      <c r="F153" s="1" t="s">
        <v>111</v>
      </c>
      <c r="G153" s="1" t="s">
        <v>111</v>
      </c>
      <c r="H153" s="1" t="s">
        <v>111</v>
      </c>
      <c r="I153" s="1" t="s">
        <v>111</v>
      </c>
      <c r="J153" s="179"/>
    </row>
    <row r="154" spans="3:10">
      <c r="C154" s="2" t="s">
        <v>111</v>
      </c>
      <c r="D154" s="22">
        <v>46339</v>
      </c>
      <c r="E154" s="1" t="s">
        <v>111</v>
      </c>
      <c r="F154" s="1" t="s">
        <v>111</v>
      </c>
      <c r="G154" s="1" t="s">
        <v>111</v>
      </c>
      <c r="H154" s="1" t="s">
        <v>111</v>
      </c>
      <c r="I154" s="1" t="s">
        <v>111</v>
      </c>
      <c r="J154" s="179"/>
    </row>
    <row r="155" spans="3:10">
      <c r="C155" s="2" t="s">
        <v>111</v>
      </c>
      <c r="D155" s="22">
        <v>46346</v>
      </c>
      <c r="E155" s="1" t="s">
        <v>111</v>
      </c>
      <c r="F155" s="1" t="s">
        <v>111</v>
      </c>
      <c r="G155" s="1" t="s">
        <v>111</v>
      </c>
      <c r="H155" s="1" t="s">
        <v>111</v>
      </c>
      <c r="I155" s="1" t="s">
        <v>111</v>
      </c>
      <c r="J155" s="179"/>
    </row>
    <row r="156" spans="3:10">
      <c r="C156" s="2" t="s">
        <v>111</v>
      </c>
      <c r="D156" s="22">
        <v>46353</v>
      </c>
      <c r="E156" s="1" t="s">
        <v>111</v>
      </c>
      <c r="F156" s="1" t="s">
        <v>111</v>
      </c>
      <c r="G156" s="1" t="s">
        <v>111</v>
      </c>
      <c r="H156" s="1" t="s">
        <v>111</v>
      </c>
      <c r="I156" s="1" t="s">
        <v>111</v>
      </c>
      <c r="J156" s="179"/>
    </row>
    <row r="157" spans="3:10">
      <c r="C157" s="2" t="s">
        <v>111</v>
      </c>
      <c r="D157" s="22">
        <v>46360</v>
      </c>
      <c r="E157" s="1" t="s">
        <v>111</v>
      </c>
      <c r="F157" s="1" t="s">
        <v>111</v>
      </c>
      <c r="G157" s="1" t="s">
        <v>111</v>
      </c>
      <c r="H157" s="1" t="s">
        <v>111</v>
      </c>
      <c r="I157" s="1" t="s">
        <v>111</v>
      </c>
      <c r="J157" s="179"/>
    </row>
    <row r="158" spans="3:10">
      <c r="C158" s="2" t="s">
        <v>111</v>
      </c>
      <c r="D158" s="22">
        <v>46367</v>
      </c>
      <c r="E158" s="1" t="s">
        <v>111</v>
      </c>
      <c r="F158" s="1" t="s">
        <v>111</v>
      </c>
      <c r="G158" s="1" t="s">
        <v>111</v>
      </c>
      <c r="H158" s="1" t="s">
        <v>111</v>
      </c>
      <c r="I158" s="1" t="s">
        <v>111</v>
      </c>
      <c r="J158" s="179"/>
    </row>
    <row r="159" spans="3:10">
      <c r="C159" s="2" t="s">
        <v>111</v>
      </c>
      <c r="D159" s="22">
        <v>46374</v>
      </c>
      <c r="E159" s="1" t="s">
        <v>111</v>
      </c>
      <c r="F159" s="1" t="s">
        <v>111</v>
      </c>
      <c r="G159" s="1" t="s">
        <v>111</v>
      </c>
      <c r="H159" s="1" t="s">
        <v>111</v>
      </c>
      <c r="I159" s="1" t="s">
        <v>111</v>
      </c>
      <c r="J159" s="179"/>
    </row>
    <row r="160" spans="3:10">
      <c r="C160" s="2" t="s">
        <v>111</v>
      </c>
      <c r="D160" s="22">
        <v>46395</v>
      </c>
      <c r="E160" s="1" t="s">
        <v>111</v>
      </c>
      <c r="F160" s="1" t="s">
        <v>111</v>
      </c>
      <c r="G160" s="1" t="s">
        <v>111</v>
      </c>
      <c r="H160" s="1" t="s">
        <v>111</v>
      </c>
      <c r="I160" s="1" t="s">
        <v>111</v>
      </c>
      <c r="J160" s="179"/>
    </row>
  </sheetData>
  <mergeCells count="51">
    <mergeCell ref="C25:J25"/>
    <mergeCell ref="Q14:R14"/>
    <mergeCell ref="Q16:R16"/>
    <mergeCell ref="S11:T11"/>
    <mergeCell ref="Q11:R11"/>
    <mergeCell ref="V17:V18"/>
    <mergeCell ref="Q12:R12"/>
    <mergeCell ref="S12:T12"/>
    <mergeCell ref="V12:W12"/>
    <mergeCell ref="Q10:R10"/>
    <mergeCell ref="S10:T10"/>
    <mergeCell ref="V10:W10"/>
    <mergeCell ref="X10:Y10"/>
    <mergeCell ref="Z10:AA10"/>
    <mergeCell ref="X12:Y12"/>
    <mergeCell ref="Z12:AA12"/>
    <mergeCell ref="Q13:R13"/>
    <mergeCell ref="S13:T13"/>
    <mergeCell ref="V13:W13"/>
    <mergeCell ref="X13:Y14"/>
    <mergeCell ref="Z13:AA13"/>
    <mergeCell ref="S14:T14"/>
    <mergeCell ref="C2:AA2"/>
    <mergeCell ref="O5:S5"/>
    <mergeCell ref="T5:U5"/>
    <mergeCell ref="V5:W7"/>
    <mergeCell ref="X5:Y7"/>
    <mergeCell ref="Z5:AA7"/>
    <mergeCell ref="Q7:R7"/>
    <mergeCell ref="S7:T7"/>
    <mergeCell ref="E64:J64"/>
    <mergeCell ref="E57:J57"/>
    <mergeCell ref="E51:J51"/>
    <mergeCell ref="X8:Y8"/>
    <mergeCell ref="Z8:AA8"/>
    <mergeCell ref="S9:T9"/>
    <mergeCell ref="V9:W9"/>
    <mergeCell ref="Q9:R9"/>
    <mergeCell ref="Q8:R8"/>
    <mergeCell ref="S8:T8"/>
    <mergeCell ref="V8:W8"/>
    <mergeCell ref="V11:W11"/>
    <mergeCell ref="X11:Y11"/>
    <mergeCell ref="Z11:AA11"/>
    <mergeCell ref="X9:Y9"/>
    <mergeCell ref="Z9:AA9"/>
    <mergeCell ref="E27:J27"/>
    <mergeCell ref="E49:J49"/>
    <mergeCell ref="E38:J38"/>
    <mergeCell ref="E35:J35"/>
    <mergeCell ref="E30:J30"/>
  </mergeCells>
  <conditionalFormatting sqref="E26:J26 E28:J29 E31:J31 E33:J34 E36:J37 E39:J48 E50:J50 E52:J56 E58:J63 E65:J91">
    <cfRule type="cellIs" dxfId="192" priority="7" operator="equal">
      <formula>0</formula>
    </cfRule>
    <cfRule type="cellIs" dxfId="191" priority="8" operator="equal">
      <formula>1</formula>
    </cfRule>
  </conditionalFormatting>
  <conditionalFormatting sqref="U24:U38 O24:T91">
    <cfRule type="cellIs" dxfId="190" priority="3" operator="equal">
      <formula>0</formula>
    </cfRule>
    <cfRule type="cellIs" dxfId="189" priority="4" operator="greaterThan">
      <formula>0</formula>
    </cfRule>
  </conditionalFormatting>
  <conditionalFormatting sqref="AE25:AE30">
    <cfRule type="cellIs" dxfId="188" priority="5" operator="lessThan">
      <formula>0</formula>
    </cfRule>
    <cfRule type="cellIs" dxfId="187" priority="6" operator="greaterThan">
      <formula>0</formula>
    </cfRule>
  </conditionalFormatting>
  <pageMargins left="0.7" right="0.7" top="0.78740157499999996" bottom="0.78740157499999996" header="0.3" footer="0.3"/>
  <pageSetup paperSize="9" orientation="portrait" r:id="rId1"/>
  <ignoredErrors>
    <ignoredError sqref="M45"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V102"/>
  <sheetViews>
    <sheetView zoomScaleNormal="100" workbookViewId="0">
      <selection activeCell="D12" sqref="D12"/>
    </sheetView>
  </sheetViews>
  <sheetFormatPr defaultColWidth="9.15234375" defaultRowHeight="10.75"/>
  <cols>
    <col min="1" max="1" width="8.15234375" style="102" customWidth="1"/>
    <col min="2" max="2" width="12.3828125" style="102" customWidth="1"/>
    <col min="3" max="3" width="6.921875" style="102" bestFit="1" customWidth="1"/>
    <col min="4" max="4" width="17.15234375" style="102" customWidth="1"/>
    <col min="5" max="5" width="8.53515625" style="102" customWidth="1"/>
    <col min="6" max="13" width="7.69140625" style="102" customWidth="1"/>
    <col min="14" max="14" width="6.921875" style="102" bestFit="1" customWidth="1"/>
    <col min="15" max="15" width="6.15234375" style="102" customWidth="1"/>
    <col min="16" max="16" width="8.53515625" style="102" customWidth="1"/>
    <col min="17" max="17" width="9" style="102" bestFit="1" customWidth="1"/>
    <col min="18" max="21" width="5.69140625" style="102" customWidth="1"/>
    <col min="22" max="26" width="4.84375" style="102" customWidth="1"/>
    <col min="27" max="27" width="6.53515625" style="102" customWidth="1"/>
    <col min="28" max="36" width="6.15234375" style="102" customWidth="1"/>
    <col min="37" max="37" width="5.84375" style="102" customWidth="1"/>
    <col min="38" max="42" width="8.3046875" style="102" customWidth="1"/>
    <col min="43" max="43" width="7.3046875" style="102" customWidth="1"/>
    <col min="44" max="44" width="7.84375" style="102" customWidth="1"/>
    <col min="45" max="45" width="8.69140625" style="102" customWidth="1"/>
    <col min="46" max="47" width="7.3828125" style="102" customWidth="1"/>
    <col min="48" max="48" width="9.15234375" style="102" customWidth="1"/>
    <col min="49" max="50" width="7.53515625" style="102" bestFit="1" customWidth="1"/>
    <col min="51" max="51" width="6.53515625" style="102" bestFit="1" customWidth="1"/>
    <col min="52" max="52" width="9.3046875" style="102" customWidth="1"/>
    <col min="53" max="53" width="6.15234375" style="102" customWidth="1"/>
    <col min="54" max="16384" width="9.15234375" style="102"/>
  </cols>
  <sheetData>
    <row r="1" spans="1:74" s="93" customFormat="1" ht="12.9">
      <c r="A1" s="91" t="s">
        <v>42</v>
      </c>
      <c r="B1" s="91" t="s">
        <v>34</v>
      </c>
      <c r="C1" s="91" t="s">
        <v>35</v>
      </c>
      <c r="D1" s="91" t="s">
        <v>79</v>
      </c>
      <c r="E1" s="91" t="s">
        <v>45</v>
      </c>
      <c r="F1" s="92" t="s">
        <v>127</v>
      </c>
      <c r="G1" s="92" t="s">
        <v>126</v>
      </c>
      <c r="H1" s="92" t="s">
        <v>125</v>
      </c>
      <c r="I1" s="92" t="s">
        <v>124</v>
      </c>
      <c r="J1" s="92" t="s">
        <v>123</v>
      </c>
      <c r="K1" s="92" t="s">
        <v>286</v>
      </c>
      <c r="L1" s="92" t="s">
        <v>285</v>
      </c>
      <c r="M1" s="92" t="s">
        <v>307</v>
      </c>
      <c r="N1" s="92" t="s">
        <v>348</v>
      </c>
      <c r="O1" s="92" t="s">
        <v>358</v>
      </c>
      <c r="P1" s="92" t="s">
        <v>377</v>
      </c>
      <c r="Q1" s="91" t="s">
        <v>36</v>
      </c>
      <c r="R1" s="91" t="s">
        <v>40</v>
      </c>
      <c r="S1" s="91" t="s">
        <v>136</v>
      </c>
      <c r="T1" s="91" t="s">
        <v>137</v>
      </c>
      <c r="U1" s="91" t="s">
        <v>138</v>
      </c>
      <c r="V1" s="91" t="s">
        <v>139</v>
      </c>
      <c r="W1" s="91" t="s">
        <v>140</v>
      </c>
      <c r="X1" s="91" t="s">
        <v>287</v>
      </c>
      <c r="Y1" s="91" t="s">
        <v>308</v>
      </c>
      <c r="Z1" s="91" t="s">
        <v>349</v>
      </c>
      <c r="AA1" s="91" t="s">
        <v>359</v>
      </c>
      <c r="AB1" s="91" t="s">
        <v>378</v>
      </c>
      <c r="AC1" s="91" t="s">
        <v>94</v>
      </c>
      <c r="AD1" s="91" t="s">
        <v>95</v>
      </c>
      <c r="AE1" s="91" t="s">
        <v>96</v>
      </c>
      <c r="AF1" s="91" t="s">
        <v>97</v>
      </c>
      <c r="AG1" s="91" t="s">
        <v>98</v>
      </c>
      <c r="AH1" s="91" t="s">
        <v>128</v>
      </c>
      <c r="AI1" s="91" t="s">
        <v>288</v>
      </c>
      <c r="AJ1" s="91" t="s">
        <v>309</v>
      </c>
      <c r="AK1" s="91" t="s">
        <v>350</v>
      </c>
      <c r="AL1" s="91" t="s">
        <v>360</v>
      </c>
      <c r="AM1" s="91" t="s">
        <v>379</v>
      </c>
      <c r="AN1" s="91" t="s">
        <v>69</v>
      </c>
      <c r="AO1" s="91" t="s">
        <v>129</v>
      </c>
      <c r="AP1" s="91" t="s">
        <v>130</v>
      </c>
      <c r="AQ1" s="91" t="s">
        <v>131</v>
      </c>
      <c r="AR1" s="91" t="s">
        <v>132</v>
      </c>
      <c r="AS1" s="91" t="s">
        <v>133</v>
      </c>
      <c r="AT1" s="91" t="s">
        <v>135</v>
      </c>
      <c r="AU1" s="91" t="s">
        <v>289</v>
      </c>
      <c r="AV1" s="91" t="s">
        <v>321</v>
      </c>
      <c r="AW1" s="91" t="s">
        <v>351</v>
      </c>
      <c r="AX1" s="91" t="s">
        <v>361</v>
      </c>
      <c r="AY1" s="91" t="s">
        <v>380</v>
      </c>
      <c r="AZ1" s="91" t="s">
        <v>69</v>
      </c>
      <c r="BA1" s="91" t="s">
        <v>113</v>
      </c>
      <c r="BB1" s="91" t="s">
        <v>114</v>
      </c>
      <c r="BC1" s="91" t="s">
        <v>115</v>
      </c>
      <c r="BD1" s="91" t="s">
        <v>116</v>
      </c>
      <c r="BE1" s="91" t="s">
        <v>117</v>
      </c>
      <c r="BF1" s="91" t="s">
        <v>134</v>
      </c>
      <c r="BG1" s="91" t="s">
        <v>322</v>
      </c>
      <c r="BH1" s="91" t="s">
        <v>383</v>
      </c>
      <c r="BI1" s="91" t="s">
        <v>384</v>
      </c>
      <c r="BJ1" s="91" t="s">
        <v>385</v>
      </c>
      <c r="BK1" s="91" t="s">
        <v>386</v>
      </c>
      <c r="BN1" s="93" t="s">
        <v>387</v>
      </c>
      <c r="BO1" s="93" t="s">
        <v>388</v>
      </c>
      <c r="BP1" s="93">
        <v>19</v>
      </c>
      <c r="BQ1" s="93">
        <v>20</v>
      </c>
      <c r="BR1" s="93">
        <v>21</v>
      </c>
      <c r="BS1" s="93">
        <v>22</v>
      </c>
      <c r="BT1" s="93">
        <v>23</v>
      </c>
      <c r="BU1" s="93">
        <v>24</v>
      </c>
      <c r="BV1" s="93">
        <v>25</v>
      </c>
    </row>
    <row r="2" spans="1:74" ht="12.9">
      <c r="A2" s="94">
        <f t="shared" ref="A2:A8" si="0">_xlfn.RANK.EQ(C2,$C$2:$C$7)</f>
        <v>1</v>
      </c>
      <c r="B2" s="95" t="s">
        <v>32</v>
      </c>
      <c r="C2" s="96">
        <f>SUM(R2:AB2)</f>
        <v>418.00079999999991</v>
      </c>
      <c r="D2" s="96" t="s">
        <v>77</v>
      </c>
      <c r="E2" s="97">
        <f t="shared" ref="E2:E7" ca="1" si="1">C2/AN2</f>
        <v>0.79771145038167923</v>
      </c>
      <c r="F2" s="97">
        <f t="shared" ref="F2:F9" si="2">R2/AC2</f>
        <v>0.86206896551724133</v>
      </c>
      <c r="G2" s="97">
        <v>0.80392156862745101</v>
      </c>
      <c r="H2" s="97">
        <v>0.83050847457627119</v>
      </c>
      <c r="I2" s="98">
        <f t="shared" ref="I2:P2" ca="1" si="3">U2/AF2</f>
        <v>0.76595957446808516</v>
      </c>
      <c r="J2" s="196">
        <f t="shared" ca="1" si="3"/>
        <v>0.90909242424242431</v>
      </c>
      <c r="K2" s="97">
        <f t="shared" ca="1" si="3"/>
        <v>0.8333357142857144</v>
      </c>
      <c r="L2" s="98">
        <f t="shared" ca="1" si="3"/>
        <v>0.73913260869565223</v>
      </c>
      <c r="M2" s="98">
        <f t="shared" ca="1" si="3"/>
        <v>0.66037924528301895</v>
      </c>
      <c r="N2" s="98">
        <f t="shared" ca="1" si="3"/>
        <v>0.75510408163265308</v>
      </c>
      <c r="O2" s="98">
        <f t="shared" ca="1" si="3"/>
        <v>0.69767674418604653</v>
      </c>
      <c r="P2" s="97">
        <f t="shared" ca="1" si="3"/>
        <v>0.80952619047619057</v>
      </c>
      <c r="Q2" s="141">
        <f t="shared" ref="Q2:Q7" si="4">SUM(AO2:AX2)</f>
        <v>1440.25</v>
      </c>
      <c r="R2" s="99">
        <v>25</v>
      </c>
      <c r="S2" s="95">
        <v>41</v>
      </c>
      <c r="T2" s="95">
        <f>'Stats 2018'!E8</f>
        <v>51</v>
      </c>
      <c r="U2" s="100">
        <f>'Stats 2019'!J20</f>
        <v>36.000100000000003</v>
      </c>
      <c r="V2" s="101">
        <f>'Stats 2020'!J20</f>
        <v>60.000100000000003</v>
      </c>
      <c r="W2" s="101">
        <f>'Stats 2021'!J20</f>
        <v>35.000100000000003</v>
      </c>
      <c r="X2" s="100">
        <f>'Stats 2022'!J20</f>
        <v>34.000100000000003</v>
      </c>
      <c r="Y2" s="100">
        <f>'Stats 2023'!$J$20</f>
        <v>35.000100000000003</v>
      </c>
      <c r="Z2" s="100">
        <f>'Stats 2024'!J20</f>
        <v>37.000100000000003</v>
      </c>
      <c r="AA2" s="100">
        <f>'Stats 2025'!J20</f>
        <v>30.0001</v>
      </c>
      <c r="AB2" s="101">
        <f>'Stats 2026'!J20</f>
        <v>34.000100000000003</v>
      </c>
      <c r="AC2" s="99">
        <f>36-7</f>
        <v>29</v>
      </c>
      <c r="AD2" s="99">
        <v>48</v>
      </c>
      <c r="AE2" s="99">
        <v>59</v>
      </c>
      <c r="AF2" s="99">
        <f ca="1">'Stats 2019'!C20</f>
        <v>47</v>
      </c>
      <c r="AG2" s="99">
        <f ca="1">'Stats 2020'!C20</f>
        <v>66</v>
      </c>
      <c r="AH2" s="99">
        <f ca="1">'Stats 2021'!C20</f>
        <v>42</v>
      </c>
      <c r="AI2" s="99">
        <f ca="1">'Stats 2022'!C20</f>
        <v>46</v>
      </c>
      <c r="AJ2" s="99">
        <f ca="1">'Stats 2023'!$C$20</f>
        <v>53</v>
      </c>
      <c r="AK2" s="100">
        <f ca="1">'Stats 2024'!C20</f>
        <v>49</v>
      </c>
      <c r="AL2" s="100">
        <f ca="1">'Stats 2025'!C20</f>
        <v>43</v>
      </c>
      <c r="AM2" s="100">
        <f ca="1">'Stats 2026'!C20</f>
        <v>42</v>
      </c>
      <c r="AN2" s="99">
        <f ca="1">SUM(AC2:AM2)</f>
        <v>524</v>
      </c>
      <c r="AO2" s="140">
        <v>60</v>
      </c>
      <c r="AP2" s="140">
        <v>90</v>
      </c>
      <c r="AQ2" s="140">
        <f>'Stats 2018'!O13</f>
        <v>149</v>
      </c>
      <c r="AR2" s="140">
        <f>'Stats 2019'!$T$20</f>
        <v>141</v>
      </c>
      <c r="AS2" s="140">
        <f>'Stats 2020'!$T$20</f>
        <v>123.75</v>
      </c>
      <c r="AT2" s="140">
        <f>'Stats 2021'!T20</f>
        <v>95</v>
      </c>
      <c r="AU2" s="140">
        <f>'Stats 2022'!T20</f>
        <v>162.5</v>
      </c>
      <c r="AV2" s="140">
        <f>'Stats 2023'!T20</f>
        <v>248</v>
      </c>
      <c r="AW2" s="140">
        <f>'Stats 2024'!T20</f>
        <v>169</v>
      </c>
      <c r="AX2" s="140">
        <f>'Stats 2025'!T20</f>
        <v>202</v>
      </c>
      <c r="AY2" s="140">
        <f>'Stats 2026'!T20</f>
        <v>141.25</v>
      </c>
      <c r="AZ2" s="140">
        <f>SUM(AO2:AY2)</f>
        <v>1581.5</v>
      </c>
      <c r="BA2" s="99">
        <f t="shared" ref="BA2:BC7" si="5">AC2-R2</f>
        <v>4</v>
      </c>
      <c r="BB2" s="99">
        <f t="shared" si="5"/>
        <v>7</v>
      </c>
      <c r="BC2" s="99">
        <f t="shared" si="5"/>
        <v>8</v>
      </c>
      <c r="BD2" s="99">
        <v>11</v>
      </c>
      <c r="BE2" s="103">
        <f t="shared" ref="BE2:BG7" ca="1" si="6">AG2-V2</f>
        <v>5.9998999999999967</v>
      </c>
      <c r="BF2" s="103">
        <f t="shared" ca="1" si="6"/>
        <v>6.9998999999999967</v>
      </c>
      <c r="BG2" s="103">
        <f ca="1">AI2-X2</f>
        <v>11.999899999999997</v>
      </c>
      <c r="BH2" s="103">
        <f t="shared" ref="BH2:BK7" ca="1" si="7">AJ2-Y2</f>
        <v>17.999899999999997</v>
      </c>
      <c r="BI2" s="103">
        <f t="shared" ca="1" si="7"/>
        <v>11.999899999999997</v>
      </c>
      <c r="BJ2" s="103">
        <f t="shared" ca="1" si="7"/>
        <v>12.9999</v>
      </c>
      <c r="BK2" s="103">
        <f t="shared" ca="1" si="7"/>
        <v>7.9998999999999967</v>
      </c>
      <c r="BN2" s="214">
        <f>SUM(S2:AB2)</f>
        <v>393.00079999999991</v>
      </c>
      <c r="BO2" s="214">
        <f>SUM(T2:AB2)</f>
        <v>352.00080000000003</v>
      </c>
      <c r="BP2" s="206">
        <f>SUM(U2:AB2)</f>
        <v>301.00080000000003</v>
      </c>
      <c r="BQ2" s="213">
        <f>SUM(V2:AB2)</f>
        <v>265.00070000000005</v>
      </c>
      <c r="BR2" s="213">
        <f>SUM(W2:AB2)</f>
        <v>205.00060000000002</v>
      </c>
      <c r="BS2" s="213">
        <f>SUM(X2:AB2)</f>
        <v>170.00050000000002</v>
      </c>
      <c r="BT2" s="213">
        <f>SUM(Y2:AB2)</f>
        <v>136.00040000000001</v>
      </c>
      <c r="BU2" s="213">
        <f>SUM(Z2:AB2)</f>
        <v>101.00030000000001</v>
      </c>
      <c r="BV2" s="213">
        <f>SUM(AA2:AB2)</f>
        <v>64.000200000000007</v>
      </c>
    </row>
    <row r="3" spans="1:74" ht="12">
      <c r="A3" s="94">
        <f t="shared" si="0"/>
        <v>2</v>
      </c>
      <c r="B3" s="99" t="s">
        <v>3</v>
      </c>
      <c r="C3" s="103">
        <f>SUM(R3:AB3)</f>
        <v>405.00072</v>
      </c>
      <c r="D3" s="103" t="s">
        <v>77</v>
      </c>
      <c r="E3" s="98">
        <f t="shared" ca="1" si="1"/>
        <v>0.76271322033898303</v>
      </c>
      <c r="F3" s="104">
        <f t="shared" si="2"/>
        <v>0.75</v>
      </c>
      <c r="G3" s="98">
        <v>0.70588235294117652</v>
      </c>
      <c r="H3" s="98">
        <v>0.66101694915254239</v>
      </c>
      <c r="I3" s="98">
        <f t="shared" ref="I3:O7" ca="1" si="8">U3/AF3</f>
        <v>0.82978914893617017</v>
      </c>
      <c r="J3" s="98">
        <f t="shared" ca="1" si="8"/>
        <v>0.81818318181818184</v>
      </c>
      <c r="K3" s="98">
        <f t="shared" ca="1" si="8"/>
        <v>0.76190690476190481</v>
      </c>
      <c r="L3" s="97">
        <f t="shared" ca="1" si="8"/>
        <v>0.82608891304347831</v>
      </c>
      <c r="M3" s="97">
        <f t="shared" ca="1" si="8"/>
        <v>0.69811490566037737</v>
      </c>
      <c r="N3" s="98">
        <f t="shared" ca="1" si="8"/>
        <v>0.77551204081632652</v>
      </c>
      <c r="O3" s="97">
        <f t="shared" ca="1" si="8"/>
        <v>0.83721139534883726</v>
      </c>
      <c r="P3" s="98">
        <f t="shared" ref="P3:P7" ca="1" si="9">AB3/AM3</f>
        <v>0.69047833333333331</v>
      </c>
      <c r="Q3" s="204">
        <f t="shared" si="4"/>
        <v>1529.75</v>
      </c>
      <c r="R3" s="99">
        <v>27</v>
      </c>
      <c r="S3" s="99">
        <v>36</v>
      </c>
      <c r="T3" s="99">
        <f>'Stats 2019'!E9</f>
        <v>39</v>
      </c>
      <c r="U3" s="100">
        <f>'Stats 2019'!I20</f>
        <v>39.00009</v>
      </c>
      <c r="V3" s="100">
        <f>'Stats 2020'!I20</f>
        <v>54.00009</v>
      </c>
      <c r="W3" s="100">
        <f>'Stats 2021'!I20</f>
        <v>32.00009</v>
      </c>
      <c r="X3" s="101">
        <f>'Stats 2022'!I20</f>
        <v>38.00009</v>
      </c>
      <c r="Y3" s="101">
        <f>'Stats 2023'!$I$20</f>
        <v>37.00009</v>
      </c>
      <c r="Z3" s="100">
        <f>'Stats 2024'!I20</f>
        <v>38.00009</v>
      </c>
      <c r="AA3" s="101">
        <f>'Stats 2025'!I20</f>
        <v>36.00009</v>
      </c>
      <c r="AB3" s="100">
        <f>'Stats 2026'!I20</f>
        <v>29.00009</v>
      </c>
      <c r="AC3" s="99">
        <v>36</v>
      </c>
      <c r="AD3" s="99">
        <v>48</v>
      </c>
      <c r="AE3" s="99">
        <v>59</v>
      </c>
      <c r="AF3" s="99">
        <f ca="1">AF4</f>
        <v>47</v>
      </c>
      <c r="AG3" s="99">
        <f ca="1">AG2</f>
        <v>66</v>
      </c>
      <c r="AH3" s="99">
        <f ca="1">AH4</f>
        <v>42</v>
      </c>
      <c r="AI3" s="99">
        <f ca="1">AI4</f>
        <v>46</v>
      </c>
      <c r="AJ3" s="99">
        <f ca="1">AJ2</f>
        <v>53</v>
      </c>
      <c r="AK3" s="100">
        <f ca="1">AK2</f>
        <v>49</v>
      </c>
      <c r="AL3" s="100">
        <f ca="1">AL2</f>
        <v>43</v>
      </c>
      <c r="AM3" s="100">
        <f ca="1">AM2</f>
        <v>42</v>
      </c>
      <c r="AN3" s="99">
        <f t="shared" ref="AN3:AN7" ca="1" si="10">SUM(AC3:AM3)</f>
        <v>531</v>
      </c>
      <c r="AO3" s="140">
        <v>100</v>
      </c>
      <c r="AP3" s="140">
        <v>140</v>
      </c>
      <c r="AQ3" s="140">
        <f>'Stats 2018'!O10</f>
        <v>262</v>
      </c>
      <c r="AR3" s="140">
        <f>'Stats 2019'!$S$20</f>
        <v>116.25</v>
      </c>
      <c r="AS3" s="140">
        <f>'Stats 2020'!$S$20</f>
        <v>187.5</v>
      </c>
      <c r="AT3" s="140">
        <f>'Stats 2021'!S20</f>
        <v>120</v>
      </c>
      <c r="AU3" s="140">
        <f>'Stats 2022'!S20</f>
        <v>114</v>
      </c>
      <c r="AV3" s="140">
        <f>'Stats 2023'!S20</f>
        <v>215</v>
      </c>
      <c r="AW3" s="140">
        <f>'Stats 2024'!S20</f>
        <v>158</v>
      </c>
      <c r="AX3" s="140">
        <f>'Stats 2025'!S20</f>
        <v>117</v>
      </c>
      <c r="AY3" s="140">
        <f>'Stats 2026'!S20</f>
        <v>201.75</v>
      </c>
      <c r="AZ3" s="140">
        <f t="shared" ref="AZ3:AZ7" si="11">SUM(AO3:AY3)</f>
        <v>1731.5</v>
      </c>
      <c r="BA3" s="99">
        <f t="shared" si="5"/>
        <v>9</v>
      </c>
      <c r="BB3" s="99">
        <f t="shared" si="5"/>
        <v>12</v>
      </c>
      <c r="BC3" s="99">
        <f t="shared" si="5"/>
        <v>20</v>
      </c>
      <c r="BD3" s="99">
        <v>8</v>
      </c>
      <c r="BE3" s="103">
        <f t="shared" ca="1" si="6"/>
        <v>11.99991</v>
      </c>
      <c r="BF3" s="103">
        <f t="shared" ca="1" si="6"/>
        <v>9.9999099999999999</v>
      </c>
      <c r="BG3" s="103">
        <f t="shared" ca="1" si="6"/>
        <v>7.9999099999999999</v>
      </c>
      <c r="BH3" s="103">
        <f t="shared" ca="1" si="7"/>
        <v>15.99991</v>
      </c>
      <c r="BI3" s="103">
        <f t="shared" ca="1" si="7"/>
        <v>10.99991</v>
      </c>
      <c r="BJ3" s="103">
        <f t="shared" ca="1" si="7"/>
        <v>6.9999099999999999</v>
      </c>
      <c r="BK3" s="103">
        <f t="shared" ca="1" si="7"/>
        <v>12.99991</v>
      </c>
      <c r="BN3" s="206">
        <f t="shared" ref="BN3:BN7" si="12">SUM(S3:AB3)</f>
        <v>378.00072</v>
      </c>
      <c r="BO3" s="206">
        <f t="shared" ref="BO3:BO7" si="13">SUM(T3:AB3)</f>
        <v>342.00072</v>
      </c>
      <c r="BP3" s="214">
        <f t="shared" ref="BP3:BP8" si="14">SUM(U3:AB3)</f>
        <v>303.00072</v>
      </c>
      <c r="BQ3" s="215">
        <f t="shared" ref="BQ3:BQ7" si="15">SUM(V3:AB3)</f>
        <v>264.00063</v>
      </c>
      <c r="BR3" s="215">
        <f t="shared" ref="BR3:BR7" si="16">SUM(W3:AB3)</f>
        <v>210.00054</v>
      </c>
      <c r="BS3" s="215">
        <f t="shared" ref="BS3:BS7" si="17">SUM(X3:AB3)</f>
        <v>178.00045</v>
      </c>
      <c r="BT3" s="215">
        <f t="shared" ref="BT3:BT8" si="18">SUM(Y3:AB3)</f>
        <v>140.00036</v>
      </c>
      <c r="BU3" s="215">
        <f t="shared" ref="BU3:BU8" si="19">SUM(Z3:AB3)</f>
        <v>103.00027</v>
      </c>
      <c r="BV3" s="215">
        <f t="shared" ref="BV3:BV7" si="20">SUM(AA3:AB3)</f>
        <v>65.00018</v>
      </c>
    </row>
    <row r="4" spans="1:74" ht="12">
      <c r="A4" s="94">
        <f t="shared" si="0"/>
        <v>3</v>
      </c>
      <c r="B4" s="99" t="s">
        <v>0</v>
      </c>
      <c r="C4" s="103">
        <f t="shared" ref="C4:C7" si="21">SUM(R4:AB4)</f>
        <v>371.00045999999998</v>
      </c>
      <c r="D4" s="103" t="s">
        <v>100</v>
      </c>
      <c r="E4" s="98">
        <f t="shared" ca="1" si="1"/>
        <v>0.69868259887005646</v>
      </c>
      <c r="F4" s="98">
        <f t="shared" si="2"/>
        <v>0.77777777777777779</v>
      </c>
      <c r="G4" s="98">
        <v>0.74509803921568629</v>
      </c>
      <c r="H4" s="98">
        <v>0.74576271186440679</v>
      </c>
      <c r="I4" s="98">
        <f t="shared" ca="1" si="8"/>
        <v>0.70212914893617018</v>
      </c>
      <c r="J4" s="98">
        <f t="shared" ca="1" si="8"/>
        <v>0.8333343939393939</v>
      </c>
      <c r="K4" s="98">
        <f t="shared" ca="1" si="8"/>
        <v>0.73809690476190482</v>
      </c>
      <c r="L4" s="98">
        <f t="shared" ca="1" si="8"/>
        <v>0.45652326086956524</v>
      </c>
      <c r="M4" s="98">
        <f t="shared" ca="1" si="8"/>
        <v>0.39622773584905663</v>
      </c>
      <c r="N4" s="97">
        <f t="shared" ca="1" si="8"/>
        <v>0.81632795918367351</v>
      </c>
      <c r="O4" s="97">
        <f t="shared" ca="1" si="8"/>
        <v>0.83720976744186049</v>
      </c>
      <c r="P4" s="98">
        <f t="shared" ca="1" si="9"/>
        <v>0.54761952380952383</v>
      </c>
      <c r="Q4" s="204">
        <f t="shared" si="4"/>
        <v>1964</v>
      </c>
      <c r="R4" s="99">
        <v>28</v>
      </c>
      <c r="S4" s="99">
        <v>38</v>
      </c>
      <c r="T4" s="99">
        <f>'Stats 2018'!E9</f>
        <v>45</v>
      </c>
      <c r="U4" s="100">
        <f>'Stats 2019'!E20</f>
        <v>33.000070000000001</v>
      </c>
      <c r="V4" s="100">
        <f>'Stats 2020'!E20</f>
        <v>55.000070000000001</v>
      </c>
      <c r="W4" s="100">
        <f>'Stats 2021'!E20</f>
        <v>31.000070000000001</v>
      </c>
      <c r="X4" s="100">
        <f>'Stats 2022'!E20</f>
        <v>21.000070000000001</v>
      </c>
      <c r="Y4" s="100">
        <f>'Stats 2023'!$E$20</f>
        <v>21.000070000000001</v>
      </c>
      <c r="Z4" s="101">
        <f>'Stats 2024'!E20</f>
        <v>40.000070000000001</v>
      </c>
      <c r="AA4" s="101">
        <f>'Stats 2025'!E20</f>
        <v>36.000019999999999</v>
      </c>
      <c r="AB4" s="100">
        <f>'Stats 2026'!E20</f>
        <v>23.000019999999999</v>
      </c>
      <c r="AC4" s="99">
        <v>36</v>
      </c>
      <c r="AD4" s="99">
        <v>48</v>
      </c>
      <c r="AE4" s="99">
        <v>59</v>
      </c>
      <c r="AF4" s="99">
        <f ca="1">AF5</f>
        <v>47</v>
      </c>
      <c r="AG4" s="99">
        <f ca="1">AG2</f>
        <v>66</v>
      </c>
      <c r="AH4" s="99">
        <f ca="1">AH5</f>
        <v>42</v>
      </c>
      <c r="AI4" s="99">
        <f ca="1">AI5</f>
        <v>46</v>
      </c>
      <c r="AJ4" s="99">
        <f ca="1">AJ5</f>
        <v>53</v>
      </c>
      <c r="AK4" s="100">
        <f ca="1">AK5</f>
        <v>49</v>
      </c>
      <c r="AL4" s="100">
        <f t="shared" ref="AL4:AM7" ca="1" si="22">AL3</f>
        <v>43</v>
      </c>
      <c r="AM4" s="100">
        <f t="shared" ca="1" si="22"/>
        <v>42</v>
      </c>
      <c r="AN4" s="99">
        <f t="shared" ca="1" si="10"/>
        <v>531</v>
      </c>
      <c r="AO4" s="140">
        <v>110</v>
      </c>
      <c r="AP4" s="140">
        <v>125</v>
      </c>
      <c r="AQ4" s="140">
        <f>'Stats 2018'!O12</f>
        <v>216.5</v>
      </c>
      <c r="AR4" s="140">
        <f>'Stats 2019'!$O$20</f>
        <v>190.5</v>
      </c>
      <c r="AS4" s="140">
        <f>'Stats 2020'!$O$20</f>
        <v>215</v>
      </c>
      <c r="AT4" s="140">
        <f>'Stats 2021'!O20</f>
        <v>132.5</v>
      </c>
      <c r="AU4" s="140">
        <f>'Stats 2022'!O20</f>
        <v>318.5</v>
      </c>
      <c r="AV4" s="140">
        <f>'Stats 2023'!O20</f>
        <v>407</v>
      </c>
      <c r="AW4" s="140">
        <f>'Stats 2024'!O20</f>
        <v>138</v>
      </c>
      <c r="AX4" s="140">
        <f>'Stats 2025'!O20</f>
        <v>111</v>
      </c>
      <c r="AY4" s="140">
        <f>'Stats 2026'!O20</f>
        <v>272.25</v>
      </c>
      <c r="AZ4" s="140">
        <f t="shared" si="11"/>
        <v>2236.25</v>
      </c>
      <c r="BA4" s="99">
        <f t="shared" si="5"/>
        <v>8</v>
      </c>
      <c r="BB4" s="99">
        <f t="shared" si="5"/>
        <v>10</v>
      </c>
      <c r="BC4" s="99">
        <f t="shared" si="5"/>
        <v>14</v>
      </c>
      <c r="BD4" s="99">
        <v>14</v>
      </c>
      <c r="BE4" s="103">
        <f t="shared" ca="1" si="6"/>
        <v>10.999929999999999</v>
      </c>
      <c r="BF4" s="103">
        <f t="shared" ca="1" si="6"/>
        <v>10.999929999999999</v>
      </c>
      <c r="BG4" s="103">
        <f t="shared" ca="1" si="6"/>
        <v>24.999929999999999</v>
      </c>
      <c r="BH4" s="103">
        <f t="shared" ca="1" si="7"/>
        <v>31.999929999999999</v>
      </c>
      <c r="BI4" s="103">
        <f t="shared" ca="1" si="7"/>
        <v>8.9999299999999991</v>
      </c>
      <c r="BJ4" s="103">
        <f t="shared" ca="1" si="7"/>
        <v>6.9999800000000008</v>
      </c>
      <c r="BK4" s="103">
        <f t="shared" ca="1" si="7"/>
        <v>18.999980000000001</v>
      </c>
      <c r="BN4" s="206">
        <f t="shared" si="12"/>
        <v>343.00045999999998</v>
      </c>
      <c r="BO4" s="206">
        <f t="shared" si="13"/>
        <v>305.00045999999998</v>
      </c>
      <c r="BP4" s="206">
        <f t="shared" si="14"/>
        <v>260.00045999999998</v>
      </c>
      <c r="BQ4" s="213">
        <f t="shared" si="15"/>
        <v>227.00039000000001</v>
      </c>
      <c r="BR4" s="213">
        <f t="shared" si="16"/>
        <v>172.00032000000002</v>
      </c>
      <c r="BS4" s="213">
        <f t="shared" si="17"/>
        <v>141.00025000000002</v>
      </c>
      <c r="BT4" s="213">
        <f t="shared" si="18"/>
        <v>120.00018</v>
      </c>
      <c r="BU4" s="213">
        <f t="shared" si="19"/>
        <v>99.000110000000006</v>
      </c>
      <c r="BV4" s="213">
        <f t="shared" si="20"/>
        <v>59.000039999999998</v>
      </c>
    </row>
    <row r="5" spans="1:74" ht="12">
      <c r="A5" s="94">
        <f t="shared" si="0"/>
        <v>4</v>
      </c>
      <c r="B5" s="99" t="s">
        <v>1</v>
      </c>
      <c r="C5" s="103">
        <f t="shared" si="21"/>
        <v>344.00058000000001</v>
      </c>
      <c r="D5" s="103" t="s">
        <v>77</v>
      </c>
      <c r="E5" s="98">
        <f t="shared" ca="1" si="1"/>
        <v>0.64783536723163848</v>
      </c>
      <c r="F5" s="98">
        <f t="shared" si="2"/>
        <v>0.83333333333333337</v>
      </c>
      <c r="G5" s="98">
        <v>0.66666666666666663</v>
      </c>
      <c r="H5" s="98">
        <v>0.72881355932203384</v>
      </c>
      <c r="I5" s="97">
        <f t="shared" ca="1" si="8"/>
        <v>0.85106553191489354</v>
      </c>
      <c r="J5" s="98">
        <f t="shared" ca="1" si="8"/>
        <v>0.80303151515151505</v>
      </c>
      <c r="K5" s="98">
        <f t="shared" ca="1" si="8"/>
        <v>0.71428761904761906</v>
      </c>
      <c r="L5" s="98">
        <f t="shared" ca="1" si="8"/>
        <v>0.54347999999999996</v>
      </c>
      <c r="M5" s="98">
        <f t="shared" ca="1" si="8"/>
        <v>0.49056754716981132</v>
      </c>
      <c r="N5" s="98">
        <f t="shared" ca="1" si="8"/>
        <v>0.44898122448979594</v>
      </c>
      <c r="O5" s="104">
        <f t="shared" ca="1" si="8"/>
        <v>0.48837325581395352</v>
      </c>
      <c r="P5" s="98">
        <f t="shared" ca="1" si="9"/>
        <v>0.4523821428571429</v>
      </c>
      <c r="Q5" s="204">
        <f t="shared" si="4"/>
        <v>2173.0699999999997</v>
      </c>
      <c r="R5" s="95">
        <v>30</v>
      </c>
      <c r="S5" s="99">
        <v>34</v>
      </c>
      <c r="T5" s="99">
        <f>'Stats 2018'!E10</f>
        <v>44</v>
      </c>
      <c r="U5" s="101">
        <f>'Stats 2019'!G20</f>
        <v>40.000079999999997</v>
      </c>
      <c r="V5" s="100">
        <f>'Stats 2020'!G20</f>
        <v>53.000079999999997</v>
      </c>
      <c r="W5" s="100">
        <f>'Stats 2021'!G20</f>
        <v>30.000080000000001</v>
      </c>
      <c r="X5" s="100">
        <f>'Stats 2022'!G20</f>
        <v>25.000080000000001</v>
      </c>
      <c r="Y5" s="100">
        <f>'Stats 2023'!$G$20</f>
        <v>26.000080000000001</v>
      </c>
      <c r="Z5" s="100">
        <f>'Stats 2024'!G20</f>
        <v>22.000080000000001</v>
      </c>
      <c r="AA5" s="100">
        <f>'Stats 2025'!G20</f>
        <v>21.000050000000002</v>
      </c>
      <c r="AB5" s="100">
        <f>'Stats 2026'!G20</f>
        <v>19.000050000000002</v>
      </c>
      <c r="AC5" s="99">
        <v>36</v>
      </c>
      <c r="AD5" s="99">
        <v>48</v>
      </c>
      <c r="AE5" s="99">
        <v>59</v>
      </c>
      <c r="AF5" s="99">
        <f ca="1">AF2</f>
        <v>47</v>
      </c>
      <c r="AG5" s="99">
        <f ca="1">AG2</f>
        <v>66</v>
      </c>
      <c r="AH5" s="99">
        <f ca="1">AH2</f>
        <v>42</v>
      </c>
      <c r="AI5" s="99">
        <f ca="1">AI2</f>
        <v>46</v>
      </c>
      <c r="AJ5" s="99">
        <f ca="1">AJ3</f>
        <v>53</v>
      </c>
      <c r="AK5" s="100">
        <f ca="1">AK3</f>
        <v>49</v>
      </c>
      <c r="AL5" s="100">
        <f t="shared" ca="1" si="22"/>
        <v>43</v>
      </c>
      <c r="AM5" s="100">
        <f t="shared" ca="1" si="22"/>
        <v>42</v>
      </c>
      <c r="AN5" s="99">
        <f t="shared" ca="1" si="10"/>
        <v>531</v>
      </c>
      <c r="AO5" s="140">
        <v>80</v>
      </c>
      <c r="AP5" s="140">
        <v>160</v>
      </c>
      <c r="AQ5" s="140">
        <f>'Stats 2018'!O11</f>
        <v>215</v>
      </c>
      <c r="AR5" s="140">
        <f>'Stats 2019'!$Q$20</f>
        <v>97</v>
      </c>
      <c r="AS5" s="140">
        <f>'Stats 2020'!$Q$20</f>
        <v>193</v>
      </c>
      <c r="AT5" s="140">
        <f>'Stats 2021'!Q20</f>
        <v>140</v>
      </c>
      <c r="AU5" s="140">
        <f>'Stats 2022'!Q20</f>
        <v>257</v>
      </c>
      <c r="AV5" s="140">
        <f>'Stats 2023'!Q20+33.07</f>
        <v>365.07</v>
      </c>
      <c r="AW5" s="140">
        <f>'Stats 2024'!Q20</f>
        <v>360</v>
      </c>
      <c r="AX5" s="140">
        <f>'Stats 2025'!Q20</f>
        <v>306</v>
      </c>
      <c r="AY5" s="140">
        <f>'Stats 2026'!Q20</f>
        <v>321</v>
      </c>
      <c r="AZ5" s="140">
        <f t="shared" si="11"/>
        <v>2494.0699999999997</v>
      </c>
      <c r="BA5" s="99">
        <f t="shared" si="5"/>
        <v>6</v>
      </c>
      <c r="BB5" s="99">
        <f t="shared" si="5"/>
        <v>14</v>
      </c>
      <c r="BC5" s="99">
        <f t="shared" si="5"/>
        <v>15</v>
      </c>
      <c r="BD5" s="99">
        <v>7</v>
      </c>
      <c r="BE5" s="103">
        <f t="shared" ca="1" si="6"/>
        <v>12.999920000000003</v>
      </c>
      <c r="BF5" s="103">
        <f t="shared" ca="1" si="6"/>
        <v>11.999919999999999</v>
      </c>
      <c r="BG5" s="103">
        <f t="shared" ca="1" si="6"/>
        <v>20.999919999999999</v>
      </c>
      <c r="BH5" s="103">
        <f t="shared" ca="1" si="7"/>
        <v>26.999919999999999</v>
      </c>
      <c r="BI5" s="103">
        <f t="shared" ca="1" si="7"/>
        <v>26.999919999999999</v>
      </c>
      <c r="BJ5" s="103">
        <f t="shared" ca="1" si="7"/>
        <v>21.999949999999998</v>
      </c>
      <c r="BK5" s="103">
        <f t="shared" ca="1" si="7"/>
        <v>22.999949999999998</v>
      </c>
      <c r="BN5" s="206">
        <f t="shared" si="12"/>
        <v>314.00057999999996</v>
      </c>
      <c r="BO5" s="206">
        <f t="shared" si="13"/>
        <v>280.00057999999996</v>
      </c>
      <c r="BP5" s="206">
        <f t="shared" si="14"/>
        <v>236.00057999999996</v>
      </c>
      <c r="BQ5" s="213">
        <f t="shared" si="15"/>
        <v>196.00049999999999</v>
      </c>
      <c r="BR5" s="213">
        <f t="shared" si="16"/>
        <v>143.00042000000002</v>
      </c>
      <c r="BS5" s="213">
        <f t="shared" si="17"/>
        <v>113.00034000000001</v>
      </c>
      <c r="BT5" s="213">
        <f t="shared" si="18"/>
        <v>88.000260000000011</v>
      </c>
      <c r="BU5" s="213">
        <f t="shared" si="19"/>
        <v>62.00018</v>
      </c>
      <c r="BV5" s="213">
        <f t="shared" si="20"/>
        <v>40.000100000000003</v>
      </c>
    </row>
    <row r="6" spans="1:74" ht="12.9">
      <c r="A6" s="94">
        <f t="shared" si="0"/>
        <v>5</v>
      </c>
      <c r="B6" s="99" t="s">
        <v>4</v>
      </c>
      <c r="C6" s="103">
        <f t="shared" si="21"/>
        <v>238.00041999999996</v>
      </c>
      <c r="D6" s="103" t="s">
        <v>80</v>
      </c>
      <c r="E6" s="98">
        <f t="shared" ca="1" si="1"/>
        <v>0.4482117137476459</v>
      </c>
      <c r="F6" s="98">
        <f t="shared" si="2"/>
        <v>0.77777777777777779</v>
      </c>
      <c r="G6" s="104">
        <v>0.27450980392156865</v>
      </c>
      <c r="H6" s="202">
        <v>3.3898305084745763E-2</v>
      </c>
      <c r="I6" s="104">
        <f t="shared" ca="1" si="8"/>
        <v>4.2554468085106385E-2</v>
      </c>
      <c r="J6" s="98">
        <f t="shared" ca="1" si="8"/>
        <v>0.39394030303030303</v>
      </c>
      <c r="K6" s="98">
        <f t="shared" ca="1" si="8"/>
        <v>0.61904880952380958</v>
      </c>
      <c r="L6" s="98">
        <f t="shared" ca="1" si="8"/>
        <v>0.67391413043478265</v>
      </c>
      <c r="M6" s="98">
        <f t="shared" ca="1" si="8"/>
        <v>0.60377452830188683</v>
      </c>
      <c r="N6" s="98">
        <f t="shared" ca="1" si="8"/>
        <v>0.69387857142857146</v>
      </c>
      <c r="O6" s="98">
        <f t="shared" ca="1" si="8"/>
        <v>0.65116395348837208</v>
      </c>
      <c r="P6" s="104">
        <f t="shared" ca="1" si="9"/>
        <v>0.35714404761904761</v>
      </c>
      <c r="Q6" s="204">
        <f t="shared" si="4"/>
        <v>2095.5</v>
      </c>
      <c r="R6" s="99">
        <v>28</v>
      </c>
      <c r="S6" s="99">
        <v>14</v>
      </c>
      <c r="T6" s="99">
        <f>'Stats 2018'!E13</f>
        <v>2</v>
      </c>
      <c r="U6" s="100">
        <f>'Stats 2019'!F20</f>
        <v>2.0000599999999999</v>
      </c>
      <c r="V6" s="100">
        <f>'Stats 2020'!F20</f>
        <v>26.000060000000001</v>
      </c>
      <c r="W6" s="100">
        <f>'Stats 2021'!F20</f>
        <v>26.000050000000002</v>
      </c>
      <c r="X6" s="100">
        <f>'Stats 2022'!F20</f>
        <v>31.000050000000002</v>
      </c>
      <c r="Y6" s="100">
        <f>'Stats 2023'!$F$20</f>
        <v>32.000050000000002</v>
      </c>
      <c r="Z6" s="100">
        <f>'Stats 2024'!F20</f>
        <v>34.000050000000002</v>
      </c>
      <c r="AA6" s="100">
        <f>'Stats 2025'!F20</f>
        <v>28.000050000000002</v>
      </c>
      <c r="AB6" s="100">
        <f>'Stats 2026'!F20</f>
        <v>15.00005</v>
      </c>
      <c r="AC6" s="99">
        <v>36</v>
      </c>
      <c r="AD6" s="99">
        <v>48</v>
      </c>
      <c r="AE6" s="99">
        <v>59</v>
      </c>
      <c r="AF6" s="99">
        <f ca="1">AF7</f>
        <v>47</v>
      </c>
      <c r="AG6" s="99">
        <f ca="1">AG2</f>
        <v>66</v>
      </c>
      <c r="AH6" s="99">
        <f ca="1">AH7</f>
        <v>42</v>
      </c>
      <c r="AI6" s="99">
        <f ca="1">AI7</f>
        <v>46</v>
      </c>
      <c r="AJ6" s="99">
        <f ca="1">AJ7</f>
        <v>53</v>
      </c>
      <c r="AK6" s="100">
        <f ca="1">AK4</f>
        <v>49</v>
      </c>
      <c r="AL6" s="100">
        <f t="shared" ca="1" si="22"/>
        <v>43</v>
      </c>
      <c r="AM6" s="100">
        <f t="shared" ca="1" si="22"/>
        <v>42</v>
      </c>
      <c r="AN6" s="99">
        <f t="shared" ca="1" si="10"/>
        <v>531</v>
      </c>
      <c r="AO6" s="140">
        <v>100</v>
      </c>
      <c r="AP6" s="140">
        <v>190</v>
      </c>
      <c r="AQ6" s="140">
        <f>AQ7</f>
        <v>273</v>
      </c>
      <c r="AR6" s="140">
        <f>'Stats 2019'!$P$20</f>
        <v>201.5</v>
      </c>
      <c r="AS6" s="140">
        <f>'Stats 2020'!$P$20</f>
        <v>247.5</v>
      </c>
      <c r="AT6" s="140">
        <f>'Stats 2021'!P20</f>
        <v>187.5</v>
      </c>
      <c r="AU6" s="140">
        <f>'Stats 2022'!P20</f>
        <v>195</v>
      </c>
      <c r="AV6" s="140">
        <f>'Stats 2023'!P20</f>
        <v>269</v>
      </c>
      <c r="AW6" s="140">
        <f>'Stats 2024'!P20</f>
        <v>214</v>
      </c>
      <c r="AX6" s="140">
        <f>'Stats 2025'!P20</f>
        <v>218</v>
      </c>
      <c r="AY6" s="140">
        <f>'Stats 2026'!P20</f>
        <v>382</v>
      </c>
      <c r="AZ6" s="140">
        <f t="shared" si="11"/>
        <v>2477.5</v>
      </c>
      <c r="BA6" s="99">
        <f t="shared" si="5"/>
        <v>8</v>
      </c>
      <c r="BB6" s="99">
        <f t="shared" si="5"/>
        <v>34</v>
      </c>
      <c r="BC6" s="99">
        <f t="shared" si="5"/>
        <v>57</v>
      </c>
      <c r="BD6" s="99">
        <v>45</v>
      </c>
      <c r="BE6" s="103">
        <f t="shared" ca="1" si="6"/>
        <v>39.999939999999995</v>
      </c>
      <c r="BF6" s="103">
        <f t="shared" ca="1" si="6"/>
        <v>15.999949999999998</v>
      </c>
      <c r="BG6" s="103">
        <f t="shared" ca="1" si="6"/>
        <v>14.999949999999998</v>
      </c>
      <c r="BH6" s="103">
        <f t="shared" ca="1" si="7"/>
        <v>20.999949999999998</v>
      </c>
      <c r="BI6" s="103">
        <f t="shared" ca="1" si="7"/>
        <v>14.999949999999998</v>
      </c>
      <c r="BJ6" s="103">
        <f t="shared" ca="1" si="7"/>
        <v>14.999949999999998</v>
      </c>
      <c r="BK6" s="103">
        <f t="shared" ca="1" si="7"/>
        <v>26.999949999999998</v>
      </c>
      <c r="BN6" s="206">
        <f t="shared" si="12"/>
        <v>210.00041999999996</v>
      </c>
      <c r="BO6" s="206">
        <f t="shared" si="13"/>
        <v>196.00042000000002</v>
      </c>
      <c r="BP6" s="206">
        <f t="shared" si="14"/>
        <v>194.00042000000002</v>
      </c>
      <c r="BQ6" s="213">
        <f t="shared" si="15"/>
        <v>192.00036</v>
      </c>
      <c r="BR6" s="213">
        <f t="shared" si="16"/>
        <v>166.00029999999998</v>
      </c>
      <c r="BS6" s="213">
        <f t="shared" si="17"/>
        <v>140.00024999999999</v>
      </c>
      <c r="BT6" s="213">
        <f t="shared" si="18"/>
        <v>109.00020000000001</v>
      </c>
      <c r="BU6" s="213">
        <f t="shared" si="19"/>
        <v>77.000150000000005</v>
      </c>
      <c r="BV6" s="213">
        <f t="shared" si="20"/>
        <v>43.000100000000003</v>
      </c>
    </row>
    <row r="7" spans="1:74" ht="12">
      <c r="A7" s="94">
        <f t="shared" si="0"/>
        <v>6</v>
      </c>
      <c r="B7" s="99" t="s">
        <v>2</v>
      </c>
      <c r="C7" s="103">
        <f t="shared" si="21"/>
        <v>223.00045999999995</v>
      </c>
      <c r="D7" s="103" t="s">
        <v>78</v>
      </c>
      <c r="E7" s="104">
        <f t="shared" ca="1" si="1"/>
        <v>0.41996320150659122</v>
      </c>
      <c r="F7" s="104">
        <f t="shared" si="2"/>
        <v>0.75</v>
      </c>
      <c r="G7" s="98">
        <v>0.70588235294117652</v>
      </c>
      <c r="H7" s="98">
        <v>0.32203389830508472</v>
      </c>
      <c r="I7" s="98">
        <f t="shared" ca="1" si="8"/>
        <v>0.21276702127659575</v>
      </c>
      <c r="J7" s="104">
        <f t="shared" ca="1" si="8"/>
        <v>0.37878863636363641</v>
      </c>
      <c r="K7" s="104">
        <f t="shared" ca="1" si="8"/>
        <v>0.45238238095238098</v>
      </c>
      <c r="L7" s="104">
        <f t="shared" ca="1" si="8"/>
        <v>0.15217521739130435</v>
      </c>
      <c r="M7" s="104">
        <f t="shared" ca="1" si="8"/>
        <v>0.28301999999999999</v>
      </c>
      <c r="N7" s="104">
        <f t="shared" ca="1" si="8"/>
        <v>0.40816448979591841</v>
      </c>
      <c r="O7" s="98">
        <f t="shared" ca="1" si="8"/>
        <v>0.53488511627906976</v>
      </c>
      <c r="P7" s="98">
        <f t="shared" ca="1" si="9"/>
        <v>0.52381095238095243</v>
      </c>
      <c r="Q7" s="204">
        <f t="shared" si="4"/>
        <v>2791</v>
      </c>
      <c r="R7" s="99">
        <v>27</v>
      </c>
      <c r="S7" s="99">
        <v>36</v>
      </c>
      <c r="T7" s="99">
        <f>'Stats 2018'!E12</f>
        <v>19</v>
      </c>
      <c r="U7" s="100">
        <f>'Stats 2019'!H20</f>
        <v>10.00005</v>
      </c>
      <c r="V7" s="100">
        <f>'Stats 2020'!H20</f>
        <v>25.000050000000002</v>
      </c>
      <c r="W7" s="100">
        <f>'Stats 2021'!H20</f>
        <v>19.000060000000001</v>
      </c>
      <c r="X7" s="100">
        <f>'Stats 2022'!H20</f>
        <v>7.0000600000000004</v>
      </c>
      <c r="Y7" s="100">
        <f>'Stats 2023'!$H$20</f>
        <v>15.00006</v>
      </c>
      <c r="Z7" s="100">
        <f>'Stats 2024'!H20</f>
        <v>20.000060000000001</v>
      </c>
      <c r="AA7" s="100">
        <f>'Stats 2025'!H20</f>
        <v>23.000060000000001</v>
      </c>
      <c r="AB7" s="100">
        <f>'Stats 2026'!H20</f>
        <v>22.000060000000001</v>
      </c>
      <c r="AC7" s="99">
        <v>36</v>
      </c>
      <c r="AD7" s="99">
        <v>48</v>
      </c>
      <c r="AE7" s="99">
        <v>59</v>
      </c>
      <c r="AF7" s="99">
        <f ca="1">AF3</f>
        <v>47</v>
      </c>
      <c r="AG7" s="99">
        <f ca="1">AG2</f>
        <v>66</v>
      </c>
      <c r="AH7" s="99">
        <f ca="1">AH3</f>
        <v>42</v>
      </c>
      <c r="AI7" s="99">
        <f ca="1">AI3</f>
        <v>46</v>
      </c>
      <c r="AJ7" s="99">
        <f ca="1">AJ4</f>
        <v>53</v>
      </c>
      <c r="AK7" s="100">
        <f ca="1">AK6</f>
        <v>49</v>
      </c>
      <c r="AL7" s="100">
        <f t="shared" ca="1" si="22"/>
        <v>43</v>
      </c>
      <c r="AM7" s="100">
        <f t="shared" ca="1" si="22"/>
        <v>42</v>
      </c>
      <c r="AN7" s="99">
        <f t="shared" ca="1" si="10"/>
        <v>531</v>
      </c>
      <c r="AO7" s="140">
        <v>110</v>
      </c>
      <c r="AP7" s="140">
        <v>140</v>
      </c>
      <c r="AQ7" s="140">
        <f>'Stats 2018'!O8</f>
        <v>273</v>
      </c>
      <c r="AR7" s="140">
        <f>'Stats 2019'!$R$20</f>
        <v>201.5</v>
      </c>
      <c r="AS7" s="140">
        <f>'Stats 2020'!$R$20</f>
        <v>247.5</v>
      </c>
      <c r="AT7" s="140">
        <f>'Stats 2021'!R20</f>
        <v>250</v>
      </c>
      <c r="AU7" s="140">
        <f>'Stats 2022'!R20</f>
        <v>330.5</v>
      </c>
      <c r="AV7" s="140">
        <f>'Stats 2023'!R20</f>
        <v>476</v>
      </c>
      <c r="AW7" s="140">
        <f>'Stats 2023'!R20</f>
        <v>476</v>
      </c>
      <c r="AX7" s="140">
        <f>'Stats 2025'!R20</f>
        <v>286.5</v>
      </c>
      <c r="AY7" s="140">
        <f>'Stats 2026'!R20</f>
        <v>282</v>
      </c>
      <c r="AZ7" s="140">
        <f t="shared" si="11"/>
        <v>3073</v>
      </c>
      <c r="BA7" s="99">
        <f t="shared" si="5"/>
        <v>9</v>
      </c>
      <c r="BB7" s="99">
        <f t="shared" si="5"/>
        <v>12</v>
      </c>
      <c r="BC7" s="99">
        <f t="shared" si="5"/>
        <v>40</v>
      </c>
      <c r="BD7" s="99">
        <v>37</v>
      </c>
      <c r="BE7" s="103">
        <f t="shared" ca="1" si="6"/>
        <v>40.999949999999998</v>
      </c>
      <c r="BF7" s="103">
        <f t="shared" ca="1" si="6"/>
        <v>22.999939999999999</v>
      </c>
      <c r="BG7" s="103">
        <f t="shared" ca="1" si="6"/>
        <v>38.999940000000002</v>
      </c>
      <c r="BH7" s="103">
        <f t="shared" ca="1" si="7"/>
        <v>37.999940000000002</v>
      </c>
      <c r="BI7" s="103">
        <f t="shared" ca="1" si="7"/>
        <v>28.999939999999999</v>
      </c>
      <c r="BJ7" s="103">
        <f t="shared" ca="1" si="7"/>
        <v>19.999939999999999</v>
      </c>
      <c r="BK7" s="103">
        <f t="shared" ca="1" si="7"/>
        <v>19.999939999999999</v>
      </c>
      <c r="BN7" s="206">
        <f t="shared" si="12"/>
        <v>196.00045999999998</v>
      </c>
      <c r="BO7" s="206">
        <f t="shared" si="13"/>
        <v>160.00046</v>
      </c>
      <c r="BP7" s="206">
        <f t="shared" si="14"/>
        <v>141.00046</v>
      </c>
      <c r="BQ7" s="213">
        <f t="shared" si="15"/>
        <v>131.00041000000002</v>
      </c>
      <c r="BR7" s="213">
        <f t="shared" si="16"/>
        <v>106.00036000000001</v>
      </c>
      <c r="BS7" s="213">
        <f t="shared" si="17"/>
        <v>87.00030000000001</v>
      </c>
      <c r="BT7" s="213">
        <f t="shared" si="18"/>
        <v>80.000240000000005</v>
      </c>
      <c r="BU7" s="213">
        <f t="shared" si="19"/>
        <v>65.00018</v>
      </c>
      <c r="BV7" s="213">
        <f t="shared" si="20"/>
        <v>45.000120000000003</v>
      </c>
    </row>
    <row r="8" spans="1:74" ht="12" hidden="1">
      <c r="A8" s="173" t="e">
        <f t="shared" si="0"/>
        <v>#N/A</v>
      </c>
      <c r="B8" s="105" t="s">
        <v>33</v>
      </c>
      <c r="C8" s="105">
        <f>SUM(R8:U8)</f>
        <v>69</v>
      </c>
      <c r="D8" s="105"/>
      <c r="E8" s="106">
        <f ca="1">C8/SUM(AC8:AF8)</f>
        <v>0.43949044585987262</v>
      </c>
      <c r="F8" s="98">
        <f t="shared" si="2"/>
        <v>0.88888888888888884</v>
      </c>
      <c r="G8" s="106">
        <v>0.72549019607843135</v>
      </c>
      <c r="H8" s="106" t="s">
        <v>38</v>
      </c>
      <c r="I8" s="106" t="s">
        <v>38</v>
      </c>
      <c r="J8" s="106"/>
      <c r="K8" s="106"/>
      <c r="L8" s="98" t="e">
        <f>X8/AI8</f>
        <v>#DIV/0!</v>
      </c>
      <c r="M8" s="98"/>
      <c r="N8" s="98">
        <f ca="1">Z8/AK8</f>
        <v>0</v>
      </c>
      <c r="O8" s="98" t="e">
        <f>AA8/AL8</f>
        <v>#DIV/0!</v>
      </c>
      <c r="P8" s="98" t="e">
        <f>AC8/AN8</f>
        <v>#DIV/0!</v>
      </c>
      <c r="Q8" s="41">
        <f>SUM(AO8:AR8)</f>
        <v>248</v>
      </c>
      <c r="R8" s="105">
        <v>32</v>
      </c>
      <c r="S8" s="105">
        <v>37</v>
      </c>
      <c r="T8" s="105" t="s">
        <v>39</v>
      </c>
      <c r="U8" s="105" t="s">
        <v>38</v>
      </c>
      <c r="V8" s="105"/>
      <c r="W8" s="105"/>
      <c r="X8" s="105"/>
      <c r="Y8" s="105"/>
      <c r="Z8" s="105"/>
      <c r="AA8" s="105"/>
      <c r="AB8" s="105"/>
      <c r="AC8" s="105">
        <v>36</v>
      </c>
      <c r="AD8" s="105">
        <v>48</v>
      </c>
      <c r="AE8" s="105">
        <v>26</v>
      </c>
      <c r="AF8" s="105">
        <f ca="1">AF6</f>
        <v>47</v>
      </c>
      <c r="AG8" s="105"/>
      <c r="AH8" s="105"/>
      <c r="AI8" s="105"/>
      <c r="AJ8" s="105"/>
      <c r="AK8" s="100">
        <f ca="1">AK7</f>
        <v>49</v>
      </c>
      <c r="AL8" s="203"/>
      <c r="AM8" s="203"/>
      <c r="AN8" s="105"/>
      <c r="AO8" s="140">
        <v>65</v>
      </c>
      <c r="AP8" s="140">
        <v>130</v>
      </c>
      <c r="AQ8" s="140">
        <v>53</v>
      </c>
      <c r="AR8" s="140" t="s">
        <v>38</v>
      </c>
      <c r="AS8" s="140" t="s">
        <v>38</v>
      </c>
      <c r="AT8" s="142"/>
      <c r="AU8" s="142"/>
      <c r="AV8" s="142"/>
      <c r="AW8" s="142"/>
      <c r="AX8" s="142"/>
      <c r="AY8" s="140"/>
      <c r="AZ8" s="140">
        <f>SUM(AO8:AX8)</f>
        <v>248</v>
      </c>
      <c r="BP8" s="213">
        <f t="shared" si="14"/>
        <v>0</v>
      </c>
      <c r="BT8" s="213">
        <f t="shared" si="18"/>
        <v>0</v>
      </c>
      <c r="BU8" s="213">
        <f t="shared" si="19"/>
        <v>0</v>
      </c>
    </row>
    <row r="9" spans="1:74" ht="12">
      <c r="A9" s="99"/>
      <c r="B9" s="99" t="s">
        <v>69</v>
      </c>
      <c r="C9" s="103">
        <f>SUM(C2:C7)</f>
        <v>1999.0034399999997</v>
      </c>
      <c r="D9" s="99"/>
      <c r="E9" s="98">
        <f ca="1">C9/AN9</f>
        <v>0.62881517458320213</v>
      </c>
      <c r="F9" s="98">
        <f t="shared" si="2"/>
        <v>0.78947368421052633</v>
      </c>
      <c r="G9" s="98">
        <f>S9/AD9</f>
        <v>0.69097222222222221</v>
      </c>
      <c r="H9" s="98">
        <f>T9/AE9</f>
        <v>0.56497175141242939</v>
      </c>
      <c r="I9" s="98">
        <f ca="1">U9/AF9</f>
        <v>0.56737748226950346</v>
      </c>
      <c r="J9" s="98">
        <f ca="1">V9/AG9</f>
        <v>0.68939507575757575</v>
      </c>
      <c r="K9" s="98">
        <f ca="1">W9/AH9</f>
        <v>0.68650972222222206</v>
      </c>
      <c r="L9" s="98">
        <f ca="1">X9/AI9</f>
        <v>0.5652190217391303</v>
      </c>
      <c r="M9" s="98">
        <f ca="1">Y9/AJ9</f>
        <v>0.52201399371069168</v>
      </c>
      <c r="N9" s="98">
        <f ca="1">Z9/AK9</f>
        <v>0.64966139455782301</v>
      </c>
      <c r="O9" s="98">
        <f ca="1">AA9/AL9</f>
        <v>0.67442003875968992</v>
      </c>
      <c r="P9" s="98">
        <f ca="1">AB9/AM9</f>
        <v>0.56349353174603178</v>
      </c>
      <c r="Q9" s="140">
        <f>SUM(Q2:Q8)</f>
        <v>12241.57</v>
      </c>
      <c r="R9" s="103">
        <f t="shared" ref="R9:AA9" si="23">SUM(R2:R7)</f>
        <v>165</v>
      </c>
      <c r="S9" s="103">
        <f t="shared" si="23"/>
        <v>199</v>
      </c>
      <c r="T9" s="103">
        <f t="shared" si="23"/>
        <v>200</v>
      </c>
      <c r="U9" s="103">
        <f t="shared" si="23"/>
        <v>160.00044999999997</v>
      </c>
      <c r="V9" s="103">
        <f t="shared" si="23"/>
        <v>273.00045</v>
      </c>
      <c r="W9" s="103">
        <f t="shared" si="23"/>
        <v>173.00044999999997</v>
      </c>
      <c r="X9" s="103">
        <f t="shared" si="23"/>
        <v>156.00044999999997</v>
      </c>
      <c r="Y9" s="103">
        <f t="shared" si="23"/>
        <v>166.00044999999997</v>
      </c>
      <c r="Z9" s="103">
        <f t="shared" si="23"/>
        <v>191.00044999999997</v>
      </c>
      <c r="AA9" s="103">
        <f t="shared" si="23"/>
        <v>174.00037</v>
      </c>
      <c r="AB9" s="103">
        <f t="shared" ref="AB9" si="24">SUM(AB2:AB7)</f>
        <v>142.00037</v>
      </c>
      <c r="AC9" s="103">
        <f t="shared" ref="AC9:AN9" si="25">SUM(AC2:AC7)</f>
        <v>209</v>
      </c>
      <c r="AD9" s="103">
        <f t="shared" si="25"/>
        <v>288</v>
      </c>
      <c r="AE9" s="103">
        <f t="shared" si="25"/>
        <v>354</v>
      </c>
      <c r="AF9" s="103">
        <f t="shared" ca="1" si="25"/>
        <v>282</v>
      </c>
      <c r="AG9" s="103">
        <f t="shared" ca="1" si="25"/>
        <v>396</v>
      </c>
      <c r="AH9" s="103">
        <f t="shared" ca="1" si="25"/>
        <v>252</v>
      </c>
      <c r="AI9" s="103">
        <f t="shared" ca="1" si="25"/>
        <v>276</v>
      </c>
      <c r="AJ9" s="103">
        <f t="shared" ca="1" si="25"/>
        <v>318</v>
      </c>
      <c r="AK9" s="103">
        <f t="shared" ca="1" si="25"/>
        <v>294</v>
      </c>
      <c r="AL9" s="103">
        <f t="shared" ca="1" si="25"/>
        <v>258</v>
      </c>
      <c r="AM9" s="103">
        <f t="shared" ca="1" si="25"/>
        <v>252</v>
      </c>
      <c r="AN9" s="99">
        <f t="shared" ca="1" si="25"/>
        <v>3179</v>
      </c>
      <c r="AO9" s="140">
        <f>SUM(AO2:AO8)</f>
        <v>625</v>
      </c>
      <c r="AP9" s="140">
        <f>SUM(AP2:AP8)+25</f>
        <v>1000</v>
      </c>
      <c r="AQ9" s="140">
        <f>SUM(AQ2:AQ8)</f>
        <v>1441.5</v>
      </c>
      <c r="AR9" s="140">
        <f>SUM(AR2:AR8)+26</f>
        <v>973.75</v>
      </c>
      <c r="AS9" s="140">
        <f t="shared" ref="AS9:AY9" si="26">SUM(AS2:AS8)</f>
        <v>1214.25</v>
      </c>
      <c r="AT9" s="140">
        <f t="shared" si="26"/>
        <v>925</v>
      </c>
      <c r="AU9" s="140">
        <f t="shared" si="26"/>
        <v>1377.5</v>
      </c>
      <c r="AV9" s="140">
        <f t="shared" si="26"/>
        <v>1980.07</v>
      </c>
      <c r="AW9" s="140">
        <f t="shared" si="26"/>
        <v>1515</v>
      </c>
      <c r="AX9" s="140">
        <f t="shared" si="26"/>
        <v>1240.5</v>
      </c>
      <c r="AY9" s="140">
        <f t="shared" si="26"/>
        <v>1600.25</v>
      </c>
      <c r="AZ9" s="140">
        <f>SUM(AZ2:AZ7)</f>
        <v>13593.82</v>
      </c>
      <c r="BA9" s="160">
        <f>((SUM(BA2:BA8)/AC5))</f>
        <v>1.2222222222222223</v>
      </c>
      <c r="BB9" s="160">
        <f>((SUM(BB2:BB8)/AD5))</f>
        <v>1.8541666666666667</v>
      </c>
      <c r="BC9" s="160">
        <f t="shared" ref="BC9:BG9" si="27">((SUM(BC2:BC8)/AE5))</f>
        <v>2.6101694915254239</v>
      </c>
      <c r="BD9" s="160">
        <f t="shared" ca="1" si="27"/>
        <v>2.5957446808510638</v>
      </c>
      <c r="BE9" s="160">
        <f t="shared" ca="1" si="27"/>
        <v>1.8636295454545453</v>
      </c>
      <c r="BF9" s="160">
        <f t="shared" ca="1" si="27"/>
        <v>1.8809416666666663</v>
      </c>
      <c r="BG9" s="160">
        <f t="shared" ca="1" si="27"/>
        <v>2.6086858695652175</v>
      </c>
      <c r="BH9" s="160">
        <f t="shared" ref="BH9" ca="1" si="28">((SUM(BH2:BH8)/AJ5))</f>
        <v>2.8679160377358492</v>
      </c>
      <c r="BI9" s="160">
        <f t="shared" ref="BI9" ca="1" si="29">((SUM(BI2:BI8)/AK5))</f>
        <v>2.1020316326530608</v>
      </c>
      <c r="BJ9" s="160">
        <f t="shared" ref="BJ9" ca="1" si="30">((SUM(BJ2:BJ8)/AL5))</f>
        <v>1.9534797674418605</v>
      </c>
      <c r="BK9" s="160">
        <f ca="1">((SUM(BK2:BK8)/AM5))</f>
        <v>2.6190388095238091</v>
      </c>
    </row>
    <row r="10" spans="1:74" ht="12">
      <c r="E10" s="108"/>
      <c r="R10" s="195">
        <f>_xlfn.STDEV.S(R2:R7)</f>
        <v>1.6431676725154984</v>
      </c>
      <c r="S10" s="195">
        <f t="shared" ref="S10:AA10" si="31">_xlfn.STDEV.S(S2:S7)</f>
        <v>9.6833189902360761</v>
      </c>
      <c r="T10" s="195">
        <f t="shared" si="31"/>
        <v>18.875027593798812</v>
      </c>
      <c r="U10" s="195">
        <f t="shared" si="31"/>
        <v>16.391069601066825</v>
      </c>
      <c r="V10" s="195">
        <f t="shared" si="31"/>
        <v>15.681215322810605</v>
      </c>
      <c r="W10" s="195">
        <f t="shared" si="31"/>
        <v>5.6362072945392203</v>
      </c>
      <c r="X10" s="195">
        <f t="shared" si="31"/>
        <v>11.135538783568149</v>
      </c>
      <c r="Y10" s="195">
        <f t="shared" si="31"/>
        <v>8.571279873333804</v>
      </c>
      <c r="Z10" s="195">
        <f t="shared" si="31"/>
        <v>8.6352051896302449</v>
      </c>
      <c r="AA10" s="195">
        <f t="shared" si="31"/>
        <v>6.3245572177708116</v>
      </c>
      <c r="AB10" s="195">
        <f>_xlfn.STDEV.S(AB2:AB7)</f>
        <v>6.8605364222381748</v>
      </c>
      <c r="AP10" s="42" t="s">
        <v>41</v>
      </c>
      <c r="AR10" s="42" t="s">
        <v>41</v>
      </c>
      <c r="AV10" s="102" t="s">
        <v>352</v>
      </c>
    </row>
    <row r="11" spans="1:74">
      <c r="E11" s="108"/>
      <c r="AN11" s="107"/>
      <c r="AO11" s="107"/>
      <c r="AP11" s="107"/>
      <c r="AQ11" s="107"/>
      <c r="AR11" s="107"/>
      <c r="AS11" s="107"/>
      <c r="AT11" s="107"/>
      <c r="AU11" s="107"/>
      <c r="AV11" s="107"/>
      <c r="AW11" s="107"/>
    </row>
    <row r="12" spans="1:74" ht="10.75" customHeight="1">
      <c r="E12" s="108"/>
      <c r="F12" s="108"/>
      <c r="G12" s="108"/>
      <c r="H12" s="108"/>
      <c r="I12" s="108"/>
      <c r="J12" s="108"/>
      <c r="K12" s="108"/>
      <c r="L12" s="108"/>
      <c r="M12" s="108"/>
      <c r="N12" s="108"/>
      <c r="O12" s="108"/>
      <c r="AN12" s="210"/>
      <c r="AR12" s="258"/>
      <c r="AS12" s="166"/>
      <c r="AT12" s="166"/>
      <c r="AU12" s="166"/>
    </row>
    <row r="13" spans="1:74">
      <c r="E13" s="108"/>
      <c r="F13" s="108"/>
      <c r="G13" s="108"/>
      <c r="H13" s="108"/>
      <c r="I13" s="108"/>
      <c r="J13" s="108"/>
      <c r="K13" s="108"/>
      <c r="L13" s="108"/>
      <c r="AN13" s="210"/>
      <c r="AR13" s="258"/>
      <c r="AS13" s="166"/>
      <c r="AT13" s="166"/>
      <c r="AU13" s="166"/>
    </row>
    <row r="14" spans="1:74" ht="12">
      <c r="E14" s="108"/>
      <c r="U14" s="42"/>
      <c r="V14" s="42"/>
      <c r="W14" s="42"/>
      <c r="X14" s="42"/>
      <c r="Y14" s="42"/>
      <c r="Z14" s="42"/>
      <c r="AA14" s="42"/>
      <c r="AB14" s="42"/>
      <c r="AC14" s="42"/>
      <c r="AL14" s="107"/>
      <c r="AM14" s="107"/>
      <c r="AN14" s="107"/>
      <c r="AO14" s="107"/>
      <c r="AP14" s="107"/>
      <c r="AQ14" s="107"/>
      <c r="AR14" s="107"/>
      <c r="AS14" s="107"/>
      <c r="AT14" s="107"/>
      <c r="AU14" s="107"/>
    </row>
    <row r="15" spans="1:74" ht="12">
      <c r="E15" s="108"/>
      <c r="P15" s="42"/>
      <c r="Q15" s="90"/>
      <c r="R15" s="90"/>
      <c r="S15" s="90"/>
      <c r="T15" s="90"/>
      <c r="U15" s="42"/>
      <c r="V15" s="42"/>
      <c r="W15" s="90"/>
      <c r="X15" s="90"/>
      <c r="Y15" s="90"/>
      <c r="Z15" s="90"/>
      <c r="AA15" s="90"/>
      <c r="AB15" s="42"/>
      <c r="AC15" s="42"/>
    </row>
    <row r="16" spans="1:74" ht="15" customHeight="1" thickBot="1">
      <c r="Q16" s="42"/>
      <c r="R16" s="42"/>
      <c r="S16" s="42"/>
      <c r="T16" s="42"/>
      <c r="U16" s="42"/>
      <c r="V16" s="42"/>
      <c r="W16" s="42"/>
      <c r="X16" s="42"/>
      <c r="Y16" s="42"/>
      <c r="Z16" s="42"/>
      <c r="AA16" s="42"/>
      <c r="AB16" s="42"/>
      <c r="AC16" s="90"/>
    </row>
    <row r="17" spans="1:41" ht="15.65" customHeight="1" thickBot="1">
      <c r="A17" s="159"/>
      <c r="B17" s="256">
        <v>2016</v>
      </c>
      <c r="C17" s="257"/>
      <c r="D17" s="256">
        <v>2017</v>
      </c>
      <c r="E17" s="257"/>
      <c r="F17" s="256">
        <v>2018</v>
      </c>
      <c r="G17" s="257"/>
      <c r="H17" s="256">
        <v>2019</v>
      </c>
      <c r="I17" s="257"/>
      <c r="J17" s="256">
        <v>2020</v>
      </c>
      <c r="K17" s="257"/>
      <c r="L17" s="259">
        <v>2021</v>
      </c>
      <c r="M17" s="260"/>
      <c r="N17" s="259">
        <v>2022</v>
      </c>
      <c r="O17" s="261"/>
      <c r="P17" s="259">
        <v>2023</v>
      </c>
      <c r="Q17" s="260"/>
      <c r="R17" s="259">
        <v>2024</v>
      </c>
      <c r="S17" s="260"/>
      <c r="T17" s="259">
        <v>2025</v>
      </c>
      <c r="U17" s="260"/>
      <c r="V17" s="259">
        <v>2026</v>
      </c>
      <c r="W17" s="260"/>
      <c r="AO17" s="109"/>
    </row>
    <row r="18" spans="1:41" ht="13.3" thickBot="1">
      <c r="A18" s="182" t="s">
        <v>34</v>
      </c>
      <c r="B18" s="111" t="s">
        <v>69</v>
      </c>
      <c r="C18" s="112" t="s">
        <v>109</v>
      </c>
      <c r="D18" s="111" t="s">
        <v>69</v>
      </c>
      <c r="E18" s="112" t="s">
        <v>109</v>
      </c>
      <c r="F18" s="111" t="s">
        <v>69</v>
      </c>
      <c r="G18" s="112" t="s">
        <v>109</v>
      </c>
      <c r="H18" s="111" t="s">
        <v>69</v>
      </c>
      <c r="I18" s="112" t="s">
        <v>109</v>
      </c>
      <c r="J18" s="111" t="s">
        <v>69</v>
      </c>
      <c r="K18" s="112" t="s">
        <v>109</v>
      </c>
      <c r="L18" s="111" t="s">
        <v>69</v>
      </c>
      <c r="M18" s="112" t="s">
        <v>109</v>
      </c>
      <c r="N18" s="111" t="s">
        <v>69</v>
      </c>
      <c r="O18" s="112" t="s">
        <v>109</v>
      </c>
      <c r="P18" s="111" t="s">
        <v>69</v>
      </c>
      <c r="Q18" s="112" t="s">
        <v>109</v>
      </c>
      <c r="R18" s="111" t="s">
        <v>69</v>
      </c>
      <c r="S18" s="112" t="s">
        <v>109</v>
      </c>
      <c r="T18" s="111" t="s">
        <v>69</v>
      </c>
      <c r="U18" s="112" t="s">
        <v>109</v>
      </c>
      <c r="V18" s="111" t="s">
        <v>69</v>
      </c>
      <c r="W18" s="112" t="s">
        <v>109</v>
      </c>
      <c r="AN18" s="109"/>
    </row>
    <row r="19" spans="1:41" ht="12">
      <c r="A19" s="183" t="s">
        <v>32</v>
      </c>
      <c r="B19" s="113">
        <f>'All-time DF Stats'!R2</f>
        <v>25</v>
      </c>
      <c r="C19" s="114">
        <v>6</v>
      </c>
      <c r="D19" s="113">
        <f>'All-time DF Stats'!S2+B19</f>
        <v>66</v>
      </c>
      <c r="E19" s="114" t="s">
        <v>101</v>
      </c>
      <c r="F19" s="113">
        <f>'All-time DF Stats'!T2+D19</f>
        <v>117</v>
      </c>
      <c r="G19" s="114">
        <v>1</v>
      </c>
      <c r="H19" s="113">
        <f>'All-time DF Stats'!U2+F19</f>
        <v>153.0001</v>
      </c>
      <c r="I19" s="114">
        <v>1</v>
      </c>
      <c r="J19" s="113">
        <f>'All-time DF Stats'!V2+H19</f>
        <v>213.00020000000001</v>
      </c>
      <c r="K19" s="115">
        <v>1</v>
      </c>
      <c r="L19" s="113">
        <f>'All-time DF Stats'!W2+J19</f>
        <v>248.00030000000001</v>
      </c>
      <c r="M19" s="115">
        <v>1</v>
      </c>
      <c r="N19" s="113">
        <f>'All-time DF Stats'!X2+L19</f>
        <v>282.00040000000001</v>
      </c>
      <c r="O19" s="115">
        <v>1</v>
      </c>
      <c r="P19" s="113">
        <f t="shared" ref="P19:P24" si="32">N19+Y2</f>
        <v>317.00049999999999</v>
      </c>
      <c r="Q19" s="115">
        <v>1</v>
      </c>
      <c r="R19" s="113">
        <f t="shared" ref="R19:R24" si="33">P19+Z2</f>
        <v>354.00059999999996</v>
      </c>
      <c r="S19" s="115">
        <v>1</v>
      </c>
      <c r="T19" s="113">
        <f>R19+AA2</f>
        <v>384.00069999999994</v>
      </c>
      <c r="U19" s="115">
        <v>1</v>
      </c>
      <c r="V19" s="113">
        <f t="shared" ref="V19:V23" si="34">T19+AB2</f>
        <v>418.00079999999991</v>
      </c>
      <c r="W19" s="115">
        <v>1</v>
      </c>
      <c r="AN19" s="109"/>
    </row>
    <row r="20" spans="1:41" ht="12">
      <c r="A20" s="184" t="s">
        <v>3</v>
      </c>
      <c r="B20" s="116">
        <f>'All-time DF Stats'!R3</f>
        <v>27</v>
      </c>
      <c r="C20" s="117">
        <v>4</v>
      </c>
      <c r="D20" s="116">
        <f>'All-time DF Stats'!S3+B20</f>
        <v>63</v>
      </c>
      <c r="E20" s="117">
        <v>4</v>
      </c>
      <c r="F20" s="116">
        <f>'All-time DF Stats'!T3+D20</f>
        <v>102</v>
      </c>
      <c r="G20" s="117">
        <v>4</v>
      </c>
      <c r="H20" s="116">
        <f>'All-time DF Stats'!U3+F20</f>
        <v>141.00009</v>
      </c>
      <c r="I20" s="117">
        <v>4</v>
      </c>
      <c r="J20" s="116">
        <f>'All-time DF Stats'!V3+H20</f>
        <v>195.00018</v>
      </c>
      <c r="K20" s="118">
        <v>4</v>
      </c>
      <c r="L20" s="116">
        <f>'All-time DF Stats'!W3+J20</f>
        <v>227.00027</v>
      </c>
      <c r="M20" s="118">
        <v>4</v>
      </c>
      <c r="N20" s="116">
        <f>'All-time DF Stats'!X3+L20</f>
        <v>265.00036</v>
      </c>
      <c r="O20" s="118" t="s">
        <v>305</v>
      </c>
      <c r="P20" s="116">
        <f t="shared" si="32"/>
        <v>302.00045</v>
      </c>
      <c r="Q20" s="118">
        <v>2</v>
      </c>
      <c r="R20" s="113">
        <f t="shared" si="33"/>
        <v>340.00054</v>
      </c>
      <c r="S20" s="118">
        <v>2</v>
      </c>
      <c r="T20" s="113">
        <f t="shared" ref="T20:T24" si="35">R20+AA3</f>
        <v>376.00063</v>
      </c>
      <c r="U20" s="118">
        <v>2</v>
      </c>
      <c r="V20" s="113">
        <f t="shared" si="34"/>
        <v>405.00072</v>
      </c>
      <c r="W20" s="118">
        <v>2</v>
      </c>
      <c r="AN20" s="109"/>
    </row>
    <row r="21" spans="1:41" ht="12">
      <c r="A21" s="184" t="s">
        <v>0</v>
      </c>
      <c r="B21" s="116">
        <f>'All-time DF Stats'!R4</f>
        <v>28</v>
      </c>
      <c r="C21" s="117">
        <v>2</v>
      </c>
      <c r="D21" s="116">
        <f>'All-time DF Stats'!S4+B21</f>
        <v>66</v>
      </c>
      <c r="E21" s="117" t="s">
        <v>106</v>
      </c>
      <c r="F21" s="116">
        <f>'All-time DF Stats'!T4+D21</f>
        <v>111</v>
      </c>
      <c r="G21" s="117" t="s">
        <v>104</v>
      </c>
      <c r="H21" s="116">
        <f>'All-time DF Stats'!U4+F21</f>
        <v>144.00006999999999</v>
      </c>
      <c r="I21" s="117" t="s">
        <v>108</v>
      </c>
      <c r="J21" s="116">
        <f>'All-time DF Stats'!V4+H21</f>
        <v>199.00013999999999</v>
      </c>
      <c r="K21" s="118">
        <v>3</v>
      </c>
      <c r="L21" s="116">
        <f>'All-time DF Stats'!W4+J21</f>
        <v>230.00020999999998</v>
      </c>
      <c r="M21" s="118">
        <v>3</v>
      </c>
      <c r="N21" s="116">
        <f>'All-time DF Stats'!X4+L21</f>
        <v>251.00027999999998</v>
      </c>
      <c r="O21" s="118" t="s">
        <v>306</v>
      </c>
      <c r="P21" s="116">
        <f t="shared" si="32"/>
        <v>272.00034999999997</v>
      </c>
      <c r="Q21" s="118">
        <v>4</v>
      </c>
      <c r="R21" s="113">
        <f t="shared" si="33"/>
        <v>312.00041999999996</v>
      </c>
      <c r="S21" s="118" t="s">
        <v>354</v>
      </c>
      <c r="T21" s="113">
        <f t="shared" si="35"/>
        <v>348.00043999999997</v>
      </c>
      <c r="U21" s="118">
        <v>3</v>
      </c>
      <c r="V21" s="113">
        <f t="shared" si="34"/>
        <v>371.00045999999998</v>
      </c>
      <c r="W21" s="118">
        <v>3</v>
      </c>
      <c r="AN21" s="109"/>
    </row>
    <row r="22" spans="1:41" ht="12">
      <c r="A22" s="184" t="s">
        <v>1</v>
      </c>
      <c r="B22" s="116">
        <f>'All-time DF Stats'!R5</f>
        <v>30</v>
      </c>
      <c r="C22" s="117">
        <v>1</v>
      </c>
      <c r="D22" s="116">
        <f>'All-time DF Stats'!S5+B22</f>
        <v>64</v>
      </c>
      <c r="E22" s="117" t="s">
        <v>102</v>
      </c>
      <c r="F22" s="116">
        <f>'All-time DF Stats'!T5+D22</f>
        <v>108</v>
      </c>
      <c r="G22" s="117">
        <v>3</v>
      </c>
      <c r="H22" s="116">
        <f>'All-time DF Stats'!U5+F22</f>
        <v>148.00008</v>
      </c>
      <c r="I22" s="117" t="s">
        <v>107</v>
      </c>
      <c r="J22" s="116">
        <f>'All-time DF Stats'!V5+H22</f>
        <v>201.00015999999999</v>
      </c>
      <c r="K22" s="118">
        <v>2</v>
      </c>
      <c r="L22" s="116">
        <f>'All-time DF Stats'!W5+J22</f>
        <v>231.00023999999999</v>
      </c>
      <c r="M22" s="118">
        <v>2</v>
      </c>
      <c r="N22" s="116">
        <f>'All-time DF Stats'!X5+L22</f>
        <v>256.00031999999999</v>
      </c>
      <c r="O22" s="118" t="s">
        <v>108</v>
      </c>
      <c r="P22" s="116">
        <f t="shared" si="32"/>
        <v>282.00040000000001</v>
      </c>
      <c r="Q22" s="118">
        <v>3</v>
      </c>
      <c r="R22" s="113">
        <f t="shared" si="33"/>
        <v>304.00048000000004</v>
      </c>
      <c r="S22" s="118" t="s">
        <v>355</v>
      </c>
      <c r="T22" s="113">
        <f t="shared" si="35"/>
        <v>325.00053000000003</v>
      </c>
      <c r="U22" s="118">
        <v>4</v>
      </c>
      <c r="V22" s="113">
        <f t="shared" si="34"/>
        <v>344.00058000000001</v>
      </c>
      <c r="W22" s="118">
        <v>4</v>
      </c>
      <c r="AN22" s="109"/>
    </row>
    <row r="23" spans="1:41" ht="12">
      <c r="A23" s="184" t="s">
        <v>4</v>
      </c>
      <c r="B23" s="116">
        <f>'All-time DF Stats'!R6</f>
        <v>28</v>
      </c>
      <c r="C23" s="117">
        <v>2</v>
      </c>
      <c r="D23" s="116">
        <f>'All-time DF Stats'!S6+B23</f>
        <v>42</v>
      </c>
      <c r="E23" s="117" t="s">
        <v>103</v>
      </c>
      <c r="F23" s="116">
        <f>'All-time DF Stats'!T6+D23</f>
        <v>44</v>
      </c>
      <c r="G23" s="117">
        <v>6</v>
      </c>
      <c r="H23" s="116">
        <f>'All-time DF Stats'!U6+F23</f>
        <v>46.000059999999998</v>
      </c>
      <c r="I23" s="117">
        <v>6</v>
      </c>
      <c r="J23" s="116">
        <f>'All-time DF Stats'!V6+H23</f>
        <v>72.000119999999995</v>
      </c>
      <c r="K23" s="118">
        <v>6</v>
      </c>
      <c r="L23" s="116">
        <f>'All-time DF Stats'!W6+J23</f>
        <v>98.000169999999997</v>
      </c>
      <c r="M23" s="118">
        <v>6</v>
      </c>
      <c r="N23" s="116">
        <f>'All-time DF Stats'!X6+L23</f>
        <v>129.00022000000001</v>
      </c>
      <c r="O23" s="118">
        <v>6</v>
      </c>
      <c r="P23" s="116">
        <f t="shared" si="32"/>
        <v>161.00027</v>
      </c>
      <c r="Q23" s="118" t="s">
        <v>333</v>
      </c>
      <c r="R23" s="113">
        <f t="shared" si="33"/>
        <v>195.00031999999999</v>
      </c>
      <c r="S23" s="118">
        <v>5</v>
      </c>
      <c r="T23" s="113">
        <f t="shared" si="35"/>
        <v>223.00036999999998</v>
      </c>
      <c r="U23" s="118">
        <v>5</v>
      </c>
      <c r="V23" s="113">
        <f t="shared" si="34"/>
        <v>238.00041999999996</v>
      </c>
      <c r="W23" s="118">
        <v>5</v>
      </c>
      <c r="AN23" s="109"/>
    </row>
    <row r="24" spans="1:41" ht="13.75" customHeight="1" thickBot="1">
      <c r="A24" s="185" t="s">
        <v>2</v>
      </c>
      <c r="B24" s="119">
        <f>'All-time DF Stats'!R7</f>
        <v>27</v>
      </c>
      <c r="C24" s="120">
        <v>4</v>
      </c>
      <c r="D24" s="119">
        <f>'All-time DF Stats'!S7+B24</f>
        <v>63</v>
      </c>
      <c r="E24" s="120">
        <v>4</v>
      </c>
      <c r="F24" s="119">
        <f>'All-time DF Stats'!T7+D24</f>
        <v>82</v>
      </c>
      <c r="G24" s="120" t="s">
        <v>105</v>
      </c>
      <c r="H24" s="119">
        <f>'All-time DF Stats'!U7+F24</f>
        <v>92.000050000000002</v>
      </c>
      <c r="I24" s="120">
        <v>5</v>
      </c>
      <c r="J24" s="119">
        <f>'All-time DF Stats'!V7+H24</f>
        <v>117.0001</v>
      </c>
      <c r="K24" s="121">
        <v>5</v>
      </c>
      <c r="L24" s="119">
        <f>'All-time DF Stats'!W7+J24</f>
        <v>136.00015999999999</v>
      </c>
      <c r="M24" s="121">
        <v>5</v>
      </c>
      <c r="N24" s="119">
        <f>'All-time DF Stats'!X7+L24</f>
        <v>143.00021999999998</v>
      </c>
      <c r="O24" s="121">
        <v>5</v>
      </c>
      <c r="P24" s="119">
        <f t="shared" si="32"/>
        <v>158.00027999999998</v>
      </c>
      <c r="Q24" s="121" t="s">
        <v>332</v>
      </c>
      <c r="R24" s="119">
        <f t="shared" si="33"/>
        <v>178.00033999999997</v>
      </c>
      <c r="S24" s="121">
        <v>6</v>
      </c>
      <c r="T24" s="205">
        <f t="shared" si="35"/>
        <v>201.00039999999996</v>
      </c>
      <c r="U24" s="121">
        <v>6</v>
      </c>
      <c r="V24" s="205">
        <f>T24+AB7</f>
        <v>223.00045999999995</v>
      </c>
      <c r="W24" s="121">
        <v>6</v>
      </c>
      <c r="AN24" s="109"/>
    </row>
    <row r="25" spans="1:41" ht="12">
      <c r="Q25" s="89"/>
      <c r="AO25" s="109"/>
    </row>
    <row r="26" spans="1:41">
      <c r="AO26" s="109"/>
    </row>
    <row r="27" spans="1:41">
      <c r="AO27" s="109"/>
    </row>
    <row r="28" spans="1:41">
      <c r="AO28" s="109"/>
    </row>
    <row r="29" spans="1:41">
      <c r="AO29" s="109"/>
    </row>
    <row r="30" spans="1:41">
      <c r="AO30" s="109"/>
    </row>
    <row r="31" spans="1:41">
      <c r="AO31" s="109"/>
    </row>
    <row r="32" spans="1:41">
      <c r="AO32" s="109"/>
    </row>
    <row r="33" spans="4:41">
      <c r="AO33" s="109"/>
    </row>
    <row r="34" spans="4:41">
      <c r="AO34" s="109"/>
    </row>
    <row r="35" spans="4:41">
      <c r="AO35" s="109"/>
    </row>
    <row r="36" spans="4:41">
      <c r="D36" s="108"/>
      <c r="E36" s="108"/>
      <c r="F36" s="108"/>
      <c r="G36" s="108"/>
      <c r="H36" s="108"/>
      <c r="AO36" s="109"/>
    </row>
    <row r="37" spans="4:41">
      <c r="D37" s="108"/>
      <c r="E37" s="108"/>
      <c r="F37" s="108"/>
      <c r="G37" s="108"/>
      <c r="H37" s="108"/>
      <c r="AO37" s="109"/>
    </row>
    <row r="38" spans="4:41">
      <c r="D38" s="108"/>
      <c r="E38" s="108"/>
      <c r="F38" s="108"/>
      <c r="G38" s="108"/>
      <c r="H38" s="108"/>
      <c r="AO38" s="109"/>
    </row>
    <row r="39" spans="4:41">
      <c r="D39" s="108"/>
      <c r="E39" s="108"/>
      <c r="F39" s="108"/>
      <c r="G39" s="108"/>
      <c r="H39" s="108"/>
      <c r="AO39" s="109"/>
    </row>
    <row r="40" spans="4:41">
      <c r="D40" s="108"/>
      <c r="E40" s="108"/>
      <c r="F40" s="108"/>
      <c r="G40" s="108"/>
      <c r="H40" s="108"/>
      <c r="AO40" s="109"/>
    </row>
    <row r="41" spans="4:41">
      <c r="AO41" s="109"/>
    </row>
    <row r="42" spans="4:41">
      <c r="AO42" s="109"/>
    </row>
    <row r="43" spans="4:41">
      <c r="AO43" s="109"/>
    </row>
    <row r="44" spans="4:41">
      <c r="AO44" s="109"/>
    </row>
    <row r="45" spans="4:41">
      <c r="AO45" s="109"/>
    </row>
    <row r="46" spans="4:41">
      <c r="AO46" s="109"/>
    </row>
    <row r="47" spans="4:41">
      <c r="AO47" s="109"/>
    </row>
    <row r="48" spans="4:41">
      <c r="AO48" s="109"/>
    </row>
    <row r="49" spans="1:41">
      <c r="AO49" s="109"/>
    </row>
    <row r="50" spans="1:41">
      <c r="AO50" s="109"/>
    </row>
    <row r="51" spans="1:41">
      <c r="AO51" s="109"/>
    </row>
    <row r="52" spans="1:41">
      <c r="AO52" s="109"/>
    </row>
    <row r="53" spans="1:41">
      <c r="AO53" s="109"/>
    </row>
    <row r="54" spans="1:41" ht="12">
      <c r="A54" s="42" t="s">
        <v>391</v>
      </c>
      <c r="B54" s="42"/>
      <c r="C54" s="42">
        <v>2016</v>
      </c>
      <c r="D54" s="42">
        <f>C54+1</f>
        <v>2017</v>
      </c>
      <c r="E54" s="42">
        <f t="shared" ref="E54:N54" si="36">D54+1</f>
        <v>2018</v>
      </c>
      <c r="F54" s="42">
        <f t="shared" si="36"/>
        <v>2019</v>
      </c>
      <c r="G54" s="42">
        <f t="shared" si="36"/>
        <v>2020</v>
      </c>
      <c r="H54" s="42">
        <f t="shared" si="36"/>
        <v>2021</v>
      </c>
      <c r="I54" s="42">
        <f t="shared" si="36"/>
        <v>2022</v>
      </c>
      <c r="J54" s="42">
        <f t="shared" si="36"/>
        <v>2023</v>
      </c>
      <c r="K54" s="42">
        <f t="shared" si="36"/>
        <v>2024</v>
      </c>
      <c r="L54" s="42">
        <f t="shared" si="36"/>
        <v>2025</v>
      </c>
      <c r="M54" s="42">
        <f t="shared" si="36"/>
        <v>2026</v>
      </c>
      <c r="N54" s="42">
        <f t="shared" si="36"/>
        <v>2027</v>
      </c>
      <c r="AO54" s="109"/>
    </row>
    <row r="55" spans="1:41" ht="12">
      <c r="A55" s="42"/>
      <c r="B55" s="220"/>
      <c r="C55" s="221">
        <v>10</v>
      </c>
      <c r="D55" s="221">
        <v>10</v>
      </c>
      <c r="E55" s="221">
        <v>11</v>
      </c>
      <c r="F55" s="221">
        <v>11</v>
      </c>
      <c r="G55" s="221">
        <v>11</v>
      </c>
      <c r="H55" s="221">
        <v>10</v>
      </c>
      <c r="I55" s="221">
        <v>12</v>
      </c>
      <c r="J55" s="221">
        <v>12</v>
      </c>
      <c r="K55" s="221">
        <v>13</v>
      </c>
      <c r="L55" s="221">
        <v>13</v>
      </c>
      <c r="M55" s="221">
        <v>13.5</v>
      </c>
      <c r="N55" s="221"/>
      <c r="AO55" s="109"/>
    </row>
    <row r="56" spans="1:41">
      <c r="B56" s="206"/>
      <c r="C56" s="206"/>
      <c r="D56" s="206"/>
      <c r="E56" s="206"/>
      <c r="F56" s="206"/>
      <c r="G56" s="206"/>
      <c r="H56" s="206"/>
      <c r="I56" s="206"/>
      <c r="J56" s="206"/>
      <c r="K56" s="206"/>
      <c r="AO56" s="109"/>
    </row>
    <row r="57" spans="1:41">
      <c r="B57" s="206"/>
      <c r="C57" s="206"/>
      <c r="D57" s="206"/>
      <c r="E57" s="206"/>
      <c r="F57" s="206"/>
      <c r="G57" s="206"/>
      <c r="H57" s="206"/>
      <c r="I57" s="206"/>
      <c r="J57" s="206"/>
      <c r="K57" s="206"/>
      <c r="AO57" s="109"/>
    </row>
    <row r="58" spans="1:41">
      <c r="B58" s="206"/>
      <c r="C58" s="206"/>
      <c r="D58" s="206"/>
      <c r="E58" s="206"/>
      <c r="F58" s="206"/>
      <c r="G58" s="206"/>
      <c r="H58" s="206"/>
      <c r="I58" s="206"/>
      <c r="J58" s="206"/>
      <c r="K58" s="206"/>
      <c r="AO58" s="109"/>
    </row>
    <row r="59" spans="1:41">
      <c r="B59" s="206"/>
      <c r="C59" s="206"/>
      <c r="D59" s="206"/>
      <c r="E59" s="206"/>
      <c r="F59" s="206"/>
      <c r="G59" s="206"/>
      <c r="H59" s="206"/>
      <c r="I59" s="206"/>
      <c r="J59" s="206"/>
      <c r="K59" s="206"/>
      <c r="AO59" s="109"/>
    </row>
    <row r="60" spans="1:41">
      <c r="B60" s="206"/>
      <c r="C60" s="206"/>
      <c r="D60" s="206"/>
      <c r="E60" s="206"/>
      <c r="F60" s="206"/>
      <c r="G60" s="206"/>
      <c r="H60" s="206"/>
      <c r="I60" s="206"/>
      <c r="J60" s="206"/>
      <c r="K60" s="206"/>
      <c r="AO60" s="109"/>
    </row>
    <row r="61" spans="1:41">
      <c r="B61" s="206"/>
      <c r="C61" s="206"/>
      <c r="D61" s="206"/>
      <c r="E61" s="206"/>
      <c r="F61" s="206"/>
      <c r="G61" s="206"/>
      <c r="H61" s="206"/>
      <c r="I61" s="206"/>
      <c r="J61" s="206"/>
      <c r="K61" s="206"/>
      <c r="AO61" s="109"/>
    </row>
    <row r="62" spans="1:41">
      <c r="AO62" s="109"/>
    </row>
    <row r="63" spans="1:41" ht="12.9">
      <c r="A63" s="91" t="s">
        <v>34</v>
      </c>
      <c r="B63" s="91" t="s">
        <v>69</v>
      </c>
      <c r="C63" s="92" t="s">
        <v>365</v>
      </c>
      <c r="D63" s="92" t="s">
        <v>366</v>
      </c>
      <c r="E63" s="92" t="s">
        <v>367</v>
      </c>
      <c r="F63" s="92" t="s">
        <v>368</v>
      </c>
      <c r="G63" s="92" t="s">
        <v>369</v>
      </c>
      <c r="H63" s="92" t="s">
        <v>370</v>
      </c>
      <c r="I63" s="92" t="s">
        <v>371</v>
      </c>
      <c r="J63" s="92" t="s">
        <v>372</v>
      </c>
      <c r="K63" s="92" t="s">
        <v>373</v>
      </c>
      <c r="L63" s="92" t="s">
        <v>374</v>
      </c>
      <c r="AO63" s="109"/>
    </row>
    <row r="64" spans="1:41" ht="12">
      <c r="A64" s="99" t="s">
        <v>32</v>
      </c>
      <c r="B64" s="160">
        <f>SUM(C64:L64)</f>
        <v>3</v>
      </c>
      <c r="C64" s="160">
        <v>0</v>
      </c>
      <c r="D64" s="160">
        <v>0</v>
      </c>
      <c r="E64" s="160">
        <v>0</v>
      </c>
      <c r="F64" s="160">
        <v>0</v>
      </c>
      <c r="G64" s="160">
        <v>0</v>
      </c>
      <c r="H64" s="160">
        <v>0</v>
      </c>
      <c r="I64" s="160">
        <v>0</v>
      </c>
      <c r="J64" s="160">
        <v>1</v>
      </c>
      <c r="K64" s="160">
        <v>0</v>
      </c>
      <c r="L64" s="160">
        <v>2</v>
      </c>
      <c r="AO64" s="109"/>
    </row>
    <row r="65" spans="1:41" ht="12.9">
      <c r="A65" s="99" t="s">
        <v>3</v>
      </c>
      <c r="B65" s="160">
        <f t="shared" ref="B65:B69" si="37">SUM(C65:L65)</f>
        <v>1</v>
      </c>
      <c r="C65" s="160">
        <v>0</v>
      </c>
      <c r="D65" s="160">
        <v>0</v>
      </c>
      <c r="E65" s="160">
        <v>0</v>
      </c>
      <c r="F65" s="160">
        <v>0</v>
      </c>
      <c r="G65" s="160">
        <v>0</v>
      </c>
      <c r="H65" s="160">
        <v>0</v>
      </c>
      <c r="I65" s="160">
        <v>0</v>
      </c>
      <c r="J65" s="160">
        <v>1</v>
      </c>
      <c r="K65" s="160">
        <v>0</v>
      </c>
      <c r="L65" s="160">
        <v>0</v>
      </c>
      <c r="M65" s="108"/>
      <c r="N65" s="108"/>
      <c r="O65" s="108"/>
      <c r="AC65" s="160"/>
      <c r="AD65" s="162">
        <f>B17</f>
        <v>2016</v>
      </c>
      <c r="AE65" s="162">
        <f>AD65+1</f>
        <v>2017</v>
      </c>
      <c r="AF65" s="162">
        <f t="shared" ref="AF65:AG65" si="38">AE65+1</f>
        <v>2018</v>
      </c>
      <c r="AG65" s="162">
        <f t="shared" si="38"/>
        <v>2019</v>
      </c>
      <c r="AH65" s="162">
        <f>AG65+1</f>
        <v>2020</v>
      </c>
      <c r="AI65" s="162">
        <f>AH65+1</f>
        <v>2021</v>
      </c>
      <c r="AJ65" s="162">
        <f>AI65+1</f>
        <v>2022</v>
      </c>
      <c r="AK65" s="162">
        <f>AJ65+1</f>
        <v>2023</v>
      </c>
      <c r="AL65" s="162">
        <v>2024</v>
      </c>
      <c r="AM65" s="162">
        <v>2025</v>
      </c>
      <c r="AN65" s="162">
        <v>2026</v>
      </c>
    </row>
    <row r="66" spans="1:41" ht="12.9">
      <c r="A66" s="99" t="s">
        <v>0</v>
      </c>
      <c r="B66" s="160">
        <f t="shared" si="37"/>
        <v>4</v>
      </c>
      <c r="C66" s="160">
        <v>0</v>
      </c>
      <c r="D66" s="160">
        <v>0</v>
      </c>
      <c r="E66" s="160">
        <v>0</v>
      </c>
      <c r="F66" s="160">
        <v>1</v>
      </c>
      <c r="G66" s="160">
        <v>0</v>
      </c>
      <c r="H66" s="160">
        <v>0</v>
      </c>
      <c r="I66" s="160">
        <v>2</v>
      </c>
      <c r="J66" s="160">
        <v>1</v>
      </c>
      <c r="K66" s="160">
        <v>0</v>
      </c>
      <c r="L66" s="160">
        <v>0</v>
      </c>
      <c r="M66" s="108"/>
      <c r="N66" s="108"/>
      <c r="O66" s="108"/>
      <c r="AC66" s="91" t="s">
        <v>32</v>
      </c>
      <c r="AD66" s="161">
        <v>25</v>
      </c>
      <c r="AE66" s="161">
        <v>66</v>
      </c>
      <c r="AF66" s="161">
        <v>117</v>
      </c>
      <c r="AG66" s="161">
        <v>153.0001</v>
      </c>
      <c r="AH66" s="161">
        <v>213.00020000000001</v>
      </c>
      <c r="AI66" s="161">
        <v>248.00030000000001</v>
      </c>
      <c r="AJ66" s="161">
        <v>281.00040000000001</v>
      </c>
      <c r="AK66" s="161">
        <f>P19</f>
        <v>317.00049999999999</v>
      </c>
      <c r="AL66" s="161">
        <f>AK66+Z2</f>
        <v>354.00059999999996</v>
      </c>
      <c r="AM66" s="161">
        <f>T19</f>
        <v>384.00069999999994</v>
      </c>
      <c r="AN66" s="161">
        <f>V19</f>
        <v>418.00079999999991</v>
      </c>
    </row>
    <row r="67" spans="1:41" ht="12.9">
      <c r="A67" s="99" t="s">
        <v>1</v>
      </c>
      <c r="B67" s="160">
        <f t="shared" si="37"/>
        <v>0</v>
      </c>
      <c r="C67" s="160">
        <v>0</v>
      </c>
      <c r="D67" s="160">
        <v>0</v>
      </c>
      <c r="E67" s="160">
        <v>0</v>
      </c>
      <c r="F67" s="160">
        <v>0</v>
      </c>
      <c r="G67" s="160">
        <v>0</v>
      </c>
      <c r="H67" s="160">
        <v>0</v>
      </c>
      <c r="I67" s="160">
        <v>0</v>
      </c>
      <c r="J67" s="160">
        <v>0</v>
      </c>
      <c r="K67" s="160">
        <v>0</v>
      </c>
      <c r="L67" s="160">
        <v>0</v>
      </c>
      <c r="M67" s="108"/>
      <c r="N67" s="108"/>
      <c r="O67" s="108"/>
      <c r="AC67" s="91" t="s">
        <v>1</v>
      </c>
      <c r="AD67" s="161">
        <v>30</v>
      </c>
      <c r="AE67" s="161">
        <v>64</v>
      </c>
      <c r="AF67" s="161">
        <v>108</v>
      </c>
      <c r="AG67" s="161">
        <v>148.00008</v>
      </c>
      <c r="AH67" s="161">
        <v>201.00015999999999</v>
      </c>
      <c r="AI67" s="161">
        <v>231.00023999999999</v>
      </c>
      <c r="AJ67" s="161">
        <v>255.00031999999999</v>
      </c>
      <c r="AK67" s="161">
        <f>P22</f>
        <v>282.00040000000001</v>
      </c>
      <c r="AL67" s="161">
        <f>AK67+Z5</f>
        <v>304.00048000000004</v>
      </c>
      <c r="AM67" s="161">
        <f>T22</f>
        <v>325.00053000000003</v>
      </c>
      <c r="AN67" s="161">
        <f>V22</f>
        <v>344.00058000000001</v>
      </c>
    </row>
    <row r="68" spans="1:41" ht="12.9">
      <c r="A68" s="99" t="s">
        <v>4</v>
      </c>
      <c r="B68" s="160">
        <f t="shared" si="37"/>
        <v>1</v>
      </c>
      <c r="C68" s="160">
        <v>0</v>
      </c>
      <c r="D68" s="160">
        <v>0</v>
      </c>
      <c r="E68" s="160">
        <v>0</v>
      </c>
      <c r="F68" s="160">
        <v>0</v>
      </c>
      <c r="G68" s="160">
        <v>0</v>
      </c>
      <c r="H68" s="160">
        <v>1</v>
      </c>
      <c r="I68" s="160">
        <v>0</v>
      </c>
      <c r="J68" s="160">
        <v>0</v>
      </c>
      <c r="K68" s="160">
        <v>0</v>
      </c>
      <c r="L68" s="160">
        <v>0</v>
      </c>
      <c r="M68" s="108"/>
      <c r="N68" s="108"/>
      <c r="O68" s="108"/>
      <c r="AC68" s="91" t="s">
        <v>0</v>
      </c>
      <c r="AD68" s="161">
        <v>28</v>
      </c>
      <c r="AE68" s="161">
        <v>66</v>
      </c>
      <c r="AF68" s="161">
        <v>111</v>
      </c>
      <c r="AG68" s="161">
        <v>144.00006999999999</v>
      </c>
      <c r="AH68" s="161">
        <v>199.00013999999999</v>
      </c>
      <c r="AI68" s="161">
        <v>230.00020999999998</v>
      </c>
      <c r="AJ68" s="161">
        <v>250.00027999999998</v>
      </c>
      <c r="AK68" s="161">
        <f>P21</f>
        <v>272.00034999999997</v>
      </c>
      <c r="AL68" s="161">
        <f>AK68+Z4</f>
        <v>312.00041999999996</v>
      </c>
      <c r="AM68" s="161">
        <f t="shared" ref="AM68" si="39">T21</f>
        <v>348.00043999999997</v>
      </c>
      <c r="AN68" s="161">
        <f>V21</f>
        <v>371.00045999999998</v>
      </c>
    </row>
    <row r="69" spans="1:41" ht="12.9">
      <c r="A69" s="99" t="s">
        <v>2</v>
      </c>
      <c r="B69" s="160">
        <f t="shared" si="37"/>
        <v>3</v>
      </c>
      <c r="C69" s="160">
        <v>0</v>
      </c>
      <c r="D69" s="160">
        <v>0</v>
      </c>
      <c r="E69" s="160">
        <v>0</v>
      </c>
      <c r="F69" s="160">
        <v>0</v>
      </c>
      <c r="G69" s="160">
        <v>1</v>
      </c>
      <c r="H69" s="160">
        <v>0</v>
      </c>
      <c r="I69" s="160">
        <v>0</v>
      </c>
      <c r="J69" s="160">
        <v>1</v>
      </c>
      <c r="K69" s="160">
        <v>0</v>
      </c>
      <c r="L69" s="160">
        <v>1</v>
      </c>
      <c r="M69" s="108"/>
      <c r="N69" s="108"/>
      <c r="O69" s="108"/>
      <c r="AC69" s="91" t="s">
        <v>3</v>
      </c>
      <c r="AD69" s="161">
        <v>27</v>
      </c>
      <c r="AE69" s="161">
        <v>63</v>
      </c>
      <c r="AF69" s="161">
        <v>102</v>
      </c>
      <c r="AG69" s="161">
        <v>141.00009</v>
      </c>
      <c r="AH69" s="161">
        <v>195.00018</v>
      </c>
      <c r="AI69" s="161">
        <v>227.00027</v>
      </c>
      <c r="AJ69" s="161">
        <v>263.00036</v>
      </c>
      <c r="AK69" s="161">
        <f>P20</f>
        <v>302.00045</v>
      </c>
      <c r="AL69" s="161">
        <f>AK69+Z3</f>
        <v>340.00054</v>
      </c>
      <c r="AM69" s="161">
        <f>T20</f>
        <v>376.00063</v>
      </c>
      <c r="AN69" s="161">
        <f>V20</f>
        <v>405.00072</v>
      </c>
    </row>
    <row r="70" spans="1:41" ht="12.9">
      <c r="A70" s="99" t="s">
        <v>69</v>
      </c>
      <c r="B70" s="160">
        <f>SUM(B64:B69)</f>
        <v>12</v>
      </c>
      <c r="C70" s="160">
        <f>SUM(C64:C69)</f>
        <v>0</v>
      </c>
      <c r="D70" s="160">
        <f t="shared" ref="D70:L70" si="40">SUM(D64:D69)</f>
        <v>0</v>
      </c>
      <c r="E70" s="160">
        <f t="shared" si="40"/>
        <v>0</v>
      </c>
      <c r="F70" s="160">
        <f t="shared" si="40"/>
        <v>1</v>
      </c>
      <c r="G70" s="160">
        <f t="shared" si="40"/>
        <v>1</v>
      </c>
      <c r="H70" s="160">
        <f t="shared" si="40"/>
        <v>1</v>
      </c>
      <c r="I70" s="160">
        <f t="shared" si="40"/>
        <v>2</v>
      </c>
      <c r="J70" s="160">
        <f t="shared" si="40"/>
        <v>4</v>
      </c>
      <c r="K70" s="160">
        <f t="shared" si="40"/>
        <v>0</v>
      </c>
      <c r="L70" s="160">
        <f t="shared" si="40"/>
        <v>3</v>
      </c>
      <c r="M70" s="108"/>
      <c r="N70" s="108"/>
      <c r="O70" s="108"/>
      <c r="AC70" s="91" t="s">
        <v>2</v>
      </c>
      <c r="AD70" s="161">
        <v>27</v>
      </c>
      <c r="AE70" s="161">
        <v>63</v>
      </c>
      <c r="AF70" s="161">
        <v>82</v>
      </c>
      <c r="AG70" s="161">
        <v>92.000050000000002</v>
      </c>
      <c r="AH70" s="161">
        <v>117.0001</v>
      </c>
      <c r="AI70" s="161">
        <v>136.00015999999999</v>
      </c>
      <c r="AJ70" s="161">
        <v>142.00021999999998</v>
      </c>
      <c r="AK70" s="161">
        <f>P24</f>
        <v>158.00027999999998</v>
      </c>
      <c r="AL70" s="161">
        <f>AK70+Z7</f>
        <v>178.00033999999997</v>
      </c>
      <c r="AM70" s="161">
        <f>T24</f>
        <v>201.00039999999996</v>
      </c>
      <c r="AN70" s="161">
        <f>V24</f>
        <v>223.00045999999995</v>
      </c>
    </row>
    <row r="71" spans="1:41" ht="12.9">
      <c r="H71" s="108"/>
      <c r="I71" s="108"/>
      <c r="J71" s="108"/>
      <c r="K71" s="108"/>
      <c r="L71" s="108"/>
      <c r="M71" s="108"/>
      <c r="N71" s="108"/>
      <c r="O71" s="108"/>
      <c r="AC71" s="91" t="s">
        <v>4</v>
      </c>
      <c r="AD71" s="161">
        <v>28</v>
      </c>
      <c r="AE71" s="161">
        <v>42</v>
      </c>
      <c r="AF71" s="161">
        <v>44</v>
      </c>
      <c r="AG71" s="161">
        <v>46.000059999999998</v>
      </c>
      <c r="AH71" s="161">
        <v>72.000119999999995</v>
      </c>
      <c r="AI71" s="161">
        <v>98.000169999999997</v>
      </c>
      <c r="AJ71" s="161">
        <v>128.00022000000001</v>
      </c>
      <c r="AK71" s="161">
        <f>P23</f>
        <v>161.00027</v>
      </c>
      <c r="AL71" s="161">
        <f>R24</f>
        <v>178.00033999999997</v>
      </c>
      <c r="AM71" s="161">
        <f>T23</f>
        <v>223.00036999999998</v>
      </c>
      <c r="AN71" s="161">
        <f>V23</f>
        <v>238.00041999999996</v>
      </c>
    </row>
    <row r="72" spans="1:41">
      <c r="AO72" s="109"/>
    </row>
    <row r="73" spans="1:41">
      <c r="AO73" s="109"/>
    </row>
    <row r="74" spans="1:41">
      <c r="AO74" s="109"/>
    </row>
    <row r="75" spans="1:41">
      <c r="AO75" s="109"/>
    </row>
    <row r="76" spans="1:41">
      <c r="AO76" s="109"/>
    </row>
    <row r="77" spans="1:41" ht="12.9">
      <c r="A77" s="91">
        <v>2016</v>
      </c>
      <c r="B77" s="91">
        <f>1+A77</f>
        <v>2017</v>
      </c>
      <c r="C77" s="91">
        <f t="shared" ref="C77:J77" si="41">1+B77</f>
        <v>2018</v>
      </c>
      <c r="D77" s="91">
        <f t="shared" si="41"/>
        <v>2019</v>
      </c>
      <c r="E77" s="91">
        <f t="shared" si="41"/>
        <v>2020</v>
      </c>
      <c r="F77" s="91">
        <f t="shared" si="41"/>
        <v>2021</v>
      </c>
      <c r="G77" s="91">
        <f t="shared" si="41"/>
        <v>2022</v>
      </c>
      <c r="H77" s="91">
        <f t="shared" si="41"/>
        <v>2023</v>
      </c>
      <c r="I77" s="91">
        <f t="shared" si="41"/>
        <v>2024</v>
      </c>
      <c r="J77" s="91">
        <f t="shared" si="41"/>
        <v>2025</v>
      </c>
      <c r="AO77" s="109"/>
    </row>
    <row r="78" spans="1:41">
      <c r="A78" s="102">
        <v>625</v>
      </c>
      <c r="B78" s="102">
        <v>975</v>
      </c>
      <c r="C78" s="102">
        <v>1441</v>
      </c>
      <c r="D78" s="102">
        <v>1395</v>
      </c>
      <c r="E78" s="102">
        <v>1326</v>
      </c>
      <c r="F78" s="102">
        <v>1810</v>
      </c>
      <c r="G78" s="102">
        <v>2190</v>
      </c>
      <c r="H78" s="102">
        <v>2995</v>
      </c>
      <c r="I78" s="102">
        <v>5382</v>
      </c>
      <c r="J78" s="102">
        <v>6598</v>
      </c>
      <c r="AO78" s="109"/>
    </row>
    <row r="79" spans="1:41">
      <c r="AO79" s="109"/>
    </row>
    <row r="80" spans="1:41">
      <c r="AO80" s="109"/>
    </row>
    <row r="81" spans="41:41">
      <c r="AO81" s="109"/>
    </row>
    <row r="82" spans="41:41">
      <c r="AO82" s="109"/>
    </row>
    <row r="83" spans="41:41">
      <c r="AO83" s="109"/>
    </row>
    <row r="84" spans="41:41">
      <c r="AO84" s="109"/>
    </row>
    <row r="85" spans="41:41">
      <c r="AO85" s="109"/>
    </row>
    <row r="86" spans="41:41">
      <c r="AO86" s="109"/>
    </row>
    <row r="87" spans="41:41">
      <c r="AO87" s="109"/>
    </row>
    <row r="88" spans="41:41">
      <c r="AO88" s="109"/>
    </row>
    <row r="89" spans="41:41">
      <c r="AO89" s="109"/>
    </row>
    <row r="90" spans="41:41">
      <c r="AO90" s="109"/>
    </row>
    <row r="91" spans="41:41">
      <c r="AO91" s="109"/>
    </row>
    <row r="92" spans="41:41">
      <c r="AO92" s="109"/>
    </row>
    <row r="93" spans="41:41">
      <c r="AO93" s="109"/>
    </row>
    <row r="94" spans="41:41">
      <c r="AO94" s="109"/>
    </row>
    <row r="95" spans="41:41">
      <c r="AO95" s="109"/>
    </row>
    <row r="96" spans="41:41">
      <c r="AO96" s="109"/>
    </row>
    <row r="97" spans="41:41">
      <c r="AO97" s="109"/>
    </row>
    <row r="98" spans="41:41">
      <c r="AO98" s="109"/>
    </row>
    <row r="99" spans="41:41">
      <c r="AO99" s="109"/>
    </row>
    <row r="100" spans="41:41">
      <c r="AO100" s="109"/>
    </row>
    <row r="101" spans="41:41">
      <c r="AO101" s="109"/>
    </row>
    <row r="102" spans="41:41">
      <c r="AO102" s="109"/>
    </row>
  </sheetData>
  <mergeCells count="12">
    <mergeCell ref="AR12:AR13"/>
    <mergeCell ref="L17:M17"/>
    <mergeCell ref="P17:Q17"/>
    <mergeCell ref="R17:S17"/>
    <mergeCell ref="N17:O17"/>
    <mergeCell ref="T17:U17"/>
    <mergeCell ref="V17:W17"/>
    <mergeCell ref="B17:C17"/>
    <mergeCell ref="D17:E17"/>
    <mergeCell ref="F17:G17"/>
    <mergeCell ref="H17:I17"/>
    <mergeCell ref="J17:K17"/>
  </mergeCells>
  <phoneticPr fontId="28"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U20"/>
  <sheetViews>
    <sheetView zoomScale="85" zoomScaleNormal="85" workbookViewId="0">
      <selection activeCell="F11" sqref="F10:F11"/>
    </sheetView>
  </sheetViews>
  <sheetFormatPr defaultColWidth="9.15234375" defaultRowHeight="14.15"/>
  <cols>
    <col min="1" max="1" width="12.84375" style="53" customWidth="1"/>
    <col min="2" max="2" width="18.53515625" style="53" customWidth="1"/>
    <col min="3" max="3" width="19.15234375" style="53" bestFit="1" customWidth="1"/>
    <col min="4" max="4" width="15.3046875" style="53" customWidth="1"/>
    <col min="5" max="5" width="19.69140625" style="53" customWidth="1"/>
    <col min="6" max="6" width="49.15234375" style="53" customWidth="1"/>
    <col min="7" max="7" width="20.84375" style="53" customWidth="1"/>
    <col min="8" max="8" width="15.15234375" style="53" customWidth="1"/>
    <col min="9" max="9" width="18.84375" style="53" customWidth="1"/>
    <col min="10" max="10" width="18.53515625" style="53" customWidth="1"/>
    <col min="11" max="11" width="17.3828125" style="53" customWidth="1"/>
    <col min="12" max="12" width="9.15234375" style="53"/>
    <col min="13" max="13" width="13.3046875" style="53" bestFit="1" customWidth="1"/>
    <col min="14" max="14" width="9.15234375" style="53"/>
    <col min="15" max="15" width="11.4609375" style="53" bestFit="1" customWidth="1"/>
    <col min="16" max="16" width="9.15234375" style="53"/>
    <col min="17" max="18" width="10.53515625" style="53" bestFit="1" customWidth="1"/>
    <col min="19" max="16384" width="9.15234375" style="53"/>
  </cols>
  <sheetData>
    <row r="1" spans="1:21" s="211" customFormat="1" ht="30" customHeight="1">
      <c r="A1" s="212" t="str">
        <f>'All-time DF Stats'!A1</f>
        <v>Rang und</v>
      </c>
      <c r="B1" s="212" t="str">
        <f>'All-time DF Stats'!B1</f>
        <v>Name</v>
      </c>
      <c r="C1" s="212" t="s">
        <v>340</v>
      </c>
      <c r="D1" s="212" t="str">
        <f>'All-time DF Stats'!E1</f>
        <v>Total PR%</v>
      </c>
      <c r="E1" s="212" t="s">
        <v>37</v>
      </c>
      <c r="F1" s="212" t="s">
        <v>54</v>
      </c>
      <c r="G1" s="212" t="s">
        <v>310</v>
      </c>
      <c r="H1" s="212" t="s">
        <v>68</v>
      </c>
      <c r="I1" s="212" t="s">
        <v>99</v>
      </c>
      <c r="J1" s="212" t="s">
        <v>112</v>
      </c>
      <c r="K1" s="212" t="s">
        <v>119</v>
      </c>
      <c r="L1" s="212" t="s">
        <v>284</v>
      </c>
      <c r="M1" s="212" t="s">
        <v>339</v>
      </c>
      <c r="N1" s="212" t="s">
        <v>364</v>
      </c>
      <c r="O1" s="218" t="s">
        <v>390</v>
      </c>
    </row>
    <row r="2" spans="1:21" ht="15">
      <c r="A2" s="45">
        <f>'All-time DF Stats'!A2</f>
        <v>1</v>
      </c>
      <c r="B2" s="38" t="str">
        <f>'All-time DF Stats'!B2</f>
        <v>MSO/MST</v>
      </c>
      <c r="C2" s="43">
        <f>'All-time DF Stats'!C2</f>
        <v>418.00079999999991</v>
      </c>
      <c r="D2" s="39">
        <f ca="1">'All-time DF Stats'!E2</f>
        <v>0.79771145038167923</v>
      </c>
      <c r="E2" s="54">
        <f>'All-time DF Stats'!Q2</f>
        <v>1440.25</v>
      </c>
      <c r="F2" s="163" t="s">
        <v>283</v>
      </c>
      <c r="G2" s="163"/>
      <c r="H2" s="79">
        <f ca="1">1/(1-(C2/'All-time DF Stats'!AN2))</f>
        <v>4.9434335353474328</v>
      </c>
      <c r="I2" s="110">
        <f t="shared" ref="I2:I6" si="0">C2-C3</f>
        <v>13.000079999999912</v>
      </c>
      <c r="J2" s="131" t="s">
        <v>85</v>
      </c>
      <c r="K2" s="133" t="s">
        <v>85</v>
      </c>
      <c r="L2" s="133">
        <f ca="1">E2/('All-time DF Stats'!AN2-'All-time DF Stats'!C2)</f>
        <v>13.587366697107138</v>
      </c>
      <c r="M2" s="40">
        <f>C2/$C$8</f>
        <v>0.20910459263641887</v>
      </c>
      <c r="N2" s="110">
        <v>3</v>
      </c>
      <c r="O2" s="55">
        <f>SUM('Stats 2026'!T21+'Stats 2025'!T21+'Stats 2024'!T21+'Stats 2023'!T21+'Stats 2022'!T21+'Stats 2021'!T21+'Stats 2020'!T21+'Stats 2019'!T21+'Stats 2018'!U21)</f>
        <v>80.5</v>
      </c>
      <c r="P2" s="222" t="s">
        <v>32</v>
      </c>
      <c r="Q2" s="223">
        <v>42524</v>
      </c>
      <c r="R2" s="223">
        <v>46314</v>
      </c>
      <c r="S2" s="222">
        <v>3790</v>
      </c>
      <c r="T2" s="222">
        <v>3790</v>
      </c>
      <c r="U2" s="222">
        <v>3839</v>
      </c>
    </row>
    <row r="3" spans="1:21" ht="15">
      <c r="A3" s="45">
        <f>'All-time DF Stats'!A3</f>
        <v>2</v>
      </c>
      <c r="B3" s="37" t="str">
        <f>'All-time DF Stats'!B3</f>
        <v>SJU</v>
      </c>
      <c r="C3" s="44">
        <f>'All-time DF Stats'!C3</f>
        <v>405.00072</v>
      </c>
      <c r="D3" s="40">
        <f ca="1">'All-time DF Stats'!E3</f>
        <v>0.76271322033898303</v>
      </c>
      <c r="E3" s="55">
        <f>'All-time DF Stats'!Q3</f>
        <v>1529.75</v>
      </c>
      <c r="F3" s="78" t="s">
        <v>381</v>
      </c>
      <c r="G3" s="78"/>
      <c r="H3" s="80">
        <f ca="1">1/(1-(C3/'All-time DF Stats'!AN3))</f>
        <v>4.2143097960559768</v>
      </c>
      <c r="I3" s="110">
        <f>C3-C4</f>
        <v>34.000260000000026</v>
      </c>
      <c r="J3" s="110">
        <f>$C$2-C3</f>
        <v>13.000079999999912</v>
      </c>
      <c r="K3" s="132">
        <f>1/(C3/$C$2)</f>
        <v>1.032098905898241</v>
      </c>
      <c r="L3" s="133">
        <f ca="1">E3/('All-time DF Stats'!AN3-'All-time DF Stats'!C3)</f>
        <v>12.140942392686689</v>
      </c>
      <c r="M3" s="40">
        <f>C3/$C$8</f>
        <v>0.202601312181834</v>
      </c>
      <c r="N3" s="110">
        <v>1</v>
      </c>
      <c r="O3" s="55">
        <f>SUM('Stats 2026'!S21+'Stats 2025'!S21+'Stats 2024'!S21+'Stats 2023'!S21+'Stats 2022'!S21+'Stats 2021'!S21+'Stats 2020'!S21+'Stats 2019'!S21+'Stats 2018'!T21)</f>
        <v>44.5</v>
      </c>
      <c r="P3" s="222" t="s">
        <v>3</v>
      </c>
      <c r="Q3" s="223">
        <v>42475</v>
      </c>
      <c r="R3" s="223">
        <v>46427.748704249214</v>
      </c>
      <c r="S3"/>
      <c r="T3" s="222">
        <v>3952.7487042492166</v>
      </c>
      <c r="U3"/>
    </row>
    <row r="4" spans="1:21" ht="15">
      <c r="A4" s="45">
        <f>'All-time DF Stats'!A4</f>
        <v>3</v>
      </c>
      <c r="B4" s="37" t="str">
        <f>'All-time DF Stats'!B4</f>
        <v>JWU</v>
      </c>
      <c r="C4" s="44">
        <f>'All-time DF Stats'!C4</f>
        <v>371.00045999999998</v>
      </c>
      <c r="D4" s="40">
        <f ca="1">'All-time DF Stats'!E4</f>
        <v>0.69868259887005646</v>
      </c>
      <c r="E4" s="55">
        <f>'All-time DF Stats'!Q4</f>
        <v>1964</v>
      </c>
      <c r="F4" s="78" t="s">
        <v>382</v>
      </c>
      <c r="G4" s="78"/>
      <c r="H4" s="80">
        <f ca="1">1/(1-(C4/'All-time DF Stats'!AN4))</f>
        <v>3.318759541433681</v>
      </c>
      <c r="I4" s="110">
        <f>C4-C5</f>
        <v>26.999879999999962</v>
      </c>
      <c r="J4" s="110">
        <f>$C$2-C4</f>
        <v>47.000339999999937</v>
      </c>
      <c r="K4" s="132">
        <f>1/(C4/$C$2)</f>
        <v>1.1266853954844152</v>
      </c>
      <c r="L4" s="133">
        <f ca="1">E4/('All-time DF Stats'!AN4-'All-time DF Stats'!C4)</f>
        <v>12.275035290726459</v>
      </c>
      <c r="M4" s="40">
        <f>C4/$C$8</f>
        <v>0.1855927071341108</v>
      </c>
      <c r="N4" s="110">
        <v>4</v>
      </c>
      <c r="O4" s="55">
        <f>SUM('Stats 2026'!O21+'Stats 2025'!O21+'Stats 2024'!O21+'Stats 2023'!O21+'Stats 2022'!O21+'Stats 2021'!O21+'Stats 2020'!O21+'Stats 2019'!O21+'Stats 2018'!O21)</f>
        <v>84</v>
      </c>
      <c r="P4" s="222" t="s">
        <v>0</v>
      </c>
      <c r="Q4" s="223">
        <v>42475</v>
      </c>
      <c r="R4" s="223">
        <v>46801.659678206888</v>
      </c>
      <c r="S4"/>
      <c r="T4" s="222">
        <v>4326.6596782068864</v>
      </c>
      <c r="U4"/>
    </row>
    <row r="5" spans="1:21" ht="15">
      <c r="A5" s="45">
        <f>'All-time DF Stats'!A5</f>
        <v>4</v>
      </c>
      <c r="B5" s="37" t="str">
        <f>'All-time DF Stats'!B5</f>
        <v>PKN</v>
      </c>
      <c r="C5" s="44">
        <f>'All-time DF Stats'!C5</f>
        <v>344.00058000000001</v>
      </c>
      <c r="D5" s="40">
        <f ca="1">'All-time DF Stats'!E5</f>
        <v>0.64783536723163848</v>
      </c>
      <c r="E5" s="55">
        <f>'All-time DF Stats'!Q5</f>
        <v>2173.0699999999997</v>
      </c>
      <c r="F5" s="78" t="s">
        <v>293</v>
      </c>
      <c r="G5" s="78"/>
      <c r="H5" s="80">
        <f ca="1">1/(1-(C5/'All-time DF Stats'!AN5))</f>
        <v>2.8395809997699462</v>
      </c>
      <c r="I5" s="110">
        <f>C5-C6</f>
        <v>106.00016000000005</v>
      </c>
      <c r="J5" s="110">
        <f t="shared" ref="J5:J7" si="1">$C$2-C5</f>
        <v>74.000219999999899</v>
      </c>
      <c r="K5" s="132">
        <f>1/(C5/$C$2)</f>
        <v>1.2151165559081323</v>
      </c>
      <c r="L5" s="133">
        <f ca="1">E5/('All-time DF Stats'!AN5-'All-time DF Stats'!C5)</f>
        <v>11.620731230075473</v>
      </c>
      <c r="M5" s="40">
        <f t="shared" ref="M5" si="2">C5/$C$8</f>
        <v>0.1720860370305316</v>
      </c>
      <c r="N5" s="110">
        <v>0</v>
      </c>
      <c r="O5" s="55">
        <f>SUM('Stats 2026'!Q21+'Stats 2025'!Q21+'Stats 2024'!Q21+'Stats 2023'!Q21+'Stats 2022'!Q21+'Stats 2021'!Q21+'Stats 2020'!Q21+'Stats 2019'!Q21+'Stats 2018'!R21)</f>
        <v>3</v>
      </c>
      <c r="P5" s="222" t="s">
        <v>1</v>
      </c>
      <c r="Q5" s="223">
        <v>42475</v>
      </c>
      <c r="R5" s="223">
        <v>47128.672593226438</v>
      </c>
      <c r="S5"/>
      <c r="T5" s="222">
        <v>4653.6725932264408</v>
      </c>
      <c r="U5"/>
    </row>
    <row r="6" spans="1:21" ht="15">
      <c r="A6" s="45">
        <f>'All-time DF Stats'!A6</f>
        <v>5</v>
      </c>
      <c r="B6" s="37" t="str">
        <f>'All-time DF Stats'!B6</f>
        <v>CBO</v>
      </c>
      <c r="C6" s="44">
        <f>'All-time DF Stats'!C6</f>
        <v>238.00041999999996</v>
      </c>
      <c r="D6" s="40">
        <f ca="1">'All-time DF Stats'!E6</f>
        <v>0.4482117137476459</v>
      </c>
      <c r="E6" s="55">
        <f>'All-time DF Stats'!Q6</f>
        <v>2095.5</v>
      </c>
      <c r="F6" s="78" t="s">
        <v>55</v>
      </c>
      <c r="G6" s="78"/>
      <c r="H6" s="80">
        <f ca="1">1/(1-(C6/'All-time DF Stats'!AN6))</f>
        <v>1.8122892872406164</v>
      </c>
      <c r="I6" s="110">
        <f t="shared" si="0"/>
        <v>14.999960000000016</v>
      </c>
      <c r="J6" s="110">
        <f t="shared" si="1"/>
        <v>180.00037999999995</v>
      </c>
      <c r="K6" s="132">
        <f>1/(C6/$C$2)</f>
        <v>1.7563027829950886</v>
      </c>
      <c r="L6" s="133">
        <f ca="1">E6/('All-time DF Stats'!AN6-'All-time DF Stats'!C6)</f>
        <v>7.1518873849580249</v>
      </c>
      <c r="M6" s="40">
        <f>C6/$C$8</f>
        <v>0.11905953498509236</v>
      </c>
      <c r="N6" s="110">
        <v>1</v>
      </c>
      <c r="O6" s="55">
        <f>SUM('Stats 2026'!P21+'Stats 2025'!P21+'Stats 2024'!P21+'Stats 2023'!P21+'Stats 2022'!P21+'Stats 2021'!P21+'Stats 2020'!P21+'Stats 2019'!P21+'Stats 2018'!Q21)</f>
        <v>30</v>
      </c>
      <c r="P6" s="222" t="s">
        <v>4</v>
      </c>
      <c r="Q6" s="223">
        <v>42475</v>
      </c>
      <c r="R6" s="223">
        <v>49201.316160282404</v>
      </c>
      <c r="S6"/>
      <c r="T6" s="222">
        <v>6726.3161602824057</v>
      </c>
      <c r="U6"/>
    </row>
    <row r="7" spans="1:21" ht="15">
      <c r="A7" s="45">
        <f>'All-time DF Stats'!A7</f>
        <v>6</v>
      </c>
      <c r="B7" s="37" t="str">
        <f>'All-time DF Stats'!B7</f>
        <v>YMI</v>
      </c>
      <c r="C7" s="44">
        <f>'All-time DF Stats'!C7</f>
        <v>223.00045999999995</v>
      </c>
      <c r="D7" s="46">
        <f ca="1">'All-time DF Stats'!E7</f>
        <v>0.41996320150659122</v>
      </c>
      <c r="E7" s="55">
        <f>'All-time DF Stats'!Q7</f>
        <v>2791</v>
      </c>
      <c r="F7" s="78" t="s">
        <v>55</v>
      </c>
      <c r="G7" s="78"/>
      <c r="H7" s="80">
        <f ca="1">1/(1-(C7/'All-time DF Stats'!AN7))</f>
        <v>1.7240285488738065</v>
      </c>
      <c r="I7" s="110"/>
      <c r="J7" s="110">
        <f t="shared" si="1"/>
        <v>195.00033999999997</v>
      </c>
      <c r="K7" s="132">
        <f t="shared" ref="K7" si="3">1/(C7/$C$2)</f>
        <v>1.8744391827711926</v>
      </c>
      <c r="L7" s="133">
        <f ca="1">E7/('All-time DF Stats'!AN7-'All-time DF Stats'!C7)</f>
        <v>9.0617018453988596</v>
      </c>
      <c r="M7" s="40">
        <f>C7/$C$8</f>
        <v>0.11155581603201242</v>
      </c>
      <c r="N7" s="110">
        <v>3</v>
      </c>
      <c r="O7" s="55">
        <f>SUM('Stats 2026'!R21+'Stats 2025'!R21+'Stats 2024'!R21+'Stats 2023'!R21+'Stats 2022'!R21+'Stats 2021'!R21+'Stats 2020'!R21+'Stats 2019'!R21+'Stats 2018'!S21)</f>
        <v>47.25</v>
      </c>
      <c r="P7" s="222" t="s">
        <v>2</v>
      </c>
      <c r="Q7" s="223">
        <v>42475</v>
      </c>
      <c r="R7" s="223">
        <v>49686.093486923404</v>
      </c>
      <c r="S7"/>
      <c r="T7" s="222">
        <v>7211.0934869234061</v>
      </c>
      <c r="U7"/>
    </row>
    <row r="8" spans="1:21">
      <c r="C8" s="147">
        <f>SUM(C2:C7)</f>
        <v>1999.0034399999997</v>
      </c>
      <c r="E8" s="147"/>
      <c r="O8" s="219">
        <f>SUM(O2:O7)</f>
        <v>289.25</v>
      </c>
    </row>
    <row r="9" spans="1:21">
      <c r="O9" s="219">
        <f ca="1">'Executive Summary für dä JWU'!O8/SUM('All-time DF Stats'!AD2:AM2)</f>
        <v>0.58434343434343439</v>
      </c>
    </row>
    <row r="15" spans="1:21">
      <c r="F15" s="216"/>
    </row>
    <row r="16" spans="1:21">
      <c r="F16" s="216"/>
    </row>
    <row r="17" spans="6:6">
      <c r="F17" s="216"/>
    </row>
    <row r="18" spans="6:6">
      <c r="F18" s="216"/>
    </row>
    <row r="19" spans="6:6">
      <c r="F19" s="216"/>
    </row>
    <row r="20" spans="6:6">
      <c r="F20" s="216"/>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B533"/>
  <sheetViews>
    <sheetView zoomScale="55" zoomScaleNormal="55" workbookViewId="0">
      <pane xSplit="7" ySplit="1" topLeftCell="H494" activePane="bottomRight" state="frozen"/>
      <selection pane="topRight" activeCell="P1" sqref="P1"/>
      <selection pane="bottomLeft" activeCell="A24" sqref="A24"/>
      <selection pane="bottomRight" activeCell="P539" sqref="P539"/>
    </sheetView>
  </sheetViews>
  <sheetFormatPr defaultColWidth="11.3828125" defaultRowHeight="16.75"/>
  <cols>
    <col min="1" max="1" width="12.69140625" style="1" customWidth="1"/>
    <col min="2" max="7" width="7.15234375" style="129" customWidth="1"/>
    <col min="8" max="9" width="1.53515625" style="130" customWidth="1"/>
    <col min="10" max="10" width="38.53515625" style="57" customWidth="1"/>
    <col min="11" max="11" width="15" style="1" customWidth="1"/>
    <col min="12" max="18" width="11.3828125" style="126" customWidth="1"/>
    <col min="19" max="21" width="11.3828125" style="1"/>
    <col min="22" max="22" width="11.3828125" style="1" customWidth="1"/>
    <col min="23" max="16384" width="11.3828125" style="1"/>
  </cols>
  <sheetData>
    <row r="1" spans="1:24">
      <c r="A1" s="10" t="s">
        <v>11</v>
      </c>
      <c r="B1" s="127" t="s">
        <v>0</v>
      </c>
      <c r="C1" s="127" t="s">
        <v>4</v>
      </c>
      <c r="D1" s="127" t="s">
        <v>1</v>
      </c>
      <c r="E1" s="127" t="s">
        <v>2</v>
      </c>
      <c r="F1" s="127" t="s">
        <v>3</v>
      </c>
      <c r="G1" s="127" t="s">
        <v>21</v>
      </c>
      <c r="J1" s="57" t="s">
        <v>141</v>
      </c>
      <c r="K1" s="10" t="s">
        <v>11</v>
      </c>
      <c r="L1" s="125" t="s">
        <v>0</v>
      </c>
      <c r="M1" s="125" t="s">
        <v>4</v>
      </c>
      <c r="N1" s="125" t="s">
        <v>1</v>
      </c>
      <c r="O1" s="125" t="s">
        <v>2</v>
      </c>
      <c r="P1" s="125" t="s">
        <v>3</v>
      </c>
      <c r="Q1" s="125" t="s">
        <v>21</v>
      </c>
      <c r="R1" s="143"/>
      <c r="W1" s="1" t="s">
        <v>32</v>
      </c>
      <c r="X1" s="1" t="s">
        <v>311</v>
      </c>
    </row>
    <row r="2" spans="1:24">
      <c r="A2" s="124">
        <f t="shared" ref="A2:A36" si="0">A3-7</f>
        <v>42475</v>
      </c>
      <c r="B2" s="127">
        <v>0.77777777999999997</v>
      </c>
      <c r="C2" s="127">
        <v>0.77777777999999997</v>
      </c>
      <c r="D2" s="127">
        <f>30/36</f>
        <v>0.83333333333333337</v>
      </c>
      <c r="E2" s="127">
        <v>0.75</v>
      </c>
      <c r="F2" s="127">
        <v>0.75</v>
      </c>
      <c r="G2" s="127">
        <v>0</v>
      </c>
      <c r="K2" s="86">
        <v>42475</v>
      </c>
      <c r="L2" s="126">
        <f t="shared" ref="L2:Q2" si="1">B2</f>
        <v>0.77777777999999997</v>
      </c>
      <c r="M2" s="126">
        <f t="shared" si="1"/>
        <v>0.77777777999999997</v>
      </c>
      <c r="N2" s="126">
        <f t="shared" si="1"/>
        <v>0.83333333333333337</v>
      </c>
      <c r="O2" s="126">
        <f t="shared" si="1"/>
        <v>0.75</v>
      </c>
      <c r="P2" s="126">
        <f t="shared" si="1"/>
        <v>0.75</v>
      </c>
      <c r="Q2" s="126">
        <f t="shared" si="1"/>
        <v>0</v>
      </c>
      <c r="R2" s="126">
        <f>Q2-MAX(L2:P2)</f>
        <v>-0.83333333333333337</v>
      </c>
      <c r="T2" s="126">
        <f>Q2-MAX(L2:P2)</f>
        <v>-0.83333333333333337</v>
      </c>
      <c r="U2" s="126">
        <f t="shared" ref="U2:U65" si="2">SUM(L2:Q2)</f>
        <v>3.8888888933333332</v>
      </c>
      <c r="W2" s="126">
        <f>Q2</f>
        <v>0</v>
      </c>
      <c r="X2" s="126">
        <f>M2+O2</f>
        <v>1.5277777800000001</v>
      </c>
    </row>
    <row r="3" spans="1:24">
      <c r="A3" s="124">
        <f t="shared" si="0"/>
        <v>42482</v>
      </c>
      <c r="B3" s="127">
        <f>B2</f>
        <v>0.77777777999999997</v>
      </c>
      <c r="C3" s="127">
        <f>C2</f>
        <v>0.77777777999999997</v>
      </c>
      <c r="D3" s="127">
        <f>D2</f>
        <v>0.83333333333333337</v>
      </c>
      <c r="E3" s="127">
        <f>E2</f>
        <v>0.75</v>
      </c>
      <c r="F3" s="127">
        <f>F2</f>
        <v>0.75</v>
      </c>
      <c r="G3" s="127">
        <v>0</v>
      </c>
      <c r="K3" s="86">
        <v>42482</v>
      </c>
      <c r="L3" s="126">
        <f t="shared" ref="L3:L66" si="3">B3+L2</f>
        <v>1.5555555599999999</v>
      </c>
      <c r="M3" s="126">
        <f t="shared" ref="M3:M66" si="4">C3+M2</f>
        <v>1.5555555599999999</v>
      </c>
      <c r="N3" s="126">
        <f t="shared" ref="N3:N66" si="5">D3+N2</f>
        <v>1.6666666666666667</v>
      </c>
      <c r="O3" s="126">
        <f t="shared" ref="O3:O66" si="6">E3+O2</f>
        <v>1.5</v>
      </c>
      <c r="P3" s="126">
        <f t="shared" ref="P3:P66" si="7">F3+P2</f>
        <v>1.5</v>
      </c>
      <c r="Q3" s="126">
        <f t="shared" ref="Q3:Q66" si="8">G3+Q2</f>
        <v>0</v>
      </c>
      <c r="R3" s="126">
        <f t="shared" ref="R3:R66" si="9">Q3-MAX(L3:P3)</f>
        <v>-1.6666666666666667</v>
      </c>
      <c r="T3" s="126">
        <f t="shared" ref="T3:T66" si="10">Q3-MAX(L3:P3)</f>
        <v>-1.6666666666666667</v>
      </c>
      <c r="U3" s="126">
        <f t="shared" si="2"/>
        <v>7.7777777866666664</v>
      </c>
      <c r="W3" s="126">
        <f t="shared" ref="W3:W66" si="11">Q3</f>
        <v>0</v>
      </c>
      <c r="X3" s="126">
        <f t="shared" ref="X3:X66" si="12">M3+O3</f>
        <v>3.0555555600000002</v>
      </c>
    </row>
    <row r="4" spans="1:24">
      <c r="A4" s="124">
        <f t="shared" si="0"/>
        <v>42489</v>
      </c>
      <c r="B4" s="127">
        <f t="shared" ref="B4:B37" si="13">B3</f>
        <v>0.77777777999999997</v>
      </c>
      <c r="C4" s="127">
        <f t="shared" ref="C4:C37" si="14">C3</f>
        <v>0.77777777999999997</v>
      </c>
      <c r="D4" s="127">
        <f t="shared" ref="D4:D37" si="15">D3</f>
        <v>0.83333333333333337</v>
      </c>
      <c r="E4" s="127">
        <f t="shared" ref="E4:E37" si="16">E3</f>
        <v>0.75</v>
      </c>
      <c r="F4" s="127">
        <f t="shared" ref="F4:F37" si="17">F3</f>
        <v>0.75</v>
      </c>
      <c r="G4" s="127">
        <v>0</v>
      </c>
      <c r="K4" s="86">
        <v>42489</v>
      </c>
      <c r="L4" s="126">
        <f t="shared" si="3"/>
        <v>2.3333333399999998</v>
      </c>
      <c r="M4" s="126">
        <f t="shared" si="4"/>
        <v>2.3333333399999998</v>
      </c>
      <c r="N4" s="126">
        <f t="shared" si="5"/>
        <v>2.5</v>
      </c>
      <c r="O4" s="126">
        <f t="shared" si="6"/>
        <v>2.25</v>
      </c>
      <c r="P4" s="126">
        <f t="shared" si="7"/>
        <v>2.25</v>
      </c>
      <c r="Q4" s="126">
        <f t="shared" si="8"/>
        <v>0</v>
      </c>
      <c r="R4" s="126">
        <f t="shared" si="9"/>
        <v>-2.5</v>
      </c>
      <c r="T4" s="126">
        <f t="shared" si="10"/>
        <v>-2.5</v>
      </c>
      <c r="U4" s="126">
        <f t="shared" si="2"/>
        <v>11.666666679999999</v>
      </c>
      <c r="W4" s="126">
        <f t="shared" si="11"/>
        <v>0</v>
      </c>
      <c r="X4" s="126">
        <f t="shared" si="12"/>
        <v>4.5833333399999994</v>
      </c>
    </row>
    <row r="5" spans="1:24">
      <c r="A5" s="124">
        <f t="shared" si="0"/>
        <v>42496</v>
      </c>
      <c r="B5" s="127">
        <f t="shared" si="13"/>
        <v>0.77777777999999997</v>
      </c>
      <c r="C5" s="127">
        <f t="shared" si="14"/>
        <v>0.77777777999999997</v>
      </c>
      <c r="D5" s="127">
        <f t="shared" si="15"/>
        <v>0.83333333333333337</v>
      </c>
      <c r="E5" s="127">
        <f t="shared" si="16"/>
        <v>0.75</v>
      </c>
      <c r="F5" s="127">
        <f t="shared" si="17"/>
        <v>0.75</v>
      </c>
      <c r="G5" s="127">
        <v>0</v>
      </c>
      <c r="K5" s="86">
        <v>42496</v>
      </c>
      <c r="L5" s="126">
        <f t="shared" si="3"/>
        <v>3.1111111199999999</v>
      </c>
      <c r="M5" s="126">
        <f t="shared" si="4"/>
        <v>3.1111111199999999</v>
      </c>
      <c r="N5" s="126">
        <f t="shared" si="5"/>
        <v>3.3333333333333335</v>
      </c>
      <c r="O5" s="126">
        <f t="shared" si="6"/>
        <v>3</v>
      </c>
      <c r="P5" s="126">
        <f t="shared" si="7"/>
        <v>3</v>
      </c>
      <c r="Q5" s="126">
        <f t="shared" si="8"/>
        <v>0</v>
      </c>
      <c r="R5" s="126">
        <f t="shared" si="9"/>
        <v>-3.3333333333333335</v>
      </c>
      <c r="T5" s="126">
        <f t="shared" si="10"/>
        <v>-3.3333333333333335</v>
      </c>
      <c r="U5" s="126">
        <f t="shared" si="2"/>
        <v>15.555555573333333</v>
      </c>
      <c r="W5" s="126">
        <f t="shared" si="11"/>
        <v>0</v>
      </c>
      <c r="X5" s="126">
        <f t="shared" si="12"/>
        <v>6.1111111200000003</v>
      </c>
    </row>
    <row r="6" spans="1:24">
      <c r="A6" s="124">
        <f t="shared" si="0"/>
        <v>42503</v>
      </c>
      <c r="B6" s="127">
        <f t="shared" si="13"/>
        <v>0.77777777999999997</v>
      </c>
      <c r="C6" s="127">
        <f t="shared" si="14"/>
        <v>0.77777777999999997</v>
      </c>
      <c r="D6" s="127">
        <f t="shared" si="15"/>
        <v>0.83333333333333337</v>
      </c>
      <c r="E6" s="127">
        <f t="shared" si="16"/>
        <v>0.75</v>
      </c>
      <c r="F6" s="127">
        <f t="shared" si="17"/>
        <v>0.75</v>
      </c>
      <c r="G6" s="127">
        <v>0</v>
      </c>
      <c r="K6" s="86">
        <v>42503</v>
      </c>
      <c r="L6" s="126">
        <f t="shared" si="3"/>
        <v>3.8888889</v>
      </c>
      <c r="M6" s="126">
        <f t="shared" si="4"/>
        <v>3.8888889</v>
      </c>
      <c r="N6" s="126">
        <f t="shared" si="5"/>
        <v>4.166666666666667</v>
      </c>
      <c r="O6" s="126">
        <f t="shared" si="6"/>
        <v>3.75</v>
      </c>
      <c r="P6" s="126">
        <f t="shared" si="7"/>
        <v>3.75</v>
      </c>
      <c r="Q6" s="126">
        <f t="shared" si="8"/>
        <v>0</v>
      </c>
      <c r="R6" s="126">
        <f t="shared" si="9"/>
        <v>-4.166666666666667</v>
      </c>
      <c r="T6" s="126">
        <f t="shared" si="10"/>
        <v>-4.166666666666667</v>
      </c>
      <c r="U6" s="126">
        <f t="shared" si="2"/>
        <v>19.444444466666667</v>
      </c>
      <c r="W6" s="126">
        <f t="shared" si="11"/>
        <v>0</v>
      </c>
      <c r="X6" s="126">
        <f t="shared" si="12"/>
        <v>7.6388888999999995</v>
      </c>
    </row>
    <row r="7" spans="1:24">
      <c r="A7" s="124">
        <f t="shared" si="0"/>
        <v>42510</v>
      </c>
      <c r="B7" s="127">
        <f t="shared" si="13"/>
        <v>0.77777777999999997</v>
      </c>
      <c r="C7" s="127">
        <f t="shared" si="14"/>
        <v>0.77777777999999997</v>
      </c>
      <c r="D7" s="127">
        <f t="shared" si="15"/>
        <v>0.83333333333333337</v>
      </c>
      <c r="E7" s="127">
        <f t="shared" si="16"/>
        <v>0.75</v>
      </c>
      <c r="F7" s="127">
        <f t="shared" si="17"/>
        <v>0.75</v>
      </c>
      <c r="G7" s="127">
        <v>0</v>
      </c>
      <c r="K7" s="86">
        <v>42510</v>
      </c>
      <c r="L7" s="126">
        <f t="shared" si="3"/>
        <v>4.6666666799999996</v>
      </c>
      <c r="M7" s="126">
        <f t="shared" si="4"/>
        <v>4.6666666799999996</v>
      </c>
      <c r="N7" s="126">
        <f t="shared" si="5"/>
        <v>5</v>
      </c>
      <c r="O7" s="126">
        <f t="shared" si="6"/>
        <v>4.5</v>
      </c>
      <c r="P7" s="126">
        <f t="shared" si="7"/>
        <v>4.5</v>
      </c>
      <c r="Q7" s="126">
        <f t="shared" si="8"/>
        <v>0</v>
      </c>
      <c r="R7" s="126">
        <f t="shared" si="9"/>
        <v>-5</v>
      </c>
      <c r="T7" s="126">
        <f t="shared" si="10"/>
        <v>-5</v>
      </c>
      <c r="U7" s="126">
        <f t="shared" si="2"/>
        <v>23.333333359999997</v>
      </c>
      <c r="W7" s="126">
        <f t="shared" si="11"/>
        <v>0</v>
      </c>
      <c r="X7" s="126">
        <f t="shared" si="12"/>
        <v>9.1666666799999987</v>
      </c>
    </row>
    <row r="8" spans="1:24">
      <c r="A8" s="124">
        <f t="shared" si="0"/>
        <v>42517</v>
      </c>
      <c r="B8" s="127">
        <f t="shared" si="13"/>
        <v>0.77777777999999997</v>
      </c>
      <c r="C8" s="127">
        <f t="shared" si="14"/>
        <v>0.77777777999999997</v>
      </c>
      <c r="D8" s="127">
        <f t="shared" si="15"/>
        <v>0.83333333333333337</v>
      </c>
      <c r="E8" s="127">
        <f t="shared" si="16"/>
        <v>0.75</v>
      </c>
      <c r="F8" s="127">
        <f t="shared" si="17"/>
        <v>0.75</v>
      </c>
      <c r="G8" s="127">
        <v>0</v>
      </c>
      <c r="K8" s="86">
        <v>42517</v>
      </c>
      <c r="L8" s="126">
        <f t="shared" si="3"/>
        <v>5.4444444599999997</v>
      </c>
      <c r="M8" s="126">
        <f t="shared" si="4"/>
        <v>5.4444444599999997</v>
      </c>
      <c r="N8" s="126">
        <f t="shared" si="5"/>
        <v>5.833333333333333</v>
      </c>
      <c r="O8" s="126">
        <f t="shared" si="6"/>
        <v>5.25</v>
      </c>
      <c r="P8" s="126">
        <f t="shared" si="7"/>
        <v>5.25</v>
      </c>
      <c r="Q8" s="126">
        <f t="shared" si="8"/>
        <v>0</v>
      </c>
      <c r="R8" s="126">
        <f t="shared" si="9"/>
        <v>-5.833333333333333</v>
      </c>
      <c r="T8" s="126">
        <f t="shared" si="10"/>
        <v>-5.833333333333333</v>
      </c>
      <c r="U8" s="126">
        <f t="shared" si="2"/>
        <v>27.222222253333332</v>
      </c>
      <c r="W8" s="126">
        <f t="shared" si="11"/>
        <v>0</v>
      </c>
      <c r="X8" s="126">
        <f t="shared" si="12"/>
        <v>10.69444446</v>
      </c>
    </row>
    <row r="9" spans="1:24">
      <c r="A9" s="124">
        <f t="shared" si="0"/>
        <v>42524</v>
      </c>
      <c r="B9" s="127">
        <f t="shared" si="13"/>
        <v>0.77777777999999997</v>
      </c>
      <c r="C9" s="127">
        <f t="shared" si="14"/>
        <v>0.77777777999999997</v>
      </c>
      <c r="D9" s="127">
        <f t="shared" si="15"/>
        <v>0.83333333333333337</v>
      </c>
      <c r="E9" s="127">
        <f t="shared" si="16"/>
        <v>0.75</v>
      </c>
      <c r="F9" s="127">
        <f t="shared" si="17"/>
        <v>0.75</v>
      </c>
      <c r="G9" s="127">
        <f>25/29</f>
        <v>0.86206896551724133</v>
      </c>
      <c r="K9" s="86">
        <v>42524</v>
      </c>
      <c r="L9" s="126">
        <f t="shared" si="3"/>
        <v>6.2222222399999998</v>
      </c>
      <c r="M9" s="126">
        <f t="shared" si="4"/>
        <v>6.2222222399999998</v>
      </c>
      <c r="N9" s="126">
        <f t="shared" si="5"/>
        <v>6.6666666666666661</v>
      </c>
      <c r="O9" s="126">
        <f t="shared" si="6"/>
        <v>6</v>
      </c>
      <c r="P9" s="126">
        <f t="shared" si="7"/>
        <v>6</v>
      </c>
      <c r="Q9" s="126">
        <f t="shared" si="8"/>
        <v>0.86206896551724133</v>
      </c>
      <c r="R9" s="126">
        <f t="shared" si="9"/>
        <v>-5.804597701149425</v>
      </c>
      <c r="T9" s="126">
        <f t="shared" si="10"/>
        <v>-5.804597701149425</v>
      </c>
      <c r="U9" s="126">
        <f t="shared" si="2"/>
        <v>31.973180112183908</v>
      </c>
      <c r="W9" s="126">
        <f t="shared" si="11"/>
        <v>0.86206896551724133</v>
      </c>
      <c r="X9" s="126">
        <f t="shared" si="12"/>
        <v>12.222222240000001</v>
      </c>
    </row>
    <row r="10" spans="1:24">
      <c r="A10" s="124">
        <f t="shared" si="0"/>
        <v>42531</v>
      </c>
      <c r="B10" s="127">
        <f t="shared" si="13"/>
        <v>0.77777777999999997</v>
      </c>
      <c r="C10" s="127">
        <f t="shared" si="14"/>
        <v>0.77777777999999997</v>
      </c>
      <c r="D10" s="127">
        <f t="shared" si="15"/>
        <v>0.83333333333333337</v>
      </c>
      <c r="E10" s="127">
        <f t="shared" si="16"/>
        <v>0.75</v>
      </c>
      <c r="F10" s="127">
        <f t="shared" si="17"/>
        <v>0.75</v>
      </c>
      <c r="G10" s="127">
        <f>G9</f>
        <v>0.86206896551724133</v>
      </c>
      <c r="K10" s="86">
        <v>42531</v>
      </c>
      <c r="L10" s="126">
        <f t="shared" si="3"/>
        <v>7.0000000199999999</v>
      </c>
      <c r="M10" s="126">
        <f t="shared" si="4"/>
        <v>7.0000000199999999</v>
      </c>
      <c r="N10" s="126">
        <f t="shared" si="5"/>
        <v>7.4999999999999991</v>
      </c>
      <c r="O10" s="126">
        <f t="shared" si="6"/>
        <v>6.75</v>
      </c>
      <c r="P10" s="126">
        <f t="shared" si="7"/>
        <v>6.75</v>
      </c>
      <c r="Q10" s="126">
        <f t="shared" si="8"/>
        <v>1.7241379310344827</v>
      </c>
      <c r="R10" s="126">
        <f t="shared" si="9"/>
        <v>-5.775862068965516</v>
      </c>
      <c r="T10" s="126">
        <f t="shared" si="10"/>
        <v>-5.775862068965516</v>
      </c>
      <c r="U10" s="126">
        <f t="shared" si="2"/>
        <v>36.724137971034487</v>
      </c>
      <c r="W10" s="126">
        <f t="shared" si="11"/>
        <v>1.7241379310344827</v>
      </c>
      <c r="X10" s="126">
        <f t="shared" si="12"/>
        <v>13.75000002</v>
      </c>
    </row>
    <row r="11" spans="1:24">
      <c r="A11" s="124">
        <f t="shared" si="0"/>
        <v>42538</v>
      </c>
      <c r="B11" s="127">
        <f t="shared" si="13"/>
        <v>0.77777777999999997</v>
      </c>
      <c r="C11" s="127">
        <f t="shared" si="14"/>
        <v>0.77777777999999997</v>
      </c>
      <c r="D11" s="127">
        <f t="shared" si="15"/>
        <v>0.83333333333333337</v>
      </c>
      <c r="E11" s="127">
        <f t="shared" si="16"/>
        <v>0.75</v>
      </c>
      <c r="F11" s="127">
        <f t="shared" si="17"/>
        <v>0.75</v>
      </c>
      <c r="G11" s="127">
        <f t="shared" ref="G11:G37" si="18">G10</f>
        <v>0.86206896551724133</v>
      </c>
      <c r="K11" s="86">
        <v>42538</v>
      </c>
      <c r="L11" s="126">
        <f t="shared" si="3"/>
        <v>7.7777778</v>
      </c>
      <c r="M11" s="126">
        <f t="shared" si="4"/>
        <v>7.7777778</v>
      </c>
      <c r="N11" s="126">
        <f t="shared" si="5"/>
        <v>8.3333333333333321</v>
      </c>
      <c r="O11" s="126">
        <f t="shared" si="6"/>
        <v>7.5</v>
      </c>
      <c r="P11" s="126">
        <f t="shared" si="7"/>
        <v>7.5</v>
      </c>
      <c r="Q11" s="126">
        <f t="shared" si="8"/>
        <v>2.5862068965517242</v>
      </c>
      <c r="R11" s="126">
        <f t="shared" si="9"/>
        <v>-5.7471264367816079</v>
      </c>
      <c r="T11" s="126">
        <f t="shared" si="10"/>
        <v>-5.7471264367816079</v>
      </c>
      <c r="U11" s="126">
        <f t="shared" si="2"/>
        <v>41.475095829885056</v>
      </c>
      <c r="W11" s="126">
        <f t="shared" si="11"/>
        <v>2.5862068965517242</v>
      </c>
      <c r="X11" s="126">
        <f t="shared" si="12"/>
        <v>15.277777799999999</v>
      </c>
    </row>
    <row r="12" spans="1:24">
      <c r="A12" s="124">
        <f t="shared" si="0"/>
        <v>42545</v>
      </c>
      <c r="B12" s="127">
        <f t="shared" si="13"/>
        <v>0.77777777999999997</v>
      </c>
      <c r="C12" s="127">
        <f t="shared" si="14"/>
        <v>0.77777777999999997</v>
      </c>
      <c r="D12" s="127">
        <f t="shared" si="15"/>
        <v>0.83333333333333337</v>
      </c>
      <c r="E12" s="127">
        <f t="shared" si="16"/>
        <v>0.75</v>
      </c>
      <c r="F12" s="127">
        <f t="shared" si="17"/>
        <v>0.75</v>
      </c>
      <c r="G12" s="127">
        <f t="shared" si="18"/>
        <v>0.86206896551724133</v>
      </c>
      <c r="K12" s="86">
        <v>42545</v>
      </c>
      <c r="L12" s="126">
        <f t="shared" si="3"/>
        <v>8.55555558</v>
      </c>
      <c r="M12" s="126">
        <f t="shared" si="4"/>
        <v>8.55555558</v>
      </c>
      <c r="N12" s="126">
        <f t="shared" si="5"/>
        <v>9.1666666666666661</v>
      </c>
      <c r="O12" s="126">
        <f t="shared" si="6"/>
        <v>8.25</v>
      </c>
      <c r="P12" s="126">
        <f t="shared" si="7"/>
        <v>8.25</v>
      </c>
      <c r="Q12" s="126">
        <f t="shared" si="8"/>
        <v>3.4482758620689653</v>
      </c>
      <c r="R12" s="126">
        <f t="shared" si="9"/>
        <v>-5.7183908045977008</v>
      </c>
      <c r="T12" s="126">
        <f t="shared" si="10"/>
        <v>-5.7183908045977008</v>
      </c>
      <c r="U12" s="126">
        <f t="shared" si="2"/>
        <v>46.226053688735632</v>
      </c>
      <c r="W12" s="126">
        <f t="shared" si="11"/>
        <v>3.4482758620689653</v>
      </c>
      <c r="X12" s="126">
        <f t="shared" si="12"/>
        <v>16.80555558</v>
      </c>
    </row>
    <row r="13" spans="1:24">
      <c r="A13" s="124">
        <f t="shared" si="0"/>
        <v>42552</v>
      </c>
      <c r="B13" s="127">
        <f t="shared" si="13"/>
        <v>0.77777777999999997</v>
      </c>
      <c r="C13" s="127">
        <f t="shared" si="14"/>
        <v>0.77777777999999997</v>
      </c>
      <c r="D13" s="127">
        <f t="shared" si="15"/>
        <v>0.83333333333333337</v>
      </c>
      <c r="E13" s="127">
        <f t="shared" si="16"/>
        <v>0.75</v>
      </c>
      <c r="F13" s="127">
        <f t="shared" si="17"/>
        <v>0.75</v>
      </c>
      <c r="G13" s="127">
        <f t="shared" si="18"/>
        <v>0.86206896551724133</v>
      </c>
      <c r="K13" s="86">
        <v>42552</v>
      </c>
      <c r="L13" s="126">
        <f t="shared" si="3"/>
        <v>9.3333333599999992</v>
      </c>
      <c r="M13" s="126">
        <f t="shared" si="4"/>
        <v>9.3333333599999992</v>
      </c>
      <c r="N13" s="126">
        <f t="shared" si="5"/>
        <v>10</v>
      </c>
      <c r="O13" s="126">
        <f t="shared" si="6"/>
        <v>9</v>
      </c>
      <c r="P13" s="126">
        <f t="shared" si="7"/>
        <v>9</v>
      </c>
      <c r="Q13" s="126">
        <f t="shared" si="8"/>
        <v>4.3103448275862064</v>
      </c>
      <c r="R13" s="126">
        <f t="shared" si="9"/>
        <v>-5.6896551724137936</v>
      </c>
      <c r="T13" s="126">
        <f t="shared" si="10"/>
        <v>-5.6896551724137936</v>
      </c>
      <c r="U13" s="126">
        <f t="shared" si="2"/>
        <v>50.977011547586201</v>
      </c>
      <c r="W13" s="126">
        <f t="shared" si="11"/>
        <v>4.3103448275862064</v>
      </c>
      <c r="X13" s="126">
        <f t="shared" si="12"/>
        <v>18.333333359999997</v>
      </c>
    </row>
    <row r="14" spans="1:24">
      <c r="A14" s="124">
        <f t="shared" si="0"/>
        <v>42559</v>
      </c>
      <c r="B14" s="127">
        <f t="shared" si="13"/>
        <v>0.77777777999999997</v>
      </c>
      <c r="C14" s="127">
        <f t="shared" si="14"/>
        <v>0.77777777999999997</v>
      </c>
      <c r="D14" s="127">
        <f t="shared" si="15"/>
        <v>0.83333333333333337</v>
      </c>
      <c r="E14" s="127">
        <f t="shared" si="16"/>
        <v>0.75</v>
      </c>
      <c r="F14" s="127">
        <f t="shared" si="17"/>
        <v>0.75</v>
      </c>
      <c r="G14" s="127">
        <f t="shared" si="18"/>
        <v>0.86206896551724133</v>
      </c>
      <c r="K14" s="86">
        <v>42559</v>
      </c>
      <c r="L14" s="126">
        <f t="shared" si="3"/>
        <v>10.111111139999998</v>
      </c>
      <c r="M14" s="126">
        <f t="shared" si="4"/>
        <v>10.111111139999998</v>
      </c>
      <c r="N14" s="126">
        <f t="shared" si="5"/>
        <v>10.833333333333334</v>
      </c>
      <c r="O14" s="126">
        <f t="shared" si="6"/>
        <v>9.75</v>
      </c>
      <c r="P14" s="126">
        <f t="shared" si="7"/>
        <v>9.75</v>
      </c>
      <c r="Q14" s="126">
        <f t="shared" si="8"/>
        <v>5.1724137931034475</v>
      </c>
      <c r="R14" s="126">
        <f t="shared" si="9"/>
        <v>-5.6609195402298864</v>
      </c>
      <c r="T14" s="126">
        <f t="shared" si="10"/>
        <v>-5.6609195402298864</v>
      </c>
      <c r="U14" s="126">
        <f t="shared" si="2"/>
        <v>55.727969406436777</v>
      </c>
      <c r="W14" s="126">
        <f t="shared" si="11"/>
        <v>5.1724137931034475</v>
      </c>
      <c r="X14" s="126">
        <f t="shared" si="12"/>
        <v>19.861111139999998</v>
      </c>
    </row>
    <row r="15" spans="1:24">
      <c r="A15" s="124">
        <f t="shared" si="0"/>
        <v>42566</v>
      </c>
      <c r="B15" s="127">
        <f t="shared" si="13"/>
        <v>0.77777777999999997</v>
      </c>
      <c r="C15" s="127">
        <f t="shared" si="14"/>
        <v>0.77777777999999997</v>
      </c>
      <c r="D15" s="127">
        <f t="shared" si="15"/>
        <v>0.83333333333333337</v>
      </c>
      <c r="E15" s="127">
        <f t="shared" si="16"/>
        <v>0.75</v>
      </c>
      <c r="F15" s="127">
        <f t="shared" si="17"/>
        <v>0.75</v>
      </c>
      <c r="G15" s="127">
        <f t="shared" si="18"/>
        <v>0.86206896551724133</v>
      </c>
      <c r="K15" s="86">
        <v>42566</v>
      </c>
      <c r="L15" s="126">
        <f t="shared" si="3"/>
        <v>10.888888919999998</v>
      </c>
      <c r="M15" s="126">
        <f t="shared" si="4"/>
        <v>10.888888919999998</v>
      </c>
      <c r="N15" s="126">
        <f t="shared" si="5"/>
        <v>11.666666666666668</v>
      </c>
      <c r="O15" s="126">
        <f t="shared" si="6"/>
        <v>10.5</v>
      </c>
      <c r="P15" s="126">
        <f t="shared" si="7"/>
        <v>10.5</v>
      </c>
      <c r="Q15" s="126">
        <f t="shared" si="8"/>
        <v>6.0344827586206886</v>
      </c>
      <c r="R15" s="126">
        <f t="shared" si="9"/>
        <v>-5.6321839080459792</v>
      </c>
      <c r="T15" s="126">
        <f t="shared" si="10"/>
        <v>-5.6321839080459792</v>
      </c>
      <c r="U15" s="126">
        <f t="shared" si="2"/>
        <v>60.478927265287354</v>
      </c>
      <c r="W15" s="126">
        <f t="shared" si="11"/>
        <v>6.0344827586206886</v>
      </c>
      <c r="X15" s="126">
        <f t="shared" si="12"/>
        <v>21.388888919999999</v>
      </c>
    </row>
    <row r="16" spans="1:24">
      <c r="A16" s="124">
        <f t="shared" si="0"/>
        <v>42573</v>
      </c>
      <c r="B16" s="127">
        <f t="shared" si="13"/>
        <v>0.77777777999999997</v>
      </c>
      <c r="C16" s="127">
        <f t="shared" si="14"/>
        <v>0.77777777999999997</v>
      </c>
      <c r="D16" s="127">
        <f t="shared" si="15"/>
        <v>0.83333333333333337</v>
      </c>
      <c r="E16" s="127">
        <f t="shared" si="16"/>
        <v>0.75</v>
      </c>
      <c r="F16" s="127">
        <f t="shared" si="17"/>
        <v>0.75</v>
      </c>
      <c r="G16" s="127">
        <f t="shared" si="18"/>
        <v>0.86206896551724133</v>
      </c>
      <c r="K16" s="86">
        <v>42573</v>
      </c>
      <c r="L16" s="126">
        <f t="shared" si="3"/>
        <v>11.666666699999997</v>
      </c>
      <c r="M16" s="126">
        <f t="shared" si="4"/>
        <v>11.666666699999997</v>
      </c>
      <c r="N16" s="126">
        <f t="shared" si="5"/>
        <v>12.500000000000002</v>
      </c>
      <c r="O16" s="126">
        <f t="shared" si="6"/>
        <v>11.25</v>
      </c>
      <c r="P16" s="126">
        <f t="shared" si="7"/>
        <v>11.25</v>
      </c>
      <c r="Q16" s="126">
        <f t="shared" si="8"/>
        <v>6.8965517241379297</v>
      </c>
      <c r="R16" s="126">
        <f t="shared" si="9"/>
        <v>-5.6034482758620721</v>
      </c>
      <c r="T16" s="126">
        <f t="shared" si="10"/>
        <v>-5.6034482758620721</v>
      </c>
      <c r="U16" s="126">
        <f t="shared" si="2"/>
        <v>65.229885124137923</v>
      </c>
      <c r="W16" s="126">
        <f t="shared" si="11"/>
        <v>6.8965517241379297</v>
      </c>
      <c r="X16" s="126">
        <f t="shared" si="12"/>
        <v>22.916666699999997</v>
      </c>
    </row>
    <row r="17" spans="1:24">
      <c r="A17" s="124">
        <f t="shared" si="0"/>
        <v>42580</v>
      </c>
      <c r="B17" s="127">
        <f t="shared" si="13"/>
        <v>0.77777777999999997</v>
      </c>
      <c r="C17" s="127">
        <f t="shared" si="14"/>
        <v>0.77777777999999997</v>
      </c>
      <c r="D17" s="127">
        <f t="shared" si="15"/>
        <v>0.83333333333333337</v>
      </c>
      <c r="E17" s="127">
        <f t="shared" si="16"/>
        <v>0.75</v>
      </c>
      <c r="F17" s="127">
        <f t="shared" si="17"/>
        <v>0.75</v>
      </c>
      <c r="G17" s="127">
        <f t="shared" si="18"/>
        <v>0.86206896551724133</v>
      </c>
      <c r="K17" s="86">
        <v>42580</v>
      </c>
      <c r="L17" s="126">
        <f t="shared" si="3"/>
        <v>12.444444479999996</v>
      </c>
      <c r="M17" s="126">
        <f t="shared" si="4"/>
        <v>12.444444479999996</v>
      </c>
      <c r="N17" s="126">
        <f t="shared" si="5"/>
        <v>13.333333333333336</v>
      </c>
      <c r="O17" s="126">
        <f t="shared" si="6"/>
        <v>12</v>
      </c>
      <c r="P17" s="126">
        <f t="shared" si="7"/>
        <v>12</v>
      </c>
      <c r="Q17" s="126">
        <f t="shared" si="8"/>
        <v>7.7586206896551708</v>
      </c>
      <c r="R17" s="126">
        <f t="shared" si="9"/>
        <v>-5.5747126436781649</v>
      </c>
      <c r="T17" s="126">
        <f t="shared" si="10"/>
        <v>-5.5747126436781649</v>
      </c>
      <c r="U17" s="126">
        <f t="shared" si="2"/>
        <v>69.980842982988506</v>
      </c>
      <c r="W17" s="126">
        <f t="shared" si="11"/>
        <v>7.7586206896551708</v>
      </c>
      <c r="X17" s="126">
        <f t="shared" si="12"/>
        <v>24.444444479999994</v>
      </c>
    </row>
    <row r="18" spans="1:24">
      <c r="A18" s="124">
        <f t="shared" si="0"/>
        <v>42587</v>
      </c>
      <c r="B18" s="127">
        <f t="shared" si="13"/>
        <v>0.77777777999999997</v>
      </c>
      <c r="C18" s="127">
        <f t="shared" si="14"/>
        <v>0.77777777999999997</v>
      </c>
      <c r="D18" s="127">
        <f t="shared" si="15"/>
        <v>0.83333333333333337</v>
      </c>
      <c r="E18" s="127">
        <f t="shared" si="16"/>
        <v>0.75</v>
      </c>
      <c r="F18" s="127">
        <f t="shared" si="17"/>
        <v>0.75</v>
      </c>
      <c r="G18" s="127">
        <f t="shared" si="18"/>
        <v>0.86206896551724133</v>
      </c>
      <c r="K18" s="86">
        <v>42587</v>
      </c>
      <c r="L18" s="126">
        <f t="shared" si="3"/>
        <v>13.222222259999995</v>
      </c>
      <c r="M18" s="126">
        <f t="shared" si="4"/>
        <v>13.222222259999995</v>
      </c>
      <c r="N18" s="126">
        <f t="shared" si="5"/>
        <v>14.16666666666667</v>
      </c>
      <c r="O18" s="126">
        <f t="shared" si="6"/>
        <v>12.75</v>
      </c>
      <c r="P18" s="126">
        <f t="shared" si="7"/>
        <v>12.75</v>
      </c>
      <c r="Q18" s="126">
        <f t="shared" si="8"/>
        <v>8.6206896551724128</v>
      </c>
      <c r="R18" s="126">
        <f t="shared" si="9"/>
        <v>-5.5459770114942568</v>
      </c>
      <c r="T18" s="126">
        <f t="shared" si="10"/>
        <v>-5.5459770114942568</v>
      </c>
      <c r="U18" s="126">
        <f t="shared" si="2"/>
        <v>74.731800841839075</v>
      </c>
      <c r="W18" s="126">
        <f t="shared" si="11"/>
        <v>8.6206896551724128</v>
      </c>
      <c r="X18" s="126">
        <f t="shared" si="12"/>
        <v>25.972222259999995</v>
      </c>
    </row>
    <row r="19" spans="1:24">
      <c r="A19" s="124">
        <f t="shared" si="0"/>
        <v>42594</v>
      </c>
      <c r="B19" s="127">
        <f t="shared" si="13"/>
        <v>0.77777777999999997</v>
      </c>
      <c r="C19" s="127">
        <f t="shared" si="14"/>
        <v>0.77777777999999997</v>
      </c>
      <c r="D19" s="127">
        <f t="shared" si="15"/>
        <v>0.83333333333333337</v>
      </c>
      <c r="E19" s="127">
        <f t="shared" si="16"/>
        <v>0.75</v>
      </c>
      <c r="F19" s="127">
        <f t="shared" si="17"/>
        <v>0.75</v>
      </c>
      <c r="G19" s="127">
        <f t="shared" si="18"/>
        <v>0.86206896551724133</v>
      </c>
      <c r="K19" s="86">
        <v>42594</v>
      </c>
      <c r="L19" s="126">
        <f t="shared" si="3"/>
        <v>14.000000039999994</v>
      </c>
      <c r="M19" s="126">
        <f t="shared" si="4"/>
        <v>14.000000039999994</v>
      </c>
      <c r="N19" s="126">
        <f t="shared" si="5"/>
        <v>15.000000000000004</v>
      </c>
      <c r="O19" s="126">
        <f t="shared" si="6"/>
        <v>13.5</v>
      </c>
      <c r="P19" s="126">
        <f t="shared" si="7"/>
        <v>13.5</v>
      </c>
      <c r="Q19" s="126">
        <f t="shared" si="8"/>
        <v>9.4827586206896548</v>
      </c>
      <c r="R19" s="126">
        <f t="shared" si="9"/>
        <v>-5.5172413793103487</v>
      </c>
      <c r="T19" s="126">
        <f t="shared" si="10"/>
        <v>-5.5172413793103487</v>
      </c>
      <c r="U19" s="126">
        <f t="shared" si="2"/>
        <v>79.482758700689644</v>
      </c>
      <c r="W19" s="126">
        <f t="shared" si="11"/>
        <v>9.4827586206896548</v>
      </c>
      <c r="X19" s="126">
        <f t="shared" si="12"/>
        <v>27.500000039999996</v>
      </c>
    </row>
    <row r="20" spans="1:24">
      <c r="A20" s="124">
        <f t="shared" si="0"/>
        <v>42601</v>
      </c>
      <c r="B20" s="127">
        <f t="shared" si="13"/>
        <v>0.77777777999999997</v>
      </c>
      <c r="C20" s="127">
        <f t="shared" si="14"/>
        <v>0.77777777999999997</v>
      </c>
      <c r="D20" s="127">
        <f t="shared" si="15"/>
        <v>0.83333333333333337</v>
      </c>
      <c r="E20" s="127">
        <f t="shared" si="16"/>
        <v>0.75</v>
      </c>
      <c r="F20" s="127">
        <f t="shared" si="17"/>
        <v>0.75</v>
      </c>
      <c r="G20" s="127">
        <f t="shared" si="18"/>
        <v>0.86206896551724133</v>
      </c>
      <c r="K20" s="86">
        <v>42601</v>
      </c>
      <c r="L20" s="126">
        <f t="shared" si="3"/>
        <v>14.777777819999994</v>
      </c>
      <c r="M20" s="126">
        <f t="shared" si="4"/>
        <v>14.777777819999994</v>
      </c>
      <c r="N20" s="126">
        <f t="shared" si="5"/>
        <v>15.833333333333337</v>
      </c>
      <c r="O20" s="126">
        <f t="shared" si="6"/>
        <v>14.25</v>
      </c>
      <c r="P20" s="126">
        <f t="shared" si="7"/>
        <v>14.25</v>
      </c>
      <c r="Q20" s="126">
        <f t="shared" si="8"/>
        <v>10.344827586206897</v>
      </c>
      <c r="R20" s="126">
        <f t="shared" si="9"/>
        <v>-5.4885057471264407</v>
      </c>
      <c r="T20" s="126">
        <f t="shared" si="10"/>
        <v>-5.4885057471264407</v>
      </c>
      <c r="U20" s="126">
        <f t="shared" si="2"/>
        <v>84.233716559540227</v>
      </c>
      <c r="W20" s="126">
        <f t="shared" si="11"/>
        <v>10.344827586206897</v>
      </c>
      <c r="X20" s="126">
        <f t="shared" si="12"/>
        <v>29.027777819999994</v>
      </c>
    </row>
    <row r="21" spans="1:24">
      <c r="A21" s="124">
        <f t="shared" si="0"/>
        <v>42608</v>
      </c>
      <c r="B21" s="127">
        <f t="shared" si="13"/>
        <v>0.77777777999999997</v>
      </c>
      <c r="C21" s="127">
        <f t="shared" si="14"/>
        <v>0.77777777999999997</v>
      </c>
      <c r="D21" s="127">
        <f t="shared" si="15"/>
        <v>0.83333333333333337</v>
      </c>
      <c r="E21" s="127">
        <f t="shared" si="16"/>
        <v>0.75</v>
      </c>
      <c r="F21" s="127">
        <f t="shared" si="17"/>
        <v>0.75</v>
      </c>
      <c r="G21" s="127">
        <f t="shared" si="18"/>
        <v>0.86206896551724133</v>
      </c>
      <c r="K21" s="86">
        <v>42608</v>
      </c>
      <c r="L21" s="126">
        <f t="shared" si="3"/>
        <v>15.555555599999993</v>
      </c>
      <c r="M21" s="126">
        <f t="shared" si="4"/>
        <v>15.555555599999993</v>
      </c>
      <c r="N21" s="126">
        <f t="shared" si="5"/>
        <v>16.666666666666671</v>
      </c>
      <c r="O21" s="126">
        <f t="shared" si="6"/>
        <v>15</v>
      </c>
      <c r="P21" s="126">
        <f t="shared" si="7"/>
        <v>15</v>
      </c>
      <c r="Q21" s="126">
        <f t="shared" si="8"/>
        <v>11.206896551724139</v>
      </c>
      <c r="R21" s="126">
        <f t="shared" si="9"/>
        <v>-5.4597701149425326</v>
      </c>
      <c r="T21" s="126">
        <f t="shared" si="10"/>
        <v>-5.4597701149425326</v>
      </c>
      <c r="U21" s="126">
        <f t="shared" si="2"/>
        <v>88.984674418390796</v>
      </c>
      <c r="W21" s="126">
        <f t="shared" si="11"/>
        <v>11.206896551724139</v>
      </c>
      <c r="X21" s="126">
        <f t="shared" si="12"/>
        <v>30.555555599999991</v>
      </c>
    </row>
    <row r="22" spans="1:24">
      <c r="A22" s="124">
        <f t="shared" si="0"/>
        <v>42615</v>
      </c>
      <c r="B22" s="127">
        <f t="shared" si="13"/>
        <v>0.77777777999999997</v>
      </c>
      <c r="C22" s="127">
        <f t="shared" si="14"/>
        <v>0.77777777999999997</v>
      </c>
      <c r="D22" s="127">
        <f t="shared" si="15"/>
        <v>0.83333333333333337</v>
      </c>
      <c r="E22" s="127">
        <f t="shared" si="16"/>
        <v>0.75</v>
      </c>
      <c r="F22" s="127">
        <f t="shared" si="17"/>
        <v>0.75</v>
      </c>
      <c r="G22" s="127">
        <f t="shared" si="18"/>
        <v>0.86206896551724133</v>
      </c>
      <c r="K22" s="86">
        <v>42615</v>
      </c>
      <c r="L22" s="126">
        <f t="shared" si="3"/>
        <v>16.333333379999992</v>
      </c>
      <c r="M22" s="126">
        <f t="shared" si="4"/>
        <v>16.333333379999992</v>
      </c>
      <c r="N22" s="126">
        <f t="shared" si="5"/>
        <v>17.500000000000004</v>
      </c>
      <c r="O22" s="126">
        <f t="shared" si="6"/>
        <v>15.75</v>
      </c>
      <c r="P22" s="126">
        <f t="shared" si="7"/>
        <v>15.75</v>
      </c>
      <c r="Q22" s="126">
        <f t="shared" si="8"/>
        <v>12.068965517241381</v>
      </c>
      <c r="R22" s="126">
        <f t="shared" si="9"/>
        <v>-5.4310344827586228</v>
      </c>
      <c r="T22" s="126">
        <f t="shared" si="10"/>
        <v>-5.4310344827586228</v>
      </c>
      <c r="U22" s="126">
        <f t="shared" si="2"/>
        <v>93.735632277241365</v>
      </c>
      <c r="W22" s="126">
        <f t="shared" si="11"/>
        <v>12.068965517241381</v>
      </c>
      <c r="X22" s="126">
        <f t="shared" si="12"/>
        <v>32.083333379999992</v>
      </c>
    </row>
    <row r="23" spans="1:24">
      <c r="A23" s="124">
        <f t="shared" si="0"/>
        <v>42622</v>
      </c>
      <c r="B23" s="127">
        <f t="shared" si="13"/>
        <v>0.77777777999999997</v>
      </c>
      <c r="C23" s="127">
        <f t="shared" si="14"/>
        <v>0.77777777999999997</v>
      </c>
      <c r="D23" s="127">
        <f t="shared" si="15"/>
        <v>0.83333333333333337</v>
      </c>
      <c r="E23" s="127">
        <f t="shared" si="16"/>
        <v>0.75</v>
      </c>
      <c r="F23" s="127">
        <f t="shared" si="17"/>
        <v>0.75</v>
      </c>
      <c r="G23" s="127">
        <f t="shared" si="18"/>
        <v>0.86206896551724133</v>
      </c>
      <c r="K23" s="86">
        <v>42622</v>
      </c>
      <c r="L23" s="126">
        <f t="shared" si="3"/>
        <v>17.111111159999993</v>
      </c>
      <c r="M23" s="126">
        <f t="shared" si="4"/>
        <v>17.111111159999993</v>
      </c>
      <c r="N23" s="126">
        <f t="shared" si="5"/>
        <v>18.333333333333336</v>
      </c>
      <c r="O23" s="126">
        <f t="shared" si="6"/>
        <v>16.5</v>
      </c>
      <c r="P23" s="126">
        <f t="shared" si="7"/>
        <v>16.5</v>
      </c>
      <c r="Q23" s="126">
        <f t="shared" si="8"/>
        <v>12.931034482758623</v>
      </c>
      <c r="R23" s="126">
        <f t="shared" si="9"/>
        <v>-5.4022988505747129</v>
      </c>
      <c r="T23" s="126">
        <f t="shared" si="10"/>
        <v>-5.4022988505747129</v>
      </c>
      <c r="U23" s="126">
        <f t="shared" si="2"/>
        <v>98.486590136091948</v>
      </c>
      <c r="W23" s="126">
        <f t="shared" si="11"/>
        <v>12.931034482758623</v>
      </c>
      <c r="X23" s="126">
        <f t="shared" si="12"/>
        <v>33.611111159999993</v>
      </c>
    </row>
    <row r="24" spans="1:24">
      <c r="A24" s="124">
        <f t="shared" si="0"/>
        <v>42629</v>
      </c>
      <c r="B24" s="127">
        <f t="shared" si="13"/>
        <v>0.77777777999999997</v>
      </c>
      <c r="C24" s="127">
        <f t="shared" si="14"/>
        <v>0.77777777999999997</v>
      </c>
      <c r="D24" s="127">
        <f t="shared" si="15"/>
        <v>0.83333333333333337</v>
      </c>
      <c r="E24" s="127">
        <f t="shared" si="16"/>
        <v>0.75</v>
      </c>
      <c r="F24" s="127">
        <f t="shared" si="17"/>
        <v>0.75</v>
      </c>
      <c r="G24" s="127">
        <f t="shared" si="18"/>
        <v>0.86206896551724133</v>
      </c>
      <c r="K24" s="86">
        <v>42629</v>
      </c>
      <c r="L24" s="126">
        <f t="shared" si="3"/>
        <v>17.888888939999994</v>
      </c>
      <c r="M24" s="126">
        <f t="shared" si="4"/>
        <v>17.888888939999994</v>
      </c>
      <c r="N24" s="126">
        <f t="shared" si="5"/>
        <v>19.166666666666668</v>
      </c>
      <c r="O24" s="126">
        <f t="shared" si="6"/>
        <v>17.25</v>
      </c>
      <c r="P24" s="126">
        <f t="shared" si="7"/>
        <v>17.25</v>
      </c>
      <c r="Q24" s="126">
        <f t="shared" si="8"/>
        <v>13.793103448275865</v>
      </c>
      <c r="R24" s="126">
        <f t="shared" si="9"/>
        <v>-5.3735632183908031</v>
      </c>
      <c r="T24" s="126">
        <f t="shared" si="10"/>
        <v>-5.3735632183908031</v>
      </c>
      <c r="U24" s="126">
        <f t="shared" si="2"/>
        <v>103.23754799494253</v>
      </c>
      <c r="W24" s="126">
        <f t="shared" si="11"/>
        <v>13.793103448275865</v>
      </c>
      <c r="X24" s="126">
        <f t="shared" si="12"/>
        <v>35.138888939999994</v>
      </c>
    </row>
    <row r="25" spans="1:24">
      <c r="A25" s="124">
        <f t="shared" si="0"/>
        <v>42636</v>
      </c>
      <c r="B25" s="127">
        <f t="shared" si="13"/>
        <v>0.77777777999999997</v>
      </c>
      <c r="C25" s="127">
        <f t="shared" si="14"/>
        <v>0.77777777999999997</v>
      </c>
      <c r="D25" s="127">
        <f t="shared" si="15"/>
        <v>0.83333333333333337</v>
      </c>
      <c r="E25" s="127">
        <f t="shared" si="16"/>
        <v>0.75</v>
      </c>
      <c r="F25" s="127">
        <f t="shared" si="17"/>
        <v>0.75</v>
      </c>
      <c r="G25" s="127">
        <f t="shared" si="18"/>
        <v>0.86206896551724133</v>
      </c>
      <c r="K25" s="86">
        <v>42636</v>
      </c>
      <c r="L25" s="126">
        <f t="shared" si="3"/>
        <v>18.666666719999995</v>
      </c>
      <c r="M25" s="126">
        <f t="shared" si="4"/>
        <v>18.666666719999995</v>
      </c>
      <c r="N25" s="126">
        <f t="shared" si="5"/>
        <v>20</v>
      </c>
      <c r="O25" s="126">
        <f t="shared" si="6"/>
        <v>18</v>
      </c>
      <c r="P25" s="126">
        <f t="shared" si="7"/>
        <v>18</v>
      </c>
      <c r="Q25" s="126">
        <f t="shared" si="8"/>
        <v>14.655172413793107</v>
      </c>
      <c r="R25" s="126">
        <f t="shared" si="9"/>
        <v>-5.3448275862068932</v>
      </c>
      <c r="T25" s="126">
        <f t="shared" si="10"/>
        <v>-5.3448275862068932</v>
      </c>
      <c r="U25" s="126">
        <f t="shared" si="2"/>
        <v>107.9885058537931</v>
      </c>
      <c r="W25" s="126">
        <f t="shared" si="11"/>
        <v>14.655172413793107</v>
      </c>
      <c r="X25" s="126">
        <f t="shared" si="12"/>
        <v>36.666666719999995</v>
      </c>
    </row>
    <row r="26" spans="1:24">
      <c r="A26" s="124">
        <f t="shared" si="0"/>
        <v>42643</v>
      </c>
      <c r="B26" s="127">
        <f t="shared" si="13"/>
        <v>0.77777777999999997</v>
      </c>
      <c r="C26" s="127">
        <f t="shared" si="14"/>
        <v>0.77777777999999997</v>
      </c>
      <c r="D26" s="127">
        <f t="shared" si="15"/>
        <v>0.83333333333333337</v>
      </c>
      <c r="E26" s="127">
        <f t="shared" si="16"/>
        <v>0.75</v>
      </c>
      <c r="F26" s="127">
        <f t="shared" si="17"/>
        <v>0.75</v>
      </c>
      <c r="G26" s="127">
        <f t="shared" si="18"/>
        <v>0.86206896551724133</v>
      </c>
      <c r="K26" s="86">
        <v>42643</v>
      </c>
      <c r="L26" s="126">
        <f t="shared" si="3"/>
        <v>19.444444499999996</v>
      </c>
      <c r="M26" s="126">
        <f t="shared" si="4"/>
        <v>19.444444499999996</v>
      </c>
      <c r="N26" s="126">
        <f t="shared" si="5"/>
        <v>20.833333333333332</v>
      </c>
      <c r="O26" s="126">
        <f t="shared" si="6"/>
        <v>18.75</v>
      </c>
      <c r="P26" s="126">
        <f t="shared" si="7"/>
        <v>18.75</v>
      </c>
      <c r="Q26" s="126">
        <f t="shared" si="8"/>
        <v>15.517241379310349</v>
      </c>
      <c r="R26" s="126">
        <f t="shared" si="9"/>
        <v>-5.3160919540229834</v>
      </c>
      <c r="T26" s="126">
        <f t="shared" si="10"/>
        <v>-5.3160919540229834</v>
      </c>
      <c r="U26" s="126">
        <f t="shared" si="2"/>
        <v>112.73946371264367</v>
      </c>
      <c r="W26" s="126">
        <f t="shared" si="11"/>
        <v>15.517241379310349</v>
      </c>
      <c r="X26" s="126">
        <f t="shared" si="12"/>
        <v>38.194444499999996</v>
      </c>
    </row>
    <row r="27" spans="1:24">
      <c r="A27" s="124">
        <f t="shared" si="0"/>
        <v>42650</v>
      </c>
      <c r="B27" s="127">
        <f t="shared" si="13"/>
        <v>0.77777777999999997</v>
      </c>
      <c r="C27" s="127">
        <f t="shared" si="14"/>
        <v>0.77777777999999997</v>
      </c>
      <c r="D27" s="127">
        <f t="shared" si="15"/>
        <v>0.83333333333333337</v>
      </c>
      <c r="E27" s="127">
        <f t="shared" si="16"/>
        <v>0.75</v>
      </c>
      <c r="F27" s="127">
        <f t="shared" si="17"/>
        <v>0.75</v>
      </c>
      <c r="G27" s="127">
        <f t="shared" si="18"/>
        <v>0.86206896551724133</v>
      </c>
      <c r="K27" s="86">
        <v>42650</v>
      </c>
      <c r="L27" s="126">
        <f t="shared" si="3"/>
        <v>20.222222279999997</v>
      </c>
      <c r="M27" s="126">
        <f t="shared" si="4"/>
        <v>20.222222279999997</v>
      </c>
      <c r="N27" s="126">
        <f t="shared" si="5"/>
        <v>21.666666666666664</v>
      </c>
      <c r="O27" s="126">
        <f t="shared" si="6"/>
        <v>19.5</v>
      </c>
      <c r="P27" s="126">
        <f t="shared" si="7"/>
        <v>19.5</v>
      </c>
      <c r="Q27" s="126">
        <f t="shared" si="8"/>
        <v>16.379310344827591</v>
      </c>
      <c r="R27" s="126">
        <f t="shared" si="9"/>
        <v>-5.2873563218390736</v>
      </c>
      <c r="T27" s="126">
        <f t="shared" si="10"/>
        <v>-5.2873563218390736</v>
      </c>
      <c r="U27" s="126">
        <f t="shared" si="2"/>
        <v>117.49042157149424</v>
      </c>
      <c r="W27" s="126">
        <f t="shared" si="11"/>
        <v>16.379310344827591</v>
      </c>
      <c r="X27" s="126">
        <f t="shared" si="12"/>
        <v>39.722222279999997</v>
      </c>
    </row>
    <row r="28" spans="1:24">
      <c r="A28" s="124">
        <f t="shared" si="0"/>
        <v>42657</v>
      </c>
      <c r="B28" s="127">
        <f t="shared" si="13"/>
        <v>0.77777777999999997</v>
      </c>
      <c r="C28" s="127">
        <f t="shared" si="14"/>
        <v>0.77777777999999997</v>
      </c>
      <c r="D28" s="127">
        <f t="shared" si="15"/>
        <v>0.83333333333333337</v>
      </c>
      <c r="E28" s="127">
        <f t="shared" si="16"/>
        <v>0.75</v>
      </c>
      <c r="F28" s="127">
        <f t="shared" si="17"/>
        <v>0.75</v>
      </c>
      <c r="G28" s="127">
        <f t="shared" si="18"/>
        <v>0.86206896551724133</v>
      </c>
      <c r="K28" s="86">
        <v>42657</v>
      </c>
      <c r="L28" s="126">
        <f t="shared" si="3"/>
        <v>21.000000059999998</v>
      </c>
      <c r="M28" s="126">
        <f t="shared" si="4"/>
        <v>21.000000059999998</v>
      </c>
      <c r="N28" s="126">
        <f t="shared" si="5"/>
        <v>22.499999999999996</v>
      </c>
      <c r="O28" s="126">
        <f t="shared" si="6"/>
        <v>20.25</v>
      </c>
      <c r="P28" s="126">
        <f t="shared" si="7"/>
        <v>20.25</v>
      </c>
      <c r="Q28" s="126">
        <f t="shared" si="8"/>
        <v>17.241379310344833</v>
      </c>
      <c r="R28" s="126">
        <f t="shared" si="9"/>
        <v>-5.2586206896551637</v>
      </c>
      <c r="T28" s="126">
        <f t="shared" si="10"/>
        <v>-5.2586206896551637</v>
      </c>
      <c r="U28" s="126">
        <f t="shared" si="2"/>
        <v>122.24137943034484</v>
      </c>
      <c r="W28" s="126">
        <f t="shared" si="11"/>
        <v>17.241379310344833</v>
      </c>
      <c r="X28" s="126">
        <f t="shared" si="12"/>
        <v>41.250000059999998</v>
      </c>
    </row>
    <row r="29" spans="1:24">
      <c r="A29" s="124">
        <f t="shared" si="0"/>
        <v>42664</v>
      </c>
      <c r="B29" s="127">
        <f t="shared" si="13"/>
        <v>0.77777777999999997</v>
      </c>
      <c r="C29" s="127">
        <f t="shared" si="14"/>
        <v>0.77777777999999997</v>
      </c>
      <c r="D29" s="127">
        <f t="shared" si="15"/>
        <v>0.83333333333333337</v>
      </c>
      <c r="E29" s="127">
        <f t="shared" si="16"/>
        <v>0.75</v>
      </c>
      <c r="F29" s="127">
        <f t="shared" si="17"/>
        <v>0.75</v>
      </c>
      <c r="G29" s="127">
        <f t="shared" si="18"/>
        <v>0.86206896551724133</v>
      </c>
      <c r="K29" s="86">
        <v>42664</v>
      </c>
      <c r="L29" s="126">
        <f t="shared" si="3"/>
        <v>21.777777839999999</v>
      </c>
      <c r="M29" s="126">
        <f t="shared" si="4"/>
        <v>21.777777839999999</v>
      </c>
      <c r="N29" s="126">
        <f t="shared" si="5"/>
        <v>23.333333333333329</v>
      </c>
      <c r="O29" s="126">
        <f t="shared" si="6"/>
        <v>21</v>
      </c>
      <c r="P29" s="126">
        <f t="shared" si="7"/>
        <v>21</v>
      </c>
      <c r="Q29" s="126">
        <f t="shared" si="8"/>
        <v>18.103448275862075</v>
      </c>
      <c r="R29" s="126">
        <f t="shared" si="9"/>
        <v>-5.2298850574712539</v>
      </c>
      <c r="T29" s="126">
        <f t="shared" si="10"/>
        <v>-5.2298850574712539</v>
      </c>
      <c r="U29" s="126">
        <f t="shared" si="2"/>
        <v>126.9923372891954</v>
      </c>
      <c r="W29" s="126">
        <f t="shared" si="11"/>
        <v>18.103448275862075</v>
      </c>
      <c r="X29" s="126">
        <f t="shared" si="12"/>
        <v>42.777777839999999</v>
      </c>
    </row>
    <row r="30" spans="1:24">
      <c r="A30" s="124">
        <f t="shared" si="0"/>
        <v>42671</v>
      </c>
      <c r="B30" s="127">
        <f t="shared" si="13"/>
        <v>0.77777777999999997</v>
      </c>
      <c r="C30" s="127">
        <f t="shared" si="14"/>
        <v>0.77777777999999997</v>
      </c>
      <c r="D30" s="127">
        <f t="shared" si="15"/>
        <v>0.83333333333333337</v>
      </c>
      <c r="E30" s="127">
        <f t="shared" si="16"/>
        <v>0.75</v>
      </c>
      <c r="F30" s="127">
        <f t="shared" si="17"/>
        <v>0.75</v>
      </c>
      <c r="G30" s="127">
        <f t="shared" si="18"/>
        <v>0.86206896551724133</v>
      </c>
      <c r="K30" s="86">
        <v>42671</v>
      </c>
      <c r="L30" s="126">
        <f t="shared" si="3"/>
        <v>22.55555562</v>
      </c>
      <c r="M30" s="126">
        <f t="shared" si="4"/>
        <v>22.55555562</v>
      </c>
      <c r="N30" s="126">
        <f t="shared" si="5"/>
        <v>24.166666666666661</v>
      </c>
      <c r="O30" s="126">
        <f t="shared" si="6"/>
        <v>21.75</v>
      </c>
      <c r="P30" s="126">
        <f t="shared" si="7"/>
        <v>21.75</v>
      </c>
      <c r="Q30" s="126">
        <f t="shared" si="8"/>
        <v>18.965517241379317</v>
      </c>
      <c r="R30" s="126">
        <f t="shared" si="9"/>
        <v>-5.201149425287344</v>
      </c>
      <c r="T30" s="126">
        <f t="shared" si="10"/>
        <v>-5.201149425287344</v>
      </c>
      <c r="U30" s="126">
        <f t="shared" si="2"/>
        <v>131.74329514804597</v>
      </c>
      <c r="W30" s="126">
        <f t="shared" si="11"/>
        <v>18.965517241379317</v>
      </c>
      <c r="X30" s="126">
        <f t="shared" si="12"/>
        <v>44.30555562</v>
      </c>
    </row>
    <row r="31" spans="1:24">
      <c r="A31" s="124">
        <f t="shared" si="0"/>
        <v>42678</v>
      </c>
      <c r="B31" s="127">
        <f t="shared" si="13"/>
        <v>0.77777777999999997</v>
      </c>
      <c r="C31" s="127">
        <f t="shared" si="14"/>
        <v>0.77777777999999997</v>
      </c>
      <c r="D31" s="127">
        <f t="shared" si="15"/>
        <v>0.83333333333333337</v>
      </c>
      <c r="E31" s="127">
        <f t="shared" si="16"/>
        <v>0.75</v>
      </c>
      <c r="F31" s="127">
        <f t="shared" si="17"/>
        <v>0.75</v>
      </c>
      <c r="G31" s="127">
        <f t="shared" si="18"/>
        <v>0.86206896551724133</v>
      </c>
      <c r="K31" s="86">
        <v>42678</v>
      </c>
      <c r="L31" s="126">
        <f t="shared" si="3"/>
        <v>23.333333400000001</v>
      </c>
      <c r="M31" s="126">
        <f t="shared" si="4"/>
        <v>23.333333400000001</v>
      </c>
      <c r="N31" s="126">
        <f t="shared" si="5"/>
        <v>24.999999999999993</v>
      </c>
      <c r="O31" s="126">
        <f t="shared" si="6"/>
        <v>22.5</v>
      </c>
      <c r="P31" s="126">
        <f t="shared" si="7"/>
        <v>22.5</v>
      </c>
      <c r="Q31" s="126">
        <f t="shared" si="8"/>
        <v>19.827586206896559</v>
      </c>
      <c r="R31" s="126">
        <f t="shared" si="9"/>
        <v>-5.1724137931034342</v>
      </c>
      <c r="T31" s="126">
        <f t="shared" si="10"/>
        <v>-5.1724137931034342</v>
      </c>
      <c r="U31" s="126">
        <f t="shared" si="2"/>
        <v>136.49425300689657</v>
      </c>
      <c r="W31" s="126">
        <f t="shared" si="11"/>
        <v>19.827586206896559</v>
      </c>
      <c r="X31" s="126">
        <f t="shared" si="12"/>
        <v>45.833333400000001</v>
      </c>
    </row>
    <row r="32" spans="1:24">
      <c r="A32" s="124">
        <f t="shared" si="0"/>
        <v>42685</v>
      </c>
      <c r="B32" s="127">
        <f t="shared" si="13"/>
        <v>0.77777777999999997</v>
      </c>
      <c r="C32" s="127">
        <f t="shared" si="14"/>
        <v>0.77777777999999997</v>
      </c>
      <c r="D32" s="127">
        <f t="shared" si="15"/>
        <v>0.83333333333333337</v>
      </c>
      <c r="E32" s="127">
        <f t="shared" si="16"/>
        <v>0.75</v>
      </c>
      <c r="F32" s="127">
        <f t="shared" si="17"/>
        <v>0.75</v>
      </c>
      <c r="G32" s="127">
        <f t="shared" si="18"/>
        <v>0.86206896551724133</v>
      </c>
      <c r="K32" s="86">
        <v>42685</v>
      </c>
      <c r="L32" s="126">
        <f t="shared" si="3"/>
        <v>24.111111180000002</v>
      </c>
      <c r="M32" s="126">
        <f t="shared" si="4"/>
        <v>24.111111180000002</v>
      </c>
      <c r="N32" s="126">
        <f t="shared" si="5"/>
        <v>25.833333333333325</v>
      </c>
      <c r="O32" s="126">
        <f t="shared" si="6"/>
        <v>23.25</v>
      </c>
      <c r="P32" s="126">
        <f t="shared" si="7"/>
        <v>23.25</v>
      </c>
      <c r="Q32" s="126">
        <f t="shared" si="8"/>
        <v>20.689655172413801</v>
      </c>
      <c r="R32" s="126">
        <f t="shared" si="9"/>
        <v>-5.1436781609195243</v>
      </c>
      <c r="T32" s="126">
        <f t="shared" si="10"/>
        <v>-5.1436781609195243</v>
      </c>
      <c r="U32" s="126">
        <f t="shared" si="2"/>
        <v>141.24521086574714</v>
      </c>
      <c r="W32" s="126">
        <f t="shared" si="11"/>
        <v>20.689655172413801</v>
      </c>
      <c r="X32" s="126">
        <f t="shared" si="12"/>
        <v>47.361111180000002</v>
      </c>
    </row>
    <row r="33" spans="1:24">
      <c r="A33" s="124">
        <f t="shared" si="0"/>
        <v>42692</v>
      </c>
      <c r="B33" s="127">
        <f t="shared" si="13"/>
        <v>0.77777777999999997</v>
      </c>
      <c r="C33" s="127">
        <f t="shared" si="14"/>
        <v>0.77777777999999997</v>
      </c>
      <c r="D33" s="127">
        <f t="shared" si="15"/>
        <v>0.83333333333333337</v>
      </c>
      <c r="E33" s="127">
        <f t="shared" si="16"/>
        <v>0.75</v>
      </c>
      <c r="F33" s="127">
        <f t="shared" si="17"/>
        <v>0.75</v>
      </c>
      <c r="G33" s="127">
        <f t="shared" si="18"/>
        <v>0.86206896551724133</v>
      </c>
      <c r="K33" s="86">
        <v>42692</v>
      </c>
      <c r="L33" s="126">
        <f t="shared" si="3"/>
        <v>24.888888960000003</v>
      </c>
      <c r="M33" s="126">
        <f t="shared" si="4"/>
        <v>24.888888960000003</v>
      </c>
      <c r="N33" s="126">
        <f t="shared" si="5"/>
        <v>26.666666666666657</v>
      </c>
      <c r="O33" s="126">
        <f t="shared" si="6"/>
        <v>24</v>
      </c>
      <c r="P33" s="126">
        <f t="shared" si="7"/>
        <v>24</v>
      </c>
      <c r="Q33" s="126">
        <f t="shared" si="8"/>
        <v>21.551724137931043</v>
      </c>
      <c r="R33" s="126">
        <f t="shared" si="9"/>
        <v>-5.1149425287356145</v>
      </c>
      <c r="T33" s="126">
        <f t="shared" si="10"/>
        <v>-5.1149425287356145</v>
      </c>
      <c r="U33" s="126">
        <f t="shared" si="2"/>
        <v>145.99616872459771</v>
      </c>
      <c r="W33" s="126">
        <f t="shared" si="11"/>
        <v>21.551724137931043</v>
      </c>
      <c r="X33" s="126">
        <f t="shared" si="12"/>
        <v>48.888888960000003</v>
      </c>
    </row>
    <row r="34" spans="1:24">
      <c r="A34" s="124">
        <f t="shared" si="0"/>
        <v>42699</v>
      </c>
      <c r="B34" s="127">
        <f t="shared" si="13"/>
        <v>0.77777777999999997</v>
      </c>
      <c r="C34" s="127">
        <f t="shared" si="14"/>
        <v>0.77777777999999997</v>
      </c>
      <c r="D34" s="127">
        <f t="shared" si="15"/>
        <v>0.83333333333333337</v>
      </c>
      <c r="E34" s="127">
        <f t="shared" si="16"/>
        <v>0.75</v>
      </c>
      <c r="F34" s="127">
        <f t="shared" si="17"/>
        <v>0.75</v>
      </c>
      <c r="G34" s="127">
        <f t="shared" si="18"/>
        <v>0.86206896551724133</v>
      </c>
      <c r="K34" s="86">
        <v>42699</v>
      </c>
      <c r="L34" s="126">
        <f t="shared" si="3"/>
        <v>25.666666740000004</v>
      </c>
      <c r="M34" s="126">
        <f t="shared" si="4"/>
        <v>25.666666740000004</v>
      </c>
      <c r="N34" s="126">
        <f t="shared" si="5"/>
        <v>27.499999999999989</v>
      </c>
      <c r="O34" s="126">
        <f t="shared" si="6"/>
        <v>24.75</v>
      </c>
      <c r="P34" s="126">
        <f t="shared" si="7"/>
        <v>24.75</v>
      </c>
      <c r="Q34" s="126">
        <f t="shared" si="8"/>
        <v>22.413793103448285</v>
      </c>
      <c r="R34" s="126">
        <f t="shared" si="9"/>
        <v>-5.0862068965517047</v>
      </c>
      <c r="T34" s="126">
        <f t="shared" si="10"/>
        <v>-5.0862068965517047</v>
      </c>
      <c r="U34" s="126">
        <f t="shared" si="2"/>
        <v>150.74712658344828</v>
      </c>
      <c r="W34" s="126">
        <f t="shared" si="11"/>
        <v>22.413793103448285</v>
      </c>
      <c r="X34" s="126">
        <f t="shared" si="12"/>
        <v>50.416666740000004</v>
      </c>
    </row>
    <row r="35" spans="1:24">
      <c r="A35" s="124">
        <f t="shared" si="0"/>
        <v>42706</v>
      </c>
      <c r="B35" s="127">
        <f t="shared" si="13"/>
        <v>0.77777777999999997</v>
      </c>
      <c r="C35" s="127">
        <f t="shared" si="14"/>
        <v>0.77777777999999997</v>
      </c>
      <c r="D35" s="127">
        <f t="shared" si="15"/>
        <v>0.83333333333333337</v>
      </c>
      <c r="E35" s="127">
        <f t="shared" si="16"/>
        <v>0.75</v>
      </c>
      <c r="F35" s="127">
        <f t="shared" si="17"/>
        <v>0.75</v>
      </c>
      <c r="G35" s="127">
        <f t="shared" si="18"/>
        <v>0.86206896551724133</v>
      </c>
      <c r="K35" s="86">
        <v>42706</v>
      </c>
      <c r="L35" s="126">
        <f t="shared" si="3"/>
        <v>26.444444520000005</v>
      </c>
      <c r="M35" s="126">
        <f t="shared" si="4"/>
        <v>26.444444520000005</v>
      </c>
      <c r="N35" s="126">
        <f t="shared" si="5"/>
        <v>28.333333333333321</v>
      </c>
      <c r="O35" s="126">
        <f t="shared" si="6"/>
        <v>25.5</v>
      </c>
      <c r="P35" s="126">
        <f t="shared" si="7"/>
        <v>25.5</v>
      </c>
      <c r="Q35" s="126">
        <f t="shared" si="8"/>
        <v>23.275862068965527</v>
      </c>
      <c r="R35" s="126">
        <f t="shared" si="9"/>
        <v>-5.0574712643677948</v>
      </c>
      <c r="T35" s="126">
        <f t="shared" si="10"/>
        <v>-5.0574712643677948</v>
      </c>
      <c r="U35" s="126">
        <f t="shared" si="2"/>
        <v>155.49808444229885</v>
      </c>
      <c r="W35" s="126">
        <f t="shared" si="11"/>
        <v>23.275862068965527</v>
      </c>
      <c r="X35" s="126">
        <f t="shared" si="12"/>
        <v>51.944444520000005</v>
      </c>
    </row>
    <row r="36" spans="1:24">
      <c r="A36" s="124">
        <f t="shared" si="0"/>
        <v>42713</v>
      </c>
      <c r="B36" s="127">
        <f t="shared" si="13"/>
        <v>0.77777777999999997</v>
      </c>
      <c r="C36" s="127">
        <f t="shared" si="14"/>
        <v>0.77777777999999997</v>
      </c>
      <c r="D36" s="127">
        <f t="shared" si="15"/>
        <v>0.83333333333333337</v>
      </c>
      <c r="E36" s="127">
        <f t="shared" si="16"/>
        <v>0.75</v>
      </c>
      <c r="F36" s="127">
        <f t="shared" si="17"/>
        <v>0.75</v>
      </c>
      <c r="G36" s="127">
        <f t="shared" si="18"/>
        <v>0.86206896551724133</v>
      </c>
      <c r="K36" s="86">
        <v>42713</v>
      </c>
      <c r="L36" s="126">
        <f t="shared" si="3"/>
        <v>27.222222300000006</v>
      </c>
      <c r="M36" s="126">
        <f t="shared" si="4"/>
        <v>27.222222300000006</v>
      </c>
      <c r="N36" s="126">
        <f t="shared" si="5"/>
        <v>29.166666666666654</v>
      </c>
      <c r="O36" s="126">
        <f t="shared" si="6"/>
        <v>26.25</v>
      </c>
      <c r="P36" s="126">
        <f t="shared" si="7"/>
        <v>26.25</v>
      </c>
      <c r="Q36" s="126">
        <f t="shared" si="8"/>
        <v>24.137931034482769</v>
      </c>
      <c r="R36" s="126">
        <f t="shared" si="9"/>
        <v>-5.028735632183885</v>
      </c>
      <c r="T36" s="126">
        <f t="shared" si="10"/>
        <v>-5.028735632183885</v>
      </c>
      <c r="U36" s="126">
        <f t="shared" si="2"/>
        <v>160.24904230114944</v>
      </c>
      <c r="W36" s="126">
        <f t="shared" si="11"/>
        <v>24.137931034482769</v>
      </c>
      <c r="X36" s="126">
        <f t="shared" si="12"/>
        <v>53.472222300000006</v>
      </c>
    </row>
    <row r="37" spans="1:24">
      <c r="A37" s="124">
        <f>A38-7</f>
        <v>42720</v>
      </c>
      <c r="B37" s="127">
        <f t="shared" si="13"/>
        <v>0.77777777999999997</v>
      </c>
      <c r="C37" s="127">
        <f t="shared" si="14"/>
        <v>0.77777777999999997</v>
      </c>
      <c r="D37" s="127">
        <f t="shared" si="15"/>
        <v>0.83333333333333337</v>
      </c>
      <c r="E37" s="127">
        <f t="shared" si="16"/>
        <v>0.75</v>
      </c>
      <c r="F37" s="127">
        <f t="shared" si="17"/>
        <v>0.75</v>
      </c>
      <c r="G37" s="127">
        <f t="shared" si="18"/>
        <v>0.86206896551724133</v>
      </c>
      <c r="K37" s="86">
        <v>42720</v>
      </c>
      <c r="L37" s="126">
        <f t="shared" si="3"/>
        <v>28.000000080000007</v>
      </c>
      <c r="M37" s="126">
        <f t="shared" si="4"/>
        <v>28.000000080000007</v>
      </c>
      <c r="N37" s="126">
        <f t="shared" si="5"/>
        <v>29.999999999999986</v>
      </c>
      <c r="O37" s="126">
        <f t="shared" si="6"/>
        <v>27</v>
      </c>
      <c r="P37" s="126">
        <f t="shared" si="7"/>
        <v>27</v>
      </c>
      <c r="Q37" s="126">
        <f t="shared" si="8"/>
        <v>25.000000000000011</v>
      </c>
      <c r="R37" s="126">
        <f t="shared" si="9"/>
        <v>-4.9999999999999751</v>
      </c>
      <c r="T37" s="126">
        <f t="shared" si="10"/>
        <v>-4.9999999999999751</v>
      </c>
      <c r="U37" s="126">
        <f t="shared" si="2"/>
        <v>165.00000016000001</v>
      </c>
      <c r="W37" s="126">
        <f t="shared" si="11"/>
        <v>25.000000000000011</v>
      </c>
      <c r="X37" s="126">
        <f t="shared" si="12"/>
        <v>55.000000080000007</v>
      </c>
    </row>
    <row r="38" spans="1:24">
      <c r="A38" s="22">
        <v>42727</v>
      </c>
      <c r="B38" s="128">
        <v>1</v>
      </c>
      <c r="C38" s="128">
        <v>1</v>
      </c>
      <c r="D38" s="128">
        <v>1</v>
      </c>
      <c r="E38" s="128">
        <v>1</v>
      </c>
      <c r="F38" s="128">
        <v>1</v>
      </c>
      <c r="G38" s="128">
        <v>1</v>
      </c>
      <c r="K38" s="86">
        <v>42727</v>
      </c>
      <c r="L38" s="126">
        <f t="shared" si="3"/>
        <v>29.000000080000007</v>
      </c>
      <c r="M38" s="126">
        <f t="shared" si="4"/>
        <v>29.000000080000007</v>
      </c>
      <c r="N38" s="126">
        <f t="shared" si="5"/>
        <v>30.999999999999986</v>
      </c>
      <c r="O38" s="126">
        <f t="shared" si="6"/>
        <v>28</v>
      </c>
      <c r="P38" s="126">
        <f t="shared" si="7"/>
        <v>28</v>
      </c>
      <c r="Q38" s="126">
        <f t="shared" si="8"/>
        <v>26.000000000000011</v>
      </c>
      <c r="R38" s="126">
        <f t="shared" si="9"/>
        <v>-4.9999999999999751</v>
      </c>
      <c r="T38" s="126">
        <f t="shared" si="10"/>
        <v>-4.9999999999999751</v>
      </c>
      <c r="U38" s="126">
        <f t="shared" si="2"/>
        <v>171.00000016000001</v>
      </c>
      <c r="W38" s="126">
        <f t="shared" si="11"/>
        <v>26.000000000000011</v>
      </c>
      <c r="X38" s="126">
        <f t="shared" si="12"/>
        <v>57.000000080000007</v>
      </c>
    </row>
    <row r="39" spans="1:24">
      <c r="A39" s="22">
        <v>42734</v>
      </c>
      <c r="B39" s="128">
        <v>1</v>
      </c>
      <c r="C39" s="128">
        <v>0</v>
      </c>
      <c r="D39" s="128">
        <v>1</v>
      </c>
      <c r="E39" s="128">
        <v>1</v>
      </c>
      <c r="F39" s="128">
        <v>1</v>
      </c>
      <c r="G39" s="128">
        <v>0</v>
      </c>
      <c r="K39" s="86">
        <v>42734</v>
      </c>
      <c r="L39" s="126">
        <f t="shared" si="3"/>
        <v>30.000000080000007</v>
      </c>
      <c r="M39" s="126">
        <f t="shared" si="4"/>
        <v>29.000000080000007</v>
      </c>
      <c r="N39" s="126">
        <f t="shared" si="5"/>
        <v>31.999999999999986</v>
      </c>
      <c r="O39" s="126">
        <f t="shared" si="6"/>
        <v>29</v>
      </c>
      <c r="P39" s="126">
        <f t="shared" si="7"/>
        <v>29</v>
      </c>
      <c r="Q39" s="126">
        <f t="shared" si="8"/>
        <v>26.000000000000011</v>
      </c>
      <c r="R39" s="126">
        <f t="shared" si="9"/>
        <v>-5.9999999999999751</v>
      </c>
      <c r="T39" s="126">
        <f t="shared" si="10"/>
        <v>-5.9999999999999751</v>
      </c>
      <c r="U39" s="126">
        <f t="shared" si="2"/>
        <v>175.00000016000001</v>
      </c>
      <c r="W39" s="126">
        <f t="shared" si="11"/>
        <v>26.000000000000011</v>
      </c>
      <c r="X39" s="126">
        <f t="shared" si="12"/>
        <v>58.000000080000007</v>
      </c>
    </row>
    <row r="40" spans="1:24">
      <c r="A40" s="22">
        <v>42741</v>
      </c>
      <c r="B40" s="128">
        <v>1</v>
      </c>
      <c r="C40" s="128">
        <v>1</v>
      </c>
      <c r="D40" s="128">
        <v>1</v>
      </c>
      <c r="E40" s="128">
        <v>1</v>
      </c>
      <c r="F40" s="128">
        <v>1</v>
      </c>
      <c r="G40" s="128">
        <v>1</v>
      </c>
      <c r="K40" s="86">
        <v>42741</v>
      </c>
      <c r="L40" s="126">
        <f t="shared" si="3"/>
        <v>31.000000080000007</v>
      </c>
      <c r="M40" s="126">
        <f t="shared" si="4"/>
        <v>30.000000080000007</v>
      </c>
      <c r="N40" s="126">
        <f t="shared" si="5"/>
        <v>32.999999999999986</v>
      </c>
      <c r="O40" s="126">
        <f t="shared" si="6"/>
        <v>30</v>
      </c>
      <c r="P40" s="126">
        <f t="shared" si="7"/>
        <v>30</v>
      </c>
      <c r="Q40" s="126">
        <f t="shared" si="8"/>
        <v>27.000000000000011</v>
      </c>
      <c r="R40" s="126">
        <f t="shared" si="9"/>
        <v>-5.9999999999999751</v>
      </c>
      <c r="T40" s="126">
        <f t="shared" si="10"/>
        <v>-5.9999999999999751</v>
      </c>
      <c r="U40" s="126">
        <f t="shared" si="2"/>
        <v>181.00000016000001</v>
      </c>
      <c r="W40" s="126">
        <f t="shared" si="11"/>
        <v>27.000000000000011</v>
      </c>
      <c r="X40" s="126">
        <f t="shared" si="12"/>
        <v>60.000000080000007</v>
      </c>
    </row>
    <row r="41" spans="1:24">
      <c r="A41" s="22">
        <v>42748</v>
      </c>
      <c r="B41" s="128">
        <v>0</v>
      </c>
      <c r="C41" s="128">
        <v>1</v>
      </c>
      <c r="D41" s="128">
        <v>1</v>
      </c>
      <c r="E41" s="128">
        <v>1</v>
      </c>
      <c r="F41" s="128">
        <v>1</v>
      </c>
      <c r="G41" s="128">
        <v>1</v>
      </c>
      <c r="K41" s="86">
        <v>42748</v>
      </c>
      <c r="L41" s="126">
        <f t="shared" si="3"/>
        <v>31.000000080000007</v>
      </c>
      <c r="M41" s="126">
        <f t="shared" si="4"/>
        <v>31.000000080000007</v>
      </c>
      <c r="N41" s="126">
        <f t="shared" si="5"/>
        <v>33.999999999999986</v>
      </c>
      <c r="O41" s="126">
        <f t="shared" si="6"/>
        <v>31</v>
      </c>
      <c r="P41" s="126">
        <f t="shared" si="7"/>
        <v>31</v>
      </c>
      <c r="Q41" s="126">
        <f t="shared" si="8"/>
        <v>28.000000000000011</v>
      </c>
      <c r="R41" s="126">
        <f t="shared" si="9"/>
        <v>-5.9999999999999751</v>
      </c>
      <c r="T41" s="126">
        <f t="shared" si="10"/>
        <v>-5.9999999999999751</v>
      </c>
      <c r="U41" s="126">
        <f t="shared" si="2"/>
        <v>186.00000016000001</v>
      </c>
      <c r="W41" s="126">
        <f t="shared" si="11"/>
        <v>28.000000000000011</v>
      </c>
      <c r="X41" s="126">
        <f t="shared" si="12"/>
        <v>62.000000080000007</v>
      </c>
    </row>
    <row r="42" spans="1:24">
      <c r="A42" s="22">
        <v>42755</v>
      </c>
      <c r="B42" s="128">
        <v>1</v>
      </c>
      <c r="C42" s="128">
        <v>1</v>
      </c>
      <c r="D42" s="128">
        <v>1</v>
      </c>
      <c r="E42" s="128">
        <v>0</v>
      </c>
      <c r="F42" s="128">
        <v>1</v>
      </c>
      <c r="G42" s="128">
        <v>0</v>
      </c>
      <c r="K42" s="86">
        <v>42755</v>
      </c>
      <c r="L42" s="126">
        <f t="shared" si="3"/>
        <v>32.000000080000007</v>
      </c>
      <c r="M42" s="126">
        <f t="shared" si="4"/>
        <v>32.000000080000007</v>
      </c>
      <c r="N42" s="126">
        <f t="shared" si="5"/>
        <v>34.999999999999986</v>
      </c>
      <c r="O42" s="126">
        <f t="shared" si="6"/>
        <v>31</v>
      </c>
      <c r="P42" s="126">
        <f t="shared" si="7"/>
        <v>32</v>
      </c>
      <c r="Q42" s="126">
        <f t="shared" si="8"/>
        <v>28.000000000000011</v>
      </c>
      <c r="R42" s="126">
        <f t="shared" si="9"/>
        <v>-6.9999999999999751</v>
      </c>
      <c r="T42" s="126">
        <f t="shared" si="10"/>
        <v>-6.9999999999999751</v>
      </c>
      <c r="U42" s="126">
        <f t="shared" si="2"/>
        <v>190.00000016000001</v>
      </c>
      <c r="W42" s="126">
        <f t="shared" si="11"/>
        <v>28.000000000000011</v>
      </c>
      <c r="X42" s="126">
        <f t="shared" si="12"/>
        <v>63.000000080000007</v>
      </c>
    </row>
    <row r="43" spans="1:24">
      <c r="A43" s="22">
        <v>42762</v>
      </c>
      <c r="B43" s="128">
        <v>1</v>
      </c>
      <c r="C43" s="128">
        <v>1</v>
      </c>
      <c r="D43" s="128">
        <v>1</v>
      </c>
      <c r="E43" s="128">
        <v>1</v>
      </c>
      <c r="F43" s="128">
        <v>1</v>
      </c>
      <c r="G43" s="128">
        <v>1</v>
      </c>
      <c r="K43" s="86">
        <v>42762</v>
      </c>
      <c r="L43" s="126">
        <f t="shared" si="3"/>
        <v>33.000000080000007</v>
      </c>
      <c r="M43" s="126">
        <f t="shared" si="4"/>
        <v>33.000000080000007</v>
      </c>
      <c r="N43" s="126">
        <f t="shared" si="5"/>
        <v>35.999999999999986</v>
      </c>
      <c r="O43" s="126">
        <f t="shared" si="6"/>
        <v>32</v>
      </c>
      <c r="P43" s="126">
        <f t="shared" si="7"/>
        <v>33</v>
      </c>
      <c r="Q43" s="126">
        <f t="shared" si="8"/>
        <v>29.000000000000011</v>
      </c>
      <c r="R43" s="126">
        <f t="shared" si="9"/>
        <v>-6.9999999999999751</v>
      </c>
      <c r="T43" s="126">
        <f t="shared" si="10"/>
        <v>-6.9999999999999751</v>
      </c>
      <c r="U43" s="126">
        <f t="shared" si="2"/>
        <v>196.00000016000001</v>
      </c>
      <c r="W43" s="126">
        <f t="shared" si="11"/>
        <v>29.000000000000011</v>
      </c>
      <c r="X43" s="126">
        <f t="shared" si="12"/>
        <v>65.000000080000007</v>
      </c>
    </row>
    <row r="44" spans="1:24">
      <c r="A44" s="22">
        <v>42769</v>
      </c>
      <c r="B44" s="128">
        <v>1</v>
      </c>
      <c r="C44" s="128">
        <v>0</v>
      </c>
      <c r="D44" s="128">
        <v>1</v>
      </c>
      <c r="E44" s="128">
        <v>0</v>
      </c>
      <c r="F44" s="128">
        <v>0</v>
      </c>
      <c r="G44" s="128">
        <v>1</v>
      </c>
      <c r="K44" s="86">
        <v>42769</v>
      </c>
      <c r="L44" s="126">
        <f t="shared" si="3"/>
        <v>34.000000080000007</v>
      </c>
      <c r="M44" s="126">
        <f t="shared" si="4"/>
        <v>33.000000080000007</v>
      </c>
      <c r="N44" s="126">
        <f t="shared" si="5"/>
        <v>36.999999999999986</v>
      </c>
      <c r="O44" s="126">
        <f t="shared" si="6"/>
        <v>32</v>
      </c>
      <c r="P44" s="126">
        <f t="shared" si="7"/>
        <v>33</v>
      </c>
      <c r="Q44" s="126">
        <f t="shared" si="8"/>
        <v>30.000000000000011</v>
      </c>
      <c r="R44" s="126">
        <f t="shared" si="9"/>
        <v>-6.9999999999999751</v>
      </c>
      <c r="T44" s="126">
        <f t="shared" si="10"/>
        <v>-6.9999999999999751</v>
      </c>
      <c r="U44" s="126">
        <f t="shared" si="2"/>
        <v>199.00000016000001</v>
      </c>
      <c r="W44" s="126">
        <f t="shared" si="11"/>
        <v>30.000000000000011</v>
      </c>
      <c r="X44" s="126">
        <f t="shared" si="12"/>
        <v>65.000000080000007</v>
      </c>
    </row>
    <row r="45" spans="1:24">
      <c r="A45" s="22">
        <v>42776</v>
      </c>
      <c r="B45" s="128">
        <v>1</v>
      </c>
      <c r="C45" s="128">
        <v>1</v>
      </c>
      <c r="D45" s="128">
        <v>0</v>
      </c>
      <c r="E45" s="128">
        <v>1</v>
      </c>
      <c r="F45" s="128">
        <v>1</v>
      </c>
      <c r="G45" s="128">
        <v>1</v>
      </c>
      <c r="K45" s="86">
        <v>42776</v>
      </c>
      <c r="L45" s="126">
        <f t="shared" si="3"/>
        <v>35.000000080000007</v>
      </c>
      <c r="M45" s="126">
        <f t="shared" si="4"/>
        <v>34.000000080000007</v>
      </c>
      <c r="N45" s="126">
        <f t="shared" si="5"/>
        <v>36.999999999999986</v>
      </c>
      <c r="O45" s="126">
        <f t="shared" si="6"/>
        <v>33</v>
      </c>
      <c r="P45" s="126">
        <f t="shared" si="7"/>
        <v>34</v>
      </c>
      <c r="Q45" s="126">
        <f t="shared" si="8"/>
        <v>31.000000000000011</v>
      </c>
      <c r="R45" s="126">
        <f t="shared" si="9"/>
        <v>-5.9999999999999751</v>
      </c>
      <c r="T45" s="126">
        <f t="shared" si="10"/>
        <v>-5.9999999999999751</v>
      </c>
      <c r="U45" s="126">
        <f t="shared" si="2"/>
        <v>204.00000016000001</v>
      </c>
      <c r="W45" s="126">
        <f t="shared" si="11"/>
        <v>31.000000000000011</v>
      </c>
      <c r="X45" s="126">
        <f t="shared" si="12"/>
        <v>67.000000080000007</v>
      </c>
    </row>
    <row r="46" spans="1:24">
      <c r="A46" s="22">
        <v>42783</v>
      </c>
      <c r="B46" s="128">
        <v>1</v>
      </c>
      <c r="C46" s="128">
        <v>1</v>
      </c>
      <c r="D46" s="128">
        <v>0</v>
      </c>
      <c r="E46" s="128">
        <v>1</v>
      </c>
      <c r="F46" s="128">
        <v>1</v>
      </c>
      <c r="G46" s="128">
        <v>1</v>
      </c>
      <c r="K46" s="86">
        <v>42783</v>
      </c>
      <c r="L46" s="126">
        <f t="shared" si="3"/>
        <v>36.000000080000007</v>
      </c>
      <c r="M46" s="126">
        <f t="shared" si="4"/>
        <v>35.000000080000007</v>
      </c>
      <c r="N46" s="126">
        <f t="shared" si="5"/>
        <v>36.999999999999986</v>
      </c>
      <c r="O46" s="126">
        <f t="shared" si="6"/>
        <v>34</v>
      </c>
      <c r="P46" s="126">
        <f t="shared" si="7"/>
        <v>35</v>
      </c>
      <c r="Q46" s="126">
        <f t="shared" si="8"/>
        <v>32.000000000000014</v>
      </c>
      <c r="R46" s="126">
        <f t="shared" si="9"/>
        <v>-4.9999999999999716</v>
      </c>
      <c r="T46" s="126">
        <f t="shared" si="10"/>
        <v>-4.9999999999999716</v>
      </c>
      <c r="U46" s="126">
        <f t="shared" si="2"/>
        <v>209.00000016000001</v>
      </c>
      <c r="W46" s="126">
        <f t="shared" si="11"/>
        <v>32.000000000000014</v>
      </c>
      <c r="X46" s="126">
        <f t="shared" si="12"/>
        <v>69.000000080000007</v>
      </c>
    </row>
    <row r="47" spans="1:24">
      <c r="A47" s="22">
        <v>42790</v>
      </c>
      <c r="B47" s="128">
        <v>1</v>
      </c>
      <c r="C47" s="128">
        <v>1</v>
      </c>
      <c r="D47" s="128">
        <v>1</v>
      </c>
      <c r="E47" s="128">
        <v>1</v>
      </c>
      <c r="F47" s="128">
        <v>0</v>
      </c>
      <c r="G47" s="128">
        <v>1</v>
      </c>
      <c r="K47" s="86">
        <v>42790</v>
      </c>
      <c r="L47" s="126">
        <f t="shared" si="3"/>
        <v>37.000000080000007</v>
      </c>
      <c r="M47" s="126">
        <f t="shared" si="4"/>
        <v>36.000000080000007</v>
      </c>
      <c r="N47" s="126">
        <f t="shared" si="5"/>
        <v>37.999999999999986</v>
      </c>
      <c r="O47" s="126">
        <f t="shared" si="6"/>
        <v>35</v>
      </c>
      <c r="P47" s="126">
        <f t="shared" si="7"/>
        <v>35</v>
      </c>
      <c r="Q47" s="126">
        <f t="shared" si="8"/>
        <v>33.000000000000014</v>
      </c>
      <c r="R47" s="126">
        <f t="shared" si="9"/>
        <v>-4.9999999999999716</v>
      </c>
      <c r="T47" s="126">
        <f t="shared" si="10"/>
        <v>-4.9999999999999716</v>
      </c>
      <c r="U47" s="126">
        <f t="shared" si="2"/>
        <v>214.00000016000001</v>
      </c>
      <c r="W47" s="126">
        <f t="shared" si="11"/>
        <v>33.000000000000014</v>
      </c>
      <c r="X47" s="126">
        <f t="shared" si="12"/>
        <v>71.000000080000007</v>
      </c>
    </row>
    <row r="48" spans="1:24">
      <c r="A48" s="22">
        <v>42797</v>
      </c>
      <c r="B48" s="128">
        <v>1</v>
      </c>
      <c r="C48" s="128">
        <v>1</v>
      </c>
      <c r="D48" s="128">
        <v>1</v>
      </c>
      <c r="E48" s="128">
        <v>1</v>
      </c>
      <c r="F48" s="128">
        <v>0</v>
      </c>
      <c r="G48" s="128">
        <v>1</v>
      </c>
      <c r="K48" s="86">
        <v>42797</v>
      </c>
      <c r="L48" s="126">
        <f t="shared" si="3"/>
        <v>38.000000080000007</v>
      </c>
      <c r="M48" s="126">
        <f t="shared" si="4"/>
        <v>37.000000080000007</v>
      </c>
      <c r="N48" s="126">
        <f t="shared" si="5"/>
        <v>38.999999999999986</v>
      </c>
      <c r="O48" s="126">
        <f t="shared" si="6"/>
        <v>36</v>
      </c>
      <c r="P48" s="126">
        <f t="shared" si="7"/>
        <v>35</v>
      </c>
      <c r="Q48" s="126">
        <f t="shared" si="8"/>
        <v>34.000000000000014</v>
      </c>
      <c r="R48" s="126">
        <f t="shared" si="9"/>
        <v>-4.9999999999999716</v>
      </c>
      <c r="T48" s="126">
        <f t="shared" si="10"/>
        <v>-4.9999999999999716</v>
      </c>
      <c r="U48" s="126">
        <f t="shared" si="2"/>
        <v>219.00000016000001</v>
      </c>
      <c r="W48" s="126">
        <f t="shared" si="11"/>
        <v>34.000000000000014</v>
      </c>
      <c r="X48" s="126">
        <f t="shared" si="12"/>
        <v>73.000000080000007</v>
      </c>
    </row>
    <row r="49" spans="1:24">
      <c r="A49" s="22">
        <v>42804</v>
      </c>
      <c r="B49" s="128">
        <v>1</v>
      </c>
      <c r="C49" s="128">
        <v>1</v>
      </c>
      <c r="D49" s="128">
        <v>0</v>
      </c>
      <c r="E49" s="128">
        <v>1</v>
      </c>
      <c r="F49" s="128">
        <v>1</v>
      </c>
      <c r="G49" s="128">
        <v>1</v>
      </c>
      <c r="K49" s="86">
        <v>42804</v>
      </c>
      <c r="L49" s="126">
        <f t="shared" si="3"/>
        <v>39.000000080000007</v>
      </c>
      <c r="M49" s="126">
        <f t="shared" si="4"/>
        <v>38.000000080000007</v>
      </c>
      <c r="N49" s="126">
        <f t="shared" si="5"/>
        <v>38.999999999999986</v>
      </c>
      <c r="O49" s="126">
        <f t="shared" si="6"/>
        <v>37</v>
      </c>
      <c r="P49" s="126">
        <f t="shared" si="7"/>
        <v>36</v>
      </c>
      <c r="Q49" s="126">
        <f t="shared" si="8"/>
        <v>35.000000000000014</v>
      </c>
      <c r="R49" s="126">
        <f t="shared" si="9"/>
        <v>-4.0000000799999924</v>
      </c>
      <c r="T49" s="126">
        <f t="shared" si="10"/>
        <v>-4.0000000799999924</v>
      </c>
      <c r="U49" s="126">
        <f t="shared" si="2"/>
        <v>224.00000016000001</v>
      </c>
      <c r="W49" s="126">
        <f t="shared" si="11"/>
        <v>35.000000000000014</v>
      </c>
      <c r="X49" s="126">
        <f t="shared" si="12"/>
        <v>75.000000080000007</v>
      </c>
    </row>
    <row r="50" spans="1:24">
      <c r="A50" s="22">
        <v>42811</v>
      </c>
      <c r="B50" s="128">
        <v>1</v>
      </c>
      <c r="C50" s="128">
        <v>1</v>
      </c>
      <c r="D50" s="128">
        <v>1</v>
      </c>
      <c r="E50" s="128">
        <v>1</v>
      </c>
      <c r="F50" s="128">
        <v>1</v>
      </c>
      <c r="G50" s="128">
        <v>1</v>
      </c>
      <c r="K50" s="86">
        <v>42811</v>
      </c>
      <c r="L50" s="126">
        <f t="shared" si="3"/>
        <v>40.000000080000007</v>
      </c>
      <c r="M50" s="126">
        <f t="shared" si="4"/>
        <v>39.000000080000007</v>
      </c>
      <c r="N50" s="126">
        <f t="shared" si="5"/>
        <v>39.999999999999986</v>
      </c>
      <c r="O50" s="126">
        <f t="shared" si="6"/>
        <v>38</v>
      </c>
      <c r="P50" s="126">
        <f t="shared" si="7"/>
        <v>37</v>
      </c>
      <c r="Q50" s="126">
        <f t="shared" si="8"/>
        <v>36.000000000000014</v>
      </c>
      <c r="R50" s="126">
        <f t="shared" si="9"/>
        <v>-4.0000000799999924</v>
      </c>
      <c r="T50" s="126">
        <f t="shared" si="10"/>
        <v>-4.0000000799999924</v>
      </c>
      <c r="U50" s="126">
        <f t="shared" si="2"/>
        <v>230.00000016000001</v>
      </c>
      <c r="W50" s="126">
        <f t="shared" si="11"/>
        <v>36.000000000000014</v>
      </c>
      <c r="X50" s="126">
        <f t="shared" si="12"/>
        <v>77.000000080000007</v>
      </c>
    </row>
    <row r="51" spans="1:24">
      <c r="A51" s="22">
        <v>42818</v>
      </c>
      <c r="B51" s="128">
        <v>1</v>
      </c>
      <c r="C51" s="128">
        <v>1</v>
      </c>
      <c r="D51" s="128">
        <v>0</v>
      </c>
      <c r="E51" s="128">
        <v>1</v>
      </c>
      <c r="F51" s="128">
        <v>1</v>
      </c>
      <c r="G51" s="128">
        <v>1</v>
      </c>
      <c r="K51" s="86">
        <v>42818</v>
      </c>
      <c r="L51" s="126">
        <f t="shared" si="3"/>
        <v>41.000000080000007</v>
      </c>
      <c r="M51" s="126">
        <f t="shared" si="4"/>
        <v>40.000000080000007</v>
      </c>
      <c r="N51" s="126">
        <f t="shared" si="5"/>
        <v>39.999999999999986</v>
      </c>
      <c r="O51" s="126">
        <f t="shared" si="6"/>
        <v>39</v>
      </c>
      <c r="P51" s="126">
        <f t="shared" si="7"/>
        <v>38</v>
      </c>
      <c r="Q51" s="126">
        <f t="shared" si="8"/>
        <v>37.000000000000014</v>
      </c>
      <c r="R51" s="126">
        <f t="shared" si="9"/>
        <v>-4.0000000799999924</v>
      </c>
      <c r="T51" s="126">
        <f t="shared" si="10"/>
        <v>-4.0000000799999924</v>
      </c>
      <c r="U51" s="126">
        <f t="shared" si="2"/>
        <v>235.00000016000001</v>
      </c>
      <c r="W51" s="126">
        <f t="shared" si="11"/>
        <v>37.000000000000014</v>
      </c>
      <c r="X51" s="126">
        <f t="shared" si="12"/>
        <v>79.000000080000007</v>
      </c>
    </row>
    <row r="52" spans="1:24" ht="16.5" customHeight="1">
      <c r="A52" s="22">
        <v>42825</v>
      </c>
      <c r="B52" s="128">
        <v>1</v>
      </c>
      <c r="C52" s="128">
        <v>0</v>
      </c>
      <c r="D52" s="128">
        <v>0</v>
      </c>
      <c r="E52" s="128">
        <v>0</v>
      </c>
      <c r="F52" s="128">
        <v>1</v>
      </c>
      <c r="G52" s="128">
        <v>1</v>
      </c>
      <c r="K52" s="86">
        <v>42825</v>
      </c>
      <c r="L52" s="126">
        <f t="shared" si="3"/>
        <v>42.000000080000007</v>
      </c>
      <c r="M52" s="126">
        <f t="shared" si="4"/>
        <v>40.000000080000007</v>
      </c>
      <c r="N52" s="126">
        <f t="shared" si="5"/>
        <v>39.999999999999986</v>
      </c>
      <c r="O52" s="126">
        <f t="shared" si="6"/>
        <v>39</v>
      </c>
      <c r="P52" s="126">
        <f t="shared" si="7"/>
        <v>39</v>
      </c>
      <c r="Q52" s="126">
        <f t="shared" si="8"/>
        <v>38.000000000000014</v>
      </c>
      <c r="R52" s="126">
        <f t="shared" si="9"/>
        <v>-4.0000000799999924</v>
      </c>
      <c r="T52" s="126">
        <f t="shared" si="10"/>
        <v>-4.0000000799999924</v>
      </c>
      <c r="U52" s="126">
        <f t="shared" si="2"/>
        <v>238.00000016000001</v>
      </c>
      <c r="W52" s="126">
        <f t="shared" si="11"/>
        <v>38.000000000000014</v>
      </c>
      <c r="X52" s="126">
        <f t="shared" si="12"/>
        <v>79.000000080000007</v>
      </c>
    </row>
    <row r="53" spans="1:24" ht="16.5" customHeight="1">
      <c r="A53" s="22">
        <v>42832</v>
      </c>
      <c r="B53" s="128">
        <v>0</v>
      </c>
      <c r="C53" s="128">
        <v>0</v>
      </c>
      <c r="D53" s="128">
        <v>1</v>
      </c>
      <c r="E53" s="128">
        <v>1</v>
      </c>
      <c r="F53" s="128">
        <v>1</v>
      </c>
      <c r="G53" s="128">
        <v>1</v>
      </c>
      <c r="K53" s="86">
        <v>42832</v>
      </c>
      <c r="L53" s="126">
        <f t="shared" si="3"/>
        <v>42.000000080000007</v>
      </c>
      <c r="M53" s="126">
        <f t="shared" si="4"/>
        <v>40.000000080000007</v>
      </c>
      <c r="N53" s="126">
        <f t="shared" si="5"/>
        <v>40.999999999999986</v>
      </c>
      <c r="O53" s="126">
        <f t="shared" si="6"/>
        <v>40</v>
      </c>
      <c r="P53" s="126">
        <f t="shared" si="7"/>
        <v>40</v>
      </c>
      <c r="Q53" s="126">
        <f t="shared" si="8"/>
        <v>39.000000000000014</v>
      </c>
      <c r="R53" s="126">
        <f t="shared" si="9"/>
        <v>-3.0000000799999924</v>
      </c>
      <c r="T53" s="126">
        <f t="shared" si="10"/>
        <v>-3.0000000799999924</v>
      </c>
      <c r="U53" s="126">
        <f t="shared" si="2"/>
        <v>242.00000016000001</v>
      </c>
      <c r="W53" s="126">
        <f t="shared" si="11"/>
        <v>39.000000000000014</v>
      </c>
      <c r="X53" s="126">
        <f t="shared" si="12"/>
        <v>80.000000080000007</v>
      </c>
    </row>
    <row r="54" spans="1:24" ht="16.5" customHeight="1">
      <c r="A54" s="22">
        <v>42846</v>
      </c>
      <c r="B54" s="128">
        <v>1</v>
      </c>
      <c r="C54" s="128">
        <v>0</v>
      </c>
      <c r="D54" s="128">
        <v>1</v>
      </c>
      <c r="E54" s="128">
        <v>1</v>
      </c>
      <c r="F54" s="128">
        <v>1</v>
      </c>
      <c r="G54" s="128">
        <v>1</v>
      </c>
      <c r="K54" s="86">
        <v>42846</v>
      </c>
      <c r="L54" s="126">
        <f t="shared" si="3"/>
        <v>43.000000080000007</v>
      </c>
      <c r="M54" s="126">
        <f t="shared" si="4"/>
        <v>40.000000080000007</v>
      </c>
      <c r="N54" s="126">
        <f t="shared" si="5"/>
        <v>41.999999999999986</v>
      </c>
      <c r="O54" s="126">
        <f t="shared" si="6"/>
        <v>41</v>
      </c>
      <c r="P54" s="126">
        <f t="shared" si="7"/>
        <v>41</v>
      </c>
      <c r="Q54" s="126">
        <f t="shared" si="8"/>
        <v>40.000000000000014</v>
      </c>
      <c r="R54" s="126">
        <f t="shared" si="9"/>
        <v>-3.0000000799999924</v>
      </c>
      <c r="T54" s="126">
        <f t="shared" si="10"/>
        <v>-3.0000000799999924</v>
      </c>
      <c r="U54" s="126">
        <f t="shared" si="2"/>
        <v>247.00000016000001</v>
      </c>
      <c r="W54" s="126">
        <f t="shared" si="11"/>
        <v>40.000000000000014</v>
      </c>
      <c r="X54" s="126">
        <f t="shared" si="12"/>
        <v>81.000000080000007</v>
      </c>
    </row>
    <row r="55" spans="1:24" ht="16.5" customHeight="1">
      <c r="A55" s="22">
        <v>42853</v>
      </c>
      <c r="B55" s="128">
        <v>1</v>
      </c>
      <c r="C55" s="128">
        <v>0</v>
      </c>
      <c r="D55" s="128">
        <v>1</v>
      </c>
      <c r="E55" s="128">
        <v>1</v>
      </c>
      <c r="F55" s="128">
        <v>1</v>
      </c>
      <c r="G55" s="128">
        <v>1</v>
      </c>
      <c r="K55" s="86">
        <v>42853</v>
      </c>
      <c r="L55" s="126">
        <f t="shared" si="3"/>
        <v>44.000000080000007</v>
      </c>
      <c r="M55" s="126">
        <f t="shared" si="4"/>
        <v>40.000000080000007</v>
      </c>
      <c r="N55" s="126">
        <f t="shared" si="5"/>
        <v>42.999999999999986</v>
      </c>
      <c r="O55" s="126">
        <f t="shared" si="6"/>
        <v>42</v>
      </c>
      <c r="P55" s="126">
        <f t="shared" si="7"/>
        <v>42</v>
      </c>
      <c r="Q55" s="126">
        <f t="shared" si="8"/>
        <v>41.000000000000014</v>
      </c>
      <c r="R55" s="126">
        <f t="shared" si="9"/>
        <v>-3.0000000799999924</v>
      </c>
      <c r="T55" s="126">
        <f t="shared" si="10"/>
        <v>-3.0000000799999924</v>
      </c>
      <c r="U55" s="126">
        <f t="shared" si="2"/>
        <v>252.00000016000001</v>
      </c>
      <c r="W55" s="126">
        <f t="shared" si="11"/>
        <v>41.000000000000014</v>
      </c>
      <c r="X55" s="126">
        <f t="shared" si="12"/>
        <v>82.000000080000007</v>
      </c>
    </row>
    <row r="56" spans="1:24" ht="16.5" customHeight="1">
      <c r="A56" s="22">
        <v>42860</v>
      </c>
      <c r="B56" s="128">
        <v>1</v>
      </c>
      <c r="C56" s="128">
        <v>0</v>
      </c>
      <c r="D56" s="128">
        <v>1</v>
      </c>
      <c r="E56" s="128">
        <v>1</v>
      </c>
      <c r="F56" s="128">
        <v>1</v>
      </c>
      <c r="G56" s="128">
        <v>1</v>
      </c>
      <c r="K56" s="86">
        <v>42860</v>
      </c>
      <c r="L56" s="126">
        <f t="shared" si="3"/>
        <v>45.000000080000007</v>
      </c>
      <c r="M56" s="126">
        <f t="shared" si="4"/>
        <v>40.000000080000007</v>
      </c>
      <c r="N56" s="126">
        <f t="shared" si="5"/>
        <v>43.999999999999986</v>
      </c>
      <c r="O56" s="126">
        <f t="shared" si="6"/>
        <v>43</v>
      </c>
      <c r="P56" s="126">
        <f t="shared" si="7"/>
        <v>43</v>
      </c>
      <c r="Q56" s="126">
        <f t="shared" si="8"/>
        <v>42.000000000000014</v>
      </c>
      <c r="R56" s="126">
        <f t="shared" si="9"/>
        <v>-3.0000000799999924</v>
      </c>
      <c r="T56" s="126">
        <f t="shared" si="10"/>
        <v>-3.0000000799999924</v>
      </c>
      <c r="U56" s="126">
        <f t="shared" si="2"/>
        <v>257.00000016000001</v>
      </c>
      <c r="W56" s="126">
        <f t="shared" si="11"/>
        <v>42.000000000000014</v>
      </c>
      <c r="X56" s="126">
        <f t="shared" si="12"/>
        <v>83.000000080000007</v>
      </c>
    </row>
    <row r="57" spans="1:24" ht="16.5" customHeight="1">
      <c r="A57" s="22">
        <v>42867</v>
      </c>
      <c r="B57" s="128">
        <v>1</v>
      </c>
      <c r="C57" s="128">
        <v>0</v>
      </c>
      <c r="D57" s="128">
        <v>1</v>
      </c>
      <c r="E57" s="128">
        <v>1</v>
      </c>
      <c r="F57" s="128">
        <v>1</v>
      </c>
      <c r="G57" s="128">
        <v>1</v>
      </c>
      <c r="K57" s="86">
        <v>42867</v>
      </c>
      <c r="L57" s="126">
        <f t="shared" si="3"/>
        <v>46.000000080000007</v>
      </c>
      <c r="M57" s="126">
        <f t="shared" si="4"/>
        <v>40.000000080000007</v>
      </c>
      <c r="N57" s="126">
        <f t="shared" si="5"/>
        <v>44.999999999999986</v>
      </c>
      <c r="O57" s="126">
        <f t="shared" si="6"/>
        <v>44</v>
      </c>
      <c r="P57" s="126">
        <f t="shared" si="7"/>
        <v>44</v>
      </c>
      <c r="Q57" s="126">
        <f t="shared" si="8"/>
        <v>43.000000000000014</v>
      </c>
      <c r="R57" s="126">
        <f t="shared" si="9"/>
        <v>-3.0000000799999924</v>
      </c>
      <c r="T57" s="126">
        <f t="shared" si="10"/>
        <v>-3.0000000799999924</v>
      </c>
      <c r="U57" s="126">
        <f t="shared" si="2"/>
        <v>262.00000016000001</v>
      </c>
      <c r="W57" s="126">
        <f t="shared" si="11"/>
        <v>43.000000000000014</v>
      </c>
      <c r="X57" s="126">
        <f t="shared" si="12"/>
        <v>84.000000080000007</v>
      </c>
    </row>
    <row r="58" spans="1:24" ht="16.5" customHeight="1">
      <c r="A58" s="22">
        <v>42874</v>
      </c>
      <c r="B58" s="128">
        <v>1</v>
      </c>
      <c r="C58" s="128">
        <v>0</v>
      </c>
      <c r="D58" s="128">
        <v>0</v>
      </c>
      <c r="E58" s="128">
        <v>1</v>
      </c>
      <c r="F58" s="128">
        <v>1</v>
      </c>
      <c r="G58" s="128">
        <v>1</v>
      </c>
      <c r="K58" s="86">
        <v>42874</v>
      </c>
      <c r="L58" s="126">
        <f t="shared" si="3"/>
        <v>47.000000080000007</v>
      </c>
      <c r="M58" s="126">
        <f t="shared" si="4"/>
        <v>40.000000080000007</v>
      </c>
      <c r="N58" s="126">
        <f t="shared" si="5"/>
        <v>44.999999999999986</v>
      </c>
      <c r="O58" s="126">
        <f t="shared" si="6"/>
        <v>45</v>
      </c>
      <c r="P58" s="126">
        <f t="shared" si="7"/>
        <v>45</v>
      </c>
      <c r="Q58" s="126">
        <f t="shared" si="8"/>
        <v>44.000000000000014</v>
      </c>
      <c r="R58" s="126">
        <f t="shared" si="9"/>
        <v>-3.0000000799999924</v>
      </c>
      <c r="T58" s="126">
        <f t="shared" si="10"/>
        <v>-3.0000000799999924</v>
      </c>
      <c r="U58" s="126">
        <f t="shared" si="2"/>
        <v>266.00000016000001</v>
      </c>
      <c r="W58" s="126">
        <f t="shared" si="11"/>
        <v>44.000000000000014</v>
      </c>
      <c r="X58" s="126">
        <f t="shared" si="12"/>
        <v>85.000000080000007</v>
      </c>
    </row>
    <row r="59" spans="1:24" ht="16.5" customHeight="1">
      <c r="A59" s="22">
        <v>42881</v>
      </c>
      <c r="B59" s="128">
        <v>1</v>
      </c>
      <c r="C59" s="128">
        <v>0</v>
      </c>
      <c r="D59" s="128">
        <v>0</v>
      </c>
      <c r="E59" s="128">
        <v>1</v>
      </c>
      <c r="F59" s="128">
        <v>0</v>
      </c>
      <c r="G59" s="128">
        <v>1</v>
      </c>
      <c r="K59" s="86">
        <v>42881</v>
      </c>
      <c r="L59" s="126">
        <f t="shared" si="3"/>
        <v>48.000000080000007</v>
      </c>
      <c r="M59" s="126">
        <f t="shared" si="4"/>
        <v>40.000000080000007</v>
      </c>
      <c r="N59" s="126">
        <f t="shared" si="5"/>
        <v>44.999999999999986</v>
      </c>
      <c r="O59" s="126">
        <f t="shared" si="6"/>
        <v>46</v>
      </c>
      <c r="P59" s="126">
        <f t="shared" si="7"/>
        <v>45</v>
      </c>
      <c r="Q59" s="126">
        <f t="shared" si="8"/>
        <v>45.000000000000014</v>
      </c>
      <c r="R59" s="126">
        <f t="shared" si="9"/>
        <v>-3.0000000799999924</v>
      </c>
      <c r="T59" s="126">
        <f t="shared" si="10"/>
        <v>-3.0000000799999924</v>
      </c>
      <c r="U59" s="126">
        <f t="shared" si="2"/>
        <v>269.00000016000001</v>
      </c>
      <c r="W59" s="126">
        <f t="shared" si="11"/>
        <v>45.000000000000014</v>
      </c>
      <c r="X59" s="126">
        <f t="shared" si="12"/>
        <v>86.000000080000007</v>
      </c>
    </row>
    <row r="60" spans="1:24" ht="16.5" customHeight="1">
      <c r="A60" s="22">
        <v>42888</v>
      </c>
      <c r="B60" s="128">
        <v>1</v>
      </c>
      <c r="C60" s="128">
        <v>0</v>
      </c>
      <c r="D60" s="128">
        <v>0</v>
      </c>
      <c r="E60" s="128">
        <v>1</v>
      </c>
      <c r="F60" s="128">
        <v>0</v>
      </c>
      <c r="G60" s="128">
        <v>1</v>
      </c>
      <c r="K60" s="86">
        <v>42888</v>
      </c>
      <c r="L60" s="126">
        <f t="shared" si="3"/>
        <v>49.000000080000007</v>
      </c>
      <c r="M60" s="126">
        <f t="shared" si="4"/>
        <v>40.000000080000007</v>
      </c>
      <c r="N60" s="126">
        <f t="shared" si="5"/>
        <v>44.999999999999986</v>
      </c>
      <c r="O60" s="126">
        <f t="shared" si="6"/>
        <v>47</v>
      </c>
      <c r="P60" s="126">
        <f t="shared" si="7"/>
        <v>45</v>
      </c>
      <c r="Q60" s="126">
        <f t="shared" si="8"/>
        <v>46.000000000000014</v>
      </c>
      <c r="R60" s="126">
        <f t="shared" si="9"/>
        <v>-3.0000000799999924</v>
      </c>
      <c r="T60" s="126">
        <f t="shared" si="10"/>
        <v>-3.0000000799999924</v>
      </c>
      <c r="U60" s="126">
        <f t="shared" si="2"/>
        <v>272.00000016000001</v>
      </c>
      <c r="W60" s="126">
        <f t="shared" si="11"/>
        <v>46.000000000000014</v>
      </c>
      <c r="X60" s="126">
        <f t="shared" si="12"/>
        <v>87.000000080000007</v>
      </c>
    </row>
    <row r="61" spans="1:24" ht="16.5" customHeight="1">
      <c r="A61" s="22">
        <v>42895</v>
      </c>
      <c r="B61" s="128">
        <v>1</v>
      </c>
      <c r="C61" s="128">
        <v>0</v>
      </c>
      <c r="D61" s="128">
        <v>0</v>
      </c>
      <c r="E61" s="128">
        <v>1</v>
      </c>
      <c r="F61" s="128">
        <v>0</v>
      </c>
      <c r="G61" s="128">
        <v>1</v>
      </c>
      <c r="K61" s="86">
        <v>42895</v>
      </c>
      <c r="L61" s="126">
        <f t="shared" si="3"/>
        <v>50.000000080000007</v>
      </c>
      <c r="M61" s="126">
        <f t="shared" si="4"/>
        <v>40.000000080000007</v>
      </c>
      <c r="N61" s="126">
        <f t="shared" si="5"/>
        <v>44.999999999999986</v>
      </c>
      <c r="O61" s="126">
        <f t="shared" si="6"/>
        <v>48</v>
      </c>
      <c r="P61" s="126">
        <f t="shared" si="7"/>
        <v>45</v>
      </c>
      <c r="Q61" s="126">
        <f t="shared" si="8"/>
        <v>47.000000000000014</v>
      </c>
      <c r="R61" s="126">
        <f t="shared" si="9"/>
        <v>-3.0000000799999924</v>
      </c>
      <c r="T61" s="126">
        <f t="shared" si="10"/>
        <v>-3.0000000799999924</v>
      </c>
      <c r="U61" s="126">
        <f t="shared" si="2"/>
        <v>275.00000016000001</v>
      </c>
      <c r="W61" s="126">
        <f t="shared" si="11"/>
        <v>47.000000000000014</v>
      </c>
      <c r="X61" s="126">
        <f t="shared" si="12"/>
        <v>88.000000080000007</v>
      </c>
    </row>
    <row r="62" spans="1:24" ht="16.5" customHeight="1">
      <c r="A62" s="22">
        <v>42902</v>
      </c>
      <c r="B62" s="128">
        <v>1</v>
      </c>
      <c r="C62" s="128">
        <v>0</v>
      </c>
      <c r="D62" s="128">
        <v>1</v>
      </c>
      <c r="E62" s="128">
        <v>0</v>
      </c>
      <c r="F62" s="128">
        <v>0</v>
      </c>
      <c r="G62" s="128">
        <v>1</v>
      </c>
      <c r="K62" s="86">
        <v>42902</v>
      </c>
      <c r="L62" s="126">
        <f t="shared" si="3"/>
        <v>51.000000080000007</v>
      </c>
      <c r="M62" s="126">
        <f t="shared" si="4"/>
        <v>40.000000080000007</v>
      </c>
      <c r="N62" s="126">
        <f t="shared" si="5"/>
        <v>45.999999999999986</v>
      </c>
      <c r="O62" s="126">
        <f t="shared" si="6"/>
        <v>48</v>
      </c>
      <c r="P62" s="126">
        <f t="shared" si="7"/>
        <v>45</v>
      </c>
      <c r="Q62" s="126">
        <f t="shared" si="8"/>
        <v>48.000000000000014</v>
      </c>
      <c r="R62" s="126">
        <f t="shared" si="9"/>
        <v>-3.0000000799999924</v>
      </c>
      <c r="T62" s="126">
        <f t="shared" si="10"/>
        <v>-3.0000000799999924</v>
      </c>
      <c r="U62" s="126">
        <f t="shared" si="2"/>
        <v>278.00000016000001</v>
      </c>
      <c r="W62" s="126">
        <f t="shared" si="11"/>
        <v>48.000000000000014</v>
      </c>
      <c r="X62" s="126">
        <f t="shared" si="12"/>
        <v>88.000000080000007</v>
      </c>
    </row>
    <row r="63" spans="1:24" ht="16.5" customHeight="1">
      <c r="A63" s="22">
        <v>42909</v>
      </c>
      <c r="B63" s="128">
        <v>1</v>
      </c>
      <c r="C63" s="128">
        <v>0</v>
      </c>
      <c r="D63" s="128">
        <v>1</v>
      </c>
      <c r="E63" s="128">
        <v>1</v>
      </c>
      <c r="F63" s="128">
        <v>0</v>
      </c>
      <c r="G63" s="128">
        <v>0</v>
      </c>
      <c r="K63" s="86">
        <v>42909</v>
      </c>
      <c r="L63" s="126">
        <f t="shared" si="3"/>
        <v>52.000000080000007</v>
      </c>
      <c r="M63" s="126">
        <f t="shared" si="4"/>
        <v>40.000000080000007</v>
      </c>
      <c r="N63" s="126">
        <f t="shared" si="5"/>
        <v>46.999999999999986</v>
      </c>
      <c r="O63" s="126">
        <f t="shared" si="6"/>
        <v>49</v>
      </c>
      <c r="P63" s="126">
        <f t="shared" si="7"/>
        <v>45</v>
      </c>
      <c r="Q63" s="126">
        <f t="shared" si="8"/>
        <v>48.000000000000014</v>
      </c>
      <c r="R63" s="126">
        <f t="shared" si="9"/>
        <v>-4.0000000799999924</v>
      </c>
      <c r="T63" s="126">
        <f t="shared" si="10"/>
        <v>-4.0000000799999924</v>
      </c>
      <c r="U63" s="126">
        <f t="shared" si="2"/>
        <v>281.00000016000001</v>
      </c>
      <c r="W63" s="126">
        <f t="shared" si="11"/>
        <v>48.000000000000014</v>
      </c>
      <c r="X63" s="126">
        <f t="shared" si="12"/>
        <v>89.000000080000007</v>
      </c>
    </row>
    <row r="64" spans="1:24" ht="16.5" customHeight="1">
      <c r="A64" s="22">
        <v>42916</v>
      </c>
      <c r="B64" s="128">
        <v>1</v>
      </c>
      <c r="C64" s="128">
        <v>0</v>
      </c>
      <c r="D64" s="128">
        <v>1</v>
      </c>
      <c r="E64" s="128">
        <v>1</v>
      </c>
      <c r="F64" s="128">
        <v>1</v>
      </c>
      <c r="G64" s="128">
        <v>0</v>
      </c>
      <c r="K64" s="86">
        <v>42916</v>
      </c>
      <c r="L64" s="126">
        <f t="shared" si="3"/>
        <v>53.000000080000007</v>
      </c>
      <c r="M64" s="126">
        <f t="shared" si="4"/>
        <v>40.000000080000007</v>
      </c>
      <c r="N64" s="126">
        <f t="shared" si="5"/>
        <v>47.999999999999986</v>
      </c>
      <c r="O64" s="126">
        <f t="shared" si="6"/>
        <v>50</v>
      </c>
      <c r="P64" s="126">
        <f t="shared" si="7"/>
        <v>46</v>
      </c>
      <c r="Q64" s="126">
        <f t="shared" si="8"/>
        <v>48.000000000000014</v>
      </c>
      <c r="R64" s="126">
        <f t="shared" si="9"/>
        <v>-5.0000000799999924</v>
      </c>
      <c r="T64" s="126">
        <f t="shared" si="10"/>
        <v>-5.0000000799999924</v>
      </c>
      <c r="U64" s="126">
        <f t="shared" si="2"/>
        <v>285.00000016000001</v>
      </c>
      <c r="W64" s="126">
        <f t="shared" si="11"/>
        <v>48.000000000000014</v>
      </c>
      <c r="X64" s="126">
        <f t="shared" si="12"/>
        <v>90.000000080000007</v>
      </c>
    </row>
    <row r="65" spans="1:24" ht="16.5" customHeight="1">
      <c r="A65" s="22">
        <v>42923</v>
      </c>
      <c r="B65" s="128">
        <v>1</v>
      </c>
      <c r="C65" s="128">
        <v>0</v>
      </c>
      <c r="D65" s="128">
        <v>1</v>
      </c>
      <c r="E65" s="128">
        <v>1</v>
      </c>
      <c r="F65" s="128">
        <v>1</v>
      </c>
      <c r="G65" s="128">
        <v>0</v>
      </c>
      <c r="K65" s="86">
        <v>42923</v>
      </c>
      <c r="L65" s="126">
        <f t="shared" si="3"/>
        <v>54.000000080000007</v>
      </c>
      <c r="M65" s="126">
        <f t="shared" si="4"/>
        <v>40.000000080000007</v>
      </c>
      <c r="N65" s="126">
        <f t="shared" si="5"/>
        <v>48.999999999999986</v>
      </c>
      <c r="O65" s="126">
        <f t="shared" si="6"/>
        <v>51</v>
      </c>
      <c r="P65" s="126">
        <f t="shared" si="7"/>
        <v>47</v>
      </c>
      <c r="Q65" s="126">
        <f t="shared" si="8"/>
        <v>48.000000000000014</v>
      </c>
      <c r="R65" s="126">
        <f t="shared" si="9"/>
        <v>-6.0000000799999924</v>
      </c>
      <c r="T65" s="126">
        <f t="shared" si="10"/>
        <v>-6.0000000799999924</v>
      </c>
      <c r="U65" s="126">
        <f t="shared" si="2"/>
        <v>289.00000016000001</v>
      </c>
      <c r="W65" s="126">
        <f t="shared" si="11"/>
        <v>48.000000000000014</v>
      </c>
      <c r="X65" s="126">
        <f t="shared" si="12"/>
        <v>91.000000080000007</v>
      </c>
    </row>
    <row r="66" spans="1:24" ht="16.5" customHeight="1">
      <c r="A66" s="22">
        <v>42930</v>
      </c>
      <c r="B66" s="128">
        <v>1</v>
      </c>
      <c r="C66" s="128">
        <v>0</v>
      </c>
      <c r="D66" s="128">
        <v>1</v>
      </c>
      <c r="E66" s="128">
        <v>1</v>
      </c>
      <c r="F66" s="128">
        <v>1</v>
      </c>
      <c r="G66" s="128">
        <v>1</v>
      </c>
      <c r="K66" s="86">
        <v>42930</v>
      </c>
      <c r="L66" s="126">
        <f t="shared" si="3"/>
        <v>55.000000080000007</v>
      </c>
      <c r="M66" s="126">
        <f t="shared" si="4"/>
        <v>40.000000080000007</v>
      </c>
      <c r="N66" s="126">
        <f t="shared" si="5"/>
        <v>49.999999999999986</v>
      </c>
      <c r="O66" s="126">
        <f t="shared" si="6"/>
        <v>52</v>
      </c>
      <c r="P66" s="126">
        <f t="shared" si="7"/>
        <v>48</v>
      </c>
      <c r="Q66" s="126">
        <f t="shared" si="8"/>
        <v>49.000000000000014</v>
      </c>
      <c r="R66" s="126">
        <f t="shared" si="9"/>
        <v>-6.0000000799999924</v>
      </c>
      <c r="T66" s="126">
        <f t="shared" si="10"/>
        <v>-6.0000000799999924</v>
      </c>
      <c r="U66" s="126">
        <f t="shared" ref="U66:U129" si="19">SUM(L66:Q66)</f>
        <v>294.00000016000001</v>
      </c>
      <c r="W66" s="126">
        <f t="shared" si="11"/>
        <v>49.000000000000014</v>
      </c>
      <c r="X66" s="126">
        <f t="shared" si="12"/>
        <v>92.000000080000007</v>
      </c>
    </row>
    <row r="67" spans="1:24" ht="16.5" customHeight="1">
      <c r="A67" s="22">
        <v>42937</v>
      </c>
      <c r="B67" s="128">
        <v>0</v>
      </c>
      <c r="C67" s="128">
        <v>0</v>
      </c>
      <c r="D67" s="128">
        <v>1</v>
      </c>
      <c r="E67" s="128">
        <v>0</v>
      </c>
      <c r="F67" s="128">
        <v>1</v>
      </c>
      <c r="G67" s="128">
        <v>1</v>
      </c>
      <c r="K67" s="86">
        <v>42937</v>
      </c>
      <c r="L67" s="126">
        <f t="shared" ref="L67:L130" si="20">B67+L66</f>
        <v>55.000000080000007</v>
      </c>
      <c r="M67" s="126">
        <f t="shared" ref="M67:M130" si="21">C67+M66</f>
        <v>40.000000080000007</v>
      </c>
      <c r="N67" s="126">
        <f t="shared" ref="N67:N130" si="22">D67+N66</f>
        <v>50.999999999999986</v>
      </c>
      <c r="O67" s="126">
        <f t="shared" ref="O67:O130" si="23">E67+O66</f>
        <v>52</v>
      </c>
      <c r="P67" s="126">
        <f t="shared" ref="P67:P130" si="24">F67+P66</f>
        <v>49</v>
      </c>
      <c r="Q67" s="126">
        <f t="shared" ref="Q67:Q130" si="25">G67+Q66</f>
        <v>50.000000000000014</v>
      </c>
      <c r="R67" s="126">
        <f t="shared" ref="R67:R130" si="26">Q67-MAX(L67:P67)</f>
        <v>-5.0000000799999924</v>
      </c>
      <c r="T67" s="126">
        <f t="shared" ref="T67:T130" si="27">Q67-MAX(L67:P67)</f>
        <v>-5.0000000799999924</v>
      </c>
      <c r="U67" s="126">
        <f t="shared" si="19"/>
        <v>297.00000016000001</v>
      </c>
      <c r="W67" s="126">
        <f t="shared" ref="W67:W130" si="28">Q67</f>
        <v>50.000000000000014</v>
      </c>
      <c r="X67" s="126">
        <f t="shared" ref="X67:X130" si="29">M67+O67</f>
        <v>92.000000080000007</v>
      </c>
    </row>
    <row r="68" spans="1:24" ht="16.5" customHeight="1">
      <c r="A68" s="22">
        <v>42944</v>
      </c>
      <c r="B68" s="128">
        <v>0</v>
      </c>
      <c r="C68" s="128">
        <v>0</v>
      </c>
      <c r="D68" s="128">
        <v>1</v>
      </c>
      <c r="E68" s="128">
        <v>0</v>
      </c>
      <c r="F68" s="128">
        <v>1</v>
      </c>
      <c r="G68" s="128">
        <v>1</v>
      </c>
      <c r="K68" s="86">
        <v>42944</v>
      </c>
      <c r="L68" s="126">
        <f t="shared" si="20"/>
        <v>55.000000080000007</v>
      </c>
      <c r="M68" s="126">
        <f t="shared" si="21"/>
        <v>40.000000080000007</v>
      </c>
      <c r="N68" s="126">
        <f t="shared" si="22"/>
        <v>51.999999999999986</v>
      </c>
      <c r="O68" s="126">
        <f t="shared" si="23"/>
        <v>52</v>
      </c>
      <c r="P68" s="126">
        <f t="shared" si="24"/>
        <v>50</v>
      </c>
      <c r="Q68" s="126">
        <f t="shared" si="25"/>
        <v>51.000000000000014</v>
      </c>
      <c r="R68" s="126">
        <f t="shared" si="26"/>
        <v>-4.0000000799999924</v>
      </c>
      <c r="T68" s="126">
        <f t="shared" si="27"/>
        <v>-4.0000000799999924</v>
      </c>
      <c r="U68" s="126">
        <f t="shared" si="19"/>
        <v>300.00000016000001</v>
      </c>
      <c r="W68" s="126">
        <f t="shared" si="28"/>
        <v>51.000000000000014</v>
      </c>
      <c r="X68" s="126">
        <f t="shared" si="29"/>
        <v>92.000000080000007</v>
      </c>
    </row>
    <row r="69" spans="1:24" ht="16.5" customHeight="1">
      <c r="A69" s="22">
        <v>42951</v>
      </c>
      <c r="B69" s="128">
        <v>0</v>
      </c>
      <c r="C69" s="128">
        <v>0</v>
      </c>
      <c r="D69" s="128">
        <v>1</v>
      </c>
      <c r="E69" s="128">
        <v>0</v>
      </c>
      <c r="F69" s="128">
        <v>1</v>
      </c>
      <c r="G69" s="128">
        <v>1</v>
      </c>
      <c r="K69" s="86">
        <v>42951</v>
      </c>
      <c r="L69" s="126">
        <f t="shared" si="20"/>
        <v>55.000000080000007</v>
      </c>
      <c r="M69" s="126">
        <f t="shared" si="21"/>
        <v>40.000000080000007</v>
      </c>
      <c r="N69" s="126">
        <f t="shared" si="22"/>
        <v>52.999999999999986</v>
      </c>
      <c r="O69" s="126">
        <f t="shared" si="23"/>
        <v>52</v>
      </c>
      <c r="P69" s="126">
        <f t="shared" si="24"/>
        <v>51</v>
      </c>
      <c r="Q69" s="126">
        <f t="shared" si="25"/>
        <v>52.000000000000014</v>
      </c>
      <c r="R69" s="126">
        <f t="shared" si="26"/>
        <v>-3.0000000799999924</v>
      </c>
      <c r="T69" s="126">
        <f t="shared" si="27"/>
        <v>-3.0000000799999924</v>
      </c>
      <c r="U69" s="126">
        <f t="shared" si="19"/>
        <v>303.00000016000001</v>
      </c>
      <c r="W69" s="126">
        <f t="shared" si="28"/>
        <v>52.000000000000014</v>
      </c>
      <c r="X69" s="126">
        <f t="shared" si="29"/>
        <v>92.000000080000007</v>
      </c>
    </row>
    <row r="70" spans="1:24" ht="16.5" customHeight="1">
      <c r="A70" s="22">
        <v>42958</v>
      </c>
      <c r="B70" s="128">
        <v>0</v>
      </c>
      <c r="C70" s="128">
        <v>1</v>
      </c>
      <c r="D70" s="128">
        <v>1</v>
      </c>
      <c r="E70" s="128">
        <v>0</v>
      </c>
      <c r="F70" s="128">
        <v>1</v>
      </c>
      <c r="G70" s="128">
        <v>1</v>
      </c>
      <c r="K70" s="86">
        <v>42958</v>
      </c>
      <c r="L70" s="126">
        <f t="shared" si="20"/>
        <v>55.000000080000007</v>
      </c>
      <c r="M70" s="126">
        <f t="shared" si="21"/>
        <v>41.000000080000007</v>
      </c>
      <c r="N70" s="126">
        <f t="shared" si="22"/>
        <v>53.999999999999986</v>
      </c>
      <c r="O70" s="126">
        <f t="shared" si="23"/>
        <v>52</v>
      </c>
      <c r="P70" s="126">
        <f t="shared" si="24"/>
        <v>52</v>
      </c>
      <c r="Q70" s="126">
        <f t="shared" si="25"/>
        <v>53.000000000000014</v>
      </c>
      <c r="R70" s="126">
        <f t="shared" si="26"/>
        <v>-2.0000000799999924</v>
      </c>
      <c r="T70" s="126">
        <f t="shared" si="27"/>
        <v>-2.0000000799999924</v>
      </c>
      <c r="U70" s="126">
        <f t="shared" si="19"/>
        <v>307.00000016000001</v>
      </c>
      <c r="W70" s="126">
        <f t="shared" si="28"/>
        <v>53.000000000000014</v>
      </c>
      <c r="X70" s="126">
        <f t="shared" si="29"/>
        <v>93.000000080000007</v>
      </c>
    </row>
    <row r="71" spans="1:24" ht="16.5" customHeight="1">
      <c r="A71" s="22">
        <v>42965</v>
      </c>
      <c r="B71" s="128">
        <v>0</v>
      </c>
      <c r="C71" s="128">
        <v>0</v>
      </c>
      <c r="D71" s="128">
        <v>0</v>
      </c>
      <c r="E71" s="128">
        <v>0</v>
      </c>
      <c r="F71" s="128">
        <v>1</v>
      </c>
      <c r="G71" s="128">
        <v>1</v>
      </c>
      <c r="K71" s="86">
        <v>42965</v>
      </c>
      <c r="L71" s="126">
        <f t="shared" si="20"/>
        <v>55.000000080000007</v>
      </c>
      <c r="M71" s="126">
        <f t="shared" si="21"/>
        <v>41.000000080000007</v>
      </c>
      <c r="N71" s="126">
        <f t="shared" si="22"/>
        <v>53.999999999999986</v>
      </c>
      <c r="O71" s="126">
        <f t="shared" si="23"/>
        <v>52</v>
      </c>
      <c r="P71" s="126">
        <f t="shared" si="24"/>
        <v>53</v>
      </c>
      <c r="Q71" s="126">
        <f t="shared" si="25"/>
        <v>54.000000000000014</v>
      </c>
      <c r="R71" s="126">
        <f t="shared" si="26"/>
        <v>-1.0000000799999924</v>
      </c>
      <c r="T71" s="126">
        <f t="shared" si="27"/>
        <v>-1.0000000799999924</v>
      </c>
      <c r="U71" s="126">
        <f t="shared" si="19"/>
        <v>309.00000016000001</v>
      </c>
      <c r="W71" s="126">
        <f t="shared" si="28"/>
        <v>54.000000000000014</v>
      </c>
      <c r="X71" s="126">
        <f t="shared" si="29"/>
        <v>93.000000080000007</v>
      </c>
    </row>
    <row r="72" spans="1:24">
      <c r="A72" s="22">
        <v>42972</v>
      </c>
      <c r="B72" s="128">
        <v>1</v>
      </c>
      <c r="C72" s="128">
        <v>0</v>
      </c>
      <c r="D72" s="128">
        <v>1</v>
      </c>
      <c r="E72" s="128">
        <v>1</v>
      </c>
      <c r="F72" s="128">
        <v>1</v>
      </c>
      <c r="G72" s="128">
        <v>1</v>
      </c>
      <c r="K72" s="86">
        <v>42972</v>
      </c>
      <c r="L72" s="126">
        <f t="shared" si="20"/>
        <v>56.000000080000007</v>
      </c>
      <c r="M72" s="126">
        <f t="shared" si="21"/>
        <v>41.000000080000007</v>
      </c>
      <c r="N72" s="126">
        <f t="shared" si="22"/>
        <v>54.999999999999986</v>
      </c>
      <c r="O72" s="126">
        <f t="shared" si="23"/>
        <v>53</v>
      </c>
      <c r="P72" s="126">
        <f t="shared" si="24"/>
        <v>54</v>
      </c>
      <c r="Q72" s="126">
        <f t="shared" si="25"/>
        <v>55.000000000000014</v>
      </c>
      <c r="R72" s="126">
        <f t="shared" si="26"/>
        <v>-1.0000000799999924</v>
      </c>
      <c r="T72" s="126">
        <f t="shared" si="27"/>
        <v>-1.0000000799999924</v>
      </c>
      <c r="U72" s="126">
        <f t="shared" si="19"/>
        <v>314.00000016000001</v>
      </c>
      <c r="W72" s="126">
        <f t="shared" si="28"/>
        <v>55.000000000000014</v>
      </c>
      <c r="X72" s="126">
        <f t="shared" si="29"/>
        <v>94.000000080000007</v>
      </c>
    </row>
    <row r="73" spans="1:24">
      <c r="A73" s="22">
        <v>42979</v>
      </c>
      <c r="B73" s="128">
        <v>1</v>
      </c>
      <c r="C73" s="128">
        <v>0</v>
      </c>
      <c r="D73" s="128">
        <v>1</v>
      </c>
      <c r="E73" s="128">
        <v>1</v>
      </c>
      <c r="F73" s="128">
        <v>0</v>
      </c>
      <c r="G73" s="128">
        <v>1</v>
      </c>
      <c r="K73" s="86">
        <v>42979</v>
      </c>
      <c r="L73" s="126">
        <f t="shared" si="20"/>
        <v>57.000000080000007</v>
      </c>
      <c r="M73" s="126">
        <f t="shared" si="21"/>
        <v>41.000000080000007</v>
      </c>
      <c r="N73" s="126">
        <f t="shared" si="22"/>
        <v>55.999999999999986</v>
      </c>
      <c r="O73" s="126">
        <f t="shared" si="23"/>
        <v>54</v>
      </c>
      <c r="P73" s="126">
        <f t="shared" si="24"/>
        <v>54</v>
      </c>
      <c r="Q73" s="126">
        <f t="shared" si="25"/>
        <v>56.000000000000014</v>
      </c>
      <c r="R73" s="126">
        <f t="shared" si="26"/>
        <v>-1.0000000799999924</v>
      </c>
      <c r="T73" s="126">
        <f t="shared" si="27"/>
        <v>-1.0000000799999924</v>
      </c>
      <c r="U73" s="126">
        <f t="shared" si="19"/>
        <v>318.00000016000001</v>
      </c>
      <c r="W73" s="126">
        <f t="shared" si="28"/>
        <v>56.000000000000014</v>
      </c>
      <c r="X73" s="126">
        <f t="shared" si="29"/>
        <v>95.000000080000007</v>
      </c>
    </row>
    <row r="74" spans="1:24">
      <c r="A74" s="22">
        <v>42986</v>
      </c>
      <c r="B74" s="128">
        <v>1</v>
      </c>
      <c r="C74" s="128">
        <v>0</v>
      </c>
      <c r="D74" s="128">
        <v>0</v>
      </c>
      <c r="E74" s="128">
        <v>1</v>
      </c>
      <c r="F74" s="128">
        <v>1</v>
      </c>
      <c r="G74" s="128">
        <v>1</v>
      </c>
      <c r="K74" s="86">
        <v>42986</v>
      </c>
      <c r="L74" s="126">
        <f t="shared" si="20"/>
        <v>58.000000080000007</v>
      </c>
      <c r="M74" s="126">
        <f t="shared" si="21"/>
        <v>41.000000080000007</v>
      </c>
      <c r="N74" s="126">
        <f t="shared" si="22"/>
        <v>55.999999999999986</v>
      </c>
      <c r="O74" s="126">
        <f t="shared" si="23"/>
        <v>55</v>
      </c>
      <c r="P74" s="126">
        <f t="shared" si="24"/>
        <v>55</v>
      </c>
      <c r="Q74" s="126">
        <f t="shared" si="25"/>
        <v>57.000000000000014</v>
      </c>
      <c r="R74" s="126">
        <f t="shared" si="26"/>
        <v>-1.0000000799999924</v>
      </c>
      <c r="T74" s="126">
        <f t="shared" si="27"/>
        <v>-1.0000000799999924</v>
      </c>
      <c r="U74" s="126">
        <f t="shared" si="19"/>
        <v>322.00000016000001</v>
      </c>
      <c r="W74" s="126">
        <f t="shared" si="28"/>
        <v>57.000000000000014</v>
      </c>
      <c r="X74" s="126">
        <f t="shared" si="29"/>
        <v>96.000000080000007</v>
      </c>
    </row>
    <row r="75" spans="1:24">
      <c r="A75" s="22">
        <v>42993</v>
      </c>
      <c r="B75" s="128">
        <v>1</v>
      </c>
      <c r="C75" s="128">
        <v>0</v>
      </c>
      <c r="D75" s="128">
        <v>1</v>
      </c>
      <c r="E75" s="128">
        <v>1</v>
      </c>
      <c r="F75" s="128">
        <v>0</v>
      </c>
      <c r="G75" s="128">
        <v>1</v>
      </c>
      <c r="K75" s="86">
        <v>42993</v>
      </c>
      <c r="L75" s="126">
        <f t="shared" si="20"/>
        <v>59.000000080000007</v>
      </c>
      <c r="M75" s="126">
        <f t="shared" si="21"/>
        <v>41.000000080000007</v>
      </c>
      <c r="N75" s="126">
        <f t="shared" si="22"/>
        <v>56.999999999999986</v>
      </c>
      <c r="O75" s="126">
        <f t="shared" si="23"/>
        <v>56</v>
      </c>
      <c r="P75" s="126">
        <f t="shared" si="24"/>
        <v>55</v>
      </c>
      <c r="Q75" s="126">
        <f t="shared" si="25"/>
        <v>58.000000000000014</v>
      </c>
      <c r="R75" s="126">
        <f t="shared" si="26"/>
        <v>-1.0000000799999924</v>
      </c>
      <c r="T75" s="126">
        <f t="shared" si="27"/>
        <v>-1.0000000799999924</v>
      </c>
      <c r="U75" s="126">
        <f t="shared" si="19"/>
        <v>326.00000016000001</v>
      </c>
      <c r="W75" s="126">
        <f t="shared" si="28"/>
        <v>58.000000000000014</v>
      </c>
      <c r="X75" s="126">
        <f t="shared" si="29"/>
        <v>97.000000080000007</v>
      </c>
    </row>
    <row r="76" spans="1:24">
      <c r="A76" s="22">
        <v>43000</v>
      </c>
      <c r="B76" s="128">
        <v>1</v>
      </c>
      <c r="C76" s="128">
        <v>0</v>
      </c>
      <c r="D76" s="128">
        <v>1</v>
      </c>
      <c r="E76" s="128">
        <v>1</v>
      </c>
      <c r="F76" s="128">
        <v>1</v>
      </c>
      <c r="G76" s="128">
        <v>1</v>
      </c>
      <c r="K76" s="86">
        <v>43000</v>
      </c>
      <c r="L76" s="126">
        <f t="shared" si="20"/>
        <v>60.000000080000007</v>
      </c>
      <c r="M76" s="126">
        <f t="shared" si="21"/>
        <v>41.000000080000007</v>
      </c>
      <c r="N76" s="126">
        <f t="shared" si="22"/>
        <v>57.999999999999986</v>
      </c>
      <c r="O76" s="126">
        <f t="shared" si="23"/>
        <v>57</v>
      </c>
      <c r="P76" s="126">
        <f t="shared" si="24"/>
        <v>56</v>
      </c>
      <c r="Q76" s="126">
        <f t="shared" si="25"/>
        <v>59.000000000000014</v>
      </c>
      <c r="R76" s="126">
        <f t="shared" si="26"/>
        <v>-1.0000000799999924</v>
      </c>
      <c r="T76" s="126">
        <f t="shared" si="27"/>
        <v>-1.0000000799999924</v>
      </c>
      <c r="U76" s="126">
        <f t="shared" si="19"/>
        <v>331.00000016000001</v>
      </c>
      <c r="W76" s="126">
        <f t="shared" si="28"/>
        <v>59.000000000000014</v>
      </c>
      <c r="X76" s="126">
        <f t="shared" si="29"/>
        <v>98.000000080000007</v>
      </c>
    </row>
    <row r="77" spans="1:24">
      <c r="A77" s="22">
        <v>43007</v>
      </c>
      <c r="B77" s="128">
        <v>1</v>
      </c>
      <c r="C77" s="128">
        <v>0</v>
      </c>
      <c r="D77" s="128">
        <v>0</v>
      </c>
      <c r="E77" s="128">
        <v>1</v>
      </c>
      <c r="F77" s="128">
        <v>1</v>
      </c>
      <c r="G77" s="128">
        <v>1</v>
      </c>
      <c r="K77" s="86">
        <v>43007</v>
      </c>
      <c r="L77" s="126">
        <f t="shared" si="20"/>
        <v>61.000000080000007</v>
      </c>
      <c r="M77" s="126">
        <f t="shared" si="21"/>
        <v>41.000000080000007</v>
      </c>
      <c r="N77" s="126">
        <f t="shared" si="22"/>
        <v>57.999999999999986</v>
      </c>
      <c r="O77" s="126">
        <f t="shared" si="23"/>
        <v>58</v>
      </c>
      <c r="P77" s="126">
        <f t="shared" si="24"/>
        <v>57</v>
      </c>
      <c r="Q77" s="126">
        <f t="shared" si="25"/>
        <v>60.000000000000014</v>
      </c>
      <c r="R77" s="126">
        <f t="shared" si="26"/>
        <v>-1.0000000799999924</v>
      </c>
      <c r="T77" s="126">
        <f t="shared" si="27"/>
        <v>-1.0000000799999924</v>
      </c>
      <c r="U77" s="126">
        <f t="shared" si="19"/>
        <v>335.00000016000001</v>
      </c>
      <c r="W77" s="126">
        <f t="shared" si="28"/>
        <v>60.000000000000014</v>
      </c>
      <c r="X77" s="126">
        <f t="shared" si="29"/>
        <v>99.000000080000007</v>
      </c>
    </row>
    <row r="78" spans="1:24">
      <c r="A78" s="22">
        <v>43014</v>
      </c>
      <c r="B78" s="128">
        <v>1</v>
      </c>
      <c r="C78" s="128">
        <v>0</v>
      </c>
      <c r="D78" s="128">
        <v>1</v>
      </c>
      <c r="E78" s="128">
        <v>1</v>
      </c>
      <c r="F78" s="128">
        <v>0</v>
      </c>
      <c r="G78" s="128">
        <v>1</v>
      </c>
      <c r="K78" s="86">
        <v>43014</v>
      </c>
      <c r="L78" s="126">
        <f t="shared" si="20"/>
        <v>62.000000080000007</v>
      </c>
      <c r="M78" s="126">
        <f t="shared" si="21"/>
        <v>41.000000080000007</v>
      </c>
      <c r="N78" s="126">
        <f t="shared" si="22"/>
        <v>58.999999999999986</v>
      </c>
      <c r="O78" s="126">
        <f t="shared" si="23"/>
        <v>59</v>
      </c>
      <c r="P78" s="126">
        <f t="shared" si="24"/>
        <v>57</v>
      </c>
      <c r="Q78" s="126">
        <f t="shared" si="25"/>
        <v>61.000000000000014</v>
      </c>
      <c r="R78" s="126">
        <f t="shared" si="26"/>
        <v>-1.0000000799999924</v>
      </c>
      <c r="T78" s="126">
        <f t="shared" si="27"/>
        <v>-1.0000000799999924</v>
      </c>
      <c r="U78" s="126">
        <f t="shared" si="19"/>
        <v>339.00000016000001</v>
      </c>
      <c r="W78" s="126">
        <f t="shared" si="28"/>
        <v>61.000000000000014</v>
      </c>
      <c r="X78" s="126">
        <f t="shared" si="29"/>
        <v>100.00000008000001</v>
      </c>
    </row>
    <row r="79" spans="1:24">
      <c r="A79" s="22">
        <v>43021</v>
      </c>
      <c r="B79" s="128">
        <v>1</v>
      </c>
      <c r="C79" s="128">
        <v>0</v>
      </c>
      <c r="D79" s="128">
        <v>0</v>
      </c>
      <c r="E79" s="128">
        <v>0</v>
      </c>
      <c r="F79" s="128">
        <v>1</v>
      </c>
      <c r="G79" s="128">
        <v>1</v>
      </c>
      <c r="K79" s="86">
        <v>43021</v>
      </c>
      <c r="L79" s="126">
        <f t="shared" si="20"/>
        <v>63.000000080000007</v>
      </c>
      <c r="M79" s="126">
        <f t="shared" si="21"/>
        <v>41.000000080000007</v>
      </c>
      <c r="N79" s="126">
        <f t="shared" si="22"/>
        <v>58.999999999999986</v>
      </c>
      <c r="O79" s="126">
        <f t="shared" si="23"/>
        <v>59</v>
      </c>
      <c r="P79" s="126">
        <f t="shared" si="24"/>
        <v>58</v>
      </c>
      <c r="Q79" s="126">
        <f t="shared" si="25"/>
        <v>62.000000000000014</v>
      </c>
      <c r="R79" s="126">
        <f t="shared" si="26"/>
        <v>-1.0000000799999924</v>
      </c>
      <c r="T79" s="126">
        <f t="shared" si="27"/>
        <v>-1.0000000799999924</v>
      </c>
      <c r="U79" s="126">
        <f t="shared" si="19"/>
        <v>342.00000016000001</v>
      </c>
      <c r="W79" s="126">
        <f t="shared" si="28"/>
        <v>62.000000000000014</v>
      </c>
      <c r="X79" s="126">
        <f t="shared" si="29"/>
        <v>100.00000008000001</v>
      </c>
    </row>
    <row r="80" spans="1:24">
      <c r="A80" s="22">
        <v>43028</v>
      </c>
      <c r="B80" s="128">
        <v>1</v>
      </c>
      <c r="C80" s="128">
        <v>0</v>
      </c>
      <c r="D80" s="128">
        <v>1</v>
      </c>
      <c r="E80" s="128">
        <v>1</v>
      </c>
      <c r="F80" s="128">
        <v>1</v>
      </c>
      <c r="G80" s="128">
        <v>1</v>
      </c>
      <c r="K80" s="86">
        <v>43028</v>
      </c>
      <c r="L80" s="126">
        <f t="shared" si="20"/>
        <v>64.000000080000007</v>
      </c>
      <c r="M80" s="126">
        <f t="shared" si="21"/>
        <v>41.000000080000007</v>
      </c>
      <c r="N80" s="126">
        <f t="shared" si="22"/>
        <v>59.999999999999986</v>
      </c>
      <c r="O80" s="126">
        <f t="shared" si="23"/>
        <v>60</v>
      </c>
      <c r="P80" s="126">
        <f t="shared" si="24"/>
        <v>59</v>
      </c>
      <c r="Q80" s="126">
        <f t="shared" si="25"/>
        <v>63.000000000000014</v>
      </c>
      <c r="R80" s="126">
        <f t="shared" si="26"/>
        <v>-1.0000000799999924</v>
      </c>
      <c r="T80" s="126">
        <f t="shared" si="27"/>
        <v>-1.0000000799999924</v>
      </c>
      <c r="U80" s="126">
        <f t="shared" si="19"/>
        <v>347.00000016000001</v>
      </c>
      <c r="W80" s="126">
        <f t="shared" si="28"/>
        <v>63.000000000000014</v>
      </c>
      <c r="X80" s="126">
        <f t="shared" si="29"/>
        <v>101.00000008000001</v>
      </c>
    </row>
    <row r="81" spans="1:24">
      <c r="A81" s="22">
        <v>43035</v>
      </c>
      <c r="B81" s="128">
        <v>0</v>
      </c>
      <c r="C81" s="128">
        <v>0</v>
      </c>
      <c r="D81" s="128">
        <v>1</v>
      </c>
      <c r="E81" s="128">
        <v>1</v>
      </c>
      <c r="F81" s="128">
        <v>1</v>
      </c>
      <c r="G81" s="128">
        <v>0</v>
      </c>
      <c r="K81" s="86">
        <v>43035</v>
      </c>
      <c r="L81" s="126">
        <f t="shared" si="20"/>
        <v>64.000000080000007</v>
      </c>
      <c r="M81" s="126">
        <f t="shared" si="21"/>
        <v>41.000000080000007</v>
      </c>
      <c r="N81" s="126">
        <f t="shared" si="22"/>
        <v>60.999999999999986</v>
      </c>
      <c r="O81" s="126">
        <f t="shared" si="23"/>
        <v>61</v>
      </c>
      <c r="P81" s="126">
        <f t="shared" si="24"/>
        <v>60</v>
      </c>
      <c r="Q81" s="126">
        <f t="shared" si="25"/>
        <v>63.000000000000014</v>
      </c>
      <c r="R81" s="126">
        <f t="shared" si="26"/>
        <v>-1.0000000799999924</v>
      </c>
      <c r="T81" s="126">
        <f t="shared" si="27"/>
        <v>-1.0000000799999924</v>
      </c>
      <c r="U81" s="126">
        <f t="shared" si="19"/>
        <v>350.00000016000001</v>
      </c>
      <c r="W81" s="126">
        <f t="shared" si="28"/>
        <v>63.000000000000014</v>
      </c>
      <c r="X81" s="126">
        <f t="shared" si="29"/>
        <v>102.00000008000001</v>
      </c>
    </row>
    <row r="82" spans="1:24">
      <c r="A82" s="22">
        <v>43042</v>
      </c>
      <c r="B82" s="128">
        <v>1</v>
      </c>
      <c r="C82" s="128">
        <v>0</v>
      </c>
      <c r="D82" s="128">
        <v>1</v>
      </c>
      <c r="E82" s="128">
        <v>0</v>
      </c>
      <c r="F82" s="128">
        <v>1</v>
      </c>
      <c r="G82" s="128">
        <v>1</v>
      </c>
      <c r="K82" s="86">
        <v>43042</v>
      </c>
      <c r="L82" s="126">
        <f t="shared" si="20"/>
        <v>65.000000080000007</v>
      </c>
      <c r="M82" s="126">
        <f t="shared" si="21"/>
        <v>41.000000080000007</v>
      </c>
      <c r="N82" s="126">
        <f t="shared" si="22"/>
        <v>61.999999999999986</v>
      </c>
      <c r="O82" s="126">
        <f t="shared" si="23"/>
        <v>61</v>
      </c>
      <c r="P82" s="126">
        <f t="shared" si="24"/>
        <v>61</v>
      </c>
      <c r="Q82" s="126">
        <f t="shared" si="25"/>
        <v>64.000000000000014</v>
      </c>
      <c r="R82" s="126">
        <f t="shared" si="26"/>
        <v>-1.0000000799999924</v>
      </c>
      <c r="T82" s="126">
        <f t="shared" si="27"/>
        <v>-1.0000000799999924</v>
      </c>
      <c r="U82" s="126">
        <f t="shared" si="19"/>
        <v>354.00000016000001</v>
      </c>
      <c r="W82" s="126">
        <f t="shared" si="28"/>
        <v>64.000000000000014</v>
      </c>
      <c r="X82" s="126">
        <f t="shared" si="29"/>
        <v>102.00000008000001</v>
      </c>
    </row>
    <row r="83" spans="1:24">
      <c r="A83" s="22">
        <v>43049</v>
      </c>
      <c r="B83" s="128">
        <v>0</v>
      </c>
      <c r="C83" s="128">
        <v>0</v>
      </c>
      <c r="D83" s="128">
        <v>1</v>
      </c>
      <c r="E83" s="128">
        <v>1</v>
      </c>
      <c r="F83" s="128">
        <v>1</v>
      </c>
      <c r="G83" s="128">
        <v>1</v>
      </c>
      <c r="K83" s="86">
        <v>43049</v>
      </c>
      <c r="L83" s="126">
        <f t="shared" si="20"/>
        <v>65.000000080000007</v>
      </c>
      <c r="M83" s="126">
        <f t="shared" si="21"/>
        <v>41.000000080000007</v>
      </c>
      <c r="N83" s="126">
        <f t="shared" si="22"/>
        <v>62.999999999999986</v>
      </c>
      <c r="O83" s="126">
        <f t="shared" si="23"/>
        <v>62</v>
      </c>
      <c r="P83" s="126">
        <f t="shared" si="24"/>
        <v>62</v>
      </c>
      <c r="Q83" s="126">
        <f t="shared" si="25"/>
        <v>65.000000000000014</v>
      </c>
      <c r="R83" s="126">
        <f t="shared" si="26"/>
        <v>-7.9999992408374965E-8</v>
      </c>
      <c r="T83" s="126">
        <f t="shared" si="27"/>
        <v>-7.9999992408374965E-8</v>
      </c>
      <c r="U83" s="126">
        <f t="shared" si="19"/>
        <v>358.00000016000001</v>
      </c>
      <c r="W83" s="126">
        <f t="shared" si="28"/>
        <v>65.000000000000014</v>
      </c>
      <c r="X83" s="126">
        <f t="shared" si="29"/>
        <v>103.00000008000001</v>
      </c>
    </row>
    <row r="84" spans="1:24">
      <c r="A84" s="22">
        <v>43056</v>
      </c>
      <c r="B84" s="128">
        <v>0</v>
      </c>
      <c r="C84" s="128">
        <v>0</v>
      </c>
      <c r="D84" s="128">
        <v>0</v>
      </c>
      <c r="E84" s="128">
        <v>0</v>
      </c>
      <c r="F84" s="128">
        <v>0</v>
      </c>
      <c r="G84" s="128">
        <v>0</v>
      </c>
      <c r="K84" s="86">
        <v>43056</v>
      </c>
      <c r="L84" s="126">
        <f t="shared" si="20"/>
        <v>65.000000080000007</v>
      </c>
      <c r="M84" s="126">
        <f t="shared" si="21"/>
        <v>41.000000080000007</v>
      </c>
      <c r="N84" s="126">
        <f t="shared" si="22"/>
        <v>62.999999999999986</v>
      </c>
      <c r="O84" s="126">
        <f t="shared" si="23"/>
        <v>62</v>
      </c>
      <c r="P84" s="126">
        <f t="shared" si="24"/>
        <v>62</v>
      </c>
      <c r="Q84" s="126">
        <f t="shared" si="25"/>
        <v>65.000000000000014</v>
      </c>
      <c r="R84" s="126">
        <f t="shared" si="26"/>
        <v>-7.9999992408374965E-8</v>
      </c>
      <c r="T84" s="126">
        <f t="shared" si="27"/>
        <v>-7.9999992408374965E-8</v>
      </c>
      <c r="U84" s="126">
        <f t="shared" si="19"/>
        <v>358.00000016000001</v>
      </c>
      <c r="W84" s="126">
        <f t="shared" si="28"/>
        <v>65.000000000000014</v>
      </c>
      <c r="X84" s="126">
        <f t="shared" si="29"/>
        <v>103.00000008000001</v>
      </c>
    </row>
    <row r="85" spans="1:24">
      <c r="A85" s="22">
        <v>43063</v>
      </c>
      <c r="B85" s="128">
        <v>1</v>
      </c>
      <c r="C85" s="128">
        <v>1</v>
      </c>
      <c r="D85" s="128">
        <v>1</v>
      </c>
      <c r="E85" s="128">
        <v>1</v>
      </c>
      <c r="F85" s="128">
        <v>1</v>
      </c>
      <c r="G85" s="128">
        <v>1</v>
      </c>
      <c r="K85" s="86">
        <v>43063</v>
      </c>
      <c r="L85" s="126">
        <f t="shared" si="20"/>
        <v>66.000000080000007</v>
      </c>
      <c r="M85" s="126">
        <f t="shared" si="21"/>
        <v>42.000000080000007</v>
      </c>
      <c r="N85" s="126">
        <f t="shared" si="22"/>
        <v>63.999999999999986</v>
      </c>
      <c r="O85" s="126">
        <f t="shared" si="23"/>
        <v>63</v>
      </c>
      <c r="P85" s="126">
        <f t="shared" si="24"/>
        <v>63</v>
      </c>
      <c r="Q85" s="126">
        <f t="shared" si="25"/>
        <v>66.000000000000014</v>
      </c>
      <c r="R85" s="126">
        <f t="shared" si="26"/>
        <v>-7.9999992408374965E-8</v>
      </c>
      <c r="T85" s="126">
        <f t="shared" si="27"/>
        <v>-7.9999992408374965E-8</v>
      </c>
      <c r="U85" s="126">
        <f t="shared" si="19"/>
        <v>364.00000016000001</v>
      </c>
      <c r="W85" s="126">
        <f t="shared" si="28"/>
        <v>66.000000000000014</v>
      </c>
      <c r="X85" s="126">
        <f t="shared" si="29"/>
        <v>105.00000008000001</v>
      </c>
    </row>
    <row r="86" spans="1:24">
      <c r="A86" s="22">
        <v>43070</v>
      </c>
      <c r="B86" s="128">
        <v>1</v>
      </c>
      <c r="C86" s="128">
        <v>0</v>
      </c>
      <c r="D86" s="128">
        <v>1</v>
      </c>
      <c r="E86" s="128">
        <v>1</v>
      </c>
      <c r="F86" s="128">
        <v>1</v>
      </c>
      <c r="G86" s="128">
        <v>1</v>
      </c>
      <c r="K86" s="86">
        <v>43070</v>
      </c>
      <c r="L86" s="126">
        <f t="shared" si="20"/>
        <v>67.000000080000007</v>
      </c>
      <c r="M86" s="126">
        <f t="shared" si="21"/>
        <v>42.000000080000007</v>
      </c>
      <c r="N86" s="126">
        <f t="shared" si="22"/>
        <v>64.999999999999986</v>
      </c>
      <c r="O86" s="126">
        <f t="shared" si="23"/>
        <v>64</v>
      </c>
      <c r="P86" s="126">
        <f t="shared" si="24"/>
        <v>64</v>
      </c>
      <c r="Q86" s="126">
        <f t="shared" si="25"/>
        <v>67.000000000000014</v>
      </c>
      <c r="R86" s="126">
        <f t="shared" si="26"/>
        <v>-7.9999992408374965E-8</v>
      </c>
      <c r="T86" s="126">
        <f t="shared" si="27"/>
        <v>-7.9999992408374965E-8</v>
      </c>
      <c r="U86" s="126">
        <f t="shared" si="19"/>
        <v>369.00000016000001</v>
      </c>
      <c r="W86" s="126">
        <f t="shared" si="28"/>
        <v>67.000000000000014</v>
      </c>
      <c r="X86" s="126">
        <f t="shared" si="29"/>
        <v>106.00000008000001</v>
      </c>
    </row>
    <row r="87" spans="1:24">
      <c r="A87" s="22">
        <v>43077</v>
      </c>
      <c r="B87" s="128">
        <v>1</v>
      </c>
      <c r="C87" s="128">
        <v>0</v>
      </c>
      <c r="D87" s="128">
        <v>1</v>
      </c>
      <c r="E87" s="128">
        <v>1</v>
      </c>
      <c r="F87" s="128">
        <v>1</v>
      </c>
      <c r="G87" s="128">
        <v>1</v>
      </c>
      <c r="K87" s="86">
        <v>43077</v>
      </c>
      <c r="L87" s="126">
        <f t="shared" si="20"/>
        <v>68.000000080000007</v>
      </c>
      <c r="M87" s="126">
        <f t="shared" si="21"/>
        <v>42.000000080000007</v>
      </c>
      <c r="N87" s="126">
        <f t="shared" si="22"/>
        <v>65.999999999999986</v>
      </c>
      <c r="O87" s="126">
        <f t="shared" si="23"/>
        <v>65</v>
      </c>
      <c r="P87" s="126">
        <f t="shared" si="24"/>
        <v>65</v>
      </c>
      <c r="Q87" s="126">
        <f t="shared" si="25"/>
        <v>68.000000000000014</v>
      </c>
      <c r="R87" s="126">
        <f t="shared" si="26"/>
        <v>-7.9999992408374965E-8</v>
      </c>
      <c r="T87" s="126">
        <f t="shared" si="27"/>
        <v>-7.9999992408374965E-8</v>
      </c>
      <c r="U87" s="126">
        <f t="shared" si="19"/>
        <v>374.00000016000001</v>
      </c>
      <c r="W87" s="126">
        <f t="shared" si="28"/>
        <v>68.000000000000014</v>
      </c>
      <c r="X87" s="126">
        <f t="shared" si="29"/>
        <v>107.00000008000001</v>
      </c>
    </row>
    <row r="88" spans="1:24">
      <c r="A88" s="22">
        <v>43084</v>
      </c>
      <c r="B88" s="128">
        <v>1</v>
      </c>
      <c r="C88" s="128">
        <v>0</v>
      </c>
      <c r="D88" s="128">
        <v>1</v>
      </c>
      <c r="E88" s="128">
        <v>1</v>
      </c>
      <c r="F88" s="128">
        <v>1</v>
      </c>
      <c r="G88" s="128">
        <v>1</v>
      </c>
      <c r="K88" s="86">
        <v>43084</v>
      </c>
      <c r="L88" s="126">
        <f t="shared" si="20"/>
        <v>69.000000080000007</v>
      </c>
      <c r="M88" s="126">
        <f t="shared" si="21"/>
        <v>42.000000080000007</v>
      </c>
      <c r="N88" s="126">
        <f t="shared" si="22"/>
        <v>66.999999999999986</v>
      </c>
      <c r="O88" s="126">
        <f t="shared" si="23"/>
        <v>66</v>
      </c>
      <c r="P88" s="126">
        <f t="shared" si="24"/>
        <v>66</v>
      </c>
      <c r="Q88" s="126">
        <f t="shared" si="25"/>
        <v>69.000000000000014</v>
      </c>
      <c r="R88" s="126">
        <f t="shared" si="26"/>
        <v>-7.9999992408374965E-8</v>
      </c>
      <c r="T88" s="126">
        <f t="shared" si="27"/>
        <v>-7.9999992408374965E-8</v>
      </c>
      <c r="U88" s="126">
        <f t="shared" si="19"/>
        <v>379.00000016000001</v>
      </c>
      <c r="W88" s="126">
        <f t="shared" si="28"/>
        <v>69.000000000000014</v>
      </c>
      <c r="X88" s="126">
        <f t="shared" si="29"/>
        <v>108.00000008000001</v>
      </c>
    </row>
    <row r="89" spans="1:24">
      <c r="A89" s="22">
        <v>43091</v>
      </c>
      <c r="B89" s="128">
        <v>1</v>
      </c>
      <c r="C89" s="128">
        <v>0</v>
      </c>
      <c r="D89" s="128">
        <v>1</v>
      </c>
      <c r="E89" s="128">
        <v>1</v>
      </c>
      <c r="F89" s="128">
        <v>1</v>
      </c>
      <c r="G89" s="128">
        <v>1</v>
      </c>
      <c r="K89" s="86">
        <v>43091</v>
      </c>
      <c r="L89" s="126">
        <f t="shared" si="20"/>
        <v>70.000000080000007</v>
      </c>
      <c r="M89" s="126">
        <f t="shared" si="21"/>
        <v>42.000000080000007</v>
      </c>
      <c r="N89" s="126">
        <f t="shared" si="22"/>
        <v>67.999999999999986</v>
      </c>
      <c r="O89" s="126">
        <f t="shared" si="23"/>
        <v>67</v>
      </c>
      <c r="P89" s="126">
        <f t="shared" si="24"/>
        <v>67</v>
      </c>
      <c r="Q89" s="126">
        <f t="shared" si="25"/>
        <v>70.000000000000014</v>
      </c>
      <c r="R89" s="126">
        <f t="shared" si="26"/>
        <v>-7.9999992408374965E-8</v>
      </c>
      <c r="T89" s="126">
        <f t="shared" si="27"/>
        <v>-7.9999992408374965E-8</v>
      </c>
      <c r="U89" s="126">
        <f t="shared" si="19"/>
        <v>384.00000016000001</v>
      </c>
      <c r="W89" s="126">
        <f t="shared" si="28"/>
        <v>70.000000000000014</v>
      </c>
      <c r="X89" s="126">
        <f t="shared" si="29"/>
        <v>109.00000008000001</v>
      </c>
    </row>
    <row r="90" spans="1:24">
      <c r="A90" s="22">
        <v>43098</v>
      </c>
      <c r="B90" s="128">
        <v>1</v>
      </c>
      <c r="C90" s="128">
        <v>0</v>
      </c>
      <c r="D90" s="128">
        <v>0</v>
      </c>
      <c r="E90" s="128">
        <v>0</v>
      </c>
      <c r="F90" s="128">
        <v>1</v>
      </c>
      <c r="G90" s="128">
        <v>0</v>
      </c>
      <c r="K90" s="86">
        <v>43098</v>
      </c>
      <c r="L90" s="126">
        <f t="shared" si="20"/>
        <v>71.000000080000007</v>
      </c>
      <c r="M90" s="126">
        <f t="shared" si="21"/>
        <v>42.000000080000007</v>
      </c>
      <c r="N90" s="126">
        <f t="shared" si="22"/>
        <v>67.999999999999986</v>
      </c>
      <c r="O90" s="126">
        <f t="shared" si="23"/>
        <v>67</v>
      </c>
      <c r="P90" s="126">
        <f t="shared" si="24"/>
        <v>68</v>
      </c>
      <c r="Q90" s="126">
        <f t="shared" si="25"/>
        <v>70.000000000000014</v>
      </c>
      <c r="R90" s="126">
        <f t="shared" si="26"/>
        <v>-1.0000000799999924</v>
      </c>
      <c r="T90" s="126">
        <f t="shared" si="27"/>
        <v>-1.0000000799999924</v>
      </c>
      <c r="U90" s="126">
        <f t="shared" si="19"/>
        <v>386.00000016000001</v>
      </c>
      <c r="W90" s="126">
        <f t="shared" si="28"/>
        <v>70.000000000000014</v>
      </c>
      <c r="X90" s="126">
        <f t="shared" si="29"/>
        <v>109.00000008000001</v>
      </c>
    </row>
    <row r="91" spans="1:24">
      <c r="A91" s="22">
        <v>43105</v>
      </c>
      <c r="B91" s="128">
        <v>1</v>
      </c>
      <c r="C91" s="128">
        <v>0</v>
      </c>
      <c r="D91" s="128">
        <v>0</v>
      </c>
      <c r="E91" s="128">
        <v>1</v>
      </c>
      <c r="F91" s="128">
        <v>1</v>
      </c>
      <c r="G91" s="128">
        <v>0</v>
      </c>
      <c r="K91" s="86">
        <v>43105</v>
      </c>
      <c r="L91" s="126">
        <f t="shared" si="20"/>
        <v>72.000000080000007</v>
      </c>
      <c r="M91" s="126">
        <f t="shared" si="21"/>
        <v>42.000000080000007</v>
      </c>
      <c r="N91" s="126">
        <f t="shared" si="22"/>
        <v>67.999999999999986</v>
      </c>
      <c r="O91" s="126">
        <f t="shared" si="23"/>
        <v>68</v>
      </c>
      <c r="P91" s="126">
        <f t="shared" si="24"/>
        <v>69</v>
      </c>
      <c r="Q91" s="126">
        <f t="shared" si="25"/>
        <v>70.000000000000014</v>
      </c>
      <c r="R91" s="126">
        <f t="shared" si="26"/>
        <v>-2.0000000799999924</v>
      </c>
      <c r="T91" s="126">
        <f t="shared" si="27"/>
        <v>-2.0000000799999924</v>
      </c>
      <c r="U91" s="126">
        <f t="shared" si="19"/>
        <v>389.00000016000001</v>
      </c>
      <c r="W91" s="126">
        <f t="shared" si="28"/>
        <v>70.000000000000014</v>
      </c>
      <c r="X91" s="126">
        <f t="shared" si="29"/>
        <v>110.00000008000001</v>
      </c>
    </row>
    <row r="92" spans="1:24">
      <c r="A92" s="22">
        <v>43112</v>
      </c>
      <c r="B92" s="128">
        <v>1</v>
      </c>
      <c r="C92" s="128">
        <v>0</v>
      </c>
      <c r="D92" s="128">
        <v>0</v>
      </c>
      <c r="E92" s="128">
        <v>0</v>
      </c>
      <c r="F92" s="128">
        <v>1</v>
      </c>
      <c r="G92" s="128">
        <v>1</v>
      </c>
      <c r="K92" s="86">
        <v>43112</v>
      </c>
      <c r="L92" s="126">
        <f t="shared" si="20"/>
        <v>73.000000080000007</v>
      </c>
      <c r="M92" s="126">
        <f t="shared" si="21"/>
        <v>42.000000080000007</v>
      </c>
      <c r="N92" s="126">
        <f t="shared" si="22"/>
        <v>67.999999999999986</v>
      </c>
      <c r="O92" s="126">
        <f t="shared" si="23"/>
        <v>68</v>
      </c>
      <c r="P92" s="126">
        <f t="shared" si="24"/>
        <v>70</v>
      </c>
      <c r="Q92" s="126">
        <f t="shared" si="25"/>
        <v>71.000000000000014</v>
      </c>
      <c r="R92" s="126">
        <f t="shared" si="26"/>
        <v>-2.0000000799999924</v>
      </c>
      <c r="T92" s="126">
        <f t="shared" si="27"/>
        <v>-2.0000000799999924</v>
      </c>
      <c r="U92" s="126">
        <f t="shared" si="19"/>
        <v>392.00000016000001</v>
      </c>
      <c r="W92" s="126">
        <f t="shared" si="28"/>
        <v>71.000000000000014</v>
      </c>
      <c r="X92" s="126">
        <f t="shared" si="29"/>
        <v>110.00000008000001</v>
      </c>
    </row>
    <row r="93" spans="1:24">
      <c r="A93" s="22">
        <v>43119</v>
      </c>
      <c r="B93" s="128">
        <v>0</v>
      </c>
      <c r="C93" s="128">
        <v>0</v>
      </c>
      <c r="D93" s="128">
        <v>1</v>
      </c>
      <c r="E93" s="128">
        <v>1</v>
      </c>
      <c r="F93" s="128">
        <v>1</v>
      </c>
      <c r="G93" s="128">
        <v>1</v>
      </c>
      <c r="K93" s="86">
        <v>43119</v>
      </c>
      <c r="L93" s="126">
        <f t="shared" si="20"/>
        <v>73.000000080000007</v>
      </c>
      <c r="M93" s="126">
        <f t="shared" si="21"/>
        <v>42.000000080000007</v>
      </c>
      <c r="N93" s="126">
        <f t="shared" si="22"/>
        <v>68.999999999999986</v>
      </c>
      <c r="O93" s="126">
        <f t="shared" si="23"/>
        <v>69</v>
      </c>
      <c r="P93" s="126">
        <f t="shared" si="24"/>
        <v>71</v>
      </c>
      <c r="Q93" s="126">
        <f t="shared" si="25"/>
        <v>72.000000000000014</v>
      </c>
      <c r="R93" s="126">
        <f t="shared" si="26"/>
        <v>-1.0000000799999924</v>
      </c>
      <c r="T93" s="126">
        <f t="shared" si="27"/>
        <v>-1.0000000799999924</v>
      </c>
      <c r="U93" s="126">
        <f t="shared" si="19"/>
        <v>396.00000016000001</v>
      </c>
      <c r="W93" s="126">
        <f t="shared" si="28"/>
        <v>72.000000000000014</v>
      </c>
      <c r="X93" s="126">
        <f t="shared" si="29"/>
        <v>111.00000008000001</v>
      </c>
    </row>
    <row r="94" spans="1:24">
      <c r="A94" s="22">
        <v>43126</v>
      </c>
      <c r="B94" s="128">
        <v>1</v>
      </c>
      <c r="C94" s="128">
        <v>0</v>
      </c>
      <c r="D94" s="128">
        <v>1</v>
      </c>
      <c r="E94" s="128">
        <v>0</v>
      </c>
      <c r="F94" s="128">
        <v>1</v>
      </c>
      <c r="G94" s="128">
        <v>0</v>
      </c>
      <c r="K94" s="86">
        <v>43126</v>
      </c>
      <c r="L94" s="126">
        <f t="shared" si="20"/>
        <v>74.000000080000007</v>
      </c>
      <c r="M94" s="126">
        <f t="shared" si="21"/>
        <v>42.000000080000007</v>
      </c>
      <c r="N94" s="126">
        <f t="shared" si="22"/>
        <v>69.999999999999986</v>
      </c>
      <c r="O94" s="126">
        <f t="shared" si="23"/>
        <v>69</v>
      </c>
      <c r="P94" s="126">
        <f t="shared" si="24"/>
        <v>72</v>
      </c>
      <c r="Q94" s="126">
        <f t="shared" si="25"/>
        <v>72.000000000000014</v>
      </c>
      <c r="R94" s="126">
        <f t="shared" si="26"/>
        <v>-2.0000000799999924</v>
      </c>
      <c r="T94" s="126">
        <f t="shared" si="27"/>
        <v>-2.0000000799999924</v>
      </c>
      <c r="U94" s="126">
        <f t="shared" si="19"/>
        <v>399.00000016000001</v>
      </c>
      <c r="W94" s="126">
        <f t="shared" si="28"/>
        <v>72.000000000000014</v>
      </c>
      <c r="X94" s="126">
        <f t="shared" si="29"/>
        <v>111.00000008000001</v>
      </c>
    </row>
    <row r="95" spans="1:24">
      <c r="A95" s="22">
        <v>43133</v>
      </c>
      <c r="B95" s="128">
        <v>0</v>
      </c>
      <c r="C95" s="128">
        <v>0</v>
      </c>
      <c r="D95" s="128">
        <v>0</v>
      </c>
      <c r="E95" s="128">
        <v>0</v>
      </c>
      <c r="F95" s="128">
        <v>0</v>
      </c>
      <c r="G95" s="128">
        <v>1</v>
      </c>
      <c r="K95" s="86">
        <v>43133</v>
      </c>
      <c r="L95" s="126">
        <f t="shared" si="20"/>
        <v>74.000000080000007</v>
      </c>
      <c r="M95" s="126">
        <f t="shared" si="21"/>
        <v>42.000000080000007</v>
      </c>
      <c r="N95" s="126">
        <f t="shared" si="22"/>
        <v>69.999999999999986</v>
      </c>
      <c r="O95" s="126">
        <f t="shared" si="23"/>
        <v>69</v>
      </c>
      <c r="P95" s="126">
        <f t="shared" si="24"/>
        <v>72</v>
      </c>
      <c r="Q95" s="126">
        <f t="shared" si="25"/>
        <v>73.000000000000014</v>
      </c>
      <c r="R95" s="126">
        <f t="shared" si="26"/>
        <v>-1.0000000799999924</v>
      </c>
      <c r="T95" s="126">
        <f t="shared" si="27"/>
        <v>-1.0000000799999924</v>
      </c>
      <c r="U95" s="126">
        <f t="shared" si="19"/>
        <v>400.00000016000001</v>
      </c>
      <c r="W95" s="126">
        <f t="shared" si="28"/>
        <v>73.000000000000014</v>
      </c>
      <c r="X95" s="126">
        <f t="shared" si="29"/>
        <v>111.00000008000001</v>
      </c>
    </row>
    <row r="96" spans="1:24">
      <c r="A96" s="22">
        <v>43140</v>
      </c>
      <c r="B96" s="128">
        <v>1</v>
      </c>
      <c r="C96" s="128">
        <v>0</v>
      </c>
      <c r="D96" s="128">
        <v>1</v>
      </c>
      <c r="E96" s="128">
        <v>1</v>
      </c>
      <c r="F96" s="128">
        <v>0</v>
      </c>
      <c r="G96" s="128">
        <v>1</v>
      </c>
      <c r="K96" s="86">
        <v>43140</v>
      </c>
      <c r="L96" s="126">
        <f t="shared" si="20"/>
        <v>75.000000080000007</v>
      </c>
      <c r="M96" s="126">
        <f t="shared" si="21"/>
        <v>42.000000080000007</v>
      </c>
      <c r="N96" s="126">
        <f t="shared" si="22"/>
        <v>70.999999999999986</v>
      </c>
      <c r="O96" s="126">
        <f t="shared" si="23"/>
        <v>70</v>
      </c>
      <c r="P96" s="126">
        <f t="shared" si="24"/>
        <v>72</v>
      </c>
      <c r="Q96" s="126">
        <f t="shared" si="25"/>
        <v>74.000000000000014</v>
      </c>
      <c r="R96" s="126">
        <f t="shared" si="26"/>
        <v>-1.0000000799999924</v>
      </c>
      <c r="T96" s="126">
        <f t="shared" si="27"/>
        <v>-1.0000000799999924</v>
      </c>
      <c r="U96" s="126">
        <f t="shared" si="19"/>
        <v>404.00000016000001</v>
      </c>
      <c r="W96" s="126">
        <f t="shared" si="28"/>
        <v>74.000000000000014</v>
      </c>
      <c r="X96" s="126">
        <f t="shared" si="29"/>
        <v>112.00000008000001</v>
      </c>
    </row>
    <row r="97" spans="1:24">
      <c r="A97" s="22">
        <v>43147</v>
      </c>
      <c r="B97" s="128">
        <v>1</v>
      </c>
      <c r="C97" s="128">
        <v>0</v>
      </c>
      <c r="D97" s="128">
        <v>1</v>
      </c>
      <c r="E97" s="128">
        <v>0</v>
      </c>
      <c r="F97" s="128">
        <v>1</v>
      </c>
      <c r="G97" s="128">
        <v>1</v>
      </c>
      <c r="K97" s="86">
        <v>43147</v>
      </c>
      <c r="L97" s="126">
        <f t="shared" si="20"/>
        <v>76.000000080000007</v>
      </c>
      <c r="M97" s="126">
        <f t="shared" si="21"/>
        <v>42.000000080000007</v>
      </c>
      <c r="N97" s="126">
        <f t="shared" si="22"/>
        <v>71.999999999999986</v>
      </c>
      <c r="O97" s="126">
        <f t="shared" si="23"/>
        <v>70</v>
      </c>
      <c r="P97" s="126">
        <f t="shared" si="24"/>
        <v>73</v>
      </c>
      <c r="Q97" s="126">
        <f t="shared" si="25"/>
        <v>75.000000000000014</v>
      </c>
      <c r="R97" s="126">
        <f t="shared" si="26"/>
        <v>-1.0000000799999924</v>
      </c>
      <c r="T97" s="126">
        <f t="shared" si="27"/>
        <v>-1.0000000799999924</v>
      </c>
      <c r="U97" s="126">
        <f t="shared" si="19"/>
        <v>408.00000016000001</v>
      </c>
      <c r="W97" s="126">
        <f t="shared" si="28"/>
        <v>75.000000000000014</v>
      </c>
      <c r="X97" s="126">
        <f t="shared" si="29"/>
        <v>112.00000008000001</v>
      </c>
    </row>
    <row r="98" spans="1:24">
      <c r="A98" s="22">
        <v>43154</v>
      </c>
      <c r="B98" s="128">
        <v>1</v>
      </c>
      <c r="C98" s="128">
        <v>0</v>
      </c>
      <c r="D98" s="128">
        <v>1</v>
      </c>
      <c r="E98" s="128">
        <v>1</v>
      </c>
      <c r="F98" s="128">
        <v>0</v>
      </c>
      <c r="G98" s="128">
        <v>1</v>
      </c>
      <c r="K98" s="86">
        <v>43154</v>
      </c>
      <c r="L98" s="126">
        <f t="shared" si="20"/>
        <v>77.000000080000007</v>
      </c>
      <c r="M98" s="126">
        <f t="shared" si="21"/>
        <v>42.000000080000007</v>
      </c>
      <c r="N98" s="126">
        <f t="shared" si="22"/>
        <v>72.999999999999986</v>
      </c>
      <c r="O98" s="126">
        <f t="shared" si="23"/>
        <v>71</v>
      </c>
      <c r="P98" s="126">
        <f t="shared" si="24"/>
        <v>73</v>
      </c>
      <c r="Q98" s="126">
        <f t="shared" si="25"/>
        <v>76.000000000000014</v>
      </c>
      <c r="R98" s="126">
        <f t="shared" si="26"/>
        <v>-1.0000000799999924</v>
      </c>
      <c r="T98" s="126">
        <f t="shared" si="27"/>
        <v>-1.0000000799999924</v>
      </c>
      <c r="U98" s="126">
        <f t="shared" si="19"/>
        <v>412.00000016000001</v>
      </c>
      <c r="W98" s="126">
        <f t="shared" si="28"/>
        <v>76.000000000000014</v>
      </c>
      <c r="X98" s="126">
        <f t="shared" si="29"/>
        <v>113.00000008000001</v>
      </c>
    </row>
    <row r="99" spans="1:24">
      <c r="A99" s="22">
        <v>43161</v>
      </c>
      <c r="B99" s="128">
        <v>1</v>
      </c>
      <c r="C99" s="128">
        <v>0</v>
      </c>
      <c r="D99" s="128">
        <v>1</v>
      </c>
      <c r="E99" s="128">
        <v>1</v>
      </c>
      <c r="F99" s="128">
        <v>1</v>
      </c>
      <c r="G99" s="128">
        <v>1</v>
      </c>
      <c r="K99" s="86">
        <v>43161</v>
      </c>
      <c r="L99" s="126">
        <f t="shared" si="20"/>
        <v>78.000000080000007</v>
      </c>
      <c r="M99" s="126">
        <f t="shared" si="21"/>
        <v>42.000000080000007</v>
      </c>
      <c r="N99" s="126">
        <f t="shared" si="22"/>
        <v>73.999999999999986</v>
      </c>
      <c r="O99" s="126">
        <f t="shared" si="23"/>
        <v>72</v>
      </c>
      <c r="P99" s="126">
        <f t="shared" si="24"/>
        <v>74</v>
      </c>
      <c r="Q99" s="126">
        <f t="shared" si="25"/>
        <v>77.000000000000014</v>
      </c>
      <c r="R99" s="126">
        <f t="shared" si="26"/>
        <v>-1.0000000799999924</v>
      </c>
      <c r="T99" s="126">
        <f t="shared" si="27"/>
        <v>-1.0000000799999924</v>
      </c>
      <c r="U99" s="126">
        <f t="shared" si="19"/>
        <v>417.00000016000001</v>
      </c>
      <c r="W99" s="126">
        <f t="shared" si="28"/>
        <v>77.000000000000014</v>
      </c>
      <c r="X99" s="126">
        <f t="shared" si="29"/>
        <v>114.00000008000001</v>
      </c>
    </row>
    <row r="100" spans="1:24">
      <c r="A100" s="22">
        <v>43168</v>
      </c>
      <c r="B100" s="128">
        <v>0</v>
      </c>
      <c r="C100" s="128">
        <v>0</v>
      </c>
      <c r="D100" s="128">
        <v>1</v>
      </c>
      <c r="E100" s="128">
        <v>1</v>
      </c>
      <c r="F100" s="128">
        <v>1</v>
      </c>
      <c r="G100" s="128">
        <v>0</v>
      </c>
      <c r="K100" s="86">
        <v>43168</v>
      </c>
      <c r="L100" s="126">
        <f t="shared" si="20"/>
        <v>78.000000080000007</v>
      </c>
      <c r="M100" s="126">
        <f t="shared" si="21"/>
        <v>42.000000080000007</v>
      </c>
      <c r="N100" s="126">
        <f t="shared" si="22"/>
        <v>74.999999999999986</v>
      </c>
      <c r="O100" s="126">
        <f t="shared" si="23"/>
        <v>73</v>
      </c>
      <c r="P100" s="126">
        <f t="shared" si="24"/>
        <v>75</v>
      </c>
      <c r="Q100" s="126">
        <f t="shared" si="25"/>
        <v>77.000000000000014</v>
      </c>
      <c r="R100" s="126">
        <f t="shared" si="26"/>
        <v>-1.0000000799999924</v>
      </c>
      <c r="T100" s="126">
        <f t="shared" si="27"/>
        <v>-1.0000000799999924</v>
      </c>
      <c r="U100" s="126">
        <f t="shared" si="19"/>
        <v>420.00000016000001</v>
      </c>
      <c r="W100" s="126">
        <f t="shared" si="28"/>
        <v>77.000000000000014</v>
      </c>
      <c r="X100" s="126">
        <f t="shared" si="29"/>
        <v>115.00000008000001</v>
      </c>
    </row>
    <row r="101" spans="1:24">
      <c r="A101" s="22">
        <v>43175</v>
      </c>
      <c r="B101" s="128">
        <v>1</v>
      </c>
      <c r="C101" s="128">
        <v>0</v>
      </c>
      <c r="D101" s="128">
        <v>1</v>
      </c>
      <c r="E101" s="128">
        <v>1</v>
      </c>
      <c r="F101" s="128">
        <v>1</v>
      </c>
      <c r="G101" s="128">
        <v>0</v>
      </c>
      <c r="K101" s="86">
        <v>43175</v>
      </c>
      <c r="L101" s="126">
        <f t="shared" si="20"/>
        <v>79.000000080000007</v>
      </c>
      <c r="M101" s="126">
        <f t="shared" si="21"/>
        <v>42.000000080000007</v>
      </c>
      <c r="N101" s="126">
        <f t="shared" si="22"/>
        <v>75.999999999999986</v>
      </c>
      <c r="O101" s="126">
        <f t="shared" si="23"/>
        <v>74</v>
      </c>
      <c r="P101" s="126">
        <f t="shared" si="24"/>
        <v>76</v>
      </c>
      <c r="Q101" s="126">
        <f t="shared" si="25"/>
        <v>77.000000000000014</v>
      </c>
      <c r="R101" s="126">
        <f t="shared" si="26"/>
        <v>-2.0000000799999924</v>
      </c>
      <c r="T101" s="126">
        <f t="shared" si="27"/>
        <v>-2.0000000799999924</v>
      </c>
      <c r="U101" s="126">
        <f t="shared" si="19"/>
        <v>424.00000016000001</v>
      </c>
      <c r="W101" s="126">
        <f t="shared" si="28"/>
        <v>77.000000000000014</v>
      </c>
      <c r="X101" s="126">
        <f t="shared" si="29"/>
        <v>116.00000008000001</v>
      </c>
    </row>
    <row r="102" spans="1:24">
      <c r="A102" s="22">
        <v>43182</v>
      </c>
      <c r="B102" s="128">
        <v>1</v>
      </c>
      <c r="C102" s="128">
        <v>0</v>
      </c>
      <c r="D102" s="128">
        <v>1</v>
      </c>
      <c r="E102" s="128">
        <v>0</v>
      </c>
      <c r="F102" s="128">
        <v>1</v>
      </c>
      <c r="G102" s="128">
        <v>1</v>
      </c>
      <c r="K102" s="86">
        <v>43182</v>
      </c>
      <c r="L102" s="126">
        <f t="shared" si="20"/>
        <v>80.000000080000007</v>
      </c>
      <c r="M102" s="126">
        <f t="shared" si="21"/>
        <v>42.000000080000007</v>
      </c>
      <c r="N102" s="126">
        <f t="shared" si="22"/>
        <v>76.999999999999986</v>
      </c>
      <c r="O102" s="126">
        <f t="shared" si="23"/>
        <v>74</v>
      </c>
      <c r="P102" s="126">
        <f t="shared" si="24"/>
        <v>77</v>
      </c>
      <c r="Q102" s="126">
        <f t="shared" si="25"/>
        <v>78.000000000000014</v>
      </c>
      <c r="R102" s="126">
        <f t="shared" si="26"/>
        <v>-2.0000000799999924</v>
      </c>
      <c r="T102" s="126">
        <f t="shared" si="27"/>
        <v>-2.0000000799999924</v>
      </c>
      <c r="U102" s="126">
        <f t="shared" si="19"/>
        <v>428.00000016000001</v>
      </c>
      <c r="W102" s="126">
        <f t="shared" si="28"/>
        <v>78.000000000000014</v>
      </c>
      <c r="X102" s="126">
        <f t="shared" si="29"/>
        <v>116.00000008000001</v>
      </c>
    </row>
    <row r="103" spans="1:24">
      <c r="A103" s="22">
        <v>43196</v>
      </c>
      <c r="B103" s="128">
        <v>0</v>
      </c>
      <c r="C103" s="128">
        <v>0</v>
      </c>
      <c r="D103" s="128">
        <v>1</v>
      </c>
      <c r="E103" s="128">
        <v>1</v>
      </c>
      <c r="F103" s="128">
        <v>1</v>
      </c>
      <c r="G103" s="128">
        <v>1</v>
      </c>
      <c r="K103" s="86">
        <v>43196</v>
      </c>
      <c r="L103" s="126">
        <f t="shared" si="20"/>
        <v>80.000000080000007</v>
      </c>
      <c r="M103" s="126">
        <f t="shared" si="21"/>
        <v>42.000000080000007</v>
      </c>
      <c r="N103" s="126">
        <f t="shared" si="22"/>
        <v>77.999999999999986</v>
      </c>
      <c r="O103" s="126">
        <f t="shared" si="23"/>
        <v>75</v>
      </c>
      <c r="P103" s="126">
        <f t="shared" si="24"/>
        <v>78</v>
      </c>
      <c r="Q103" s="126">
        <f t="shared" si="25"/>
        <v>79.000000000000014</v>
      </c>
      <c r="R103" s="126">
        <f t="shared" si="26"/>
        <v>-1.0000000799999924</v>
      </c>
      <c r="T103" s="126">
        <f t="shared" si="27"/>
        <v>-1.0000000799999924</v>
      </c>
      <c r="U103" s="126">
        <f t="shared" si="19"/>
        <v>432.00000016000001</v>
      </c>
      <c r="W103" s="126">
        <f t="shared" si="28"/>
        <v>79.000000000000014</v>
      </c>
      <c r="X103" s="126">
        <f t="shared" si="29"/>
        <v>117.00000008000001</v>
      </c>
    </row>
    <row r="104" spans="1:24">
      <c r="A104" s="22">
        <v>43203</v>
      </c>
      <c r="B104" s="128">
        <v>1</v>
      </c>
      <c r="C104" s="128">
        <v>0</v>
      </c>
      <c r="D104" s="128">
        <v>1</v>
      </c>
      <c r="E104" s="128">
        <v>1</v>
      </c>
      <c r="F104" s="128">
        <v>1</v>
      </c>
      <c r="G104" s="128">
        <v>1</v>
      </c>
      <c r="K104" s="86">
        <v>43203</v>
      </c>
      <c r="L104" s="126">
        <f t="shared" si="20"/>
        <v>81.000000080000007</v>
      </c>
      <c r="M104" s="126">
        <f t="shared" si="21"/>
        <v>42.000000080000007</v>
      </c>
      <c r="N104" s="126">
        <f t="shared" si="22"/>
        <v>78.999999999999986</v>
      </c>
      <c r="O104" s="126">
        <f t="shared" si="23"/>
        <v>76</v>
      </c>
      <c r="P104" s="126">
        <f t="shared" si="24"/>
        <v>79</v>
      </c>
      <c r="Q104" s="126">
        <f t="shared" si="25"/>
        <v>80.000000000000014</v>
      </c>
      <c r="R104" s="126">
        <f t="shared" si="26"/>
        <v>-1.0000000799999924</v>
      </c>
      <c r="T104" s="126">
        <f t="shared" si="27"/>
        <v>-1.0000000799999924</v>
      </c>
      <c r="U104" s="126">
        <f t="shared" si="19"/>
        <v>437.00000016000001</v>
      </c>
      <c r="W104" s="126">
        <f t="shared" si="28"/>
        <v>80.000000000000014</v>
      </c>
      <c r="X104" s="126">
        <f t="shared" si="29"/>
        <v>118.00000008000001</v>
      </c>
    </row>
    <row r="105" spans="1:24">
      <c r="A105" s="22">
        <v>43210</v>
      </c>
      <c r="B105" s="128">
        <v>1</v>
      </c>
      <c r="C105" s="128">
        <v>0</v>
      </c>
      <c r="D105" s="128">
        <v>1</v>
      </c>
      <c r="E105" s="128">
        <v>1</v>
      </c>
      <c r="F105" s="128">
        <v>0</v>
      </c>
      <c r="G105" s="128">
        <v>1</v>
      </c>
      <c r="K105" s="86">
        <v>43210</v>
      </c>
      <c r="L105" s="126">
        <f t="shared" si="20"/>
        <v>82.000000080000007</v>
      </c>
      <c r="M105" s="126">
        <f t="shared" si="21"/>
        <v>42.000000080000007</v>
      </c>
      <c r="N105" s="126">
        <f t="shared" si="22"/>
        <v>79.999999999999986</v>
      </c>
      <c r="O105" s="126">
        <f t="shared" si="23"/>
        <v>77</v>
      </c>
      <c r="P105" s="126">
        <f t="shared" si="24"/>
        <v>79</v>
      </c>
      <c r="Q105" s="126">
        <f t="shared" si="25"/>
        <v>81.000000000000014</v>
      </c>
      <c r="R105" s="126">
        <f t="shared" si="26"/>
        <v>-1.0000000799999924</v>
      </c>
      <c r="T105" s="126">
        <f t="shared" si="27"/>
        <v>-1.0000000799999924</v>
      </c>
      <c r="U105" s="126">
        <f t="shared" si="19"/>
        <v>441.00000016000001</v>
      </c>
      <c r="W105" s="126">
        <f t="shared" si="28"/>
        <v>81.000000000000014</v>
      </c>
      <c r="X105" s="126">
        <f t="shared" si="29"/>
        <v>119.00000008000001</v>
      </c>
    </row>
    <row r="106" spans="1:24">
      <c r="A106" s="22">
        <v>43217</v>
      </c>
      <c r="B106" s="128">
        <v>1</v>
      </c>
      <c r="C106" s="128">
        <v>1</v>
      </c>
      <c r="D106" s="128">
        <v>0</v>
      </c>
      <c r="E106" s="128">
        <v>1</v>
      </c>
      <c r="F106" s="128">
        <v>1</v>
      </c>
      <c r="G106" s="128">
        <v>1</v>
      </c>
      <c r="K106" s="86">
        <v>43217</v>
      </c>
      <c r="L106" s="126">
        <f t="shared" si="20"/>
        <v>83.000000080000007</v>
      </c>
      <c r="M106" s="126">
        <f t="shared" si="21"/>
        <v>43.000000080000007</v>
      </c>
      <c r="N106" s="126">
        <f t="shared" si="22"/>
        <v>79.999999999999986</v>
      </c>
      <c r="O106" s="126">
        <f t="shared" si="23"/>
        <v>78</v>
      </c>
      <c r="P106" s="126">
        <f t="shared" si="24"/>
        <v>80</v>
      </c>
      <c r="Q106" s="126">
        <f t="shared" si="25"/>
        <v>82.000000000000014</v>
      </c>
      <c r="R106" s="126">
        <f t="shared" si="26"/>
        <v>-1.0000000799999924</v>
      </c>
      <c r="T106" s="126">
        <f t="shared" si="27"/>
        <v>-1.0000000799999924</v>
      </c>
      <c r="U106" s="126">
        <f t="shared" si="19"/>
        <v>446.00000016000001</v>
      </c>
      <c r="W106" s="126">
        <f t="shared" si="28"/>
        <v>82.000000000000014</v>
      </c>
      <c r="X106" s="126">
        <f t="shared" si="29"/>
        <v>121.00000008000001</v>
      </c>
    </row>
    <row r="107" spans="1:24">
      <c r="A107" s="22">
        <v>43224</v>
      </c>
      <c r="B107" s="128">
        <v>0</v>
      </c>
      <c r="C107" s="128">
        <v>0</v>
      </c>
      <c r="D107" s="128">
        <v>0</v>
      </c>
      <c r="E107" s="128">
        <v>0</v>
      </c>
      <c r="F107" s="128">
        <v>0</v>
      </c>
      <c r="G107" s="128">
        <v>0</v>
      </c>
      <c r="K107" s="86">
        <v>43224</v>
      </c>
      <c r="L107" s="126">
        <f t="shared" si="20"/>
        <v>83.000000080000007</v>
      </c>
      <c r="M107" s="126">
        <f t="shared" si="21"/>
        <v>43.000000080000007</v>
      </c>
      <c r="N107" s="126">
        <f t="shared" si="22"/>
        <v>79.999999999999986</v>
      </c>
      <c r="O107" s="126">
        <f t="shared" si="23"/>
        <v>78</v>
      </c>
      <c r="P107" s="126">
        <f t="shared" si="24"/>
        <v>80</v>
      </c>
      <c r="Q107" s="126">
        <f t="shared" si="25"/>
        <v>82.000000000000014</v>
      </c>
      <c r="R107" s="126">
        <f t="shared" si="26"/>
        <v>-1.0000000799999924</v>
      </c>
      <c r="T107" s="126">
        <f t="shared" si="27"/>
        <v>-1.0000000799999924</v>
      </c>
      <c r="U107" s="126">
        <f t="shared" si="19"/>
        <v>446.00000016000001</v>
      </c>
      <c r="W107" s="126">
        <f t="shared" si="28"/>
        <v>82.000000000000014</v>
      </c>
      <c r="X107" s="126">
        <f t="shared" si="29"/>
        <v>121.00000008000001</v>
      </c>
    </row>
    <row r="108" spans="1:24">
      <c r="A108" s="22">
        <v>43231</v>
      </c>
      <c r="B108" s="128">
        <v>0</v>
      </c>
      <c r="C108" s="128">
        <v>0</v>
      </c>
      <c r="D108" s="128">
        <v>1</v>
      </c>
      <c r="E108" s="128">
        <v>1</v>
      </c>
      <c r="F108" s="128">
        <v>0</v>
      </c>
      <c r="G108" s="128">
        <v>1</v>
      </c>
      <c r="K108" s="86">
        <v>43231</v>
      </c>
      <c r="L108" s="126">
        <f t="shared" si="20"/>
        <v>83.000000080000007</v>
      </c>
      <c r="M108" s="126">
        <f t="shared" si="21"/>
        <v>43.000000080000007</v>
      </c>
      <c r="N108" s="126">
        <f t="shared" si="22"/>
        <v>80.999999999999986</v>
      </c>
      <c r="O108" s="126">
        <f t="shared" si="23"/>
        <v>79</v>
      </c>
      <c r="P108" s="126">
        <f t="shared" si="24"/>
        <v>80</v>
      </c>
      <c r="Q108" s="126">
        <f t="shared" si="25"/>
        <v>83.000000000000014</v>
      </c>
      <c r="R108" s="126">
        <f t="shared" si="26"/>
        <v>-7.9999992408374965E-8</v>
      </c>
      <c r="T108" s="126">
        <f t="shared" si="27"/>
        <v>-7.9999992408374965E-8</v>
      </c>
      <c r="U108" s="126">
        <f t="shared" si="19"/>
        <v>449.00000016000001</v>
      </c>
      <c r="W108" s="126">
        <f t="shared" si="28"/>
        <v>83.000000000000014</v>
      </c>
      <c r="X108" s="126">
        <f t="shared" si="29"/>
        <v>122.00000008000001</v>
      </c>
    </row>
    <row r="109" spans="1:24">
      <c r="A109" s="22">
        <v>43238</v>
      </c>
      <c r="B109" s="128">
        <v>1</v>
      </c>
      <c r="C109" s="128">
        <v>0</v>
      </c>
      <c r="D109" s="128">
        <v>0</v>
      </c>
      <c r="E109" s="128">
        <v>0</v>
      </c>
      <c r="F109" s="128">
        <v>0</v>
      </c>
      <c r="G109" s="128">
        <v>1</v>
      </c>
      <c r="K109" s="86">
        <v>43238</v>
      </c>
      <c r="L109" s="126">
        <f t="shared" si="20"/>
        <v>84.000000080000007</v>
      </c>
      <c r="M109" s="126">
        <f t="shared" si="21"/>
        <v>43.000000080000007</v>
      </c>
      <c r="N109" s="126">
        <f t="shared" si="22"/>
        <v>80.999999999999986</v>
      </c>
      <c r="O109" s="126">
        <f t="shared" si="23"/>
        <v>79</v>
      </c>
      <c r="P109" s="126">
        <f t="shared" si="24"/>
        <v>80</v>
      </c>
      <c r="Q109" s="126">
        <f t="shared" si="25"/>
        <v>84.000000000000014</v>
      </c>
      <c r="R109" s="126">
        <f t="shared" si="26"/>
        <v>-7.9999992408374965E-8</v>
      </c>
      <c r="T109" s="126">
        <f t="shared" si="27"/>
        <v>-7.9999992408374965E-8</v>
      </c>
      <c r="U109" s="126">
        <f t="shared" si="19"/>
        <v>451.00000016000001</v>
      </c>
      <c r="W109" s="126">
        <f t="shared" si="28"/>
        <v>84.000000000000014</v>
      </c>
      <c r="X109" s="126">
        <f t="shared" si="29"/>
        <v>122.00000008000001</v>
      </c>
    </row>
    <row r="110" spans="1:24">
      <c r="A110" s="22">
        <v>43245</v>
      </c>
      <c r="B110" s="128">
        <v>0</v>
      </c>
      <c r="C110" s="128">
        <v>0</v>
      </c>
      <c r="D110" s="128">
        <v>0</v>
      </c>
      <c r="E110" s="128">
        <v>0</v>
      </c>
      <c r="F110" s="128">
        <v>1</v>
      </c>
      <c r="G110" s="128">
        <v>1</v>
      </c>
      <c r="K110" s="136">
        <v>43245</v>
      </c>
      <c r="L110" s="126">
        <f t="shared" si="20"/>
        <v>84.000000080000007</v>
      </c>
      <c r="M110" s="126">
        <f t="shared" si="21"/>
        <v>43.000000080000007</v>
      </c>
      <c r="N110" s="126">
        <f t="shared" si="22"/>
        <v>80.999999999999986</v>
      </c>
      <c r="O110" s="126">
        <f t="shared" si="23"/>
        <v>79</v>
      </c>
      <c r="P110" s="126">
        <f t="shared" si="24"/>
        <v>81</v>
      </c>
      <c r="Q110" s="135">
        <f t="shared" si="25"/>
        <v>85.000000000000014</v>
      </c>
      <c r="R110" s="126">
        <f t="shared" si="26"/>
        <v>0.99999992000000759</v>
      </c>
      <c r="S110" s="1">
        <f>IF(Q110&gt;L110,1,0)</f>
        <v>1</v>
      </c>
      <c r="T110" s="126">
        <f t="shared" si="27"/>
        <v>0.99999992000000759</v>
      </c>
      <c r="U110" s="126">
        <f t="shared" si="19"/>
        <v>453.00000016000001</v>
      </c>
      <c r="W110" s="126">
        <f t="shared" si="28"/>
        <v>85.000000000000014</v>
      </c>
      <c r="X110" s="126">
        <f t="shared" si="29"/>
        <v>122.00000008000001</v>
      </c>
    </row>
    <row r="111" spans="1:24">
      <c r="A111" s="22">
        <v>43252</v>
      </c>
      <c r="B111" s="128">
        <v>1</v>
      </c>
      <c r="C111" s="128">
        <v>0</v>
      </c>
      <c r="D111" s="128">
        <v>0</v>
      </c>
      <c r="E111" s="128">
        <v>0</v>
      </c>
      <c r="F111" s="128">
        <v>1</v>
      </c>
      <c r="G111" s="128">
        <v>1</v>
      </c>
      <c r="K111" s="86">
        <v>43252</v>
      </c>
      <c r="L111" s="126">
        <f t="shared" si="20"/>
        <v>85.000000080000007</v>
      </c>
      <c r="M111" s="126">
        <f t="shared" si="21"/>
        <v>43.000000080000007</v>
      </c>
      <c r="N111" s="126">
        <f t="shared" si="22"/>
        <v>80.999999999999986</v>
      </c>
      <c r="O111" s="126">
        <f t="shared" si="23"/>
        <v>79</v>
      </c>
      <c r="P111" s="126">
        <f t="shared" si="24"/>
        <v>82</v>
      </c>
      <c r="Q111" s="126">
        <f t="shared" si="25"/>
        <v>86.000000000000014</v>
      </c>
      <c r="R111" s="126">
        <f t="shared" si="26"/>
        <v>0.99999992000000759</v>
      </c>
      <c r="S111" s="1">
        <f>IF(Q111&gt;L111,1,0)</f>
        <v>1</v>
      </c>
      <c r="T111" s="126">
        <f t="shared" si="27"/>
        <v>0.99999992000000759</v>
      </c>
      <c r="U111" s="126">
        <f t="shared" si="19"/>
        <v>456.00000016000001</v>
      </c>
      <c r="W111" s="126">
        <f t="shared" si="28"/>
        <v>86.000000000000014</v>
      </c>
      <c r="X111" s="126">
        <f t="shared" si="29"/>
        <v>122.00000008000001</v>
      </c>
    </row>
    <row r="112" spans="1:24">
      <c r="A112" s="22">
        <v>43259</v>
      </c>
      <c r="B112" s="128">
        <v>1</v>
      </c>
      <c r="C112" s="128">
        <v>0</v>
      </c>
      <c r="D112" s="128">
        <v>1</v>
      </c>
      <c r="E112" s="128">
        <v>0</v>
      </c>
      <c r="F112" s="128">
        <v>0</v>
      </c>
      <c r="G112" s="128">
        <v>1</v>
      </c>
      <c r="K112" s="86">
        <v>43259</v>
      </c>
      <c r="L112" s="126">
        <f t="shared" si="20"/>
        <v>86.000000080000007</v>
      </c>
      <c r="M112" s="126">
        <f t="shared" si="21"/>
        <v>43.000000080000007</v>
      </c>
      <c r="N112" s="126">
        <f t="shared" si="22"/>
        <v>81.999999999999986</v>
      </c>
      <c r="O112" s="126">
        <f t="shared" si="23"/>
        <v>79</v>
      </c>
      <c r="P112" s="126">
        <f t="shared" si="24"/>
        <v>82</v>
      </c>
      <c r="Q112" s="126">
        <f t="shared" si="25"/>
        <v>87.000000000000014</v>
      </c>
      <c r="R112" s="126">
        <f t="shared" si="26"/>
        <v>0.99999992000000759</v>
      </c>
      <c r="S112" s="1">
        <f t="shared" ref="S112:S174" si="30">IF(Q112&gt;L112,1,0)</f>
        <v>1</v>
      </c>
      <c r="T112" s="126">
        <f t="shared" si="27"/>
        <v>0.99999992000000759</v>
      </c>
      <c r="U112" s="126">
        <f t="shared" si="19"/>
        <v>459.00000016000001</v>
      </c>
      <c r="W112" s="126">
        <f t="shared" si="28"/>
        <v>87.000000000000014</v>
      </c>
      <c r="X112" s="126">
        <f t="shared" si="29"/>
        <v>122.00000008000001</v>
      </c>
    </row>
    <row r="113" spans="1:24">
      <c r="A113" s="22">
        <v>43266</v>
      </c>
      <c r="B113" s="128">
        <v>0</v>
      </c>
      <c r="C113" s="128">
        <v>0</v>
      </c>
      <c r="D113" s="128">
        <v>1</v>
      </c>
      <c r="E113" s="128">
        <v>0</v>
      </c>
      <c r="F113" s="128">
        <v>1</v>
      </c>
      <c r="G113" s="128">
        <v>1</v>
      </c>
      <c r="K113" s="86">
        <v>43266</v>
      </c>
      <c r="L113" s="126">
        <f t="shared" si="20"/>
        <v>86.000000080000007</v>
      </c>
      <c r="M113" s="126">
        <f t="shared" si="21"/>
        <v>43.000000080000007</v>
      </c>
      <c r="N113" s="126">
        <f t="shared" si="22"/>
        <v>82.999999999999986</v>
      </c>
      <c r="O113" s="126">
        <f t="shared" si="23"/>
        <v>79</v>
      </c>
      <c r="P113" s="126">
        <f t="shared" si="24"/>
        <v>83</v>
      </c>
      <c r="Q113" s="126">
        <f t="shared" si="25"/>
        <v>88.000000000000014</v>
      </c>
      <c r="R113" s="126">
        <f t="shared" si="26"/>
        <v>1.9999999200000076</v>
      </c>
      <c r="S113" s="1">
        <f t="shared" si="30"/>
        <v>1</v>
      </c>
      <c r="T113" s="126">
        <f t="shared" si="27"/>
        <v>1.9999999200000076</v>
      </c>
      <c r="U113" s="126">
        <f t="shared" si="19"/>
        <v>462.00000016000001</v>
      </c>
      <c r="W113" s="126">
        <f t="shared" si="28"/>
        <v>88.000000000000014</v>
      </c>
      <c r="X113" s="126">
        <f t="shared" si="29"/>
        <v>122.00000008000001</v>
      </c>
    </row>
    <row r="114" spans="1:24">
      <c r="A114" s="22">
        <v>43273</v>
      </c>
      <c r="B114" s="128">
        <v>1</v>
      </c>
      <c r="C114" s="128">
        <v>0</v>
      </c>
      <c r="D114" s="128">
        <v>1</v>
      </c>
      <c r="E114" s="128">
        <v>0</v>
      </c>
      <c r="F114" s="128">
        <v>1</v>
      </c>
      <c r="G114" s="128">
        <v>1</v>
      </c>
      <c r="J114" s="57" t="s">
        <v>142</v>
      </c>
      <c r="K114" s="86">
        <v>43273</v>
      </c>
      <c r="L114" s="126">
        <f t="shared" si="20"/>
        <v>87.000000080000007</v>
      </c>
      <c r="M114" s="126">
        <f t="shared" si="21"/>
        <v>43.000000080000007</v>
      </c>
      <c r="N114" s="126">
        <f t="shared" si="22"/>
        <v>83.999999999999986</v>
      </c>
      <c r="O114" s="126">
        <f t="shared" si="23"/>
        <v>79</v>
      </c>
      <c r="P114" s="126">
        <f t="shared" si="24"/>
        <v>84</v>
      </c>
      <c r="Q114" s="126">
        <f t="shared" si="25"/>
        <v>89.000000000000014</v>
      </c>
      <c r="R114" s="126">
        <f t="shared" si="26"/>
        <v>1.9999999200000076</v>
      </c>
      <c r="S114" s="1">
        <f t="shared" si="30"/>
        <v>1</v>
      </c>
      <c r="T114" s="126">
        <f t="shared" si="27"/>
        <v>1.9999999200000076</v>
      </c>
      <c r="U114" s="126">
        <f t="shared" si="19"/>
        <v>466.00000016000001</v>
      </c>
      <c r="W114" s="126">
        <f t="shared" si="28"/>
        <v>89.000000000000014</v>
      </c>
      <c r="X114" s="126">
        <f t="shared" si="29"/>
        <v>122.00000008000001</v>
      </c>
    </row>
    <row r="115" spans="1:24">
      <c r="A115" s="22">
        <v>43280</v>
      </c>
      <c r="B115" s="128">
        <v>1</v>
      </c>
      <c r="C115" s="128">
        <v>0</v>
      </c>
      <c r="D115" s="128">
        <v>1</v>
      </c>
      <c r="E115" s="128">
        <v>0</v>
      </c>
      <c r="F115" s="128">
        <v>0</v>
      </c>
      <c r="G115" s="128">
        <v>1</v>
      </c>
      <c r="J115" s="57" t="s">
        <v>143</v>
      </c>
      <c r="K115" s="86">
        <v>43280</v>
      </c>
      <c r="L115" s="126">
        <f t="shared" si="20"/>
        <v>88.000000080000007</v>
      </c>
      <c r="M115" s="126">
        <f t="shared" si="21"/>
        <v>43.000000080000007</v>
      </c>
      <c r="N115" s="126">
        <f t="shared" si="22"/>
        <v>84.999999999999986</v>
      </c>
      <c r="O115" s="126">
        <f t="shared" si="23"/>
        <v>79</v>
      </c>
      <c r="P115" s="126">
        <f t="shared" si="24"/>
        <v>84</v>
      </c>
      <c r="Q115" s="126">
        <f t="shared" si="25"/>
        <v>90.000000000000014</v>
      </c>
      <c r="R115" s="126">
        <f t="shared" si="26"/>
        <v>1.9999999200000076</v>
      </c>
      <c r="S115" s="1">
        <f t="shared" si="30"/>
        <v>1</v>
      </c>
      <c r="T115" s="126">
        <f t="shared" si="27"/>
        <v>1.9999999200000076</v>
      </c>
      <c r="U115" s="126">
        <f t="shared" si="19"/>
        <v>469.00000016000001</v>
      </c>
      <c r="W115" s="126">
        <f t="shared" si="28"/>
        <v>90.000000000000014</v>
      </c>
      <c r="X115" s="126">
        <f t="shared" si="29"/>
        <v>122.00000008000001</v>
      </c>
    </row>
    <row r="116" spans="1:24">
      <c r="A116" s="22">
        <v>43287</v>
      </c>
      <c r="B116" s="128">
        <v>1</v>
      </c>
      <c r="C116" s="128">
        <v>0</v>
      </c>
      <c r="D116" s="128">
        <v>0</v>
      </c>
      <c r="E116" s="128">
        <v>0</v>
      </c>
      <c r="F116" s="128">
        <v>0</v>
      </c>
      <c r="G116" s="128">
        <v>1</v>
      </c>
      <c r="K116" s="86">
        <v>43287</v>
      </c>
      <c r="L116" s="126">
        <f t="shared" si="20"/>
        <v>89.000000080000007</v>
      </c>
      <c r="M116" s="126">
        <f t="shared" si="21"/>
        <v>43.000000080000007</v>
      </c>
      <c r="N116" s="126">
        <f t="shared" si="22"/>
        <v>84.999999999999986</v>
      </c>
      <c r="O116" s="126">
        <f t="shared" si="23"/>
        <v>79</v>
      </c>
      <c r="P116" s="126">
        <f t="shared" si="24"/>
        <v>84</v>
      </c>
      <c r="Q116" s="126">
        <f t="shared" si="25"/>
        <v>91.000000000000014</v>
      </c>
      <c r="R116" s="126">
        <f t="shared" si="26"/>
        <v>1.9999999200000076</v>
      </c>
      <c r="S116" s="1">
        <f t="shared" si="30"/>
        <v>1</v>
      </c>
      <c r="T116" s="126">
        <f t="shared" si="27"/>
        <v>1.9999999200000076</v>
      </c>
      <c r="U116" s="126">
        <f t="shared" si="19"/>
        <v>471.00000016000001</v>
      </c>
      <c r="W116" s="126">
        <f t="shared" si="28"/>
        <v>91.000000000000014</v>
      </c>
      <c r="X116" s="126">
        <f t="shared" si="29"/>
        <v>122.00000008000001</v>
      </c>
    </row>
    <row r="117" spans="1:24">
      <c r="A117" s="22">
        <v>43294</v>
      </c>
      <c r="B117" s="128">
        <v>1</v>
      </c>
      <c r="C117" s="128">
        <v>0</v>
      </c>
      <c r="D117" s="128">
        <v>1</v>
      </c>
      <c r="E117" s="128">
        <v>0</v>
      </c>
      <c r="F117" s="128">
        <v>0</v>
      </c>
      <c r="G117" s="128">
        <v>1</v>
      </c>
      <c r="J117" s="57" t="s">
        <v>144</v>
      </c>
      <c r="K117" s="86">
        <v>43294</v>
      </c>
      <c r="L117" s="126">
        <f t="shared" si="20"/>
        <v>90.000000080000007</v>
      </c>
      <c r="M117" s="126">
        <f t="shared" si="21"/>
        <v>43.000000080000007</v>
      </c>
      <c r="N117" s="126">
        <f t="shared" si="22"/>
        <v>85.999999999999986</v>
      </c>
      <c r="O117" s="126">
        <f t="shared" si="23"/>
        <v>79</v>
      </c>
      <c r="P117" s="126">
        <f t="shared" si="24"/>
        <v>84</v>
      </c>
      <c r="Q117" s="126">
        <f t="shared" si="25"/>
        <v>92.000000000000014</v>
      </c>
      <c r="R117" s="126">
        <f t="shared" si="26"/>
        <v>1.9999999200000076</v>
      </c>
      <c r="S117" s="1">
        <f t="shared" si="30"/>
        <v>1</v>
      </c>
      <c r="T117" s="126">
        <f t="shared" si="27"/>
        <v>1.9999999200000076</v>
      </c>
      <c r="U117" s="126">
        <f t="shared" si="19"/>
        <v>474.00000016000001</v>
      </c>
      <c r="W117" s="126">
        <f t="shared" si="28"/>
        <v>92.000000000000014</v>
      </c>
      <c r="X117" s="126">
        <f t="shared" si="29"/>
        <v>122.00000008000001</v>
      </c>
    </row>
    <row r="118" spans="1:24">
      <c r="A118" s="22">
        <v>43301</v>
      </c>
      <c r="B118" s="128">
        <v>1</v>
      </c>
      <c r="C118" s="128">
        <v>0</v>
      </c>
      <c r="D118" s="128">
        <v>1</v>
      </c>
      <c r="E118" s="128">
        <v>0</v>
      </c>
      <c r="F118" s="128">
        <v>0</v>
      </c>
      <c r="G118" s="128">
        <v>1</v>
      </c>
      <c r="K118" s="86">
        <v>43301</v>
      </c>
      <c r="L118" s="126">
        <f t="shared" si="20"/>
        <v>91.000000080000007</v>
      </c>
      <c r="M118" s="126">
        <f t="shared" si="21"/>
        <v>43.000000080000007</v>
      </c>
      <c r="N118" s="126">
        <f t="shared" si="22"/>
        <v>86.999999999999986</v>
      </c>
      <c r="O118" s="126">
        <f t="shared" si="23"/>
        <v>79</v>
      </c>
      <c r="P118" s="126">
        <f t="shared" si="24"/>
        <v>84</v>
      </c>
      <c r="Q118" s="126">
        <f t="shared" si="25"/>
        <v>93.000000000000014</v>
      </c>
      <c r="R118" s="126">
        <f t="shared" si="26"/>
        <v>1.9999999200000076</v>
      </c>
      <c r="S118" s="1">
        <f t="shared" si="30"/>
        <v>1</v>
      </c>
      <c r="T118" s="126">
        <f t="shared" si="27"/>
        <v>1.9999999200000076</v>
      </c>
      <c r="U118" s="126">
        <f t="shared" si="19"/>
        <v>477.00000016000001</v>
      </c>
      <c r="W118" s="126">
        <f t="shared" si="28"/>
        <v>93.000000000000014</v>
      </c>
      <c r="X118" s="126">
        <f t="shared" si="29"/>
        <v>122.00000008000001</v>
      </c>
    </row>
    <row r="119" spans="1:24">
      <c r="A119" s="22">
        <v>43308</v>
      </c>
      <c r="B119" s="128">
        <v>1</v>
      </c>
      <c r="C119" s="128">
        <v>0</v>
      </c>
      <c r="D119" s="128">
        <v>1</v>
      </c>
      <c r="E119" s="128">
        <v>1</v>
      </c>
      <c r="F119" s="128">
        <v>0</v>
      </c>
      <c r="G119" s="128">
        <v>1</v>
      </c>
      <c r="J119" s="57" t="s">
        <v>145</v>
      </c>
      <c r="K119" s="86">
        <v>43308</v>
      </c>
      <c r="L119" s="126">
        <f t="shared" si="20"/>
        <v>92.000000080000007</v>
      </c>
      <c r="M119" s="126">
        <f t="shared" si="21"/>
        <v>43.000000080000007</v>
      </c>
      <c r="N119" s="126">
        <f t="shared" si="22"/>
        <v>87.999999999999986</v>
      </c>
      <c r="O119" s="126">
        <f t="shared" si="23"/>
        <v>80</v>
      </c>
      <c r="P119" s="126">
        <f t="shared" si="24"/>
        <v>84</v>
      </c>
      <c r="Q119" s="126">
        <f t="shared" si="25"/>
        <v>94.000000000000014</v>
      </c>
      <c r="R119" s="126">
        <f t="shared" si="26"/>
        <v>1.9999999200000076</v>
      </c>
      <c r="S119" s="1">
        <f t="shared" si="30"/>
        <v>1</v>
      </c>
      <c r="T119" s="126">
        <f t="shared" si="27"/>
        <v>1.9999999200000076</v>
      </c>
      <c r="U119" s="126">
        <f t="shared" si="19"/>
        <v>481.00000016000001</v>
      </c>
      <c r="W119" s="126">
        <f t="shared" si="28"/>
        <v>94.000000000000014</v>
      </c>
      <c r="X119" s="126">
        <f t="shared" si="29"/>
        <v>123.00000008000001</v>
      </c>
    </row>
    <row r="120" spans="1:24">
      <c r="A120" s="22">
        <v>43315</v>
      </c>
      <c r="B120" s="128">
        <v>1</v>
      </c>
      <c r="C120" s="128">
        <v>0</v>
      </c>
      <c r="D120" s="128">
        <v>1</v>
      </c>
      <c r="E120" s="128">
        <v>0</v>
      </c>
      <c r="F120" s="128">
        <v>0</v>
      </c>
      <c r="G120" s="128">
        <v>1</v>
      </c>
      <c r="J120" s="57" t="s">
        <v>146</v>
      </c>
      <c r="K120" s="86">
        <v>43315</v>
      </c>
      <c r="L120" s="126">
        <f t="shared" si="20"/>
        <v>93.000000080000007</v>
      </c>
      <c r="M120" s="126">
        <f t="shared" si="21"/>
        <v>43.000000080000007</v>
      </c>
      <c r="N120" s="126">
        <f t="shared" si="22"/>
        <v>88.999999999999986</v>
      </c>
      <c r="O120" s="126">
        <f t="shared" si="23"/>
        <v>80</v>
      </c>
      <c r="P120" s="126">
        <f t="shared" si="24"/>
        <v>84</v>
      </c>
      <c r="Q120" s="126">
        <f t="shared" si="25"/>
        <v>95.000000000000014</v>
      </c>
      <c r="R120" s="126">
        <f t="shared" si="26"/>
        <v>1.9999999200000076</v>
      </c>
      <c r="S120" s="1">
        <f t="shared" si="30"/>
        <v>1</v>
      </c>
      <c r="T120" s="126">
        <f t="shared" si="27"/>
        <v>1.9999999200000076</v>
      </c>
      <c r="U120" s="126">
        <f t="shared" si="19"/>
        <v>484.00000016000001</v>
      </c>
      <c r="W120" s="126">
        <f t="shared" si="28"/>
        <v>95.000000000000014</v>
      </c>
      <c r="X120" s="126">
        <f t="shared" si="29"/>
        <v>123.00000008000001</v>
      </c>
    </row>
    <row r="121" spans="1:24">
      <c r="A121" s="22">
        <v>43322</v>
      </c>
      <c r="B121" s="128">
        <v>1</v>
      </c>
      <c r="C121" s="128">
        <v>0</v>
      </c>
      <c r="D121" s="128">
        <v>1</v>
      </c>
      <c r="E121" s="128">
        <v>0</v>
      </c>
      <c r="F121" s="128">
        <v>0</v>
      </c>
      <c r="G121" s="128">
        <v>1</v>
      </c>
      <c r="J121" s="57" t="s">
        <v>147</v>
      </c>
      <c r="K121" s="86">
        <v>43322</v>
      </c>
      <c r="L121" s="126">
        <f t="shared" si="20"/>
        <v>94.000000080000007</v>
      </c>
      <c r="M121" s="126">
        <f t="shared" si="21"/>
        <v>43.000000080000007</v>
      </c>
      <c r="N121" s="126">
        <f t="shared" si="22"/>
        <v>89.999999999999986</v>
      </c>
      <c r="O121" s="126">
        <f t="shared" si="23"/>
        <v>80</v>
      </c>
      <c r="P121" s="126">
        <f t="shared" si="24"/>
        <v>84</v>
      </c>
      <c r="Q121" s="126">
        <f t="shared" si="25"/>
        <v>96.000000000000014</v>
      </c>
      <c r="R121" s="126">
        <f t="shared" si="26"/>
        <v>1.9999999200000076</v>
      </c>
      <c r="S121" s="1">
        <f t="shared" si="30"/>
        <v>1</v>
      </c>
      <c r="T121" s="126">
        <f t="shared" si="27"/>
        <v>1.9999999200000076</v>
      </c>
      <c r="U121" s="126">
        <f t="shared" si="19"/>
        <v>487.00000016000001</v>
      </c>
      <c r="W121" s="126">
        <f t="shared" si="28"/>
        <v>96.000000000000014</v>
      </c>
      <c r="X121" s="126">
        <f t="shared" si="29"/>
        <v>123.00000008000001</v>
      </c>
    </row>
    <row r="122" spans="1:24">
      <c r="A122" s="22">
        <v>43329</v>
      </c>
      <c r="B122" s="128">
        <v>1</v>
      </c>
      <c r="C122" s="128">
        <v>0</v>
      </c>
      <c r="D122" s="128">
        <v>1</v>
      </c>
      <c r="E122" s="128">
        <v>0</v>
      </c>
      <c r="F122" s="128">
        <v>0</v>
      </c>
      <c r="G122" s="128">
        <v>1</v>
      </c>
      <c r="J122" s="57" t="s">
        <v>148</v>
      </c>
      <c r="K122" s="86">
        <v>43329</v>
      </c>
      <c r="L122" s="126">
        <f t="shared" si="20"/>
        <v>95.000000080000007</v>
      </c>
      <c r="M122" s="126">
        <f t="shared" si="21"/>
        <v>43.000000080000007</v>
      </c>
      <c r="N122" s="126">
        <f t="shared" si="22"/>
        <v>90.999999999999986</v>
      </c>
      <c r="O122" s="126">
        <f t="shared" si="23"/>
        <v>80</v>
      </c>
      <c r="P122" s="126">
        <f t="shared" si="24"/>
        <v>84</v>
      </c>
      <c r="Q122" s="126">
        <f t="shared" si="25"/>
        <v>97.000000000000014</v>
      </c>
      <c r="R122" s="126">
        <f t="shared" si="26"/>
        <v>1.9999999200000076</v>
      </c>
      <c r="S122" s="1">
        <f t="shared" si="30"/>
        <v>1</v>
      </c>
      <c r="T122" s="126">
        <f t="shared" si="27"/>
        <v>1.9999999200000076</v>
      </c>
      <c r="U122" s="126">
        <f t="shared" si="19"/>
        <v>490.00000016000001</v>
      </c>
      <c r="W122" s="126">
        <f t="shared" si="28"/>
        <v>97.000000000000014</v>
      </c>
      <c r="X122" s="126">
        <f t="shared" si="29"/>
        <v>123.00000008000001</v>
      </c>
    </row>
    <row r="123" spans="1:24">
      <c r="A123" s="22">
        <v>43336</v>
      </c>
      <c r="B123" s="128">
        <v>0</v>
      </c>
      <c r="C123" s="128">
        <v>0</v>
      </c>
      <c r="D123" s="128">
        <v>0</v>
      </c>
      <c r="E123" s="128">
        <v>0</v>
      </c>
      <c r="F123" s="128">
        <v>0</v>
      </c>
      <c r="G123" s="128">
        <v>1</v>
      </c>
      <c r="J123" s="57" t="s">
        <v>149</v>
      </c>
      <c r="K123" s="86">
        <v>43336</v>
      </c>
      <c r="L123" s="126">
        <f t="shared" si="20"/>
        <v>95.000000080000007</v>
      </c>
      <c r="M123" s="126">
        <f t="shared" si="21"/>
        <v>43.000000080000007</v>
      </c>
      <c r="N123" s="126">
        <f t="shared" si="22"/>
        <v>90.999999999999986</v>
      </c>
      <c r="O123" s="126">
        <f t="shared" si="23"/>
        <v>80</v>
      </c>
      <c r="P123" s="126">
        <f t="shared" si="24"/>
        <v>84</v>
      </c>
      <c r="Q123" s="126">
        <f t="shared" si="25"/>
        <v>98.000000000000014</v>
      </c>
      <c r="R123" s="126">
        <f t="shared" si="26"/>
        <v>2.9999999200000076</v>
      </c>
      <c r="S123" s="1">
        <f t="shared" si="30"/>
        <v>1</v>
      </c>
      <c r="T123" s="126">
        <f t="shared" si="27"/>
        <v>2.9999999200000076</v>
      </c>
      <c r="U123" s="126">
        <f t="shared" si="19"/>
        <v>491.00000016000001</v>
      </c>
      <c r="W123" s="126">
        <f t="shared" si="28"/>
        <v>98.000000000000014</v>
      </c>
      <c r="X123" s="126">
        <f t="shared" si="29"/>
        <v>123.00000008000001</v>
      </c>
    </row>
    <row r="124" spans="1:24">
      <c r="A124" s="22">
        <v>43343</v>
      </c>
      <c r="B124" s="128">
        <v>1</v>
      </c>
      <c r="C124" s="128">
        <v>0</v>
      </c>
      <c r="D124" s="128">
        <v>0</v>
      </c>
      <c r="E124" s="128">
        <v>1</v>
      </c>
      <c r="F124" s="128">
        <v>1</v>
      </c>
      <c r="G124" s="128">
        <v>1</v>
      </c>
      <c r="J124" s="57" t="s">
        <v>150</v>
      </c>
      <c r="K124" s="86">
        <v>43343</v>
      </c>
      <c r="L124" s="126">
        <f t="shared" si="20"/>
        <v>96.000000080000007</v>
      </c>
      <c r="M124" s="126">
        <f t="shared" si="21"/>
        <v>43.000000080000007</v>
      </c>
      <c r="N124" s="126">
        <f t="shared" si="22"/>
        <v>90.999999999999986</v>
      </c>
      <c r="O124" s="126">
        <f t="shared" si="23"/>
        <v>81</v>
      </c>
      <c r="P124" s="126">
        <f t="shared" si="24"/>
        <v>85</v>
      </c>
      <c r="Q124" s="126">
        <f t="shared" si="25"/>
        <v>99.000000000000014</v>
      </c>
      <c r="R124" s="126">
        <f t="shared" si="26"/>
        <v>2.9999999200000076</v>
      </c>
      <c r="S124" s="1">
        <f t="shared" si="30"/>
        <v>1</v>
      </c>
      <c r="T124" s="126">
        <f t="shared" si="27"/>
        <v>2.9999999200000076</v>
      </c>
      <c r="U124" s="126">
        <f t="shared" si="19"/>
        <v>495.00000016000001</v>
      </c>
      <c r="W124" s="126">
        <f t="shared" si="28"/>
        <v>99.000000000000014</v>
      </c>
      <c r="X124" s="126">
        <f t="shared" si="29"/>
        <v>124.00000008000001</v>
      </c>
    </row>
    <row r="125" spans="1:24">
      <c r="A125" s="22">
        <v>43350</v>
      </c>
      <c r="B125" s="128">
        <v>0</v>
      </c>
      <c r="C125" s="128">
        <v>0</v>
      </c>
      <c r="D125" s="128">
        <v>1</v>
      </c>
      <c r="E125" s="128">
        <v>0</v>
      </c>
      <c r="F125" s="128">
        <v>1</v>
      </c>
      <c r="G125" s="128">
        <v>1</v>
      </c>
      <c r="K125" s="86">
        <v>43350</v>
      </c>
      <c r="L125" s="126">
        <f t="shared" si="20"/>
        <v>96.000000080000007</v>
      </c>
      <c r="M125" s="126">
        <f t="shared" si="21"/>
        <v>43.000000080000007</v>
      </c>
      <c r="N125" s="126">
        <f t="shared" si="22"/>
        <v>91.999999999999986</v>
      </c>
      <c r="O125" s="126">
        <f t="shared" si="23"/>
        <v>81</v>
      </c>
      <c r="P125" s="126">
        <f t="shared" si="24"/>
        <v>86</v>
      </c>
      <c r="Q125" s="144">
        <f t="shared" si="25"/>
        <v>100.00000000000001</v>
      </c>
      <c r="R125" s="126">
        <f t="shared" si="26"/>
        <v>3.9999999200000076</v>
      </c>
      <c r="S125" s="1">
        <f t="shared" si="30"/>
        <v>1</v>
      </c>
      <c r="T125" s="126">
        <f t="shared" si="27"/>
        <v>3.9999999200000076</v>
      </c>
      <c r="U125" s="126">
        <f t="shared" si="19"/>
        <v>498.00000016000001</v>
      </c>
      <c r="W125" s="126">
        <f t="shared" si="28"/>
        <v>100.00000000000001</v>
      </c>
      <c r="X125" s="126">
        <f t="shared" si="29"/>
        <v>124.00000008000001</v>
      </c>
    </row>
    <row r="126" spans="1:24">
      <c r="A126" s="22">
        <v>43357</v>
      </c>
      <c r="B126" s="128">
        <v>0</v>
      </c>
      <c r="C126" s="128">
        <v>0</v>
      </c>
      <c r="D126" s="128">
        <v>1</v>
      </c>
      <c r="E126" s="128">
        <v>1</v>
      </c>
      <c r="F126" s="128">
        <v>1</v>
      </c>
      <c r="G126" s="128">
        <v>1</v>
      </c>
      <c r="K126" s="86">
        <v>43357</v>
      </c>
      <c r="L126" s="126">
        <f t="shared" si="20"/>
        <v>96.000000080000007</v>
      </c>
      <c r="M126" s="126">
        <f t="shared" si="21"/>
        <v>43.000000080000007</v>
      </c>
      <c r="N126" s="126">
        <f t="shared" si="22"/>
        <v>92.999999999999986</v>
      </c>
      <c r="O126" s="126">
        <f t="shared" si="23"/>
        <v>82</v>
      </c>
      <c r="P126" s="126">
        <f t="shared" si="24"/>
        <v>87</v>
      </c>
      <c r="Q126" s="126">
        <f t="shared" si="25"/>
        <v>101.00000000000001</v>
      </c>
      <c r="R126" s="126">
        <f t="shared" si="26"/>
        <v>4.9999999200000076</v>
      </c>
      <c r="S126" s="1">
        <f t="shared" si="30"/>
        <v>1</v>
      </c>
      <c r="T126" s="126">
        <f t="shared" si="27"/>
        <v>4.9999999200000076</v>
      </c>
      <c r="U126" s="126">
        <f t="shared" si="19"/>
        <v>502.00000016000001</v>
      </c>
      <c r="W126" s="126">
        <f t="shared" si="28"/>
        <v>101.00000000000001</v>
      </c>
      <c r="X126" s="126">
        <f t="shared" si="29"/>
        <v>125.00000008000001</v>
      </c>
    </row>
    <row r="127" spans="1:24">
      <c r="A127" s="22">
        <v>43364</v>
      </c>
      <c r="B127" s="128">
        <v>1</v>
      </c>
      <c r="C127" s="128">
        <v>0</v>
      </c>
      <c r="D127" s="128">
        <v>1</v>
      </c>
      <c r="E127" s="128">
        <v>0</v>
      </c>
      <c r="F127" s="128">
        <v>1</v>
      </c>
      <c r="G127" s="128">
        <v>1</v>
      </c>
      <c r="K127" s="86">
        <v>43364</v>
      </c>
      <c r="L127" s="126">
        <f t="shared" si="20"/>
        <v>97.000000080000007</v>
      </c>
      <c r="M127" s="126">
        <f t="shared" si="21"/>
        <v>43.000000080000007</v>
      </c>
      <c r="N127" s="126">
        <f t="shared" si="22"/>
        <v>93.999999999999986</v>
      </c>
      <c r="O127" s="126">
        <f t="shared" si="23"/>
        <v>82</v>
      </c>
      <c r="P127" s="126">
        <f t="shared" si="24"/>
        <v>88</v>
      </c>
      <c r="Q127" s="126">
        <f t="shared" si="25"/>
        <v>102.00000000000001</v>
      </c>
      <c r="R127" s="126">
        <f t="shared" si="26"/>
        <v>4.9999999200000076</v>
      </c>
      <c r="S127" s="1">
        <f t="shared" si="30"/>
        <v>1</v>
      </c>
      <c r="T127" s="126">
        <f t="shared" si="27"/>
        <v>4.9999999200000076</v>
      </c>
      <c r="U127" s="126">
        <f t="shared" si="19"/>
        <v>506.00000016000001</v>
      </c>
      <c r="W127" s="126">
        <f t="shared" si="28"/>
        <v>102.00000000000001</v>
      </c>
      <c r="X127" s="126">
        <f t="shared" si="29"/>
        <v>125.00000008000001</v>
      </c>
    </row>
    <row r="128" spans="1:24">
      <c r="A128" s="22">
        <v>43371</v>
      </c>
      <c r="B128" s="128">
        <v>1</v>
      </c>
      <c r="C128" s="128">
        <v>0</v>
      </c>
      <c r="D128" s="128">
        <v>0</v>
      </c>
      <c r="E128" s="128">
        <v>0</v>
      </c>
      <c r="F128" s="128">
        <v>1</v>
      </c>
      <c r="G128" s="128">
        <v>0</v>
      </c>
      <c r="K128" s="86">
        <v>43371</v>
      </c>
      <c r="L128" s="126">
        <f t="shared" si="20"/>
        <v>98.000000080000007</v>
      </c>
      <c r="M128" s="126">
        <f t="shared" si="21"/>
        <v>43.000000080000007</v>
      </c>
      <c r="N128" s="126">
        <f t="shared" si="22"/>
        <v>93.999999999999986</v>
      </c>
      <c r="O128" s="126">
        <f t="shared" si="23"/>
        <v>82</v>
      </c>
      <c r="P128" s="126">
        <f t="shared" si="24"/>
        <v>89</v>
      </c>
      <c r="Q128" s="126">
        <f t="shared" si="25"/>
        <v>102.00000000000001</v>
      </c>
      <c r="R128" s="126">
        <f t="shared" si="26"/>
        <v>3.9999999200000076</v>
      </c>
      <c r="S128" s="1">
        <f t="shared" si="30"/>
        <v>1</v>
      </c>
      <c r="T128" s="126">
        <f t="shared" si="27"/>
        <v>3.9999999200000076</v>
      </c>
      <c r="U128" s="126">
        <f t="shared" si="19"/>
        <v>508.00000016000001</v>
      </c>
      <c r="W128" s="126">
        <f t="shared" si="28"/>
        <v>102.00000000000001</v>
      </c>
      <c r="X128" s="126">
        <f t="shared" si="29"/>
        <v>125.00000008000001</v>
      </c>
    </row>
    <row r="129" spans="1:24">
      <c r="A129" s="22">
        <v>43378</v>
      </c>
      <c r="B129" s="128">
        <v>1</v>
      </c>
      <c r="C129" s="128">
        <v>0</v>
      </c>
      <c r="D129" s="128">
        <v>1</v>
      </c>
      <c r="E129" s="128">
        <v>0</v>
      </c>
      <c r="F129" s="128">
        <v>1</v>
      </c>
      <c r="G129" s="128">
        <v>1</v>
      </c>
      <c r="J129" s="57" t="s">
        <v>151</v>
      </c>
      <c r="K129" s="86">
        <v>43378</v>
      </c>
      <c r="L129" s="126">
        <f t="shared" si="20"/>
        <v>99.000000080000007</v>
      </c>
      <c r="M129" s="126">
        <f t="shared" si="21"/>
        <v>43.000000080000007</v>
      </c>
      <c r="N129" s="126">
        <f t="shared" si="22"/>
        <v>94.999999999999986</v>
      </c>
      <c r="O129" s="126">
        <f t="shared" si="23"/>
        <v>82</v>
      </c>
      <c r="P129" s="126">
        <f t="shared" si="24"/>
        <v>90</v>
      </c>
      <c r="Q129" s="126">
        <f t="shared" si="25"/>
        <v>103.00000000000001</v>
      </c>
      <c r="R129" s="126">
        <f t="shared" si="26"/>
        <v>3.9999999200000076</v>
      </c>
      <c r="S129" s="1">
        <f t="shared" si="30"/>
        <v>1</v>
      </c>
      <c r="T129" s="126">
        <f t="shared" si="27"/>
        <v>3.9999999200000076</v>
      </c>
      <c r="U129" s="126">
        <f t="shared" si="19"/>
        <v>512.00000016000001</v>
      </c>
      <c r="W129" s="126">
        <f t="shared" si="28"/>
        <v>103.00000000000001</v>
      </c>
      <c r="X129" s="126">
        <f t="shared" si="29"/>
        <v>125.00000008000001</v>
      </c>
    </row>
    <row r="130" spans="1:24">
      <c r="A130" s="22">
        <v>43385</v>
      </c>
      <c r="B130" s="128">
        <v>1</v>
      </c>
      <c r="C130" s="128">
        <v>0</v>
      </c>
      <c r="D130" s="128">
        <v>1</v>
      </c>
      <c r="E130" s="128">
        <v>0</v>
      </c>
      <c r="F130" s="128">
        <v>1</v>
      </c>
      <c r="G130" s="128">
        <v>1</v>
      </c>
      <c r="J130" s="57" t="s">
        <v>153</v>
      </c>
      <c r="K130" s="86">
        <v>43385</v>
      </c>
      <c r="L130" s="144">
        <f t="shared" si="20"/>
        <v>100.00000008000001</v>
      </c>
      <c r="M130" s="126">
        <f t="shared" si="21"/>
        <v>43.000000080000007</v>
      </c>
      <c r="N130" s="126">
        <f t="shared" si="22"/>
        <v>95.999999999999986</v>
      </c>
      <c r="O130" s="126">
        <f t="shared" si="23"/>
        <v>82</v>
      </c>
      <c r="P130" s="126">
        <f t="shared" si="24"/>
        <v>91</v>
      </c>
      <c r="Q130" s="126">
        <f t="shared" si="25"/>
        <v>104.00000000000001</v>
      </c>
      <c r="R130" s="126">
        <f t="shared" si="26"/>
        <v>3.9999999200000076</v>
      </c>
      <c r="S130" s="1">
        <f t="shared" si="30"/>
        <v>1</v>
      </c>
      <c r="T130" s="126">
        <f t="shared" si="27"/>
        <v>3.9999999200000076</v>
      </c>
      <c r="U130" s="126">
        <f t="shared" ref="U130:U193" si="31">SUM(L130:Q130)</f>
        <v>516.00000016000001</v>
      </c>
      <c r="W130" s="126">
        <f t="shared" si="28"/>
        <v>104.00000000000001</v>
      </c>
      <c r="X130" s="126">
        <f t="shared" si="29"/>
        <v>125.00000008000001</v>
      </c>
    </row>
    <row r="131" spans="1:24">
      <c r="A131" s="22">
        <v>43392</v>
      </c>
      <c r="B131" s="128">
        <v>1</v>
      </c>
      <c r="C131" s="128">
        <v>0</v>
      </c>
      <c r="D131" s="128">
        <v>1</v>
      </c>
      <c r="E131" s="128">
        <v>0</v>
      </c>
      <c r="F131" s="128">
        <v>1</v>
      </c>
      <c r="G131" s="128">
        <v>1</v>
      </c>
      <c r="J131" s="57" t="s">
        <v>152</v>
      </c>
      <c r="K131" s="86">
        <v>43392</v>
      </c>
      <c r="L131" s="126">
        <f t="shared" ref="L131:L194" si="32">B131+L130</f>
        <v>101.00000008000001</v>
      </c>
      <c r="M131" s="126">
        <f t="shared" ref="M131:M194" si="33">C131+M130</f>
        <v>43.000000080000007</v>
      </c>
      <c r="N131" s="126">
        <f t="shared" ref="N131:N194" si="34">D131+N130</f>
        <v>96.999999999999986</v>
      </c>
      <c r="O131" s="126">
        <f t="shared" ref="O131:O194" si="35">E131+O130</f>
        <v>82</v>
      </c>
      <c r="P131" s="126">
        <f t="shared" ref="P131:P194" si="36">F131+P130</f>
        <v>92</v>
      </c>
      <c r="Q131" s="126">
        <f t="shared" ref="Q131:Q194" si="37">G131+Q130</f>
        <v>105.00000000000001</v>
      </c>
      <c r="R131" s="126">
        <f t="shared" ref="R131:R194" si="38">Q131-MAX(L131:P131)</f>
        <v>3.9999999200000076</v>
      </c>
      <c r="S131" s="1">
        <f t="shared" si="30"/>
        <v>1</v>
      </c>
      <c r="T131" s="126">
        <f t="shared" ref="T131:T194" si="39">Q131-MAX(L131:P131)</f>
        <v>3.9999999200000076</v>
      </c>
      <c r="U131" s="126">
        <f t="shared" si="31"/>
        <v>520.00000016000001</v>
      </c>
      <c r="W131" s="126">
        <f t="shared" ref="W131:W194" si="40">Q131</f>
        <v>105.00000000000001</v>
      </c>
      <c r="X131" s="126">
        <f t="shared" ref="X131:X194" si="41">M131+O131</f>
        <v>125.00000008000001</v>
      </c>
    </row>
    <row r="132" spans="1:24">
      <c r="A132" s="22">
        <v>43399</v>
      </c>
      <c r="B132" s="128">
        <v>1</v>
      </c>
      <c r="C132" s="128">
        <v>0</v>
      </c>
      <c r="D132" s="128">
        <v>1</v>
      </c>
      <c r="E132" s="128">
        <v>0</v>
      </c>
      <c r="F132" s="128">
        <v>1</v>
      </c>
      <c r="G132" s="128">
        <v>1</v>
      </c>
      <c r="K132" s="86">
        <v>43399</v>
      </c>
      <c r="L132" s="126">
        <f t="shared" si="32"/>
        <v>102.00000008000001</v>
      </c>
      <c r="M132" s="126">
        <f t="shared" si="33"/>
        <v>43.000000080000007</v>
      </c>
      <c r="N132" s="126">
        <f t="shared" si="34"/>
        <v>97.999999999999986</v>
      </c>
      <c r="O132" s="126">
        <f t="shared" si="35"/>
        <v>82</v>
      </c>
      <c r="P132" s="126">
        <f t="shared" si="36"/>
        <v>93</v>
      </c>
      <c r="Q132" s="126">
        <f t="shared" si="37"/>
        <v>106.00000000000001</v>
      </c>
      <c r="R132" s="126">
        <f t="shared" si="38"/>
        <v>3.9999999200000076</v>
      </c>
      <c r="S132" s="1">
        <f t="shared" si="30"/>
        <v>1</v>
      </c>
      <c r="T132" s="126">
        <f t="shared" si="39"/>
        <v>3.9999999200000076</v>
      </c>
      <c r="U132" s="126">
        <f t="shared" si="31"/>
        <v>524.00000016000001</v>
      </c>
      <c r="W132" s="126">
        <f t="shared" si="40"/>
        <v>106.00000000000001</v>
      </c>
      <c r="X132" s="126">
        <f t="shared" si="41"/>
        <v>125.00000008000001</v>
      </c>
    </row>
    <row r="133" spans="1:24">
      <c r="A133" s="22">
        <v>43406</v>
      </c>
      <c r="B133" s="128">
        <v>1</v>
      </c>
      <c r="C133" s="128">
        <v>0</v>
      </c>
      <c r="D133" s="128">
        <v>1</v>
      </c>
      <c r="E133" s="128">
        <v>0</v>
      </c>
      <c r="F133" s="128">
        <v>1</v>
      </c>
      <c r="G133" s="128">
        <v>1</v>
      </c>
      <c r="K133" s="86">
        <v>43406</v>
      </c>
      <c r="L133" s="126">
        <f t="shared" si="32"/>
        <v>103.00000008000001</v>
      </c>
      <c r="M133" s="126">
        <f t="shared" si="33"/>
        <v>43.000000080000007</v>
      </c>
      <c r="N133" s="126">
        <f t="shared" si="34"/>
        <v>98.999999999999986</v>
      </c>
      <c r="O133" s="126">
        <f t="shared" si="35"/>
        <v>82</v>
      </c>
      <c r="P133" s="126">
        <f t="shared" si="36"/>
        <v>94</v>
      </c>
      <c r="Q133" s="126">
        <f t="shared" si="37"/>
        <v>107.00000000000001</v>
      </c>
      <c r="R133" s="126">
        <f t="shared" si="38"/>
        <v>3.9999999200000076</v>
      </c>
      <c r="S133" s="1">
        <f t="shared" si="30"/>
        <v>1</v>
      </c>
      <c r="T133" s="126">
        <f t="shared" si="39"/>
        <v>3.9999999200000076</v>
      </c>
      <c r="U133" s="126">
        <f t="shared" si="31"/>
        <v>528.00000016000001</v>
      </c>
      <c r="W133" s="126">
        <f t="shared" si="40"/>
        <v>107.00000000000001</v>
      </c>
      <c r="X133" s="126">
        <f t="shared" si="41"/>
        <v>125.00000008000001</v>
      </c>
    </row>
    <row r="134" spans="1:24">
      <c r="A134" s="22">
        <v>43413</v>
      </c>
      <c r="B134" s="128">
        <v>1</v>
      </c>
      <c r="C134" s="128">
        <v>0</v>
      </c>
      <c r="D134" s="128">
        <v>1</v>
      </c>
      <c r="E134" s="128">
        <v>0</v>
      </c>
      <c r="F134" s="128">
        <v>1</v>
      </c>
      <c r="G134" s="128">
        <v>0</v>
      </c>
      <c r="K134" s="86">
        <v>43413</v>
      </c>
      <c r="L134" s="126">
        <f t="shared" si="32"/>
        <v>104.00000008000001</v>
      </c>
      <c r="M134" s="126">
        <f t="shared" si="33"/>
        <v>43.000000080000007</v>
      </c>
      <c r="N134" s="144">
        <f t="shared" si="34"/>
        <v>99.999999999999986</v>
      </c>
      <c r="O134" s="126">
        <f t="shared" si="35"/>
        <v>82</v>
      </c>
      <c r="P134" s="126">
        <f t="shared" si="36"/>
        <v>95</v>
      </c>
      <c r="Q134" s="126">
        <f t="shared" si="37"/>
        <v>107.00000000000001</v>
      </c>
      <c r="R134" s="126">
        <f t="shared" si="38"/>
        <v>2.9999999200000076</v>
      </c>
      <c r="S134" s="1">
        <f t="shared" si="30"/>
        <v>1</v>
      </c>
      <c r="T134" s="126">
        <f t="shared" si="39"/>
        <v>2.9999999200000076</v>
      </c>
      <c r="U134" s="126">
        <f t="shared" si="31"/>
        <v>531.00000016000001</v>
      </c>
      <c r="W134" s="126">
        <f t="shared" si="40"/>
        <v>107.00000000000001</v>
      </c>
      <c r="X134" s="126">
        <f t="shared" si="41"/>
        <v>125.00000008000001</v>
      </c>
    </row>
    <row r="135" spans="1:24">
      <c r="A135" s="22">
        <v>43420</v>
      </c>
      <c r="B135" s="128">
        <v>1</v>
      </c>
      <c r="C135" s="128">
        <v>0</v>
      </c>
      <c r="D135" s="128">
        <v>0</v>
      </c>
      <c r="E135" s="128">
        <v>0</v>
      </c>
      <c r="F135" s="128">
        <v>1</v>
      </c>
      <c r="G135" s="128">
        <v>1</v>
      </c>
      <c r="J135" s="57" t="s">
        <v>154</v>
      </c>
      <c r="K135" s="86">
        <v>43420</v>
      </c>
      <c r="L135" s="126">
        <f t="shared" si="32"/>
        <v>105.00000008000001</v>
      </c>
      <c r="M135" s="126">
        <f t="shared" si="33"/>
        <v>43.000000080000007</v>
      </c>
      <c r="N135" s="126">
        <f t="shared" si="34"/>
        <v>99.999999999999986</v>
      </c>
      <c r="O135" s="126">
        <f t="shared" si="35"/>
        <v>82</v>
      </c>
      <c r="P135" s="126">
        <f t="shared" si="36"/>
        <v>96</v>
      </c>
      <c r="Q135" s="126">
        <f t="shared" si="37"/>
        <v>108.00000000000001</v>
      </c>
      <c r="R135" s="126">
        <f t="shared" si="38"/>
        <v>2.9999999200000076</v>
      </c>
      <c r="S135" s="1">
        <f t="shared" si="30"/>
        <v>1</v>
      </c>
      <c r="T135" s="126">
        <f t="shared" si="39"/>
        <v>2.9999999200000076</v>
      </c>
      <c r="U135" s="126">
        <f t="shared" si="31"/>
        <v>534.00000016000001</v>
      </c>
      <c r="W135" s="126">
        <f t="shared" si="40"/>
        <v>108.00000000000001</v>
      </c>
      <c r="X135" s="126">
        <f t="shared" si="41"/>
        <v>125.00000008000001</v>
      </c>
    </row>
    <row r="136" spans="1:24">
      <c r="A136" s="22">
        <v>43427</v>
      </c>
      <c r="B136" s="128">
        <v>1</v>
      </c>
      <c r="C136" s="128">
        <v>0</v>
      </c>
      <c r="D136" s="128">
        <v>1</v>
      </c>
      <c r="E136" s="128">
        <v>0</v>
      </c>
      <c r="F136" s="128">
        <v>1</v>
      </c>
      <c r="G136" s="128">
        <v>1</v>
      </c>
      <c r="K136" s="86">
        <v>43427</v>
      </c>
      <c r="L136" s="126">
        <f t="shared" si="32"/>
        <v>106.00000008000001</v>
      </c>
      <c r="M136" s="126">
        <f t="shared" si="33"/>
        <v>43.000000080000007</v>
      </c>
      <c r="N136" s="126">
        <f t="shared" si="34"/>
        <v>100.99999999999999</v>
      </c>
      <c r="O136" s="126">
        <f t="shared" si="35"/>
        <v>82</v>
      </c>
      <c r="P136" s="126">
        <f t="shared" si="36"/>
        <v>97</v>
      </c>
      <c r="Q136" s="126">
        <f t="shared" si="37"/>
        <v>109.00000000000001</v>
      </c>
      <c r="R136" s="126">
        <f t="shared" si="38"/>
        <v>2.9999999200000076</v>
      </c>
      <c r="S136" s="1">
        <f t="shared" si="30"/>
        <v>1</v>
      </c>
      <c r="T136" s="126">
        <f t="shared" si="39"/>
        <v>2.9999999200000076</v>
      </c>
      <c r="U136" s="126">
        <f t="shared" si="31"/>
        <v>538.00000016000001</v>
      </c>
      <c r="W136" s="126">
        <f t="shared" si="40"/>
        <v>109.00000000000001</v>
      </c>
      <c r="X136" s="126">
        <f t="shared" si="41"/>
        <v>125.00000008000001</v>
      </c>
    </row>
    <row r="137" spans="1:24">
      <c r="A137" s="22">
        <v>43434</v>
      </c>
      <c r="B137" s="128">
        <v>1</v>
      </c>
      <c r="C137" s="128">
        <v>0</v>
      </c>
      <c r="D137" s="128">
        <v>1</v>
      </c>
      <c r="E137" s="128">
        <v>0</v>
      </c>
      <c r="F137" s="128">
        <v>0</v>
      </c>
      <c r="G137" s="128">
        <v>1</v>
      </c>
      <c r="J137" s="57" t="s">
        <v>155</v>
      </c>
      <c r="K137" s="86">
        <v>43434</v>
      </c>
      <c r="L137" s="126">
        <f t="shared" si="32"/>
        <v>107.00000008000001</v>
      </c>
      <c r="M137" s="126">
        <f t="shared" si="33"/>
        <v>43.000000080000007</v>
      </c>
      <c r="N137" s="126">
        <f t="shared" si="34"/>
        <v>101.99999999999999</v>
      </c>
      <c r="O137" s="126">
        <f t="shared" si="35"/>
        <v>82</v>
      </c>
      <c r="P137" s="126">
        <f t="shared" si="36"/>
        <v>97</v>
      </c>
      <c r="Q137" s="126">
        <f t="shared" si="37"/>
        <v>110.00000000000001</v>
      </c>
      <c r="R137" s="126">
        <f t="shared" si="38"/>
        <v>2.9999999200000076</v>
      </c>
      <c r="S137" s="1">
        <f t="shared" si="30"/>
        <v>1</v>
      </c>
      <c r="T137" s="126">
        <f t="shared" si="39"/>
        <v>2.9999999200000076</v>
      </c>
      <c r="U137" s="126">
        <f t="shared" si="31"/>
        <v>541.00000016000001</v>
      </c>
      <c r="W137" s="126">
        <f t="shared" si="40"/>
        <v>110.00000000000001</v>
      </c>
      <c r="X137" s="126">
        <f t="shared" si="41"/>
        <v>125.00000008000001</v>
      </c>
    </row>
    <row r="138" spans="1:24">
      <c r="A138" s="22">
        <v>43441</v>
      </c>
      <c r="B138" s="128">
        <v>1</v>
      </c>
      <c r="C138" s="128">
        <v>0</v>
      </c>
      <c r="D138" s="128">
        <v>0</v>
      </c>
      <c r="E138" s="128">
        <v>0</v>
      </c>
      <c r="F138" s="128">
        <v>1</v>
      </c>
      <c r="G138" s="128">
        <v>1</v>
      </c>
      <c r="J138" s="57" t="s">
        <v>156</v>
      </c>
      <c r="K138" s="86">
        <v>43441</v>
      </c>
      <c r="L138" s="126">
        <f t="shared" si="32"/>
        <v>108.00000008000001</v>
      </c>
      <c r="M138" s="126">
        <f t="shared" si="33"/>
        <v>43.000000080000007</v>
      </c>
      <c r="N138" s="126">
        <f t="shared" si="34"/>
        <v>101.99999999999999</v>
      </c>
      <c r="O138" s="126">
        <f t="shared" si="35"/>
        <v>82</v>
      </c>
      <c r="P138" s="126">
        <f t="shared" si="36"/>
        <v>98</v>
      </c>
      <c r="Q138" s="126">
        <f t="shared" si="37"/>
        <v>111.00000000000001</v>
      </c>
      <c r="R138" s="126">
        <f t="shared" si="38"/>
        <v>2.9999999200000076</v>
      </c>
      <c r="S138" s="1">
        <f t="shared" si="30"/>
        <v>1</v>
      </c>
      <c r="T138" s="126">
        <f t="shared" si="39"/>
        <v>2.9999999200000076</v>
      </c>
      <c r="U138" s="126">
        <f t="shared" si="31"/>
        <v>544.00000016000001</v>
      </c>
      <c r="W138" s="126">
        <f t="shared" si="40"/>
        <v>111.00000000000001</v>
      </c>
      <c r="X138" s="126">
        <f t="shared" si="41"/>
        <v>125.00000008000001</v>
      </c>
    </row>
    <row r="139" spans="1:24">
      <c r="A139" s="22">
        <v>43448</v>
      </c>
      <c r="B139" s="128">
        <v>0</v>
      </c>
      <c r="C139" s="128">
        <v>1</v>
      </c>
      <c r="D139" s="128">
        <v>1</v>
      </c>
      <c r="E139" s="128">
        <v>0</v>
      </c>
      <c r="F139" s="128">
        <v>1</v>
      </c>
      <c r="G139" s="128">
        <v>1</v>
      </c>
      <c r="K139" s="86">
        <v>43448</v>
      </c>
      <c r="L139" s="126">
        <f t="shared" si="32"/>
        <v>108.00000008000001</v>
      </c>
      <c r="M139" s="126">
        <f t="shared" si="33"/>
        <v>44.000000080000007</v>
      </c>
      <c r="N139" s="126">
        <f t="shared" si="34"/>
        <v>102.99999999999999</v>
      </c>
      <c r="O139" s="126">
        <f t="shared" si="35"/>
        <v>82</v>
      </c>
      <c r="P139" s="126">
        <f t="shared" si="36"/>
        <v>99</v>
      </c>
      <c r="Q139" s="126">
        <f t="shared" si="37"/>
        <v>112.00000000000001</v>
      </c>
      <c r="R139" s="126">
        <f t="shared" si="38"/>
        <v>3.9999999200000076</v>
      </c>
      <c r="S139" s="1">
        <f t="shared" si="30"/>
        <v>1</v>
      </c>
      <c r="T139" s="126">
        <f t="shared" si="39"/>
        <v>3.9999999200000076</v>
      </c>
      <c r="U139" s="126">
        <f t="shared" si="31"/>
        <v>548.00000016000001</v>
      </c>
      <c r="W139" s="126">
        <f t="shared" si="40"/>
        <v>112.00000000000001</v>
      </c>
      <c r="X139" s="126">
        <f t="shared" si="41"/>
        <v>126.00000008000001</v>
      </c>
    </row>
    <row r="140" spans="1:24">
      <c r="A140" s="22">
        <v>43455</v>
      </c>
      <c r="B140" s="128">
        <v>1</v>
      </c>
      <c r="C140" s="128">
        <v>0</v>
      </c>
      <c r="D140" s="128">
        <v>1</v>
      </c>
      <c r="E140" s="128">
        <v>0</v>
      </c>
      <c r="F140" s="128">
        <v>1</v>
      </c>
      <c r="G140" s="128">
        <v>1</v>
      </c>
      <c r="K140" s="86">
        <v>43455</v>
      </c>
      <c r="L140" s="126">
        <f t="shared" si="32"/>
        <v>109.00000008000001</v>
      </c>
      <c r="M140" s="126">
        <f t="shared" si="33"/>
        <v>44.000000080000007</v>
      </c>
      <c r="N140" s="126">
        <f t="shared" si="34"/>
        <v>103.99999999999999</v>
      </c>
      <c r="O140" s="126">
        <f t="shared" si="35"/>
        <v>82</v>
      </c>
      <c r="P140" s="144">
        <f t="shared" si="36"/>
        <v>100</v>
      </c>
      <c r="Q140" s="126">
        <f t="shared" si="37"/>
        <v>113.00000000000001</v>
      </c>
      <c r="R140" s="126">
        <f t="shared" si="38"/>
        <v>3.9999999200000076</v>
      </c>
      <c r="S140" s="1">
        <f t="shared" si="30"/>
        <v>1</v>
      </c>
      <c r="T140" s="126">
        <f t="shared" si="39"/>
        <v>3.9999999200000076</v>
      </c>
      <c r="U140" s="126">
        <f t="shared" si="31"/>
        <v>552.00000016000001</v>
      </c>
      <c r="W140" s="126">
        <f t="shared" si="40"/>
        <v>113.00000000000001</v>
      </c>
      <c r="X140" s="126">
        <f t="shared" si="41"/>
        <v>126.00000008000001</v>
      </c>
    </row>
    <row r="141" spans="1:24">
      <c r="A141" s="22">
        <v>43462</v>
      </c>
      <c r="B141" s="128">
        <v>1</v>
      </c>
      <c r="C141" s="128">
        <v>0</v>
      </c>
      <c r="D141" s="128">
        <v>0</v>
      </c>
      <c r="E141" s="128">
        <v>0</v>
      </c>
      <c r="F141" s="128">
        <v>1</v>
      </c>
      <c r="G141" s="128">
        <v>0</v>
      </c>
      <c r="K141" s="86">
        <v>43462</v>
      </c>
      <c r="L141" s="126">
        <f t="shared" si="32"/>
        <v>110.00000008000001</v>
      </c>
      <c r="M141" s="126">
        <f t="shared" si="33"/>
        <v>44.000000080000007</v>
      </c>
      <c r="N141" s="126">
        <f t="shared" si="34"/>
        <v>103.99999999999999</v>
      </c>
      <c r="O141" s="126">
        <f t="shared" si="35"/>
        <v>82</v>
      </c>
      <c r="P141" s="126">
        <f t="shared" si="36"/>
        <v>101</v>
      </c>
      <c r="Q141" s="126">
        <f t="shared" si="37"/>
        <v>113.00000000000001</v>
      </c>
      <c r="R141" s="126">
        <f t="shared" si="38"/>
        <v>2.9999999200000076</v>
      </c>
      <c r="S141" s="1">
        <f t="shared" si="30"/>
        <v>1</v>
      </c>
      <c r="T141" s="126">
        <f t="shared" si="39"/>
        <v>2.9999999200000076</v>
      </c>
      <c r="U141" s="126">
        <f t="shared" si="31"/>
        <v>554.00000016000001</v>
      </c>
      <c r="W141" s="126">
        <f t="shared" si="40"/>
        <v>113.00000000000001</v>
      </c>
      <c r="X141" s="126">
        <f t="shared" si="41"/>
        <v>126.00000008000001</v>
      </c>
    </row>
    <row r="142" spans="1:24">
      <c r="A142" s="22">
        <v>43469</v>
      </c>
      <c r="B142" s="128">
        <v>0</v>
      </c>
      <c r="C142" s="128">
        <v>0</v>
      </c>
      <c r="D142" s="128">
        <v>1</v>
      </c>
      <c r="E142" s="128">
        <v>0</v>
      </c>
      <c r="F142" s="128">
        <v>0</v>
      </c>
      <c r="G142" s="128">
        <v>0</v>
      </c>
      <c r="J142" s="57" t="s">
        <v>157</v>
      </c>
      <c r="K142" s="86">
        <v>43469</v>
      </c>
      <c r="L142" s="126">
        <f t="shared" si="32"/>
        <v>110.00000008000001</v>
      </c>
      <c r="M142" s="126">
        <f t="shared" si="33"/>
        <v>44.000000080000007</v>
      </c>
      <c r="N142" s="126">
        <f t="shared" si="34"/>
        <v>104.99999999999999</v>
      </c>
      <c r="O142" s="126">
        <f t="shared" si="35"/>
        <v>82</v>
      </c>
      <c r="P142" s="126">
        <f t="shared" si="36"/>
        <v>101</v>
      </c>
      <c r="Q142" s="126">
        <f t="shared" si="37"/>
        <v>113.00000000000001</v>
      </c>
      <c r="R142" s="126">
        <f t="shared" si="38"/>
        <v>2.9999999200000076</v>
      </c>
      <c r="S142" s="1">
        <f t="shared" si="30"/>
        <v>1</v>
      </c>
      <c r="T142" s="126">
        <f t="shared" si="39"/>
        <v>2.9999999200000076</v>
      </c>
      <c r="U142" s="126">
        <f t="shared" si="31"/>
        <v>555.00000016000001</v>
      </c>
      <c r="W142" s="126">
        <f t="shared" si="40"/>
        <v>113.00000000000001</v>
      </c>
      <c r="X142" s="126">
        <f t="shared" si="41"/>
        <v>126.00000008000001</v>
      </c>
    </row>
    <row r="143" spans="1:24">
      <c r="A143" s="22">
        <v>43476</v>
      </c>
      <c r="B143" s="128">
        <v>0</v>
      </c>
      <c r="C143" s="128">
        <v>0</v>
      </c>
      <c r="D143" s="128">
        <v>1</v>
      </c>
      <c r="E143" s="128">
        <v>0</v>
      </c>
      <c r="F143" s="128">
        <v>1</v>
      </c>
      <c r="G143" s="128">
        <v>1</v>
      </c>
      <c r="J143" s="57" t="s">
        <v>158</v>
      </c>
      <c r="K143" s="86">
        <v>43476</v>
      </c>
      <c r="L143" s="126">
        <f t="shared" si="32"/>
        <v>110.00000008000001</v>
      </c>
      <c r="M143" s="126">
        <f t="shared" si="33"/>
        <v>44.000000080000007</v>
      </c>
      <c r="N143" s="126">
        <f t="shared" si="34"/>
        <v>105.99999999999999</v>
      </c>
      <c r="O143" s="126">
        <f t="shared" si="35"/>
        <v>82</v>
      </c>
      <c r="P143" s="126">
        <f t="shared" si="36"/>
        <v>102</v>
      </c>
      <c r="Q143" s="126">
        <f t="shared" si="37"/>
        <v>114.00000000000001</v>
      </c>
      <c r="R143" s="126">
        <f t="shared" si="38"/>
        <v>3.9999999200000076</v>
      </c>
      <c r="S143" s="1">
        <f t="shared" si="30"/>
        <v>1</v>
      </c>
      <c r="T143" s="126">
        <f t="shared" si="39"/>
        <v>3.9999999200000076</v>
      </c>
      <c r="U143" s="126">
        <f t="shared" si="31"/>
        <v>558.00000016000001</v>
      </c>
      <c r="W143" s="126">
        <f t="shared" si="40"/>
        <v>114.00000000000001</v>
      </c>
      <c r="X143" s="126">
        <f t="shared" si="41"/>
        <v>126.00000008000001</v>
      </c>
    </row>
    <row r="144" spans="1:24">
      <c r="A144" s="22">
        <v>43483</v>
      </c>
      <c r="B144" s="128">
        <v>0</v>
      </c>
      <c r="C144" s="128">
        <v>0</v>
      </c>
      <c r="D144" s="128">
        <v>1</v>
      </c>
      <c r="E144" s="128">
        <v>0</v>
      </c>
      <c r="F144" s="128">
        <v>0</v>
      </c>
      <c r="G144" s="128">
        <v>1</v>
      </c>
      <c r="J144" s="57" t="s">
        <v>159</v>
      </c>
      <c r="K144" s="86">
        <v>43483</v>
      </c>
      <c r="L144" s="126">
        <f t="shared" si="32"/>
        <v>110.00000008000001</v>
      </c>
      <c r="M144" s="126">
        <f t="shared" si="33"/>
        <v>44.000000080000007</v>
      </c>
      <c r="N144" s="126">
        <f t="shared" si="34"/>
        <v>106.99999999999999</v>
      </c>
      <c r="O144" s="126">
        <f t="shared" si="35"/>
        <v>82</v>
      </c>
      <c r="P144" s="126">
        <f t="shared" si="36"/>
        <v>102</v>
      </c>
      <c r="Q144" s="126">
        <f t="shared" si="37"/>
        <v>115.00000000000001</v>
      </c>
      <c r="R144" s="126">
        <f t="shared" si="38"/>
        <v>4.9999999200000076</v>
      </c>
      <c r="S144" s="1">
        <f t="shared" si="30"/>
        <v>1</v>
      </c>
      <c r="T144" s="126">
        <f t="shared" si="39"/>
        <v>4.9999999200000076</v>
      </c>
      <c r="U144" s="126">
        <f t="shared" si="31"/>
        <v>560.00000016000001</v>
      </c>
      <c r="W144" s="126">
        <f t="shared" si="40"/>
        <v>115.00000000000001</v>
      </c>
      <c r="X144" s="126">
        <f t="shared" si="41"/>
        <v>126.00000008000001</v>
      </c>
    </row>
    <row r="145" spans="1:24">
      <c r="A145" s="22">
        <v>43490</v>
      </c>
      <c r="B145" s="128">
        <v>0</v>
      </c>
      <c r="C145" s="128">
        <v>0</v>
      </c>
      <c r="D145" s="128">
        <v>1</v>
      </c>
      <c r="E145" s="128">
        <v>0</v>
      </c>
      <c r="F145" s="128">
        <v>0</v>
      </c>
      <c r="G145" s="128">
        <v>1</v>
      </c>
      <c r="J145" s="57" t="s">
        <v>160</v>
      </c>
      <c r="K145" s="86">
        <v>43490</v>
      </c>
      <c r="L145" s="126">
        <f t="shared" si="32"/>
        <v>110.00000008000001</v>
      </c>
      <c r="M145" s="126">
        <f t="shared" si="33"/>
        <v>44.000000080000007</v>
      </c>
      <c r="N145" s="126">
        <f t="shared" si="34"/>
        <v>107.99999999999999</v>
      </c>
      <c r="O145" s="126">
        <f t="shared" si="35"/>
        <v>82</v>
      </c>
      <c r="P145" s="126">
        <f t="shared" si="36"/>
        <v>102</v>
      </c>
      <c r="Q145" s="126">
        <f t="shared" si="37"/>
        <v>116.00000000000001</v>
      </c>
      <c r="R145" s="126">
        <f t="shared" si="38"/>
        <v>5.9999999200000076</v>
      </c>
      <c r="S145" s="1">
        <f t="shared" si="30"/>
        <v>1</v>
      </c>
      <c r="T145" s="126">
        <f t="shared" si="39"/>
        <v>5.9999999200000076</v>
      </c>
      <c r="U145" s="126">
        <f t="shared" si="31"/>
        <v>562.00000016000001</v>
      </c>
      <c r="W145" s="126">
        <f t="shared" si="40"/>
        <v>116.00000000000001</v>
      </c>
      <c r="X145" s="126">
        <f t="shared" si="41"/>
        <v>126.00000008000001</v>
      </c>
    </row>
    <row r="146" spans="1:24">
      <c r="A146" s="22">
        <v>43497</v>
      </c>
      <c r="B146" s="128">
        <v>0</v>
      </c>
      <c r="C146" s="128">
        <v>0</v>
      </c>
      <c r="D146" s="128">
        <v>0</v>
      </c>
      <c r="E146" s="128">
        <v>0</v>
      </c>
      <c r="F146" s="128">
        <v>0</v>
      </c>
      <c r="G146" s="128">
        <v>0</v>
      </c>
      <c r="J146" s="57" t="s">
        <v>161</v>
      </c>
      <c r="K146" s="86">
        <v>43497</v>
      </c>
      <c r="L146" s="126">
        <f t="shared" si="32"/>
        <v>110.00000008000001</v>
      </c>
      <c r="M146" s="126">
        <f t="shared" si="33"/>
        <v>44.000000080000007</v>
      </c>
      <c r="N146" s="126">
        <f t="shared" si="34"/>
        <v>107.99999999999999</v>
      </c>
      <c r="O146" s="126">
        <f t="shared" si="35"/>
        <v>82</v>
      </c>
      <c r="P146" s="126">
        <f t="shared" si="36"/>
        <v>102</v>
      </c>
      <c r="Q146" s="126">
        <f t="shared" si="37"/>
        <v>116.00000000000001</v>
      </c>
      <c r="R146" s="126">
        <f t="shared" si="38"/>
        <v>5.9999999200000076</v>
      </c>
      <c r="S146" s="1">
        <f t="shared" si="30"/>
        <v>1</v>
      </c>
      <c r="T146" s="126">
        <f t="shared" si="39"/>
        <v>5.9999999200000076</v>
      </c>
      <c r="U146" s="126">
        <f t="shared" si="31"/>
        <v>562.00000016000001</v>
      </c>
      <c r="W146" s="126">
        <f t="shared" si="40"/>
        <v>116.00000000000001</v>
      </c>
      <c r="X146" s="126">
        <f t="shared" si="41"/>
        <v>126.00000008000001</v>
      </c>
    </row>
    <row r="147" spans="1:24">
      <c r="A147" s="22">
        <v>43504</v>
      </c>
      <c r="B147" s="128">
        <v>1</v>
      </c>
      <c r="C147" s="128">
        <v>0</v>
      </c>
      <c r="D147" s="128">
        <v>0</v>
      </c>
      <c r="E147" s="128">
        <v>0</v>
      </c>
      <c r="F147" s="128">
        <v>1</v>
      </c>
      <c r="G147" s="128">
        <v>1</v>
      </c>
      <c r="K147" s="86">
        <v>43504</v>
      </c>
      <c r="L147" s="126">
        <f t="shared" si="32"/>
        <v>111.00000008000001</v>
      </c>
      <c r="M147" s="126">
        <f t="shared" si="33"/>
        <v>44.000000080000007</v>
      </c>
      <c r="N147" s="126">
        <f t="shared" si="34"/>
        <v>107.99999999999999</v>
      </c>
      <c r="O147" s="126">
        <f t="shared" si="35"/>
        <v>82</v>
      </c>
      <c r="P147" s="126">
        <f t="shared" si="36"/>
        <v>103</v>
      </c>
      <c r="Q147" s="126">
        <f t="shared" si="37"/>
        <v>117.00000000000001</v>
      </c>
      <c r="R147" s="126">
        <f t="shared" si="38"/>
        <v>5.9999999200000076</v>
      </c>
      <c r="S147" s="1">
        <f t="shared" si="30"/>
        <v>1</v>
      </c>
      <c r="T147" s="126">
        <f t="shared" si="39"/>
        <v>5.9999999200000076</v>
      </c>
      <c r="U147" s="126">
        <f t="shared" si="31"/>
        <v>565.00000016000001</v>
      </c>
      <c r="W147" s="126">
        <f t="shared" si="40"/>
        <v>117.00000000000001</v>
      </c>
      <c r="X147" s="126">
        <f t="shared" si="41"/>
        <v>126.00000008000001</v>
      </c>
    </row>
    <row r="148" spans="1:24">
      <c r="A148" s="22">
        <v>43511</v>
      </c>
      <c r="B148" s="128">
        <v>1</v>
      </c>
      <c r="C148" s="128">
        <v>0</v>
      </c>
      <c r="D148" s="128">
        <v>1</v>
      </c>
      <c r="E148" s="128">
        <v>0</v>
      </c>
      <c r="F148" s="128">
        <v>1</v>
      </c>
      <c r="G148" s="128">
        <v>1</v>
      </c>
      <c r="K148" s="86">
        <v>43511</v>
      </c>
      <c r="L148" s="126">
        <f t="shared" si="32"/>
        <v>112.00000008000001</v>
      </c>
      <c r="M148" s="126">
        <f t="shared" si="33"/>
        <v>44.000000080000007</v>
      </c>
      <c r="N148" s="126">
        <f t="shared" si="34"/>
        <v>108.99999999999999</v>
      </c>
      <c r="O148" s="126">
        <f t="shared" si="35"/>
        <v>82</v>
      </c>
      <c r="P148" s="126">
        <f t="shared" si="36"/>
        <v>104</v>
      </c>
      <c r="Q148" s="126">
        <f t="shared" si="37"/>
        <v>118.00000000000001</v>
      </c>
      <c r="R148" s="126">
        <f t="shared" si="38"/>
        <v>5.9999999200000076</v>
      </c>
      <c r="S148" s="1">
        <f t="shared" si="30"/>
        <v>1</v>
      </c>
      <c r="T148" s="126">
        <f t="shared" si="39"/>
        <v>5.9999999200000076</v>
      </c>
      <c r="U148" s="126">
        <f t="shared" si="31"/>
        <v>569.00000016000001</v>
      </c>
      <c r="W148" s="126">
        <f t="shared" si="40"/>
        <v>118.00000000000001</v>
      </c>
      <c r="X148" s="126">
        <f t="shared" si="41"/>
        <v>126.00000008000001</v>
      </c>
    </row>
    <row r="149" spans="1:24">
      <c r="A149" s="22">
        <v>43518</v>
      </c>
      <c r="B149" s="128">
        <v>1</v>
      </c>
      <c r="C149" s="128">
        <v>0</v>
      </c>
      <c r="D149" s="128">
        <v>1</v>
      </c>
      <c r="E149" s="128">
        <v>0</v>
      </c>
      <c r="F149" s="128">
        <v>0</v>
      </c>
      <c r="G149" s="128">
        <v>1</v>
      </c>
      <c r="K149" s="86">
        <v>43518</v>
      </c>
      <c r="L149" s="126">
        <f t="shared" si="32"/>
        <v>113.00000008000001</v>
      </c>
      <c r="M149" s="126">
        <f t="shared" si="33"/>
        <v>44.000000080000007</v>
      </c>
      <c r="N149" s="126">
        <f t="shared" si="34"/>
        <v>109.99999999999999</v>
      </c>
      <c r="O149" s="126">
        <f t="shared" si="35"/>
        <v>82</v>
      </c>
      <c r="P149" s="126">
        <f t="shared" si="36"/>
        <v>104</v>
      </c>
      <c r="Q149" s="126">
        <f t="shared" si="37"/>
        <v>119.00000000000001</v>
      </c>
      <c r="R149" s="126">
        <f t="shared" si="38"/>
        <v>5.9999999200000076</v>
      </c>
      <c r="S149" s="1">
        <f t="shared" si="30"/>
        <v>1</v>
      </c>
      <c r="T149" s="126">
        <f t="shared" si="39"/>
        <v>5.9999999200000076</v>
      </c>
      <c r="U149" s="126">
        <f t="shared" si="31"/>
        <v>572.00000016000001</v>
      </c>
      <c r="W149" s="126">
        <f t="shared" si="40"/>
        <v>119.00000000000001</v>
      </c>
      <c r="X149" s="126">
        <f t="shared" si="41"/>
        <v>126.00000008000001</v>
      </c>
    </row>
    <row r="150" spans="1:24">
      <c r="A150" s="22">
        <v>43525</v>
      </c>
      <c r="B150" s="128">
        <v>0</v>
      </c>
      <c r="C150" s="128">
        <v>0</v>
      </c>
      <c r="D150" s="128">
        <v>1</v>
      </c>
      <c r="E150" s="128">
        <v>0</v>
      </c>
      <c r="F150" s="128">
        <v>1</v>
      </c>
      <c r="G150" s="128">
        <v>1</v>
      </c>
      <c r="J150" s="57" t="s">
        <v>162</v>
      </c>
      <c r="K150" s="86">
        <v>43525</v>
      </c>
      <c r="L150" s="126">
        <f t="shared" si="32"/>
        <v>113.00000008000001</v>
      </c>
      <c r="M150" s="126">
        <f t="shared" si="33"/>
        <v>44.000000080000007</v>
      </c>
      <c r="N150" s="126">
        <f t="shared" si="34"/>
        <v>110.99999999999999</v>
      </c>
      <c r="O150" s="126">
        <f t="shared" si="35"/>
        <v>82</v>
      </c>
      <c r="P150" s="126">
        <f t="shared" si="36"/>
        <v>105</v>
      </c>
      <c r="Q150" s="126">
        <f t="shared" si="37"/>
        <v>120.00000000000001</v>
      </c>
      <c r="R150" s="126">
        <f t="shared" si="38"/>
        <v>6.9999999200000076</v>
      </c>
      <c r="S150" s="1">
        <f t="shared" si="30"/>
        <v>1</v>
      </c>
      <c r="T150" s="126">
        <f t="shared" si="39"/>
        <v>6.9999999200000076</v>
      </c>
      <c r="U150" s="126">
        <f t="shared" si="31"/>
        <v>575.00000016000001</v>
      </c>
      <c r="W150" s="126">
        <f t="shared" si="40"/>
        <v>120.00000000000001</v>
      </c>
      <c r="X150" s="126">
        <f t="shared" si="41"/>
        <v>126.00000008000001</v>
      </c>
    </row>
    <row r="151" spans="1:24">
      <c r="A151" s="22">
        <v>43532</v>
      </c>
      <c r="B151" s="128">
        <v>1</v>
      </c>
      <c r="C151" s="128">
        <v>1</v>
      </c>
      <c r="D151" s="128">
        <v>1</v>
      </c>
      <c r="E151" s="128">
        <v>0</v>
      </c>
      <c r="F151" s="128">
        <v>1</v>
      </c>
      <c r="G151" s="128">
        <v>1</v>
      </c>
      <c r="K151" s="86">
        <v>43532</v>
      </c>
      <c r="L151" s="126">
        <f t="shared" si="32"/>
        <v>114.00000008000001</v>
      </c>
      <c r="M151" s="126">
        <f t="shared" si="33"/>
        <v>45.000000080000007</v>
      </c>
      <c r="N151" s="126">
        <f t="shared" si="34"/>
        <v>111.99999999999999</v>
      </c>
      <c r="O151" s="126">
        <f t="shared" si="35"/>
        <v>82</v>
      </c>
      <c r="P151" s="126">
        <f t="shared" si="36"/>
        <v>106</v>
      </c>
      <c r="Q151" s="126">
        <f t="shared" si="37"/>
        <v>121.00000000000001</v>
      </c>
      <c r="R151" s="126">
        <f t="shared" si="38"/>
        <v>6.9999999200000076</v>
      </c>
      <c r="S151" s="1">
        <f t="shared" si="30"/>
        <v>1</v>
      </c>
      <c r="T151" s="126">
        <f t="shared" si="39"/>
        <v>6.9999999200000076</v>
      </c>
      <c r="U151" s="126">
        <f t="shared" si="31"/>
        <v>580.00000016000001</v>
      </c>
      <c r="W151" s="126">
        <f t="shared" si="40"/>
        <v>121.00000000000001</v>
      </c>
      <c r="X151" s="126">
        <f t="shared" si="41"/>
        <v>127.00000008000001</v>
      </c>
    </row>
    <row r="152" spans="1:24">
      <c r="A152" s="22">
        <v>43539</v>
      </c>
      <c r="B152" s="128">
        <v>0</v>
      </c>
      <c r="C152" s="128">
        <v>0</v>
      </c>
      <c r="D152" s="128">
        <v>1</v>
      </c>
      <c r="E152" s="128">
        <v>0</v>
      </c>
      <c r="F152" s="128">
        <v>1</v>
      </c>
      <c r="G152" s="128">
        <v>1</v>
      </c>
      <c r="K152" s="86">
        <v>43539</v>
      </c>
      <c r="L152" s="126">
        <f t="shared" si="32"/>
        <v>114.00000008000001</v>
      </c>
      <c r="M152" s="126">
        <f t="shared" si="33"/>
        <v>45.000000080000007</v>
      </c>
      <c r="N152" s="126">
        <f t="shared" si="34"/>
        <v>112.99999999999999</v>
      </c>
      <c r="O152" s="126">
        <f t="shared" si="35"/>
        <v>82</v>
      </c>
      <c r="P152" s="126">
        <f t="shared" si="36"/>
        <v>107</v>
      </c>
      <c r="Q152" s="126">
        <f t="shared" si="37"/>
        <v>122.00000000000001</v>
      </c>
      <c r="R152" s="126">
        <f t="shared" si="38"/>
        <v>7.9999999200000076</v>
      </c>
      <c r="S152" s="1">
        <f t="shared" si="30"/>
        <v>1</v>
      </c>
      <c r="T152" s="126">
        <f t="shared" si="39"/>
        <v>7.9999999200000076</v>
      </c>
      <c r="U152" s="126">
        <f t="shared" si="31"/>
        <v>583.00000016000001</v>
      </c>
      <c r="W152" s="126">
        <f t="shared" si="40"/>
        <v>122.00000000000001</v>
      </c>
      <c r="X152" s="126">
        <f t="shared" si="41"/>
        <v>127.00000008000001</v>
      </c>
    </row>
    <row r="153" spans="1:24">
      <c r="A153" s="22">
        <v>43546</v>
      </c>
      <c r="B153" s="128">
        <v>1</v>
      </c>
      <c r="C153" s="128">
        <v>0</v>
      </c>
      <c r="D153" s="128">
        <v>1</v>
      </c>
      <c r="E153" s="128">
        <v>0</v>
      </c>
      <c r="F153" s="128">
        <v>1</v>
      </c>
      <c r="G153" s="128">
        <v>0</v>
      </c>
      <c r="K153" s="86">
        <v>43546</v>
      </c>
      <c r="L153" s="126">
        <f t="shared" si="32"/>
        <v>115.00000008000001</v>
      </c>
      <c r="M153" s="126">
        <f t="shared" si="33"/>
        <v>45.000000080000007</v>
      </c>
      <c r="N153" s="126">
        <f t="shared" si="34"/>
        <v>113.99999999999999</v>
      </c>
      <c r="O153" s="126">
        <f t="shared" si="35"/>
        <v>82</v>
      </c>
      <c r="P153" s="126">
        <f t="shared" si="36"/>
        <v>108</v>
      </c>
      <c r="Q153" s="126">
        <f t="shared" si="37"/>
        <v>122.00000000000001</v>
      </c>
      <c r="R153" s="126">
        <f t="shared" si="38"/>
        <v>6.9999999200000076</v>
      </c>
      <c r="S153" s="1">
        <f t="shared" si="30"/>
        <v>1</v>
      </c>
      <c r="T153" s="126">
        <f t="shared" si="39"/>
        <v>6.9999999200000076</v>
      </c>
      <c r="U153" s="126">
        <f t="shared" si="31"/>
        <v>586.00000016000001</v>
      </c>
      <c r="W153" s="126">
        <f t="shared" si="40"/>
        <v>122.00000000000001</v>
      </c>
      <c r="X153" s="126">
        <f t="shared" si="41"/>
        <v>127.00000008000001</v>
      </c>
    </row>
    <row r="154" spans="1:24">
      <c r="A154" s="22">
        <v>43553</v>
      </c>
      <c r="B154" s="128">
        <v>0</v>
      </c>
      <c r="C154" s="128">
        <v>0</v>
      </c>
      <c r="D154" s="128">
        <v>1</v>
      </c>
      <c r="E154" s="128">
        <v>0</v>
      </c>
      <c r="F154" s="128">
        <v>1</v>
      </c>
      <c r="G154" s="128">
        <v>1</v>
      </c>
      <c r="K154" s="86">
        <v>43553</v>
      </c>
      <c r="L154" s="126">
        <f t="shared" si="32"/>
        <v>115.00000008000001</v>
      </c>
      <c r="M154" s="126">
        <f t="shared" si="33"/>
        <v>45.000000080000007</v>
      </c>
      <c r="N154" s="126">
        <f t="shared" si="34"/>
        <v>114.99999999999999</v>
      </c>
      <c r="O154" s="126">
        <f t="shared" si="35"/>
        <v>82</v>
      </c>
      <c r="P154" s="126">
        <f t="shared" si="36"/>
        <v>109</v>
      </c>
      <c r="Q154" s="126">
        <f t="shared" si="37"/>
        <v>123.00000000000001</v>
      </c>
      <c r="R154" s="126">
        <f t="shared" si="38"/>
        <v>7.9999999200000076</v>
      </c>
      <c r="S154" s="1">
        <f t="shared" si="30"/>
        <v>1</v>
      </c>
      <c r="T154" s="126">
        <f t="shared" si="39"/>
        <v>7.9999999200000076</v>
      </c>
      <c r="U154" s="126">
        <f t="shared" si="31"/>
        <v>589.00000016000001</v>
      </c>
      <c r="W154" s="126">
        <f t="shared" si="40"/>
        <v>123.00000000000001</v>
      </c>
      <c r="X154" s="126">
        <f t="shared" si="41"/>
        <v>127.00000008000001</v>
      </c>
    </row>
    <row r="155" spans="1:24">
      <c r="A155" s="22">
        <v>43560</v>
      </c>
      <c r="B155" s="128">
        <v>1</v>
      </c>
      <c r="C155" s="128">
        <v>0</v>
      </c>
      <c r="D155" s="128">
        <v>1</v>
      </c>
      <c r="E155" s="128">
        <v>1</v>
      </c>
      <c r="F155" s="128">
        <v>1</v>
      </c>
      <c r="G155" s="128">
        <v>1</v>
      </c>
      <c r="J155" s="57" t="s">
        <v>163</v>
      </c>
      <c r="K155" s="86">
        <v>43560</v>
      </c>
      <c r="L155" s="126">
        <f t="shared" si="32"/>
        <v>116.00000008000001</v>
      </c>
      <c r="M155" s="126">
        <f t="shared" si="33"/>
        <v>45.000000080000007</v>
      </c>
      <c r="N155" s="126">
        <f t="shared" si="34"/>
        <v>115.99999999999999</v>
      </c>
      <c r="O155" s="126">
        <f t="shared" si="35"/>
        <v>83</v>
      </c>
      <c r="P155" s="126">
        <f t="shared" si="36"/>
        <v>110</v>
      </c>
      <c r="Q155" s="126">
        <f t="shared" si="37"/>
        <v>124.00000000000001</v>
      </c>
      <c r="R155" s="126">
        <f t="shared" si="38"/>
        <v>7.9999999200000076</v>
      </c>
      <c r="S155" s="1">
        <f t="shared" si="30"/>
        <v>1</v>
      </c>
      <c r="T155" s="126">
        <f t="shared" si="39"/>
        <v>7.9999999200000076</v>
      </c>
      <c r="U155" s="126">
        <f t="shared" si="31"/>
        <v>594.00000016000001</v>
      </c>
      <c r="W155" s="126">
        <f t="shared" si="40"/>
        <v>124.00000000000001</v>
      </c>
      <c r="X155" s="126">
        <f t="shared" si="41"/>
        <v>128.00000008000001</v>
      </c>
    </row>
    <row r="156" spans="1:24">
      <c r="A156" s="22">
        <v>43567</v>
      </c>
      <c r="B156" s="128">
        <v>0</v>
      </c>
      <c r="C156" s="128">
        <v>0</v>
      </c>
      <c r="D156" s="128">
        <v>1</v>
      </c>
      <c r="E156" s="128">
        <v>0</v>
      </c>
      <c r="F156" s="128">
        <v>1</v>
      </c>
      <c r="G156" s="128">
        <v>1</v>
      </c>
      <c r="K156" s="86">
        <v>43567</v>
      </c>
      <c r="L156" s="126">
        <f t="shared" si="32"/>
        <v>116.00000008000001</v>
      </c>
      <c r="M156" s="126">
        <f t="shared" si="33"/>
        <v>45.000000080000007</v>
      </c>
      <c r="N156" s="126">
        <f t="shared" si="34"/>
        <v>116.99999999999999</v>
      </c>
      <c r="O156" s="126">
        <f t="shared" si="35"/>
        <v>83</v>
      </c>
      <c r="P156" s="126">
        <f t="shared" si="36"/>
        <v>111</v>
      </c>
      <c r="Q156" s="126">
        <f t="shared" si="37"/>
        <v>125.00000000000001</v>
      </c>
      <c r="R156" s="126">
        <f t="shared" si="38"/>
        <v>8.0000000000000284</v>
      </c>
      <c r="S156" s="1">
        <f t="shared" si="30"/>
        <v>1</v>
      </c>
      <c r="T156" s="126">
        <f t="shared" si="39"/>
        <v>8.0000000000000284</v>
      </c>
      <c r="U156" s="126">
        <f t="shared" si="31"/>
        <v>597.00000016000001</v>
      </c>
      <c r="W156" s="126">
        <f t="shared" si="40"/>
        <v>125.00000000000001</v>
      </c>
      <c r="X156" s="126">
        <f t="shared" si="41"/>
        <v>128.00000008000001</v>
      </c>
    </row>
    <row r="157" spans="1:24">
      <c r="A157" s="22">
        <v>43581</v>
      </c>
      <c r="B157" s="128">
        <v>1</v>
      </c>
      <c r="C157" s="128">
        <v>0</v>
      </c>
      <c r="D157" s="128">
        <v>1</v>
      </c>
      <c r="E157" s="128">
        <v>0</v>
      </c>
      <c r="F157" s="128">
        <v>1</v>
      </c>
      <c r="G157" s="128">
        <v>1</v>
      </c>
      <c r="K157" s="86">
        <v>43581</v>
      </c>
      <c r="L157" s="126">
        <f t="shared" si="32"/>
        <v>117.00000008000001</v>
      </c>
      <c r="M157" s="126">
        <f t="shared" si="33"/>
        <v>45.000000080000007</v>
      </c>
      <c r="N157" s="126">
        <f t="shared" si="34"/>
        <v>117.99999999999999</v>
      </c>
      <c r="O157" s="126">
        <f t="shared" si="35"/>
        <v>83</v>
      </c>
      <c r="P157" s="126">
        <f t="shared" si="36"/>
        <v>112</v>
      </c>
      <c r="Q157" s="126">
        <f t="shared" si="37"/>
        <v>126.00000000000001</v>
      </c>
      <c r="R157" s="126">
        <f t="shared" si="38"/>
        <v>8.0000000000000284</v>
      </c>
      <c r="S157" s="1">
        <f t="shared" si="30"/>
        <v>1</v>
      </c>
      <c r="T157" s="126">
        <f t="shared" si="39"/>
        <v>8.0000000000000284</v>
      </c>
      <c r="U157" s="126">
        <f t="shared" si="31"/>
        <v>601.00000016000001</v>
      </c>
      <c r="W157" s="126">
        <f t="shared" si="40"/>
        <v>126.00000000000001</v>
      </c>
      <c r="X157" s="126">
        <f t="shared" si="41"/>
        <v>128.00000008000001</v>
      </c>
    </row>
    <row r="158" spans="1:24">
      <c r="A158" s="22">
        <v>43588</v>
      </c>
      <c r="B158" s="128">
        <v>1</v>
      </c>
      <c r="C158" s="128">
        <v>0</v>
      </c>
      <c r="D158" s="128">
        <v>1</v>
      </c>
      <c r="E158" s="128">
        <v>0</v>
      </c>
      <c r="F158" s="128">
        <v>1</v>
      </c>
      <c r="G158" s="128">
        <v>1</v>
      </c>
      <c r="J158" s="57" t="s">
        <v>164</v>
      </c>
      <c r="K158" s="86">
        <v>43588</v>
      </c>
      <c r="L158" s="126">
        <f t="shared" si="32"/>
        <v>118.00000008000001</v>
      </c>
      <c r="M158" s="126">
        <f t="shared" si="33"/>
        <v>45.000000080000007</v>
      </c>
      <c r="N158" s="126">
        <f t="shared" si="34"/>
        <v>118.99999999999999</v>
      </c>
      <c r="O158" s="126">
        <f t="shared" si="35"/>
        <v>83</v>
      </c>
      <c r="P158" s="126">
        <f t="shared" si="36"/>
        <v>113</v>
      </c>
      <c r="Q158" s="126">
        <f t="shared" si="37"/>
        <v>127.00000000000001</v>
      </c>
      <c r="R158" s="126">
        <f t="shared" si="38"/>
        <v>8.0000000000000284</v>
      </c>
      <c r="S158" s="1">
        <f t="shared" si="30"/>
        <v>1</v>
      </c>
      <c r="T158" s="126">
        <f t="shared" si="39"/>
        <v>8.0000000000000284</v>
      </c>
      <c r="U158" s="126">
        <f t="shared" si="31"/>
        <v>605.00000016000001</v>
      </c>
      <c r="W158" s="126">
        <f t="shared" si="40"/>
        <v>127.00000000000001</v>
      </c>
      <c r="X158" s="126">
        <f t="shared" si="41"/>
        <v>128.00000008000001</v>
      </c>
    </row>
    <row r="159" spans="1:24">
      <c r="A159" s="22">
        <v>43595</v>
      </c>
      <c r="B159" s="128">
        <v>0</v>
      </c>
      <c r="C159" s="128">
        <v>0</v>
      </c>
      <c r="D159" s="128">
        <v>1</v>
      </c>
      <c r="E159" s="128">
        <v>0</v>
      </c>
      <c r="F159" s="128">
        <v>0</v>
      </c>
      <c r="G159" s="128">
        <v>1</v>
      </c>
      <c r="J159" s="57" t="s">
        <v>165</v>
      </c>
      <c r="K159" s="86">
        <v>43595</v>
      </c>
      <c r="L159" s="126">
        <f t="shared" si="32"/>
        <v>118.00000008000001</v>
      </c>
      <c r="M159" s="126">
        <f t="shared" si="33"/>
        <v>45.000000080000007</v>
      </c>
      <c r="N159" s="126">
        <f t="shared" si="34"/>
        <v>119.99999999999999</v>
      </c>
      <c r="O159" s="126">
        <f t="shared" si="35"/>
        <v>83</v>
      </c>
      <c r="P159" s="126">
        <f t="shared" si="36"/>
        <v>113</v>
      </c>
      <c r="Q159" s="126">
        <f t="shared" si="37"/>
        <v>128</v>
      </c>
      <c r="R159" s="126">
        <f t="shared" si="38"/>
        <v>8.0000000000000142</v>
      </c>
      <c r="S159" s="1">
        <f t="shared" si="30"/>
        <v>1</v>
      </c>
      <c r="T159" s="126">
        <f t="shared" si="39"/>
        <v>8.0000000000000142</v>
      </c>
      <c r="U159" s="126">
        <f t="shared" si="31"/>
        <v>607.00000016000001</v>
      </c>
      <c r="W159" s="126">
        <f t="shared" si="40"/>
        <v>128</v>
      </c>
      <c r="X159" s="126">
        <f t="shared" si="41"/>
        <v>128.00000008000001</v>
      </c>
    </row>
    <row r="160" spans="1:24">
      <c r="A160" s="22">
        <v>43602</v>
      </c>
      <c r="B160" s="128">
        <v>0</v>
      </c>
      <c r="C160" s="128">
        <v>0</v>
      </c>
      <c r="D160" s="128">
        <v>0</v>
      </c>
      <c r="E160" s="128">
        <v>0</v>
      </c>
      <c r="F160" s="128">
        <v>0</v>
      </c>
      <c r="G160" s="128">
        <v>0</v>
      </c>
      <c r="K160" s="86">
        <v>43602</v>
      </c>
      <c r="L160" s="126">
        <f t="shared" si="32"/>
        <v>118.00000008000001</v>
      </c>
      <c r="M160" s="126">
        <f t="shared" si="33"/>
        <v>45.000000080000007</v>
      </c>
      <c r="N160" s="126">
        <f t="shared" si="34"/>
        <v>119.99999999999999</v>
      </c>
      <c r="O160" s="126">
        <f t="shared" si="35"/>
        <v>83</v>
      </c>
      <c r="P160" s="126">
        <f t="shared" si="36"/>
        <v>113</v>
      </c>
      <c r="Q160" s="126">
        <f t="shared" si="37"/>
        <v>128</v>
      </c>
      <c r="R160" s="126">
        <f t="shared" si="38"/>
        <v>8.0000000000000142</v>
      </c>
      <c r="S160" s="1">
        <f t="shared" si="30"/>
        <v>1</v>
      </c>
      <c r="T160" s="126">
        <f t="shared" si="39"/>
        <v>8.0000000000000142</v>
      </c>
      <c r="U160" s="126">
        <f t="shared" si="31"/>
        <v>607.00000016000001</v>
      </c>
      <c r="W160" s="126">
        <f t="shared" si="40"/>
        <v>128</v>
      </c>
      <c r="X160" s="126">
        <f t="shared" si="41"/>
        <v>128.00000008000001</v>
      </c>
    </row>
    <row r="161" spans="1:24">
      <c r="A161" s="22">
        <v>43609</v>
      </c>
      <c r="B161" s="128">
        <v>1</v>
      </c>
      <c r="C161" s="128">
        <v>0</v>
      </c>
      <c r="D161" s="128">
        <v>1</v>
      </c>
      <c r="E161" s="128">
        <v>1</v>
      </c>
      <c r="F161" s="128">
        <v>1</v>
      </c>
      <c r="G161" s="128">
        <v>1</v>
      </c>
      <c r="J161" s="57" t="s">
        <v>166</v>
      </c>
      <c r="K161" s="86">
        <v>43609</v>
      </c>
      <c r="L161" s="126">
        <f t="shared" si="32"/>
        <v>119.00000008000001</v>
      </c>
      <c r="M161" s="126">
        <f t="shared" si="33"/>
        <v>45.000000080000007</v>
      </c>
      <c r="N161" s="126">
        <f t="shared" si="34"/>
        <v>120.99999999999999</v>
      </c>
      <c r="O161" s="126">
        <f t="shared" si="35"/>
        <v>84</v>
      </c>
      <c r="P161" s="126">
        <f t="shared" si="36"/>
        <v>114</v>
      </c>
      <c r="Q161" s="126">
        <f t="shared" si="37"/>
        <v>129</v>
      </c>
      <c r="R161" s="126">
        <f t="shared" si="38"/>
        <v>8.0000000000000142</v>
      </c>
      <c r="S161" s="1">
        <f t="shared" si="30"/>
        <v>1</v>
      </c>
      <c r="T161" s="126">
        <f t="shared" si="39"/>
        <v>8.0000000000000142</v>
      </c>
      <c r="U161" s="126">
        <f t="shared" si="31"/>
        <v>612.00000016000001</v>
      </c>
      <c r="W161" s="126">
        <f t="shared" si="40"/>
        <v>129</v>
      </c>
      <c r="X161" s="126">
        <f t="shared" si="41"/>
        <v>129.00000008000001</v>
      </c>
    </row>
    <row r="162" spans="1:24">
      <c r="A162" s="22">
        <v>43616</v>
      </c>
      <c r="B162" s="128">
        <v>0</v>
      </c>
      <c r="C162" s="128">
        <v>0</v>
      </c>
      <c r="D162" s="128">
        <v>1</v>
      </c>
      <c r="E162" s="128">
        <v>0</v>
      </c>
      <c r="F162" s="128">
        <v>1</v>
      </c>
      <c r="G162" s="128">
        <v>0</v>
      </c>
      <c r="K162" s="86">
        <v>43616</v>
      </c>
      <c r="L162" s="126">
        <f t="shared" si="32"/>
        <v>119.00000008000001</v>
      </c>
      <c r="M162" s="126">
        <f t="shared" si="33"/>
        <v>45.000000080000007</v>
      </c>
      <c r="N162" s="126">
        <f t="shared" si="34"/>
        <v>121.99999999999999</v>
      </c>
      <c r="O162" s="126">
        <f t="shared" si="35"/>
        <v>84</v>
      </c>
      <c r="P162" s="126">
        <f t="shared" si="36"/>
        <v>115</v>
      </c>
      <c r="Q162" s="126">
        <f t="shared" si="37"/>
        <v>129</v>
      </c>
      <c r="R162" s="126">
        <f t="shared" si="38"/>
        <v>7.0000000000000142</v>
      </c>
      <c r="S162" s="1">
        <f t="shared" si="30"/>
        <v>1</v>
      </c>
      <c r="T162" s="126">
        <f t="shared" si="39"/>
        <v>7.0000000000000142</v>
      </c>
      <c r="U162" s="126">
        <f t="shared" si="31"/>
        <v>614.00000016000001</v>
      </c>
      <c r="W162" s="126">
        <f t="shared" si="40"/>
        <v>129</v>
      </c>
      <c r="X162" s="126">
        <f t="shared" si="41"/>
        <v>129.00000008000001</v>
      </c>
    </row>
    <row r="163" spans="1:24">
      <c r="A163" s="22">
        <v>43623</v>
      </c>
      <c r="B163" s="128">
        <v>1</v>
      </c>
      <c r="C163" s="128">
        <v>1</v>
      </c>
      <c r="D163" s="128">
        <v>1</v>
      </c>
      <c r="E163" s="128">
        <v>0</v>
      </c>
      <c r="F163" s="128">
        <v>1</v>
      </c>
      <c r="G163" s="128">
        <v>1</v>
      </c>
      <c r="J163" s="57" t="s">
        <v>167</v>
      </c>
      <c r="K163" s="86">
        <v>43623</v>
      </c>
      <c r="L163" s="126">
        <f t="shared" si="32"/>
        <v>120.00000008000001</v>
      </c>
      <c r="M163" s="126">
        <f t="shared" si="33"/>
        <v>46.000000080000007</v>
      </c>
      <c r="N163" s="126">
        <f t="shared" si="34"/>
        <v>122.99999999999999</v>
      </c>
      <c r="O163" s="126">
        <f t="shared" si="35"/>
        <v>84</v>
      </c>
      <c r="P163" s="126">
        <f t="shared" si="36"/>
        <v>116</v>
      </c>
      <c r="Q163" s="126">
        <f t="shared" si="37"/>
        <v>130</v>
      </c>
      <c r="R163" s="126">
        <f t="shared" si="38"/>
        <v>7.0000000000000142</v>
      </c>
      <c r="S163" s="1">
        <f t="shared" si="30"/>
        <v>1</v>
      </c>
      <c r="T163" s="126">
        <f t="shared" si="39"/>
        <v>7.0000000000000142</v>
      </c>
      <c r="U163" s="126">
        <f t="shared" si="31"/>
        <v>619.00000016000001</v>
      </c>
      <c r="W163" s="126">
        <f t="shared" si="40"/>
        <v>130</v>
      </c>
      <c r="X163" s="126">
        <f t="shared" si="41"/>
        <v>130.00000008000001</v>
      </c>
    </row>
    <row r="164" spans="1:24">
      <c r="A164" s="22">
        <v>43630</v>
      </c>
      <c r="B164" s="128">
        <v>1</v>
      </c>
      <c r="C164" s="128">
        <v>0</v>
      </c>
      <c r="D164" s="128">
        <v>1</v>
      </c>
      <c r="E164" s="128">
        <v>0</v>
      </c>
      <c r="F164" s="128">
        <v>0</v>
      </c>
      <c r="G164" s="128">
        <v>1</v>
      </c>
      <c r="J164" s="57" t="s">
        <v>168</v>
      </c>
      <c r="K164" s="86">
        <v>43630</v>
      </c>
      <c r="L164" s="126">
        <f t="shared" si="32"/>
        <v>121.00000008000001</v>
      </c>
      <c r="M164" s="126">
        <f t="shared" si="33"/>
        <v>46.000000080000007</v>
      </c>
      <c r="N164" s="126">
        <f t="shared" si="34"/>
        <v>123.99999999999999</v>
      </c>
      <c r="O164" s="126">
        <f t="shared" si="35"/>
        <v>84</v>
      </c>
      <c r="P164" s="126">
        <f t="shared" si="36"/>
        <v>116</v>
      </c>
      <c r="Q164" s="126">
        <f t="shared" si="37"/>
        <v>131</v>
      </c>
      <c r="R164" s="126">
        <f t="shared" si="38"/>
        <v>7.0000000000000142</v>
      </c>
      <c r="S164" s="1">
        <f t="shared" si="30"/>
        <v>1</v>
      </c>
      <c r="T164" s="126">
        <f t="shared" si="39"/>
        <v>7.0000000000000142</v>
      </c>
      <c r="U164" s="126">
        <f t="shared" si="31"/>
        <v>622.00000016000001</v>
      </c>
      <c r="W164" s="126">
        <f t="shared" si="40"/>
        <v>131</v>
      </c>
      <c r="X164" s="126">
        <f t="shared" si="41"/>
        <v>130.00000008000001</v>
      </c>
    </row>
    <row r="165" spans="1:24">
      <c r="A165" s="22">
        <v>43637</v>
      </c>
      <c r="B165" s="128">
        <v>1</v>
      </c>
      <c r="C165" s="128">
        <v>0</v>
      </c>
      <c r="D165" s="128">
        <v>1</v>
      </c>
      <c r="E165" s="128">
        <v>0</v>
      </c>
      <c r="F165" s="128">
        <v>0</v>
      </c>
      <c r="G165" s="128">
        <v>1</v>
      </c>
      <c r="J165" s="57" t="s">
        <v>169</v>
      </c>
      <c r="K165" s="86">
        <v>43637</v>
      </c>
      <c r="L165" s="126">
        <f t="shared" si="32"/>
        <v>122.00000008000001</v>
      </c>
      <c r="M165" s="126">
        <f t="shared" si="33"/>
        <v>46.000000080000007</v>
      </c>
      <c r="N165" s="126">
        <f t="shared" si="34"/>
        <v>124.99999999999999</v>
      </c>
      <c r="O165" s="126">
        <f t="shared" si="35"/>
        <v>84</v>
      </c>
      <c r="P165" s="126">
        <f t="shared" si="36"/>
        <v>116</v>
      </c>
      <c r="Q165" s="126">
        <f t="shared" si="37"/>
        <v>132</v>
      </c>
      <c r="R165" s="126">
        <f t="shared" si="38"/>
        <v>7.0000000000000142</v>
      </c>
      <c r="S165" s="1">
        <f t="shared" si="30"/>
        <v>1</v>
      </c>
      <c r="T165" s="126">
        <f t="shared" si="39"/>
        <v>7.0000000000000142</v>
      </c>
      <c r="U165" s="126">
        <f t="shared" si="31"/>
        <v>625.00000016000001</v>
      </c>
      <c r="W165" s="126">
        <f t="shared" si="40"/>
        <v>132</v>
      </c>
      <c r="X165" s="126">
        <f t="shared" si="41"/>
        <v>130.00000008000001</v>
      </c>
    </row>
    <row r="166" spans="1:24">
      <c r="A166" s="22">
        <v>43644</v>
      </c>
      <c r="B166" s="128">
        <v>1</v>
      </c>
      <c r="C166" s="128">
        <v>0</v>
      </c>
      <c r="D166" s="128">
        <v>1</v>
      </c>
      <c r="E166" s="128">
        <v>1</v>
      </c>
      <c r="F166" s="128">
        <v>1</v>
      </c>
      <c r="G166" s="128">
        <v>1</v>
      </c>
      <c r="J166" s="57" t="s">
        <v>170</v>
      </c>
      <c r="K166" s="86">
        <v>43644</v>
      </c>
      <c r="L166" s="126">
        <f t="shared" si="32"/>
        <v>123.00000008000001</v>
      </c>
      <c r="M166" s="126">
        <f t="shared" si="33"/>
        <v>46.000000080000007</v>
      </c>
      <c r="N166" s="126">
        <f t="shared" si="34"/>
        <v>125.99999999999999</v>
      </c>
      <c r="O166" s="126">
        <f t="shared" si="35"/>
        <v>85</v>
      </c>
      <c r="P166" s="126">
        <f t="shared" si="36"/>
        <v>117</v>
      </c>
      <c r="Q166" s="126">
        <f t="shared" si="37"/>
        <v>133</v>
      </c>
      <c r="R166" s="126">
        <f t="shared" si="38"/>
        <v>7.0000000000000142</v>
      </c>
      <c r="S166" s="1">
        <f t="shared" si="30"/>
        <v>1</v>
      </c>
      <c r="T166" s="126">
        <f t="shared" si="39"/>
        <v>7.0000000000000142</v>
      </c>
      <c r="U166" s="126">
        <f t="shared" si="31"/>
        <v>630.00000016000001</v>
      </c>
      <c r="W166" s="126">
        <f t="shared" si="40"/>
        <v>133</v>
      </c>
      <c r="X166" s="126">
        <f t="shared" si="41"/>
        <v>131.00000008000001</v>
      </c>
    </row>
    <row r="167" spans="1:24">
      <c r="A167" s="22">
        <v>43651</v>
      </c>
      <c r="B167" s="128">
        <v>1</v>
      </c>
      <c r="C167" s="128">
        <v>0</v>
      </c>
      <c r="D167" s="128">
        <v>0</v>
      </c>
      <c r="E167" s="128">
        <v>0</v>
      </c>
      <c r="F167" s="128">
        <v>1</v>
      </c>
      <c r="G167" s="128">
        <v>0</v>
      </c>
      <c r="J167" s="57" t="s">
        <v>171</v>
      </c>
      <c r="K167" s="86">
        <v>43651</v>
      </c>
      <c r="L167" s="126">
        <f t="shared" si="32"/>
        <v>124.00000008000001</v>
      </c>
      <c r="M167" s="126">
        <f t="shared" si="33"/>
        <v>46.000000080000007</v>
      </c>
      <c r="N167" s="126">
        <f t="shared" si="34"/>
        <v>125.99999999999999</v>
      </c>
      <c r="O167" s="126">
        <f t="shared" si="35"/>
        <v>85</v>
      </c>
      <c r="P167" s="126">
        <f t="shared" si="36"/>
        <v>118</v>
      </c>
      <c r="Q167" s="126">
        <f t="shared" si="37"/>
        <v>133</v>
      </c>
      <c r="R167" s="126">
        <f t="shared" si="38"/>
        <v>7.0000000000000142</v>
      </c>
      <c r="S167" s="1">
        <f t="shared" si="30"/>
        <v>1</v>
      </c>
      <c r="T167" s="126">
        <f t="shared" si="39"/>
        <v>7.0000000000000142</v>
      </c>
      <c r="U167" s="126">
        <f t="shared" si="31"/>
        <v>632.00000016000001</v>
      </c>
      <c r="W167" s="126">
        <f t="shared" si="40"/>
        <v>133</v>
      </c>
      <c r="X167" s="126">
        <f t="shared" si="41"/>
        <v>131.00000008000001</v>
      </c>
    </row>
    <row r="168" spans="1:24">
      <c r="A168" s="22">
        <v>43658</v>
      </c>
      <c r="B168" s="128">
        <v>0</v>
      </c>
      <c r="C168" s="128">
        <v>0</v>
      </c>
      <c r="D168" s="128">
        <v>0</v>
      </c>
      <c r="E168" s="128">
        <v>0</v>
      </c>
      <c r="F168" s="128">
        <v>1</v>
      </c>
      <c r="G168" s="128">
        <v>0</v>
      </c>
      <c r="J168" s="57" t="s">
        <v>172</v>
      </c>
      <c r="K168" s="86">
        <v>43658</v>
      </c>
      <c r="L168" s="126">
        <f t="shared" si="32"/>
        <v>124.00000008000001</v>
      </c>
      <c r="M168" s="126">
        <f t="shared" si="33"/>
        <v>46.000000080000007</v>
      </c>
      <c r="N168" s="126">
        <f t="shared" si="34"/>
        <v>125.99999999999999</v>
      </c>
      <c r="O168" s="126">
        <f t="shared" si="35"/>
        <v>85</v>
      </c>
      <c r="P168" s="126">
        <f t="shared" si="36"/>
        <v>119</v>
      </c>
      <c r="Q168" s="126">
        <f t="shared" si="37"/>
        <v>133</v>
      </c>
      <c r="R168" s="126">
        <f t="shared" si="38"/>
        <v>7.0000000000000142</v>
      </c>
      <c r="S168" s="1">
        <f t="shared" si="30"/>
        <v>1</v>
      </c>
      <c r="T168" s="126">
        <f t="shared" si="39"/>
        <v>7.0000000000000142</v>
      </c>
      <c r="U168" s="126">
        <f t="shared" si="31"/>
        <v>633.00000016000001</v>
      </c>
      <c r="W168" s="126">
        <f t="shared" si="40"/>
        <v>133</v>
      </c>
      <c r="X168" s="126">
        <f t="shared" si="41"/>
        <v>131.00000008000001</v>
      </c>
    </row>
    <row r="169" spans="1:24">
      <c r="A169" s="22">
        <v>43665</v>
      </c>
      <c r="B169" s="128">
        <v>1</v>
      </c>
      <c r="C169" s="128">
        <v>0</v>
      </c>
      <c r="D169" s="128">
        <v>0</v>
      </c>
      <c r="E169" s="128">
        <v>0</v>
      </c>
      <c r="F169" s="128">
        <v>1</v>
      </c>
      <c r="G169" s="128">
        <v>1</v>
      </c>
      <c r="J169" s="57" t="s">
        <v>173</v>
      </c>
      <c r="K169" s="86">
        <v>43665</v>
      </c>
      <c r="L169" s="126">
        <f t="shared" si="32"/>
        <v>125.00000008000001</v>
      </c>
      <c r="M169" s="126">
        <f t="shared" si="33"/>
        <v>46.000000080000007</v>
      </c>
      <c r="N169" s="126">
        <f t="shared" si="34"/>
        <v>125.99999999999999</v>
      </c>
      <c r="O169" s="126">
        <f t="shared" si="35"/>
        <v>85</v>
      </c>
      <c r="P169" s="126">
        <f t="shared" si="36"/>
        <v>120</v>
      </c>
      <c r="Q169" s="126">
        <f t="shared" si="37"/>
        <v>134</v>
      </c>
      <c r="R169" s="126">
        <f t="shared" si="38"/>
        <v>8.0000000000000142</v>
      </c>
      <c r="S169" s="1">
        <f t="shared" si="30"/>
        <v>1</v>
      </c>
      <c r="T169" s="126">
        <f t="shared" si="39"/>
        <v>8.0000000000000142</v>
      </c>
      <c r="U169" s="126">
        <f t="shared" si="31"/>
        <v>636.00000016000001</v>
      </c>
      <c r="W169" s="126">
        <f t="shared" si="40"/>
        <v>134</v>
      </c>
      <c r="X169" s="126">
        <f t="shared" si="41"/>
        <v>131.00000008000001</v>
      </c>
    </row>
    <row r="170" spans="1:24">
      <c r="A170" s="22">
        <v>43672</v>
      </c>
      <c r="B170" s="128">
        <v>1</v>
      </c>
      <c r="C170" s="128">
        <v>0</v>
      </c>
      <c r="D170" s="128">
        <v>1</v>
      </c>
      <c r="E170" s="128">
        <v>1</v>
      </c>
      <c r="F170" s="128">
        <v>1</v>
      </c>
      <c r="G170" s="128">
        <v>0</v>
      </c>
      <c r="K170" s="86">
        <v>43672</v>
      </c>
      <c r="L170" s="126">
        <f t="shared" si="32"/>
        <v>126.00000008000001</v>
      </c>
      <c r="M170" s="126">
        <f t="shared" si="33"/>
        <v>46.000000080000007</v>
      </c>
      <c r="N170" s="126">
        <f t="shared" si="34"/>
        <v>126.99999999999999</v>
      </c>
      <c r="O170" s="126">
        <f t="shared" si="35"/>
        <v>86</v>
      </c>
      <c r="P170" s="126">
        <f t="shared" si="36"/>
        <v>121</v>
      </c>
      <c r="Q170" s="126">
        <f t="shared" si="37"/>
        <v>134</v>
      </c>
      <c r="R170" s="126">
        <f t="shared" si="38"/>
        <v>7.0000000000000142</v>
      </c>
      <c r="S170" s="1">
        <f t="shared" si="30"/>
        <v>1</v>
      </c>
      <c r="T170" s="126">
        <f t="shared" si="39"/>
        <v>7.0000000000000142</v>
      </c>
      <c r="U170" s="126">
        <f t="shared" si="31"/>
        <v>640.00000016000001</v>
      </c>
      <c r="W170" s="126">
        <f t="shared" si="40"/>
        <v>134</v>
      </c>
      <c r="X170" s="126">
        <f t="shared" si="41"/>
        <v>132.00000008000001</v>
      </c>
    </row>
    <row r="171" spans="1:24">
      <c r="A171" s="22">
        <v>43679</v>
      </c>
      <c r="B171" s="128">
        <v>1</v>
      </c>
      <c r="C171" s="128">
        <v>0</v>
      </c>
      <c r="D171" s="128">
        <v>1</v>
      </c>
      <c r="E171" s="128">
        <v>0</v>
      </c>
      <c r="F171" s="128">
        <v>0</v>
      </c>
      <c r="G171" s="128">
        <v>1</v>
      </c>
      <c r="K171" s="86">
        <v>43679</v>
      </c>
      <c r="L171" s="126">
        <f t="shared" si="32"/>
        <v>127.00000008000001</v>
      </c>
      <c r="M171" s="126">
        <f t="shared" si="33"/>
        <v>46.000000080000007</v>
      </c>
      <c r="N171" s="126">
        <f t="shared" si="34"/>
        <v>127.99999999999999</v>
      </c>
      <c r="O171" s="126">
        <f t="shared" si="35"/>
        <v>86</v>
      </c>
      <c r="P171" s="126">
        <f t="shared" si="36"/>
        <v>121</v>
      </c>
      <c r="Q171" s="126">
        <f t="shared" si="37"/>
        <v>135</v>
      </c>
      <c r="R171" s="126">
        <f t="shared" si="38"/>
        <v>7.0000000000000142</v>
      </c>
      <c r="S171" s="1">
        <f t="shared" si="30"/>
        <v>1</v>
      </c>
      <c r="T171" s="126">
        <f t="shared" si="39"/>
        <v>7.0000000000000142</v>
      </c>
      <c r="U171" s="126">
        <f t="shared" si="31"/>
        <v>643.00000016000001</v>
      </c>
      <c r="W171" s="126">
        <f t="shared" si="40"/>
        <v>135</v>
      </c>
      <c r="X171" s="126">
        <f t="shared" si="41"/>
        <v>132.00000008000001</v>
      </c>
    </row>
    <row r="172" spans="1:24">
      <c r="A172" s="22">
        <v>43686</v>
      </c>
      <c r="B172" s="128">
        <v>1</v>
      </c>
      <c r="C172" s="128">
        <v>0</v>
      </c>
      <c r="D172" s="128">
        <v>1</v>
      </c>
      <c r="E172" s="128">
        <v>1</v>
      </c>
      <c r="F172" s="128">
        <v>1</v>
      </c>
      <c r="G172" s="128">
        <v>1</v>
      </c>
      <c r="J172" s="57" t="s">
        <v>174</v>
      </c>
      <c r="K172" s="86">
        <v>43686</v>
      </c>
      <c r="L172" s="126">
        <f t="shared" si="32"/>
        <v>128.00000008000001</v>
      </c>
      <c r="M172" s="126">
        <f t="shared" si="33"/>
        <v>46.000000080000007</v>
      </c>
      <c r="N172" s="126">
        <f t="shared" si="34"/>
        <v>129</v>
      </c>
      <c r="O172" s="126">
        <f t="shared" si="35"/>
        <v>87</v>
      </c>
      <c r="P172" s="126">
        <f t="shared" si="36"/>
        <v>122</v>
      </c>
      <c r="Q172" s="126">
        <f t="shared" si="37"/>
        <v>136</v>
      </c>
      <c r="R172" s="126">
        <f t="shared" si="38"/>
        <v>7</v>
      </c>
      <c r="S172" s="1">
        <f t="shared" si="30"/>
        <v>1</v>
      </c>
      <c r="T172" s="126">
        <f t="shared" si="39"/>
        <v>7</v>
      </c>
      <c r="U172" s="126">
        <f t="shared" si="31"/>
        <v>648.00000016000001</v>
      </c>
      <c r="W172" s="126">
        <f t="shared" si="40"/>
        <v>136</v>
      </c>
      <c r="X172" s="126">
        <f t="shared" si="41"/>
        <v>133.00000008000001</v>
      </c>
    </row>
    <row r="173" spans="1:24">
      <c r="A173" s="22">
        <v>43693</v>
      </c>
      <c r="B173" s="128">
        <v>1</v>
      </c>
      <c r="C173" s="128">
        <v>0</v>
      </c>
      <c r="D173" s="128">
        <v>1</v>
      </c>
      <c r="E173" s="128">
        <v>0</v>
      </c>
      <c r="F173" s="128">
        <v>1</v>
      </c>
      <c r="G173" s="128">
        <v>1</v>
      </c>
      <c r="J173" s="57" t="s">
        <v>175</v>
      </c>
      <c r="K173" s="86">
        <v>43693</v>
      </c>
      <c r="L173" s="126">
        <f t="shared" si="32"/>
        <v>129.00000008000001</v>
      </c>
      <c r="M173" s="126">
        <f t="shared" si="33"/>
        <v>46.000000080000007</v>
      </c>
      <c r="N173" s="126">
        <f t="shared" si="34"/>
        <v>130</v>
      </c>
      <c r="O173" s="126">
        <f t="shared" si="35"/>
        <v>87</v>
      </c>
      <c r="P173" s="126">
        <f t="shared" si="36"/>
        <v>123</v>
      </c>
      <c r="Q173" s="126">
        <f t="shared" si="37"/>
        <v>137</v>
      </c>
      <c r="R173" s="126">
        <f t="shared" si="38"/>
        <v>7</v>
      </c>
      <c r="S173" s="1">
        <f t="shared" si="30"/>
        <v>1</v>
      </c>
      <c r="T173" s="126">
        <f t="shared" si="39"/>
        <v>7</v>
      </c>
      <c r="U173" s="126">
        <f t="shared" si="31"/>
        <v>652.00000016000001</v>
      </c>
      <c r="W173" s="126">
        <f t="shared" si="40"/>
        <v>137</v>
      </c>
      <c r="X173" s="126">
        <f t="shared" si="41"/>
        <v>133.00000008000001</v>
      </c>
    </row>
    <row r="174" spans="1:24">
      <c r="A174" s="22">
        <v>43700</v>
      </c>
      <c r="B174" s="128">
        <v>1</v>
      </c>
      <c r="C174" s="128">
        <v>0</v>
      </c>
      <c r="D174" s="128">
        <v>1</v>
      </c>
      <c r="E174" s="128">
        <v>0</v>
      </c>
      <c r="F174" s="128">
        <v>1</v>
      </c>
      <c r="G174" s="128">
        <v>1</v>
      </c>
      <c r="J174" s="57" t="s">
        <v>176</v>
      </c>
      <c r="K174" s="86">
        <v>43700</v>
      </c>
      <c r="L174" s="126">
        <f t="shared" si="32"/>
        <v>130.00000008000001</v>
      </c>
      <c r="M174" s="126">
        <f t="shared" si="33"/>
        <v>46.000000080000007</v>
      </c>
      <c r="N174" s="126">
        <f t="shared" si="34"/>
        <v>131</v>
      </c>
      <c r="O174" s="126">
        <f t="shared" si="35"/>
        <v>87</v>
      </c>
      <c r="P174" s="126">
        <f t="shared" si="36"/>
        <v>124</v>
      </c>
      <c r="Q174" s="126">
        <f t="shared" si="37"/>
        <v>138</v>
      </c>
      <c r="R174" s="126">
        <f t="shared" si="38"/>
        <v>7</v>
      </c>
      <c r="S174" s="1">
        <f t="shared" si="30"/>
        <v>1</v>
      </c>
      <c r="T174" s="126">
        <f t="shared" si="39"/>
        <v>7</v>
      </c>
      <c r="U174" s="126">
        <f t="shared" si="31"/>
        <v>656.00000016000001</v>
      </c>
      <c r="W174" s="126">
        <f t="shared" si="40"/>
        <v>138</v>
      </c>
      <c r="X174" s="126">
        <f t="shared" si="41"/>
        <v>133.00000008000001</v>
      </c>
    </row>
    <row r="175" spans="1:24">
      <c r="A175" s="22">
        <v>43707</v>
      </c>
      <c r="B175" s="128">
        <v>0</v>
      </c>
      <c r="C175" s="128">
        <v>0</v>
      </c>
      <c r="D175" s="128">
        <v>1</v>
      </c>
      <c r="E175" s="128">
        <v>1</v>
      </c>
      <c r="F175" s="128">
        <v>1</v>
      </c>
      <c r="G175" s="128">
        <v>1</v>
      </c>
      <c r="J175" s="57" t="s">
        <v>177</v>
      </c>
      <c r="K175" s="86">
        <v>43707</v>
      </c>
      <c r="L175" s="126">
        <f t="shared" si="32"/>
        <v>130.00000008000001</v>
      </c>
      <c r="M175" s="126">
        <f t="shared" si="33"/>
        <v>46.000000080000007</v>
      </c>
      <c r="N175" s="126">
        <f t="shared" si="34"/>
        <v>132</v>
      </c>
      <c r="O175" s="126">
        <f t="shared" si="35"/>
        <v>88</v>
      </c>
      <c r="P175" s="126">
        <f t="shared" si="36"/>
        <v>125</v>
      </c>
      <c r="Q175" s="126">
        <f t="shared" si="37"/>
        <v>139</v>
      </c>
      <c r="R175" s="126">
        <f t="shared" si="38"/>
        <v>7</v>
      </c>
      <c r="S175" s="1">
        <f t="shared" ref="S175:S233" si="42">IF(Q175&gt;L175,1,0)</f>
        <v>1</v>
      </c>
      <c r="T175" s="126">
        <f t="shared" si="39"/>
        <v>7</v>
      </c>
      <c r="U175" s="126">
        <f t="shared" si="31"/>
        <v>660.00000016000001</v>
      </c>
      <c r="W175" s="126">
        <f t="shared" si="40"/>
        <v>139</v>
      </c>
      <c r="X175" s="126">
        <f t="shared" si="41"/>
        <v>134.00000008000001</v>
      </c>
    </row>
    <row r="176" spans="1:24">
      <c r="A176" s="22">
        <v>43714</v>
      </c>
      <c r="B176" s="128">
        <v>0</v>
      </c>
      <c r="C176" s="128">
        <v>0</v>
      </c>
      <c r="D176" s="128">
        <v>1</v>
      </c>
      <c r="E176" s="128">
        <v>0</v>
      </c>
      <c r="F176" s="128">
        <v>0</v>
      </c>
      <c r="G176" s="128">
        <v>1</v>
      </c>
      <c r="J176" s="57" t="s">
        <v>178</v>
      </c>
      <c r="K176" s="86">
        <v>43714</v>
      </c>
      <c r="L176" s="126">
        <f t="shared" si="32"/>
        <v>130.00000008000001</v>
      </c>
      <c r="M176" s="126">
        <f t="shared" si="33"/>
        <v>46.000000080000007</v>
      </c>
      <c r="N176" s="126">
        <f t="shared" si="34"/>
        <v>133</v>
      </c>
      <c r="O176" s="126">
        <f t="shared" si="35"/>
        <v>88</v>
      </c>
      <c r="P176" s="126">
        <f t="shared" si="36"/>
        <v>125</v>
      </c>
      <c r="Q176" s="126">
        <f t="shared" si="37"/>
        <v>140</v>
      </c>
      <c r="R176" s="126">
        <f t="shared" si="38"/>
        <v>7</v>
      </c>
      <c r="S176" s="1">
        <f t="shared" si="42"/>
        <v>1</v>
      </c>
      <c r="T176" s="126">
        <f t="shared" si="39"/>
        <v>7</v>
      </c>
      <c r="U176" s="126">
        <f t="shared" si="31"/>
        <v>662.00000016000001</v>
      </c>
      <c r="W176" s="126">
        <f t="shared" si="40"/>
        <v>140</v>
      </c>
      <c r="X176" s="126">
        <f t="shared" si="41"/>
        <v>134.00000008000001</v>
      </c>
    </row>
    <row r="177" spans="1:24">
      <c r="A177" s="22">
        <v>43721</v>
      </c>
      <c r="B177" s="128">
        <v>1</v>
      </c>
      <c r="C177" s="128">
        <v>0</v>
      </c>
      <c r="D177" s="128">
        <v>1</v>
      </c>
      <c r="E177" s="128">
        <v>0</v>
      </c>
      <c r="F177" s="128">
        <v>1</v>
      </c>
      <c r="G177" s="128">
        <v>0</v>
      </c>
      <c r="K177" s="86">
        <v>43721</v>
      </c>
      <c r="L177" s="126">
        <f t="shared" si="32"/>
        <v>131.00000008000001</v>
      </c>
      <c r="M177" s="126">
        <f t="shared" si="33"/>
        <v>46.000000080000007</v>
      </c>
      <c r="N177" s="126">
        <f t="shared" si="34"/>
        <v>134</v>
      </c>
      <c r="O177" s="126">
        <f t="shared" si="35"/>
        <v>88</v>
      </c>
      <c r="P177" s="126">
        <f t="shared" si="36"/>
        <v>126</v>
      </c>
      <c r="Q177" s="126">
        <f t="shared" si="37"/>
        <v>140</v>
      </c>
      <c r="R177" s="126">
        <f t="shared" si="38"/>
        <v>6</v>
      </c>
      <c r="S177" s="1">
        <f t="shared" si="42"/>
        <v>1</v>
      </c>
      <c r="T177" s="126">
        <f t="shared" si="39"/>
        <v>6</v>
      </c>
      <c r="U177" s="126">
        <f t="shared" si="31"/>
        <v>665.00000016000001</v>
      </c>
      <c r="W177" s="126">
        <f t="shared" si="40"/>
        <v>140</v>
      </c>
      <c r="X177" s="126">
        <f t="shared" si="41"/>
        <v>134.00000008000001</v>
      </c>
    </row>
    <row r="178" spans="1:24">
      <c r="A178" s="22">
        <v>43728</v>
      </c>
      <c r="B178" s="128">
        <v>1</v>
      </c>
      <c r="C178" s="128">
        <v>0</v>
      </c>
      <c r="D178" s="128">
        <v>0</v>
      </c>
      <c r="E178" s="128">
        <v>0</v>
      </c>
      <c r="F178" s="128">
        <v>1</v>
      </c>
      <c r="G178" s="128">
        <v>1</v>
      </c>
      <c r="J178" s="57" t="s">
        <v>179</v>
      </c>
      <c r="K178" s="86">
        <v>43728</v>
      </c>
      <c r="L178" s="126">
        <f t="shared" si="32"/>
        <v>132.00000008000001</v>
      </c>
      <c r="M178" s="126">
        <f t="shared" si="33"/>
        <v>46.000000080000007</v>
      </c>
      <c r="N178" s="126">
        <f t="shared" si="34"/>
        <v>134</v>
      </c>
      <c r="O178" s="126">
        <f t="shared" si="35"/>
        <v>88</v>
      </c>
      <c r="P178" s="126">
        <f t="shared" si="36"/>
        <v>127</v>
      </c>
      <c r="Q178" s="126">
        <f t="shared" si="37"/>
        <v>141</v>
      </c>
      <c r="R178" s="126">
        <f t="shared" si="38"/>
        <v>7</v>
      </c>
      <c r="S178" s="1">
        <f t="shared" si="42"/>
        <v>1</v>
      </c>
      <c r="T178" s="126">
        <f t="shared" si="39"/>
        <v>7</v>
      </c>
      <c r="U178" s="126">
        <f t="shared" si="31"/>
        <v>668.00000016000001</v>
      </c>
      <c r="W178" s="126">
        <f t="shared" si="40"/>
        <v>141</v>
      </c>
      <c r="X178" s="126">
        <f t="shared" si="41"/>
        <v>134.00000008000001</v>
      </c>
    </row>
    <row r="179" spans="1:24">
      <c r="A179" s="22">
        <v>43735</v>
      </c>
      <c r="B179" s="128">
        <v>1</v>
      </c>
      <c r="C179" s="128">
        <v>0</v>
      </c>
      <c r="D179" s="128">
        <v>1</v>
      </c>
      <c r="E179" s="128">
        <v>1</v>
      </c>
      <c r="F179" s="128">
        <v>1</v>
      </c>
      <c r="G179" s="128">
        <v>1</v>
      </c>
      <c r="J179" s="57" t="s">
        <v>180</v>
      </c>
      <c r="K179" s="86">
        <v>43735</v>
      </c>
      <c r="L179" s="126">
        <f t="shared" si="32"/>
        <v>133.00000008000001</v>
      </c>
      <c r="M179" s="126">
        <f t="shared" si="33"/>
        <v>46.000000080000007</v>
      </c>
      <c r="N179" s="126">
        <f t="shared" si="34"/>
        <v>135</v>
      </c>
      <c r="O179" s="126">
        <f t="shared" si="35"/>
        <v>89</v>
      </c>
      <c r="P179" s="126">
        <f t="shared" si="36"/>
        <v>128</v>
      </c>
      <c r="Q179" s="126">
        <f t="shared" si="37"/>
        <v>142</v>
      </c>
      <c r="R179" s="126">
        <f t="shared" si="38"/>
        <v>7</v>
      </c>
      <c r="S179" s="1">
        <f t="shared" si="42"/>
        <v>1</v>
      </c>
      <c r="T179" s="126">
        <f t="shared" si="39"/>
        <v>7</v>
      </c>
      <c r="U179" s="126">
        <f t="shared" si="31"/>
        <v>673.00000016000001</v>
      </c>
      <c r="W179" s="126">
        <f t="shared" si="40"/>
        <v>142</v>
      </c>
      <c r="X179" s="126">
        <f t="shared" si="41"/>
        <v>135.00000008000001</v>
      </c>
    </row>
    <row r="180" spans="1:24">
      <c r="A180" s="22">
        <v>43742</v>
      </c>
      <c r="B180" s="128">
        <v>1</v>
      </c>
      <c r="C180" s="128">
        <v>0</v>
      </c>
      <c r="D180" s="128">
        <v>1</v>
      </c>
      <c r="E180" s="128">
        <v>0</v>
      </c>
      <c r="F180" s="128">
        <v>1</v>
      </c>
      <c r="G180" s="128">
        <v>1</v>
      </c>
      <c r="J180" s="57" t="s">
        <v>181</v>
      </c>
      <c r="K180" s="86">
        <v>43742</v>
      </c>
      <c r="L180" s="126">
        <f t="shared" si="32"/>
        <v>134.00000008000001</v>
      </c>
      <c r="M180" s="126">
        <f t="shared" si="33"/>
        <v>46.000000080000007</v>
      </c>
      <c r="N180" s="126">
        <f t="shared" si="34"/>
        <v>136</v>
      </c>
      <c r="O180" s="126">
        <f t="shared" si="35"/>
        <v>89</v>
      </c>
      <c r="P180" s="126">
        <f t="shared" si="36"/>
        <v>129</v>
      </c>
      <c r="Q180" s="126">
        <f t="shared" si="37"/>
        <v>143</v>
      </c>
      <c r="R180" s="126">
        <f t="shared" si="38"/>
        <v>7</v>
      </c>
      <c r="S180" s="1">
        <f t="shared" si="42"/>
        <v>1</v>
      </c>
      <c r="T180" s="126">
        <f t="shared" si="39"/>
        <v>7</v>
      </c>
      <c r="U180" s="126">
        <f t="shared" si="31"/>
        <v>677.00000016000001</v>
      </c>
      <c r="W180" s="126">
        <f t="shared" si="40"/>
        <v>143</v>
      </c>
      <c r="X180" s="126">
        <f t="shared" si="41"/>
        <v>135.00000008000001</v>
      </c>
    </row>
    <row r="181" spans="1:24">
      <c r="A181" s="22">
        <v>43749</v>
      </c>
      <c r="B181" s="128">
        <v>1</v>
      </c>
      <c r="C181" s="128">
        <v>0</v>
      </c>
      <c r="D181" s="128">
        <v>1</v>
      </c>
      <c r="E181" s="128">
        <v>1</v>
      </c>
      <c r="F181" s="128">
        <v>0</v>
      </c>
      <c r="G181" s="128">
        <v>1</v>
      </c>
      <c r="J181" s="57" t="s">
        <v>182</v>
      </c>
      <c r="K181" s="86">
        <v>43749</v>
      </c>
      <c r="L181" s="126">
        <f t="shared" si="32"/>
        <v>135.00000008000001</v>
      </c>
      <c r="M181" s="126">
        <f t="shared" si="33"/>
        <v>46.000000080000007</v>
      </c>
      <c r="N181" s="126">
        <f t="shared" si="34"/>
        <v>137</v>
      </c>
      <c r="O181" s="126">
        <f t="shared" si="35"/>
        <v>90</v>
      </c>
      <c r="P181" s="126">
        <f t="shared" si="36"/>
        <v>129</v>
      </c>
      <c r="Q181" s="126">
        <f t="shared" si="37"/>
        <v>144</v>
      </c>
      <c r="R181" s="126">
        <f t="shared" si="38"/>
        <v>7</v>
      </c>
      <c r="S181" s="1">
        <f t="shared" si="42"/>
        <v>1</v>
      </c>
      <c r="T181" s="126">
        <f t="shared" si="39"/>
        <v>7</v>
      </c>
      <c r="U181" s="126">
        <f t="shared" si="31"/>
        <v>681.00000016000001</v>
      </c>
      <c r="W181" s="126">
        <f t="shared" si="40"/>
        <v>144</v>
      </c>
      <c r="X181" s="126">
        <f t="shared" si="41"/>
        <v>136.00000008000001</v>
      </c>
    </row>
    <row r="182" spans="1:24">
      <c r="A182" s="22">
        <v>43756</v>
      </c>
      <c r="B182" s="128">
        <v>0</v>
      </c>
      <c r="C182" s="128">
        <v>0</v>
      </c>
      <c r="D182" s="128">
        <v>1</v>
      </c>
      <c r="E182" s="128">
        <v>0</v>
      </c>
      <c r="F182" s="128">
        <v>1</v>
      </c>
      <c r="G182" s="128">
        <v>1</v>
      </c>
      <c r="J182" s="57" t="s">
        <v>183</v>
      </c>
      <c r="K182" s="86">
        <v>43756</v>
      </c>
      <c r="L182" s="126">
        <f t="shared" si="32"/>
        <v>135.00000008000001</v>
      </c>
      <c r="M182" s="126">
        <f t="shared" si="33"/>
        <v>46.000000080000007</v>
      </c>
      <c r="N182" s="126">
        <f t="shared" si="34"/>
        <v>138</v>
      </c>
      <c r="O182" s="126">
        <f t="shared" si="35"/>
        <v>90</v>
      </c>
      <c r="P182" s="126">
        <f t="shared" si="36"/>
        <v>130</v>
      </c>
      <c r="Q182" s="126">
        <f t="shared" si="37"/>
        <v>145</v>
      </c>
      <c r="R182" s="126">
        <f t="shared" si="38"/>
        <v>7</v>
      </c>
      <c r="S182" s="1">
        <f t="shared" si="42"/>
        <v>1</v>
      </c>
      <c r="T182" s="126">
        <f t="shared" si="39"/>
        <v>7</v>
      </c>
      <c r="U182" s="126">
        <f t="shared" si="31"/>
        <v>684.00000016000001</v>
      </c>
      <c r="W182" s="126">
        <f t="shared" si="40"/>
        <v>145</v>
      </c>
      <c r="X182" s="126">
        <f t="shared" si="41"/>
        <v>136.00000008000001</v>
      </c>
    </row>
    <row r="183" spans="1:24">
      <c r="A183" s="22">
        <v>43763</v>
      </c>
      <c r="B183" s="128">
        <v>1</v>
      </c>
      <c r="C183" s="128">
        <v>0</v>
      </c>
      <c r="D183" s="128">
        <v>1</v>
      </c>
      <c r="E183" s="128">
        <v>0</v>
      </c>
      <c r="F183" s="128">
        <v>1</v>
      </c>
      <c r="G183" s="128">
        <v>0</v>
      </c>
      <c r="K183" s="86">
        <v>43763</v>
      </c>
      <c r="L183" s="126">
        <f t="shared" si="32"/>
        <v>136.00000008000001</v>
      </c>
      <c r="M183" s="126">
        <f t="shared" si="33"/>
        <v>46.000000080000007</v>
      </c>
      <c r="N183" s="126">
        <f t="shared" si="34"/>
        <v>139</v>
      </c>
      <c r="O183" s="126">
        <f t="shared" si="35"/>
        <v>90</v>
      </c>
      <c r="P183" s="126">
        <f t="shared" si="36"/>
        <v>131</v>
      </c>
      <c r="Q183" s="126">
        <f t="shared" si="37"/>
        <v>145</v>
      </c>
      <c r="R183" s="126">
        <f t="shared" si="38"/>
        <v>6</v>
      </c>
      <c r="S183" s="1">
        <f t="shared" si="42"/>
        <v>1</v>
      </c>
      <c r="T183" s="126">
        <f t="shared" si="39"/>
        <v>6</v>
      </c>
      <c r="U183" s="126">
        <f t="shared" si="31"/>
        <v>687.00000016000001</v>
      </c>
      <c r="W183" s="126">
        <f t="shared" si="40"/>
        <v>145</v>
      </c>
      <c r="X183" s="126">
        <f t="shared" si="41"/>
        <v>136.00000008000001</v>
      </c>
    </row>
    <row r="184" spans="1:24">
      <c r="A184" s="22">
        <v>43770</v>
      </c>
      <c r="B184" s="128">
        <v>1</v>
      </c>
      <c r="C184" s="128">
        <v>0</v>
      </c>
      <c r="D184" s="128">
        <v>1</v>
      </c>
      <c r="E184" s="128">
        <v>0</v>
      </c>
      <c r="F184" s="128">
        <v>1</v>
      </c>
      <c r="G184" s="128">
        <v>1</v>
      </c>
      <c r="J184" s="57" t="s">
        <v>184</v>
      </c>
      <c r="K184" s="86">
        <v>43770</v>
      </c>
      <c r="L184" s="126">
        <f t="shared" si="32"/>
        <v>137.00000008000001</v>
      </c>
      <c r="M184" s="126">
        <f t="shared" si="33"/>
        <v>46.000000080000007</v>
      </c>
      <c r="N184" s="126">
        <f t="shared" si="34"/>
        <v>140</v>
      </c>
      <c r="O184" s="126">
        <f t="shared" si="35"/>
        <v>90</v>
      </c>
      <c r="P184" s="126">
        <f t="shared" si="36"/>
        <v>132</v>
      </c>
      <c r="Q184" s="126">
        <f t="shared" si="37"/>
        <v>146</v>
      </c>
      <c r="R184" s="126">
        <f t="shared" si="38"/>
        <v>6</v>
      </c>
      <c r="S184" s="1">
        <f t="shared" si="42"/>
        <v>1</v>
      </c>
      <c r="T184" s="126">
        <f t="shared" si="39"/>
        <v>6</v>
      </c>
      <c r="U184" s="126">
        <f t="shared" si="31"/>
        <v>691.00000016000001</v>
      </c>
      <c r="W184" s="126">
        <f t="shared" si="40"/>
        <v>146</v>
      </c>
      <c r="X184" s="126">
        <f t="shared" si="41"/>
        <v>136.00000008000001</v>
      </c>
    </row>
    <row r="185" spans="1:24">
      <c r="A185" s="22">
        <v>43777</v>
      </c>
      <c r="B185" s="128">
        <v>0</v>
      </c>
      <c r="C185" s="128">
        <v>0</v>
      </c>
      <c r="D185" s="128">
        <v>1</v>
      </c>
      <c r="E185" s="128">
        <v>0</v>
      </c>
      <c r="F185" s="128">
        <v>1</v>
      </c>
      <c r="G185" s="128">
        <v>1</v>
      </c>
      <c r="J185" s="57" t="s">
        <v>185</v>
      </c>
      <c r="K185" s="86">
        <v>43777</v>
      </c>
      <c r="L185" s="126">
        <f t="shared" si="32"/>
        <v>137.00000008000001</v>
      </c>
      <c r="M185" s="126">
        <f t="shared" si="33"/>
        <v>46.000000080000007</v>
      </c>
      <c r="N185" s="126">
        <f t="shared" si="34"/>
        <v>141</v>
      </c>
      <c r="O185" s="126">
        <f t="shared" si="35"/>
        <v>90</v>
      </c>
      <c r="P185" s="126">
        <f t="shared" si="36"/>
        <v>133</v>
      </c>
      <c r="Q185" s="126">
        <f t="shared" si="37"/>
        <v>147</v>
      </c>
      <c r="R185" s="126">
        <f t="shared" si="38"/>
        <v>6</v>
      </c>
      <c r="S185" s="1">
        <f t="shared" si="42"/>
        <v>1</v>
      </c>
      <c r="T185" s="126">
        <f t="shared" si="39"/>
        <v>6</v>
      </c>
      <c r="U185" s="126">
        <f t="shared" si="31"/>
        <v>694.00000016000001</v>
      </c>
      <c r="W185" s="126">
        <f t="shared" si="40"/>
        <v>147</v>
      </c>
      <c r="X185" s="126">
        <f t="shared" si="41"/>
        <v>136.00000008000001</v>
      </c>
    </row>
    <row r="186" spans="1:24">
      <c r="A186" s="22">
        <v>43784</v>
      </c>
      <c r="B186" s="128">
        <v>1</v>
      </c>
      <c r="C186" s="128">
        <v>0</v>
      </c>
      <c r="D186" s="128">
        <v>0</v>
      </c>
      <c r="E186" s="128">
        <v>1</v>
      </c>
      <c r="F186" s="128">
        <v>1</v>
      </c>
      <c r="G186" s="128">
        <v>1</v>
      </c>
      <c r="J186" s="57" t="s">
        <v>186</v>
      </c>
      <c r="K186" s="86">
        <v>43784</v>
      </c>
      <c r="L186" s="126">
        <f t="shared" si="32"/>
        <v>138.00000008000001</v>
      </c>
      <c r="M186" s="126">
        <f t="shared" si="33"/>
        <v>46.000000080000007</v>
      </c>
      <c r="N186" s="126">
        <f t="shared" si="34"/>
        <v>141</v>
      </c>
      <c r="O186" s="126">
        <f t="shared" si="35"/>
        <v>91</v>
      </c>
      <c r="P186" s="126">
        <f t="shared" si="36"/>
        <v>134</v>
      </c>
      <c r="Q186" s="126">
        <f t="shared" si="37"/>
        <v>148</v>
      </c>
      <c r="R186" s="126">
        <f t="shared" si="38"/>
        <v>7</v>
      </c>
      <c r="S186" s="1">
        <f t="shared" si="42"/>
        <v>1</v>
      </c>
      <c r="T186" s="126">
        <f t="shared" si="39"/>
        <v>7</v>
      </c>
      <c r="U186" s="126">
        <f t="shared" si="31"/>
        <v>698.00000016000001</v>
      </c>
      <c r="W186" s="126">
        <f t="shared" si="40"/>
        <v>148</v>
      </c>
      <c r="X186" s="126">
        <f t="shared" si="41"/>
        <v>137.00000008000001</v>
      </c>
    </row>
    <row r="187" spans="1:24">
      <c r="A187" s="22">
        <v>43791</v>
      </c>
      <c r="B187" s="128">
        <v>1</v>
      </c>
      <c r="C187" s="128">
        <v>0</v>
      </c>
      <c r="D187" s="128">
        <v>1</v>
      </c>
      <c r="E187" s="128">
        <v>0</v>
      </c>
      <c r="F187" s="128">
        <v>1</v>
      </c>
      <c r="G187" s="128">
        <v>1</v>
      </c>
      <c r="J187" s="57" t="s">
        <v>187</v>
      </c>
      <c r="K187" s="86">
        <v>43791</v>
      </c>
      <c r="L187" s="126">
        <f t="shared" si="32"/>
        <v>139.00000008000001</v>
      </c>
      <c r="M187" s="126">
        <f t="shared" si="33"/>
        <v>46.000000080000007</v>
      </c>
      <c r="N187" s="126">
        <f t="shared" si="34"/>
        <v>142</v>
      </c>
      <c r="O187" s="126">
        <f t="shared" si="35"/>
        <v>91</v>
      </c>
      <c r="P187" s="126">
        <f t="shared" si="36"/>
        <v>135</v>
      </c>
      <c r="Q187" s="126">
        <f t="shared" si="37"/>
        <v>149</v>
      </c>
      <c r="R187" s="126">
        <f t="shared" si="38"/>
        <v>7</v>
      </c>
      <c r="S187" s="1">
        <f t="shared" si="42"/>
        <v>1</v>
      </c>
      <c r="T187" s="126">
        <f t="shared" si="39"/>
        <v>7</v>
      </c>
      <c r="U187" s="126">
        <f t="shared" si="31"/>
        <v>702.00000016000001</v>
      </c>
      <c r="W187" s="126">
        <f t="shared" si="40"/>
        <v>149</v>
      </c>
      <c r="X187" s="126">
        <f t="shared" si="41"/>
        <v>137.00000008000001</v>
      </c>
    </row>
    <row r="188" spans="1:24">
      <c r="A188" s="22">
        <v>43798</v>
      </c>
      <c r="B188" s="128">
        <v>1</v>
      </c>
      <c r="C188" s="128">
        <v>0</v>
      </c>
      <c r="D188" s="128">
        <v>1</v>
      </c>
      <c r="E188" s="128">
        <v>0</v>
      </c>
      <c r="F188" s="128">
        <v>1</v>
      </c>
      <c r="G188" s="128">
        <v>1</v>
      </c>
      <c r="K188" s="86">
        <v>43798</v>
      </c>
      <c r="L188" s="126">
        <f t="shared" si="32"/>
        <v>140.00000008000001</v>
      </c>
      <c r="M188" s="126">
        <f t="shared" si="33"/>
        <v>46.000000080000007</v>
      </c>
      <c r="N188" s="126">
        <f t="shared" si="34"/>
        <v>143</v>
      </c>
      <c r="O188" s="126">
        <f t="shared" si="35"/>
        <v>91</v>
      </c>
      <c r="P188" s="126">
        <f t="shared" si="36"/>
        <v>136</v>
      </c>
      <c r="Q188" s="126">
        <f t="shared" si="37"/>
        <v>150</v>
      </c>
      <c r="R188" s="126">
        <f t="shared" si="38"/>
        <v>7</v>
      </c>
      <c r="S188" s="1">
        <f t="shared" si="42"/>
        <v>1</v>
      </c>
      <c r="T188" s="126">
        <f t="shared" si="39"/>
        <v>7</v>
      </c>
      <c r="U188" s="126">
        <f t="shared" si="31"/>
        <v>706.00000016000001</v>
      </c>
      <c r="W188" s="126">
        <f t="shared" si="40"/>
        <v>150</v>
      </c>
      <c r="X188" s="126">
        <f t="shared" si="41"/>
        <v>137.00000008000001</v>
      </c>
    </row>
    <row r="189" spans="1:24">
      <c r="A189" s="22">
        <v>43805</v>
      </c>
      <c r="B189" s="128">
        <v>1</v>
      </c>
      <c r="C189" s="128">
        <v>0</v>
      </c>
      <c r="D189" s="128">
        <v>1</v>
      </c>
      <c r="E189" s="128">
        <v>0</v>
      </c>
      <c r="F189" s="128">
        <v>1</v>
      </c>
      <c r="G189" s="128">
        <v>1</v>
      </c>
      <c r="J189" s="57" t="s">
        <v>188</v>
      </c>
      <c r="K189" s="86">
        <v>43805</v>
      </c>
      <c r="L189" s="126">
        <f t="shared" si="32"/>
        <v>141.00000008000001</v>
      </c>
      <c r="M189" s="126">
        <f t="shared" si="33"/>
        <v>46.000000080000007</v>
      </c>
      <c r="N189" s="126">
        <f t="shared" si="34"/>
        <v>144</v>
      </c>
      <c r="O189" s="126">
        <f t="shared" si="35"/>
        <v>91</v>
      </c>
      <c r="P189" s="126">
        <f t="shared" si="36"/>
        <v>137</v>
      </c>
      <c r="Q189" s="126">
        <f t="shared" si="37"/>
        <v>151</v>
      </c>
      <c r="R189" s="126">
        <f t="shared" si="38"/>
        <v>7</v>
      </c>
      <c r="S189" s="1">
        <f t="shared" si="42"/>
        <v>1</v>
      </c>
      <c r="T189" s="126">
        <f t="shared" si="39"/>
        <v>7</v>
      </c>
      <c r="U189" s="126">
        <f t="shared" si="31"/>
        <v>710.00000016000001</v>
      </c>
      <c r="W189" s="126">
        <f t="shared" si="40"/>
        <v>151</v>
      </c>
      <c r="X189" s="126">
        <f t="shared" si="41"/>
        <v>137.00000008000001</v>
      </c>
    </row>
    <row r="190" spans="1:24">
      <c r="A190" s="22">
        <v>43812</v>
      </c>
      <c r="B190" s="128">
        <v>1</v>
      </c>
      <c r="C190" s="128">
        <v>0</v>
      </c>
      <c r="D190" s="128">
        <v>1</v>
      </c>
      <c r="E190" s="128">
        <v>0</v>
      </c>
      <c r="F190" s="128">
        <v>1</v>
      </c>
      <c r="G190" s="128">
        <v>0</v>
      </c>
      <c r="K190" s="86">
        <v>43812</v>
      </c>
      <c r="L190" s="126">
        <f t="shared" si="32"/>
        <v>142.00000008000001</v>
      </c>
      <c r="M190" s="126">
        <f t="shared" si="33"/>
        <v>46.000000080000007</v>
      </c>
      <c r="N190" s="126">
        <f t="shared" si="34"/>
        <v>145</v>
      </c>
      <c r="O190" s="126">
        <f t="shared" si="35"/>
        <v>91</v>
      </c>
      <c r="P190" s="126">
        <f t="shared" si="36"/>
        <v>138</v>
      </c>
      <c r="Q190" s="126">
        <f t="shared" si="37"/>
        <v>151</v>
      </c>
      <c r="R190" s="126">
        <f t="shared" si="38"/>
        <v>6</v>
      </c>
      <c r="S190" s="1">
        <f t="shared" si="42"/>
        <v>1</v>
      </c>
      <c r="T190" s="126">
        <f t="shared" si="39"/>
        <v>6</v>
      </c>
      <c r="U190" s="126">
        <f t="shared" si="31"/>
        <v>713.00000016000001</v>
      </c>
      <c r="W190" s="126">
        <f t="shared" si="40"/>
        <v>151</v>
      </c>
      <c r="X190" s="126">
        <f t="shared" si="41"/>
        <v>137.00000008000001</v>
      </c>
    </row>
    <row r="191" spans="1:24">
      <c r="A191" s="22">
        <v>43819</v>
      </c>
      <c r="B191" s="128">
        <v>1</v>
      </c>
      <c r="C191" s="128">
        <v>0</v>
      </c>
      <c r="D191" s="128">
        <v>0</v>
      </c>
      <c r="E191" s="128">
        <v>1</v>
      </c>
      <c r="F191" s="128">
        <v>1</v>
      </c>
      <c r="G191" s="128">
        <v>0</v>
      </c>
      <c r="J191" s="57" t="s">
        <v>189</v>
      </c>
      <c r="K191" s="86">
        <v>43819</v>
      </c>
      <c r="L191" s="126">
        <f t="shared" si="32"/>
        <v>143.00000008000001</v>
      </c>
      <c r="M191" s="126">
        <f t="shared" si="33"/>
        <v>46.000000080000007</v>
      </c>
      <c r="N191" s="126">
        <f t="shared" si="34"/>
        <v>145</v>
      </c>
      <c r="O191" s="126">
        <f t="shared" si="35"/>
        <v>92</v>
      </c>
      <c r="P191" s="126">
        <f t="shared" si="36"/>
        <v>139</v>
      </c>
      <c r="Q191" s="126">
        <f t="shared" si="37"/>
        <v>151</v>
      </c>
      <c r="R191" s="126">
        <f t="shared" si="38"/>
        <v>6</v>
      </c>
      <c r="S191" s="1">
        <f t="shared" si="42"/>
        <v>1</v>
      </c>
      <c r="T191" s="126">
        <f t="shared" si="39"/>
        <v>6</v>
      </c>
      <c r="U191" s="126">
        <f t="shared" si="31"/>
        <v>716.00000016000001</v>
      </c>
      <c r="W191" s="126">
        <f t="shared" si="40"/>
        <v>151</v>
      </c>
      <c r="X191" s="126">
        <f t="shared" si="41"/>
        <v>138.00000008000001</v>
      </c>
    </row>
    <row r="192" spans="1:24">
      <c r="A192" s="22">
        <v>43826</v>
      </c>
      <c r="B192" s="128">
        <v>0</v>
      </c>
      <c r="C192" s="128">
        <v>0</v>
      </c>
      <c r="D192" s="128">
        <v>1</v>
      </c>
      <c r="E192" s="128">
        <v>0</v>
      </c>
      <c r="F192" s="128">
        <v>1</v>
      </c>
      <c r="G192" s="128">
        <v>0</v>
      </c>
      <c r="J192" s="57" t="s">
        <v>190</v>
      </c>
      <c r="K192" s="86">
        <v>43826</v>
      </c>
      <c r="L192" s="126">
        <f t="shared" si="32"/>
        <v>143.00000008000001</v>
      </c>
      <c r="M192" s="126">
        <f t="shared" si="33"/>
        <v>46.000000080000007</v>
      </c>
      <c r="N192" s="126">
        <f t="shared" si="34"/>
        <v>146</v>
      </c>
      <c r="O192" s="126">
        <f t="shared" si="35"/>
        <v>92</v>
      </c>
      <c r="P192" s="126">
        <f t="shared" si="36"/>
        <v>140</v>
      </c>
      <c r="Q192" s="126">
        <f t="shared" si="37"/>
        <v>151</v>
      </c>
      <c r="R192" s="126">
        <f t="shared" si="38"/>
        <v>5</v>
      </c>
      <c r="S192" s="1">
        <f t="shared" si="42"/>
        <v>1</v>
      </c>
      <c r="T192" s="126">
        <f t="shared" si="39"/>
        <v>5</v>
      </c>
      <c r="U192" s="126">
        <f t="shared" si="31"/>
        <v>718.00000016000001</v>
      </c>
      <c r="W192" s="126">
        <f t="shared" si="40"/>
        <v>151</v>
      </c>
      <c r="X192" s="126">
        <f t="shared" si="41"/>
        <v>138.00000008000001</v>
      </c>
    </row>
    <row r="193" spans="1:24">
      <c r="A193" s="22">
        <v>43833</v>
      </c>
      <c r="B193" s="128">
        <v>1</v>
      </c>
      <c r="C193" s="128">
        <v>0</v>
      </c>
      <c r="D193" s="128">
        <v>1</v>
      </c>
      <c r="E193" s="128">
        <v>0</v>
      </c>
      <c r="F193" s="128">
        <v>1</v>
      </c>
      <c r="G193" s="128">
        <v>1</v>
      </c>
      <c r="J193" s="57" t="s">
        <v>191</v>
      </c>
      <c r="K193" s="86">
        <v>43833</v>
      </c>
      <c r="L193" s="126">
        <f t="shared" si="32"/>
        <v>144.00000008000001</v>
      </c>
      <c r="M193" s="126">
        <f t="shared" si="33"/>
        <v>46.000000080000007</v>
      </c>
      <c r="N193" s="126">
        <f t="shared" si="34"/>
        <v>147</v>
      </c>
      <c r="O193" s="126">
        <f t="shared" si="35"/>
        <v>92</v>
      </c>
      <c r="P193" s="126">
        <f t="shared" si="36"/>
        <v>141</v>
      </c>
      <c r="Q193" s="126">
        <f t="shared" si="37"/>
        <v>152</v>
      </c>
      <c r="R193" s="126">
        <f t="shared" si="38"/>
        <v>5</v>
      </c>
      <c r="S193" s="1">
        <f t="shared" si="42"/>
        <v>1</v>
      </c>
      <c r="T193" s="126">
        <f t="shared" si="39"/>
        <v>5</v>
      </c>
      <c r="U193" s="126">
        <f t="shared" si="31"/>
        <v>722.00000016000001</v>
      </c>
      <c r="W193" s="126">
        <f t="shared" si="40"/>
        <v>152</v>
      </c>
      <c r="X193" s="126">
        <f t="shared" si="41"/>
        <v>138.00000008000001</v>
      </c>
    </row>
    <row r="194" spans="1:24">
      <c r="A194" s="22">
        <v>43840</v>
      </c>
      <c r="B194" s="128">
        <v>0</v>
      </c>
      <c r="C194" s="128">
        <v>0</v>
      </c>
      <c r="D194" s="128">
        <v>1</v>
      </c>
      <c r="E194" s="128">
        <v>0</v>
      </c>
      <c r="F194" s="128">
        <v>1</v>
      </c>
      <c r="G194" s="128">
        <v>1</v>
      </c>
      <c r="J194" s="57" t="s">
        <v>192</v>
      </c>
      <c r="K194" s="86">
        <v>43840</v>
      </c>
      <c r="L194" s="126">
        <f t="shared" si="32"/>
        <v>144.00000008000001</v>
      </c>
      <c r="M194" s="126">
        <f t="shared" si="33"/>
        <v>46.000000080000007</v>
      </c>
      <c r="N194" s="126">
        <f t="shared" si="34"/>
        <v>148</v>
      </c>
      <c r="O194" s="126">
        <f t="shared" si="35"/>
        <v>92</v>
      </c>
      <c r="P194" s="126">
        <f t="shared" si="36"/>
        <v>142</v>
      </c>
      <c r="Q194" s="126">
        <f t="shared" si="37"/>
        <v>153</v>
      </c>
      <c r="R194" s="126">
        <f t="shared" si="38"/>
        <v>5</v>
      </c>
      <c r="S194" s="1">
        <f t="shared" si="42"/>
        <v>1</v>
      </c>
      <c r="T194" s="126">
        <f t="shared" si="39"/>
        <v>5</v>
      </c>
      <c r="U194" s="126">
        <f t="shared" ref="U194:U257" si="43">SUM(L194:Q194)</f>
        <v>725.00000016000001</v>
      </c>
      <c r="W194" s="126">
        <f t="shared" si="40"/>
        <v>153</v>
      </c>
      <c r="X194" s="126">
        <f t="shared" si="41"/>
        <v>138.00000008000001</v>
      </c>
    </row>
    <row r="195" spans="1:24">
      <c r="A195" s="22">
        <f>'Stats 2020'!D25</f>
        <v>43854</v>
      </c>
      <c r="B195" s="128">
        <f>'Stats 2020'!E25</f>
        <v>1</v>
      </c>
      <c r="C195" s="128">
        <v>0</v>
      </c>
      <c r="D195" s="128">
        <f>'Stats 2020'!G25</f>
        <v>1</v>
      </c>
      <c r="E195" s="128">
        <v>0</v>
      </c>
      <c r="F195" s="128">
        <f>'Stats 2020'!I25</f>
        <v>1</v>
      </c>
      <c r="G195" s="128">
        <f>'Stats 2020'!J25</f>
        <v>1</v>
      </c>
      <c r="J195" s="57" t="s">
        <v>193</v>
      </c>
      <c r="K195" s="86">
        <v>43854</v>
      </c>
      <c r="L195" s="126">
        <f t="shared" ref="L195:L258" si="44">B195+L194</f>
        <v>145.00000008000001</v>
      </c>
      <c r="M195" s="126">
        <f t="shared" ref="M195:M258" si="45">C195+M194</f>
        <v>46.000000080000007</v>
      </c>
      <c r="N195" s="126">
        <f t="shared" ref="N195:N258" si="46">D195+N194</f>
        <v>149</v>
      </c>
      <c r="O195" s="126">
        <f t="shared" ref="O195:O258" si="47">E195+O194</f>
        <v>92</v>
      </c>
      <c r="P195" s="126">
        <f t="shared" ref="P195:P258" si="48">F195+P194</f>
        <v>143</v>
      </c>
      <c r="Q195" s="126">
        <f t="shared" ref="Q195:Q258" si="49">G195+Q194</f>
        <v>154</v>
      </c>
      <c r="R195" s="126">
        <f t="shared" ref="R195:R258" si="50">Q195-MAX(L195:P195)</f>
        <v>5</v>
      </c>
      <c r="S195" s="1">
        <f t="shared" si="42"/>
        <v>1</v>
      </c>
      <c r="T195" s="126">
        <f t="shared" ref="T195:T258" si="51">Q195-MAX(L195:P195)</f>
        <v>5</v>
      </c>
      <c r="U195" s="126">
        <f t="shared" si="43"/>
        <v>729.00000016000001</v>
      </c>
      <c r="W195" s="126">
        <f t="shared" ref="W195:W258" si="52">Q195</f>
        <v>154</v>
      </c>
      <c r="X195" s="126">
        <f t="shared" ref="X195:X258" si="53">M195+O195</f>
        <v>138.00000008000001</v>
      </c>
    </row>
    <row r="196" spans="1:24">
      <c r="A196" s="22">
        <f>'Stats 2020'!D26</f>
        <v>43861</v>
      </c>
      <c r="B196" s="128">
        <f>'Stats 2020'!E26</f>
        <v>1</v>
      </c>
      <c r="C196" s="128">
        <v>0</v>
      </c>
      <c r="D196" s="128">
        <f>'Stats 2020'!G26</f>
        <v>1</v>
      </c>
      <c r="E196" s="128">
        <v>0</v>
      </c>
      <c r="F196" s="128">
        <f>'Stats 2020'!I26</f>
        <v>0</v>
      </c>
      <c r="G196" s="128">
        <f>'Stats 2020'!J26</f>
        <v>1</v>
      </c>
      <c r="J196" s="57" t="s">
        <v>194</v>
      </c>
      <c r="K196" s="86">
        <v>43861</v>
      </c>
      <c r="L196" s="126">
        <f t="shared" si="44"/>
        <v>146.00000008000001</v>
      </c>
      <c r="M196" s="126">
        <f t="shared" si="45"/>
        <v>46.000000080000007</v>
      </c>
      <c r="N196" s="126">
        <f t="shared" si="46"/>
        <v>150</v>
      </c>
      <c r="O196" s="126">
        <f t="shared" si="47"/>
        <v>92</v>
      </c>
      <c r="P196" s="126">
        <f t="shared" si="48"/>
        <v>143</v>
      </c>
      <c r="Q196" s="126">
        <f t="shared" si="49"/>
        <v>155</v>
      </c>
      <c r="R196" s="126">
        <f t="shared" si="50"/>
        <v>5</v>
      </c>
      <c r="S196" s="1">
        <f t="shared" si="42"/>
        <v>1</v>
      </c>
      <c r="T196" s="126">
        <f t="shared" si="51"/>
        <v>5</v>
      </c>
      <c r="U196" s="126">
        <f t="shared" si="43"/>
        <v>732.00000016000001</v>
      </c>
      <c r="W196" s="126">
        <f t="shared" si="52"/>
        <v>155</v>
      </c>
      <c r="X196" s="126">
        <f t="shared" si="53"/>
        <v>138.00000008000001</v>
      </c>
    </row>
    <row r="197" spans="1:24">
      <c r="A197" s="22">
        <f>'Stats 2020'!D27</f>
        <v>43868</v>
      </c>
      <c r="B197" s="128">
        <f>'Stats 2020'!E27</f>
        <v>0</v>
      </c>
      <c r="C197" s="128">
        <v>0</v>
      </c>
      <c r="D197" s="128">
        <f>'Stats 2020'!G27</f>
        <v>1</v>
      </c>
      <c r="E197" s="128">
        <v>0</v>
      </c>
      <c r="F197" s="128">
        <f>'Stats 2020'!I27</f>
        <v>0</v>
      </c>
      <c r="G197" s="128">
        <f>'Stats 2020'!J27</f>
        <v>1</v>
      </c>
      <c r="J197" s="57" t="s">
        <v>195</v>
      </c>
      <c r="K197" s="86">
        <v>43868</v>
      </c>
      <c r="L197" s="126">
        <f t="shared" si="44"/>
        <v>146.00000008000001</v>
      </c>
      <c r="M197" s="126">
        <f t="shared" si="45"/>
        <v>46.000000080000007</v>
      </c>
      <c r="N197" s="126">
        <f t="shared" si="46"/>
        <v>151</v>
      </c>
      <c r="O197" s="126">
        <f t="shared" si="47"/>
        <v>92</v>
      </c>
      <c r="P197" s="126">
        <f t="shared" si="48"/>
        <v>143</v>
      </c>
      <c r="Q197" s="126">
        <f t="shared" si="49"/>
        <v>156</v>
      </c>
      <c r="R197" s="126">
        <f t="shared" si="50"/>
        <v>5</v>
      </c>
      <c r="S197" s="1">
        <f t="shared" si="42"/>
        <v>1</v>
      </c>
      <c r="T197" s="126">
        <f t="shared" si="51"/>
        <v>5</v>
      </c>
      <c r="U197" s="126">
        <f t="shared" si="43"/>
        <v>734.00000016000001</v>
      </c>
      <c r="W197" s="126">
        <f t="shared" si="52"/>
        <v>156</v>
      </c>
      <c r="X197" s="126">
        <f t="shared" si="53"/>
        <v>138.00000008000001</v>
      </c>
    </row>
    <row r="198" spans="1:24">
      <c r="A198" s="22">
        <f>'Stats 2020'!D28</f>
        <v>43875</v>
      </c>
      <c r="B198" s="128">
        <f>'Stats 2020'!E28</f>
        <v>1</v>
      </c>
      <c r="C198" s="128">
        <v>0</v>
      </c>
      <c r="D198" s="128">
        <f>'Stats 2020'!G28</f>
        <v>1</v>
      </c>
      <c r="E198" s="128">
        <v>0</v>
      </c>
      <c r="F198" s="128">
        <f>'Stats 2020'!I28</f>
        <v>0</v>
      </c>
      <c r="G198" s="128">
        <f>'Stats 2020'!J28</f>
        <v>1</v>
      </c>
      <c r="J198" s="57" t="s">
        <v>196</v>
      </c>
      <c r="K198" s="86">
        <v>43875</v>
      </c>
      <c r="L198" s="126">
        <f t="shared" si="44"/>
        <v>147.00000008000001</v>
      </c>
      <c r="M198" s="126">
        <f t="shared" si="45"/>
        <v>46.000000080000007</v>
      </c>
      <c r="N198" s="126">
        <f t="shared" si="46"/>
        <v>152</v>
      </c>
      <c r="O198" s="126">
        <f t="shared" si="47"/>
        <v>92</v>
      </c>
      <c r="P198" s="126">
        <f t="shared" si="48"/>
        <v>143</v>
      </c>
      <c r="Q198" s="126">
        <f t="shared" si="49"/>
        <v>157</v>
      </c>
      <c r="R198" s="126">
        <f t="shared" si="50"/>
        <v>5</v>
      </c>
      <c r="S198" s="1">
        <f t="shared" si="42"/>
        <v>1</v>
      </c>
      <c r="T198" s="126">
        <f t="shared" si="51"/>
        <v>5</v>
      </c>
      <c r="U198" s="126">
        <f t="shared" si="43"/>
        <v>737.00000016000001</v>
      </c>
      <c r="W198" s="126">
        <f t="shared" si="52"/>
        <v>157</v>
      </c>
      <c r="X198" s="126">
        <f t="shared" si="53"/>
        <v>138.00000008000001</v>
      </c>
    </row>
    <row r="199" spans="1:24">
      <c r="A199" s="22">
        <f>'Stats 2020'!D29</f>
        <v>43882</v>
      </c>
      <c r="B199" s="128">
        <f>'Stats 2020'!E29</f>
        <v>1</v>
      </c>
      <c r="C199" s="128">
        <v>0</v>
      </c>
      <c r="D199" s="128">
        <f>'Stats 2020'!G29</f>
        <v>1</v>
      </c>
      <c r="E199" s="128">
        <v>0</v>
      </c>
      <c r="F199" s="128">
        <f>'Stats 2020'!I29</f>
        <v>1</v>
      </c>
      <c r="G199" s="128">
        <f>'Stats 2020'!J29</f>
        <v>1</v>
      </c>
      <c r="J199" s="57" t="s">
        <v>197</v>
      </c>
      <c r="K199" s="86">
        <v>43882</v>
      </c>
      <c r="L199" s="126">
        <f t="shared" si="44"/>
        <v>148.00000008000001</v>
      </c>
      <c r="M199" s="126">
        <f t="shared" si="45"/>
        <v>46.000000080000007</v>
      </c>
      <c r="N199" s="126">
        <f t="shared" si="46"/>
        <v>153</v>
      </c>
      <c r="O199" s="126">
        <f t="shared" si="47"/>
        <v>92</v>
      </c>
      <c r="P199" s="126">
        <f t="shared" si="48"/>
        <v>144</v>
      </c>
      <c r="Q199" s="126">
        <f t="shared" si="49"/>
        <v>158</v>
      </c>
      <c r="R199" s="126">
        <f t="shared" si="50"/>
        <v>5</v>
      </c>
      <c r="S199" s="1">
        <f t="shared" si="42"/>
        <v>1</v>
      </c>
      <c r="T199" s="126">
        <f t="shared" si="51"/>
        <v>5</v>
      </c>
      <c r="U199" s="126">
        <f t="shared" si="43"/>
        <v>741.00000016000001</v>
      </c>
      <c r="W199" s="126">
        <f t="shared" si="52"/>
        <v>158</v>
      </c>
      <c r="X199" s="126">
        <f t="shared" si="53"/>
        <v>138.00000008000001</v>
      </c>
    </row>
    <row r="200" spans="1:24">
      <c r="A200" s="22">
        <f>'Stats 2020'!D30</f>
        <v>43889</v>
      </c>
      <c r="B200" s="128">
        <f>'Stats 2020'!E30</f>
        <v>1</v>
      </c>
      <c r="C200" s="128">
        <v>0</v>
      </c>
      <c r="D200" s="128">
        <f>'Stats 2020'!G30</f>
        <v>0</v>
      </c>
      <c r="E200" s="128">
        <v>0</v>
      </c>
      <c r="F200" s="128">
        <f>'Stats 2020'!I30</f>
        <v>1</v>
      </c>
      <c r="G200" s="128">
        <f>'Stats 2020'!J30</f>
        <v>0</v>
      </c>
      <c r="J200" s="57" t="s">
        <v>198</v>
      </c>
      <c r="K200" s="86">
        <v>43889</v>
      </c>
      <c r="L200" s="126">
        <f t="shared" si="44"/>
        <v>149.00000008000001</v>
      </c>
      <c r="M200" s="126">
        <f t="shared" si="45"/>
        <v>46.000000080000007</v>
      </c>
      <c r="N200" s="126">
        <f t="shared" si="46"/>
        <v>153</v>
      </c>
      <c r="O200" s="126">
        <f t="shared" si="47"/>
        <v>92</v>
      </c>
      <c r="P200" s="126">
        <f t="shared" si="48"/>
        <v>145</v>
      </c>
      <c r="Q200" s="126">
        <f t="shared" si="49"/>
        <v>158</v>
      </c>
      <c r="R200" s="126">
        <f t="shared" si="50"/>
        <v>5</v>
      </c>
      <c r="S200" s="1">
        <f t="shared" si="42"/>
        <v>1</v>
      </c>
      <c r="T200" s="126">
        <f t="shared" si="51"/>
        <v>5</v>
      </c>
      <c r="U200" s="126">
        <f t="shared" si="43"/>
        <v>743.00000016000001</v>
      </c>
      <c r="W200" s="126">
        <f t="shared" si="52"/>
        <v>158</v>
      </c>
      <c r="X200" s="126">
        <f t="shared" si="53"/>
        <v>138.00000008000001</v>
      </c>
    </row>
    <row r="201" spans="1:24">
      <c r="A201" s="22">
        <f>'Stats 2020'!D32</f>
        <v>43896</v>
      </c>
      <c r="B201" s="128">
        <f>'Stats 2020'!E32</f>
        <v>1</v>
      </c>
      <c r="C201" s="128">
        <v>0</v>
      </c>
      <c r="D201" s="128">
        <f>'Stats 2020'!G32</f>
        <v>1</v>
      </c>
      <c r="E201" s="128">
        <v>0</v>
      </c>
      <c r="F201" s="128">
        <f>'Stats 2020'!I32</f>
        <v>1</v>
      </c>
      <c r="G201" s="128">
        <f>'Stats 2020'!J32</f>
        <v>1</v>
      </c>
      <c r="J201" s="57" t="s">
        <v>199</v>
      </c>
      <c r="K201" s="86">
        <v>43896</v>
      </c>
      <c r="L201" s="126">
        <f t="shared" si="44"/>
        <v>150.00000008000001</v>
      </c>
      <c r="M201" s="126">
        <f t="shared" si="45"/>
        <v>46.000000080000007</v>
      </c>
      <c r="N201" s="126">
        <f t="shared" si="46"/>
        <v>154</v>
      </c>
      <c r="O201" s="126">
        <f t="shared" si="47"/>
        <v>92</v>
      </c>
      <c r="P201" s="126">
        <f t="shared" si="48"/>
        <v>146</v>
      </c>
      <c r="Q201" s="126">
        <f t="shared" si="49"/>
        <v>159</v>
      </c>
      <c r="R201" s="126">
        <f t="shared" si="50"/>
        <v>5</v>
      </c>
      <c r="S201" s="1">
        <f t="shared" si="42"/>
        <v>1</v>
      </c>
      <c r="T201" s="126">
        <f t="shared" si="51"/>
        <v>5</v>
      </c>
      <c r="U201" s="126">
        <f t="shared" si="43"/>
        <v>747.00000016000001</v>
      </c>
      <c r="W201" s="126">
        <f t="shared" si="52"/>
        <v>159</v>
      </c>
      <c r="X201" s="126">
        <f t="shared" si="53"/>
        <v>138.00000008000001</v>
      </c>
    </row>
    <row r="202" spans="1:24">
      <c r="A202" s="22">
        <f>'Stats 2020'!D34</f>
        <v>43903</v>
      </c>
      <c r="B202" s="128">
        <f>'Stats 2020'!E34</f>
        <v>1</v>
      </c>
      <c r="C202" s="128">
        <v>0</v>
      </c>
      <c r="D202" s="128">
        <f>'Stats 2020'!G34</f>
        <v>0</v>
      </c>
      <c r="E202" s="128">
        <v>0</v>
      </c>
      <c r="F202" s="128">
        <f>'Stats 2020'!I34</f>
        <v>1</v>
      </c>
      <c r="G202" s="128">
        <f>'Stats 2020'!J34</f>
        <v>1</v>
      </c>
      <c r="J202" s="57" t="s">
        <v>200</v>
      </c>
      <c r="K202" s="86">
        <v>43903</v>
      </c>
      <c r="L202" s="126">
        <f t="shared" si="44"/>
        <v>151.00000008000001</v>
      </c>
      <c r="M202" s="126">
        <f t="shared" si="45"/>
        <v>46.000000080000007</v>
      </c>
      <c r="N202" s="126">
        <f t="shared" si="46"/>
        <v>154</v>
      </c>
      <c r="O202" s="126">
        <f t="shared" si="47"/>
        <v>92</v>
      </c>
      <c r="P202" s="126">
        <f t="shared" si="48"/>
        <v>147</v>
      </c>
      <c r="Q202" s="126">
        <f t="shared" si="49"/>
        <v>160</v>
      </c>
      <c r="R202" s="126">
        <f t="shared" si="50"/>
        <v>6</v>
      </c>
      <c r="S202" s="1">
        <f t="shared" si="42"/>
        <v>1</v>
      </c>
      <c r="T202" s="126">
        <f t="shared" si="51"/>
        <v>6</v>
      </c>
      <c r="U202" s="126">
        <f t="shared" si="43"/>
        <v>750.00000016000001</v>
      </c>
      <c r="W202" s="126">
        <f t="shared" si="52"/>
        <v>160</v>
      </c>
      <c r="X202" s="126">
        <f t="shared" si="53"/>
        <v>138.00000008000001</v>
      </c>
    </row>
    <row r="203" spans="1:24">
      <c r="A203" s="22">
        <f>'Stats 2020'!D35</f>
        <v>43910</v>
      </c>
      <c r="B203" s="128">
        <f>'Stats 2020'!E35</f>
        <v>1</v>
      </c>
      <c r="C203" s="128">
        <v>0</v>
      </c>
      <c r="D203" s="128">
        <f>'Stats 2020'!G35</f>
        <v>1</v>
      </c>
      <c r="E203" s="128">
        <f>'Stats 2020'!H35</f>
        <v>1</v>
      </c>
      <c r="F203" s="128">
        <f>'Stats 2020'!I35</f>
        <v>1</v>
      </c>
      <c r="G203" s="128">
        <f>'Stats 2020'!J35</f>
        <v>1</v>
      </c>
      <c r="J203" s="57" t="s">
        <v>201</v>
      </c>
      <c r="K203" s="86">
        <v>43910</v>
      </c>
      <c r="L203" s="126">
        <f t="shared" si="44"/>
        <v>152.00000008000001</v>
      </c>
      <c r="M203" s="126">
        <f t="shared" si="45"/>
        <v>46.000000080000007</v>
      </c>
      <c r="N203" s="126">
        <f t="shared" si="46"/>
        <v>155</v>
      </c>
      <c r="O203" s="126">
        <f t="shared" si="47"/>
        <v>93</v>
      </c>
      <c r="P203" s="126">
        <f t="shared" si="48"/>
        <v>148</v>
      </c>
      <c r="Q203" s="126">
        <f t="shared" si="49"/>
        <v>161</v>
      </c>
      <c r="R203" s="126">
        <f t="shared" si="50"/>
        <v>6</v>
      </c>
      <c r="S203" s="1">
        <f t="shared" si="42"/>
        <v>1</v>
      </c>
      <c r="T203" s="126">
        <f t="shared" si="51"/>
        <v>6</v>
      </c>
      <c r="U203" s="126">
        <f t="shared" si="43"/>
        <v>755.00000016000001</v>
      </c>
      <c r="W203" s="126">
        <f t="shared" si="52"/>
        <v>161</v>
      </c>
      <c r="X203" s="126">
        <f t="shared" si="53"/>
        <v>139.00000008000001</v>
      </c>
    </row>
    <row r="204" spans="1:24">
      <c r="A204" s="22">
        <f>'Stats 2020'!D36</f>
        <v>43917</v>
      </c>
      <c r="B204" s="128">
        <f>'Stats 2020'!E36</f>
        <v>1</v>
      </c>
      <c r="C204" s="128">
        <f>'Stats 2020'!F36</f>
        <v>1</v>
      </c>
      <c r="D204" s="128">
        <f>'Stats 2020'!G36</f>
        <v>1</v>
      </c>
      <c r="E204" s="128">
        <f>'Stats 2020'!H36</f>
        <v>1</v>
      </c>
      <c r="F204" s="128">
        <f>'Stats 2020'!I36</f>
        <v>1</v>
      </c>
      <c r="G204" s="128">
        <f>'Stats 2020'!J36</f>
        <v>1</v>
      </c>
      <c r="J204" s="57" t="s">
        <v>202</v>
      </c>
      <c r="K204" s="86">
        <v>43917</v>
      </c>
      <c r="L204" s="126">
        <f t="shared" si="44"/>
        <v>153.00000008000001</v>
      </c>
      <c r="M204" s="126">
        <f t="shared" si="45"/>
        <v>47.000000080000007</v>
      </c>
      <c r="N204" s="126">
        <f t="shared" si="46"/>
        <v>156</v>
      </c>
      <c r="O204" s="126">
        <f t="shared" si="47"/>
        <v>94</v>
      </c>
      <c r="P204" s="126">
        <f t="shared" si="48"/>
        <v>149</v>
      </c>
      <c r="Q204" s="126">
        <f t="shared" si="49"/>
        <v>162</v>
      </c>
      <c r="R204" s="126">
        <f t="shared" si="50"/>
        <v>6</v>
      </c>
      <c r="S204" s="1">
        <f t="shared" si="42"/>
        <v>1</v>
      </c>
      <c r="T204" s="126">
        <f t="shared" si="51"/>
        <v>6</v>
      </c>
      <c r="U204" s="126">
        <f t="shared" si="43"/>
        <v>761.00000016000001</v>
      </c>
      <c r="W204" s="126">
        <f t="shared" si="52"/>
        <v>162</v>
      </c>
      <c r="X204" s="126">
        <f t="shared" si="53"/>
        <v>141.00000008000001</v>
      </c>
    </row>
    <row r="205" spans="1:24">
      <c r="A205" s="22">
        <f>'Stats 2020'!D37</f>
        <v>43924</v>
      </c>
      <c r="B205" s="128">
        <f>'Stats 2020'!E37</f>
        <v>1</v>
      </c>
      <c r="C205" s="128">
        <v>0</v>
      </c>
      <c r="D205" s="128">
        <f>'Stats 2020'!G37</f>
        <v>1</v>
      </c>
      <c r="E205" s="128">
        <f>'Stats 2020'!H37</f>
        <v>1</v>
      </c>
      <c r="F205" s="128">
        <f>'Stats 2020'!I37</f>
        <v>1</v>
      </c>
      <c r="G205" s="128">
        <f>'Stats 2020'!J37</f>
        <v>1</v>
      </c>
      <c r="J205" s="57" t="s">
        <v>203</v>
      </c>
      <c r="K205" s="86">
        <v>43924</v>
      </c>
      <c r="L205" s="126">
        <f t="shared" si="44"/>
        <v>154.00000008000001</v>
      </c>
      <c r="M205" s="126">
        <f t="shared" si="45"/>
        <v>47.000000080000007</v>
      </c>
      <c r="N205" s="126">
        <f t="shared" si="46"/>
        <v>157</v>
      </c>
      <c r="O205" s="126">
        <f t="shared" si="47"/>
        <v>95</v>
      </c>
      <c r="P205" s="126">
        <f t="shared" si="48"/>
        <v>150</v>
      </c>
      <c r="Q205" s="126">
        <f t="shared" si="49"/>
        <v>163</v>
      </c>
      <c r="R205" s="126">
        <f t="shared" si="50"/>
        <v>6</v>
      </c>
      <c r="S205" s="1">
        <f t="shared" si="42"/>
        <v>1</v>
      </c>
      <c r="T205" s="126">
        <f t="shared" si="51"/>
        <v>6</v>
      </c>
      <c r="U205" s="126">
        <f t="shared" si="43"/>
        <v>766.00000016000001</v>
      </c>
      <c r="W205" s="126">
        <f t="shared" si="52"/>
        <v>163</v>
      </c>
      <c r="X205" s="126">
        <f t="shared" si="53"/>
        <v>142.00000008000001</v>
      </c>
    </row>
    <row r="206" spans="1:24">
      <c r="A206" s="22">
        <f>'Stats 2020'!D38</f>
        <v>43938</v>
      </c>
      <c r="B206" s="128">
        <f>'Stats 2020'!E38</f>
        <v>1</v>
      </c>
      <c r="C206" s="128">
        <v>0</v>
      </c>
      <c r="D206" s="128">
        <f>'Stats 2020'!G38</f>
        <v>1</v>
      </c>
      <c r="E206" s="128">
        <v>0</v>
      </c>
      <c r="F206" s="128">
        <f>'Stats 2020'!I38</f>
        <v>1</v>
      </c>
      <c r="G206" s="128">
        <f>'Stats 2020'!J38</f>
        <v>1</v>
      </c>
      <c r="J206" s="57" t="s">
        <v>204</v>
      </c>
      <c r="K206" s="86">
        <v>43938</v>
      </c>
      <c r="L206" s="126">
        <f t="shared" si="44"/>
        <v>155.00000008000001</v>
      </c>
      <c r="M206" s="126">
        <f t="shared" si="45"/>
        <v>47.000000080000007</v>
      </c>
      <c r="N206" s="126">
        <f t="shared" si="46"/>
        <v>158</v>
      </c>
      <c r="O206" s="126">
        <f t="shared" si="47"/>
        <v>95</v>
      </c>
      <c r="P206" s="126">
        <f t="shared" si="48"/>
        <v>151</v>
      </c>
      <c r="Q206" s="126">
        <f t="shared" si="49"/>
        <v>164</v>
      </c>
      <c r="R206" s="126">
        <f t="shared" si="50"/>
        <v>6</v>
      </c>
      <c r="S206" s="1">
        <f t="shared" si="42"/>
        <v>1</v>
      </c>
      <c r="T206" s="126">
        <f t="shared" si="51"/>
        <v>6</v>
      </c>
      <c r="U206" s="126">
        <f t="shared" si="43"/>
        <v>770.00000016000001</v>
      </c>
      <c r="W206" s="126">
        <f t="shared" si="52"/>
        <v>164</v>
      </c>
      <c r="X206" s="126">
        <f t="shared" si="53"/>
        <v>142.00000008000001</v>
      </c>
    </row>
    <row r="207" spans="1:24">
      <c r="A207" s="22">
        <f>'Stats 2020'!D39</f>
        <v>43945</v>
      </c>
      <c r="B207" s="128">
        <f>'Stats 2020'!E39</f>
        <v>1</v>
      </c>
      <c r="C207" s="128">
        <v>0</v>
      </c>
      <c r="D207" s="128">
        <f>'Stats 2020'!G39</f>
        <v>1</v>
      </c>
      <c r="E207" s="128">
        <f>'Stats 2020'!H39</f>
        <v>1</v>
      </c>
      <c r="F207" s="128">
        <f>'Stats 2020'!I39</f>
        <v>1</v>
      </c>
      <c r="G207" s="128">
        <f>'Stats 2020'!J39</f>
        <v>1</v>
      </c>
      <c r="J207" s="57" t="s">
        <v>205</v>
      </c>
      <c r="K207" s="86">
        <v>43945</v>
      </c>
      <c r="L207" s="126">
        <f t="shared" si="44"/>
        <v>156.00000008000001</v>
      </c>
      <c r="M207" s="126">
        <f t="shared" si="45"/>
        <v>47.000000080000007</v>
      </c>
      <c r="N207" s="126">
        <f t="shared" si="46"/>
        <v>159</v>
      </c>
      <c r="O207" s="126">
        <f t="shared" si="47"/>
        <v>96</v>
      </c>
      <c r="P207" s="126">
        <f t="shared" si="48"/>
        <v>152</v>
      </c>
      <c r="Q207" s="126">
        <f t="shared" si="49"/>
        <v>165</v>
      </c>
      <c r="R207" s="126">
        <f t="shared" si="50"/>
        <v>6</v>
      </c>
      <c r="S207" s="1">
        <f t="shared" si="42"/>
        <v>1</v>
      </c>
      <c r="T207" s="126">
        <f t="shared" si="51"/>
        <v>6</v>
      </c>
      <c r="U207" s="126">
        <f t="shared" si="43"/>
        <v>775.00000016000001</v>
      </c>
      <c r="W207" s="126">
        <f t="shared" si="52"/>
        <v>165</v>
      </c>
      <c r="X207" s="126">
        <f t="shared" si="53"/>
        <v>143.00000008000001</v>
      </c>
    </row>
    <row r="208" spans="1:24">
      <c r="A208" s="22">
        <f>'Stats 2020'!D40</f>
        <v>43952</v>
      </c>
      <c r="B208" s="128">
        <f>'Stats 2020'!E40</f>
        <v>1</v>
      </c>
      <c r="C208" s="128">
        <v>0</v>
      </c>
      <c r="D208" s="128">
        <f>'Stats 2020'!G40</f>
        <v>1</v>
      </c>
      <c r="E208" s="128">
        <f>'Stats 2020'!H40</f>
        <v>1</v>
      </c>
      <c r="F208" s="128">
        <f>'Stats 2020'!I40</f>
        <v>1</v>
      </c>
      <c r="G208" s="128">
        <f>'Stats 2020'!J40</f>
        <v>1</v>
      </c>
      <c r="J208" s="57" t="s">
        <v>206</v>
      </c>
      <c r="K208" s="86">
        <v>43952</v>
      </c>
      <c r="L208" s="126">
        <f t="shared" si="44"/>
        <v>157.00000008000001</v>
      </c>
      <c r="M208" s="126">
        <f t="shared" si="45"/>
        <v>47.000000080000007</v>
      </c>
      <c r="N208" s="126">
        <f t="shared" si="46"/>
        <v>160</v>
      </c>
      <c r="O208" s="126">
        <f t="shared" si="47"/>
        <v>97</v>
      </c>
      <c r="P208" s="126">
        <f t="shared" si="48"/>
        <v>153</v>
      </c>
      <c r="Q208" s="126">
        <f t="shared" si="49"/>
        <v>166</v>
      </c>
      <c r="R208" s="126">
        <f t="shared" si="50"/>
        <v>6</v>
      </c>
      <c r="S208" s="1">
        <f t="shared" si="42"/>
        <v>1</v>
      </c>
      <c r="T208" s="126">
        <f t="shared" si="51"/>
        <v>6</v>
      </c>
      <c r="U208" s="126">
        <f t="shared" si="43"/>
        <v>780.00000016000001</v>
      </c>
      <c r="W208" s="126">
        <f t="shared" si="52"/>
        <v>166</v>
      </c>
      <c r="X208" s="126">
        <f t="shared" si="53"/>
        <v>144.00000008000001</v>
      </c>
    </row>
    <row r="209" spans="1:24">
      <c r="A209" s="22">
        <f>'Stats 2020'!D41</f>
        <v>43959</v>
      </c>
      <c r="B209" s="128">
        <f>'Stats 2020'!E41</f>
        <v>1</v>
      </c>
      <c r="C209" s="128">
        <v>0</v>
      </c>
      <c r="D209" s="128">
        <f>'Stats 2020'!G41</f>
        <v>1</v>
      </c>
      <c r="E209" s="128">
        <v>0</v>
      </c>
      <c r="F209" s="128">
        <f>'Stats 2020'!I41</f>
        <v>1</v>
      </c>
      <c r="G209" s="128">
        <f>'Stats 2020'!J41</f>
        <v>1</v>
      </c>
      <c r="J209" s="57" t="s">
        <v>207</v>
      </c>
      <c r="K209" s="86">
        <v>43959</v>
      </c>
      <c r="L209" s="126">
        <f t="shared" si="44"/>
        <v>158.00000008000001</v>
      </c>
      <c r="M209" s="126">
        <f t="shared" si="45"/>
        <v>47.000000080000007</v>
      </c>
      <c r="N209" s="126">
        <f t="shared" si="46"/>
        <v>161</v>
      </c>
      <c r="O209" s="126">
        <f t="shared" si="47"/>
        <v>97</v>
      </c>
      <c r="P209" s="126">
        <f t="shared" si="48"/>
        <v>154</v>
      </c>
      <c r="Q209" s="126">
        <f t="shared" si="49"/>
        <v>167</v>
      </c>
      <c r="R209" s="126">
        <f t="shared" si="50"/>
        <v>6</v>
      </c>
      <c r="S209" s="1">
        <f t="shared" si="42"/>
        <v>1</v>
      </c>
      <c r="T209" s="126">
        <f t="shared" si="51"/>
        <v>6</v>
      </c>
      <c r="U209" s="126">
        <f t="shared" si="43"/>
        <v>784.00000016000001</v>
      </c>
      <c r="W209" s="126">
        <f t="shared" si="52"/>
        <v>167</v>
      </c>
      <c r="X209" s="126">
        <f t="shared" si="53"/>
        <v>144.00000008000001</v>
      </c>
    </row>
    <row r="210" spans="1:24">
      <c r="A210" s="22">
        <f>'Stats 2020'!D42</f>
        <v>43966</v>
      </c>
      <c r="B210" s="128">
        <f>'Stats 2020'!E42</f>
        <v>1</v>
      </c>
      <c r="C210" s="128">
        <v>0</v>
      </c>
      <c r="D210" s="128">
        <f>'Stats 2020'!G42</f>
        <v>1</v>
      </c>
      <c r="E210" s="128">
        <v>0</v>
      </c>
      <c r="F210" s="128">
        <f>'Stats 2020'!I42</f>
        <v>1</v>
      </c>
      <c r="G210" s="128">
        <f>'Stats 2020'!J42</f>
        <v>1</v>
      </c>
      <c r="J210" s="57" t="s">
        <v>208</v>
      </c>
      <c r="K210" s="86">
        <v>43966</v>
      </c>
      <c r="L210" s="126">
        <f t="shared" si="44"/>
        <v>159.00000008000001</v>
      </c>
      <c r="M210" s="126">
        <f t="shared" si="45"/>
        <v>47.000000080000007</v>
      </c>
      <c r="N210" s="126">
        <f t="shared" si="46"/>
        <v>162</v>
      </c>
      <c r="O210" s="126">
        <f t="shared" si="47"/>
        <v>97</v>
      </c>
      <c r="P210" s="126">
        <f t="shared" si="48"/>
        <v>155</v>
      </c>
      <c r="Q210" s="126">
        <f t="shared" si="49"/>
        <v>168</v>
      </c>
      <c r="R210" s="126">
        <f t="shared" si="50"/>
        <v>6</v>
      </c>
      <c r="S210" s="1">
        <f t="shared" si="42"/>
        <v>1</v>
      </c>
      <c r="T210" s="126">
        <f t="shared" si="51"/>
        <v>6</v>
      </c>
      <c r="U210" s="126">
        <f t="shared" si="43"/>
        <v>788.00000016000001</v>
      </c>
      <c r="W210" s="126">
        <f t="shared" si="52"/>
        <v>168</v>
      </c>
      <c r="X210" s="126">
        <f t="shared" si="53"/>
        <v>144.00000008000001</v>
      </c>
    </row>
    <row r="211" spans="1:24">
      <c r="A211" s="22">
        <f>'Stats 2020'!D43</f>
        <v>43973</v>
      </c>
      <c r="B211" s="128">
        <f>'Stats 2020'!E43</f>
        <v>1</v>
      </c>
      <c r="C211" s="128">
        <v>0</v>
      </c>
      <c r="D211" s="128">
        <f>'Stats 2020'!G43</f>
        <v>1</v>
      </c>
      <c r="E211" s="128">
        <v>0</v>
      </c>
      <c r="F211" s="128">
        <f>'Stats 2020'!I43</f>
        <v>1</v>
      </c>
      <c r="G211" s="128">
        <f>'Stats 2020'!J43</f>
        <v>0</v>
      </c>
      <c r="J211" s="57" t="s">
        <v>209</v>
      </c>
      <c r="K211" s="86">
        <v>43973</v>
      </c>
      <c r="L211" s="126">
        <f t="shared" si="44"/>
        <v>160.00000008000001</v>
      </c>
      <c r="M211" s="126">
        <f t="shared" si="45"/>
        <v>47.000000080000007</v>
      </c>
      <c r="N211" s="126">
        <f t="shared" si="46"/>
        <v>163</v>
      </c>
      <c r="O211" s="126">
        <f t="shared" si="47"/>
        <v>97</v>
      </c>
      <c r="P211" s="126">
        <f t="shared" si="48"/>
        <v>156</v>
      </c>
      <c r="Q211" s="126">
        <f t="shared" si="49"/>
        <v>168</v>
      </c>
      <c r="R211" s="126">
        <f t="shared" si="50"/>
        <v>5</v>
      </c>
      <c r="S211" s="1">
        <f t="shared" si="42"/>
        <v>1</v>
      </c>
      <c r="T211" s="126">
        <f t="shared" si="51"/>
        <v>5</v>
      </c>
      <c r="U211" s="126">
        <f t="shared" si="43"/>
        <v>791.00000016000001</v>
      </c>
      <c r="W211" s="126">
        <f t="shared" si="52"/>
        <v>168</v>
      </c>
      <c r="X211" s="126">
        <f t="shared" si="53"/>
        <v>144.00000008000001</v>
      </c>
    </row>
    <row r="212" spans="1:24">
      <c r="A212" s="22">
        <f>'Stats 2020'!D45</f>
        <v>43980</v>
      </c>
      <c r="B212" s="128">
        <f>'Stats 2020'!E45</f>
        <v>1</v>
      </c>
      <c r="C212" s="128">
        <v>0</v>
      </c>
      <c r="D212" s="128">
        <f>'Stats 2020'!G45</f>
        <v>1</v>
      </c>
      <c r="E212" s="128">
        <v>0</v>
      </c>
      <c r="F212" s="128">
        <f>'Stats 2020'!I45</f>
        <v>1</v>
      </c>
      <c r="G212" s="128">
        <f>'Stats 2020'!J45</f>
        <v>1</v>
      </c>
      <c r="J212" s="57" t="s">
        <v>210</v>
      </c>
      <c r="K212" s="86">
        <v>43980</v>
      </c>
      <c r="L212" s="126">
        <f t="shared" si="44"/>
        <v>161.00000008000001</v>
      </c>
      <c r="M212" s="126">
        <f t="shared" si="45"/>
        <v>47.000000080000007</v>
      </c>
      <c r="N212" s="126">
        <f t="shared" si="46"/>
        <v>164</v>
      </c>
      <c r="O212" s="126">
        <f t="shared" si="47"/>
        <v>97</v>
      </c>
      <c r="P212" s="126">
        <f t="shared" si="48"/>
        <v>157</v>
      </c>
      <c r="Q212" s="126">
        <f t="shared" si="49"/>
        <v>169</v>
      </c>
      <c r="R212" s="126">
        <f t="shared" si="50"/>
        <v>5</v>
      </c>
      <c r="S212" s="1">
        <f t="shared" si="42"/>
        <v>1</v>
      </c>
      <c r="T212" s="126">
        <f t="shared" si="51"/>
        <v>5</v>
      </c>
      <c r="U212" s="126">
        <f t="shared" si="43"/>
        <v>795.00000016000001</v>
      </c>
      <c r="W212" s="126">
        <f t="shared" si="52"/>
        <v>169</v>
      </c>
      <c r="X212" s="126">
        <f t="shared" si="53"/>
        <v>144.00000008000001</v>
      </c>
    </row>
    <row r="213" spans="1:24">
      <c r="A213" s="22">
        <f>'Stats 2020'!D46</f>
        <v>43987</v>
      </c>
      <c r="B213" s="128">
        <f>'Stats 2020'!E46</f>
        <v>1</v>
      </c>
      <c r="C213" s="128">
        <v>0</v>
      </c>
      <c r="D213" s="128">
        <f>'Stats 2020'!G46</f>
        <v>1</v>
      </c>
      <c r="E213" s="128">
        <v>0</v>
      </c>
      <c r="F213" s="128">
        <f>'Stats 2020'!I46</f>
        <v>1</v>
      </c>
      <c r="G213" s="128">
        <f>'Stats 2020'!J46</f>
        <v>1</v>
      </c>
      <c r="J213" s="57" t="s">
        <v>211</v>
      </c>
      <c r="K213" s="86">
        <v>43987</v>
      </c>
      <c r="L213" s="126">
        <f t="shared" si="44"/>
        <v>162.00000008000001</v>
      </c>
      <c r="M213" s="126">
        <f t="shared" si="45"/>
        <v>47.000000080000007</v>
      </c>
      <c r="N213" s="126">
        <f t="shared" si="46"/>
        <v>165</v>
      </c>
      <c r="O213" s="126">
        <f t="shared" si="47"/>
        <v>97</v>
      </c>
      <c r="P213" s="126">
        <f t="shared" si="48"/>
        <v>158</v>
      </c>
      <c r="Q213" s="126">
        <f t="shared" si="49"/>
        <v>170</v>
      </c>
      <c r="R213" s="126">
        <f t="shared" si="50"/>
        <v>5</v>
      </c>
      <c r="S213" s="1">
        <f t="shared" si="42"/>
        <v>1</v>
      </c>
      <c r="T213" s="126">
        <f t="shared" si="51"/>
        <v>5</v>
      </c>
      <c r="U213" s="126">
        <f t="shared" si="43"/>
        <v>799.00000016000001</v>
      </c>
      <c r="W213" s="126">
        <f t="shared" si="52"/>
        <v>170</v>
      </c>
      <c r="X213" s="126">
        <f t="shared" si="53"/>
        <v>144.00000008000001</v>
      </c>
    </row>
    <row r="214" spans="1:24">
      <c r="A214" s="22">
        <f>'Stats 2020'!D47</f>
        <v>43994</v>
      </c>
      <c r="B214" s="128">
        <f>'Stats 2020'!E47</f>
        <v>1</v>
      </c>
      <c r="C214" s="128">
        <v>0</v>
      </c>
      <c r="D214" s="128">
        <f>'Stats 2020'!G47</f>
        <v>1</v>
      </c>
      <c r="E214" s="128">
        <f>'Stats 2020'!H47</f>
        <v>1</v>
      </c>
      <c r="F214" s="128">
        <f>'Stats 2020'!I47</f>
        <v>1</v>
      </c>
      <c r="G214" s="128">
        <f>'Stats 2020'!J47</f>
        <v>1</v>
      </c>
      <c r="J214" s="57" t="s">
        <v>212</v>
      </c>
      <c r="K214" s="86">
        <v>43994</v>
      </c>
      <c r="L214" s="126">
        <f t="shared" si="44"/>
        <v>163.00000008000001</v>
      </c>
      <c r="M214" s="126">
        <f t="shared" si="45"/>
        <v>47.000000080000007</v>
      </c>
      <c r="N214" s="126">
        <f t="shared" si="46"/>
        <v>166</v>
      </c>
      <c r="O214" s="126">
        <f t="shared" si="47"/>
        <v>98</v>
      </c>
      <c r="P214" s="126">
        <f t="shared" si="48"/>
        <v>159</v>
      </c>
      <c r="Q214" s="126">
        <f t="shared" si="49"/>
        <v>171</v>
      </c>
      <c r="R214" s="126">
        <f t="shared" si="50"/>
        <v>5</v>
      </c>
      <c r="S214" s="1">
        <f t="shared" si="42"/>
        <v>1</v>
      </c>
      <c r="T214" s="126">
        <f t="shared" si="51"/>
        <v>5</v>
      </c>
      <c r="U214" s="126">
        <f t="shared" si="43"/>
        <v>804.00000016000001</v>
      </c>
      <c r="W214" s="126">
        <f t="shared" si="52"/>
        <v>171</v>
      </c>
      <c r="X214" s="126">
        <f t="shared" si="53"/>
        <v>145.00000008000001</v>
      </c>
    </row>
    <row r="215" spans="1:24">
      <c r="A215" s="22">
        <f>'Stats 2020'!D49</f>
        <v>44001</v>
      </c>
      <c r="B215" s="128">
        <f>'Stats 2020'!E49</f>
        <v>0</v>
      </c>
      <c r="C215" s="128">
        <v>0</v>
      </c>
      <c r="D215" s="128">
        <f>'Stats 2020'!G49</f>
        <v>1</v>
      </c>
      <c r="E215" s="128">
        <f>'Stats 2020'!H49</f>
        <v>1</v>
      </c>
      <c r="F215" s="128">
        <f>'Stats 2020'!I49</f>
        <v>1</v>
      </c>
      <c r="G215" s="128">
        <f>'Stats 2020'!J49</f>
        <v>1</v>
      </c>
      <c r="J215" s="57" t="s">
        <v>213</v>
      </c>
      <c r="K215" s="86">
        <v>44001</v>
      </c>
      <c r="L215" s="126">
        <f t="shared" si="44"/>
        <v>163.00000008000001</v>
      </c>
      <c r="M215" s="126">
        <f t="shared" si="45"/>
        <v>47.000000080000007</v>
      </c>
      <c r="N215" s="126">
        <f t="shared" si="46"/>
        <v>167</v>
      </c>
      <c r="O215" s="126">
        <f t="shared" si="47"/>
        <v>99</v>
      </c>
      <c r="P215" s="126">
        <f t="shared" si="48"/>
        <v>160</v>
      </c>
      <c r="Q215" s="126">
        <f t="shared" si="49"/>
        <v>172</v>
      </c>
      <c r="R215" s="126">
        <f t="shared" si="50"/>
        <v>5</v>
      </c>
      <c r="S215" s="1">
        <f t="shared" si="42"/>
        <v>1</v>
      </c>
      <c r="T215" s="126">
        <f t="shared" si="51"/>
        <v>5</v>
      </c>
      <c r="U215" s="126">
        <f t="shared" si="43"/>
        <v>808.00000016000001</v>
      </c>
      <c r="W215" s="126">
        <f t="shared" si="52"/>
        <v>172</v>
      </c>
      <c r="X215" s="126">
        <f t="shared" si="53"/>
        <v>146.00000008000001</v>
      </c>
    </row>
    <row r="216" spans="1:24">
      <c r="A216" s="22">
        <f>'Stats 2020'!D50</f>
        <v>44008</v>
      </c>
      <c r="B216" s="128">
        <f>'Stats 2020'!E50</f>
        <v>0</v>
      </c>
      <c r="C216" s="128">
        <v>0</v>
      </c>
      <c r="D216" s="128">
        <f>'Stats 2020'!G50</f>
        <v>1</v>
      </c>
      <c r="E216" s="128">
        <v>0</v>
      </c>
      <c r="F216" s="128">
        <f>'Stats 2020'!I50</f>
        <v>1</v>
      </c>
      <c r="G216" s="128">
        <f>'Stats 2020'!J50</f>
        <v>1</v>
      </c>
      <c r="J216" s="57" t="s">
        <v>214</v>
      </c>
      <c r="K216" s="86">
        <v>44008</v>
      </c>
      <c r="L216" s="126">
        <f t="shared" si="44"/>
        <v>163.00000008000001</v>
      </c>
      <c r="M216" s="126">
        <f t="shared" si="45"/>
        <v>47.000000080000007</v>
      </c>
      <c r="N216" s="126">
        <f t="shared" si="46"/>
        <v>168</v>
      </c>
      <c r="O216" s="126">
        <f t="shared" si="47"/>
        <v>99</v>
      </c>
      <c r="P216" s="126">
        <f t="shared" si="48"/>
        <v>161</v>
      </c>
      <c r="Q216" s="126">
        <f t="shared" si="49"/>
        <v>173</v>
      </c>
      <c r="R216" s="126">
        <f t="shared" si="50"/>
        <v>5</v>
      </c>
      <c r="S216" s="1">
        <f t="shared" si="42"/>
        <v>1</v>
      </c>
      <c r="T216" s="126">
        <f t="shared" si="51"/>
        <v>5</v>
      </c>
      <c r="U216" s="126">
        <f t="shared" si="43"/>
        <v>811.00000016000001</v>
      </c>
      <c r="W216" s="126">
        <f t="shared" si="52"/>
        <v>173</v>
      </c>
      <c r="X216" s="126">
        <f t="shared" si="53"/>
        <v>146.00000008000001</v>
      </c>
    </row>
    <row r="217" spans="1:24">
      <c r="A217" s="22">
        <f>'Stats 2020'!D52</f>
        <v>44015</v>
      </c>
      <c r="B217" s="128">
        <f>'Stats 2020'!E52</f>
        <v>1</v>
      </c>
      <c r="C217" s="128">
        <v>0</v>
      </c>
      <c r="D217" s="128">
        <f>'Stats 2020'!G52</f>
        <v>1</v>
      </c>
      <c r="E217" s="128">
        <v>0</v>
      </c>
      <c r="F217" s="128">
        <f>'Stats 2020'!I52</f>
        <v>1</v>
      </c>
      <c r="G217" s="128">
        <f>'Stats 2020'!J52</f>
        <v>1</v>
      </c>
      <c r="J217" s="57" t="s">
        <v>215</v>
      </c>
      <c r="K217" s="86">
        <v>44015</v>
      </c>
      <c r="L217" s="126">
        <f t="shared" si="44"/>
        <v>164.00000008000001</v>
      </c>
      <c r="M217" s="126">
        <f t="shared" si="45"/>
        <v>47.000000080000007</v>
      </c>
      <c r="N217" s="126">
        <f t="shared" si="46"/>
        <v>169</v>
      </c>
      <c r="O217" s="126">
        <f t="shared" si="47"/>
        <v>99</v>
      </c>
      <c r="P217" s="126">
        <f t="shared" si="48"/>
        <v>162</v>
      </c>
      <c r="Q217" s="126">
        <f t="shared" si="49"/>
        <v>174</v>
      </c>
      <c r="R217" s="126">
        <f t="shared" si="50"/>
        <v>5</v>
      </c>
      <c r="S217" s="1">
        <f t="shared" si="42"/>
        <v>1</v>
      </c>
      <c r="T217" s="126">
        <f t="shared" si="51"/>
        <v>5</v>
      </c>
      <c r="U217" s="126">
        <f t="shared" si="43"/>
        <v>815.00000016000001</v>
      </c>
      <c r="W217" s="126">
        <f t="shared" si="52"/>
        <v>174</v>
      </c>
      <c r="X217" s="126">
        <f t="shared" si="53"/>
        <v>146.00000008000001</v>
      </c>
    </row>
    <row r="218" spans="1:24">
      <c r="A218" s="22">
        <f>'Stats 2020'!D54</f>
        <v>44022</v>
      </c>
      <c r="B218" s="128">
        <f>'Stats 2020'!E54</f>
        <v>1</v>
      </c>
      <c r="C218" s="128">
        <v>0</v>
      </c>
      <c r="D218" s="128">
        <f>'Stats 2020'!G54</f>
        <v>1</v>
      </c>
      <c r="E218" s="128">
        <v>0</v>
      </c>
      <c r="F218" s="128">
        <f>'Stats 2020'!I54</f>
        <v>0</v>
      </c>
      <c r="G218" s="128">
        <f>'Stats 2020'!J54</f>
        <v>1</v>
      </c>
      <c r="J218" s="57" t="s">
        <v>216</v>
      </c>
      <c r="K218" s="86">
        <v>44022</v>
      </c>
      <c r="L218" s="126">
        <f t="shared" si="44"/>
        <v>165.00000008000001</v>
      </c>
      <c r="M218" s="126">
        <f t="shared" si="45"/>
        <v>47.000000080000007</v>
      </c>
      <c r="N218" s="126">
        <f t="shared" si="46"/>
        <v>170</v>
      </c>
      <c r="O218" s="126">
        <f t="shared" si="47"/>
        <v>99</v>
      </c>
      <c r="P218" s="126">
        <f t="shared" si="48"/>
        <v>162</v>
      </c>
      <c r="Q218" s="126">
        <f t="shared" si="49"/>
        <v>175</v>
      </c>
      <c r="R218" s="126">
        <f t="shared" si="50"/>
        <v>5</v>
      </c>
      <c r="S218" s="1">
        <f t="shared" si="42"/>
        <v>1</v>
      </c>
      <c r="T218" s="126">
        <f t="shared" si="51"/>
        <v>5</v>
      </c>
      <c r="U218" s="126">
        <f t="shared" si="43"/>
        <v>818.00000016000001</v>
      </c>
      <c r="W218" s="126">
        <f t="shared" si="52"/>
        <v>175</v>
      </c>
      <c r="X218" s="126">
        <f t="shared" si="53"/>
        <v>146.00000008000001</v>
      </c>
    </row>
    <row r="219" spans="1:24">
      <c r="A219" s="22">
        <f>'Stats 2020'!D55</f>
        <v>44029</v>
      </c>
      <c r="B219" s="128">
        <f>'Stats 2020'!E55</f>
        <v>0</v>
      </c>
      <c r="C219" s="128">
        <v>0</v>
      </c>
      <c r="D219" s="128">
        <f>'Stats 2020'!G55</f>
        <v>0</v>
      </c>
      <c r="E219" s="128">
        <v>0</v>
      </c>
      <c r="F219" s="128">
        <f>'Stats 2020'!I55</f>
        <v>1</v>
      </c>
      <c r="G219" s="128">
        <f>'Stats 2020'!J55</f>
        <v>1</v>
      </c>
      <c r="J219" s="57" t="s">
        <v>217</v>
      </c>
      <c r="K219" s="86">
        <v>44029</v>
      </c>
      <c r="L219" s="126">
        <f t="shared" si="44"/>
        <v>165.00000008000001</v>
      </c>
      <c r="M219" s="126">
        <f t="shared" si="45"/>
        <v>47.000000080000007</v>
      </c>
      <c r="N219" s="126">
        <f t="shared" si="46"/>
        <v>170</v>
      </c>
      <c r="O219" s="126">
        <f t="shared" si="47"/>
        <v>99</v>
      </c>
      <c r="P219" s="126">
        <f t="shared" si="48"/>
        <v>163</v>
      </c>
      <c r="Q219" s="126">
        <f t="shared" si="49"/>
        <v>176</v>
      </c>
      <c r="R219" s="126">
        <f t="shared" si="50"/>
        <v>6</v>
      </c>
      <c r="S219" s="1">
        <f t="shared" si="42"/>
        <v>1</v>
      </c>
      <c r="T219" s="126">
        <f t="shared" si="51"/>
        <v>6</v>
      </c>
      <c r="U219" s="126">
        <f t="shared" si="43"/>
        <v>820.00000016000001</v>
      </c>
      <c r="W219" s="126">
        <f t="shared" si="52"/>
        <v>176</v>
      </c>
      <c r="X219" s="126">
        <f t="shared" si="53"/>
        <v>146.00000008000001</v>
      </c>
    </row>
    <row r="220" spans="1:24">
      <c r="A220" s="22">
        <f>'Stats 2020'!D56</f>
        <v>44036</v>
      </c>
      <c r="B220" s="128">
        <f>'Stats 2020'!E56</f>
        <v>1</v>
      </c>
      <c r="C220" s="128">
        <f>'Stats 2020'!F56</f>
        <v>1</v>
      </c>
      <c r="D220" s="128">
        <f>'Stats 2020'!G56</f>
        <v>1</v>
      </c>
      <c r="E220" s="128">
        <f>'Stats 2020'!H56</f>
        <v>1</v>
      </c>
      <c r="F220" s="128">
        <f>'Stats 2020'!I56</f>
        <v>1</v>
      </c>
      <c r="G220" s="128">
        <f>'Stats 2020'!J56</f>
        <v>0</v>
      </c>
      <c r="J220" s="57" t="s">
        <v>218</v>
      </c>
      <c r="K220" s="86">
        <v>44036</v>
      </c>
      <c r="L220" s="126">
        <f t="shared" si="44"/>
        <v>166.00000008000001</v>
      </c>
      <c r="M220" s="126">
        <f t="shared" si="45"/>
        <v>48.000000080000007</v>
      </c>
      <c r="N220" s="126">
        <f t="shared" si="46"/>
        <v>171</v>
      </c>
      <c r="O220" s="126">
        <f t="shared" si="47"/>
        <v>100</v>
      </c>
      <c r="P220" s="126">
        <f t="shared" si="48"/>
        <v>164</v>
      </c>
      <c r="Q220" s="126">
        <f t="shared" si="49"/>
        <v>176</v>
      </c>
      <c r="R220" s="126">
        <f t="shared" si="50"/>
        <v>5</v>
      </c>
      <c r="S220" s="1">
        <f t="shared" si="42"/>
        <v>1</v>
      </c>
      <c r="T220" s="126">
        <f t="shared" si="51"/>
        <v>5</v>
      </c>
      <c r="U220" s="126">
        <f t="shared" si="43"/>
        <v>825.00000016000001</v>
      </c>
      <c r="W220" s="126">
        <f t="shared" si="52"/>
        <v>176</v>
      </c>
      <c r="X220" s="126">
        <f t="shared" si="53"/>
        <v>148.00000008000001</v>
      </c>
    </row>
    <row r="221" spans="1:24">
      <c r="A221" s="22">
        <f>'Stats 2020'!D57</f>
        <v>44043</v>
      </c>
      <c r="B221" s="128">
        <f>'Stats 2020'!E57</f>
        <v>0</v>
      </c>
      <c r="C221" s="128">
        <v>0</v>
      </c>
      <c r="D221" s="128">
        <f>'Stats 2020'!G57</f>
        <v>1</v>
      </c>
      <c r="E221" s="128">
        <v>0</v>
      </c>
      <c r="F221" s="128">
        <f>'Stats 2020'!I57</f>
        <v>1</v>
      </c>
      <c r="G221" s="128">
        <f>'Stats 2020'!J57</f>
        <v>1</v>
      </c>
      <c r="J221" s="57" t="s">
        <v>219</v>
      </c>
      <c r="K221" s="86">
        <v>44043</v>
      </c>
      <c r="L221" s="126">
        <f t="shared" si="44"/>
        <v>166.00000008000001</v>
      </c>
      <c r="M221" s="126">
        <f t="shared" si="45"/>
        <v>48.000000080000007</v>
      </c>
      <c r="N221" s="126">
        <f t="shared" si="46"/>
        <v>172</v>
      </c>
      <c r="O221" s="144">
        <f t="shared" si="47"/>
        <v>100</v>
      </c>
      <c r="P221" s="126">
        <f t="shared" si="48"/>
        <v>165</v>
      </c>
      <c r="Q221" s="126">
        <f t="shared" si="49"/>
        <v>177</v>
      </c>
      <c r="R221" s="126">
        <f t="shared" si="50"/>
        <v>5</v>
      </c>
      <c r="S221" s="1">
        <f t="shared" si="42"/>
        <v>1</v>
      </c>
      <c r="T221" s="126">
        <f t="shared" si="51"/>
        <v>5</v>
      </c>
      <c r="U221" s="126">
        <f t="shared" si="43"/>
        <v>828.00000016000001</v>
      </c>
      <c r="W221" s="126">
        <f t="shared" si="52"/>
        <v>177</v>
      </c>
      <c r="X221" s="126">
        <f t="shared" si="53"/>
        <v>148.00000008000001</v>
      </c>
    </row>
    <row r="222" spans="1:24">
      <c r="A222" s="22">
        <f>'Stats 2020'!D58</f>
        <v>44050</v>
      </c>
      <c r="B222" s="128">
        <f>'Stats 2020'!E58</f>
        <v>1</v>
      </c>
      <c r="C222" s="128">
        <v>0</v>
      </c>
      <c r="D222" s="128">
        <f>'Stats 2020'!G58</f>
        <v>1</v>
      </c>
      <c r="E222" s="128">
        <v>0</v>
      </c>
      <c r="F222" s="128">
        <f>'Stats 2020'!I58</f>
        <v>1</v>
      </c>
      <c r="G222" s="128">
        <f>'Stats 2020'!J58</f>
        <v>1</v>
      </c>
      <c r="J222" s="57" t="s">
        <v>220</v>
      </c>
      <c r="K222" s="86">
        <v>44050</v>
      </c>
      <c r="L222" s="126">
        <f t="shared" si="44"/>
        <v>167.00000008000001</v>
      </c>
      <c r="M222" s="126">
        <f t="shared" si="45"/>
        <v>48.000000080000007</v>
      </c>
      <c r="N222" s="126">
        <f t="shared" si="46"/>
        <v>173</v>
      </c>
      <c r="O222" s="126">
        <f t="shared" si="47"/>
        <v>100</v>
      </c>
      <c r="P222" s="126">
        <f t="shared" si="48"/>
        <v>166</v>
      </c>
      <c r="Q222" s="126">
        <f t="shared" si="49"/>
        <v>178</v>
      </c>
      <c r="R222" s="126">
        <f t="shared" si="50"/>
        <v>5</v>
      </c>
      <c r="S222" s="1">
        <f t="shared" si="42"/>
        <v>1</v>
      </c>
      <c r="T222" s="126">
        <f t="shared" si="51"/>
        <v>5</v>
      </c>
      <c r="U222" s="126">
        <f t="shared" si="43"/>
        <v>832.00000016000001</v>
      </c>
      <c r="W222" s="126">
        <f t="shared" si="52"/>
        <v>178</v>
      </c>
      <c r="X222" s="126">
        <f t="shared" si="53"/>
        <v>148.00000008000001</v>
      </c>
    </row>
    <row r="223" spans="1:24">
      <c r="A223" s="22">
        <f>'Stats 2020'!D60</f>
        <v>44057</v>
      </c>
      <c r="B223" s="128">
        <f>'Stats 2020'!E60</f>
        <v>1</v>
      </c>
      <c r="C223" s="128">
        <f>'Stats 2020'!F60</f>
        <v>1</v>
      </c>
      <c r="D223" s="128">
        <f>'Stats 2020'!G60</f>
        <v>1</v>
      </c>
      <c r="E223" s="128">
        <v>0</v>
      </c>
      <c r="F223" s="128">
        <f>'Stats 2020'!I60</f>
        <v>1</v>
      </c>
      <c r="G223" s="128">
        <f>'Stats 2020'!J60</f>
        <v>1</v>
      </c>
      <c r="J223" s="57" t="s">
        <v>221</v>
      </c>
      <c r="K223" s="86">
        <v>44057</v>
      </c>
      <c r="L223" s="126">
        <f t="shared" si="44"/>
        <v>168.00000008000001</v>
      </c>
      <c r="M223" s="126">
        <f t="shared" si="45"/>
        <v>49.000000080000007</v>
      </c>
      <c r="N223" s="126">
        <f t="shared" si="46"/>
        <v>174</v>
      </c>
      <c r="O223" s="126">
        <f t="shared" si="47"/>
        <v>100</v>
      </c>
      <c r="P223" s="126">
        <f t="shared" si="48"/>
        <v>167</v>
      </c>
      <c r="Q223" s="126">
        <f t="shared" si="49"/>
        <v>179</v>
      </c>
      <c r="R223" s="126">
        <f t="shared" si="50"/>
        <v>5</v>
      </c>
      <c r="S223" s="1">
        <f t="shared" si="42"/>
        <v>1</v>
      </c>
      <c r="T223" s="126">
        <f t="shared" si="51"/>
        <v>5</v>
      </c>
      <c r="U223" s="126">
        <f t="shared" si="43"/>
        <v>837.00000016000001</v>
      </c>
      <c r="W223" s="126">
        <f t="shared" si="52"/>
        <v>179</v>
      </c>
      <c r="X223" s="126">
        <f t="shared" si="53"/>
        <v>149.00000008000001</v>
      </c>
    </row>
    <row r="224" spans="1:24">
      <c r="A224" s="22">
        <f>'Stats 2020'!D61</f>
        <v>44064</v>
      </c>
      <c r="B224" s="128">
        <f>'Stats 2020'!E61</f>
        <v>1</v>
      </c>
      <c r="C224" s="128">
        <v>0</v>
      </c>
      <c r="D224" s="128">
        <f>'Stats 2020'!G61</f>
        <v>0</v>
      </c>
      <c r="E224" s="128">
        <f>'Stats 2020'!H61</f>
        <v>1</v>
      </c>
      <c r="F224" s="128">
        <f>'Stats 2020'!I61</f>
        <v>1</v>
      </c>
      <c r="G224" s="128">
        <f>'Stats 2020'!J61</f>
        <v>1</v>
      </c>
      <c r="J224" s="57" t="s">
        <v>222</v>
      </c>
      <c r="K224" s="86">
        <v>44064</v>
      </c>
      <c r="L224" s="126">
        <f t="shared" si="44"/>
        <v>169.00000008000001</v>
      </c>
      <c r="M224" s="126">
        <f t="shared" si="45"/>
        <v>49.000000080000007</v>
      </c>
      <c r="N224" s="126">
        <f t="shared" si="46"/>
        <v>174</v>
      </c>
      <c r="O224" s="126">
        <f t="shared" si="47"/>
        <v>101</v>
      </c>
      <c r="P224" s="126">
        <f t="shared" si="48"/>
        <v>168</v>
      </c>
      <c r="Q224" s="126">
        <f t="shared" si="49"/>
        <v>180</v>
      </c>
      <c r="R224" s="126">
        <f t="shared" si="50"/>
        <v>6</v>
      </c>
      <c r="S224" s="1">
        <f t="shared" si="42"/>
        <v>1</v>
      </c>
      <c r="T224" s="126">
        <f t="shared" si="51"/>
        <v>6</v>
      </c>
      <c r="U224" s="126">
        <f t="shared" si="43"/>
        <v>841.00000016000001</v>
      </c>
      <c r="W224" s="126">
        <f t="shared" si="52"/>
        <v>180</v>
      </c>
      <c r="X224" s="126">
        <f t="shared" si="53"/>
        <v>150.00000008000001</v>
      </c>
    </row>
    <row r="225" spans="1:24">
      <c r="A225" s="22">
        <f>'Stats 2020'!D62</f>
        <v>44071</v>
      </c>
      <c r="B225" s="128">
        <f>'Stats 2020'!E62</f>
        <v>0</v>
      </c>
      <c r="C225" s="128">
        <v>0</v>
      </c>
      <c r="D225" s="128">
        <f>'Stats 2020'!G62</f>
        <v>1</v>
      </c>
      <c r="E225" s="128">
        <f>'Stats 2020'!H62</f>
        <v>1</v>
      </c>
      <c r="F225" s="128">
        <f>'Stats 2020'!I62</f>
        <v>0</v>
      </c>
      <c r="G225" s="128">
        <f>'Stats 2020'!J62</f>
        <v>1</v>
      </c>
      <c r="J225" s="57" t="s">
        <v>223</v>
      </c>
      <c r="K225" s="86">
        <v>44071</v>
      </c>
      <c r="L225" s="126">
        <f t="shared" si="44"/>
        <v>169.00000008000001</v>
      </c>
      <c r="M225" s="126">
        <f t="shared" si="45"/>
        <v>49.000000080000007</v>
      </c>
      <c r="N225" s="126">
        <f t="shared" si="46"/>
        <v>175</v>
      </c>
      <c r="O225" s="126">
        <f t="shared" si="47"/>
        <v>102</v>
      </c>
      <c r="P225" s="126">
        <f t="shared" si="48"/>
        <v>168</v>
      </c>
      <c r="Q225" s="126">
        <f t="shared" si="49"/>
        <v>181</v>
      </c>
      <c r="R225" s="126">
        <f t="shared" si="50"/>
        <v>6</v>
      </c>
      <c r="S225" s="1">
        <f t="shared" si="42"/>
        <v>1</v>
      </c>
      <c r="T225" s="126">
        <f t="shared" si="51"/>
        <v>6</v>
      </c>
      <c r="U225" s="126">
        <f t="shared" si="43"/>
        <v>844.00000016000001</v>
      </c>
      <c r="W225" s="126">
        <f t="shared" si="52"/>
        <v>181</v>
      </c>
      <c r="X225" s="126">
        <f t="shared" si="53"/>
        <v>151.00000008000001</v>
      </c>
    </row>
    <row r="226" spans="1:24">
      <c r="A226" s="22">
        <f>'Stats 2020'!D64</f>
        <v>44078</v>
      </c>
      <c r="B226" s="128">
        <f>'Stats 2020'!E64</f>
        <v>1</v>
      </c>
      <c r="C226" s="128">
        <v>0</v>
      </c>
      <c r="D226" s="128">
        <f>'Stats 2020'!G64</f>
        <v>1</v>
      </c>
      <c r="E226" s="128">
        <v>1</v>
      </c>
      <c r="F226" s="128">
        <f>'Stats 2020'!I64</f>
        <v>1</v>
      </c>
      <c r="G226" s="128">
        <f>'Stats 2020'!J64</f>
        <v>1</v>
      </c>
      <c r="J226" s="57" t="s">
        <v>224</v>
      </c>
      <c r="K226" s="86">
        <v>44078</v>
      </c>
      <c r="L226" s="126">
        <f t="shared" si="44"/>
        <v>170.00000008000001</v>
      </c>
      <c r="M226" s="126">
        <f t="shared" si="45"/>
        <v>49.000000080000007</v>
      </c>
      <c r="N226" s="126">
        <f t="shared" si="46"/>
        <v>176</v>
      </c>
      <c r="O226" s="126">
        <f t="shared" si="47"/>
        <v>103</v>
      </c>
      <c r="P226" s="126">
        <f t="shared" si="48"/>
        <v>169</v>
      </c>
      <c r="Q226" s="126">
        <f t="shared" si="49"/>
        <v>182</v>
      </c>
      <c r="R226" s="126">
        <f t="shared" si="50"/>
        <v>6</v>
      </c>
      <c r="S226" s="1">
        <f t="shared" si="42"/>
        <v>1</v>
      </c>
      <c r="T226" s="126">
        <f t="shared" si="51"/>
        <v>6</v>
      </c>
      <c r="U226" s="126">
        <f t="shared" si="43"/>
        <v>849.00000016000001</v>
      </c>
      <c r="W226" s="126">
        <f t="shared" si="52"/>
        <v>182</v>
      </c>
      <c r="X226" s="126">
        <f t="shared" si="53"/>
        <v>152.00000008000001</v>
      </c>
    </row>
    <row r="227" spans="1:24">
      <c r="A227" s="22">
        <f>'Stats 2020'!D65</f>
        <v>44085</v>
      </c>
      <c r="B227" s="128">
        <f>'Stats 2020'!E65</f>
        <v>1</v>
      </c>
      <c r="C227" s="128">
        <v>0</v>
      </c>
      <c r="D227" s="128">
        <f>'Stats 2020'!G65</f>
        <v>1</v>
      </c>
      <c r="E227" s="128">
        <v>0</v>
      </c>
      <c r="F227" s="128">
        <f>'Stats 2020'!I65</f>
        <v>1</v>
      </c>
      <c r="G227" s="128">
        <f>'Stats 2020'!J65</f>
        <v>1</v>
      </c>
      <c r="J227" s="57" t="s">
        <v>225</v>
      </c>
      <c r="K227" s="86">
        <v>44085</v>
      </c>
      <c r="L227" s="126">
        <f t="shared" si="44"/>
        <v>171.00000008000001</v>
      </c>
      <c r="M227" s="126">
        <f t="shared" si="45"/>
        <v>49.000000080000007</v>
      </c>
      <c r="N227" s="126">
        <f t="shared" si="46"/>
        <v>177</v>
      </c>
      <c r="O227" s="126">
        <f t="shared" si="47"/>
        <v>103</v>
      </c>
      <c r="P227" s="126">
        <f t="shared" si="48"/>
        <v>170</v>
      </c>
      <c r="Q227" s="126">
        <f t="shared" si="49"/>
        <v>183</v>
      </c>
      <c r="R227" s="126">
        <f t="shared" si="50"/>
        <v>6</v>
      </c>
      <c r="S227" s="1">
        <f t="shared" si="42"/>
        <v>1</v>
      </c>
      <c r="T227" s="126">
        <f t="shared" si="51"/>
        <v>6</v>
      </c>
      <c r="U227" s="126">
        <f t="shared" si="43"/>
        <v>853.00000016000001</v>
      </c>
      <c r="W227" s="126">
        <f t="shared" si="52"/>
        <v>183</v>
      </c>
      <c r="X227" s="126">
        <f t="shared" si="53"/>
        <v>152.00000008000001</v>
      </c>
    </row>
    <row r="228" spans="1:24">
      <c r="A228" s="22">
        <f>'Stats 2020'!D66</f>
        <v>44092</v>
      </c>
      <c r="B228" s="128">
        <f>'Stats 2020'!E66</f>
        <v>1</v>
      </c>
      <c r="C228" s="128">
        <v>0</v>
      </c>
      <c r="D228" s="128">
        <f>'Stats 2020'!G66</f>
        <v>1</v>
      </c>
      <c r="E228" s="128">
        <f>'Stats 2020'!H66</f>
        <v>1</v>
      </c>
      <c r="F228" s="128">
        <f>'Stats 2020'!I66</f>
        <v>0</v>
      </c>
      <c r="G228" s="128">
        <f>'Stats 2020'!J66</f>
        <v>1</v>
      </c>
      <c r="J228" s="57" t="s">
        <v>226</v>
      </c>
      <c r="K228" s="86">
        <v>44092</v>
      </c>
      <c r="L228" s="126">
        <f t="shared" si="44"/>
        <v>172.00000008000001</v>
      </c>
      <c r="M228" s="126">
        <f t="shared" si="45"/>
        <v>49.000000080000007</v>
      </c>
      <c r="N228" s="126">
        <f t="shared" si="46"/>
        <v>178</v>
      </c>
      <c r="O228" s="126">
        <f t="shared" si="47"/>
        <v>104</v>
      </c>
      <c r="P228" s="126">
        <f t="shared" si="48"/>
        <v>170</v>
      </c>
      <c r="Q228" s="126">
        <f t="shared" si="49"/>
        <v>184</v>
      </c>
      <c r="R228" s="126">
        <f t="shared" si="50"/>
        <v>6</v>
      </c>
      <c r="S228" s="1">
        <f t="shared" si="42"/>
        <v>1</v>
      </c>
      <c r="T228" s="126">
        <f t="shared" si="51"/>
        <v>6</v>
      </c>
      <c r="U228" s="126">
        <f t="shared" si="43"/>
        <v>857.00000016000001</v>
      </c>
      <c r="W228" s="126">
        <f t="shared" si="52"/>
        <v>184</v>
      </c>
      <c r="X228" s="126">
        <f t="shared" si="53"/>
        <v>153.00000008000001</v>
      </c>
    </row>
    <row r="229" spans="1:24">
      <c r="A229" s="22">
        <f>'Stats 2020'!D68</f>
        <v>44099</v>
      </c>
      <c r="B229" s="128">
        <f>'Stats 2020'!E68</f>
        <v>1</v>
      </c>
      <c r="C229" s="128">
        <v>0</v>
      </c>
      <c r="D229" s="128">
        <f>'Stats 2020'!G68</f>
        <v>1</v>
      </c>
      <c r="E229" s="128">
        <v>0</v>
      </c>
      <c r="F229" s="128">
        <f>'Stats 2020'!I68</f>
        <v>1</v>
      </c>
      <c r="G229" s="128">
        <f>'Stats 2020'!J68</f>
        <v>1</v>
      </c>
      <c r="J229" s="57" t="s">
        <v>227</v>
      </c>
      <c r="K229" s="86">
        <v>44099</v>
      </c>
      <c r="L229" s="126">
        <f t="shared" si="44"/>
        <v>173.00000008000001</v>
      </c>
      <c r="M229" s="126">
        <f t="shared" si="45"/>
        <v>49.000000080000007</v>
      </c>
      <c r="N229" s="126">
        <f t="shared" si="46"/>
        <v>179</v>
      </c>
      <c r="O229" s="126">
        <f t="shared" si="47"/>
        <v>104</v>
      </c>
      <c r="P229" s="126">
        <f t="shared" si="48"/>
        <v>171</v>
      </c>
      <c r="Q229" s="126">
        <f t="shared" si="49"/>
        <v>185</v>
      </c>
      <c r="R229" s="126">
        <f t="shared" si="50"/>
        <v>6</v>
      </c>
      <c r="S229" s="1">
        <f t="shared" si="42"/>
        <v>1</v>
      </c>
      <c r="T229" s="126">
        <f t="shared" si="51"/>
        <v>6</v>
      </c>
      <c r="U229" s="126">
        <f t="shared" si="43"/>
        <v>861.00000016000001</v>
      </c>
      <c r="W229" s="126">
        <f t="shared" si="52"/>
        <v>185</v>
      </c>
      <c r="X229" s="126">
        <f t="shared" si="53"/>
        <v>153.00000008000001</v>
      </c>
    </row>
    <row r="230" spans="1:24">
      <c r="A230" s="22">
        <f>'Stats 2020'!D69</f>
        <v>44106</v>
      </c>
      <c r="B230" s="128">
        <f>'Stats 2020'!E69</f>
        <v>1</v>
      </c>
      <c r="C230" s="128">
        <v>0</v>
      </c>
      <c r="D230" s="128">
        <f>'Stats 2020'!G69</f>
        <v>1</v>
      </c>
      <c r="E230" s="128">
        <v>0</v>
      </c>
      <c r="F230" s="128">
        <f>'Stats 2020'!I69</f>
        <v>1</v>
      </c>
      <c r="G230" s="128">
        <f>'Stats 2020'!J69</f>
        <v>1</v>
      </c>
      <c r="J230" s="57" t="s">
        <v>228</v>
      </c>
      <c r="K230" s="86">
        <v>44106</v>
      </c>
      <c r="L230" s="126">
        <f t="shared" si="44"/>
        <v>174.00000008000001</v>
      </c>
      <c r="M230" s="126">
        <f t="shared" si="45"/>
        <v>49.000000080000007</v>
      </c>
      <c r="N230" s="126">
        <f t="shared" si="46"/>
        <v>180</v>
      </c>
      <c r="O230" s="126">
        <f t="shared" si="47"/>
        <v>104</v>
      </c>
      <c r="P230" s="126">
        <f t="shared" si="48"/>
        <v>172</v>
      </c>
      <c r="Q230" s="126">
        <f t="shared" si="49"/>
        <v>186</v>
      </c>
      <c r="R230" s="126">
        <f t="shared" si="50"/>
        <v>6</v>
      </c>
      <c r="S230" s="1">
        <f t="shared" si="42"/>
        <v>1</v>
      </c>
      <c r="T230" s="126">
        <f t="shared" si="51"/>
        <v>6</v>
      </c>
      <c r="U230" s="126">
        <f t="shared" si="43"/>
        <v>865.00000016000001</v>
      </c>
      <c r="W230" s="126">
        <f t="shared" si="52"/>
        <v>186</v>
      </c>
      <c r="X230" s="126">
        <f t="shared" si="53"/>
        <v>153.00000008000001</v>
      </c>
    </row>
    <row r="231" spans="1:24">
      <c r="A231" s="22">
        <f>'Stats 2020'!D71</f>
        <v>44113</v>
      </c>
      <c r="B231" s="128">
        <f>'Stats 2020'!E71</f>
        <v>1</v>
      </c>
      <c r="C231" s="128">
        <v>0</v>
      </c>
      <c r="D231" s="128">
        <f>'Stats 2020'!G71</f>
        <v>0</v>
      </c>
      <c r="E231" s="128">
        <v>0</v>
      </c>
      <c r="F231" s="128">
        <f>'Stats 2020'!I71</f>
        <v>1</v>
      </c>
      <c r="G231" s="128">
        <f>'Stats 2020'!J71</f>
        <v>1</v>
      </c>
      <c r="J231" s="57" t="s">
        <v>229</v>
      </c>
      <c r="K231" s="86">
        <v>44113</v>
      </c>
      <c r="L231" s="126">
        <f t="shared" si="44"/>
        <v>175.00000008000001</v>
      </c>
      <c r="M231" s="126">
        <f t="shared" si="45"/>
        <v>49.000000080000007</v>
      </c>
      <c r="N231" s="126">
        <f t="shared" si="46"/>
        <v>180</v>
      </c>
      <c r="O231" s="126">
        <f t="shared" si="47"/>
        <v>104</v>
      </c>
      <c r="P231" s="126">
        <f t="shared" si="48"/>
        <v>173</v>
      </c>
      <c r="Q231" s="126">
        <f t="shared" si="49"/>
        <v>187</v>
      </c>
      <c r="R231" s="126">
        <f t="shared" si="50"/>
        <v>7</v>
      </c>
      <c r="S231" s="1">
        <f t="shared" si="42"/>
        <v>1</v>
      </c>
      <c r="T231" s="126">
        <f t="shared" si="51"/>
        <v>7</v>
      </c>
      <c r="U231" s="126">
        <f t="shared" si="43"/>
        <v>868.00000016000001</v>
      </c>
      <c r="W231" s="126">
        <f t="shared" si="52"/>
        <v>187</v>
      </c>
      <c r="X231" s="126">
        <f t="shared" si="53"/>
        <v>153.00000008000001</v>
      </c>
    </row>
    <row r="232" spans="1:24">
      <c r="A232" s="22">
        <f>'Stats 2020'!D72</f>
        <v>44120</v>
      </c>
      <c r="B232" s="128">
        <f>'Stats 2020'!E72</f>
        <v>1</v>
      </c>
      <c r="C232" s="128">
        <v>0</v>
      </c>
      <c r="D232" s="128">
        <f>'Stats 2020'!G72</f>
        <v>1</v>
      </c>
      <c r="E232" s="128">
        <v>0</v>
      </c>
      <c r="F232" s="128">
        <f>'Stats 2020'!I72</f>
        <v>1</v>
      </c>
      <c r="G232" s="128">
        <f>'Stats 2020'!J72</f>
        <v>1</v>
      </c>
      <c r="J232" s="57" t="s">
        <v>230</v>
      </c>
      <c r="K232" s="86">
        <v>44120</v>
      </c>
      <c r="L232" s="126">
        <f t="shared" si="44"/>
        <v>176.00000008000001</v>
      </c>
      <c r="M232" s="126">
        <f t="shared" si="45"/>
        <v>49.000000080000007</v>
      </c>
      <c r="N232" s="126">
        <f t="shared" si="46"/>
        <v>181</v>
      </c>
      <c r="O232" s="126">
        <f t="shared" si="47"/>
        <v>104</v>
      </c>
      <c r="P232" s="126">
        <f t="shared" si="48"/>
        <v>174</v>
      </c>
      <c r="Q232" s="126">
        <f t="shared" si="49"/>
        <v>188</v>
      </c>
      <c r="R232" s="126">
        <f t="shared" si="50"/>
        <v>7</v>
      </c>
      <c r="S232" s="1">
        <f t="shared" si="42"/>
        <v>1</v>
      </c>
      <c r="T232" s="126">
        <f t="shared" si="51"/>
        <v>7</v>
      </c>
      <c r="U232" s="126">
        <f t="shared" si="43"/>
        <v>872.00000016000001</v>
      </c>
      <c r="W232" s="126">
        <f t="shared" si="52"/>
        <v>188</v>
      </c>
      <c r="X232" s="126">
        <f t="shared" si="53"/>
        <v>153.00000008000001</v>
      </c>
    </row>
    <row r="233" spans="1:24">
      <c r="A233" s="22">
        <f>'Stats 2020'!D74</f>
        <v>44127</v>
      </c>
      <c r="B233" s="128">
        <f>'Stats 2020'!E74</f>
        <v>1</v>
      </c>
      <c r="C233" s="128">
        <f>'Stats 2020'!F74</f>
        <v>1</v>
      </c>
      <c r="D233" s="128">
        <f>'Stats 2020'!G74</f>
        <v>0</v>
      </c>
      <c r="E233" s="128">
        <v>0</v>
      </c>
      <c r="F233" s="128">
        <f>'Stats 2020'!I74</f>
        <v>0</v>
      </c>
      <c r="G233" s="128">
        <f>'Stats 2020'!J74</f>
        <v>1</v>
      </c>
      <c r="J233" s="57" t="s">
        <v>231</v>
      </c>
      <c r="K233" s="86">
        <v>44127</v>
      </c>
      <c r="L233" s="126">
        <f t="shared" si="44"/>
        <v>177.00000008000001</v>
      </c>
      <c r="M233" s="126">
        <f t="shared" si="45"/>
        <v>50.000000080000007</v>
      </c>
      <c r="N233" s="126">
        <f t="shared" si="46"/>
        <v>181</v>
      </c>
      <c r="O233" s="126">
        <f t="shared" si="47"/>
        <v>104</v>
      </c>
      <c r="P233" s="126">
        <f t="shared" si="48"/>
        <v>174</v>
      </c>
      <c r="Q233" s="126">
        <f t="shared" si="49"/>
        <v>189</v>
      </c>
      <c r="R233" s="126">
        <f t="shared" si="50"/>
        <v>8</v>
      </c>
      <c r="S233" s="1">
        <f t="shared" si="42"/>
        <v>1</v>
      </c>
      <c r="T233" s="126">
        <f t="shared" si="51"/>
        <v>8</v>
      </c>
      <c r="U233" s="126">
        <f t="shared" si="43"/>
        <v>875.00000016000001</v>
      </c>
      <c r="W233" s="126">
        <f t="shared" si="52"/>
        <v>189</v>
      </c>
      <c r="X233" s="126">
        <f t="shared" si="53"/>
        <v>154.00000008000001</v>
      </c>
    </row>
    <row r="234" spans="1:24">
      <c r="A234" s="22">
        <f>'Stats 2020'!D75</f>
        <v>44134</v>
      </c>
      <c r="B234" s="128">
        <f>'Stats 2020'!E75</f>
        <v>1</v>
      </c>
      <c r="C234" s="128">
        <f>'Stats 2020'!F75</f>
        <v>1</v>
      </c>
      <c r="D234" s="128">
        <f>'Stats 2020'!G75</f>
        <v>1</v>
      </c>
      <c r="E234" s="128">
        <f>'Stats 2020'!H75</f>
        <v>1</v>
      </c>
      <c r="F234" s="128">
        <f>'Stats 2020'!I75</f>
        <v>1</v>
      </c>
      <c r="G234" s="128">
        <f>'Stats 2020'!J75</f>
        <v>1</v>
      </c>
      <c r="J234" s="57" t="s">
        <v>232</v>
      </c>
      <c r="K234" s="86">
        <v>44134</v>
      </c>
      <c r="L234" s="126">
        <f t="shared" si="44"/>
        <v>178.00000008000001</v>
      </c>
      <c r="M234" s="126">
        <f t="shared" si="45"/>
        <v>51.000000080000007</v>
      </c>
      <c r="N234" s="126">
        <f t="shared" si="46"/>
        <v>182</v>
      </c>
      <c r="O234" s="126">
        <f t="shared" si="47"/>
        <v>105</v>
      </c>
      <c r="P234" s="126">
        <f t="shared" si="48"/>
        <v>175</v>
      </c>
      <c r="Q234" s="126">
        <f t="shared" si="49"/>
        <v>190</v>
      </c>
      <c r="R234" s="126">
        <f t="shared" si="50"/>
        <v>8</v>
      </c>
      <c r="S234" s="1">
        <f t="shared" ref="S234:S239" si="54">IF(Q234&gt;L234,1,0)</f>
        <v>1</v>
      </c>
      <c r="T234" s="126">
        <f t="shared" si="51"/>
        <v>8</v>
      </c>
      <c r="U234" s="126">
        <f t="shared" si="43"/>
        <v>881.00000016000001</v>
      </c>
      <c r="W234" s="126">
        <f t="shared" si="52"/>
        <v>190</v>
      </c>
      <c r="X234" s="126">
        <f t="shared" si="53"/>
        <v>156.00000008000001</v>
      </c>
    </row>
    <row r="235" spans="1:24">
      <c r="A235" s="22">
        <f>'Stats 2020'!D76</f>
        <v>44141</v>
      </c>
      <c r="B235" s="128">
        <f>'Stats 2020'!E76</f>
        <v>1</v>
      </c>
      <c r="C235" s="128">
        <f>'Stats 2020'!F76</f>
        <v>1</v>
      </c>
      <c r="D235" s="128">
        <f>'Stats 2020'!G76</f>
        <v>0</v>
      </c>
      <c r="E235" s="128">
        <v>0</v>
      </c>
      <c r="F235" s="128">
        <f>'Stats 2020'!I76</f>
        <v>1</v>
      </c>
      <c r="G235" s="128">
        <f>'Stats 2020'!J76</f>
        <v>1</v>
      </c>
      <c r="J235" s="57" t="s">
        <v>233</v>
      </c>
      <c r="K235" s="86">
        <v>44141</v>
      </c>
      <c r="L235" s="126">
        <f t="shared" si="44"/>
        <v>179.00000008000001</v>
      </c>
      <c r="M235" s="126">
        <f t="shared" si="45"/>
        <v>52.000000080000007</v>
      </c>
      <c r="N235" s="126">
        <f t="shared" si="46"/>
        <v>182</v>
      </c>
      <c r="O235" s="126">
        <f t="shared" si="47"/>
        <v>105</v>
      </c>
      <c r="P235" s="126">
        <f t="shared" si="48"/>
        <v>176</v>
      </c>
      <c r="Q235" s="126">
        <f t="shared" si="49"/>
        <v>191</v>
      </c>
      <c r="R235" s="126">
        <f t="shared" si="50"/>
        <v>9</v>
      </c>
      <c r="S235" s="1">
        <f t="shared" si="54"/>
        <v>1</v>
      </c>
      <c r="T235" s="126">
        <f t="shared" si="51"/>
        <v>9</v>
      </c>
      <c r="U235" s="126">
        <f t="shared" si="43"/>
        <v>885.00000016000001</v>
      </c>
      <c r="W235" s="126">
        <f t="shared" si="52"/>
        <v>191</v>
      </c>
      <c r="X235" s="126">
        <f t="shared" si="53"/>
        <v>157.00000008000001</v>
      </c>
    </row>
    <row r="236" spans="1:24">
      <c r="A236" s="22">
        <f>'Stats 2020'!D77</f>
        <v>44148</v>
      </c>
      <c r="B236" s="128">
        <f>'Stats 2020'!E77</f>
        <v>0</v>
      </c>
      <c r="C236" s="128">
        <f>'Stats 2020'!F77</f>
        <v>1</v>
      </c>
      <c r="D236" s="128">
        <f>'Stats 2020'!G77</f>
        <v>1</v>
      </c>
      <c r="E236" s="128">
        <v>0</v>
      </c>
      <c r="F236" s="128">
        <f>'Stats 2020'!I77</f>
        <v>1</v>
      </c>
      <c r="G236" s="128">
        <f>'Stats 2020'!J77</f>
        <v>1</v>
      </c>
      <c r="J236" s="57" t="s">
        <v>234</v>
      </c>
      <c r="K236" s="86">
        <v>44148</v>
      </c>
      <c r="L236" s="126">
        <f t="shared" si="44"/>
        <v>179.00000008000001</v>
      </c>
      <c r="M236" s="126">
        <f t="shared" si="45"/>
        <v>53.000000080000007</v>
      </c>
      <c r="N236" s="126">
        <f t="shared" si="46"/>
        <v>183</v>
      </c>
      <c r="O236" s="126">
        <f t="shared" si="47"/>
        <v>105</v>
      </c>
      <c r="P236" s="126">
        <f t="shared" si="48"/>
        <v>177</v>
      </c>
      <c r="Q236" s="126">
        <f t="shared" si="49"/>
        <v>192</v>
      </c>
      <c r="R236" s="126">
        <f t="shared" si="50"/>
        <v>9</v>
      </c>
      <c r="S236" s="1">
        <f t="shared" si="54"/>
        <v>1</v>
      </c>
      <c r="T236" s="126">
        <f t="shared" si="51"/>
        <v>9</v>
      </c>
      <c r="U236" s="126">
        <f t="shared" si="43"/>
        <v>889.00000016000001</v>
      </c>
      <c r="W236" s="126">
        <f t="shared" si="52"/>
        <v>192</v>
      </c>
      <c r="X236" s="126">
        <f t="shared" si="53"/>
        <v>158.00000008000001</v>
      </c>
    </row>
    <row r="237" spans="1:24">
      <c r="A237" s="22">
        <f>'Stats 2020'!D78</f>
        <v>44155</v>
      </c>
      <c r="B237" s="128">
        <f>'Stats 2020'!E78</f>
        <v>1</v>
      </c>
      <c r="C237" s="128">
        <f>'Stats 2020'!F78</f>
        <v>1</v>
      </c>
      <c r="D237" s="128">
        <f>'Stats 2020'!G78</f>
        <v>1</v>
      </c>
      <c r="E237" s="128">
        <f>'Stats 2020'!H78</f>
        <v>1</v>
      </c>
      <c r="F237" s="128">
        <f>'Stats 2020'!I78</f>
        <v>1</v>
      </c>
      <c r="G237" s="128">
        <f>'Stats 2020'!J78</f>
        <v>1</v>
      </c>
      <c r="J237" s="57" t="s">
        <v>235</v>
      </c>
      <c r="K237" s="86">
        <v>44155</v>
      </c>
      <c r="L237" s="126">
        <f t="shared" si="44"/>
        <v>180.00000008000001</v>
      </c>
      <c r="M237" s="126">
        <f t="shared" si="45"/>
        <v>54.000000080000007</v>
      </c>
      <c r="N237" s="126">
        <f t="shared" si="46"/>
        <v>184</v>
      </c>
      <c r="O237" s="126">
        <f t="shared" si="47"/>
        <v>106</v>
      </c>
      <c r="P237" s="126">
        <f t="shared" si="48"/>
        <v>178</v>
      </c>
      <c r="Q237" s="126">
        <f t="shared" si="49"/>
        <v>193</v>
      </c>
      <c r="R237" s="126">
        <f t="shared" si="50"/>
        <v>9</v>
      </c>
      <c r="S237" s="1">
        <f t="shared" si="54"/>
        <v>1</v>
      </c>
      <c r="T237" s="126">
        <f t="shared" si="51"/>
        <v>9</v>
      </c>
      <c r="U237" s="126">
        <f t="shared" si="43"/>
        <v>895.00000016000001</v>
      </c>
      <c r="W237" s="126">
        <f t="shared" si="52"/>
        <v>193</v>
      </c>
      <c r="X237" s="126">
        <f t="shared" si="53"/>
        <v>160.00000008000001</v>
      </c>
    </row>
    <row r="238" spans="1:24">
      <c r="A238" s="22">
        <f>'Stats 2020'!D79</f>
        <v>44162</v>
      </c>
      <c r="B238" s="128">
        <f>'Stats 2020'!E79</f>
        <v>1</v>
      </c>
      <c r="C238" s="128">
        <v>0</v>
      </c>
      <c r="D238" s="128">
        <f>'Stats 2020'!G79</f>
        <v>1</v>
      </c>
      <c r="E238" s="128">
        <f>'Stats 2020'!H79</f>
        <v>1</v>
      </c>
      <c r="F238" s="128">
        <f>'Stats 2020'!I79</f>
        <v>1</v>
      </c>
      <c r="G238" s="128">
        <f>'Stats 2020'!J79</f>
        <v>1</v>
      </c>
      <c r="J238" s="57" t="s">
        <v>236</v>
      </c>
      <c r="K238" s="86">
        <v>44162</v>
      </c>
      <c r="L238" s="126">
        <f t="shared" si="44"/>
        <v>181.00000008000001</v>
      </c>
      <c r="M238" s="126">
        <f t="shared" si="45"/>
        <v>54.000000080000007</v>
      </c>
      <c r="N238" s="126">
        <f t="shared" si="46"/>
        <v>185</v>
      </c>
      <c r="O238" s="126">
        <f t="shared" si="47"/>
        <v>107</v>
      </c>
      <c r="P238" s="126">
        <f t="shared" si="48"/>
        <v>179</v>
      </c>
      <c r="Q238" s="126">
        <f t="shared" si="49"/>
        <v>194</v>
      </c>
      <c r="R238" s="126">
        <f t="shared" si="50"/>
        <v>9</v>
      </c>
      <c r="S238" s="1">
        <f t="shared" si="54"/>
        <v>1</v>
      </c>
      <c r="T238" s="126">
        <f t="shared" si="51"/>
        <v>9</v>
      </c>
      <c r="U238" s="126">
        <f t="shared" si="43"/>
        <v>900.00000016000001</v>
      </c>
      <c r="W238" s="126">
        <f t="shared" si="52"/>
        <v>194</v>
      </c>
      <c r="X238" s="126">
        <f t="shared" si="53"/>
        <v>161.00000008000001</v>
      </c>
    </row>
    <row r="239" spans="1:24">
      <c r="A239" s="22">
        <f>'Stats 2020'!D80</f>
        <v>44169</v>
      </c>
      <c r="B239" s="128">
        <f>'Stats 2020'!E80</f>
        <v>0</v>
      </c>
      <c r="C239" s="128">
        <f>'Stats 2020'!F80</f>
        <v>1</v>
      </c>
      <c r="D239" s="128">
        <f>'Stats 2020'!G80</f>
        <v>1</v>
      </c>
      <c r="E239" s="128">
        <v>0</v>
      </c>
      <c r="F239" s="128">
        <f>'Stats 2020'!I80</f>
        <v>1</v>
      </c>
      <c r="G239" s="128">
        <f>'Stats 2020'!J80</f>
        <v>1</v>
      </c>
      <c r="J239" s="57" t="s">
        <v>237</v>
      </c>
      <c r="K239" s="86">
        <v>44169</v>
      </c>
      <c r="L239" s="126">
        <f t="shared" si="44"/>
        <v>181.00000008000001</v>
      </c>
      <c r="M239" s="126">
        <f t="shared" si="45"/>
        <v>55.000000080000007</v>
      </c>
      <c r="N239" s="126">
        <f t="shared" si="46"/>
        <v>186</v>
      </c>
      <c r="O239" s="126">
        <f t="shared" si="47"/>
        <v>107</v>
      </c>
      <c r="P239" s="126">
        <f t="shared" si="48"/>
        <v>180</v>
      </c>
      <c r="Q239" s="126">
        <f t="shared" si="49"/>
        <v>195</v>
      </c>
      <c r="R239" s="126">
        <f t="shared" si="50"/>
        <v>9</v>
      </c>
      <c r="S239" s="1">
        <f t="shared" si="54"/>
        <v>1</v>
      </c>
      <c r="T239" s="126">
        <f t="shared" si="51"/>
        <v>9</v>
      </c>
      <c r="U239" s="126">
        <f t="shared" si="43"/>
        <v>904.00000016000001</v>
      </c>
      <c r="W239" s="126">
        <f t="shared" si="52"/>
        <v>195</v>
      </c>
      <c r="X239" s="126">
        <f t="shared" si="53"/>
        <v>162.00000008000001</v>
      </c>
    </row>
    <row r="240" spans="1:24">
      <c r="A240" s="22">
        <f>'Stats 2020'!D82</f>
        <v>44176</v>
      </c>
      <c r="B240" s="128">
        <f>'Stats 2020'!E82</f>
        <v>1</v>
      </c>
      <c r="C240" s="128">
        <f>'Stats 2020'!F82</f>
        <v>1</v>
      </c>
      <c r="D240" s="128">
        <f>'Stats 2020'!G82</f>
        <v>1</v>
      </c>
      <c r="E240" s="128">
        <v>0</v>
      </c>
      <c r="F240" s="128">
        <f>'Stats 2020'!I82</f>
        <v>1</v>
      </c>
      <c r="G240" s="128">
        <f>'Stats 2020'!J82</f>
        <v>1</v>
      </c>
      <c r="J240" s="57" t="s">
        <v>238</v>
      </c>
      <c r="K240" s="86">
        <v>44176</v>
      </c>
      <c r="L240" s="126">
        <f t="shared" si="44"/>
        <v>182.00000008000001</v>
      </c>
      <c r="M240" s="126">
        <f t="shared" si="45"/>
        <v>56.000000080000007</v>
      </c>
      <c r="N240" s="126">
        <f t="shared" si="46"/>
        <v>187</v>
      </c>
      <c r="O240" s="126">
        <f t="shared" si="47"/>
        <v>107</v>
      </c>
      <c r="P240" s="126">
        <f t="shared" si="48"/>
        <v>181</v>
      </c>
      <c r="Q240" s="126">
        <f t="shared" si="49"/>
        <v>196</v>
      </c>
      <c r="R240" s="126">
        <f t="shared" si="50"/>
        <v>9</v>
      </c>
      <c r="S240" s="1">
        <f t="shared" ref="S240:S265" si="55">IF(Q240&gt;L240,1,0)</f>
        <v>1</v>
      </c>
      <c r="T240" s="126">
        <f t="shared" si="51"/>
        <v>9</v>
      </c>
      <c r="U240" s="126">
        <f t="shared" si="43"/>
        <v>909.00000016000001</v>
      </c>
      <c r="W240" s="126">
        <f t="shared" si="52"/>
        <v>196</v>
      </c>
      <c r="X240" s="126">
        <f t="shared" si="53"/>
        <v>163.00000008000001</v>
      </c>
    </row>
    <row r="241" spans="1:28">
      <c r="A241" s="22">
        <f>'Stats 2020'!D84</f>
        <v>44183</v>
      </c>
      <c r="B241" s="128">
        <f>'Stats 2020'!E84</f>
        <v>1</v>
      </c>
      <c r="C241" s="128">
        <f>'Stats 2020'!F84</f>
        <v>1</v>
      </c>
      <c r="D241" s="128">
        <f>'Stats 2020'!G84</f>
        <v>0</v>
      </c>
      <c r="E241" s="128">
        <f>'Stats 2020'!H84</f>
        <v>1</v>
      </c>
      <c r="F241" s="128">
        <f>'Stats 2020'!I84</f>
        <v>0</v>
      </c>
      <c r="G241" s="128">
        <f>'Stats 2020'!J84</f>
        <v>1</v>
      </c>
      <c r="J241" s="57" t="s">
        <v>239</v>
      </c>
      <c r="K241" s="86">
        <v>44183</v>
      </c>
      <c r="L241" s="126">
        <f t="shared" si="44"/>
        <v>183.00000008000001</v>
      </c>
      <c r="M241" s="126">
        <f t="shared" si="45"/>
        <v>57.000000080000007</v>
      </c>
      <c r="N241" s="126">
        <f t="shared" si="46"/>
        <v>187</v>
      </c>
      <c r="O241" s="126">
        <f t="shared" si="47"/>
        <v>108</v>
      </c>
      <c r="P241" s="126">
        <f t="shared" si="48"/>
        <v>181</v>
      </c>
      <c r="Q241" s="126">
        <f t="shared" si="49"/>
        <v>197</v>
      </c>
      <c r="R241" s="126">
        <f t="shared" si="50"/>
        <v>10</v>
      </c>
      <c r="S241" s="1">
        <f t="shared" si="55"/>
        <v>1</v>
      </c>
      <c r="T241" s="126">
        <f t="shared" si="51"/>
        <v>10</v>
      </c>
      <c r="U241" s="126">
        <f t="shared" si="43"/>
        <v>913.00000016000001</v>
      </c>
      <c r="W241" s="126">
        <f t="shared" si="52"/>
        <v>197</v>
      </c>
      <c r="X241" s="126">
        <f t="shared" si="53"/>
        <v>165.00000008000001</v>
      </c>
    </row>
    <row r="242" spans="1:28">
      <c r="A242" s="22">
        <f>'Stats 2020'!D85</f>
        <v>44204</v>
      </c>
      <c r="B242" s="128">
        <f>'Stats 2020'!E85</f>
        <v>1</v>
      </c>
      <c r="C242" s="128">
        <v>0</v>
      </c>
      <c r="D242" s="128">
        <f>'Stats 2020'!G85</f>
        <v>0</v>
      </c>
      <c r="E242" s="128">
        <v>0</v>
      </c>
      <c r="F242" s="128">
        <f>'Stats 2020'!I85</f>
        <v>0</v>
      </c>
      <c r="G242" s="128">
        <f>'Stats 2020'!J85</f>
        <v>1</v>
      </c>
      <c r="J242" s="57" t="s">
        <v>240</v>
      </c>
      <c r="K242" s="86">
        <v>44204</v>
      </c>
      <c r="L242" s="126">
        <f t="shared" si="44"/>
        <v>184.00000008000001</v>
      </c>
      <c r="M242" s="126">
        <f t="shared" si="45"/>
        <v>57.000000080000007</v>
      </c>
      <c r="N242" s="126">
        <f t="shared" si="46"/>
        <v>187</v>
      </c>
      <c r="O242" s="126">
        <f t="shared" si="47"/>
        <v>108</v>
      </c>
      <c r="P242" s="126">
        <f t="shared" si="48"/>
        <v>181</v>
      </c>
      <c r="Q242" s="126">
        <f t="shared" si="49"/>
        <v>198</v>
      </c>
      <c r="R242" s="126">
        <f t="shared" si="50"/>
        <v>11</v>
      </c>
      <c r="S242" s="1">
        <f t="shared" si="55"/>
        <v>1</v>
      </c>
      <c r="T242" s="126">
        <f t="shared" si="51"/>
        <v>11</v>
      </c>
      <c r="U242" s="126">
        <f t="shared" si="43"/>
        <v>915.00000016000001</v>
      </c>
      <c r="W242" s="126">
        <f t="shared" si="52"/>
        <v>198</v>
      </c>
      <c r="X242" s="126">
        <f t="shared" si="53"/>
        <v>165.00000008000001</v>
      </c>
    </row>
    <row r="243" spans="1:28">
      <c r="A243" s="22">
        <f>'Stats 2020'!D86</f>
        <v>44211</v>
      </c>
      <c r="B243" s="128">
        <f>'Stats 2020'!E86</f>
        <v>0</v>
      </c>
      <c r="C243" s="128">
        <f>'Stats 2020'!F86</f>
        <v>1</v>
      </c>
      <c r="D243" s="128">
        <f>'Stats 2020'!G86</f>
        <v>0</v>
      </c>
      <c r="E243" s="128">
        <f>'Stats 2020'!H86</f>
        <v>1</v>
      </c>
      <c r="F243" s="128">
        <f>'Stats 2020'!I86</f>
        <v>0</v>
      </c>
      <c r="G243" s="128">
        <f>'Stats 2020'!J86</f>
        <v>1</v>
      </c>
      <c r="J243" s="57" t="s">
        <v>241</v>
      </c>
      <c r="K243" s="86">
        <v>44211</v>
      </c>
      <c r="L243" s="126">
        <f t="shared" si="44"/>
        <v>184.00000008000001</v>
      </c>
      <c r="M243" s="126">
        <f t="shared" si="45"/>
        <v>58.000000080000007</v>
      </c>
      <c r="N243" s="126">
        <f t="shared" si="46"/>
        <v>187</v>
      </c>
      <c r="O243" s="126">
        <f t="shared" si="47"/>
        <v>109</v>
      </c>
      <c r="P243" s="126">
        <f t="shared" si="48"/>
        <v>181</v>
      </c>
      <c r="Q243" s="126">
        <f t="shared" si="49"/>
        <v>199</v>
      </c>
      <c r="R243" s="126">
        <f t="shared" si="50"/>
        <v>12</v>
      </c>
      <c r="S243" s="1">
        <f t="shared" si="55"/>
        <v>1</v>
      </c>
      <c r="T243" s="126">
        <f t="shared" si="51"/>
        <v>12</v>
      </c>
      <c r="U243" s="126">
        <f t="shared" si="43"/>
        <v>918.00000016000001</v>
      </c>
      <c r="W243" s="126">
        <f t="shared" si="52"/>
        <v>199</v>
      </c>
      <c r="X243" s="126">
        <f t="shared" si="53"/>
        <v>167.00000008000001</v>
      </c>
      <c r="AA243" s="1">
        <f>2/259*100</f>
        <v>0.77220077220077221</v>
      </c>
      <c r="AB243" s="1">
        <f>100/AA243</f>
        <v>129.5</v>
      </c>
    </row>
    <row r="244" spans="1:28">
      <c r="A244" s="22">
        <f>'Stats 2020'!D88</f>
        <v>44218</v>
      </c>
      <c r="B244" s="128">
        <f>'Stats 2020'!E88</f>
        <v>1</v>
      </c>
      <c r="C244" s="128">
        <f>'Stats 2020'!F88</f>
        <v>1</v>
      </c>
      <c r="D244" s="128">
        <f>'Stats 2020'!G88</f>
        <v>1</v>
      </c>
      <c r="E244" s="128">
        <f>'Stats 2020'!H88</f>
        <v>1</v>
      </c>
      <c r="F244" s="128">
        <f>'Stats 2020'!I88</f>
        <v>1</v>
      </c>
      <c r="G244" s="128">
        <f>'Stats 2020'!J88</f>
        <v>1</v>
      </c>
      <c r="J244" s="57" t="s">
        <v>242</v>
      </c>
      <c r="K244" s="86">
        <v>44218</v>
      </c>
      <c r="L244" s="126">
        <f t="shared" si="44"/>
        <v>185.00000008000001</v>
      </c>
      <c r="M244" s="126">
        <f t="shared" si="45"/>
        <v>59.000000080000007</v>
      </c>
      <c r="N244" s="126">
        <f t="shared" si="46"/>
        <v>188</v>
      </c>
      <c r="O244" s="126">
        <f t="shared" si="47"/>
        <v>110</v>
      </c>
      <c r="P244" s="126">
        <f t="shared" si="48"/>
        <v>182</v>
      </c>
      <c r="Q244" s="145">
        <f t="shared" si="49"/>
        <v>200</v>
      </c>
      <c r="R244" s="126">
        <f t="shared" si="50"/>
        <v>12</v>
      </c>
      <c r="S244" s="1">
        <f t="shared" si="55"/>
        <v>1</v>
      </c>
      <c r="T244" s="126">
        <f t="shared" si="51"/>
        <v>12</v>
      </c>
      <c r="U244" s="126">
        <f t="shared" si="43"/>
        <v>924.00000016000001</v>
      </c>
      <c r="W244" s="126">
        <f t="shared" si="52"/>
        <v>200</v>
      </c>
      <c r="X244" s="126">
        <f t="shared" si="53"/>
        <v>169.00000008000001</v>
      </c>
    </row>
    <row r="245" spans="1:28">
      <c r="A245" s="22">
        <f>'Stats 2020'!D89</f>
        <v>44225</v>
      </c>
      <c r="B245" s="128">
        <f>'Stats 2020'!E89</f>
        <v>0</v>
      </c>
      <c r="C245" s="128">
        <v>0</v>
      </c>
      <c r="D245" s="128">
        <f>'Stats 2020'!G89</f>
        <v>1</v>
      </c>
      <c r="E245" s="128">
        <v>0</v>
      </c>
      <c r="F245" s="128">
        <f>'Stats 2020'!I89</f>
        <v>1</v>
      </c>
      <c r="G245" s="128">
        <f>'Stats 2020'!J89</f>
        <v>0</v>
      </c>
      <c r="J245" s="57" t="s">
        <v>243</v>
      </c>
      <c r="K245" s="86">
        <v>44225</v>
      </c>
      <c r="L245" s="126">
        <f t="shared" si="44"/>
        <v>185.00000008000001</v>
      </c>
      <c r="M245" s="126">
        <f t="shared" si="45"/>
        <v>59.000000080000007</v>
      </c>
      <c r="N245" s="126">
        <f t="shared" si="46"/>
        <v>189</v>
      </c>
      <c r="O245" s="126">
        <f t="shared" si="47"/>
        <v>110</v>
      </c>
      <c r="P245" s="126">
        <f t="shared" si="48"/>
        <v>183</v>
      </c>
      <c r="Q245" s="126">
        <f t="shared" si="49"/>
        <v>200</v>
      </c>
      <c r="R245" s="126">
        <f t="shared" si="50"/>
        <v>11</v>
      </c>
      <c r="S245" s="1">
        <f t="shared" si="55"/>
        <v>1</v>
      </c>
      <c r="T245" s="126">
        <f t="shared" si="51"/>
        <v>11</v>
      </c>
      <c r="U245" s="126">
        <f t="shared" si="43"/>
        <v>926.00000016000001</v>
      </c>
      <c r="W245" s="126">
        <f t="shared" si="52"/>
        <v>200</v>
      </c>
      <c r="X245" s="126">
        <f t="shared" si="53"/>
        <v>169.00000008000001</v>
      </c>
    </row>
    <row r="246" spans="1:28">
      <c r="A246" s="22">
        <f>'Stats 2020'!D90</f>
        <v>44232</v>
      </c>
      <c r="B246" s="128">
        <f>'Stats 2020'!E90</f>
        <v>1</v>
      </c>
      <c r="C246" s="128">
        <f>'Stats 2020'!F90</f>
        <v>1</v>
      </c>
      <c r="D246" s="128">
        <f>'Stats 2020'!G90</f>
        <v>1</v>
      </c>
      <c r="E246" s="128">
        <f>'Stats 2020'!H90</f>
        <v>1</v>
      </c>
      <c r="F246" s="128">
        <f>'Stats 2020'!I90</f>
        <v>1</v>
      </c>
      <c r="G246" s="128">
        <f>'Stats 2020'!J90</f>
        <v>1</v>
      </c>
      <c r="J246" s="57" t="s">
        <v>244</v>
      </c>
      <c r="K246" s="86">
        <v>44232</v>
      </c>
      <c r="L246" s="126">
        <f t="shared" si="44"/>
        <v>186.00000008000001</v>
      </c>
      <c r="M246" s="126">
        <f t="shared" si="45"/>
        <v>60.000000080000007</v>
      </c>
      <c r="N246" s="126">
        <f t="shared" si="46"/>
        <v>190</v>
      </c>
      <c r="O246" s="126">
        <f t="shared" si="47"/>
        <v>111</v>
      </c>
      <c r="P246" s="126">
        <f t="shared" si="48"/>
        <v>184</v>
      </c>
      <c r="Q246" s="126">
        <f t="shared" si="49"/>
        <v>201</v>
      </c>
      <c r="R246" s="126">
        <f t="shared" si="50"/>
        <v>11</v>
      </c>
      <c r="S246" s="1">
        <f t="shared" si="55"/>
        <v>1</v>
      </c>
      <c r="T246" s="126">
        <f t="shared" si="51"/>
        <v>11</v>
      </c>
      <c r="U246" s="126">
        <f t="shared" si="43"/>
        <v>932.00000016000001</v>
      </c>
      <c r="W246" s="126">
        <f t="shared" si="52"/>
        <v>201</v>
      </c>
      <c r="X246" s="126">
        <f t="shared" si="53"/>
        <v>171.00000008000001</v>
      </c>
    </row>
    <row r="247" spans="1:28">
      <c r="A247" s="22">
        <f>'Stats 2020'!D91</f>
        <v>44239</v>
      </c>
      <c r="B247" s="128">
        <f>'Stats 2020'!E91</f>
        <v>1</v>
      </c>
      <c r="C247" s="128">
        <f>'Stats 2020'!F91</f>
        <v>1</v>
      </c>
      <c r="D247" s="128">
        <f>'Stats 2020'!G91</f>
        <v>1</v>
      </c>
      <c r="E247" s="128">
        <v>0</v>
      </c>
      <c r="F247" s="128">
        <f>'Stats 2020'!I91</f>
        <v>1</v>
      </c>
      <c r="G247" s="128">
        <f>'Stats 2020'!J91</f>
        <v>1</v>
      </c>
      <c r="J247" s="57" t="s">
        <v>245</v>
      </c>
      <c r="K247" s="86">
        <v>44239</v>
      </c>
      <c r="L247" s="126">
        <f t="shared" si="44"/>
        <v>187.00000008000001</v>
      </c>
      <c r="M247" s="126">
        <f t="shared" si="45"/>
        <v>61.000000080000007</v>
      </c>
      <c r="N247" s="126">
        <f t="shared" si="46"/>
        <v>191</v>
      </c>
      <c r="O247" s="126">
        <f t="shared" si="47"/>
        <v>111</v>
      </c>
      <c r="P247" s="126">
        <f t="shared" si="48"/>
        <v>185</v>
      </c>
      <c r="Q247" s="126">
        <f t="shared" si="49"/>
        <v>202</v>
      </c>
      <c r="R247" s="126">
        <f t="shared" si="50"/>
        <v>11</v>
      </c>
      <c r="S247" s="1">
        <f t="shared" si="55"/>
        <v>1</v>
      </c>
      <c r="T247" s="126">
        <f t="shared" si="51"/>
        <v>11</v>
      </c>
      <c r="U247" s="126">
        <f t="shared" si="43"/>
        <v>937.00000016000001</v>
      </c>
      <c r="W247" s="126">
        <f t="shared" si="52"/>
        <v>202</v>
      </c>
      <c r="X247" s="126">
        <f t="shared" si="53"/>
        <v>172.00000008000001</v>
      </c>
    </row>
    <row r="248" spans="1:28">
      <c r="A248" s="22">
        <f>'Stats 2020'!D92</f>
        <v>44246</v>
      </c>
      <c r="B248" s="128">
        <f>'Stats 2020'!E92</f>
        <v>1</v>
      </c>
      <c r="C248" s="128">
        <f>'Stats 2020'!F92</f>
        <v>1</v>
      </c>
      <c r="D248" s="128">
        <f>'Stats 2020'!G92</f>
        <v>0</v>
      </c>
      <c r="E248" s="128">
        <v>0</v>
      </c>
      <c r="F248" s="128">
        <f>'Stats 2020'!I92</f>
        <v>0</v>
      </c>
      <c r="G248" s="128">
        <f>'Stats 2020'!J92</f>
        <v>1</v>
      </c>
      <c r="J248" s="57" t="s">
        <v>246</v>
      </c>
      <c r="K248" s="86">
        <v>44246</v>
      </c>
      <c r="L248" s="126">
        <f t="shared" si="44"/>
        <v>188.00000008000001</v>
      </c>
      <c r="M248" s="126">
        <f t="shared" si="45"/>
        <v>62.000000080000007</v>
      </c>
      <c r="N248" s="126">
        <f t="shared" si="46"/>
        <v>191</v>
      </c>
      <c r="O248" s="126">
        <f t="shared" si="47"/>
        <v>111</v>
      </c>
      <c r="P248" s="126">
        <f t="shared" si="48"/>
        <v>185</v>
      </c>
      <c r="Q248" s="126">
        <f t="shared" si="49"/>
        <v>203</v>
      </c>
      <c r="R248" s="126">
        <f t="shared" si="50"/>
        <v>12</v>
      </c>
      <c r="S248" s="1">
        <f t="shared" si="55"/>
        <v>1</v>
      </c>
      <c r="T248" s="126">
        <f t="shared" si="51"/>
        <v>12</v>
      </c>
      <c r="U248" s="126">
        <f t="shared" si="43"/>
        <v>940.00000016000001</v>
      </c>
      <c r="W248" s="126">
        <f t="shared" si="52"/>
        <v>203</v>
      </c>
      <c r="X248" s="126">
        <f t="shared" si="53"/>
        <v>173.00000008000001</v>
      </c>
    </row>
    <row r="249" spans="1:28">
      <c r="A249" s="22">
        <f>'Stats 2020'!D93</f>
        <v>44253</v>
      </c>
      <c r="B249" s="128">
        <f>'Stats 2020'!E93</f>
        <v>1</v>
      </c>
      <c r="C249" s="128">
        <f>'Stats 2020'!F93</f>
        <v>1</v>
      </c>
      <c r="D249" s="128">
        <f>'Stats 2020'!G93</f>
        <v>1</v>
      </c>
      <c r="E249" s="128">
        <f>'Stats 2020'!H93</f>
        <v>1</v>
      </c>
      <c r="F249" s="128">
        <f>'Stats 2020'!I93</f>
        <v>1</v>
      </c>
      <c r="G249" s="128">
        <f>'Stats 2020'!J93</f>
        <v>0</v>
      </c>
      <c r="K249" s="86">
        <v>44253</v>
      </c>
      <c r="L249" s="126">
        <f t="shared" si="44"/>
        <v>189.00000008000001</v>
      </c>
      <c r="M249" s="126">
        <f t="shared" si="45"/>
        <v>63.000000080000007</v>
      </c>
      <c r="N249" s="126">
        <f t="shared" si="46"/>
        <v>192</v>
      </c>
      <c r="O249" s="126">
        <f t="shared" si="47"/>
        <v>112</v>
      </c>
      <c r="P249" s="126">
        <f t="shared" si="48"/>
        <v>186</v>
      </c>
      <c r="Q249" s="126">
        <f t="shared" si="49"/>
        <v>203</v>
      </c>
      <c r="R249" s="126">
        <f t="shared" si="50"/>
        <v>11</v>
      </c>
      <c r="S249" s="1">
        <f t="shared" si="55"/>
        <v>1</v>
      </c>
      <c r="T249" s="126">
        <f t="shared" si="51"/>
        <v>11</v>
      </c>
      <c r="U249" s="126">
        <f t="shared" si="43"/>
        <v>945.00000016000001</v>
      </c>
      <c r="W249" s="126">
        <f t="shared" si="52"/>
        <v>203</v>
      </c>
      <c r="X249" s="126">
        <f t="shared" si="53"/>
        <v>175.00000008000001</v>
      </c>
    </row>
    <row r="250" spans="1:28">
      <c r="A250" s="22">
        <f>'Stats 2020'!D94</f>
        <v>44260</v>
      </c>
      <c r="B250" s="128">
        <f>'Stats 2020'!E94</f>
        <v>0</v>
      </c>
      <c r="C250" s="128">
        <f>'Stats 2020'!F94</f>
        <v>1</v>
      </c>
      <c r="D250" s="128">
        <f>'Stats 2020'!G94</f>
        <v>1</v>
      </c>
      <c r="E250" s="128">
        <v>0</v>
      </c>
      <c r="F250" s="128">
        <f>'Stats 2020'!I94</f>
        <v>1</v>
      </c>
      <c r="G250" s="128">
        <f>'Stats 2020'!J94</f>
        <v>1</v>
      </c>
      <c r="J250" s="57" t="s">
        <v>247</v>
      </c>
      <c r="K250" s="86">
        <v>44260</v>
      </c>
      <c r="L250" s="126">
        <f t="shared" si="44"/>
        <v>189.00000008000001</v>
      </c>
      <c r="M250" s="126">
        <f t="shared" si="45"/>
        <v>64.000000080000007</v>
      </c>
      <c r="N250" s="126">
        <f t="shared" si="46"/>
        <v>193</v>
      </c>
      <c r="O250" s="126">
        <f t="shared" si="47"/>
        <v>112</v>
      </c>
      <c r="P250" s="126">
        <f t="shared" si="48"/>
        <v>187</v>
      </c>
      <c r="Q250" s="126">
        <f t="shared" si="49"/>
        <v>204</v>
      </c>
      <c r="R250" s="126">
        <f t="shared" si="50"/>
        <v>11</v>
      </c>
      <c r="S250" s="1">
        <f t="shared" si="55"/>
        <v>1</v>
      </c>
      <c r="T250" s="126">
        <f t="shared" si="51"/>
        <v>11</v>
      </c>
      <c r="U250" s="126">
        <f t="shared" si="43"/>
        <v>949.00000016000001</v>
      </c>
      <c r="W250" s="126">
        <f t="shared" si="52"/>
        <v>204</v>
      </c>
      <c r="X250" s="126">
        <f t="shared" si="53"/>
        <v>176.00000008000001</v>
      </c>
    </row>
    <row r="251" spans="1:28">
      <c r="A251" s="22">
        <f>'Stats 2020'!D95</f>
        <v>44267</v>
      </c>
      <c r="B251" s="128">
        <f>'Stats 2020'!E95</f>
        <v>1</v>
      </c>
      <c r="C251" s="128">
        <f>'Stats 2020'!F95</f>
        <v>1</v>
      </c>
      <c r="D251" s="128">
        <f>'Stats 2020'!G95</f>
        <v>1</v>
      </c>
      <c r="E251" s="128">
        <f>'Stats 2020'!H95</f>
        <v>1</v>
      </c>
      <c r="F251" s="128">
        <f>'Stats 2020'!I95</f>
        <v>1</v>
      </c>
      <c r="G251" s="128">
        <f>'Stats 2020'!J95</f>
        <v>1</v>
      </c>
      <c r="J251" s="57" t="s">
        <v>248</v>
      </c>
      <c r="K251" s="86">
        <v>44267</v>
      </c>
      <c r="L251" s="126">
        <f t="shared" si="44"/>
        <v>190.00000008000001</v>
      </c>
      <c r="M251" s="126">
        <f t="shared" si="45"/>
        <v>65.000000080000007</v>
      </c>
      <c r="N251" s="126">
        <f t="shared" si="46"/>
        <v>194</v>
      </c>
      <c r="O251" s="126">
        <f t="shared" si="47"/>
        <v>113</v>
      </c>
      <c r="P251" s="126">
        <f t="shared" si="48"/>
        <v>188</v>
      </c>
      <c r="Q251" s="126">
        <f t="shared" si="49"/>
        <v>205</v>
      </c>
      <c r="R251" s="126">
        <f t="shared" si="50"/>
        <v>11</v>
      </c>
      <c r="S251" s="1">
        <f t="shared" si="55"/>
        <v>1</v>
      </c>
      <c r="T251" s="126">
        <f t="shared" si="51"/>
        <v>11</v>
      </c>
      <c r="U251" s="126">
        <f t="shared" si="43"/>
        <v>955.00000016000001</v>
      </c>
      <c r="W251" s="126">
        <f t="shared" si="52"/>
        <v>205</v>
      </c>
      <c r="X251" s="126">
        <f t="shared" si="53"/>
        <v>178.00000008000001</v>
      </c>
    </row>
    <row r="252" spans="1:28">
      <c r="A252" s="22">
        <f>'Stats 2020'!D96</f>
        <v>44274</v>
      </c>
      <c r="B252" s="128">
        <f>'Stats 2020'!E96</f>
        <v>1</v>
      </c>
      <c r="C252" s="128">
        <v>0</v>
      </c>
      <c r="D252" s="128">
        <f>'Stats 2020'!G96</f>
        <v>1</v>
      </c>
      <c r="E252" s="128">
        <f>'Stats 2020'!H96</f>
        <v>1</v>
      </c>
      <c r="F252" s="128">
        <f>'Stats 2020'!I96</f>
        <v>1</v>
      </c>
      <c r="G252" s="128">
        <f>'Stats 2020'!J96</f>
        <v>1</v>
      </c>
      <c r="J252" s="57" t="s">
        <v>249</v>
      </c>
      <c r="K252" s="86">
        <v>44274</v>
      </c>
      <c r="L252" s="126">
        <f t="shared" si="44"/>
        <v>191.00000008000001</v>
      </c>
      <c r="M252" s="126">
        <f t="shared" si="45"/>
        <v>65.000000080000007</v>
      </c>
      <c r="N252" s="126">
        <f t="shared" si="46"/>
        <v>195</v>
      </c>
      <c r="O252" s="126">
        <f t="shared" si="47"/>
        <v>114</v>
      </c>
      <c r="P252" s="126">
        <f t="shared" si="48"/>
        <v>189</v>
      </c>
      <c r="Q252" s="126">
        <f t="shared" si="49"/>
        <v>206</v>
      </c>
      <c r="R252" s="126">
        <f t="shared" si="50"/>
        <v>11</v>
      </c>
      <c r="S252" s="1">
        <f t="shared" si="55"/>
        <v>1</v>
      </c>
      <c r="T252" s="126">
        <f t="shared" si="51"/>
        <v>11</v>
      </c>
      <c r="U252" s="126">
        <f t="shared" si="43"/>
        <v>960.00000016000001</v>
      </c>
      <c r="W252" s="126">
        <f t="shared" si="52"/>
        <v>206</v>
      </c>
      <c r="X252" s="126">
        <f t="shared" si="53"/>
        <v>179.00000008000001</v>
      </c>
    </row>
    <row r="253" spans="1:28">
      <c r="A253" s="22">
        <f>'Stats 2020'!D97</f>
        <v>44281</v>
      </c>
      <c r="B253" s="128">
        <f>'Stats 2020'!E97</f>
        <v>1</v>
      </c>
      <c r="C253" s="128">
        <f>'Stats 2020'!F97</f>
        <v>1</v>
      </c>
      <c r="D253" s="128">
        <f>'Stats 2020'!G97</f>
        <v>1</v>
      </c>
      <c r="E253" s="128">
        <v>0</v>
      </c>
      <c r="F253" s="128">
        <f>'Stats 2020'!I97</f>
        <v>1</v>
      </c>
      <c r="G253" s="128">
        <f>'Stats 2020'!J97</f>
        <v>0</v>
      </c>
      <c r="K253" s="86">
        <v>44281</v>
      </c>
      <c r="L253" s="126">
        <f t="shared" si="44"/>
        <v>192.00000008000001</v>
      </c>
      <c r="M253" s="126">
        <f t="shared" si="45"/>
        <v>66.000000080000007</v>
      </c>
      <c r="N253" s="126">
        <f t="shared" si="46"/>
        <v>196</v>
      </c>
      <c r="O253" s="126">
        <f t="shared" si="47"/>
        <v>114</v>
      </c>
      <c r="P253" s="126">
        <f t="shared" si="48"/>
        <v>190</v>
      </c>
      <c r="Q253" s="126">
        <f t="shared" si="49"/>
        <v>206</v>
      </c>
      <c r="R253" s="126">
        <f t="shared" si="50"/>
        <v>10</v>
      </c>
      <c r="S253" s="1">
        <f t="shared" si="55"/>
        <v>1</v>
      </c>
      <c r="T253" s="126">
        <f t="shared" si="51"/>
        <v>10</v>
      </c>
      <c r="U253" s="126">
        <f t="shared" si="43"/>
        <v>964.00000016000001</v>
      </c>
      <c r="W253" s="126">
        <f t="shared" si="52"/>
        <v>206</v>
      </c>
      <c r="X253" s="126">
        <f t="shared" si="53"/>
        <v>180.00000008000001</v>
      </c>
    </row>
    <row r="254" spans="1:28">
      <c r="A254" s="22">
        <f>'Stats 2020'!D98</f>
        <v>44295</v>
      </c>
      <c r="B254" s="128">
        <f>'Stats 2020'!E98</f>
        <v>1</v>
      </c>
      <c r="C254" s="128">
        <f>'Stats 2020'!F98</f>
        <v>1</v>
      </c>
      <c r="D254" s="128">
        <f>'Stats 2020'!G98</f>
        <v>1</v>
      </c>
      <c r="E254" s="128">
        <f>'Stats 2020'!H98</f>
        <v>1</v>
      </c>
      <c r="F254" s="128">
        <f>'Stats 2020'!I98</f>
        <v>1</v>
      </c>
      <c r="G254" s="128">
        <f>'Stats 2020'!J98</f>
        <v>1</v>
      </c>
      <c r="J254" s="57" t="s">
        <v>250</v>
      </c>
      <c r="K254" s="86">
        <v>44295</v>
      </c>
      <c r="L254" s="126">
        <f t="shared" si="44"/>
        <v>193.00000008000001</v>
      </c>
      <c r="M254" s="126">
        <f t="shared" si="45"/>
        <v>67.000000080000007</v>
      </c>
      <c r="N254" s="126">
        <f t="shared" si="46"/>
        <v>197</v>
      </c>
      <c r="O254" s="126">
        <f t="shared" si="47"/>
        <v>115</v>
      </c>
      <c r="P254" s="126">
        <f t="shared" si="48"/>
        <v>191</v>
      </c>
      <c r="Q254" s="126">
        <f t="shared" si="49"/>
        <v>207</v>
      </c>
      <c r="R254" s="126">
        <f t="shared" si="50"/>
        <v>10</v>
      </c>
      <c r="S254" s="1">
        <f t="shared" si="55"/>
        <v>1</v>
      </c>
      <c r="T254" s="126">
        <f t="shared" si="51"/>
        <v>10</v>
      </c>
      <c r="U254" s="126">
        <f t="shared" si="43"/>
        <v>970.00000016000001</v>
      </c>
      <c r="W254" s="126">
        <f t="shared" si="52"/>
        <v>207</v>
      </c>
      <c r="X254" s="126">
        <f t="shared" si="53"/>
        <v>182.00000008000001</v>
      </c>
    </row>
    <row r="255" spans="1:28">
      <c r="A255" s="22">
        <f>'Stats 2020'!D99</f>
        <v>44302</v>
      </c>
      <c r="B255" s="128">
        <f>'Stats 2020'!E99</f>
        <v>1</v>
      </c>
      <c r="C255" s="128">
        <f>'Stats 2020'!F99</f>
        <v>1</v>
      </c>
      <c r="D255" s="128">
        <f>'Stats 2020'!G99</f>
        <v>1</v>
      </c>
      <c r="E255" s="128">
        <f>'Stats 2020'!H99</f>
        <v>1</v>
      </c>
      <c r="F255" s="128">
        <f>'Stats 2020'!I99</f>
        <v>1</v>
      </c>
      <c r="G255" s="128">
        <f>'Stats 2020'!J99</f>
        <v>1</v>
      </c>
      <c r="J255" s="57" t="s">
        <v>251</v>
      </c>
      <c r="K255" s="86">
        <v>44302</v>
      </c>
      <c r="L255" s="126">
        <f t="shared" si="44"/>
        <v>194.00000008000001</v>
      </c>
      <c r="M255" s="126">
        <f t="shared" si="45"/>
        <v>68.000000080000007</v>
      </c>
      <c r="N255" s="126">
        <f t="shared" si="46"/>
        <v>198</v>
      </c>
      <c r="O255" s="126">
        <f t="shared" si="47"/>
        <v>116</v>
      </c>
      <c r="P255" s="126">
        <f t="shared" si="48"/>
        <v>192</v>
      </c>
      <c r="Q255" s="126">
        <f t="shared" si="49"/>
        <v>208</v>
      </c>
      <c r="R255" s="126">
        <f t="shared" si="50"/>
        <v>10</v>
      </c>
      <c r="S255" s="1">
        <f t="shared" si="55"/>
        <v>1</v>
      </c>
      <c r="T255" s="126">
        <f t="shared" si="51"/>
        <v>10</v>
      </c>
      <c r="U255" s="126">
        <f t="shared" si="43"/>
        <v>976.00000016000001</v>
      </c>
      <c r="W255" s="126">
        <f t="shared" si="52"/>
        <v>208</v>
      </c>
      <c r="X255" s="126">
        <f t="shared" si="53"/>
        <v>184.00000008000001</v>
      </c>
    </row>
    <row r="256" spans="1:28">
      <c r="A256" s="22">
        <f>'Stats 2020'!D100</f>
        <v>44309</v>
      </c>
      <c r="B256" s="128">
        <f>'Stats 2020'!E100</f>
        <v>1</v>
      </c>
      <c r="C256" s="128">
        <f>'Stats 2020'!F100</f>
        <v>1</v>
      </c>
      <c r="D256" s="128">
        <f>'Stats 2020'!G100</f>
        <v>1</v>
      </c>
      <c r="E256" s="128">
        <v>0</v>
      </c>
      <c r="F256" s="128">
        <f>'Stats 2020'!I100</f>
        <v>1</v>
      </c>
      <c r="G256" s="128">
        <f>'Stats 2020'!J100</f>
        <v>1</v>
      </c>
      <c r="J256" s="57" t="s">
        <v>252</v>
      </c>
      <c r="K256" s="86">
        <v>44309</v>
      </c>
      <c r="L256" s="126">
        <f t="shared" si="44"/>
        <v>195.00000008000001</v>
      </c>
      <c r="M256" s="126">
        <f t="shared" si="45"/>
        <v>69.000000080000007</v>
      </c>
      <c r="N256" s="126">
        <f t="shared" si="46"/>
        <v>199</v>
      </c>
      <c r="O256" s="126">
        <f t="shared" si="47"/>
        <v>116</v>
      </c>
      <c r="P256" s="126">
        <f t="shared" si="48"/>
        <v>193</v>
      </c>
      <c r="Q256" s="126">
        <f t="shared" si="49"/>
        <v>209</v>
      </c>
      <c r="R256" s="126">
        <f t="shared" si="50"/>
        <v>10</v>
      </c>
      <c r="S256" s="1">
        <f t="shared" si="55"/>
        <v>1</v>
      </c>
      <c r="T256" s="126">
        <f t="shared" si="51"/>
        <v>10</v>
      </c>
      <c r="U256" s="126">
        <f t="shared" si="43"/>
        <v>981.00000016000001</v>
      </c>
      <c r="W256" s="126">
        <f t="shared" si="52"/>
        <v>209</v>
      </c>
      <c r="X256" s="126">
        <f t="shared" si="53"/>
        <v>185.00000008000001</v>
      </c>
    </row>
    <row r="257" spans="1:24">
      <c r="A257" s="22">
        <f>'Stats 2020'!D101</f>
        <v>44316</v>
      </c>
      <c r="B257" s="128">
        <f>'Stats 2020'!E101</f>
        <v>1</v>
      </c>
      <c r="C257" s="128">
        <f>'Stats 2020'!F101</f>
        <v>1</v>
      </c>
      <c r="D257" s="128">
        <f>'Stats 2020'!G101</f>
        <v>0</v>
      </c>
      <c r="E257" s="128">
        <v>0</v>
      </c>
      <c r="F257" s="128">
        <f>'Stats 2020'!I101</f>
        <v>1</v>
      </c>
      <c r="G257" s="128">
        <f>'Stats 2020'!J101</f>
        <v>1</v>
      </c>
      <c r="J257" s="57" t="s">
        <v>253</v>
      </c>
      <c r="K257" s="86">
        <v>44316</v>
      </c>
      <c r="L257" s="126">
        <f t="shared" si="44"/>
        <v>196.00000008000001</v>
      </c>
      <c r="M257" s="126">
        <f t="shared" si="45"/>
        <v>70.000000080000007</v>
      </c>
      <c r="N257" s="126">
        <f t="shared" si="46"/>
        <v>199</v>
      </c>
      <c r="O257" s="126">
        <f t="shared" si="47"/>
        <v>116</v>
      </c>
      <c r="P257" s="126">
        <f t="shared" si="48"/>
        <v>194</v>
      </c>
      <c r="Q257" s="126">
        <f t="shared" si="49"/>
        <v>210</v>
      </c>
      <c r="R257" s="126">
        <f t="shared" si="50"/>
        <v>11</v>
      </c>
      <c r="S257" s="1">
        <f t="shared" si="55"/>
        <v>1</v>
      </c>
      <c r="T257" s="126">
        <f t="shared" si="51"/>
        <v>11</v>
      </c>
      <c r="U257" s="126">
        <f t="shared" si="43"/>
        <v>985.00000016000001</v>
      </c>
      <c r="W257" s="126">
        <f t="shared" si="52"/>
        <v>210</v>
      </c>
      <c r="X257" s="126">
        <f t="shared" si="53"/>
        <v>186.00000008000001</v>
      </c>
    </row>
    <row r="258" spans="1:24">
      <c r="A258" s="22">
        <f>'Stats 2020'!D102</f>
        <v>44323</v>
      </c>
      <c r="B258" s="128">
        <f>'Stats 2020'!E102</f>
        <v>1</v>
      </c>
      <c r="C258" s="128">
        <f>'Stats 2020'!F102</f>
        <v>1</v>
      </c>
      <c r="D258" s="128">
        <f>'Stats 2020'!G102</f>
        <v>1</v>
      </c>
      <c r="E258" s="128">
        <v>0</v>
      </c>
      <c r="F258" s="128">
        <f>'Stats 2020'!I102</f>
        <v>0</v>
      </c>
      <c r="G258" s="128">
        <f>'Stats 2020'!J102</f>
        <v>1</v>
      </c>
      <c r="J258" s="57" t="s">
        <v>254</v>
      </c>
      <c r="K258" s="86">
        <v>44323</v>
      </c>
      <c r="L258" s="126">
        <f t="shared" si="44"/>
        <v>197.00000008000001</v>
      </c>
      <c r="M258" s="126">
        <f t="shared" si="45"/>
        <v>71.000000080000007</v>
      </c>
      <c r="N258" s="145">
        <f t="shared" si="46"/>
        <v>200</v>
      </c>
      <c r="O258" s="126">
        <f t="shared" si="47"/>
        <v>116</v>
      </c>
      <c r="P258" s="126">
        <f t="shared" si="48"/>
        <v>194</v>
      </c>
      <c r="Q258" s="126">
        <f t="shared" si="49"/>
        <v>211</v>
      </c>
      <c r="R258" s="126">
        <f t="shared" si="50"/>
        <v>11</v>
      </c>
      <c r="S258" s="1">
        <f t="shared" si="55"/>
        <v>1</v>
      </c>
      <c r="T258" s="126">
        <f t="shared" si="51"/>
        <v>11</v>
      </c>
      <c r="U258" s="126">
        <f t="shared" ref="U258:U277" si="56">SUM(L258:Q258)</f>
        <v>989.00000016000001</v>
      </c>
      <c r="W258" s="126">
        <f t="shared" si="52"/>
        <v>211</v>
      </c>
      <c r="X258" s="126">
        <f t="shared" si="53"/>
        <v>187.00000008000001</v>
      </c>
    </row>
    <row r="259" spans="1:24">
      <c r="A259" s="22">
        <f>'Stats 2020'!D103</f>
        <v>44330</v>
      </c>
      <c r="B259" s="128">
        <f>'Stats 2020'!E103</f>
        <v>1</v>
      </c>
      <c r="C259" s="128">
        <f>'Stats 2020'!F103</f>
        <v>0</v>
      </c>
      <c r="D259" s="128">
        <f>'Stats 2020'!G103</f>
        <v>1</v>
      </c>
      <c r="E259" s="128">
        <v>0</v>
      </c>
      <c r="F259" s="128">
        <f>'Stats 2020'!I103</f>
        <v>1</v>
      </c>
      <c r="G259" s="128">
        <f>'Stats 2020'!J103</f>
        <v>1</v>
      </c>
      <c r="J259" s="57" t="s">
        <v>255</v>
      </c>
      <c r="K259" s="86">
        <v>44330</v>
      </c>
      <c r="L259" s="126">
        <f t="shared" ref="L259:L322" si="57">B259+L258</f>
        <v>198.00000008000001</v>
      </c>
      <c r="M259" s="126">
        <f t="shared" ref="M259:M322" si="58">C259+M258</f>
        <v>71.000000080000007</v>
      </c>
      <c r="N259" s="126">
        <f t="shared" ref="N259:N322" si="59">D259+N258</f>
        <v>201</v>
      </c>
      <c r="O259" s="126">
        <f t="shared" ref="O259:O322" si="60">E259+O258</f>
        <v>116</v>
      </c>
      <c r="P259" s="126">
        <f t="shared" ref="P259:P322" si="61">F259+P258</f>
        <v>195</v>
      </c>
      <c r="Q259" s="126">
        <f t="shared" ref="Q259:Q322" si="62">G259+Q258</f>
        <v>212</v>
      </c>
      <c r="R259" s="126">
        <f t="shared" ref="R259:R297" si="63">Q259-MAX(L259:P259)</f>
        <v>11</v>
      </c>
      <c r="S259" s="1">
        <f t="shared" si="55"/>
        <v>1</v>
      </c>
      <c r="T259" s="126">
        <f t="shared" ref="T259:T322" si="64">Q259-MAX(L259:P259)</f>
        <v>11</v>
      </c>
      <c r="U259" s="126">
        <f t="shared" si="56"/>
        <v>993.00000016000001</v>
      </c>
      <c r="W259" s="126">
        <f t="shared" ref="W259:W322" si="65">Q259</f>
        <v>212</v>
      </c>
      <c r="X259" s="126">
        <f t="shared" ref="X259:X322" si="66">M259+O259</f>
        <v>187.00000008000001</v>
      </c>
    </row>
    <row r="260" spans="1:24">
      <c r="A260" s="22">
        <f>'Stats 2020'!D105</f>
        <v>44337</v>
      </c>
      <c r="B260" s="128">
        <f>'Stats 2020'!E105</f>
        <v>1</v>
      </c>
      <c r="C260" s="128">
        <f>'Stats 2020'!F105</f>
        <v>1</v>
      </c>
      <c r="D260" s="128">
        <f>'Stats 2020'!G105</f>
        <v>0</v>
      </c>
      <c r="E260" s="128">
        <f>'Stats 2020'!H105</f>
        <v>1</v>
      </c>
      <c r="F260" s="128">
        <f>'Stats 2020'!I105</f>
        <v>1</v>
      </c>
      <c r="G260" s="128">
        <f>'Stats 2020'!J105</f>
        <v>1</v>
      </c>
      <c r="J260" s="57" t="s">
        <v>256</v>
      </c>
      <c r="K260" s="86">
        <v>44337</v>
      </c>
      <c r="L260" s="126">
        <f t="shared" si="57"/>
        <v>199.00000008000001</v>
      </c>
      <c r="M260" s="126">
        <f t="shared" si="58"/>
        <v>72.000000080000007</v>
      </c>
      <c r="N260" s="126">
        <f t="shared" si="59"/>
        <v>201</v>
      </c>
      <c r="O260" s="126">
        <f t="shared" si="60"/>
        <v>117</v>
      </c>
      <c r="P260" s="126">
        <f t="shared" si="61"/>
        <v>196</v>
      </c>
      <c r="Q260" s="126">
        <f t="shared" si="62"/>
        <v>213</v>
      </c>
      <c r="R260" s="126">
        <f t="shared" si="63"/>
        <v>12</v>
      </c>
      <c r="S260" s="1">
        <f t="shared" si="55"/>
        <v>1</v>
      </c>
      <c r="T260" s="126">
        <f t="shared" si="64"/>
        <v>12</v>
      </c>
      <c r="U260" s="126">
        <f t="shared" si="56"/>
        <v>998.00000016000001</v>
      </c>
      <c r="W260" s="126">
        <f t="shared" si="65"/>
        <v>213</v>
      </c>
      <c r="X260" s="126">
        <f t="shared" si="66"/>
        <v>189.00000008000001</v>
      </c>
    </row>
    <row r="261" spans="1:24">
      <c r="A261" s="22">
        <f>'Stats 2021'!D25</f>
        <v>44344</v>
      </c>
      <c r="B261" s="128">
        <f>'Stats 2021'!E25</f>
        <v>1</v>
      </c>
      <c r="C261" s="128">
        <f>'Stats 2021'!F25</f>
        <v>1</v>
      </c>
      <c r="D261" s="128">
        <f>'Stats 2021'!G25</f>
        <v>0</v>
      </c>
      <c r="E261" s="128">
        <f>'Stats 2021'!H25</f>
        <v>1</v>
      </c>
      <c r="F261" s="128">
        <f>'Stats 2021'!I25</f>
        <v>1</v>
      </c>
      <c r="G261" s="128">
        <f>'Stats 2021'!J25</f>
        <v>1</v>
      </c>
      <c r="J261" s="57" t="s">
        <v>257</v>
      </c>
      <c r="K261" s="86">
        <v>44344</v>
      </c>
      <c r="L261" s="145">
        <f t="shared" si="57"/>
        <v>200.00000008000001</v>
      </c>
      <c r="M261" s="126">
        <f t="shared" si="58"/>
        <v>73.000000080000007</v>
      </c>
      <c r="N261" s="126">
        <f t="shared" si="59"/>
        <v>201</v>
      </c>
      <c r="O261" s="126">
        <f t="shared" si="60"/>
        <v>118</v>
      </c>
      <c r="P261" s="126">
        <f t="shared" si="61"/>
        <v>197</v>
      </c>
      <c r="Q261" s="126">
        <f t="shared" si="62"/>
        <v>214</v>
      </c>
      <c r="R261" s="126">
        <f t="shared" si="63"/>
        <v>13</v>
      </c>
      <c r="S261" s="1">
        <f t="shared" si="55"/>
        <v>1</v>
      </c>
      <c r="T261" s="126">
        <f t="shared" si="64"/>
        <v>13</v>
      </c>
      <c r="U261" s="126">
        <f t="shared" si="56"/>
        <v>1003.00000016</v>
      </c>
      <c r="W261" s="126">
        <f t="shared" si="65"/>
        <v>214</v>
      </c>
      <c r="X261" s="126">
        <f t="shared" si="66"/>
        <v>191.00000008000001</v>
      </c>
    </row>
    <row r="262" spans="1:24">
      <c r="A262" s="22">
        <f>'Stats 2021'!D26</f>
        <v>44351</v>
      </c>
      <c r="B262" s="128">
        <f>'Stats 2021'!E26</f>
        <v>1</v>
      </c>
      <c r="C262" s="128">
        <f>'Stats 2021'!F26</f>
        <v>1</v>
      </c>
      <c r="D262" s="128">
        <f>'Stats 2021'!G26</f>
        <v>1</v>
      </c>
      <c r="E262" s="128">
        <f>'Stats 2021'!H26</f>
        <v>0</v>
      </c>
      <c r="F262" s="128">
        <f>'Stats 2021'!I26</f>
        <v>0</v>
      </c>
      <c r="G262" s="128">
        <f>'Stats 2021'!J26</f>
        <v>1</v>
      </c>
      <c r="J262" s="57" t="s">
        <v>258</v>
      </c>
      <c r="K262" s="86">
        <v>44351</v>
      </c>
      <c r="L262" s="126">
        <f t="shared" si="57"/>
        <v>201.00000008000001</v>
      </c>
      <c r="M262" s="126">
        <f t="shared" si="58"/>
        <v>74.000000080000007</v>
      </c>
      <c r="N262" s="126">
        <f t="shared" si="59"/>
        <v>202</v>
      </c>
      <c r="O262" s="126">
        <f t="shared" si="60"/>
        <v>118</v>
      </c>
      <c r="P262" s="126">
        <f t="shared" si="61"/>
        <v>197</v>
      </c>
      <c r="Q262" s="126">
        <f t="shared" si="62"/>
        <v>215</v>
      </c>
      <c r="R262" s="126">
        <f t="shared" si="63"/>
        <v>13</v>
      </c>
      <c r="S262" s="1">
        <f t="shared" si="55"/>
        <v>1</v>
      </c>
      <c r="T262" s="126">
        <f t="shared" si="64"/>
        <v>13</v>
      </c>
      <c r="U262" s="126">
        <f t="shared" si="56"/>
        <v>1007.00000016</v>
      </c>
      <c r="W262" s="126">
        <f t="shared" si="65"/>
        <v>215</v>
      </c>
      <c r="X262" s="126">
        <f t="shared" si="66"/>
        <v>192.00000008000001</v>
      </c>
    </row>
    <row r="263" spans="1:24">
      <c r="A263" s="22">
        <f>'Stats 2021'!D27</f>
        <v>44358</v>
      </c>
      <c r="B263" s="128">
        <f>'Stats 2021'!E27</f>
        <v>1</v>
      </c>
      <c r="C263" s="128">
        <f>'Stats 2021'!F27</f>
        <v>1</v>
      </c>
      <c r="D263" s="128">
        <f>'Stats 2021'!G27</f>
        <v>1</v>
      </c>
      <c r="E263" s="128">
        <f>'Stats 2021'!H27</f>
        <v>0</v>
      </c>
      <c r="F263" s="128">
        <f>'Stats 2021'!I27</f>
        <v>0</v>
      </c>
      <c r="G263" s="128">
        <f>'Stats 2021'!J27</f>
        <v>1</v>
      </c>
      <c r="J263" s="57" t="s">
        <v>259</v>
      </c>
      <c r="K263" s="86">
        <v>44358</v>
      </c>
      <c r="L263" s="126">
        <f t="shared" si="57"/>
        <v>202.00000008000001</v>
      </c>
      <c r="M263" s="126">
        <f t="shared" si="58"/>
        <v>75.000000080000007</v>
      </c>
      <c r="N263" s="126">
        <f t="shared" si="59"/>
        <v>203</v>
      </c>
      <c r="O263" s="126">
        <f t="shared" si="60"/>
        <v>118</v>
      </c>
      <c r="P263" s="126">
        <f t="shared" si="61"/>
        <v>197</v>
      </c>
      <c r="Q263" s="126">
        <f t="shared" si="62"/>
        <v>216</v>
      </c>
      <c r="R263" s="126">
        <f t="shared" si="63"/>
        <v>13</v>
      </c>
      <c r="S263" s="1">
        <f t="shared" si="55"/>
        <v>1</v>
      </c>
      <c r="T263" s="126">
        <f t="shared" si="64"/>
        <v>13</v>
      </c>
      <c r="U263" s="126">
        <f t="shared" si="56"/>
        <v>1011.00000016</v>
      </c>
      <c r="W263" s="126">
        <f t="shared" si="65"/>
        <v>216</v>
      </c>
      <c r="X263" s="126">
        <f t="shared" si="66"/>
        <v>193.00000008000001</v>
      </c>
    </row>
    <row r="264" spans="1:24">
      <c r="A264" s="22">
        <f>'Stats 2021'!D28</f>
        <v>44365</v>
      </c>
      <c r="B264" s="128">
        <f>'Stats 2021'!E28</f>
        <v>0</v>
      </c>
      <c r="C264" s="128">
        <f>'Stats 2021'!F28</f>
        <v>1</v>
      </c>
      <c r="D264" s="128">
        <f>'Stats 2021'!G28</f>
        <v>1</v>
      </c>
      <c r="E264" s="128">
        <f>'Stats 2021'!H28</f>
        <v>1</v>
      </c>
      <c r="F264" s="128">
        <f>'Stats 2021'!I28</f>
        <v>1</v>
      </c>
      <c r="G264" s="128">
        <f>'Stats 2021'!J28</f>
        <v>1</v>
      </c>
      <c r="J264" s="57" t="s">
        <v>260</v>
      </c>
      <c r="K264" s="86">
        <v>44365</v>
      </c>
      <c r="L264" s="126">
        <f t="shared" si="57"/>
        <v>202.00000008000001</v>
      </c>
      <c r="M264" s="126">
        <f t="shared" si="58"/>
        <v>76.000000080000007</v>
      </c>
      <c r="N264" s="126">
        <f t="shared" si="59"/>
        <v>204</v>
      </c>
      <c r="O264" s="126">
        <f t="shared" si="60"/>
        <v>119</v>
      </c>
      <c r="P264" s="126">
        <f t="shared" si="61"/>
        <v>198</v>
      </c>
      <c r="Q264" s="126">
        <f t="shared" si="62"/>
        <v>217</v>
      </c>
      <c r="R264" s="126">
        <f t="shared" si="63"/>
        <v>13</v>
      </c>
      <c r="S264" s="1">
        <f t="shared" si="55"/>
        <v>1</v>
      </c>
      <c r="T264" s="126">
        <f t="shared" si="64"/>
        <v>13</v>
      </c>
      <c r="U264" s="126">
        <f t="shared" si="56"/>
        <v>1016.00000016</v>
      </c>
      <c r="W264" s="126">
        <f t="shared" si="65"/>
        <v>217</v>
      </c>
      <c r="X264" s="126">
        <f t="shared" si="66"/>
        <v>195.00000008000001</v>
      </c>
    </row>
    <row r="265" spans="1:24">
      <c r="A265" s="22">
        <f>'Stats 2021'!D29</f>
        <v>44372</v>
      </c>
      <c r="B265" s="128">
        <f>'Stats 2021'!E29</f>
        <v>1</v>
      </c>
      <c r="C265" s="128">
        <f>'Stats 2021'!F29</f>
        <v>0</v>
      </c>
      <c r="D265" s="128">
        <f>'Stats 2021'!G29</f>
        <v>1</v>
      </c>
      <c r="E265" s="128">
        <f>'Stats 2021'!H29</f>
        <v>0</v>
      </c>
      <c r="F265" s="128">
        <f>'Stats 2021'!I29</f>
        <v>1</v>
      </c>
      <c r="G265" s="128">
        <f>'Stats 2021'!J29</f>
        <v>1</v>
      </c>
      <c r="J265" s="57" t="s">
        <v>261</v>
      </c>
      <c r="K265" s="86">
        <v>44372</v>
      </c>
      <c r="L265" s="126">
        <f t="shared" si="57"/>
        <v>203.00000008000001</v>
      </c>
      <c r="M265" s="126">
        <f t="shared" si="58"/>
        <v>76.000000080000007</v>
      </c>
      <c r="N265" s="126">
        <f t="shared" si="59"/>
        <v>205</v>
      </c>
      <c r="O265" s="126">
        <f t="shared" si="60"/>
        <v>119</v>
      </c>
      <c r="P265" s="126">
        <f t="shared" si="61"/>
        <v>199</v>
      </c>
      <c r="Q265" s="126">
        <f t="shared" si="62"/>
        <v>218</v>
      </c>
      <c r="R265" s="126">
        <f t="shared" si="63"/>
        <v>13</v>
      </c>
      <c r="S265" s="1">
        <f t="shared" si="55"/>
        <v>1</v>
      </c>
      <c r="T265" s="126">
        <f t="shared" si="64"/>
        <v>13</v>
      </c>
      <c r="U265" s="126">
        <f t="shared" si="56"/>
        <v>1020.00000016</v>
      </c>
      <c r="W265" s="126">
        <f t="shared" si="65"/>
        <v>218</v>
      </c>
      <c r="X265" s="126">
        <f t="shared" si="66"/>
        <v>195.00000008000001</v>
      </c>
    </row>
    <row r="266" spans="1:24">
      <c r="A266" s="22">
        <f>'Stats 2021'!D31</f>
        <v>44379</v>
      </c>
      <c r="B266" s="128">
        <f>'Stats 2021'!E31</f>
        <v>1</v>
      </c>
      <c r="C266" s="128">
        <f>'Stats 2021'!F31</f>
        <v>0</v>
      </c>
      <c r="D266" s="128">
        <f>'Stats 2021'!G31</f>
        <v>0</v>
      </c>
      <c r="E266" s="128">
        <f>'Stats 2021'!H31</f>
        <v>0</v>
      </c>
      <c r="F266" s="128">
        <f>'Stats 2021'!I31</f>
        <v>0</v>
      </c>
      <c r="G266" s="128">
        <f>'Stats 2021'!J31</f>
        <v>1</v>
      </c>
      <c r="J266" s="57" t="s">
        <v>262</v>
      </c>
      <c r="K266" s="86">
        <v>44379</v>
      </c>
      <c r="L266" s="126">
        <f t="shared" si="57"/>
        <v>204.00000008000001</v>
      </c>
      <c r="M266" s="126">
        <f t="shared" si="58"/>
        <v>76.000000080000007</v>
      </c>
      <c r="N266" s="126">
        <f t="shared" si="59"/>
        <v>205</v>
      </c>
      <c r="O266" s="126">
        <f t="shared" si="60"/>
        <v>119</v>
      </c>
      <c r="P266" s="126">
        <f t="shared" si="61"/>
        <v>199</v>
      </c>
      <c r="Q266" s="126">
        <f t="shared" si="62"/>
        <v>219</v>
      </c>
      <c r="R266" s="126">
        <f t="shared" si="63"/>
        <v>14</v>
      </c>
      <c r="S266" s="1">
        <f t="shared" ref="S266" si="67">IF(Q266&gt;L266,1,0)</f>
        <v>1</v>
      </c>
      <c r="T266" s="126">
        <f t="shared" si="64"/>
        <v>14</v>
      </c>
      <c r="U266" s="126">
        <f t="shared" si="56"/>
        <v>1022.00000016</v>
      </c>
      <c r="W266" s="126">
        <f t="shared" si="65"/>
        <v>219</v>
      </c>
      <c r="X266" s="126">
        <f t="shared" si="66"/>
        <v>195.00000008000001</v>
      </c>
    </row>
    <row r="267" spans="1:24">
      <c r="A267" s="22">
        <f>'Stats 2021'!D32</f>
        <v>44386</v>
      </c>
      <c r="B267" s="128">
        <f>'Stats 2021'!E32</f>
        <v>0</v>
      </c>
      <c r="C267" s="128">
        <f>'Stats 2021'!F32</f>
        <v>1</v>
      </c>
      <c r="D267" s="128">
        <f>'Stats 2021'!G32</f>
        <v>1</v>
      </c>
      <c r="E267" s="128">
        <f>'Stats 2021'!H32</f>
        <v>0</v>
      </c>
      <c r="F267" s="128">
        <f>'Stats 2021'!I32</f>
        <v>1</v>
      </c>
      <c r="G267" s="128">
        <f>'Stats 2021'!J32</f>
        <v>1</v>
      </c>
      <c r="J267" s="57" t="s">
        <v>263</v>
      </c>
      <c r="K267" s="86">
        <v>44386</v>
      </c>
      <c r="L267" s="126">
        <f t="shared" si="57"/>
        <v>204.00000008000001</v>
      </c>
      <c r="M267" s="126">
        <f t="shared" si="58"/>
        <v>77.000000080000007</v>
      </c>
      <c r="N267" s="126">
        <f t="shared" si="59"/>
        <v>206</v>
      </c>
      <c r="O267" s="126">
        <f t="shared" si="60"/>
        <v>119</v>
      </c>
      <c r="P267" s="145">
        <f t="shared" si="61"/>
        <v>200</v>
      </c>
      <c r="Q267" s="126">
        <f t="shared" si="62"/>
        <v>220</v>
      </c>
      <c r="R267" s="126">
        <f t="shared" si="63"/>
        <v>14</v>
      </c>
      <c r="S267" s="1">
        <f t="shared" ref="S267" si="68">IF(Q267&gt;L267,1,0)</f>
        <v>1</v>
      </c>
      <c r="T267" s="126">
        <f t="shared" si="64"/>
        <v>14</v>
      </c>
      <c r="U267" s="126">
        <f t="shared" si="56"/>
        <v>1026.0000001600001</v>
      </c>
      <c r="W267" s="126">
        <f t="shared" si="65"/>
        <v>220</v>
      </c>
      <c r="X267" s="126">
        <f t="shared" si="66"/>
        <v>196.00000008000001</v>
      </c>
    </row>
    <row r="268" spans="1:24">
      <c r="A268" s="22">
        <f>'Stats 2021'!D33</f>
        <v>44393</v>
      </c>
      <c r="B268" s="128">
        <f>'Stats 2021'!E33</f>
        <v>1</v>
      </c>
      <c r="C268" s="128">
        <f>'Stats 2021'!F33</f>
        <v>0</v>
      </c>
      <c r="D268" s="128">
        <f>'Stats 2021'!G33</f>
        <v>0</v>
      </c>
      <c r="E268" s="128">
        <f>'Stats 2021'!H33</f>
        <v>0</v>
      </c>
      <c r="F268" s="128">
        <f>'Stats 2021'!I33</f>
        <v>1</v>
      </c>
      <c r="G268" s="128">
        <f>'Stats 2021'!J33</f>
        <v>1</v>
      </c>
      <c r="J268" s="57" t="s">
        <v>265</v>
      </c>
      <c r="K268" s="86">
        <v>44393</v>
      </c>
      <c r="L268" s="126">
        <f t="shared" si="57"/>
        <v>205.00000008000001</v>
      </c>
      <c r="M268" s="126">
        <f t="shared" si="58"/>
        <v>77.000000080000007</v>
      </c>
      <c r="N268" s="126">
        <f t="shared" si="59"/>
        <v>206</v>
      </c>
      <c r="O268" s="126">
        <f t="shared" si="60"/>
        <v>119</v>
      </c>
      <c r="P268" s="126">
        <f t="shared" si="61"/>
        <v>201</v>
      </c>
      <c r="Q268" s="126">
        <f t="shared" si="62"/>
        <v>221</v>
      </c>
      <c r="R268" s="126">
        <f t="shared" si="63"/>
        <v>15</v>
      </c>
      <c r="S268" s="1">
        <f t="shared" ref="S268:S270" si="69">IF(Q268&gt;L268,1,0)</f>
        <v>1</v>
      </c>
      <c r="T268" s="126">
        <f t="shared" si="64"/>
        <v>15</v>
      </c>
      <c r="U268" s="126">
        <f t="shared" si="56"/>
        <v>1029.0000001600001</v>
      </c>
      <c r="W268" s="126">
        <f t="shared" si="65"/>
        <v>221</v>
      </c>
      <c r="X268" s="126">
        <f t="shared" si="66"/>
        <v>196.00000008000001</v>
      </c>
    </row>
    <row r="269" spans="1:24">
      <c r="A269" s="22">
        <f>'Stats 2021'!D34</f>
        <v>44400</v>
      </c>
      <c r="B269" s="128">
        <f>'Stats 2021'!E34</f>
        <v>1</v>
      </c>
      <c r="C269" s="128">
        <f>'Stats 2021'!F34</f>
        <v>1</v>
      </c>
      <c r="D269" s="128">
        <f>'Stats 2021'!G34</f>
        <v>0</v>
      </c>
      <c r="E269" s="128">
        <f>'Stats 2021'!H34</f>
        <v>0</v>
      </c>
      <c r="F269" s="128">
        <f>'Stats 2021'!I34</f>
        <v>1</v>
      </c>
      <c r="G269" s="128">
        <f>'Stats 2021'!J34</f>
        <v>0</v>
      </c>
      <c r="J269" s="57" t="s">
        <v>264</v>
      </c>
      <c r="K269" s="86">
        <v>44400</v>
      </c>
      <c r="L269" s="126">
        <f t="shared" si="57"/>
        <v>206.00000008000001</v>
      </c>
      <c r="M269" s="126">
        <f t="shared" si="58"/>
        <v>78.000000080000007</v>
      </c>
      <c r="N269" s="126">
        <f t="shared" si="59"/>
        <v>206</v>
      </c>
      <c r="O269" s="126">
        <f t="shared" si="60"/>
        <v>119</v>
      </c>
      <c r="P269" s="126">
        <f t="shared" si="61"/>
        <v>202</v>
      </c>
      <c r="Q269" s="126">
        <f t="shared" si="62"/>
        <v>221</v>
      </c>
      <c r="R269" s="126">
        <f t="shared" si="63"/>
        <v>14.999999919999993</v>
      </c>
      <c r="S269" s="1">
        <f t="shared" si="69"/>
        <v>1</v>
      </c>
      <c r="T269" s="126">
        <f t="shared" si="64"/>
        <v>14.999999919999993</v>
      </c>
      <c r="U269" s="126">
        <f t="shared" si="56"/>
        <v>1032.0000001600001</v>
      </c>
      <c r="W269" s="126">
        <f t="shared" si="65"/>
        <v>221</v>
      </c>
      <c r="X269" s="126">
        <f t="shared" si="66"/>
        <v>197.00000008000001</v>
      </c>
    </row>
    <row r="270" spans="1:24">
      <c r="A270" s="22">
        <f>'Stats 2021'!D35</f>
        <v>44407</v>
      </c>
      <c r="B270" s="128">
        <f>'Stats 2021'!E35</f>
        <v>0</v>
      </c>
      <c r="C270" s="128">
        <f>'Stats 2021'!F35</f>
        <v>1</v>
      </c>
      <c r="D270" s="128">
        <f>'Stats 2021'!G35</f>
        <v>1</v>
      </c>
      <c r="E270" s="128">
        <f>'Stats 2021'!H35</f>
        <v>1</v>
      </c>
      <c r="F270" s="128">
        <f>'Stats 2021'!I35</f>
        <v>1</v>
      </c>
      <c r="G270" s="128">
        <f>'Stats 2021'!J35</f>
        <v>1</v>
      </c>
      <c r="J270" s="57" t="s">
        <v>266</v>
      </c>
      <c r="K270" s="86">
        <v>44407</v>
      </c>
      <c r="L270" s="126">
        <f t="shared" si="57"/>
        <v>206.00000008000001</v>
      </c>
      <c r="M270" s="126">
        <f t="shared" si="58"/>
        <v>79.000000080000007</v>
      </c>
      <c r="N270" s="126">
        <f t="shared" si="59"/>
        <v>207</v>
      </c>
      <c r="O270" s="126">
        <f t="shared" si="60"/>
        <v>120</v>
      </c>
      <c r="P270" s="126">
        <f t="shared" si="61"/>
        <v>203</v>
      </c>
      <c r="Q270" s="126">
        <f t="shared" si="62"/>
        <v>222</v>
      </c>
      <c r="R270" s="126">
        <f t="shared" si="63"/>
        <v>15</v>
      </c>
      <c r="S270" s="1">
        <f t="shared" si="69"/>
        <v>1</v>
      </c>
      <c r="T270" s="126">
        <f t="shared" si="64"/>
        <v>15</v>
      </c>
      <c r="U270" s="126">
        <f t="shared" si="56"/>
        <v>1037.0000001600001</v>
      </c>
      <c r="W270" s="126">
        <f t="shared" si="65"/>
        <v>222</v>
      </c>
      <c r="X270" s="126">
        <f t="shared" si="66"/>
        <v>199.00000008000001</v>
      </c>
    </row>
    <row r="271" spans="1:24">
      <c r="A271" s="22">
        <f>'Stats 2021'!D37</f>
        <v>44414</v>
      </c>
      <c r="B271" s="128">
        <f>'Stats 2021'!E37</f>
        <v>0</v>
      </c>
      <c r="C271" s="128">
        <f>'Stats 2021'!F37</f>
        <v>1</v>
      </c>
      <c r="D271" s="128">
        <f>'Stats 2021'!G37</f>
        <v>1</v>
      </c>
      <c r="E271" s="128">
        <f>'Stats 2021'!H37</f>
        <v>1</v>
      </c>
      <c r="F271" s="128">
        <f>'Stats 2021'!I37</f>
        <v>1</v>
      </c>
      <c r="G271" s="128">
        <f>'Stats 2021'!J37</f>
        <v>1</v>
      </c>
      <c r="J271" s="57" t="s">
        <v>267</v>
      </c>
      <c r="K271" s="86">
        <v>44414</v>
      </c>
      <c r="L271" s="126">
        <f t="shared" si="57"/>
        <v>206.00000008000001</v>
      </c>
      <c r="M271" s="126">
        <f t="shared" si="58"/>
        <v>80.000000080000007</v>
      </c>
      <c r="N271" s="126">
        <f t="shared" si="59"/>
        <v>208</v>
      </c>
      <c r="O271" s="126">
        <f t="shared" si="60"/>
        <v>121</v>
      </c>
      <c r="P271" s="126">
        <f t="shared" si="61"/>
        <v>204</v>
      </c>
      <c r="Q271" s="126">
        <f t="shared" si="62"/>
        <v>223</v>
      </c>
      <c r="R271" s="126">
        <f t="shared" si="63"/>
        <v>15</v>
      </c>
      <c r="S271" s="1">
        <f t="shared" ref="S271" si="70">IF(Q271&gt;L271,1,0)</f>
        <v>1</v>
      </c>
      <c r="T271" s="126">
        <f t="shared" si="64"/>
        <v>15</v>
      </c>
      <c r="U271" s="126">
        <f t="shared" si="56"/>
        <v>1042.0000001600001</v>
      </c>
      <c r="W271" s="126">
        <f t="shared" si="65"/>
        <v>223</v>
      </c>
      <c r="X271" s="126">
        <f t="shared" si="66"/>
        <v>201.00000008000001</v>
      </c>
    </row>
    <row r="272" spans="1:24">
      <c r="A272" s="22">
        <f>'Stats 2021'!D38</f>
        <v>44421</v>
      </c>
      <c r="B272" s="128">
        <f>'Stats 2021'!E38</f>
        <v>1</v>
      </c>
      <c r="C272" s="128">
        <f>'Stats 2021'!F38</f>
        <v>1</v>
      </c>
      <c r="D272" s="128">
        <f>'Stats 2021'!G38</f>
        <v>1</v>
      </c>
      <c r="E272" s="128">
        <f>'Stats 2021'!H38</f>
        <v>1</v>
      </c>
      <c r="F272" s="128">
        <f>'Stats 2021'!I38</f>
        <v>0</v>
      </c>
      <c r="G272" s="128">
        <f>'Stats 2021'!J38</f>
        <v>1</v>
      </c>
      <c r="J272" s="57" t="s">
        <v>268</v>
      </c>
      <c r="K272" s="86">
        <v>44421</v>
      </c>
      <c r="L272" s="126">
        <f t="shared" si="57"/>
        <v>207.00000008000001</v>
      </c>
      <c r="M272" s="126">
        <f t="shared" si="58"/>
        <v>81.000000080000007</v>
      </c>
      <c r="N272" s="126">
        <f t="shared" si="59"/>
        <v>209</v>
      </c>
      <c r="O272" s="126">
        <f t="shared" si="60"/>
        <v>122</v>
      </c>
      <c r="P272" s="126">
        <f t="shared" si="61"/>
        <v>204</v>
      </c>
      <c r="Q272" s="126">
        <f t="shared" si="62"/>
        <v>224</v>
      </c>
      <c r="R272" s="126">
        <f t="shared" si="63"/>
        <v>15</v>
      </c>
      <c r="S272" s="1">
        <f t="shared" ref="S272" si="71">IF(Q272&gt;L272,1,0)</f>
        <v>1</v>
      </c>
      <c r="T272" s="126">
        <f t="shared" si="64"/>
        <v>15</v>
      </c>
      <c r="U272" s="126">
        <f t="shared" si="56"/>
        <v>1047.0000001600001</v>
      </c>
      <c r="W272" s="126">
        <f t="shared" si="65"/>
        <v>224</v>
      </c>
      <c r="X272" s="126">
        <f t="shared" si="66"/>
        <v>203.00000008000001</v>
      </c>
    </row>
    <row r="273" spans="1:24">
      <c r="A273" s="22">
        <f>'Stats 2021'!D39</f>
        <v>44428</v>
      </c>
      <c r="B273" s="128">
        <f>'Stats 2021'!E39</f>
        <v>1</v>
      </c>
      <c r="C273" s="128">
        <f>'Stats 2021'!F39</f>
        <v>0</v>
      </c>
      <c r="D273" s="128">
        <f>'Stats 2021'!G39</f>
        <v>1</v>
      </c>
      <c r="E273" s="128">
        <f>'Stats 2021'!H39</f>
        <v>1</v>
      </c>
      <c r="F273" s="128">
        <f>'Stats 2021'!I39</f>
        <v>1</v>
      </c>
      <c r="G273" s="128">
        <f>'Stats 2021'!J39</f>
        <v>0</v>
      </c>
      <c r="K273" s="86">
        <v>44428</v>
      </c>
      <c r="L273" s="126">
        <f t="shared" si="57"/>
        <v>208.00000008000001</v>
      </c>
      <c r="M273" s="126">
        <f t="shared" si="58"/>
        <v>81.000000080000007</v>
      </c>
      <c r="N273" s="126">
        <f t="shared" si="59"/>
        <v>210</v>
      </c>
      <c r="O273" s="126">
        <f t="shared" si="60"/>
        <v>123</v>
      </c>
      <c r="P273" s="126">
        <f t="shared" si="61"/>
        <v>205</v>
      </c>
      <c r="Q273" s="126">
        <f t="shared" si="62"/>
        <v>224</v>
      </c>
      <c r="R273" s="126">
        <f t="shared" si="63"/>
        <v>14</v>
      </c>
      <c r="S273" s="1">
        <f t="shared" ref="S273:S274" si="72">IF(Q273&gt;L273,1,0)</f>
        <v>1</v>
      </c>
      <c r="T273" s="126">
        <f t="shared" si="64"/>
        <v>14</v>
      </c>
      <c r="U273" s="126">
        <f t="shared" si="56"/>
        <v>1051.0000001600001</v>
      </c>
      <c r="W273" s="126">
        <f t="shared" si="65"/>
        <v>224</v>
      </c>
      <c r="X273" s="126">
        <f t="shared" si="66"/>
        <v>204.00000008000001</v>
      </c>
    </row>
    <row r="274" spans="1:24">
      <c r="A274" s="22">
        <f>'Stats 2021'!D40</f>
        <v>44435</v>
      </c>
      <c r="B274" s="128">
        <f>'Stats 2021'!E40</f>
        <v>1</v>
      </c>
      <c r="C274" s="128">
        <f>'Stats 2021'!F40</f>
        <v>0</v>
      </c>
      <c r="D274" s="128">
        <f>'Stats 2021'!G40</f>
        <v>1</v>
      </c>
      <c r="E274" s="128">
        <f>'Stats 2021'!H40</f>
        <v>1</v>
      </c>
      <c r="F274" s="128">
        <f>'Stats 2021'!I40</f>
        <v>0</v>
      </c>
      <c r="G274" s="128">
        <f>'Stats 2021'!J40</f>
        <v>1</v>
      </c>
      <c r="J274" s="57" t="s">
        <v>269</v>
      </c>
      <c r="K274" s="86">
        <v>44435</v>
      </c>
      <c r="L274" s="126">
        <f t="shared" si="57"/>
        <v>209.00000008000001</v>
      </c>
      <c r="M274" s="126">
        <f t="shared" si="58"/>
        <v>81.000000080000007</v>
      </c>
      <c r="N274" s="126">
        <f t="shared" si="59"/>
        <v>211</v>
      </c>
      <c r="O274" s="126">
        <f t="shared" si="60"/>
        <v>124</v>
      </c>
      <c r="P274" s="126">
        <f t="shared" si="61"/>
        <v>205</v>
      </c>
      <c r="Q274" s="126">
        <f t="shared" si="62"/>
        <v>225</v>
      </c>
      <c r="R274" s="126">
        <f t="shared" si="63"/>
        <v>14</v>
      </c>
      <c r="S274" s="1">
        <f t="shared" si="72"/>
        <v>1</v>
      </c>
      <c r="T274" s="126">
        <f t="shared" si="64"/>
        <v>14</v>
      </c>
      <c r="U274" s="126">
        <f t="shared" si="56"/>
        <v>1055.0000001600001</v>
      </c>
      <c r="W274" s="126">
        <f t="shared" si="65"/>
        <v>225</v>
      </c>
      <c r="X274" s="126">
        <f t="shared" si="66"/>
        <v>205.00000008000001</v>
      </c>
    </row>
    <row r="275" spans="1:24">
      <c r="A275" s="22">
        <f>'Stats 2021'!D41</f>
        <v>44442</v>
      </c>
      <c r="B275" s="128">
        <f>'Stats 2021'!E41</f>
        <v>1</v>
      </c>
      <c r="C275" s="128">
        <f>'Stats 2021'!F41</f>
        <v>0</v>
      </c>
      <c r="D275" s="128">
        <f>'Stats 2021'!G41</f>
        <v>0</v>
      </c>
      <c r="E275" s="128">
        <f>'Stats 2021'!H41</f>
        <v>0</v>
      </c>
      <c r="F275" s="128">
        <f>'Stats 2021'!I41</f>
        <v>1</v>
      </c>
      <c r="G275" s="128">
        <f>'Stats 2021'!J41</f>
        <v>1</v>
      </c>
      <c r="J275" s="57" t="s">
        <v>270</v>
      </c>
      <c r="K275" s="86">
        <v>44442</v>
      </c>
      <c r="L275" s="126">
        <f t="shared" si="57"/>
        <v>210.00000008000001</v>
      </c>
      <c r="M275" s="126">
        <f t="shared" si="58"/>
        <v>81.000000080000007</v>
      </c>
      <c r="N275" s="126">
        <f t="shared" si="59"/>
        <v>211</v>
      </c>
      <c r="O275" s="126">
        <f t="shared" si="60"/>
        <v>124</v>
      </c>
      <c r="P275" s="126">
        <f t="shared" si="61"/>
        <v>206</v>
      </c>
      <c r="Q275" s="126">
        <f t="shared" si="62"/>
        <v>226</v>
      </c>
      <c r="R275" s="126">
        <f t="shared" si="63"/>
        <v>15</v>
      </c>
      <c r="S275" s="1">
        <f t="shared" ref="S275" si="73">IF(Q275&gt;L275,1,0)</f>
        <v>1</v>
      </c>
      <c r="T275" s="126">
        <f t="shared" si="64"/>
        <v>15</v>
      </c>
      <c r="U275" s="126">
        <f t="shared" si="56"/>
        <v>1058.0000001600001</v>
      </c>
      <c r="W275" s="126">
        <f t="shared" si="65"/>
        <v>226</v>
      </c>
      <c r="X275" s="126">
        <f t="shared" si="66"/>
        <v>205.00000008000001</v>
      </c>
    </row>
    <row r="276" spans="1:24">
      <c r="A276" s="22">
        <f>'Stats 2021'!D42</f>
        <v>44449</v>
      </c>
      <c r="B276" s="128">
        <f>'Stats 2021'!E42</f>
        <v>0</v>
      </c>
      <c r="C276" s="128">
        <f>'Stats 2021'!F42</f>
        <v>0</v>
      </c>
      <c r="D276" s="128">
        <f>'Stats 2021'!G42</f>
        <v>1</v>
      </c>
      <c r="E276" s="128">
        <f>'Stats 2021'!H42</f>
        <v>0</v>
      </c>
      <c r="F276" s="128">
        <f>'Stats 2021'!I42</f>
        <v>1</v>
      </c>
      <c r="G276" s="128">
        <f>'Stats 2021'!J42</f>
        <v>0</v>
      </c>
      <c r="J276" s="57" t="s">
        <v>271</v>
      </c>
      <c r="K276" s="86">
        <v>44449</v>
      </c>
      <c r="L276" s="126">
        <f t="shared" si="57"/>
        <v>210.00000008000001</v>
      </c>
      <c r="M276" s="126">
        <f t="shared" si="58"/>
        <v>81.000000080000007</v>
      </c>
      <c r="N276" s="126">
        <f t="shared" si="59"/>
        <v>212</v>
      </c>
      <c r="O276" s="126">
        <f t="shared" si="60"/>
        <v>124</v>
      </c>
      <c r="P276" s="126">
        <f t="shared" si="61"/>
        <v>207</v>
      </c>
      <c r="Q276" s="126">
        <f t="shared" si="62"/>
        <v>226</v>
      </c>
      <c r="R276" s="126">
        <f t="shared" si="63"/>
        <v>14</v>
      </c>
      <c r="S276" s="1">
        <f t="shared" ref="S276:S277" si="74">IF(Q276&gt;L276,1,0)</f>
        <v>1</v>
      </c>
      <c r="T276" s="126">
        <f t="shared" si="64"/>
        <v>14</v>
      </c>
      <c r="U276" s="126">
        <f t="shared" si="56"/>
        <v>1060.0000001600001</v>
      </c>
      <c r="W276" s="126">
        <f t="shared" si="65"/>
        <v>226</v>
      </c>
      <c r="X276" s="126">
        <f t="shared" si="66"/>
        <v>205.00000008000001</v>
      </c>
    </row>
    <row r="277" spans="1:24">
      <c r="A277" s="22">
        <f>'Stats 2021'!D44</f>
        <v>44456</v>
      </c>
      <c r="B277" s="128">
        <f>'Stats 2021'!E44</f>
        <v>1</v>
      </c>
      <c r="C277" s="128">
        <f>'Stats 2021'!F44</f>
        <v>1</v>
      </c>
      <c r="D277" s="128">
        <f>'Stats 2021'!G44</f>
        <v>1</v>
      </c>
      <c r="E277" s="128">
        <f>'Stats 2021'!H44</f>
        <v>0</v>
      </c>
      <c r="F277" s="128">
        <f>'Stats 2021'!I44</f>
        <v>1</v>
      </c>
      <c r="G277" s="128">
        <f>'Stats 2021'!J44</f>
        <v>1</v>
      </c>
      <c r="J277" s="57" t="s">
        <v>272</v>
      </c>
      <c r="K277" s="86">
        <v>44456</v>
      </c>
      <c r="L277" s="126">
        <f t="shared" si="57"/>
        <v>211.00000008000001</v>
      </c>
      <c r="M277" s="126">
        <f t="shared" si="58"/>
        <v>82.000000080000007</v>
      </c>
      <c r="N277" s="126">
        <f t="shared" si="59"/>
        <v>213</v>
      </c>
      <c r="O277" s="126">
        <f t="shared" si="60"/>
        <v>124</v>
      </c>
      <c r="P277" s="126">
        <f t="shared" si="61"/>
        <v>208</v>
      </c>
      <c r="Q277" s="126">
        <f t="shared" si="62"/>
        <v>227</v>
      </c>
      <c r="R277" s="126">
        <f t="shared" si="63"/>
        <v>14</v>
      </c>
      <c r="S277" s="1">
        <f t="shared" si="74"/>
        <v>1</v>
      </c>
      <c r="T277" s="126">
        <f t="shared" si="64"/>
        <v>14</v>
      </c>
      <c r="U277" s="126">
        <f t="shared" si="56"/>
        <v>1065.0000001600001</v>
      </c>
      <c r="W277" s="126">
        <f t="shared" si="65"/>
        <v>227</v>
      </c>
      <c r="X277" s="126">
        <f t="shared" si="66"/>
        <v>206.00000008000001</v>
      </c>
    </row>
    <row r="278" spans="1:24">
      <c r="A278" s="22">
        <f>'Stats 2021'!D46</f>
        <v>44463</v>
      </c>
      <c r="B278" s="128">
        <f>'Stats 2021'!E46</f>
        <v>1</v>
      </c>
      <c r="C278" s="128">
        <f>'Stats 2021'!F46</f>
        <v>1</v>
      </c>
      <c r="D278" s="128">
        <f>'Stats 2021'!G46</f>
        <v>1</v>
      </c>
      <c r="E278" s="128">
        <f>'Stats 2021'!H46</f>
        <v>0</v>
      </c>
      <c r="F278" s="128">
        <f>'Stats 2021'!I46</f>
        <v>1</v>
      </c>
      <c r="G278" s="128">
        <f>'Stats 2021'!J46</f>
        <v>1</v>
      </c>
      <c r="J278" s="57" t="s">
        <v>273</v>
      </c>
      <c r="K278" s="86">
        <v>44463</v>
      </c>
      <c r="L278" s="126">
        <f t="shared" si="57"/>
        <v>212.00000008000001</v>
      </c>
      <c r="M278" s="126">
        <f t="shared" si="58"/>
        <v>83.000000080000007</v>
      </c>
      <c r="N278" s="126">
        <f t="shared" si="59"/>
        <v>214</v>
      </c>
      <c r="O278" s="126">
        <f t="shared" si="60"/>
        <v>124</v>
      </c>
      <c r="P278" s="126">
        <f t="shared" si="61"/>
        <v>209</v>
      </c>
      <c r="Q278" s="126">
        <f t="shared" si="62"/>
        <v>228</v>
      </c>
      <c r="R278" s="126">
        <f t="shared" si="63"/>
        <v>14</v>
      </c>
      <c r="S278" s="1">
        <f t="shared" ref="S278" si="75">IF(Q278&gt;L278,1,0)</f>
        <v>1</v>
      </c>
      <c r="T278" s="126">
        <f t="shared" si="64"/>
        <v>14</v>
      </c>
      <c r="U278" s="126">
        <f>SUM(L278:Q278)</f>
        <v>1070.0000001600001</v>
      </c>
      <c r="W278" s="126">
        <f t="shared" si="65"/>
        <v>228</v>
      </c>
      <c r="X278" s="126">
        <f t="shared" si="66"/>
        <v>207.00000008000001</v>
      </c>
    </row>
    <row r="279" spans="1:24">
      <c r="A279" s="22">
        <f>'Stats 2021'!D47</f>
        <v>44470</v>
      </c>
      <c r="B279" s="128">
        <f>'Stats 2021'!E47</f>
        <v>1</v>
      </c>
      <c r="C279" s="128">
        <f>'Stats 2021'!F47</f>
        <v>1</v>
      </c>
      <c r="D279" s="128">
        <f>'Stats 2021'!G47</f>
        <v>0</v>
      </c>
      <c r="E279" s="128">
        <f>'Stats 2021'!H47</f>
        <v>1</v>
      </c>
      <c r="F279" s="128">
        <f>'Stats 2021'!I47</f>
        <v>1</v>
      </c>
      <c r="G279" s="128">
        <f>'Stats 2021'!J47</f>
        <v>1</v>
      </c>
      <c r="J279" s="57" t="s">
        <v>274</v>
      </c>
      <c r="K279" s="86">
        <v>44470</v>
      </c>
      <c r="L279" s="126">
        <f t="shared" si="57"/>
        <v>213.00000008000001</v>
      </c>
      <c r="M279" s="126">
        <f t="shared" si="58"/>
        <v>84.000000080000007</v>
      </c>
      <c r="N279" s="126">
        <f t="shared" si="59"/>
        <v>214</v>
      </c>
      <c r="O279" s="126">
        <f t="shared" si="60"/>
        <v>125</v>
      </c>
      <c r="P279" s="126">
        <f t="shared" si="61"/>
        <v>210</v>
      </c>
      <c r="Q279" s="126">
        <f t="shared" si="62"/>
        <v>229</v>
      </c>
      <c r="R279" s="126">
        <f t="shared" si="63"/>
        <v>15</v>
      </c>
      <c r="S279" s="1">
        <f t="shared" ref="S279" si="76">IF(Q279&gt;L279,1,0)</f>
        <v>1</v>
      </c>
      <c r="T279" s="126">
        <f t="shared" si="64"/>
        <v>15</v>
      </c>
      <c r="U279" s="126">
        <f>SUM(L279:Q279)</f>
        <v>1075.0000001600001</v>
      </c>
      <c r="W279" s="126">
        <f t="shared" si="65"/>
        <v>229</v>
      </c>
      <c r="X279" s="126">
        <f t="shared" si="66"/>
        <v>209.00000008000001</v>
      </c>
    </row>
    <row r="280" spans="1:24">
      <c r="A280" s="22">
        <f>'Stats 2021'!D48</f>
        <v>44477</v>
      </c>
      <c r="B280" s="128">
        <f>'Stats 2021'!E48</f>
        <v>1</v>
      </c>
      <c r="C280" s="128">
        <f>'Stats 2021'!F48</f>
        <v>0</v>
      </c>
      <c r="D280" s="128">
        <f>'Stats 2021'!G48</f>
        <v>1</v>
      </c>
      <c r="E280" s="128">
        <f>'Stats 2021'!H48</f>
        <v>0</v>
      </c>
      <c r="F280" s="128">
        <f>'Stats 2021'!I48</f>
        <v>0</v>
      </c>
      <c r="G280" s="128">
        <f>'Stats 2021'!J48</f>
        <v>1</v>
      </c>
      <c r="J280" s="57" t="s">
        <v>275</v>
      </c>
      <c r="K280" s="86">
        <v>44477</v>
      </c>
      <c r="L280" s="126">
        <f t="shared" si="57"/>
        <v>214.00000008000001</v>
      </c>
      <c r="M280" s="126">
        <f t="shared" si="58"/>
        <v>84.000000080000007</v>
      </c>
      <c r="N280" s="126">
        <f t="shared" si="59"/>
        <v>215</v>
      </c>
      <c r="O280" s="126">
        <f t="shared" si="60"/>
        <v>125</v>
      </c>
      <c r="P280" s="126">
        <f t="shared" si="61"/>
        <v>210</v>
      </c>
      <c r="Q280" s="126">
        <f t="shared" si="62"/>
        <v>230</v>
      </c>
      <c r="R280" s="126">
        <f t="shared" si="63"/>
        <v>15</v>
      </c>
      <c r="S280" s="1">
        <f t="shared" ref="S280" si="77">IF(Q280&gt;L280,1,0)</f>
        <v>1</v>
      </c>
      <c r="T280" s="126">
        <f t="shared" si="64"/>
        <v>15</v>
      </c>
      <c r="U280" s="126">
        <f>SUM(L280:Q280)</f>
        <v>1078.0000001600001</v>
      </c>
      <c r="W280" s="126">
        <f t="shared" si="65"/>
        <v>230</v>
      </c>
      <c r="X280" s="126">
        <f t="shared" si="66"/>
        <v>209.00000008000001</v>
      </c>
    </row>
    <row r="281" spans="1:24">
      <c r="A281" s="22">
        <f>'Stats 2021'!D49</f>
        <v>44484</v>
      </c>
      <c r="B281" s="128">
        <f>'Stats 2021'!E49</f>
        <v>0</v>
      </c>
      <c r="C281" s="128">
        <f>'Stats 2021'!F49</f>
        <v>1</v>
      </c>
      <c r="D281" s="128">
        <f>'Stats 2021'!G49</f>
        <v>0</v>
      </c>
      <c r="E281" s="128">
        <f>'Stats 2021'!H49</f>
        <v>1</v>
      </c>
      <c r="F281" s="128">
        <f>'Stats 2021'!I49</f>
        <v>1</v>
      </c>
      <c r="G281" s="128">
        <f>'Stats 2021'!J49</f>
        <v>1</v>
      </c>
      <c r="J281" s="57" t="s">
        <v>276</v>
      </c>
      <c r="K281" s="86">
        <v>44484</v>
      </c>
      <c r="L281" s="126">
        <f t="shared" si="57"/>
        <v>214.00000008000001</v>
      </c>
      <c r="M281" s="126">
        <f t="shared" si="58"/>
        <v>85.000000080000007</v>
      </c>
      <c r="N281" s="126">
        <f t="shared" si="59"/>
        <v>215</v>
      </c>
      <c r="O281" s="126">
        <f t="shared" si="60"/>
        <v>126</v>
      </c>
      <c r="P281" s="126">
        <f t="shared" si="61"/>
        <v>211</v>
      </c>
      <c r="Q281" s="126">
        <f t="shared" si="62"/>
        <v>231</v>
      </c>
      <c r="R281" s="126">
        <f t="shared" si="63"/>
        <v>16</v>
      </c>
      <c r="S281" s="1">
        <f t="shared" ref="S281" si="78">IF(Q281&gt;L281,1,0)</f>
        <v>1</v>
      </c>
      <c r="T281" s="126">
        <f t="shared" si="64"/>
        <v>16</v>
      </c>
      <c r="U281" s="126">
        <f>SUM(L281:Q281)</f>
        <v>1082.0000001600001</v>
      </c>
      <c r="W281" s="126">
        <f t="shared" si="65"/>
        <v>231</v>
      </c>
      <c r="X281" s="126">
        <f t="shared" si="66"/>
        <v>211.00000008000001</v>
      </c>
    </row>
    <row r="282" spans="1:24">
      <c r="A282" s="22">
        <f>'Stats 2021'!D50</f>
        <v>44491</v>
      </c>
      <c r="B282" s="128">
        <f>'Stats 2021'!E50</f>
        <v>1</v>
      </c>
      <c r="C282" s="128">
        <f>'Stats 2021'!F50</f>
        <v>1</v>
      </c>
      <c r="D282" s="128">
        <f>'Stats 2021'!G50</f>
        <v>1</v>
      </c>
      <c r="E282" s="128">
        <f>'Stats 2021'!H50</f>
        <v>0</v>
      </c>
      <c r="F282" s="128">
        <f>'Stats 2021'!I50</f>
        <v>1</v>
      </c>
      <c r="G282" s="128">
        <f>'Stats 2021'!J50</f>
        <v>0</v>
      </c>
      <c r="K282" s="86">
        <v>44491</v>
      </c>
      <c r="L282" s="126">
        <f t="shared" si="57"/>
        <v>215.00000008000001</v>
      </c>
      <c r="M282" s="126">
        <f t="shared" si="58"/>
        <v>86.000000080000007</v>
      </c>
      <c r="N282" s="126">
        <f t="shared" si="59"/>
        <v>216</v>
      </c>
      <c r="O282" s="126">
        <f t="shared" si="60"/>
        <v>126</v>
      </c>
      <c r="P282" s="126">
        <f t="shared" si="61"/>
        <v>212</v>
      </c>
      <c r="Q282" s="126">
        <f t="shared" si="62"/>
        <v>231</v>
      </c>
      <c r="R282" s="126">
        <f t="shared" si="63"/>
        <v>15</v>
      </c>
      <c r="S282" s="1">
        <f t="shared" ref="S282:S284" si="79">IF(Q282&gt;L282,1,0)</f>
        <v>1</v>
      </c>
      <c r="T282" s="126">
        <f t="shared" si="64"/>
        <v>15</v>
      </c>
      <c r="U282" s="126">
        <f t="shared" ref="U282:U284" si="80">SUM(L282:Q282)</f>
        <v>1086.0000001600001</v>
      </c>
      <c r="W282" s="126">
        <f t="shared" si="65"/>
        <v>231</v>
      </c>
      <c r="X282" s="126">
        <f t="shared" si="66"/>
        <v>212.00000008000001</v>
      </c>
    </row>
    <row r="283" spans="1:24">
      <c r="A283" s="22">
        <f>'Stats 2021'!D51</f>
        <v>44498</v>
      </c>
      <c r="B283" s="128">
        <f>'Stats 2021'!E51</f>
        <v>1</v>
      </c>
      <c r="C283" s="128">
        <f>'Stats 2021'!F51</f>
        <v>1</v>
      </c>
      <c r="D283" s="128">
        <f>'Stats 2021'!G51</f>
        <v>1</v>
      </c>
      <c r="E283" s="128">
        <f>'Stats 2021'!H51</f>
        <v>0</v>
      </c>
      <c r="F283" s="128">
        <f>'Stats 2021'!I51</f>
        <v>1</v>
      </c>
      <c r="G283" s="128">
        <f>'Stats 2021'!J51</f>
        <v>0</v>
      </c>
      <c r="K283" s="86">
        <v>44498</v>
      </c>
      <c r="L283" s="126">
        <f t="shared" si="57"/>
        <v>216.00000008000001</v>
      </c>
      <c r="M283" s="126">
        <f t="shared" si="58"/>
        <v>87.000000080000007</v>
      </c>
      <c r="N283" s="126">
        <f t="shared" si="59"/>
        <v>217</v>
      </c>
      <c r="O283" s="126">
        <f t="shared" si="60"/>
        <v>126</v>
      </c>
      <c r="P283" s="126">
        <f t="shared" si="61"/>
        <v>213</v>
      </c>
      <c r="Q283" s="126">
        <f t="shared" si="62"/>
        <v>231</v>
      </c>
      <c r="R283" s="126">
        <f t="shared" si="63"/>
        <v>14</v>
      </c>
      <c r="S283" s="1">
        <f t="shared" si="79"/>
        <v>1</v>
      </c>
      <c r="T283" s="126">
        <f t="shared" si="64"/>
        <v>14</v>
      </c>
      <c r="U283" s="126">
        <f t="shared" si="80"/>
        <v>1090.0000001600001</v>
      </c>
      <c r="W283" s="126">
        <f t="shared" si="65"/>
        <v>231</v>
      </c>
      <c r="X283" s="126">
        <f t="shared" si="66"/>
        <v>213.00000008000001</v>
      </c>
    </row>
    <row r="284" spans="1:24">
      <c r="A284" s="22">
        <f>'Stats 2021'!D52</f>
        <v>44505</v>
      </c>
      <c r="B284" s="128">
        <f>'Stats 2021'!E52</f>
        <v>1</v>
      </c>
      <c r="C284" s="128">
        <f>'Stats 2021'!F52</f>
        <v>1</v>
      </c>
      <c r="D284" s="128">
        <f>'Stats 2021'!G52</f>
        <v>0</v>
      </c>
      <c r="E284" s="128">
        <f>'Stats 2021'!H52</f>
        <v>1</v>
      </c>
      <c r="F284" s="128">
        <f>'Stats 2021'!I52</f>
        <v>1</v>
      </c>
      <c r="G284" s="128">
        <f>'Stats 2021'!J52</f>
        <v>1</v>
      </c>
      <c r="J284" s="57" t="s">
        <v>277</v>
      </c>
      <c r="K284" s="86">
        <v>44505</v>
      </c>
      <c r="L284" s="126">
        <f t="shared" si="57"/>
        <v>217.00000008000001</v>
      </c>
      <c r="M284" s="126">
        <f t="shared" si="58"/>
        <v>88.000000080000007</v>
      </c>
      <c r="N284" s="126">
        <f t="shared" si="59"/>
        <v>217</v>
      </c>
      <c r="O284" s="126">
        <f t="shared" si="60"/>
        <v>127</v>
      </c>
      <c r="P284" s="126">
        <f t="shared" si="61"/>
        <v>214</v>
      </c>
      <c r="Q284" s="126">
        <f t="shared" si="62"/>
        <v>232</v>
      </c>
      <c r="R284" s="126">
        <f t="shared" si="63"/>
        <v>14.999999919999993</v>
      </c>
      <c r="S284" s="1">
        <f t="shared" si="79"/>
        <v>1</v>
      </c>
      <c r="T284" s="126">
        <f t="shared" si="64"/>
        <v>14.999999919999993</v>
      </c>
      <c r="U284" s="126">
        <f t="shared" si="80"/>
        <v>1095.0000001600001</v>
      </c>
      <c r="W284" s="126">
        <f t="shared" si="65"/>
        <v>232</v>
      </c>
      <c r="X284" s="126">
        <f t="shared" si="66"/>
        <v>215.00000008000001</v>
      </c>
    </row>
    <row r="285" spans="1:24">
      <c r="A285" s="22">
        <f>'Stats 2021'!D53</f>
        <v>44512</v>
      </c>
      <c r="B285" s="128">
        <f>'Stats 2021'!E53</f>
        <v>1</v>
      </c>
      <c r="C285" s="128">
        <f>'Stats 2021'!F53</f>
        <v>0</v>
      </c>
      <c r="D285" s="128">
        <f>'Stats 2021'!G53</f>
        <v>1</v>
      </c>
      <c r="E285" s="128">
        <f>'Stats 2021'!H53</f>
        <v>1</v>
      </c>
      <c r="F285" s="128">
        <f>'Stats 2021'!I53</f>
        <v>1</v>
      </c>
      <c r="G285" s="128">
        <f>'Stats 2021'!J53</f>
        <v>1</v>
      </c>
      <c r="J285" s="57" t="s">
        <v>278</v>
      </c>
      <c r="K285" s="86">
        <v>44512</v>
      </c>
      <c r="L285" s="126">
        <f t="shared" si="57"/>
        <v>218.00000008000001</v>
      </c>
      <c r="M285" s="126">
        <f t="shared" si="58"/>
        <v>88.000000080000007</v>
      </c>
      <c r="N285" s="126">
        <f t="shared" si="59"/>
        <v>218</v>
      </c>
      <c r="O285" s="126">
        <f t="shared" si="60"/>
        <v>128</v>
      </c>
      <c r="P285" s="126">
        <f t="shared" si="61"/>
        <v>215</v>
      </c>
      <c r="Q285" s="126">
        <f t="shared" si="62"/>
        <v>233</v>
      </c>
      <c r="R285" s="126">
        <f t="shared" si="63"/>
        <v>14.999999919999993</v>
      </c>
      <c r="S285" s="1">
        <f t="shared" ref="S285" si="81">IF(Q285&gt;L285,1,0)</f>
        <v>1</v>
      </c>
      <c r="T285" s="126">
        <f t="shared" si="64"/>
        <v>14.999999919999993</v>
      </c>
      <c r="U285" s="126">
        <f t="shared" ref="U285" si="82">SUM(L285:Q285)</f>
        <v>1100.0000001600001</v>
      </c>
      <c r="W285" s="126">
        <f t="shared" si="65"/>
        <v>233</v>
      </c>
      <c r="X285" s="126">
        <f t="shared" si="66"/>
        <v>216.00000008000001</v>
      </c>
    </row>
    <row r="286" spans="1:24">
      <c r="A286" s="22">
        <f>'Stats 2021'!D54</f>
        <v>44519</v>
      </c>
      <c r="B286" s="128">
        <f>'Stats 2021'!E54</f>
        <v>1</v>
      </c>
      <c r="C286" s="128">
        <f>'Stats 2021'!F54</f>
        <v>0</v>
      </c>
      <c r="D286" s="128">
        <f>'Stats 2021'!G54</f>
        <v>1</v>
      </c>
      <c r="E286" s="128">
        <f>'Stats 2021'!H54</f>
        <v>1</v>
      </c>
      <c r="F286" s="128">
        <f>'Stats 2021'!I54</f>
        <v>1</v>
      </c>
      <c r="G286" s="128">
        <f>'Stats 2021'!J54</f>
        <v>1</v>
      </c>
      <c r="J286" s="57" t="s">
        <v>279</v>
      </c>
      <c r="K286" s="86">
        <v>44519</v>
      </c>
      <c r="L286" s="126">
        <f t="shared" si="57"/>
        <v>219.00000008000001</v>
      </c>
      <c r="M286" s="126">
        <f t="shared" si="58"/>
        <v>88.000000080000007</v>
      </c>
      <c r="N286" s="126">
        <f t="shared" si="59"/>
        <v>219</v>
      </c>
      <c r="O286" s="126">
        <f t="shared" si="60"/>
        <v>129</v>
      </c>
      <c r="P286" s="126">
        <f t="shared" si="61"/>
        <v>216</v>
      </c>
      <c r="Q286" s="126">
        <f t="shared" si="62"/>
        <v>234</v>
      </c>
      <c r="R286" s="126">
        <f t="shared" si="63"/>
        <v>14.999999919999993</v>
      </c>
      <c r="S286" s="1">
        <f t="shared" ref="S286" si="83">IF(Q286&gt;L286,1,0)</f>
        <v>1</v>
      </c>
      <c r="T286" s="126">
        <f t="shared" si="64"/>
        <v>14.999999919999993</v>
      </c>
      <c r="U286" s="126">
        <f t="shared" ref="U286" si="84">SUM(L286:Q286)</f>
        <v>1105.0000001600001</v>
      </c>
      <c r="W286" s="126">
        <f t="shared" si="65"/>
        <v>234</v>
      </c>
      <c r="X286" s="126">
        <f t="shared" si="66"/>
        <v>217.00000008000001</v>
      </c>
    </row>
    <row r="287" spans="1:24">
      <c r="A287" s="22">
        <f>'Stats 2021'!D55</f>
        <v>44526</v>
      </c>
      <c r="B287" s="128">
        <f>'Stats 2021'!E55</f>
        <v>0</v>
      </c>
      <c r="C287" s="128">
        <f>'Stats 2021'!F55</f>
        <v>0</v>
      </c>
      <c r="D287" s="128">
        <f>'Stats 2021'!G55</f>
        <v>1</v>
      </c>
      <c r="E287" s="128">
        <f>'Stats 2021'!H55</f>
        <v>0</v>
      </c>
      <c r="F287" s="128">
        <f>'Stats 2021'!I55</f>
        <v>1</v>
      </c>
      <c r="G287" s="128">
        <f>'Stats 2021'!J55</f>
        <v>1</v>
      </c>
      <c r="J287" s="57" t="s">
        <v>280</v>
      </c>
      <c r="K287" s="86">
        <v>44526</v>
      </c>
      <c r="L287" s="126">
        <f t="shared" si="57"/>
        <v>219.00000008000001</v>
      </c>
      <c r="M287" s="126">
        <f t="shared" si="58"/>
        <v>88.000000080000007</v>
      </c>
      <c r="N287" s="126">
        <f t="shared" si="59"/>
        <v>220</v>
      </c>
      <c r="O287" s="126">
        <f t="shared" si="60"/>
        <v>129</v>
      </c>
      <c r="P287" s="126">
        <f t="shared" si="61"/>
        <v>217</v>
      </c>
      <c r="Q287" s="126">
        <f t="shared" si="62"/>
        <v>235</v>
      </c>
      <c r="R287" s="126">
        <f t="shared" si="63"/>
        <v>15</v>
      </c>
      <c r="S287" s="1">
        <f t="shared" ref="S287" si="85">IF(Q287&gt;L287,1,0)</f>
        <v>1</v>
      </c>
      <c r="T287" s="126">
        <f t="shared" si="64"/>
        <v>15</v>
      </c>
      <c r="U287" s="126">
        <f t="shared" ref="U287" si="86">SUM(L287:Q287)</f>
        <v>1108.0000001600001</v>
      </c>
      <c r="W287" s="126">
        <f t="shared" si="65"/>
        <v>235</v>
      </c>
      <c r="X287" s="126">
        <f t="shared" si="66"/>
        <v>217.00000008000001</v>
      </c>
    </row>
    <row r="288" spans="1:24">
      <c r="A288" s="22">
        <f>'Stats 2021'!D56</f>
        <v>44533</v>
      </c>
      <c r="B288" s="128">
        <f>'Stats 2021'!E56</f>
        <v>1</v>
      </c>
      <c r="C288" s="128">
        <f>'Stats 2021'!F56</f>
        <v>0</v>
      </c>
      <c r="D288" s="128">
        <f>'Stats 2021'!G56</f>
        <v>0</v>
      </c>
      <c r="E288" s="128">
        <f>'Stats 2021'!H56</f>
        <v>1</v>
      </c>
      <c r="F288" s="128">
        <f>'Stats 2021'!I56</f>
        <v>1</v>
      </c>
      <c r="G288" s="128">
        <f>'Stats 2021'!J56</f>
        <v>1</v>
      </c>
      <c r="J288" s="57" t="s">
        <v>281</v>
      </c>
      <c r="K288" s="86">
        <v>44533</v>
      </c>
      <c r="L288" s="126">
        <f t="shared" si="57"/>
        <v>220.00000008000001</v>
      </c>
      <c r="M288" s="126">
        <f t="shared" si="58"/>
        <v>88.000000080000007</v>
      </c>
      <c r="N288" s="126">
        <f t="shared" si="59"/>
        <v>220</v>
      </c>
      <c r="O288" s="126">
        <f t="shared" si="60"/>
        <v>130</v>
      </c>
      <c r="P288" s="126">
        <f t="shared" si="61"/>
        <v>218</v>
      </c>
      <c r="Q288" s="126">
        <f t="shared" si="62"/>
        <v>236</v>
      </c>
      <c r="R288" s="126">
        <f t="shared" si="63"/>
        <v>15.999999919999993</v>
      </c>
      <c r="S288" s="1">
        <f t="shared" ref="S288" si="87">IF(Q288&gt;L288,1,0)</f>
        <v>1</v>
      </c>
      <c r="T288" s="126">
        <f t="shared" si="64"/>
        <v>15.999999919999993</v>
      </c>
      <c r="U288" s="126">
        <f t="shared" ref="U288" si="88">SUM(L288:Q288)</f>
        <v>1112.0000001600001</v>
      </c>
      <c r="W288" s="126">
        <f t="shared" si="65"/>
        <v>236</v>
      </c>
      <c r="X288" s="126">
        <f t="shared" si="66"/>
        <v>218.00000008000001</v>
      </c>
    </row>
    <row r="289" spans="1:24">
      <c r="A289" s="22">
        <f>'Stats 2021'!D57</f>
        <v>44540</v>
      </c>
      <c r="B289" s="128">
        <f>'Stats 2021'!E57</f>
        <v>1</v>
      </c>
      <c r="C289" s="128">
        <f>'Stats 2021'!F57</f>
        <v>1</v>
      </c>
      <c r="D289" s="128">
        <f>'Stats 2021'!G57</f>
        <v>1</v>
      </c>
      <c r="E289" s="128">
        <f>'Stats 2021'!H57</f>
        <v>1</v>
      </c>
      <c r="F289" s="128">
        <f>'Stats 2021'!I57</f>
        <v>1</v>
      </c>
      <c r="G289" s="128">
        <f>'Stats 2021'!J57</f>
        <v>1</v>
      </c>
      <c r="K289" s="86">
        <v>44540</v>
      </c>
      <c r="L289" s="126">
        <f t="shared" si="57"/>
        <v>221.00000008000001</v>
      </c>
      <c r="M289" s="126">
        <f t="shared" si="58"/>
        <v>89.000000080000007</v>
      </c>
      <c r="N289" s="126">
        <f t="shared" si="59"/>
        <v>221</v>
      </c>
      <c r="O289" s="126">
        <f t="shared" si="60"/>
        <v>131</v>
      </c>
      <c r="P289" s="126">
        <f t="shared" si="61"/>
        <v>219</v>
      </c>
      <c r="Q289" s="126">
        <f t="shared" si="62"/>
        <v>237</v>
      </c>
      <c r="R289" s="126">
        <f t="shared" si="63"/>
        <v>15.999999919999993</v>
      </c>
      <c r="S289" s="1">
        <f t="shared" ref="S289:S293" si="89">IF(Q289&gt;L289,1,0)</f>
        <v>1</v>
      </c>
      <c r="T289" s="126">
        <f t="shared" si="64"/>
        <v>15.999999919999993</v>
      </c>
      <c r="U289" s="126">
        <f t="shared" ref="U289:U293" si="90">SUM(L289:Q289)</f>
        <v>1118.0000001600001</v>
      </c>
      <c r="W289" s="126">
        <f t="shared" si="65"/>
        <v>237</v>
      </c>
      <c r="X289" s="126">
        <f t="shared" si="66"/>
        <v>220.00000008000001</v>
      </c>
    </row>
    <row r="290" spans="1:24">
      <c r="A290" s="22">
        <f>'Stats 2021'!D58</f>
        <v>44547</v>
      </c>
      <c r="B290" s="128">
        <f>'Stats 2021'!E58</f>
        <v>1</v>
      </c>
      <c r="C290" s="128">
        <f>'Stats 2021'!F58</f>
        <v>1</v>
      </c>
      <c r="D290" s="128">
        <f>'Stats 2021'!G58</f>
        <v>1</v>
      </c>
      <c r="E290" s="128">
        <f>'Stats 2021'!H58</f>
        <v>1</v>
      </c>
      <c r="F290" s="128">
        <f>'Stats 2021'!I58</f>
        <v>1</v>
      </c>
      <c r="G290" s="128">
        <f>'Stats 2021'!J58</f>
        <v>0</v>
      </c>
      <c r="K290" s="86">
        <v>44547</v>
      </c>
      <c r="L290" s="126">
        <f t="shared" si="57"/>
        <v>222.00000008000001</v>
      </c>
      <c r="M290" s="126">
        <f t="shared" si="58"/>
        <v>90.000000080000007</v>
      </c>
      <c r="N290" s="126">
        <f t="shared" si="59"/>
        <v>222</v>
      </c>
      <c r="O290" s="126">
        <f t="shared" si="60"/>
        <v>132</v>
      </c>
      <c r="P290" s="126">
        <f t="shared" si="61"/>
        <v>220</v>
      </c>
      <c r="Q290" s="126">
        <f t="shared" si="62"/>
        <v>237</v>
      </c>
      <c r="R290" s="126">
        <f t="shared" si="63"/>
        <v>14.999999919999993</v>
      </c>
      <c r="S290" s="1">
        <f t="shared" si="89"/>
        <v>1</v>
      </c>
      <c r="T290" s="126">
        <f t="shared" si="64"/>
        <v>14.999999919999993</v>
      </c>
      <c r="U290" s="126">
        <f t="shared" si="90"/>
        <v>1123.0000001600001</v>
      </c>
      <c r="W290" s="126">
        <f t="shared" si="65"/>
        <v>237</v>
      </c>
      <c r="X290" s="126">
        <f t="shared" si="66"/>
        <v>222.00000008000001</v>
      </c>
    </row>
    <row r="291" spans="1:24">
      <c r="A291" s="22">
        <f>'Stats 2021'!D59</f>
        <v>44554</v>
      </c>
      <c r="B291" s="128">
        <f>'Stats 2021'!E59</f>
        <v>1</v>
      </c>
      <c r="C291" s="128">
        <f>'Stats 2021'!F59</f>
        <v>1</v>
      </c>
      <c r="D291" s="128">
        <f>'Stats 2021'!G59</f>
        <v>1</v>
      </c>
      <c r="E291" s="128">
        <f>'Stats 2021'!H59</f>
        <v>1</v>
      </c>
      <c r="F291" s="128">
        <f>'Stats 2021'!I59</f>
        <v>1</v>
      </c>
      <c r="G291" s="128">
        <f>'Stats 2021'!J59</f>
        <v>1</v>
      </c>
      <c r="K291" s="86">
        <v>44554</v>
      </c>
      <c r="L291" s="126">
        <f t="shared" si="57"/>
        <v>223.00000008000001</v>
      </c>
      <c r="M291" s="126">
        <f t="shared" si="58"/>
        <v>91.000000080000007</v>
      </c>
      <c r="N291" s="126">
        <f t="shared" si="59"/>
        <v>223</v>
      </c>
      <c r="O291" s="126">
        <f t="shared" si="60"/>
        <v>133</v>
      </c>
      <c r="P291" s="126">
        <f t="shared" si="61"/>
        <v>221</v>
      </c>
      <c r="Q291" s="126">
        <f t="shared" si="62"/>
        <v>238</v>
      </c>
      <c r="R291" s="126">
        <f t="shared" si="63"/>
        <v>14.999999919999993</v>
      </c>
      <c r="S291" s="1">
        <f t="shared" si="89"/>
        <v>1</v>
      </c>
      <c r="T291" s="126">
        <f t="shared" si="64"/>
        <v>14.999999919999993</v>
      </c>
      <c r="U291" s="126">
        <f t="shared" si="90"/>
        <v>1129.0000001600001</v>
      </c>
      <c r="W291" s="126">
        <f t="shared" si="65"/>
        <v>238</v>
      </c>
      <c r="X291" s="126">
        <f t="shared" si="66"/>
        <v>224.00000008000001</v>
      </c>
    </row>
    <row r="292" spans="1:24">
      <c r="A292" s="22">
        <f>'Stats 2021'!D60</f>
        <v>44561</v>
      </c>
      <c r="B292" s="128">
        <f>'Stats 2021'!E60</f>
        <v>0</v>
      </c>
      <c r="C292" s="128">
        <f>'Stats 2021'!F60</f>
        <v>1</v>
      </c>
      <c r="D292" s="128">
        <f>'Stats 2021'!G60</f>
        <v>1</v>
      </c>
      <c r="E292" s="128">
        <f>'Stats 2021'!H60</f>
        <v>0</v>
      </c>
      <c r="F292" s="128">
        <f>'Stats 2021'!I60</f>
        <v>0</v>
      </c>
      <c r="G292" s="128">
        <f>'Stats 2021'!J60</f>
        <v>0</v>
      </c>
      <c r="K292" s="86">
        <v>44561</v>
      </c>
      <c r="L292" s="126">
        <f t="shared" si="57"/>
        <v>223.00000008000001</v>
      </c>
      <c r="M292" s="126">
        <f t="shared" si="58"/>
        <v>92.000000080000007</v>
      </c>
      <c r="N292" s="126">
        <f t="shared" si="59"/>
        <v>224</v>
      </c>
      <c r="O292" s="126">
        <f t="shared" si="60"/>
        <v>133</v>
      </c>
      <c r="P292" s="126">
        <f t="shared" si="61"/>
        <v>221</v>
      </c>
      <c r="Q292" s="126">
        <f t="shared" si="62"/>
        <v>238</v>
      </c>
      <c r="R292" s="126">
        <f t="shared" si="63"/>
        <v>14</v>
      </c>
      <c r="S292" s="1">
        <f t="shared" si="89"/>
        <v>1</v>
      </c>
      <c r="T292" s="126">
        <f t="shared" si="64"/>
        <v>14</v>
      </c>
      <c r="U292" s="126">
        <f t="shared" si="90"/>
        <v>1131.0000001600001</v>
      </c>
      <c r="W292" s="126">
        <f t="shared" si="65"/>
        <v>238</v>
      </c>
      <c r="X292" s="126">
        <f t="shared" si="66"/>
        <v>225.00000008000001</v>
      </c>
    </row>
    <row r="293" spans="1:24">
      <c r="A293" s="22">
        <f>'Stats 2021'!D61</f>
        <v>44568</v>
      </c>
      <c r="B293" s="128">
        <f>'Stats 2021'!E61</f>
        <v>1</v>
      </c>
      <c r="C293" s="128">
        <f>'Stats 2021'!F61</f>
        <v>0</v>
      </c>
      <c r="D293" s="128">
        <f>'Stats 2021'!G61</f>
        <v>0</v>
      </c>
      <c r="E293" s="128">
        <f>'Stats 2021'!H61</f>
        <v>1</v>
      </c>
      <c r="F293" s="128">
        <f>'Stats 2021'!I61</f>
        <v>0</v>
      </c>
      <c r="G293" s="128">
        <f>'Stats 2021'!J61</f>
        <v>1</v>
      </c>
      <c r="K293" s="86">
        <v>44568</v>
      </c>
      <c r="L293" s="126">
        <f t="shared" si="57"/>
        <v>224.00000008000001</v>
      </c>
      <c r="M293" s="126">
        <f t="shared" si="58"/>
        <v>92.000000080000007</v>
      </c>
      <c r="N293" s="126">
        <f t="shared" si="59"/>
        <v>224</v>
      </c>
      <c r="O293" s="126">
        <f t="shared" si="60"/>
        <v>134</v>
      </c>
      <c r="P293" s="126">
        <f t="shared" si="61"/>
        <v>221</v>
      </c>
      <c r="Q293" s="126">
        <f t="shared" si="62"/>
        <v>239</v>
      </c>
      <c r="R293" s="126">
        <f t="shared" si="63"/>
        <v>14.999999919999993</v>
      </c>
      <c r="S293" s="1">
        <f t="shared" si="89"/>
        <v>1</v>
      </c>
      <c r="T293" s="126">
        <f t="shared" si="64"/>
        <v>14.999999919999993</v>
      </c>
      <c r="U293" s="126">
        <f t="shared" si="90"/>
        <v>1134.0000001600001</v>
      </c>
      <c r="W293" s="126">
        <f t="shared" si="65"/>
        <v>239</v>
      </c>
      <c r="X293" s="126">
        <f t="shared" si="66"/>
        <v>226.00000008000001</v>
      </c>
    </row>
    <row r="294" spans="1:24">
      <c r="A294" s="22">
        <f>'Stats 2021'!D62</f>
        <v>44575</v>
      </c>
      <c r="B294" s="128">
        <f>'Stats 2021'!E62</f>
        <v>0</v>
      </c>
      <c r="C294" s="128">
        <f>'Stats 2021'!F62</f>
        <v>1</v>
      </c>
      <c r="D294" s="128">
        <f>'Stats 2021'!G62</f>
        <v>1</v>
      </c>
      <c r="E294" s="128">
        <f>'Stats 2021'!H62</f>
        <v>0</v>
      </c>
      <c r="F294" s="128">
        <f>'Stats 2021'!I62</f>
        <v>0</v>
      </c>
      <c r="G294" s="128">
        <f>'Stats 2021'!J62</f>
        <v>1</v>
      </c>
      <c r="K294" s="86">
        <v>44575</v>
      </c>
      <c r="L294" s="126">
        <f t="shared" si="57"/>
        <v>224.00000008000001</v>
      </c>
      <c r="M294" s="126">
        <f t="shared" si="58"/>
        <v>93.000000080000007</v>
      </c>
      <c r="N294" s="126">
        <f t="shared" si="59"/>
        <v>225</v>
      </c>
      <c r="O294" s="126">
        <f t="shared" si="60"/>
        <v>134</v>
      </c>
      <c r="P294" s="126">
        <f t="shared" si="61"/>
        <v>221</v>
      </c>
      <c r="Q294" s="126">
        <f t="shared" si="62"/>
        <v>240</v>
      </c>
      <c r="R294" s="126">
        <f t="shared" si="63"/>
        <v>15</v>
      </c>
      <c r="S294" s="1">
        <f t="shared" ref="S294:S296" si="91">IF(Q294&gt;L294,1,0)</f>
        <v>1</v>
      </c>
      <c r="T294" s="126">
        <f t="shared" si="64"/>
        <v>15</v>
      </c>
      <c r="U294" s="126">
        <f t="shared" ref="U294:U296" si="92">SUM(L294:Q294)</f>
        <v>1137.0000001600001</v>
      </c>
      <c r="W294" s="126">
        <f t="shared" si="65"/>
        <v>240</v>
      </c>
      <c r="X294" s="126">
        <f t="shared" si="66"/>
        <v>227.00000008000001</v>
      </c>
    </row>
    <row r="295" spans="1:24">
      <c r="A295" s="22">
        <f>'Stats 2021'!D63</f>
        <v>44582</v>
      </c>
      <c r="B295" s="128">
        <f>'Stats 2021'!E63</f>
        <v>1</v>
      </c>
      <c r="C295" s="128">
        <f>'Stats 2021'!F63</f>
        <v>1</v>
      </c>
      <c r="D295" s="128">
        <f>'Stats 2021'!G63</f>
        <v>1</v>
      </c>
      <c r="E295" s="128">
        <f>'Stats 2021'!H63</f>
        <v>1</v>
      </c>
      <c r="F295" s="128">
        <f>'Stats 2021'!I63</f>
        <v>1</v>
      </c>
      <c r="G295" s="128">
        <f>'Stats 2021'!J63</f>
        <v>1</v>
      </c>
      <c r="K295" s="86">
        <v>44582</v>
      </c>
      <c r="L295" s="126">
        <f t="shared" si="57"/>
        <v>225.00000008000001</v>
      </c>
      <c r="M295" s="126">
        <f t="shared" si="58"/>
        <v>94.000000080000007</v>
      </c>
      <c r="N295" s="126">
        <f t="shared" si="59"/>
        <v>226</v>
      </c>
      <c r="O295" s="126">
        <f t="shared" si="60"/>
        <v>135</v>
      </c>
      <c r="P295" s="126">
        <f t="shared" si="61"/>
        <v>222</v>
      </c>
      <c r="Q295" s="126">
        <f t="shared" si="62"/>
        <v>241</v>
      </c>
      <c r="R295" s="126">
        <f t="shared" si="63"/>
        <v>15</v>
      </c>
      <c r="S295" s="1">
        <f t="shared" si="91"/>
        <v>1</v>
      </c>
      <c r="T295" s="126">
        <f t="shared" si="64"/>
        <v>15</v>
      </c>
      <c r="U295" s="126">
        <f t="shared" si="92"/>
        <v>1143.0000001600001</v>
      </c>
      <c r="W295" s="126">
        <f t="shared" si="65"/>
        <v>241</v>
      </c>
      <c r="X295" s="126">
        <f t="shared" si="66"/>
        <v>229.00000008000001</v>
      </c>
    </row>
    <row r="296" spans="1:24">
      <c r="A296" s="22">
        <f>'Stats 2021'!D65</f>
        <v>44589</v>
      </c>
      <c r="B296" s="128">
        <f>'Stats 2021'!E65</f>
        <v>1</v>
      </c>
      <c r="C296" s="128">
        <f>'Stats 2021'!F65</f>
        <v>0</v>
      </c>
      <c r="D296" s="128">
        <f>'Stats 2021'!G65</f>
        <v>1</v>
      </c>
      <c r="E296" s="128">
        <f>'Stats 2021'!H65</f>
        <v>0</v>
      </c>
      <c r="F296" s="128">
        <f>'Stats 2021'!I65</f>
        <v>1</v>
      </c>
      <c r="G296" s="128">
        <f>'Stats 2021'!J65</f>
        <v>1</v>
      </c>
      <c r="K296" s="86">
        <v>44589</v>
      </c>
      <c r="L296" s="126">
        <f t="shared" si="57"/>
        <v>226.00000008000001</v>
      </c>
      <c r="M296" s="126">
        <f t="shared" si="58"/>
        <v>94.000000080000007</v>
      </c>
      <c r="N296" s="126">
        <f t="shared" si="59"/>
        <v>227</v>
      </c>
      <c r="O296" s="126">
        <f t="shared" si="60"/>
        <v>135</v>
      </c>
      <c r="P296" s="126">
        <f t="shared" si="61"/>
        <v>223</v>
      </c>
      <c r="Q296" s="126">
        <f t="shared" si="62"/>
        <v>242</v>
      </c>
      <c r="R296" s="126">
        <f t="shared" si="63"/>
        <v>15</v>
      </c>
      <c r="S296" s="1">
        <f t="shared" si="91"/>
        <v>1</v>
      </c>
      <c r="T296" s="126">
        <f t="shared" si="64"/>
        <v>15</v>
      </c>
      <c r="U296" s="126">
        <f t="shared" si="92"/>
        <v>1147.0000001600001</v>
      </c>
      <c r="W296" s="126">
        <f t="shared" si="65"/>
        <v>242</v>
      </c>
      <c r="X296" s="126">
        <f t="shared" si="66"/>
        <v>229.00000008000001</v>
      </c>
    </row>
    <row r="297" spans="1:24">
      <c r="A297" s="22">
        <f>'Stats 2021'!D66</f>
        <v>44596</v>
      </c>
      <c r="B297" s="128">
        <f>'Stats 2021'!E66</f>
        <v>1</v>
      </c>
      <c r="C297" s="128">
        <f>'Stats 2021'!F66</f>
        <v>1</v>
      </c>
      <c r="D297" s="128">
        <f>'Stats 2021'!G66</f>
        <v>0</v>
      </c>
      <c r="E297" s="128">
        <f>'Stats 2021'!H66</f>
        <v>0</v>
      </c>
      <c r="F297" s="128">
        <f>'Stats 2021'!I66</f>
        <v>0</v>
      </c>
      <c r="G297" s="128">
        <f>'Stats 2021'!J66</f>
        <v>1</v>
      </c>
      <c r="K297" s="86">
        <v>44596</v>
      </c>
      <c r="L297" s="126">
        <f t="shared" si="57"/>
        <v>227.00000008000001</v>
      </c>
      <c r="M297" s="126">
        <f t="shared" si="58"/>
        <v>95.000000080000007</v>
      </c>
      <c r="N297" s="126">
        <f t="shared" si="59"/>
        <v>227</v>
      </c>
      <c r="O297" s="126">
        <f t="shared" si="60"/>
        <v>135</v>
      </c>
      <c r="P297" s="126">
        <f t="shared" si="61"/>
        <v>223</v>
      </c>
      <c r="Q297" s="126">
        <f t="shared" si="62"/>
        <v>243</v>
      </c>
      <c r="R297" s="126">
        <f t="shared" si="63"/>
        <v>15.999999919999993</v>
      </c>
      <c r="S297" s="1">
        <f t="shared" ref="S297" si="93">IF(Q297&gt;L297,1,0)</f>
        <v>1</v>
      </c>
      <c r="T297" s="126">
        <f t="shared" si="64"/>
        <v>15.999999919999993</v>
      </c>
      <c r="U297" s="126">
        <f t="shared" ref="U297" si="94">SUM(L297:Q297)</f>
        <v>1150.0000001600001</v>
      </c>
      <c r="W297" s="126">
        <f t="shared" si="65"/>
        <v>243</v>
      </c>
      <c r="X297" s="126">
        <f t="shared" si="66"/>
        <v>230.00000008000001</v>
      </c>
    </row>
    <row r="298" spans="1:24">
      <c r="A298" s="22">
        <f>'Stats 2021'!D67</f>
        <v>44603</v>
      </c>
      <c r="B298" s="128">
        <f>'Stats 2021'!E67</f>
        <v>1</v>
      </c>
      <c r="C298" s="128">
        <f>'Stats 2021'!F67</f>
        <v>1</v>
      </c>
      <c r="D298" s="128">
        <f>'Stats 2021'!G67</f>
        <v>1</v>
      </c>
      <c r="E298" s="128">
        <f>'Stats 2021'!H67</f>
        <v>0</v>
      </c>
      <c r="F298" s="128">
        <f>'Stats 2021'!I67</f>
        <v>1</v>
      </c>
      <c r="G298" s="128">
        <f>'Stats 2021'!J67</f>
        <v>1</v>
      </c>
      <c r="K298" s="86">
        <v>44603</v>
      </c>
      <c r="L298" s="126">
        <f t="shared" si="57"/>
        <v>228.00000008000001</v>
      </c>
      <c r="M298" s="126">
        <f t="shared" si="58"/>
        <v>96.000000080000007</v>
      </c>
      <c r="N298" s="126">
        <f t="shared" si="59"/>
        <v>228</v>
      </c>
      <c r="O298" s="126">
        <f t="shared" si="60"/>
        <v>135</v>
      </c>
      <c r="P298" s="126">
        <f t="shared" si="61"/>
        <v>224</v>
      </c>
      <c r="Q298" s="126">
        <f t="shared" si="62"/>
        <v>244</v>
      </c>
      <c r="R298" s="126">
        <f t="shared" ref="R298" si="95">Q298-MAX(L298:P298)</f>
        <v>15.999999919999993</v>
      </c>
      <c r="S298" s="1">
        <f t="shared" ref="S298" si="96">IF(Q298&gt;L298,1,0)</f>
        <v>1</v>
      </c>
      <c r="T298" s="126">
        <f t="shared" si="64"/>
        <v>15.999999919999993</v>
      </c>
      <c r="U298" s="126">
        <f t="shared" ref="U298" si="97">SUM(L298:Q298)</f>
        <v>1155.0000001600001</v>
      </c>
      <c r="W298" s="126">
        <f t="shared" si="65"/>
        <v>244</v>
      </c>
      <c r="X298" s="126">
        <f t="shared" si="66"/>
        <v>231.00000008000001</v>
      </c>
    </row>
    <row r="299" spans="1:24">
      <c r="A299" s="22">
        <f>'Stats 2021'!D68</f>
        <v>44610</v>
      </c>
      <c r="B299" s="128">
        <f>'Stats 2021'!E68</f>
        <v>1</v>
      </c>
      <c r="C299" s="128">
        <f>'Stats 2021'!F68</f>
        <v>0</v>
      </c>
      <c r="D299" s="128">
        <f>'Stats 2021'!G68</f>
        <v>1</v>
      </c>
      <c r="E299" s="128">
        <f>'Stats 2021'!H68</f>
        <v>0</v>
      </c>
      <c r="F299" s="128">
        <f>'Stats 2021'!I68</f>
        <v>1</v>
      </c>
      <c r="G299" s="128">
        <f>'Stats 2021'!J68</f>
        <v>1</v>
      </c>
      <c r="K299" s="86">
        <v>44610</v>
      </c>
      <c r="L299" s="126">
        <f t="shared" si="57"/>
        <v>229.00000008000001</v>
      </c>
      <c r="M299" s="126">
        <f t="shared" si="58"/>
        <v>96.000000080000007</v>
      </c>
      <c r="N299" s="126">
        <f t="shared" si="59"/>
        <v>229</v>
      </c>
      <c r="O299" s="126">
        <f t="shared" si="60"/>
        <v>135</v>
      </c>
      <c r="P299" s="126">
        <f t="shared" si="61"/>
        <v>225</v>
      </c>
      <c r="Q299" s="126">
        <f t="shared" si="62"/>
        <v>245</v>
      </c>
      <c r="R299" s="126">
        <f t="shared" ref="R299" si="98">Q299-MAX(L299:P299)</f>
        <v>15.999999919999993</v>
      </c>
      <c r="S299" s="1">
        <f>IF(Q299&gt;L299,1,0)</f>
        <v>1</v>
      </c>
      <c r="T299" s="126">
        <f t="shared" si="64"/>
        <v>15.999999919999993</v>
      </c>
      <c r="U299" s="126">
        <f t="shared" ref="U299" si="99">SUM(L299:Q299)</f>
        <v>1159.0000001600001</v>
      </c>
      <c r="W299" s="126">
        <f t="shared" si="65"/>
        <v>245</v>
      </c>
      <c r="X299" s="126">
        <f t="shared" si="66"/>
        <v>231.00000008000001</v>
      </c>
    </row>
    <row r="300" spans="1:24">
      <c r="A300" s="22">
        <f>'Stats 2021'!D69</f>
        <v>44617</v>
      </c>
      <c r="B300" s="128">
        <f>'Stats 2021'!E69</f>
        <v>0</v>
      </c>
      <c r="C300" s="128">
        <f>'Stats 2021'!F69</f>
        <v>0</v>
      </c>
      <c r="D300" s="128">
        <f>'Stats 2021'!G69</f>
        <v>1</v>
      </c>
      <c r="E300" s="128">
        <f>'Stats 2021'!H69</f>
        <v>1</v>
      </c>
      <c r="F300" s="128">
        <f>'Stats 2021'!I69</f>
        <v>1</v>
      </c>
      <c r="G300" s="128">
        <f>'Stats 2021'!J69</f>
        <v>1</v>
      </c>
      <c r="K300" s="86">
        <v>44617</v>
      </c>
      <c r="L300" s="126">
        <f t="shared" si="57"/>
        <v>229.00000008000001</v>
      </c>
      <c r="M300" s="126">
        <f t="shared" si="58"/>
        <v>96.000000080000007</v>
      </c>
      <c r="N300" s="126">
        <f t="shared" si="59"/>
        <v>230</v>
      </c>
      <c r="O300" s="126">
        <f t="shared" si="60"/>
        <v>136</v>
      </c>
      <c r="P300" s="126">
        <f t="shared" si="61"/>
        <v>226</v>
      </c>
      <c r="Q300" s="126">
        <f t="shared" si="62"/>
        <v>246</v>
      </c>
      <c r="R300" s="126">
        <f t="shared" ref="R300" si="100">Q300-MAX(L300:P300)</f>
        <v>16</v>
      </c>
      <c r="S300" s="1">
        <f>IF(Q300&gt;L300,1,0)</f>
        <v>1</v>
      </c>
      <c r="T300" s="126">
        <f t="shared" si="64"/>
        <v>16</v>
      </c>
      <c r="U300" s="126">
        <f t="shared" ref="U300" si="101">SUM(L300:Q300)</f>
        <v>1163.0000001600001</v>
      </c>
      <c r="W300" s="126">
        <f t="shared" si="65"/>
        <v>246</v>
      </c>
      <c r="X300" s="126">
        <f t="shared" si="66"/>
        <v>232.00000008000001</v>
      </c>
    </row>
    <row r="301" spans="1:24">
      <c r="A301" s="22">
        <f>'Stats 2021'!D70</f>
        <v>44624</v>
      </c>
      <c r="B301" s="128">
        <f>'Stats 2021'!E70</f>
        <v>0</v>
      </c>
      <c r="C301" s="128">
        <f>'Stats 2021'!F70</f>
        <v>1</v>
      </c>
      <c r="D301" s="128">
        <f>'Stats 2021'!G70</f>
        <v>0</v>
      </c>
      <c r="E301" s="128">
        <f>'Stats 2021'!H70</f>
        <v>0</v>
      </c>
      <c r="F301" s="128">
        <f>'Stats 2021'!I70</f>
        <v>1</v>
      </c>
      <c r="G301" s="128">
        <f>'Stats 2021'!J70</f>
        <v>1</v>
      </c>
      <c r="K301" s="86">
        <v>44624</v>
      </c>
      <c r="L301" s="126">
        <f t="shared" si="57"/>
        <v>229.00000008000001</v>
      </c>
      <c r="M301" s="126">
        <f t="shared" si="58"/>
        <v>97.000000080000007</v>
      </c>
      <c r="N301" s="126">
        <f t="shared" si="59"/>
        <v>230</v>
      </c>
      <c r="O301" s="126">
        <f t="shared" si="60"/>
        <v>136</v>
      </c>
      <c r="P301" s="126">
        <f t="shared" si="61"/>
        <v>227</v>
      </c>
      <c r="Q301" s="126">
        <f t="shared" si="62"/>
        <v>247</v>
      </c>
      <c r="R301" s="126">
        <f t="shared" ref="R301:R302" si="102">Q301-MAX(L301:P301)</f>
        <v>17</v>
      </c>
      <c r="S301" s="1">
        <f t="shared" ref="S301:S302" si="103">IF(Q301&gt;L301,1,0)</f>
        <v>1</v>
      </c>
      <c r="T301" s="126">
        <f t="shared" si="64"/>
        <v>17</v>
      </c>
      <c r="U301" s="126">
        <f t="shared" ref="U301:U302" si="104">SUM(L301:Q301)</f>
        <v>1166.0000001600001</v>
      </c>
      <c r="W301" s="126">
        <f t="shared" si="65"/>
        <v>247</v>
      </c>
      <c r="X301" s="126">
        <f t="shared" si="66"/>
        <v>233.00000008000001</v>
      </c>
    </row>
    <row r="302" spans="1:24">
      <c r="A302" s="22">
        <f>'Stats 2021'!D71</f>
        <v>44631</v>
      </c>
      <c r="B302" s="128">
        <f>'Stats 2021'!E71</f>
        <v>1</v>
      </c>
      <c r="C302" s="128">
        <f>'Stats 2021'!F71</f>
        <v>1</v>
      </c>
      <c r="D302" s="128">
        <f>'Stats 2021'!G71</f>
        <v>1</v>
      </c>
      <c r="E302" s="128">
        <f>'Stats 2021'!H71</f>
        <v>0</v>
      </c>
      <c r="F302" s="128">
        <f>'Stats 2021'!I71</f>
        <v>1</v>
      </c>
      <c r="G302" s="128">
        <f>'Stats 2021'!J71</f>
        <v>1</v>
      </c>
      <c r="K302" s="86">
        <v>44631</v>
      </c>
      <c r="L302" s="126">
        <f t="shared" si="57"/>
        <v>230.00000008000001</v>
      </c>
      <c r="M302" s="126">
        <f t="shared" si="58"/>
        <v>98.000000080000007</v>
      </c>
      <c r="N302" s="126">
        <f t="shared" si="59"/>
        <v>231</v>
      </c>
      <c r="O302" s="126">
        <f t="shared" si="60"/>
        <v>136</v>
      </c>
      <c r="P302" s="126">
        <f t="shared" si="61"/>
        <v>228</v>
      </c>
      <c r="Q302" s="126">
        <f t="shared" si="62"/>
        <v>248</v>
      </c>
      <c r="R302" s="126">
        <f t="shared" si="102"/>
        <v>17</v>
      </c>
      <c r="S302" s="1">
        <f t="shared" si="103"/>
        <v>1</v>
      </c>
      <c r="T302" s="126">
        <f t="shared" si="64"/>
        <v>17</v>
      </c>
      <c r="U302" s="126">
        <f t="shared" si="104"/>
        <v>1171.0000001600001</v>
      </c>
      <c r="W302" s="126">
        <f t="shared" si="65"/>
        <v>248</v>
      </c>
      <c r="X302" s="126">
        <f t="shared" si="66"/>
        <v>234.00000008000001</v>
      </c>
    </row>
    <row r="303" spans="1:24">
      <c r="A303" s="22">
        <f>'Stats 2022'!D25</f>
        <v>44638</v>
      </c>
      <c r="B303" s="128">
        <f>'Stats 2022'!E25</f>
        <v>1</v>
      </c>
      <c r="C303" s="128">
        <f>'Stats 2022'!F25</f>
        <v>1</v>
      </c>
      <c r="D303" s="128">
        <f>'Stats 2022'!G25</f>
        <v>1</v>
      </c>
      <c r="E303" s="128">
        <f>'Stats 2022'!H25</f>
        <v>1</v>
      </c>
      <c r="F303" s="128">
        <f>'Stats 2022'!I25</f>
        <v>1</v>
      </c>
      <c r="G303" s="128">
        <f>'Stats 2022'!J25</f>
        <v>0</v>
      </c>
      <c r="K303" s="86">
        <v>44638</v>
      </c>
      <c r="L303" s="126">
        <f t="shared" si="57"/>
        <v>231.00000008000001</v>
      </c>
      <c r="M303" s="126">
        <f t="shared" si="58"/>
        <v>99.000000080000007</v>
      </c>
      <c r="N303" s="126">
        <f t="shared" si="59"/>
        <v>232</v>
      </c>
      <c r="O303" s="126">
        <f t="shared" si="60"/>
        <v>137</v>
      </c>
      <c r="P303" s="126">
        <f t="shared" si="61"/>
        <v>229</v>
      </c>
      <c r="Q303" s="126">
        <f t="shared" si="62"/>
        <v>248</v>
      </c>
      <c r="R303" s="126">
        <f>Q303-MAX(L303:P303)</f>
        <v>16</v>
      </c>
      <c r="S303" s="1">
        <f t="shared" ref="S303:S305" si="105">IF(Q303&gt;L303,1,0)</f>
        <v>1</v>
      </c>
      <c r="T303" s="126">
        <f t="shared" si="64"/>
        <v>16</v>
      </c>
      <c r="U303" s="126">
        <f t="shared" ref="U303:U305" si="106">SUM(L303:Q303)</f>
        <v>1176.0000001600001</v>
      </c>
      <c r="W303" s="126">
        <f t="shared" si="65"/>
        <v>248</v>
      </c>
      <c r="X303" s="126">
        <f t="shared" si="66"/>
        <v>236.00000008000001</v>
      </c>
    </row>
    <row r="304" spans="1:24">
      <c r="A304" s="22">
        <f>'Stats 2022'!D26</f>
        <v>44645</v>
      </c>
      <c r="B304" s="128">
        <f>'Stats 2022'!E26</f>
        <v>0</v>
      </c>
      <c r="C304" s="128">
        <f>'Stats 2022'!F26</f>
        <v>0</v>
      </c>
      <c r="D304" s="128">
        <f>'Stats 2022'!G26</f>
        <v>0</v>
      </c>
      <c r="E304" s="128">
        <f>'Stats 2022'!H26</f>
        <v>0</v>
      </c>
      <c r="F304" s="128">
        <f>'Stats 2022'!I26</f>
        <v>1</v>
      </c>
      <c r="G304" s="128">
        <f>'Stats 2022'!J26</f>
        <v>1</v>
      </c>
      <c r="K304" s="86">
        <v>44645</v>
      </c>
      <c r="L304" s="126">
        <f t="shared" si="57"/>
        <v>231.00000008000001</v>
      </c>
      <c r="M304" s="126">
        <f t="shared" si="58"/>
        <v>99.000000080000007</v>
      </c>
      <c r="N304" s="126">
        <f t="shared" si="59"/>
        <v>232</v>
      </c>
      <c r="O304" s="126">
        <f t="shared" si="60"/>
        <v>137</v>
      </c>
      <c r="P304" s="126">
        <f t="shared" si="61"/>
        <v>230</v>
      </c>
      <c r="Q304" s="126">
        <f t="shared" si="62"/>
        <v>249</v>
      </c>
      <c r="R304" s="126">
        <f t="shared" ref="R304:R305" si="107">Q304-MAX(L304:P304)</f>
        <v>17</v>
      </c>
      <c r="S304" s="1">
        <f t="shared" si="105"/>
        <v>1</v>
      </c>
      <c r="T304" s="126">
        <f t="shared" si="64"/>
        <v>17</v>
      </c>
      <c r="U304" s="126">
        <f t="shared" si="106"/>
        <v>1178.0000001600001</v>
      </c>
      <c r="W304" s="126">
        <f t="shared" si="65"/>
        <v>249</v>
      </c>
      <c r="X304" s="126">
        <f t="shared" si="66"/>
        <v>236.00000008000001</v>
      </c>
    </row>
    <row r="305" spans="1:24">
      <c r="A305" s="22">
        <f>'Stats 2022'!D27</f>
        <v>44652</v>
      </c>
      <c r="B305" s="128">
        <f>'Stats 2022'!E27</f>
        <v>0</v>
      </c>
      <c r="C305" s="128">
        <f>'Stats 2022'!F27</f>
        <v>0</v>
      </c>
      <c r="D305" s="128">
        <f>'Stats 2022'!G27</f>
        <v>0</v>
      </c>
      <c r="E305" s="128">
        <f>'Stats 2022'!H27</f>
        <v>0</v>
      </c>
      <c r="F305" s="128">
        <f>'Stats 2022'!I27</f>
        <v>1</v>
      </c>
      <c r="G305" s="128">
        <f>'Stats 2022'!J27</f>
        <v>1</v>
      </c>
      <c r="K305" s="86">
        <v>44652</v>
      </c>
      <c r="L305" s="126">
        <f t="shared" si="57"/>
        <v>231.00000008000001</v>
      </c>
      <c r="M305" s="126">
        <f t="shared" si="58"/>
        <v>99.000000080000007</v>
      </c>
      <c r="N305" s="126">
        <f t="shared" si="59"/>
        <v>232</v>
      </c>
      <c r="O305" s="126">
        <f t="shared" si="60"/>
        <v>137</v>
      </c>
      <c r="P305" s="126">
        <f t="shared" si="61"/>
        <v>231</v>
      </c>
      <c r="Q305" s="126">
        <f t="shared" si="62"/>
        <v>250</v>
      </c>
      <c r="R305" s="126">
        <f t="shared" si="107"/>
        <v>18</v>
      </c>
      <c r="S305" s="1">
        <f t="shared" si="105"/>
        <v>1</v>
      </c>
      <c r="T305" s="126">
        <f t="shared" si="64"/>
        <v>18</v>
      </c>
      <c r="U305" s="126">
        <f t="shared" si="106"/>
        <v>1180.0000001600001</v>
      </c>
      <c r="W305" s="126">
        <f t="shared" si="65"/>
        <v>250</v>
      </c>
      <c r="X305" s="126">
        <f t="shared" si="66"/>
        <v>236.00000008000001</v>
      </c>
    </row>
    <row r="306" spans="1:24">
      <c r="A306" s="22">
        <f>'Stats 2022'!D29</f>
        <v>44659</v>
      </c>
      <c r="B306" s="128">
        <f>'Stats 2022'!E29</f>
        <v>1</v>
      </c>
      <c r="C306" s="128">
        <f>'Stats 2022'!F29</f>
        <v>0</v>
      </c>
      <c r="D306" s="128">
        <f>'Stats 2022'!G29</f>
        <v>1</v>
      </c>
      <c r="E306" s="128">
        <f>'Stats 2022'!H29</f>
        <v>0</v>
      </c>
      <c r="F306" s="128">
        <f>'Stats 2022'!I29</f>
        <v>1</v>
      </c>
      <c r="G306" s="128">
        <f>'Stats 2022'!J29</f>
        <v>1</v>
      </c>
      <c r="K306" s="86">
        <v>44659</v>
      </c>
      <c r="L306" s="126">
        <f t="shared" si="57"/>
        <v>232.00000008000001</v>
      </c>
      <c r="M306" s="126">
        <f t="shared" si="58"/>
        <v>99.000000080000007</v>
      </c>
      <c r="N306" s="126">
        <f t="shared" si="59"/>
        <v>233</v>
      </c>
      <c r="O306" s="126">
        <f t="shared" si="60"/>
        <v>137</v>
      </c>
      <c r="P306" s="126">
        <f t="shared" si="61"/>
        <v>232</v>
      </c>
      <c r="Q306" s="126">
        <f t="shared" si="62"/>
        <v>251</v>
      </c>
      <c r="R306" s="126">
        <f t="shared" ref="R306:R329" si="108">Q306-MAX(L306:P306)</f>
        <v>18</v>
      </c>
      <c r="S306" s="1">
        <f t="shared" ref="S306:S329" si="109">IF(Q306&gt;L306,1,0)</f>
        <v>1</v>
      </c>
      <c r="T306" s="126">
        <f t="shared" si="64"/>
        <v>18</v>
      </c>
      <c r="U306" s="126">
        <f t="shared" ref="U306:U329" si="110">SUM(L306:Q306)</f>
        <v>1184.0000001600001</v>
      </c>
      <c r="W306" s="126">
        <f t="shared" si="65"/>
        <v>251</v>
      </c>
      <c r="X306" s="126">
        <f t="shared" si="66"/>
        <v>236.00000008000001</v>
      </c>
    </row>
    <row r="307" spans="1:24">
      <c r="A307" s="22">
        <f>'Stats 2022'!D30</f>
        <v>44673</v>
      </c>
      <c r="B307" s="128">
        <f>'Stats 2022'!E30</f>
        <v>1</v>
      </c>
      <c r="C307" s="128">
        <f>'Stats 2022'!F30</f>
        <v>1</v>
      </c>
      <c r="D307" s="128">
        <f>'Stats 2022'!G30</f>
        <v>1</v>
      </c>
      <c r="E307" s="128">
        <f>'Stats 2022'!H30</f>
        <v>0</v>
      </c>
      <c r="F307" s="128">
        <f>'Stats 2022'!I30</f>
        <v>1</v>
      </c>
      <c r="G307" s="128">
        <f>'Stats 2022'!J30</f>
        <v>1</v>
      </c>
      <c r="K307" s="86">
        <v>44673</v>
      </c>
      <c r="L307" s="126">
        <f t="shared" si="57"/>
        <v>233.00000008000001</v>
      </c>
      <c r="M307" s="126">
        <f t="shared" si="58"/>
        <v>100.00000008000001</v>
      </c>
      <c r="N307" s="126">
        <f t="shared" si="59"/>
        <v>234</v>
      </c>
      <c r="O307" s="126">
        <f t="shared" si="60"/>
        <v>137</v>
      </c>
      <c r="P307" s="126">
        <f t="shared" si="61"/>
        <v>233</v>
      </c>
      <c r="Q307" s="126">
        <f t="shared" si="62"/>
        <v>252</v>
      </c>
      <c r="R307" s="126">
        <f t="shared" si="108"/>
        <v>18</v>
      </c>
      <c r="S307" s="1">
        <f t="shared" si="109"/>
        <v>1</v>
      </c>
      <c r="T307" s="126">
        <f t="shared" si="64"/>
        <v>18</v>
      </c>
      <c r="U307" s="126">
        <f t="shared" si="110"/>
        <v>1189.0000001600001</v>
      </c>
      <c r="W307" s="126">
        <f t="shared" si="65"/>
        <v>252</v>
      </c>
      <c r="X307" s="126">
        <f t="shared" si="66"/>
        <v>237.00000008000001</v>
      </c>
    </row>
    <row r="308" spans="1:24">
      <c r="A308" s="22">
        <f>'Stats 2022'!D31</f>
        <v>44680</v>
      </c>
      <c r="B308" s="128">
        <f>'Stats 2022'!E31</f>
        <v>1</v>
      </c>
      <c r="C308" s="128">
        <f>'Stats 2022'!F31</f>
        <v>1</v>
      </c>
      <c r="D308" s="128">
        <f>'Stats 2022'!G31</f>
        <v>1</v>
      </c>
      <c r="E308" s="128">
        <f>'Stats 2022'!H31</f>
        <v>0</v>
      </c>
      <c r="F308" s="128">
        <f>'Stats 2022'!I31</f>
        <v>1</v>
      </c>
      <c r="G308" s="128">
        <f>'Stats 2022'!J31</f>
        <v>1</v>
      </c>
      <c r="K308" s="86">
        <v>44680</v>
      </c>
      <c r="L308" s="126">
        <f t="shared" si="57"/>
        <v>234.00000008000001</v>
      </c>
      <c r="M308" s="126">
        <f t="shared" si="58"/>
        <v>101.00000008000001</v>
      </c>
      <c r="N308" s="126">
        <f t="shared" si="59"/>
        <v>235</v>
      </c>
      <c r="O308" s="126">
        <f t="shared" si="60"/>
        <v>137</v>
      </c>
      <c r="P308" s="126">
        <f t="shared" si="61"/>
        <v>234</v>
      </c>
      <c r="Q308" s="126">
        <f t="shared" si="62"/>
        <v>253</v>
      </c>
      <c r="R308" s="126">
        <f t="shared" si="108"/>
        <v>18</v>
      </c>
      <c r="S308" s="1">
        <f t="shared" si="109"/>
        <v>1</v>
      </c>
      <c r="T308" s="126">
        <f t="shared" si="64"/>
        <v>18</v>
      </c>
      <c r="U308" s="126">
        <f t="shared" si="110"/>
        <v>1194.0000001600001</v>
      </c>
      <c r="W308" s="126">
        <f t="shared" si="65"/>
        <v>253</v>
      </c>
      <c r="X308" s="126">
        <f t="shared" si="66"/>
        <v>238.00000008000001</v>
      </c>
    </row>
    <row r="309" spans="1:24">
      <c r="A309" s="22">
        <f>'Stats 2022'!D32</f>
        <v>44687</v>
      </c>
      <c r="B309" s="128">
        <f>'Stats 2022'!E32</f>
        <v>0</v>
      </c>
      <c r="C309" s="128">
        <f>'Stats 2022'!F32</f>
        <v>1</v>
      </c>
      <c r="D309" s="128">
        <f>'Stats 2022'!G32</f>
        <v>0</v>
      </c>
      <c r="E309" s="128">
        <f>'Stats 2022'!H32</f>
        <v>0</v>
      </c>
      <c r="F309" s="128">
        <f>'Stats 2022'!I32</f>
        <v>0</v>
      </c>
      <c r="G309" s="128">
        <f>'Stats 2022'!J32</f>
        <v>1</v>
      </c>
      <c r="K309" s="86">
        <v>44687</v>
      </c>
      <c r="L309" s="126">
        <f t="shared" si="57"/>
        <v>234.00000008000001</v>
      </c>
      <c r="M309" s="126">
        <f t="shared" si="58"/>
        <v>102.00000008000001</v>
      </c>
      <c r="N309" s="126">
        <f t="shared" si="59"/>
        <v>235</v>
      </c>
      <c r="O309" s="126">
        <f t="shared" si="60"/>
        <v>137</v>
      </c>
      <c r="P309" s="126">
        <f t="shared" si="61"/>
        <v>234</v>
      </c>
      <c r="Q309" s="126">
        <f t="shared" si="62"/>
        <v>254</v>
      </c>
      <c r="R309" s="126">
        <f t="shared" si="108"/>
        <v>19</v>
      </c>
      <c r="S309" s="1">
        <f t="shared" si="109"/>
        <v>1</v>
      </c>
      <c r="T309" s="126">
        <f t="shared" si="64"/>
        <v>19</v>
      </c>
      <c r="U309" s="126">
        <f t="shared" si="110"/>
        <v>1196.0000001600001</v>
      </c>
      <c r="W309" s="126">
        <f t="shared" si="65"/>
        <v>254</v>
      </c>
      <c r="X309" s="126">
        <f t="shared" si="66"/>
        <v>239.00000008000001</v>
      </c>
    </row>
    <row r="310" spans="1:24">
      <c r="A310" s="22">
        <f>'Stats 2022'!D33</f>
        <v>44694</v>
      </c>
      <c r="B310" s="128">
        <f>'Stats 2022'!E33</f>
        <v>1</v>
      </c>
      <c r="C310" s="128">
        <f>'Stats 2022'!F33</f>
        <v>1</v>
      </c>
      <c r="D310" s="128">
        <f>'Stats 2022'!G33</f>
        <v>1</v>
      </c>
      <c r="E310" s="128">
        <f>'Stats 2022'!H33</f>
        <v>1</v>
      </c>
      <c r="F310" s="128">
        <f>'Stats 2022'!I33</f>
        <v>1</v>
      </c>
      <c r="G310" s="128">
        <f>'Stats 2022'!J33</f>
        <v>0</v>
      </c>
      <c r="K310" s="86">
        <v>44694</v>
      </c>
      <c r="L310" s="126">
        <f t="shared" si="57"/>
        <v>235.00000008000001</v>
      </c>
      <c r="M310" s="126">
        <f t="shared" si="58"/>
        <v>103.00000008000001</v>
      </c>
      <c r="N310" s="126">
        <f t="shared" si="59"/>
        <v>236</v>
      </c>
      <c r="O310" s="126">
        <f t="shared" si="60"/>
        <v>138</v>
      </c>
      <c r="P310" s="126">
        <f t="shared" si="61"/>
        <v>235</v>
      </c>
      <c r="Q310" s="126">
        <f t="shared" si="62"/>
        <v>254</v>
      </c>
      <c r="R310" s="126">
        <f t="shared" si="108"/>
        <v>18</v>
      </c>
      <c r="S310" s="1">
        <f t="shared" si="109"/>
        <v>1</v>
      </c>
      <c r="T310" s="126">
        <f t="shared" si="64"/>
        <v>18</v>
      </c>
      <c r="U310" s="126">
        <f t="shared" si="110"/>
        <v>1201.0000001600001</v>
      </c>
      <c r="W310" s="126">
        <f t="shared" si="65"/>
        <v>254</v>
      </c>
      <c r="X310" s="126">
        <f t="shared" si="66"/>
        <v>241.00000008000001</v>
      </c>
    </row>
    <row r="311" spans="1:24">
      <c r="A311" s="22">
        <f>'Stats 2022'!D34</f>
        <v>44701</v>
      </c>
      <c r="B311" s="128">
        <f>'Stats 2022'!E34</f>
        <v>1</v>
      </c>
      <c r="C311" s="128">
        <f>'Stats 2022'!F34</f>
        <v>1</v>
      </c>
      <c r="D311" s="128">
        <f>'Stats 2022'!G34</f>
        <v>1</v>
      </c>
      <c r="E311" s="128">
        <f>'Stats 2022'!H34</f>
        <v>1</v>
      </c>
      <c r="F311" s="128">
        <f>'Stats 2022'!I34</f>
        <v>1</v>
      </c>
      <c r="G311" s="128">
        <f>'Stats 2022'!J34</f>
        <v>0</v>
      </c>
      <c r="K311" s="86">
        <v>44701</v>
      </c>
      <c r="L311" s="126">
        <f t="shared" si="57"/>
        <v>236.00000008000001</v>
      </c>
      <c r="M311" s="126">
        <f t="shared" si="58"/>
        <v>104.00000008000001</v>
      </c>
      <c r="N311" s="126">
        <f t="shared" si="59"/>
        <v>237</v>
      </c>
      <c r="O311" s="126">
        <f t="shared" si="60"/>
        <v>139</v>
      </c>
      <c r="P311" s="126">
        <f t="shared" si="61"/>
        <v>236</v>
      </c>
      <c r="Q311" s="126">
        <f t="shared" si="62"/>
        <v>254</v>
      </c>
      <c r="R311" s="126">
        <f t="shared" si="108"/>
        <v>17</v>
      </c>
      <c r="S311" s="1">
        <f t="shared" si="109"/>
        <v>1</v>
      </c>
      <c r="T311" s="126">
        <f t="shared" si="64"/>
        <v>17</v>
      </c>
      <c r="U311" s="126">
        <f t="shared" si="110"/>
        <v>1206.0000001600001</v>
      </c>
      <c r="W311" s="126">
        <f t="shared" si="65"/>
        <v>254</v>
      </c>
      <c r="X311" s="126">
        <f t="shared" si="66"/>
        <v>243.00000008000001</v>
      </c>
    </row>
    <row r="312" spans="1:24">
      <c r="A312" s="22">
        <f>'Stats 2022'!D35</f>
        <v>44708</v>
      </c>
      <c r="B312" s="128">
        <f>'Stats 2022'!E35</f>
        <v>1</v>
      </c>
      <c r="C312" s="128">
        <f>'Stats 2022'!F35</f>
        <v>1</v>
      </c>
      <c r="D312" s="128">
        <f>'Stats 2022'!G35</f>
        <v>0</v>
      </c>
      <c r="E312" s="128">
        <f>'Stats 2022'!H35</f>
        <v>0</v>
      </c>
      <c r="F312" s="128">
        <f>'Stats 2022'!I35</f>
        <v>1</v>
      </c>
      <c r="G312" s="128">
        <f>'Stats 2022'!J35</f>
        <v>1</v>
      </c>
      <c r="K312" s="86">
        <v>44708</v>
      </c>
      <c r="L312" s="126">
        <f t="shared" si="57"/>
        <v>237.00000008000001</v>
      </c>
      <c r="M312" s="126">
        <f t="shared" si="58"/>
        <v>105.00000008000001</v>
      </c>
      <c r="N312" s="126">
        <f t="shared" si="59"/>
        <v>237</v>
      </c>
      <c r="O312" s="126">
        <f t="shared" si="60"/>
        <v>139</v>
      </c>
      <c r="P312" s="126">
        <f t="shared" si="61"/>
        <v>237</v>
      </c>
      <c r="Q312" s="126">
        <f t="shared" si="62"/>
        <v>255</v>
      </c>
      <c r="R312" s="126">
        <f t="shared" si="108"/>
        <v>17.999999919999993</v>
      </c>
      <c r="S312" s="1">
        <f t="shared" si="109"/>
        <v>1</v>
      </c>
      <c r="T312" s="126">
        <f t="shared" si="64"/>
        <v>17.999999919999993</v>
      </c>
      <c r="U312" s="126">
        <f t="shared" si="110"/>
        <v>1210.0000001600001</v>
      </c>
      <c r="W312" s="126">
        <f t="shared" si="65"/>
        <v>255</v>
      </c>
      <c r="X312" s="126">
        <f t="shared" si="66"/>
        <v>244.00000008000001</v>
      </c>
    </row>
    <row r="313" spans="1:24">
      <c r="A313" s="22">
        <f>'Stats 2022'!D36</f>
        <v>44715</v>
      </c>
      <c r="B313" s="128">
        <f>'Stats 2022'!E36</f>
        <v>0</v>
      </c>
      <c r="C313" s="128">
        <f>'Stats 2022'!F36</f>
        <v>1</v>
      </c>
      <c r="D313" s="128">
        <f>'Stats 2022'!G36</f>
        <v>0</v>
      </c>
      <c r="E313" s="128">
        <f>'Stats 2022'!H36</f>
        <v>0</v>
      </c>
      <c r="F313" s="128">
        <f>'Stats 2022'!I36</f>
        <v>0</v>
      </c>
      <c r="G313" s="128">
        <f>'Stats 2022'!J36</f>
        <v>1</v>
      </c>
      <c r="K313" s="86">
        <v>44715</v>
      </c>
      <c r="L313" s="126">
        <f t="shared" si="57"/>
        <v>237.00000008000001</v>
      </c>
      <c r="M313" s="126">
        <f t="shared" si="58"/>
        <v>106.00000008000001</v>
      </c>
      <c r="N313" s="126">
        <f t="shared" si="59"/>
        <v>237</v>
      </c>
      <c r="O313" s="126">
        <f t="shared" si="60"/>
        <v>139</v>
      </c>
      <c r="P313" s="126">
        <f t="shared" si="61"/>
        <v>237</v>
      </c>
      <c r="Q313" s="126">
        <f t="shared" si="62"/>
        <v>256</v>
      </c>
      <c r="R313" s="126">
        <f t="shared" si="108"/>
        <v>18.999999919999993</v>
      </c>
      <c r="S313" s="1">
        <f t="shared" si="109"/>
        <v>1</v>
      </c>
      <c r="T313" s="126">
        <f t="shared" si="64"/>
        <v>18.999999919999993</v>
      </c>
      <c r="U313" s="126">
        <f t="shared" si="110"/>
        <v>1212.0000001600001</v>
      </c>
      <c r="W313" s="126">
        <f t="shared" si="65"/>
        <v>256</v>
      </c>
      <c r="X313" s="126">
        <f t="shared" si="66"/>
        <v>245.00000008000001</v>
      </c>
    </row>
    <row r="314" spans="1:24">
      <c r="A314" s="22">
        <f>'Stats 2022'!D37</f>
        <v>44722</v>
      </c>
      <c r="B314" s="128">
        <f>'Stats 2022'!E37</f>
        <v>1</v>
      </c>
      <c r="C314" s="128">
        <f>'Stats 2022'!F37</f>
        <v>1</v>
      </c>
      <c r="D314" s="128">
        <f>'Stats 2022'!G37</f>
        <v>0</v>
      </c>
      <c r="E314" s="128">
        <f>'Stats 2022'!H37</f>
        <v>0</v>
      </c>
      <c r="F314" s="128">
        <f>'Stats 2022'!I37</f>
        <v>0</v>
      </c>
      <c r="G314" s="128">
        <f>'Stats 2022'!J37</f>
        <v>1</v>
      </c>
      <c r="K314" s="86">
        <v>44722</v>
      </c>
      <c r="L314" s="126">
        <f t="shared" si="57"/>
        <v>238.00000008000001</v>
      </c>
      <c r="M314" s="126">
        <f t="shared" si="58"/>
        <v>107.00000008000001</v>
      </c>
      <c r="N314" s="126">
        <f t="shared" si="59"/>
        <v>237</v>
      </c>
      <c r="O314" s="126">
        <f t="shared" si="60"/>
        <v>139</v>
      </c>
      <c r="P314" s="126">
        <f t="shared" si="61"/>
        <v>237</v>
      </c>
      <c r="Q314" s="126">
        <f t="shared" si="62"/>
        <v>257</v>
      </c>
      <c r="R314" s="126">
        <f t="shared" si="108"/>
        <v>18.999999919999993</v>
      </c>
      <c r="S314" s="1">
        <f t="shared" si="109"/>
        <v>1</v>
      </c>
      <c r="T314" s="126">
        <f t="shared" si="64"/>
        <v>18.999999919999993</v>
      </c>
      <c r="U314" s="126">
        <f t="shared" si="110"/>
        <v>1215.0000001600001</v>
      </c>
      <c r="W314" s="126">
        <f t="shared" si="65"/>
        <v>257</v>
      </c>
      <c r="X314" s="126">
        <f t="shared" si="66"/>
        <v>246.00000008000001</v>
      </c>
    </row>
    <row r="315" spans="1:24">
      <c r="A315" s="22">
        <f>'Stats 2022'!D38</f>
        <v>44729</v>
      </c>
      <c r="B315" s="128">
        <f>'Stats 2022'!E38</f>
        <v>1</v>
      </c>
      <c r="C315" s="128">
        <f>'Stats 2022'!F38</f>
        <v>1</v>
      </c>
      <c r="D315" s="128">
        <f>'Stats 2022'!G38</f>
        <v>1</v>
      </c>
      <c r="E315" s="128">
        <f>'Stats 2022'!H38</f>
        <v>0</v>
      </c>
      <c r="F315" s="128">
        <f>'Stats 2022'!I38</f>
        <v>0</v>
      </c>
      <c r="G315" s="128">
        <f>'Stats 2022'!J38</f>
        <v>0</v>
      </c>
      <c r="K315" s="86">
        <v>44729</v>
      </c>
      <c r="L315" s="126">
        <f t="shared" si="57"/>
        <v>239.00000008000001</v>
      </c>
      <c r="M315" s="126">
        <f t="shared" si="58"/>
        <v>108.00000008000001</v>
      </c>
      <c r="N315" s="126">
        <f t="shared" si="59"/>
        <v>238</v>
      </c>
      <c r="O315" s="126">
        <f t="shared" si="60"/>
        <v>139</v>
      </c>
      <c r="P315" s="126">
        <f t="shared" si="61"/>
        <v>237</v>
      </c>
      <c r="Q315" s="126">
        <f t="shared" si="62"/>
        <v>257</v>
      </c>
      <c r="R315" s="126">
        <f t="shared" si="108"/>
        <v>17.999999919999993</v>
      </c>
      <c r="S315" s="1">
        <f t="shared" si="109"/>
        <v>1</v>
      </c>
      <c r="T315" s="126">
        <f t="shared" si="64"/>
        <v>17.999999919999993</v>
      </c>
      <c r="U315" s="126">
        <f t="shared" si="110"/>
        <v>1218.0000001600001</v>
      </c>
      <c r="W315" s="126">
        <f t="shared" si="65"/>
        <v>257</v>
      </c>
      <c r="X315" s="126">
        <f t="shared" si="66"/>
        <v>247.00000008000001</v>
      </c>
    </row>
    <row r="316" spans="1:24">
      <c r="A316" s="22">
        <f>'Stats 2022'!D39</f>
        <v>44736</v>
      </c>
      <c r="B316" s="128">
        <f>'Stats 2022'!E39</f>
        <v>0</v>
      </c>
      <c r="C316" s="128">
        <f>'Stats 2022'!F39</f>
        <v>1</v>
      </c>
      <c r="D316" s="128">
        <f>'Stats 2022'!G39</f>
        <v>1</v>
      </c>
      <c r="E316" s="128">
        <f>'Stats 2022'!H39</f>
        <v>0</v>
      </c>
      <c r="F316" s="128">
        <f>'Stats 2022'!I39</f>
        <v>1</v>
      </c>
      <c r="G316" s="128">
        <f>'Stats 2022'!J39</f>
        <v>1</v>
      </c>
      <c r="K316" s="86">
        <v>44736</v>
      </c>
      <c r="L316" s="126">
        <f t="shared" si="57"/>
        <v>239.00000008000001</v>
      </c>
      <c r="M316" s="126">
        <f t="shared" si="58"/>
        <v>109.00000008000001</v>
      </c>
      <c r="N316" s="126">
        <f t="shared" si="59"/>
        <v>239</v>
      </c>
      <c r="O316" s="126">
        <f t="shared" si="60"/>
        <v>139</v>
      </c>
      <c r="P316" s="126">
        <f t="shared" si="61"/>
        <v>238</v>
      </c>
      <c r="Q316" s="126">
        <f t="shared" si="62"/>
        <v>258</v>
      </c>
      <c r="R316" s="126">
        <f t="shared" si="108"/>
        <v>18.999999919999993</v>
      </c>
      <c r="S316" s="1">
        <f t="shared" si="109"/>
        <v>1</v>
      </c>
      <c r="T316" s="126">
        <f t="shared" si="64"/>
        <v>18.999999919999993</v>
      </c>
      <c r="U316" s="126">
        <f t="shared" si="110"/>
        <v>1222.0000001600001</v>
      </c>
      <c r="W316" s="126">
        <f t="shared" si="65"/>
        <v>258</v>
      </c>
      <c r="X316" s="126">
        <f t="shared" si="66"/>
        <v>248.00000008000001</v>
      </c>
    </row>
    <row r="317" spans="1:24">
      <c r="A317" s="22">
        <f>'Stats 2022'!D41</f>
        <v>44743</v>
      </c>
      <c r="B317" s="128">
        <f>'Stats 2022'!E41</f>
        <v>0</v>
      </c>
      <c r="C317" s="128">
        <f>'Stats 2022'!F41</f>
        <v>1</v>
      </c>
      <c r="D317" s="128">
        <f>'Stats 2022'!G41</f>
        <v>1</v>
      </c>
      <c r="E317" s="128">
        <f>'Stats 2022'!H41</f>
        <v>0</v>
      </c>
      <c r="F317" s="128">
        <f>'Stats 2022'!I41</f>
        <v>1</v>
      </c>
      <c r="G317" s="128">
        <f>'Stats 2022'!J41</f>
        <v>1</v>
      </c>
      <c r="K317" s="86">
        <v>44743</v>
      </c>
      <c r="L317" s="126">
        <f t="shared" si="57"/>
        <v>239.00000008000001</v>
      </c>
      <c r="M317" s="126">
        <f t="shared" si="58"/>
        <v>110.00000008000001</v>
      </c>
      <c r="N317" s="126">
        <f t="shared" si="59"/>
        <v>240</v>
      </c>
      <c r="O317" s="126">
        <f t="shared" si="60"/>
        <v>139</v>
      </c>
      <c r="P317" s="126">
        <f t="shared" si="61"/>
        <v>239</v>
      </c>
      <c r="Q317" s="126">
        <f t="shared" si="62"/>
        <v>259</v>
      </c>
      <c r="R317" s="126">
        <f t="shared" si="108"/>
        <v>19</v>
      </c>
      <c r="S317" s="1">
        <f t="shared" si="109"/>
        <v>1</v>
      </c>
      <c r="T317" s="126">
        <f t="shared" si="64"/>
        <v>19</v>
      </c>
      <c r="U317" s="126">
        <f t="shared" si="110"/>
        <v>1226.0000001600001</v>
      </c>
      <c r="W317" s="126">
        <f t="shared" si="65"/>
        <v>259</v>
      </c>
      <c r="X317" s="126">
        <f t="shared" si="66"/>
        <v>249.00000008000001</v>
      </c>
    </row>
    <row r="318" spans="1:24">
      <c r="A318" s="22">
        <f>'Stats 2022'!D42</f>
        <v>44750</v>
      </c>
      <c r="B318" s="128">
        <f>'Stats 2022'!E42</f>
        <v>0</v>
      </c>
      <c r="C318" s="128">
        <f>'Stats 2022'!F42</f>
        <v>0</v>
      </c>
      <c r="D318" s="128">
        <f>'Stats 2022'!G42</f>
        <v>0</v>
      </c>
      <c r="E318" s="128">
        <f>'Stats 2022'!H42</f>
        <v>0</v>
      </c>
      <c r="F318" s="128">
        <f>'Stats 2022'!I42</f>
        <v>1</v>
      </c>
      <c r="G318" s="128">
        <f>'Stats 2022'!J42</f>
        <v>1</v>
      </c>
      <c r="K318" s="86">
        <v>44750</v>
      </c>
      <c r="L318" s="126">
        <f t="shared" si="57"/>
        <v>239.00000008000001</v>
      </c>
      <c r="M318" s="126">
        <f t="shared" si="58"/>
        <v>110.00000008000001</v>
      </c>
      <c r="N318" s="126">
        <f t="shared" si="59"/>
        <v>240</v>
      </c>
      <c r="O318" s="126">
        <f t="shared" si="60"/>
        <v>139</v>
      </c>
      <c r="P318" s="126">
        <f t="shared" si="61"/>
        <v>240</v>
      </c>
      <c r="Q318" s="126">
        <f t="shared" si="62"/>
        <v>260</v>
      </c>
      <c r="R318" s="126">
        <f t="shared" si="108"/>
        <v>20</v>
      </c>
      <c r="S318" s="1">
        <f t="shared" si="109"/>
        <v>1</v>
      </c>
      <c r="T318" s="126">
        <f t="shared" si="64"/>
        <v>20</v>
      </c>
      <c r="U318" s="126">
        <f t="shared" si="110"/>
        <v>1228.0000001600001</v>
      </c>
      <c r="W318" s="126">
        <f t="shared" si="65"/>
        <v>260</v>
      </c>
      <c r="X318" s="126">
        <f t="shared" si="66"/>
        <v>249.00000008000001</v>
      </c>
    </row>
    <row r="319" spans="1:24">
      <c r="A319" s="22">
        <f>'Stats 2022'!D43</f>
        <v>44757</v>
      </c>
      <c r="B319" s="128">
        <f>'Stats 2022'!E43</f>
        <v>0</v>
      </c>
      <c r="C319" s="128">
        <f>'Stats 2022'!F43</f>
        <v>1</v>
      </c>
      <c r="D319" s="128">
        <f>'Stats 2022'!G43</f>
        <v>0</v>
      </c>
      <c r="E319" s="128">
        <f>'Stats 2022'!H43</f>
        <v>1</v>
      </c>
      <c r="F319" s="128">
        <f>'Stats 2022'!I43</f>
        <v>1</v>
      </c>
      <c r="G319" s="128">
        <f>'Stats 2022'!J43</f>
        <v>1</v>
      </c>
      <c r="K319" s="86">
        <v>44757</v>
      </c>
      <c r="L319" s="126">
        <f t="shared" si="57"/>
        <v>239.00000008000001</v>
      </c>
      <c r="M319" s="126">
        <f t="shared" si="58"/>
        <v>111.00000008000001</v>
      </c>
      <c r="N319" s="126">
        <f t="shared" si="59"/>
        <v>240</v>
      </c>
      <c r="O319" s="126">
        <f t="shared" si="60"/>
        <v>140</v>
      </c>
      <c r="P319" s="126">
        <f t="shared" si="61"/>
        <v>241</v>
      </c>
      <c r="Q319" s="126">
        <f t="shared" si="62"/>
        <v>261</v>
      </c>
      <c r="R319" s="126">
        <f t="shared" si="108"/>
        <v>20</v>
      </c>
      <c r="S319" s="1">
        <f t="shared" si="109"/>
        <v>1</v>
      </c>
      <c r="T319" s="126">
        <f t="shared" si="64"/>
        <v>20</v>
      </c>
      <c r="U319" s="126">
        <f t="shared" si="110"/>
        <v>1232.0000001600001</v>
      </c>
      <c r="W319" s="126">
        <f t="shared" si="65"/>
        <v>261</v>
      </c>
      <c r="X319" s="126">
        <f t="shared" si="66"/>
        <v>251.00000008000001</v>
      </c>
    </row>
    <row r="320" spans="1:24">
      <c r="A320" s="22">
        <f>'Stats 2022'!D45</f>
        <v>44764</v>
      </c>
      <c r="B320" s="128">
        <f>'Stats 2022'!E45</f>
        <v>0</v>
      </c>
      <c r="C320" s="128">
        <f>'Stats 2022'!F45</f>
        <v>1</v>
      </c>
      <c r="D320" s="128">
        <f>'Stats 2022'!G45</f>
        <v>0</v>
      </c>
      <c r="E320" s="128">
        <f>'Stats 2022'!H45</f>
        <v>1</v>
      </c>
      <c r="F320" s="128">
        <f>'Stats 2022'!I45</f>
        <v>1</v>
      </c>
      <c r="G320" s="128">
        <f>'Stats 2022'!J45</f>
        <v>0</v>
      </c>
      <c r="K320" s="86">
        <v>44764</v>
      </c>
      <c r="L320" s="126">
        <f t="shared" si="57"/>
        <v>239.00000008000001</v>
      </c>
      <c r="M320" s="126">
        <f t="shared" si="58"/>
        <v>112.00000008000001</v>
      </c>
      <c r="N320" s="126">
        <f t="shared" si="59"/>
        <v>240</v>
      </c>
      <c r="O320" s="126">
        <f t="shared" si="60"/>
        <v>141</v>
      </c>
      <c r="P320" s="126">
        <f t="shared" si="61"/>
        <v>242</v>
      </c>
      <c r="Q320" s="126">
        <f t="shared" si="62"/>
        <v>261</v>
      </c>
      <c r="R320" s="126">
        <f t="shared" si="108"/>
        <v>19</v>
      </c>
      <c r="S320" s="1">
        <f t="shared" si="109"/>
        <v>1</v>
      </c>
      <c r="T320" s="126">
        <f t="shared" si="64"/>
        <v>19</v>
      </c>
      <c r="U320" s="126">
        <f t="shared" si="110"/>
        <v>1235.0000001600001</v>
      </c>
      <c r="W320" s="126">
        <f t="shared" si="65"/>
        <v>261</v>
      </c>
      <c r="X320" s="126">
        <f t="shared" si="66"/>
        <v>253.00000008000001</v>
      </c>
    </row>
    <row r="321" spans="1:24">
      <c r="A321" s="22">
        <f>'Stats 2022'!D46</f>
        <v>44771</v>
      </c>
      <c r="B321" s="128">
        <f>'Stats 2022'!E46</f>
        <v>1</v>
      </c>
      <c r="C321" s="128">
        <f>'Stats 2022'!F46</f>
        <v>1</v>
      </c>
      <c r="D321" s="128">
        <f>'Stats 2022'!G46</f>
        <v>1</v>
      </c>
      <c r="E321" s="128">
        <f>'Stats 2022'!H46</f>
        <v>1</v>
      </c>
      <c r="F321" s="128">
        <f>'Stats 2022'!I46</f>
        <v>1</v>
      </c>
      <c r="G321" s="128">
        <f>'Stats 2022'!J46</f>
        <v>1</v>
      </c>
      <c r="K321" s="86">
        <v>44771</v>
      </c>
      <c r="L321" s="126">
        <f t="shared" si="57"/>
        <v>240.00000008000001</v>
      </c>
      <c r="M321" s="126">
        <f t="shared" si="58"/>
        <v>113.00000008000001</v>
      </c>
      <c r="N321" s="126">
        <f t="shared" si="59"/>
        <v>241</v>
      </c>
      <c r="O321" s="126">
        <f t="shared" si="60"/>
        <v>142</v>
      </c>
      <c r="P321" s="126">
        <f t="shared" si="61"/>
        <v>243</v>
      </c>
      <c r="Q321" s="126">
        <f t="shared" si="62"/>
        <v>262</v>
      </c>
      <c r="R321" s="126">
        <f t="shared" si="108"/>
        <v>19</v>
      </c>
      <c r="S321" s="1">
        <f t="shared" si="109"/>
        <v>1</v>
      </c>
      <c r="T321" s="126">
        <f t="shared" si="64"/>
        <v>19</v>
      </c>
      <c r="U321" s="126">
        <f t="shared" si="110"/>
        <v>1241.0000001600001</v>
      </c>
      <c r="W321" s="126">
        <f t="shared" si="65"/>
        <v>262</v>
      </c>
      <c r="X321" s="126">
        <f t="shared" si="66"/>
        <v>255.00000008000001</v>
      </c>
    </row>
    <row r="322" spans="1:24">
      <c r="A322" s="22">
        <f>'Stats 2022'!D47</f>
        <v>44778</v>
      </c>
      <c r="B322" s="128">
        <f>'Stats 2022'!E47</f>
        <v>0</v>
      </c>
      <c r="C322" s="128">
        <f>'Stats 2022'!F47</f>
        <v>1</v>
      </c>
      <c r="D322" s="128">
        <f>'Stats 2022'!G47</f>
        <v>1</v>
      </c>
      <c r="E322" s="128">
        <v>0</v>
      </c>
      <c r="F322" s="128">
        <f>'Stats 2022'!I47</f>
        <v>1</v>
      </c>
      <c r="G322" s="128">
        <f>'Stats 2022'!J47</f>
        <v>1</v>
      </c>
      <c r="K322" s="86">
        <v>44778</v>
      </c>
      <c r="L322" s="126">
        <f t="shared" si="57"/>
        <v>240.00000008000001</v>
      </c>
      <c r="M322" s="126">
        <f t="shared" si="58"/>
        <v>114.00000008000001</v>
      </c>
      <c r="N322" s="126">
        <f t="shared" si="59"/>
        <v>242</v>
      </c>
      <c r="O322" s="126">
        <f t="shared" si="60"/>
        <v>142</v>
      </c>
      <c r="P322" s="126">
        <f t="shared" si="61"/>
        <v>244</v>
      </c>
      <c r="Q322" s="126">
        <f t="shared" si="62"/>
        <v>263</v>
      </c>
      <c r="R322" s="126">
        <f t="shared" si="108"/>
        <v>19</v>
      </c>
      <c r="S322" s="1">
        <f t="shared" si="109"/>
        <v>1</v>
      </c>
      <c r="T322" s="126">
        <f t="shared" si="64"/>
        <v>19</v>
      </c>
      <c r="U322" s="126">
        <f t="shared" si="110"/>
        <v>1245.0000001600001</v>
      </c>
      <c r="W322" s="126">
        <f t="shared" si="65"/>
        <v>263</v>
      </c>
      <c r="X322" s="126">
        <f t="shared" si="66"/>
        <v>256.00000008000001</v>
      </c>
    </row>
    <row r="323" spans="1:24">
      <c r="A323" s="22">
        <f>'Stats 2022'!D48</f>
        <v>44785</v>
      </c>
      <c r="B323" s="128">
        <f>'Stats 2022'!E48</f>
        <v>1</v>
      </c>
      <c r="C323" s="128">
        <f>'Stats 2022'!F48</f>
        <v>1</v>
      </c>
      <c r="D323" s="128">
        <f>'Stats 2022'!G48</f>
        <v>1</v>
      </c>
      <c r="E323" s="128">
        <v>0</v>
      </c>
      <c r="F323" s="128">
        <f>'Stats 2022'!I48</f>
        <v>1</v>
      </c>
      <c r="G323" s="128">
        <f>'Stats 2022'!J48</f>
        <v>1</v>
      </c>
      <c r="K323" s="86">
        <v>44785</v>
      </c>
      <c r="L323" s="126">
        <f t="shared" ref="L323:L371" si="111">B323+L322</f>
        <v>241.00000008000001</v>
      </c>
      <c r="M323" s="126">
        <f t="shared" ref="M323:M371" si="112">C323+M322</f>
        <v>115.00000008000001</v>
      </c>
      <c r="N323" s="126">
        <f t="shared" ref="N323:N371" si="113">D323+N322</f>
        <v>243</v>
      </c>
      <c r="O323" s="126">
        <f t="shared" ref="O323:O371" si="114">E323+O322</f>
        <v>142</v>
      </c>
      <c r="P323" s="126">
        <f t="shared" ref="P323:P371" si="115">F323+P322</f>
        <v>245</v>
      </c>
      <c r="Q323" s="126">
        <f t="shared" ref="Q323:Q371" si="116">G323+Q322</f>
        <v>264</v>
      </c>
      <c r="R323" s="126">
        <f t="shared" si="108"/>
        <v>19</v>
      </c>
      <c r="S323" s="1">
        <f t="shared" si="109"/>
        <v>1</v>
      </c>
      <c r="T323" s="126">
        <f t="shared" ref="T323:T385" si="117">Q323-MAX(L323:P323)</f>
        <v>19</v>
      </c>
      <c r="U323" s="126">
        <f t="shared" si="110"/>
        <v>1250.0000001600001</v>
      </c>
      <c r="W323" s="126">
        <f t="shared" ref="W323:W348" si="118">Q323</f>
        <v>264</v>
      </c>
      <c r="X323" s="126">
        <f t="shared" ref="X323:X348" si="119">M323+O323</f>
        <v>257.00000008000001</v>
      </c>
    </row>
    <row r="324" spans="1:24">
      <c r="A324" s="22">
        <f>'Stats 2022'!D49</f>
        <v>44792</v>
      </c>
      <c r="B324" s="128">
        <f>'Stats 2022'!E49</f>
        <v>0</v>
      </c>
      <c r="C324" s="128">
        <f>'Stats 2022'!F49</f>
        <v>1</v>
      </c>
      <c r="D324" s="128">
        <f>'Stats 2022'!G49</f>
        <v>0</v>
      </c>
      <c r="E324" s="128">
        <v>0</v>
      </c>
      <c r="F324" s="128">
        <f>'Stats 2022'!I49</f>
        <v>1</v>
      </c>
      <c r="G324" s="128">
        <f>'Stats 2022'!J49</f>
        <v>1</v>
      </c>
      <c r="K324" s="86">
        <v>44792</v>
      </c>
      <c r="L324" s="126">
        <f t="shared" si="111"/>
        <v>241.00000008000001</v>
      </c>
      <c r="M324" s="126">
        <f t="shared" si="112"/>
        <v>116.00000008000001</v>
      </c>
      <c r="N324" s="126">
        <f t="shared" si="113"/>
        <v>243</v>
      </c>
      <c r="O324" s="126">
        <f t="shared" si="114"/>
        <v>142</v>
      </c>
      <c r="P324" s="126">
        <f t="shared" si="115"/>
        <v>246</v>
      </c>
      <c r="Q324" s="126">
        <f t="shared" si="116"/>
        <v>265</v>
      </c>
      <c r="R324" s="126">
        <f t="shared" si="108"/>
        <v>19</v>
      </c>
      <c r="S324" s="1">
        <f t="shared" si="109"/>
        <v>1</v>
      </c>
      <c r="T324" s="126">
        <f t="shared" si="117"/>
        <v>19</v>
      </c>
      <c r="U324" s="126">
        <f t="shared" si="110"/>
        <v>1253.0000001600001</v>
      </c>
      <c r="W324" s="126">
        <f t="shared" si="118"/>
        <v>265</v>
      </c>
      <c r="X324" s="126">
        <f t="shared" si="119"/>
        <v>258.00000008000001</v>
      </c>
    </row>
    <row r="325" spans="1:24">
      <c r="A325" s="22">
        <f>'Stats 2022'!D50</f>
        <v>44799</v>
      </c>
      <c r="B325" s="128">
        <f>'Stats 2022'!E50</f>
        <v>0</v>
      </c>
      <c r="C325" s="128">
        <f>'Stats 2022'!F50</f>
        <v>1</v>
      </c>
      <c r="D325" s="128">
        <f>'Stats 2022'!G50</f>
        <v>1</v>
      </c>
      <c r="E325" s="128">
        <v>0</v>
      </c>
      <c r="F325" s="128">
        <f>'Stats 2022'!I50</f>
        <v>1</v>
      </c>
      <c r="G325" s="128">
        <f>'Stats 2022'!J50</f>
        <v>1</v>
      </c>
      <c r="K325" s="86">
        <v>44799</v>
      </c>
      <c r="L325" s="126">
        <f t="shared" si="111"/>
        <v>241.00000008000001</v>
      </c>
      <c r="M325" s="126">
        <f t="shared" si="112"/>
        <v>117.00000008000001</v>
      </c>
      <c r="N325" s="126">
        <f t="shared" si="113"/>
        <v>244</v>
      </c>
      <c r="O325" s="126">
        <f t="shared" si="114"/>
        <v>142</v>
      </c>
      <c r="P325" s="126">
        <f t="shared" si="115"/>
        <v>247</v>
      </c>
      <c r="Q325" s="126">
        <f t="shared" si="116"/>
        <v>266</v>
      </c>
      <c r="R325" s="126">
        <f t="shared" si="108"/>
        <v>19</v>
      </c>
      <c r="S325" s="1">
        <f t="shared" si="109"/>
        <v>1</v>
      </c>
      <c r="T325" s="126">
        <f t="shared" si="117"/>
        <v>19</v>
      </c>
      <c r="U325" s="126">
        <f t="shared" si="110"/>
        <v>1257.0000001600001</v>
      </c>
      <c r="W325" s="126">
        <f t="shared" si="118"/>
        <v>266</v>
      </c>
      <c r="X325" s="126">
        <f t="shared" si="119"/>
        <v>259.00000008000001</v>
      </c>
    </row>
    <row r="326" spans="1:24">
      <c r="A326" s="22">
        <f>'Stats 2022'!D51</f>
        <v>44806</v>
      </c>
      <c r="B326" s="128">
        <f>'Stats 2022'!E51</f>
        <v>1</v>
      </c>
      <c r="C326" s="128">
        <f>'Stats 2022'!F51</f>
        <v>0</v>
      </c>
      <c r="D326" s="128">
        <f>'Stats 2022'!G51</f>
        <v>1</v>
      </c>
      <c r="E326" s="128">
        <v>0</v>
      </c>
      <c r="F326" s="128">
        <f>'Stats 2022'!I51</f>
        <v>1</v>
      </c>
      <c r="G326" s="128">
        <f>'Stats 2022'!J51</f>
        <v>1</v>
      </c>
      <c r="K326" s="86">
        <v>44806</v>
      </c>
      <c r="L326" s="126">
        <f t="shared" si="111"/>
        <v>242.00000008000001</v>
      </c>
      <c r="M326" s="126">
        <f t="shared" si="112"/>
        <v>117.00000008000001</v>
      </c>
      <c r="N326" s="126">
        <f t="shared" si="113"/>
        <v>245</v>
      </c>
      <c r="O326" s="126">
        <f t="shared" si="114"/>
        <v>142</v>
      </c>
      <c r="P326" s="126">
        <f t="shared" si="115"/>
        <v>248</v>
      </c>
      <c r="Q326" s="126">
        <f t="shared" si="116"/>
        <v>267</v>
      </c>
      <c r="R326" s="126">
        <f t="shared" si="108"/>
        <v>19</v>
      </c>
      <c r="S326" s="1">
        <f t="shared" si="109"/>
        <v>1</v>
      </c>
      <c r="T326" s="126">
        <f t="shared" si="117"/>
        <v>19</v>
      </c>
      <c r="U326" s="126">
        <f t="shared" si="110"/>
        <v>1261.0000001600001</v>
      </c>
      <c r="W326" s="126">
        <f t="shared" si="118"/>
        <v>267</v>
      </c>
      <c r="X326" s="126">
        <f t="shared" si="119"/>
        <v>259.00000008000001</v>
      </c>
    </row>
    <row r="327" spans="1:24">
      <c r="A327" s="22">
        <f>'Stats 2022'!D52</f>
        <v>44813</v>
      </c>
      <c r="B327" s="128">
        <f>'Stats 2022'!E52</f>
        <v>0</v>
      </c>
      <c r="C327" s="128">
        <f>'Stats 2022'!F52</f>
        <v>0</v>
      </c>
      <c r="D327" s="128">
        <f>'Stats 2022'!G52</f>
        <v>1</v>
      </c>
      <c r="E327" s="128">
        <v>0</v>
      </c>
      <c r="F327" s="128">
        <f>'Stats 2022'!I52</f>
        <v>1</v>
      </c>
      <c r="G327" s="128">
        <f>'Stats 2022'!J52</f>
        <v>1</v>
      </c>
      <c r="K327" s="86">
        <v>44813</v>
      </c>
      <c r="L327" s="126">
        <f t="shared" si="111"/>
        <v>242.00000008000001</v>
      </c>
      <c r="M327" s="126">
        <f t="shared" si="112"/>
        <v>117.00000008000001</v>
      </c>
      <c r="N327" s="126">
        <f t="shared" si="113"/>
        <v>246</v>
      </c>
      <c r="O327" s="126">
        <f t="shared" si="114"/>
        <v>142</v>
      </c>
      <c r="P327" s="126">
        <f t="shared" si="115"/>
        <v>249</v>
      </c>
      <c r="Q327" s="126">
        <f t="shared" si="116"/>
        <v>268</v>
      </c>
      <c r="R327" s="126">
        <f t="shared" si="108"/>
        <v>19</v>
      </c>
      <c r="S327" s="1">
        <f t="shared" si="109"/>
        <v>1</v>
      </c>
      <c r="T327" s="126">
        <f t="shared" si="117"/>
        <v>19</v>
      </c>
      <c r="U327" s="126">
        <f t="shared" si="110"/>
        <v>1264.0000001600001</v>
      </c>
      <c r="W327" s="126">
        <f t="shared" si="118"/>
        <v>268</v>
      </c>
      <c r="X327" s="126">
        <f t="shared" si="119"/>
        <v>259.00000008000001</v>
      </c>
    </row>
    <row r="328" spans="1:24">
      <c r="A328" s="22">
        <f>'Stats 2022'!D53</f>
        <v>44820</v>
      </c>
      <c r="B328" s="128">
        <f>'Stats 2022'!E53</f>
        <v>1</v>
      </c>
      <c r="C328" s="128">
        <f>'Stats 2022'!F53</f>
        <v>1</v>
      </c>
      <c r="D328" s="128">
        <f>'Stats 2022'!G53</f>
        <v>0</v>
      </c>
      <c r="E328" s="128">
        <v>0</v>
      </c>
      <c r="F328" s="128">
        <f>'Stats 2022'!I53</f>
        <v>1</v>
      </c>
      <c r="G328" s="128">
        <f>'Stats 2022'!J53</f>
        <v>0</v>
      </c>
      <c r="K328" s="86">
        <v>44820</v>
      </c>
      <c r="L328" s="126">
        <f t="shared" si="111"/>
        <v>243.00000008000001</v>
      </c>
      <c r="M328" s="126">
        <f t="shared" si="112"/>
        <v>118.00000008000001</v>
      </c>
      <c r="N328" s="126">
        <f t="shared" si="113"/>
        <v>246</v>
      </c>
      <c r="O328" s="126">
        <f t="shared" si="114"/>
        <v>142</v>
      </c>
      <c r="P328" s="126">
        <f t="shared" si="115"/>
        <v>250</v>
      </c>
      <c r="Q328" s="126">
        <f t="shared" si="116"/>
        <v>268</v>
      </c>
      <c r="R328" s="126">
        <f t="shared" si="108"/>
        <v>18</v>
      </c>
      <c r="S328" s="1">
        <f t="shared" si="109"/>
        <v>1</v>
      </c>
      <c r="T328" s="126">
        <f t="shared" si="117"/>
        <v>18</v>
      </c>
      <c r="U328" s="126">
        <f t="shared" si="110"/>
        <v>1267.0000001600001</v>
      </c>
      <c r="W328" s="126">
        <f t="shared" si="118"/>
        <v>268</v>
      </c>
      <c r="X328" s="126">
        <f t="shared" si="119"/>
        <v>260.00000008000001</v>
      </c>
    </row>
    <row r="329" spans="1:24">
      <c r="A329" s="22">
        <f>'Stats 2022'!D54</f>
        <v>44827</v>
      </c>
      <c r="B329" s="128">
        <f>'Stats 2022'!E54</f>
        <v>0</v>
      </c>
      <c r="C329" s="128">
        <f>'Stats 2022'!F54</f>
        <v>1</v>
      </c>
      <c r="D329" s="128">
        <f>'Stats 2022'!G54</f>
        <v>1</v>
      </c>
      <c r="E329" s="128">
        <v>0</v>
      </c>
      <c r="F329" s="128">
        <f>'Stats 2022'!I54</f>
        <v>1</v>
      </c>
      <c r="G329" s="128">
        <f>'Stats 2022'!J54</f>
        <v>1</v>
      </c>
      <c r="K329" s="86">
        <v>44827</v>
      </c>
      <c r="L329" s="126">
        <f t="shared" si="111"/>
        <v>243.00000008000001</v>
      </c>
      <c r="M329" s="126">
        <f t="shared" si="112"/>
        <v>119.00000008000001</v>
      </c>
      <c r="N329" s="126">
        <f t="shared" si="113"/>
        <v>247</v>
      </c>
      <c r="O329" s="126">
        <f t="shared" si="114"/>
        <v>142</v>
      </c>
      <c r="P329" s="126">
        <f t="shared" si="115"/>
        <v>251</v>
      </c>
      <c r="Q329" s="126">
        <f t="shared" si="116"/>
        <v>269</v>
      </c>
      <c r="R329" s="126">
        <f t="shared" si="108"/>
        <v>18</v>
      </c>
      <c r="S329" s="1">
        <f t="shared" si="109"/>
        <v>1</v>
      </c>
      <c r="T329" s="126">
        <f t="shared" si="117"/>
        <v>18</v>
      </c>
      <c r="U329" s="126">
        <f t="shared" si="110"/>
        <v>1271.0000001600001</v>
      </c>
      <c r="W329" s="126">
        <f t="shared" si="118"/>
        <v>269</v>
      </c>
      <c r="X329" s="126">
        <f t="shared" si="119"/>
        <v>261.00000008000001</v>
      </c>
    </row>
    <row r="330" spans="1:24">
      <c r="A330" s="22">
        <f>'Stats 2022'!D55</f>
        <v>44834</v>
      </c>
      <c r="B330" s="128">
        <f>'Stats 2022'!E55</f>
        <v>0</v>
      </c>
      <c r="C330" s="128">
        <f>'Stats 2022'!F55</f>
        <v>1</v>
      </c>
      <c r="D330" s="128">
        <f>'Stats 2022'!G55</f>
        <v>1</v>
      </c>
      <c r="E330" s="128">
        <v>0</v>
      </c>
      <c r="F330" s="128">
        <f>'Stats 2022'!I55</f>
        <v>1</v>
      </c>
      <c r="G330" s="128">
        <f>'Stats 2022'!J55</f>
        <v>1</v>
      </c>
      <c r="K330" s="86">
        <v>44834</v>
      </c>
      <c r="L330" s="126">
        <f t="shared" si="111"/>
        <v>243.00000008000001</v>
      </c>
      <c r="M330" s="126">
        <f t="shared" si="112"/>
        <v>120.00000008000001</v>
      </c>
      <c r="N330" s="126">
        <f t="shared" si="113"/>
        <v>248</v>
      </c>
      <c r="O330" s="126">
        <f t="shared" si="114"/>
        <v>142</v>
      </c>
      <c r="P330" s="126">
        <f t="shared" si="115"/>
        <v>252</v>
      </c>
      <c r="Q330" s="126">
        <f t="shared" si="116"/>
        <v>270</v>
      </c>
      <c r="R330" s="126">
        <f t="shared" ref="R330" si="120">Q330-MAX(L330:P330)</f>
        <v>18</v>
      </c>
      <c r="S330" s="1">
        <f t="shared" ref="S330" si="121">IF(Q330&gt;L330,1,0)</f>
        <v>1</v>
      </c>
      <c r="T330" s="126">
        <f t="shared" si="117"/>
        <v>18</v>
      </c>
      <c r="U330" s="126">
        <f t="shared" ref="U330" si="122">SUM(L330:Q330)</f>
        <v>1275.0000001600001</v>
      </c>
      <c r="W330" s="126">
        <f t="shared" si="118"/>
        <v>270</v>
      </c>
      <c r="X330" s="126">
        <f t="shared" si="119"/>
        <v>262.00000008000001</v>
      </c>
    </row>
    <row r="331" spans="1:24">
      <c r="A331" s="22">
        <f>'Stats 2022'!D56</f>
        <v>44841</v>
      </c>
      <c r="B331" s="128">
        <f>'Stats 2022'!E56</f>
        <v>1</v>
      </c>
      <c r="C331" s="128">
        <f>'Stats 2022'!F56</f>
        <v>0</v>
      </c>
      <c r="D331" s="128">
        <f>'Stats 2022'!G56</f>
        <v>1</v>
      </c>
      <c r="E331" s="128">
        <v>0</v>
      </c>
      <c r="F331" s="128">
        <f>'Stats 2022'!I56</f>
        <v>0</v>
      </c>
      <c r="G331" s="128">
        <f>'Stats 2022'!J56</f>
        <v>0</v>
      </c>
      <c r="K331" s="86">
        <v>44841</v>
      </c>
      <c r="L331" s="126">
        <f t="shared" si="111"/>
        <v>244.00000008000001</v>
      </c>
      <c r="M331" s="126">
        <f t="shared" si="112"/>
        <v>120.00000008000001</v>
      </c>
      <c r="N331" s="126">
        <f t="shared" si="113"/>
        <v>249</v>
      </c>
      <c r="O331" s="126">
        <f t="shared" si="114"/>
        <v>142</v>
      </c>
      <c r="P331" s="126">
        <f t="shared" si="115"/>
        <v>252</v>
      </c>
      <c r="Q331" s="126">
        <f t="shared" si="116"/>
        <v>270</v>
      </c>
      <c r="R331" s="126">
        <f t="shared" ref="R331:R332" si="123">Q331-MAX(L331:P331)</f>
        <v>18</v>
      </c>
      <c r="S331" s="1">
        <f t="shared" ref="S331:S332" si="124">IF(Q331&gt;L331,1,0)</f>
        <v>1</v>
      </c>
      <c r="T331" s="126">
        <f t="shared" si="117"/>
        <v>18</v>
      </c>
      <c r="U331" s="126">
        <f t="shared" ref="U331:U332" si="125">SUM(L331:Q331)</f>
        <v>1277.0000001600001</v>
      </c>
      <c r="W331" s="126">
        <f t="shared" si="118"/>
        <v>270</v>
      </c>
      <c r="X331" s="126">
        <f t="shared" si="119"/>
        <v>262.00000008000001</v>
      </c>
    </row>
    <row r="332" spans="1:24">
      <c r="A332" s="22">
        <f>'Stats 2022'!D58</f>
        <v>44848</v>
      </c>
      <c r="B332" s="128">
        <f>'Stats 2022'!E58</f>
        <v>0</v>
      </c>
      <c r="C332" s="128">
        <f>'Stats 2022'!F58</f>
        <v>1</v>
      </c>
      <c r="D332" s="128">
        <f>'Stats 2022'!G58</f>
        <v>1</v>
      </c>
      <c r="E332" s="128">
        <v>0</v>
      </c>
      <c r="F332" s="128">
        <f>'Stats 2022'!I58</f>
        <v>1</v>
      </c>
      <c r="G332" s="128">
        <f>'Stats 2022'!J58</f>
        <v>1</v>
      </c>
      <c r="K332" s="86">
        <v>44848</v>
      </c>
      <c r="L332" s="126">
        <f t="shared" si="111"/>
        <v>244.00000008000001</v>
      </c>
      <c r="M332" s="126">
        <f t="shared" si="112"/>
        <v>121.00000008000001</v>
      </c>
      <c r="N332" s="126">
        <f t="shared" si="113"/>
        <v>250</v>
      </c>
      <c r="O332" s="126">
        <f t="shared" si="114"/>
        <v>142</v>
      </c>
      <c r="P332" s="126">
        <f t="shared" si="115"/>
        <v>253</v>
      </c>
      <c r="Q332" s="126">
        <f t="shared" si="116"/>
        <v>271</v>
      </c>
      <c r="R332" s="126">
        <f t="shared" si="123"/>
        <v>18</v>
      </c>
      <c r="S332" s="1">
        <f t="shared" si="124"/>
        <v>1</v>
      </c>
      <c r="T332" s="126">
        <f t="shared" si="117"/>
        <v>18</v>
      </c>
      <c r="U332" s="126">
        <f t="shared" si="125"/>
        <v>1281.0000001600001</v>
      </c>
      <c r="W332" s="126">
        <f t="shared" si="118"/>
        <v>271</v>
      </c>
      <c r="X332" s="126">
        <f t="shared" si="119"/>
        <v>263.00000008000001</v>
      </c>
    </row>
    <row r="333" spans="1:24">
      <c r="A333" s="22">
        <f>'Stats 2022'!D60</f>
        <v>44855</v>
      </c>
      <c r="B333" s="128">
        <f>'Stats 2022'!E60</f>
        <v>1</v>
      </c>
      <c r="C333" s="128">
        <f>'Stats 2022'!F60</f>
        <v>0</v>
      </c>
      <c r="D333" s="128">
        <v>1</v>
      </c>
      <c r="E333" s="128">
        <v>0</v>
      </c>
      <c r="F333" s="128">
        <f>'Stats 2022'!I60</f>
        <v>1</v>
      </c>
      <c r="G333" s="128">
        <f>'Stats 2022'!J60</f>
        <v>1</v>
      </c>
      <c r="K333" s="86">
        <v>44855</v>
      </c>
      <c r="L333" s="126">
        <f t="shared" si="111"/>
        <v>245.00000008000001</v>
      </c>
      <c r="M333" s="126">
        <f t="shared" si="112"/>
        <v>121.00000008000001</v>
      </c>
      <c r="N333" s="126">
        <f t="shared" si="113"/>
        <v>251</v>
      </c>
      <c r="O333" s="126">
        <f t="shared" si="114"/>
        <v>142</v>
      </c>
      <c r="P333" s="126">
        <f t="shared" si="115"/>
        <v>254</v>
      </c>
      <c r="Q333" s="126">
        <f t="shared" si="116"/>
        <v>272</v>
      </c>
      <c r="R333" s="126">
        <f t="shared" ref="R333:R338" si="126">Q333-MAX(L333:P333)</f>
        <v>18</v>
      </c>
      <c r="S333" s="1">
        <f t="shared" ref="S333:S338" si="127">IF(Q333&gt;L333,1,0)</f>
        <v>1</v>
      </c>
      <c r="T333" s="126">
        <f t="shared" si="117"/>
        <v>18</v>
      </c>
      <c r="U333" s="126">
        <f t="shared" ref="U333:U338" si="128">SUM(L333:Q333)</f>
        <v>1285.0000001600001</v>
      </c>
      <c r="W333" s="126">
        <f t="shared" si="118"/>
        <v>272</v>
      </c>
      <c r="X333" s="126">
        <f t="shared" si="119"/>
        <v>263.00000008000001</v>
      </c>
    </row>
    <row r="334" spans="1:24">
      <c r="A334" s="22">
        <f>'Stats 2022'!D62</f>
        <v>44862</v>
      </c>
      <c r="B334" s="128">
        <f>'Stats 2022'!E62</f>
        <v>1</v>
      </c>
      <c r="C334" s="128">
        <f>'Stats 2022'!F62</f>
        <v>1</v>
      </c>
      <c r="D334" s="128">
        <f>'Stats 2022'!G62</f>
        <v>0</v>
      </c>
      <c r="E334" s="128">
        <v>0</v>
      </c>
      <c r="F334" s="128">
        <f>'Stats 2022'!I62</f>
        <v>1</v>
      </c>
      <c r="G334" s="128">
        <f>'Stats 2022'!J62</f>
        <v>1</v>
      </c>
      <c r="K334" s="86">
        <v>44862</v>
      </c>
      <c r="L334" s="126">
        <f t="shared" si="111"/>
        <v>246.00000008000001</v>
      </c>
      <c r="M334" s="126">
        <f t="shared" si="112"/>
        <v>122.00000008000001</v>
      </c>
      <c r="N334" s="126">
        <f t="shared" si="113"/>
        <v>251</v>
      </c>
      <c r="O334" s="126">
        <f t="shared" si="114"/>
        <v>142</v>
      </c>
      <c r="P334" s="126">
        <f t="shared" si="115"/>
        <v>255</v>
      </c>
      <c r="Q334" s="126">
        <f t="shared" si="116"/>
        <v>273</v>
      </c>
      <c r="R334" s="126">
        <f t="shared" si="126"/>
        <v>18</v>
      </c>
      <c r="S334" s="1">
        <f t="shared" si="127"/>
        <v>1</v>
      </c>
      <c r="T334" s="126">
        <f t="shared" si="117"/>
        <v>18</v>
      </c>
      <c r="U334" s="126">
        <f t="shared" si="128"/>
        <v>1289.0000001600001</v>
      </c>
      <c r="W334" s="126">
        <f t="shared" si="118"/>
        <v>273</v>
      </c>
      <c r="X334" s="126">
        <f t="shared" si="119"/>
        <v>264.00000008000001</v>
      </c>
    </row>
    <row r="335" spans="1:24">
      <c r="A335" s="22">
        <f>'Stats 2022'!D63</f>
        <v>44869</v>
      </c>
      <c r="B335" s="128">
        <f>'Stats 2022'!E63</f>
        <v>0</v>
      </c>
      <c r="C335" s="128">
        <f>'Stats 2022'!F63</f>
        <v>1</v>
      </c>
      <c r="D335" s="128">
        <f>'Stats 2022'!G63</f>
        <v>0</v>
      </c>
      <c r="E335" s="128">
        <v>0</v>
      </c>
      <c r="F335" s="128">
        <f>'Stats 2022'!I63</f>
        <v>1</v>
      </c>
      <c r="G335" s="128">
        <f>'Stats 2022'!J63</f>
        <v>1</v>
      </c>
      <c r="K335" s="86">
        <v>44869</v>
      </c>
      <c r="L335" s="126">
        <f t="shared" si="111"/>
        <v>246.00000008000001</v>
      </c>
      <c r="M335" s="126">
        <f t="shared" si="112"/>
        <v>123.00000008000001</v>
      </c>
      <c r="N335" s="126">
        <f t="shared" si="113"/>
        <v>251</v>
      </c>
      <c r="O335" s="126">
        <f t="shared" si="114"/>
        <v>142</v>
      </c>
      <c r="P335" s="126">
        <f t="shared" si="115"/>
        <v>256</v>
      </c>
      <c r="Q335" s="126">
        <f t="shared" si="116"/>
        <v>274</v>
      </c>
      <c r="R335" s="126">
        <f t="shared" si="126"/>
        <v>18</v>
      </c>
      <c r="S335" s="1">
        <f t="shared" si="127"/>
        <v>1</v>
      </c>
      <c r="T335" s="126">
        <f t="shared" si="117"/>
        <v>18</v>
      </c>
      <c r="U335" s="126">
        <f t="shared" si="128"/>
        <v>1292.0000001600001</v>
      </c>
      <c r="W335" s="126">
        <f t="shared" si="118"/>
        <v>274</v>
      </c>
      <c r="X335" s="126">
        <f t="shared" si="119"/>
        <v>265.00000008000001</v>
      </c>
    </row>
    <row r="336" spans="1:24">
      <c r="A336" s="22">
        <f>'Stats 2022'!D64</f>
        <v>44876</v>
      </c>
      <c r="B336" s="128">
        <f>'Stats 2022'!E64</f>
        <v>1</v>
      </c>
      <c r="C336" s="128">
        <f>'Stats 2022'!F64</f>
        <v>1</v>
      </c>
      <c r="D336" s="128">
        <f>'Stats 2022'!G64</f>
        <v>0</v>
      </c>
      <c r="E336" s="128">
        <v>0</v>
      </c>
      <c r="F336" s="128">
        <f>'Stats 2022'!I64</f>
        <v>1</v>
      </c>
      <c r="G336" s="128">
        <f>'Stats 2022'!J64</f>
        <v>0</v>
      </c>
      <c r="K336" s="86">
        <v>44876</v>
      </c>
      <c r="L336" s="126">
        <f t="shared" si="111"/>
        <v>247.00000008000001</v>
      </c>
      <c r="M336" s="126">
        <f t="shared" si="112"/>
        <v>124.00000008000001</v>
      </c>
      <c r="N336" s="126">
        <f t="shared" si="113"/>
        <v>251</v>
      </c>
      <c r="O336" s="126">
        <f t="shared" si="114"/>
        <v>142</v>
      </c>
      <c r="P336" s="126">
        <f t="shared" si="115"/>
        <v>257</v>
      </c>
      <c r="Q336" s="126">
        <f t="shared" si="116"/>
        <v>274</v>
      </c>
      <c r="R336" s="126">
        <f t="shared" si="126"/>
        <v>17</v>
      </c>
      <c r="S336" s="1">
        <f t="shared" si="127"/>
        <v>1</v>
      </c>
      <c r="T336" s="126">
        <f t="shared" si="117"/>
        <v>17</v>
      </c>
      <c r="U336" s="126">
        <f t="shared" si="128"/>
        <v>1295.0000001600001</v>
      </c>
      <c r="W336" s="126">
        <f t="shared" si="118"/>
        <v>274</v>
      </c>
      <c r="X336" s="126">
        <f t="shared" si="119"/>
        <v>266.00000008000001</v>
      </c>
    </row>
    <row r="337" spans="1:24">
      <c r="A337" s="22">
        <f>'Stats 2022'!D65</f>
        <v>44883</v>
      </c>
      <c r="B337" s="128">
        <f>'Stats 2022'!E65</f>
        <v>0</v>
      </c>
      <c r="C337" s="128">
        <f>'Stats 2022'!F65</f>
        <v>1</v>
      </c>
      <c r="D337" s="128">
        <f>'Stats 2022'!G65</f>
        <v>0</v>
      </c>
      <c r="E337" s="128">
        <v>0</v>
      </c>
      <c r="F337" s="128">
        <f>'Stats 2022'!I65</f>
        <v>0</v>
      </c>
      <c r="G337" s="128">
        <f>'Stats 2022'!J65</f>
        <v>1</v>
      </c>
      <c r="K337" s="86">
        <v>44883</v>
      </c>
      <c r="L337" s="126">
        <f t="shared" si="111"/>
        <v>247.00000008000001</v>
      </c>
      <c r="M337" s="126">
        <f t="shared" si="112"/>
        <v>125.00000008000001</v>
      </c>
      <c r="N337" s="126">
        <f t="shared" si="113"/>
        <v>251</v>
      </c>
      <c r="O337" s="126">
        <f t="shared" si="114"/>
        <v>142</v>
      </c>
      <c r="P337" s="126">
        <f t="shared" si="115"/>
        <v>257</v>
      </c>
      <c r="Q337" s="126">
        <f t="shared" si="116"/>
        <v>275</v>
      </c>
      <c r="R337" s="126">
        <f t="shared" si="126"/>
        <v>18</v>
      </c>
      <c r="S337" s="1">
        <f t="shared" si="127"/>
        <v>1</v>
      </c>
      <c r="T337" s="126">
        <f t="shared" si="117"/>
        <v>18</v>
      </c>
      <c r="U337" s="126">
        <f t="shared" si="128"/>
        <v>1297.0000001600001</v>
      </c>
      <c r="W337" s="126">
        <f t="shared" si="118"/>
        <v>275</v>
      </c>
      <c r="X337" s="126">
        <f t="shared" si="119"/>
        <v>267.00000008000001</v>
      </c>
    </row>
    <row r="338" spans="1:24">
      <c r="A338" s="22">
        <f>'Stats 2022'!D67</f>
        <v>44890</v>
      </c>
      <c r="B338" s="128">
        <f>'Stats 2022'!E67</f>
        <v>0</v>
      </c>
      <c r="C338" s="128">
        <f>'Stats 2022'!F67</f>
        <v>1</v>
      </c>
      <c r="D338" s="128">
        <f>'Stats 2022'!G67</f>
        <v>0</v>
      </c>
      <c r="E338" s="128">
        <v>0</v>
      </c>
      <c r="F338" s="128">
        <f>'Stats 2022'!I67</f>
        <v>1</v>
      </c>
      <c r="G338" s="128">
        <f>'Stats 2022'!J67</f>
        <v>1</v>
      </c>
      <c r="K338" s="86">
        <v>44890</v>
      </c>
      <c r="L338" s="126">
        <f t="shared" si="111"/>
        <v>247.00000008000001</v>
      </c>
      <c r="M338" s="126">
        <f t="shared" si="112"/>
        <v>126.00000008000001</v>
      </c>
      <c r="N338" s="126">
        <f t="shared" si="113"/>
        <v>251</v>
      </c>
      <c r="O338" s="126">
        <f t="shared" si="114"/>
        <v>142</v>
      </c>
      <c r="P338" s="126">
        <f t="shared" si="115"/>
        <v>258</v>
      </c>
      <c r="Q338" s="126">
        <f t="shared" si="116"/>
        <v>276</v>
      </c>
      <c r="R338" s="126">
        <f t="shared" si="126"/>
        <v>18</v>
      </c>
      <c r="S338" s="1">
        <f t="shared" si="127"/>
        <v>1</v>
      </c>
      <c r="T338" s="126">
        <f t="shared" si="117"/>
        <v>18</v>
      </c>
      <c r="U338" s="126">
        <f t="shared" si="128"/>
        <v>1300.0000001600001</v>
      </c>
      <c r="W338" s="126">
        <f t="shared" si="118"/>
        <v>276</v>
      </c>
      <c r="X338" s="126">
        <f t="shared" si="119"/>
        <v>268.00000008000001</v>
      </c>
    </row>
    <row r="339" spans="1:24">
      <c r="A339" s="22">
        <f>'Stats 2022'!D69</f>
        <v>44897</v>
      </c>
      <c r="B339" s="128">
        <f>'Stats 2022'!E69</f>
        <v>0</v>
      </c>
      <c r="C339" s="128">
        <f>'Stats 2022'!F69</f>
        <v>0</v>
      </c>
      <c r="D339" s="128">
        <f>'Stats 2022'!G69</f>
        <v>0</v>
      </c>
      <c r="E339" s="128">
        <v>0</v>
      </c>
      <c r="F339" s="128">
        <f>'Stats 2022'!I69</f>
        <v>0</v>
      </c>
      <c r="G339" s="128">
        <f>'Stats 2022'!J69</f>
        <v>1</v>
      </c>
      <c r="K339" s="86">
        <v>44897</v>
      </c>
      <c r="L339" s="126">
        <f t="shared" si="111"/>
        <v>247.00000008000001</v>
      </c>
      <c r="M339" s="126">
        <f t="shared" si="112"/>
        <v>126.00000008000001</v>
      </c>
      <c r="N339" s="126">
        <f t="shared" si="113"/>
        <v>251</v>
      </c>
      <c r="O339" s="126">
        <f t="shared" si="114"/>
        <v>142</v>
      </c>
      <c r="P339" s="126">
        <f t="shared" si="115"/>
        <v>258</v>
      </c>
      <c r="Q339" s="126">
        <f t="shared" si="116"/>
        <v>277</v>
      </c>
      <c r="R339" s="126">
        <f t="shared" ref="R339:R343" si="129">Q339-MAX(L339:P339)</f>
        <v>19</v>
      </c>
      <c r="S339" s="1">
        <f t="shared" ref="S339:S343" si="130">IF(Q339&gt;L339,1,0)</f>
        <v>1</v>
      </c>
      <c r="T339" s="126">
        <f t="shared" si="117"/>
        <v>19</v>
      </c>
      <c r="U339" s="126">
        <f t="shared" ref="U339:U343" si="131">SUM(L339:Q339)</f>
        <v>1301.0000001600001</v>
      </c>
      <c r="W339" s="126">
        <f t="shared" si="118"/>
        <v>277</v>
      </c>
      <c r="X339" s="126">
        <f t="shared" si="119"/>
        <v>268.00000008000001</v>
      </c>
    </row>
    <row r="340" spans="1:24">
      <c r="A340" s="22">
        <f>'Stats 2022'!D70</f>
        <v>44904</v>
      </c>
      <c r="B340" s="128">
        <f>'Stats 2022'!E70</f>
        <v>1</v>
      </c>
      <c r="C340" s="128">
        <f>'Stats 2022'!F70</f>
        <v>0</v>
      </c>
      <c r="D340" s="128">
        <f>'Stats 2022'!G70</f>
        <v>1</v>
      </c>
      <c r="E340" s="128">
        <v>0</v>
      </c>
      <c r="F340" s="128">
        <f>'Stats 2022'!I70</f>
        <v>0</v>
      </c>
      <c r="G340" s="128">
        <f>'Stats 2022'!J70</f>
        <v>1</v>
      </c>
      <c r="K340" s="86">
        <v>44904</v>
      </c>
      <c r="L340" s="126">
        <f t="shared" si="111"/>
        <v>248.00000008000001</v>
      </c>
      <c r="M340" s="126">
        <f t="shared" si="112"/>
        <v>126.00000008000001</v>
      </c>
      <c r="N340" s="126">
        <f t="shared" si="113"/>
        <v>252</v>
      </c>
      <c r="O340" s="126">
        <f t="shared" si="114"/>
        <v>142</v>
      </c>
      <c r="P340" s="126">
        <f t="shared" si="115"/>
        <v>258</v>
      </c>
      <c r="Q340" s="126">
        <f t="shared" si="116"/>
        <v>278</v>
      </c>
      <c r="R340" s="126">
        <f t="shared" si="129"/>
        <v>20</v>
      </c>
      <c r="S340" s="1">
        <f t="shared" si="130"/>
        <v>1</v>
      </c>
      <c r="T340" s="227">
        <f t="shared" si="117"/>
        <v>20</v>
      </c>
      <c r="U340" s="126">
        <f t="shared" si="131"/>
        <v>1304.0000001600001</v>
      </c>
      <c r="W340" s="126">
        <f t="shared" si="118"/>
        <v>278</v>
      </c>
      <c r="X340" s="126">
        <f t="shared" si="119"/>
        <v>268.00000008000001</v>
      </c>
    </row>
    <row r="341" spans="1:24">
      <c r="A341" s="22">
        <f>'Stats 2022'!D71</f>
        <v>44911</v>
      </c>
      <c r="B341" s="128">
        <f>'Stats 2022'!E71</f>
        <v>0</v>
      </c>
      <c r="C341" s="128">
        <f>'Stats 2022'!F71</f>
        <v>0</v>
      </c>
      <c r="D341" s="128">
        <f>'Stats 2022'!G71</f>
        <v>0</v>
      </c>
      <c r="E341" s="128">
        <v>0</v>
      </c>
      <c r="F341" s="128">
        <f>'Stats 2022'!I71</f>
        <v>1</v>
      </c>
      <c r="G341" s="128">
        <f>'Stats 2022'!J71</f>
        <v>1</v>
      </c>
      <c r="K341" s="86">
        <v>44911</v>
      </c>
      <c r="L341" s="126">
        <f t="shared" si="111"/>
        <v>248.00000008000001</v>
      </c>
      <c r="M341" s="126">
        <f t="shared" si="112"/>
        <v>126.00000008000001</v>
      </c>
      <c r="N341" s="126">
        <f t="shared" si="113"/>
        <v>252</v>
      </c>
      <c r="O341" s="126">
        <f t="shared" si="114"/>
        <v>142</v>
      </c>
      <c r="P341" s="126">
        <f t="shared" si="115"/>
        <v>259</v>
      </c>
      <c r="Q341" s="126">
        <f t="shared" si="116"/>
        <v>279</v>
      </c>
      <c r="R341" s="126">
        <f t="shared" si="129"/>
        <v>20</v>
      </c>
      <c r="S341" s="1">
        <f t="shared" si="130"/>
        <v>1</v>
      </c>
      <c r="T341" s="227">
        <f t="shared" si="117"/>
        <v>20</v>
      </c>
      <c r="U341" s="126">
        <f t="shared" si="131"/>
        <v>1306.0000001600001</v>
      </c>
      <c r="W341" s="126">
        <f t="shared" si="118"/>
        <v>279</v>
      </c>
      <c r="X341" s="126">
        <f t="shared" si="119"/>
        <v>268.00000008000001</v>
      </c>
    </row>
    <row r="342" spans="1:24">
      <c r="A342" s="22">
        <f>'Stats 2022'!D72</f>
        <v>44918</v>
      </c>
      <c r="B342" s="128">
        <f>'Stats 2022'!E72</f>
        <v>1</v>
      </c>
      <c r="C342" s="128">
        <f>'Stats 2022'!F72</f>
        <v>1</v>
      </c>
      <c r="D342" s="128">
        <f>'Stats 2022'!G72</f>
        <v>1</v>
      </c>
      <c r="E342" s="128">
        <v>0</v>
      </c>
      <c r="F342" s="128">
        <f>'Stats 2022'!I72</f>
        <v>1</v>
      </c>
      <c r="G342" s="128">
        <f>'Stats 2022'!J72</f>
        <v>1</v>
      </c>
      <c r="K342" s="86">
        <v>44918</v>
      </c>
      <c r="L342" s="126">
        <f t="shared" si="111"/>
        <v>249.00000008000001</v>
      </c>
      <c r="M342" s="126">
        <f t="shared" si="112"/>
        <v>127.00000008000001</v>
      </c>
      <c r="N342" s="126">
        <f t="shared" si="113"/>
        <v>253</v>
      </c>
      <c r="O342" s="126">
        <f t="shared" si="114"/>
        <v>142</v>
      </c>
      <c r="P342" s="126">
        <f t="shared" si="115"/>
        <v>260</v>
      </c>
      <c r="Q342" s="126">
        <f t="shared" si="116"/>
        <v>280</v>
      </c>
      <c r="R342" s="126">
        <f t="shared" si="129"/>
        <v>20</v>
      </c>
      <c r="S342" s="1">
        <f t="shared" si="130"/>
        <v>1</v>
      </c>
      <c r="T342" s="227">
        <f t="shared" si="117"/>
        <v>20</v>
      </c>
      <c r="U342" s="126">
        <f t="shared" si="131"/>
        <v>1311.0000001600001</v>
      </c>
      <c r="W342" s="126">
        <f t="shared" si="118"/>
        <v>280</v>
      </c>
      <c r="X342" s="126">
        <f t="shared" si="119"/>
        <v>269.00000008000001</v>
      </c>
    </row>
    <row r="343" spans="1:24">
      <c r="A343" s="22">
        <f>'Stats 2022'!D74</f>
        <v>44925</v>
      </c>
      <c r="B343" s="128">
        <f>'Stats 2022'!E74</f>
        <v>0</v>
      </c>
      <c r="C343" s="128">
        <f>'Stats 2022'!F74</f>
        <v>0</v>
      </c>
      <c r="D343" s="128">
        <f>'Stats 2022'!G74</f>
        <v>0</v>
      </c>
      <c r="E343" s="128">
        <v>0</v>
      </c>
      <c r="F343" s="128">
        <f>'Stats 2022'!I74</f>
        <v>1</v>
      </c>
      <c r="G343" s="128">
        <f>'Stats 2022'!J74</f>
        <v>0</v>
      </c>
      <c r="K343" s="86">
        <v>44925</v>
      </c>
      <c r="L343" s="126">
        <f t="shared" si="111"/>
        <v>249.00000008000001</v>
      </c>
      <c r="M343" s="126">
        <f t="shared" si="112"/>
        <v>127.00000008000001</v>
      </c>
      <c r="N343" s="126">
        <f t="shared" si="113"/>
        <v>253</v>
      </c>
      <c r="O343" s="126">
        <f t="shared" si="114"/>
        <v>142</v>
      </c>
      <c r="P343" s="126">
        <f t="shared" si="115"/>
        <v>261</v>
      </c>
      <c r="Q343" s="126">
        <f t="shared" si="116"/>
        <v>280</v>
      </c>
      <c r="R343" s="126">
        <f t="shared" si="129"/>
        <v>19</v>
      </c>
      <c r="S343" s="1">
        <f t="shared" si="130"/>
        <v>1</v>
      </c>
      <c r="T343" s="126">
        <f t="shared" si="117"/>
        <v>19</v>
      </c>
      <c r="U343" s="126">
        <f t="shared" si="131"/>
        <v>1312.0000001600001</v>
      </c>
      <c r="W343" s="126">
        <f t="shared" si="118"/>
        <v>280</v>
      </c>
      <c r="X343" s="126">
        <f t="shared" si="119"/>
        <v>269.00000008000001</v>
      </c>
    </row>
    <row r="344" spans="1:24">
      <c r="A344" s="22">
        <f>'Stats 2022'!D75</f>
        <v>44932</v>
      </c>
      <c r="B344" s="128">
        <f>'Stats 2022'!E75</f>
        <v>1</v>
      </c>
      <c r="C344" s="128">
        <f>'Stats 2022'!F75</f>
        <v>0</v>
      </c>
      <c r="D344" s="128">
        <f>'Stats 2022'!G75</f>
        <v>1</v>
      </c>
      <c r="E344" s="128">
        <v>0</v>
      </c>
      <c r="F344" s="128">
        <f>'Stats 2022'!I75</f>
        <v>1</v>
      </c>
      <c r="G344" s="128">
        <f>'Stats 2022'!J75</f>
        <v>1</v>
      </c>
      <c r="K344" s="86">
        <v>44932</v>
      </c>
      <c r="L344" s="126">
        <f t="shared" si="111"/>
        <v>250.00000008000001</v>
      </c>
      <c r="M344" s="126">
        <f t="shared" si="112"/>
        <v>127.00000008000001</v>
      </c>
      <c r="N344" s="126">
        <f t="shared" si="113"/>
        <v>254</v>
      </c>
      <c r="O344" s="126">
        <f t="shared" si="114"/>
        <v>142</v>
      </c>
      <c r="P344" s="126">
        <f t="shared" si="115"/>
        <v>262</v>
      </c>
      <c r="Q344" s="126">
        <f t="shared" si="116"/>
        <v>281</v>
      </c>
      <c r="R344" s="126">
        <f t="shared" ref="R344:R346" si="132">Q344-MAX(L344:P344)</f>
        <v>19</v>
      </c>
      <c r="S344" s="1">
        <f t="shared" ref="S344:S346" si="133">IF(Q344&gt;L344,1,0)</f>
        <v>1</v>
      </c>
      <c r="T344" s="126">
        <f t="shared" si="117"/>
        <v>19</v>
      </c>
      <c r="U344" s="126">
        <f t="shared" ref="U344:U346" si="134">SUM(L344:Q344)</f>
        <v>1316.0000001600001</v>
      </c>
      <c r="W344" s="126">
        <f t="shared" si="118"/>
        <v>281</v>
      </c>
      <c r="X344" s="126">
        <f t="shared" si="119"/>
        <v>269.00000008000001</v>
      </c>
    </row>
    <row r="345" spans="1:24">
      <c r="A345" s="22">
        <f>'Stats 2022'!D76</f>
        <v>44939</v>
      </c>
      <c r="B345" s="128">
        <f>'Stats 2022'!E76</f>
        <v>0</v>
      </c>
      <c r="C345" s="128">
        <f>'Stats 2022'!F76</f>
        <v>1</v>
      </c>
      <c r="D345" s="128">
        <f>'Stats 2022'!G76</f>
        <v>1</v>
      </c>
      <c r="E345" s="128">
        <v>0</v>
      </c>
      <c r="F345" s="128">
        <f>'Stats 2022'!I76</f>
        <v>1</v>
      </c>
      <c r="G345" s="128">
        <f>'Stats 2022'!J76</f>
        <v>0</v>
      </c>
      <c r="K345" s="86">
        <v>44939</v>
      </c>
      <c r="L345" s="126">
        <f t="shared" si="111"/>
        <v>250.00000008000001</v>
      </c>
      <c r="M345" s="126">
        <f t="shared" si="112"/>
        <v>128.00000008000001</v>
      </c>
      <c r="N345" s="126">
        <f t="shared" si="113"/>
        <v>255</v>
      </c>
      <c r="O345" s="126">
        <f t="shared" si="114"/>
        <v>142</v>
      </c>
      <c r="P345" s="126">
        <f t="shared" si="115"/>
        <v>263</v>
      </c>
      <c r="Q345" s="126">
        <f t="shared" si="116"/>
        <v>281</v>
      </c>
      <c r="R345" s="126">
        <f t="shared" si="132"/>
        <v>18</v>
      </c>
      <c r="S345" s="1">
        <f t="shared" si="133"/>
        <v>1</v>
      </c>
      <c r="T345" s="126">
        <f t="shared" si="117"/>
        <v>18</v>
      </c>
      <c r="U345" s="126">
        <f t="shared" si="134"/>
        <v>1319.0000001600001</v>
      </c>
      <c r="W345" s="126">
        <f t="shared" si="118"/>
        <v>281</v>
      </c>
      <c r="X345" s="126">
        <f t="shared" si="119"/>
        <v>270.00000008000001</v>
      </c>
    </row>
    <row r="346" spans="1:24">
      <c r="A346" s="22">
        <f>'Stats 2022'!D77</f>
        <v>44946</v>
      </c>
      <c r="B346" s="128">
        <f>'Stats 2022'!E77</f>
        <v>0</v>
      </c>
      <c r="C346" s="128">
        <f>'Stats 2022'!F77</f>
        <v>0</v>
      </c>
      <c r="D346" s="128">
        <f>'Stats 2022'!G77</f>
        <v>1</v>
      </c>
      <c r="E346" s="128">
        <v>0</v>
      </c>
      <c r="F346" s="128">
        <f>'Stats 2022'!I77</f>
        <v>1</v>
      </c>
      <c r="G346" s="128">
        <f>'Stats 2022'!J77</f>
        <v>0</v>
      </c>
      <c r="K346" s="86">
        <v>44946</v>
      </c>
      <c r="L346" s="126">
        <f t="shared" si="111"/>
        <v>250.00000008000001</v>
      </c>
      <c r="M346" s="126">
        <f t="shared" si="112"/>
        <v>128.00000008000001</v>
      </c>
      <c r="N346" s="126">
        <f t="shared" si="113"/>
        <v>256</v>
      </c>
      <c r="O346" s="126">
        <f t="shared" si="114"/>
        <v>142</v>
      </c>
      <c r="P346" s="126">
        <f t="shared" si="115"/>
        <v>264</v>
      </c>
      <c r="Q346" s="126">
        <f t="shared" si="116"/>
        <v>281</v>
      </c>
      <c r="R346" s="126">
        <f t="shared" si="132"/>
        <v>17</v>
      </c>
      <c r="S346" s="1">
        <f t="shared" si="133"/>
        <v>1</v>
      </c>
      <c r="T346" s="126">
        <f t="shared" si="117"/>
        <v>17</v>
      </c>
      <c r="U346" s="126">
        <f t="shared" si="134"/>
        <v>1321.0000001600001</v>
      </c>
      <c r="W346" s="126">
        <f t="shared" si="118"/>
        <v>281</v>
      </c>
      <c r="X346" s="126">
        <f t="shared" si="119"/>
        <v>270.00000008000001</v>
      </c>
    </row>
    <row r="347" spans="1:24">
      <c r="A347" s="22">
        <f>'Stats 2022'!D78</f>
        <v>44953</v>
      </c>
      <c r="B347" s="128">
        <f>'Stats 2022'!E78</f>
        <v>0</v>
      </c>
      <c r="C347" s="128">
        <f>'Stats 2022'!F78</f>
        <v>1</v>
      </c>
      <c r="D347" s="128">
        <f>'Stats 2022'!G78</f>
        <v>1</v>
      </c>
      <c r="E347" s="128">
        <v>1</v>
      </c>
      <c r="F347" s="128">
        <f>'Stats 2022'!I78</f>
        <v>1</v>
      </c>
      <c r="G347" s="128">
        <f>'Stats 2022'!J78</f>
        <v>0</v>
      </c>
      <c r="K347" s="86">
        <v>44953</v>
      </c>
      <c r="L347" s="126">
        <f t="shared" si="111"/>
        <v>250.00000008000001</v>
      </c>
      <c r="M347" s="126">
        <f t="shared" si="112"/>
        <v>129.00000008000001</v>
      </c>
      <c r="N347" s="126">
        <f t="shared" si="113"/>
        <v>257</v>
      </c>
      <c r="O347" s="126">
        <f t="shared" si="114"/>
        <v>143</v>
      </c>
      <c r="P347" s="126">
        <f t="shared" si="115"/>
        <v>265</v>
      </c>
      <c r="Q347" s="126">
        <f t="shared" si="116"/>
        <v>281</v>
      </c>
      <c r="R347" s="126">
        <f t="shared" ref="R347:R349" si="135">Q347-MAX(L347:P347)</f>
        <v>16</v>
      </c>
      <c r="S347" s="1">
        <f t="shared" ref="S347:S349" si="136">IF(Q347&gt;L347,1,0)</f>
        <v>1</v>
      </c>
      <c r="T347" s="126">
        <f t="shared" si="117"/>
        <v>16</v>
      </c>
      <c r="U347" s="126">
        <f t="shared" ref="U347:U349" si="137">SUM(L347:Q347)</f>
        <v>1325.0000001600001</v>
      </c>
      <c r="W347" s="126">
        <f t="shared" si="118"/>
        <v>281</v>
      </c>
      <c r="X347" s="126">
        <f t="shared" si="119"/>
        <v>272.00000008000001</v>
      </c>
    </row>
    <row r="348" spans="1:24">
      <c r="A348" s="22">
        <f>'Stats 2022'!D79</f>
        <v>44960</v>
      </c>
      <c r="B348" s="128">
        <f>'Stats 2022'!E79</f>
        <v>1</v>
      </c>
      <c r="C348" s="128">
        <f>'Stats 2022'!F79</f>
        <v>0</v>
      </c>
      <c r="D348" s="128">
        <f>'Stats 2022'!G79</f>
        <v>0</v>
      </c>
      <c r="E348" s="128">
        <v>1</v>
      </c>
      <c r="F348" s="128">
        <f>'Stats 2022'!I79</f>
        <v>1</v>
      </c>
      <c r="G348" s="128">
        <f>'Stats 2022'!J79</f>
        <v>1</v>
      </c>
      <c r="K348" s="86">
        <v>44960</v>
      </c>
      <c r="L348" s="126">
        <f t="shared" si="111"/>
        <v>251.00000008000001</v>
      </c>
      <c r="M348" s="126">
        <f t="shared" si="112"/>
        <v>129.00000008000001</v>
      </c>
      <c r="N348" s="126">
        <f t="shared" si="113"/>
        <v>257</v>
      </c>
      <c r="O348" s="126">
        <f t="shared" si="114"/>
        <v>144</v>
      </c>
      <c r="P348" s="126">
        <f t="shared" si="115"/>
        <v>266</v>
      </c>
      <c r="Q348" s="126">
        <f t="shared" si="116"/>
        <v>282</v>
      </c>
      <c r="R348" s="126">
        <f t="shared" si="135"/>
        <v>16</v>
      </c>
      <c r="S348" s="1">
        <f t="shared" si="136"/>
        <v>1</v>
      </c>
      <c r="T348" s="126">
        <f t="shared" si="117"/>
        <v>16</v>
      </c>
      <c r="U348" s="126">
        <f t="shared" si="137"/>
        <v>1329.0000001600001</v>
      </c>
      <c r="W348" s="126">
        <f t="shared" si="118"/>
        <v>282</v>
      </c>
      <c r="X348" s="126">
        <f t="shared" si="119"/>
        <v>273.00000008000001</v>
      </c>
    </row>
    <row r="349" spans="1:24">
      <c r="A349" s="22">
        <v>44967</v>
      </c>
      <c r="B349" s="128">
        <v>0</v>
      </c>
      <c r="C349" s="128">
        <v>0</v>
      </c>
      <c r="D349" s="128">
        <v>1</v>
      </c>
      <c r="E349" s="128">
        <v>0</v>
      </c>
      <c r="F349" s="128">
        <v>1</v>
      </c>
      <c r="G349" s="128">
        <v>1</v>
      </c>
      <c r="K349" s="86">
        <v>44967</v>
      </c>
      <c r="L349" s="126">
        <f t="shared" si="111"/>
        <v>251.00000008000001</v>
      </c>
      <c r="M349" s="126">
        <f t="shared" si="112"/>
        <v>129.00000008000001</v>
      </c>
      <c r="N349" s="126">
        <f t="shared" si="113"/>
        <v>258</v>
      </c>
      <c r="O349" s="126">
        <f t="shared" si="114"/>
        <v>144</v>
      </c>
      <c r="P349" s="126">
        <f t="shared" si="115"/>
        <v>267</v>
      </c>
      <c r="Q349" s="126">
        <f t="shared" si="116"/>
        <v>283</v>
      </c>
      <c r="R349" s="126">
        <f t="shared" si="135"/>
        <v>16</v>
      </c>
      <c r="S349" s="1">
        <f t="shared" si="136"/>
        <v>1</v>
      </c>
      <c r="T349" s="126">
        <f t="shared" si="117"/>
        <v>16</v>
      </c>
      <c r="U349" s="126">
        <f t="shared" si="137"/>
        <v>1332.0000001600001</v>
      </c>
      <c r="W349" s="126">
        <f t="shared" ref="W349:W361" si="138">Q349</f>
        <v>283</v>
      </c>
      <c r="X349" s="126">
        <f t="shared" ref="X349:X361" si="139">M349+O349</f>
        <v>273.00000008000001</v>
      </c>
    </row>
    <row r="350" spans="1:24">
      <c r="A350" s="22">
        <v>44974</v>
      </c>
      <c r="B350" s="128">
        <v>0</v>
      </c>
      <c r="C350" s="128">
        <v>1</v>
      </c>
      <c r="D350" s="128">
        <v>0</v>
      </c>
      <c r="E350" s="128">
        <v>0</v>
      </c>
      <c r="F350" s="128">
        <v>1</v>
      </c>
      <c r="G350" s="128">
        <v>0</v>
      </c>
      <c r="K350" s="86">
        <v>44974</v>
      </c>
      <c r="L350" s="126">
        <f t="shared" si="111"/>
        <v>251.00000008000001</v>
      </c>
      <c r="M350" s="126">
        <f t="shared" si="112"/>
        <v>130.00000008000001</v>
      </c>
      <c r="N350" s="126">
        <f t="shared" si="113"/>
        <v>258</v>
      </c>
      <c r="O350" s="126">
        <f t="shared" si="114"/>
        <v>144</v>
      </c>
      <c r="P350" s="126">
        <f t="shared" si="115"/>
        <v>268</v>
      </c>
      <c r="Q350" s="126">
        <f t="shared" si="116"/>
        <v>283</v>
      </c>
      <c r="R350" s="126">
        <f t="shared" ref="R350:R361" si="140">Q350-MAX(L350:P350)</f>
        <v>15</v>
      </c>
      <c r="S350" s="1">
        <f t="shared" ref="S350:S361" si="141">IF(Q350&gt;L350,1,0)</f>
        <v>1</v>
      </c>
      <c r="T350" s="126">
        <f t="shared" si="117"/>
        <v>15</v>
      </c>
      <c r="U350" s="126">
        <f t="shared" ref="U350:U361" si="142">SUM(L350:Q350)</f>
        <v>1334.0000001600001</v>
      </c>
      <c r="W350" s="126">
        <f t="shared" si="138"/>
        <v>283</v>
      </c>
      <c r="X350" s="126">
        <f t="shared" si="139"/>
        <v>274.00000008000001</v>
      </c>
    </row>
    <row r="351" spans="1:24">
      <c r="A351" s="22">
        <v>44981</v>
      </c>
      <c r="B351" s="128">
        <v>0</v>
      </c>
      <c r="C351" s="128">
        <v>0</v>
      </c>
      <c r="D351" s="128">
        <v>1</v>
      </c>
      <c r="E351" s="128">
        <v>0</v>
      </c>
      <c r="F351" s="128">
        <v>1</v>
      </c>
      <c r="G351" s="128">
        <v>1</v>
      </c>
      <c r="K351" s="86">
        <v>44981</v>
      </c>
      <c r="L351" s="126">
        <f t="shared" si="111"/>
        <v>251.00000008000001</v>
      </c>
      <c r="M351" s="126">
        <f t="shared" si="112"/>
        <v>130.00000008000001</v>
      </c>
      <c r="N351" s="126">
        <f t="shared" si="113"/>
        <v>259</v>
      </c>
      <c r="O351" s="126">
        <f t="shared" si="114"/>
        <v>144</v>
      </c>
      <c r="P351" s="126">
        <f t="shared" si="115"/>
        <v>269</v>
      </c>
      <c r="Q351" s="126">
        <f t="shared" si="116"/>
        <v>284</v>
      </c>
      <c r="R351" s="126">
        <f t="shared" si="140"/>
        <v>15</v>
      </c>
      <c r="S351" s="1">
        <f t="shared" si="141"/>
        <v>1</v>
      </c>
      <c r="T351" s="126">
        <f t="shared" si="117"/>
        <v>15</v>
      </c>
      <c r="U351" s="126">
        <f t="shared" si="142"/>
        <v>1337.0000001600001</v>
      </c>
      <c r="W351" s="126">
        <f t="shared" si="138"/>
        <v>284</v>
      </c>
      <c r="X351" s="126">
        <f t="shared" si="139"/>
        <v>274.00000008000001</v>
      </c>
    </row>
    <row r="352" spans="1:24">
      <c r="A352" s="22">
        <v>44988</v>
      </c>
      <c r="B352" s="128">
        <v>1</v>
      </c>
      <c r="C352" s="128">
        <v>1</v>
      </c>
      <c r="D352" s="128">
        <v>1</v>
      </c>
      <c r="E352" s="128">
        <v>0</v>
      </c>
      <c r="F352" s="128">
        <v>1</v>
      </c>
      <c r="G352" s="128">
        <v>0</v>
      </c>
      <c r="K352" s="86">
        <v>44988</v>
      </c>
      <c r="L352" s="126">
        <f t="shared" si="111"/>
        <v>252.00000008000001</v>
      </c>
      <c r="M352" s="126">
        <f t="shared" si="112"/>
        <v>131.00000008000001</v>
      </c>
      <c r="N352" s="126">
        <f t="shared" si="113"/>
        <v>260</v>
      </c>
      <c r="O352" s="126">
        <f t="shared" si="114"/>
        <v>144</v>
      </c>
      <c r="P352" s="126">
        <f t="shared" si="115"/>
        <v>270</v>
      </c>
      <c r="Q352" s="126">
        <f t="shared" si="116"/>
        <v>284</v>
      </c>
      <c r="R352" s="126">
        <f t="shared" si="140"/>
        <v>14</v>
      </c>
      <c r="S352" s="1">
        <f t="shared" si="141"/>
        <v>1</v>
      </c>
      <c r="T352" s="126">
        <f t="shared" si="117"/>
        <v>14</v>
      </c>
      <c r="U352" s="126">
        <f t="shared" si="142"/>
        <v>1341.0000001600001</v>
      </c>
      <c r="W352" s="126">
        <f t="shared" si="138"/>
        <v>284</v>
      </c>
      <c r="X352" s="126">
        <f t="shared" si="139"/>
        <v>275.00000008000001</v>
      </c>
    </row>
    <row r="353" spans="1:24">
      <c r="A353" s="86">
        <v>44995</v>
      </c>
      <c r="B353" s="128">
        <v>1</v>
      </c>
      <c r="C353" s="128">
        <v>0</v>
      </c>
      <c r="D353" s="128">
        <v>0</v>
      </c>
      <c r="E353" s="128">
        <v>0</v>
      </c>
      <c r="F353" s="128">
        <v>0</v>
      </c>
      <c r="G353" s="128">
        <v>1</v>
      </c>
      <c r="K353" s="86">
        <v>44995</v>
      </c>
      <c r="L353" s="126">
        <f t="shared" si="111"/>
        <v>253.00000008000001</v>
      </c>
      <c r="M353" s="126">
        <f t="shared" si="112"/>
        <v>131.00000008000001</v>
      </c>
      <c r="N353" s="126">
        <f t="shared" si="113"/>
        <v>260</v>
      </c>
      <c r="O353" s="126">
        <f t="shared" si="114"/>
        <v>144</v>
      </c>
      <c r="P353" s="126">
        <f t="shared" si="115"/>
        <v>270</v>
      </c>
      <c r="Q353" s="126">
        <f t="shared" si="116"/>
        <v>285</v>
      </c>
      <c r="R353" s="126">
        <f t="shared" si="140"/>
        <v>15</v>
      </c>
      <c r="S353" s="1">
        <f t="shared" si="141"/>
        <v>1</v>
      </c>
      <c r="T353" s="126">
        <f t="shared" si="117"/>
        <v>15</v>
      </c>
      <c r="U353" s="126">
        <f t="shared" si="142"/>
        <v>1343.0000001600001</v>
      </c>
      <c r="W353" s="126">
        <f t="shared" si="138"/>
        <v>285</v>
      </c>
      <c r="X353" s="126">
        <f t="shared" si="139"/>
        <v>275.00000008000001</v>
      </c>
    </row>
    <row r="354" spans="1:24">
      <c r="A354" s="86">
        <v>45002</v>
      </c>
      <c r="B354" s="128">
        <v>1</v>
      </c>
      <c r="C354" s="128">
        <v>0</v>
      </c>
      <c r="D354" s="128">
        <v>0</v>
      </c>
      <c r="E354" s="128">
        <v>0</v>
      </c>
      <c r="F354" s="128">
        <v>0</v>
      </c>
      <c r="G354" s="128">
        <v>0</v>
      </c>
      <c r="K354" s="86">
        <v>45002</v>
      </c>
      <c r="L354" s="126">
        <f t="shared" si="111"/>
        <v>254.00000008000001</v>
      </c>
      <c r="M354" s="126">
        <f t="shared" si="112"/>
        <v>131.00000008000001</v>
      </c>
      <c r="N354" s="126">
        <f t="shared" si="113"/>
        <v>260</v>
      </c>
      <c r="O354" s="126">
        <f t="shared" si="114"/>
        <v>144</v>
      </c>
      <c r="P354" s="126">
        <f t="shared" si="115"/>
        <v>270</v>
      </c>
      <c r="Q354" s="126">
        <f t="shared" si="116"/>
        <v>285</v>
      </c>
      <c r="R354" s="126">
        <f t="shared" si="140"/>
        <v>15</v>
      </c>
      <c r="S354" s="1">
        <f t="shared" si="141"/>
        <v>1</v>
      </c>
      <c r="T354" s="126">
        <f t="shared" si="117"/>
        <v>15</v>
      </c>
      <c r="U354" s="126">
        <f t="shared" si="142"/>
        <v>1344.0000001600001</v>
      </c>
      <c r="W354" s="126">
        <f t="shared" si="138"/>
        <v>285</v>
      </c>
      <c r="X354" s="126">
        <f t="shared" si="139"/>
        <v>275.00000008000001</v>
      </c>
    </row>
    <row r="355" spans="1:24">
      <c r="A355" s="86">
        <v>45009</v>
      </c>
      <c r="B355" s="128">
        <v>0</v>
      </c>
      <c r="C355" s="128">
        <v>1</v>
      </c>
      <c r="D355" s="128">
        <v>0</v>
      </c>
      <c r="E355" s="128">
        <v>0</v>
      </c>
      <c r="F355" s="128">
        <v>1</v>
      </c>
      <c r="G355" s="128">
        <v>1</v>
      </c>
      <c r="K355" s="86">
        <v>45009</v>
      </c>
      <c r="L355" s="126">
        <f t="shared" si="111"/>
        <v>254.00000008000001</v>
      </c>
      <c r="M355" s="126">
        <f t="shared" si="112"/>
        <v>132.00000008000001</v>
      </c>
      <c r="N355" s="126">
        <f t="shared" si="113"/>
        <v>260</v>
      </c>
      <c r="O355" s="126">
        <f t="shared" si="114"/>
        <v>144</v>
      </c>
      <c r="P355" s="126">
        <f t="shared" si="115"/>
        <v>271</v>
      </c>
      <c r="Q355" s="126">
        <f t="shared" si="116"/>
        <v>286</v>
      </c>
      <c r="R355" s="126">
        <f t="shared" si="140"/>
        <v>15</v>
      </c>
      <c r="S355" s="1">
        <f t="shared" si="141"/>
        <v>1</v>
      </c>
      <c r="T355" s="126">
        <f t="shared" si="117"/>
        <v>15</v>
      </c>
      <c r="U355" s="126">
        <f t="shared" si="142"/>
        <v>1347.0000001600001</v>
      </c>
      <c r="W355" s="126">
        <f t="shared" si="138"/>
        <v>286</v>
      </c>
      <c r="X355" s="126">
        <f t="shared" si="139"/>
        <v>276.00000008000001</v>
      </c>
    </row>
    <row r="356" spans="1:24">
      <c r="A356" s="86">
        <v>45016</v>
      </c>
      <c r="B356" s="128">
        <v>0</v>
      </c>
      <c r="C356" s="128">
        <v>1</v>
      </c>
      <c r="D356" s="128">
        <v>0</v>
      </c>
      <c r="E356" s="128">
        <v>0</v>
      </c>
      <c r="F356" s="128">
        <v>1</v>
      </c>
      <c r="G356" s="128">
        <v>1</v>
      </c>
      <c r="K356" s="86">
        <v>45016</v>
      </c>
      <c r="L356" s="126">
        <f t="shared" si="111"/>
        <v>254.00000008000001</v>
      </c>
      <c r="M356" s="126">
        <f t="shared" si="112"/>
        <v>133.00000008000001</v>
      </c>
      <c r="N356" s="126">
        <f t="shared" si="113"/>
        <v>260</v>
      </c>
      <c r="O356" s="126">
        <f t="shared" si="114"/>
        <v>144</v>
      </c>
      <c r="P356" s="126">
        <f t="shared" si="115"/>
        <v>272</v>
      </c>
      <c r="Q356" s="126">
        <f t="shared" si="116"/>
        <v>287</v>
      </c>
      <c r="R356" s="126">
        <f t="shared" si="140"/>
        <v>15</v>
      </c>
      <c r="S356" s="1">
        <f t="shared" si="141"/>
        <v>1</v>
      </c>
      <c r="T356" s="126">
        <f t="shared" si="117"/>
        <v>15</v>
      </c>
      <c r="U356" s="126">
        <f t="shared" si="142"/>
        <v>1350.0000001600001</v>
      </c>
      <c r="W356" s="126">
        <f t="shared" si="138"/>
        <v>287</v>
      </c>
      <c r="X356" s="126">
        <f t="shared" si="139"/>
        <v>277.00000008000001</v>
      </c>
    </row>
    <row r="357" spans="1:24">
      <c r="A357" s="86">
        <v>45030</v>
      </c>
      <c r="B357" s="128">
        <v>0</v>
      </c>
      <c r="C357" s="128">
        <v>1</v>
      </c>
      <c r="D357" s="128">
        <v>0</v>
      </c>
      <c r="E357" s="128">
        <v>0</v>
      </c>
      <c r="F357" s="128">
        <v>1</v>
      </c>
      <c r="G357" s="128">
        <v>0</v>
      </c>
      <c r="K357" s="86">
        <v>45030</v>
      </c>
      <c r="L357" s="126">
        <f t="shared" si="111"/>
        <v>254.00000008000001</v>
      </c>
      <c r="M357" s="126">
        <f t="shared" si="112"/>
        <v>134.00000008000001</v>
      </c>
      <c r="N357" s="126">
        <f t="shared" si="113"/>
        <v>260</v>
      </c>
      <c r="O357" s="126">
        <f t="shared" si="114"/>
        <v>144</v>
      </c>
      <c r="P357" s="126">
        <f t="shared" si="115"/>
        <v>273</v>
      </c>
      <c r="Q357" s="126">
        <f t="shared" si="116"/>
        <v>287</v>
      </c>
      <c r="R357" s="126">
        <f t="shared" si="140"/>
        <v>14</v>
      </c>
      <c r="S357" s="1">
        <f t="shared" si="141"/>
        <v>1</v>
      </c>
      <c r="T357" s="126">
        <f t="shared" si="117"/>
        <v>14</v>
      </c>
      <c r="U357" s="126">
        <f t="shared" si="142"/>
        <v>1352.0000001600001</v>
      </c>
      <c r="W357" s="126">
        <f t="shared" si="138"/>
        <v>287</v>
      </c>
      <c r="X357" s="126">
        <f t="shared" si="139"/>
        <v>278.00000008000001</v>
      </c>
    </row>
    <row r="358" spans="1:24">
      <c r="A358" s="86">
        <v>45037</v>
      </c>
      <c r="B358" s="128">
        <v>0</v>
      </c>
      <c r="C358" s="128">
        <v>0</v>
      </c>
      <c r="D358" s="128">
        <v>0</v>
      </c>
      <c r="E358" s="128">
        <v>0</v>
      </c>
      <c r="F358" s="128">
        <v>0</v>
      </c>
      <c r="G358" s="128">
        <v>1</v>
      </c>
      <c r="K358" s="86">
        <v>45037</v>
      </c>
      <c r="L358" s="126">
        <f t="shared" si="111"/>
        <v>254.00000008000001</v>
      </c>
      <c r="M358" s="126">
        <f t="shared" si="112"/>
        <v>134.00000008000001</v>
      </c>
      <c r="N358" s="126">
        <f t="shared" si="113"/>
        <v>260</v>
      </c>
      <c r="O358" s="126">
        <f t="shared" si="114"/>
        <v>144</v>
      </c>
      <c r="P358" s="126">
        <f t="shared" si="115"/>
        <v>273</v>
      </c>
      <c r="Q358" s="126">
        <f t="shared" si="116"/>
        <v>288</v>
      </c>
      <c r="R358" s="126">
        <f t="shared" si="140"/>
        <v>15</v>
      </c>
      <c r="S358" s="1">
        <f t="shared" si="141"/>
        <v>1</v>
      </c>
      <c r="T358" s="126">
        <f t="shared" si="117"/>
        <v>15</v>
      </c>
      <c r="U358" s="126">
        <f t="shared" si="142"/>
        <v>1353.0000001600001</v>
      </c>
      <c r="W358" s="126">
        <f t="shared" si="138"/>
        <v>288</v>
      </c>
      <c r="X358" s="126">
        <f t="shared" si="139"/>
        <v>278.00000008000001</v>
      </c>
    </row>
    <row r="359" spans="1:24">
      <c r="A359" s="86">
        <v>45044</v>
      </c>
      <c r="B359" s="128">
        <v>0</v>
      </c>
      <c r="C359" s="128">
        <v>0</v>
      </c>
      <c r="D359" s="128">
        <v>1</v>
      </c>
      <c r="E359" s="128">
        <v>0</v>
      </c>
      <c r="F359" s="128">
        <v>1</v>
      </c>
      <c r="G359" s="128">
        <v>1</v>
      </c>
      <c r="K359" s="86">
        <v>45044</v>
      </c>
      <c r="L359" s="126">
        <f t="shared" si="111"/>
        <v>254.00000008000001</v>
      </c>
      <c r="M359" s="126">
        <f t="shared" si="112"/>
        <v>134.00000008000001</v>
      </c>
      <c r="N359" s="126">
        <f t="shared" si="113"/>
        <v>261</v>
      </c>
      <c r="O359" s="126">
        <f t="shared" si="114"/>
        <v>144</v>
      </c>
      <c r="P359" s="126">
        <f t="shared" si="115"/>
        <v>274</v>
      </c>
      <c r="Q359" s="126">
        <f t="shared" si="116"/>
        <v>289</v>
      </c>
      <c r="R359" s="126">
        <f t="shared" si="140"/>
        <v>15</v>
      </c>
      <c r="S359" s="1">
        <f t="shared" si="141"/>
        <v>1</v>
      </c>
      <c r="T359" s="126">
        <f t="shared" si="117"/>
        <v>15</v>
      </c>
      <c r="U359" s="126">
        <f t="shared" si="142"/>
        <v>1356.0000001600001</v>
      </c>
      <c r="W359" s="126">
        <f t="shared" si="138"/>
        <v>289</v>
      </c>
      <c r="X359" s="126">
        <f t="shared" si="139"/>
        <v>278.00000008000001</v>
      </c>
    </row>
    <row r="360" spans="1:24">
      <c r="A360" s="86">
        <v>45051</v>
      </c>
      <c r="B360" s="128">
        <v>0</v>
      </c>
      <c r="C360" s="128">
        <v>1</v>
      </c>
      <c r="D360" s="128">
        <v>1</v>
      </c>
      <c r="E360" s="128">
        <v>0</v>
      </c>
      <c r="F360" s="128">
        <v>1</v>
      </c>
      <c r="G360" s="128">
        <v>1</v>
      </c>
      <c r="K360" s="86">
        <v>45051</v>
      </c>
      <c r="L360" s="126">
        <f t="shared" si="111"/>
        <v>254.00000008000001</v>
      </c>
      <c r="M360" s="126">
        <f t="shared" si="112"/>
        <v>135.00000008000001</v>
      </c>
      <c r="N360" s="126">
        <f t="shared" si="113"/>
        <v>262</v>
      </c>
      <c r="O360" s="126">
        <f t="shared" si="114"/>
        <v>144</v>
      </c>
      <c r="P360" s="126">
        <f t="shared" si="115"/>
        <v>275</v>
      </c>
      <c r="Q360" s="126">
        <f t="shared" si="116"/>
        <v>290</v>
      </c>
      <c r="R360" s="126">
        <f t="shared" si="140"/>
        <v>15</v>
      </c>
      <c r="S360" s="1">
        <f t="shared" si="141"/>
        <v>1</v>
      </c>
      <c r="T360" s="126">
        <f t="shared" si="117"/>
        <v>15</v>
      </c>
      <c r="U360" s="126">
        <f t="shared" si="142"/>
        <v>1360.0000001600001</v>
      </c>
      <c r="W360" s="126">
        <f t="shared" si="138"/>
        <v>290</v>
      </c>
      <c r="X360" s="126">
        <f t="shared" si="139"/>
        <v>279.00000008000001</v>
      </c>
    </row>
    <row r="361" spans="1:24">
      <c r="A361" s="86">
        <v>45058</v>
      </c>
      <c r="B361" s="128">
        <v>0</v>
      </c>
      <c r="C361" s="128">
        <v>1</v>
      </c>
      <c r="D361" s="128">
        <v>0</v>
      </c>
      <c r="E361" s="128">
        <v>1</v>
      </c>
      <c r="F361" s="128">
        <v>1</v>
      </c>
      <c r="G361" s="128">
        <v>0</v>
      </c>
      <c r="K361" s="86">
        <v>45058</v>
      </c>
      <c r="L361" s="126">
        <f t="shared" si="111"/>
        <v>254.00000008000001</v>
      </c>
      <c r="M361" s="126">
        <f t="shared" si="112"/>
        <v>136.00000008000001</v>
      </c>
      <c r="N361" s="126">
        <f t="shared" si="113"/>
        <v>262</v>
      </c>
      <c r="O361" s="126">
        <f t="shared" si="114"/>
        <v>145</v>
      </c>
      <c r="P361" s="126">
        <f t="shared" si="115"/>
        <v>276</v>
      </c>
      <c r="Q361" s="126">
        <f t="shared" si="116"/>
        <v>290</v>
      </c>
      <c r="R361" s="126">
        <f t="shared" si="140"/>
        <v>14</v>
      </c>
      <c r="S361" s="1">
        <f t="shared" si="141"/>
        <v>1</v>
      </c>
      <c r="T361" s="126">
        <f t="shared" si="117"/>
        <v>14</v>
      </c>
      <c r="U361" s="126">
        <f t="shared" si="142"/>
        <v>1363.0000001600001</v>
      </c>
      <c r="W361" s="126">
        <f t="shared" si="138"/>
        <v>290</v>
      </c>
      <c r="X361" s="126">
        <f t="shared" si="139"/>
        <v>281.00000008000001</v>
      </c>
    </row>
    <row r="362" spans="1:24">
      <c r="A362" s="86">
        <f>'Stats 2023'!D42</f>
        <v>45065</v>
      </c>
      <c r="B362" s="128">
        <f>'Stats 2023'!E42</f>
        <v>0</v>
      </c>
      <c r="C362" s="128">
        <f>'Stats 2023'!F42</f>
        <v>1</v>
      </c>
      <c r="D362" s="128">
        <f>'Stats 2023'!G42</f>
        <v>0</v>
      </c>
      <c r="E362" s="128">
        <f>'Stats 2023'!H42</f>
        <v>0</v>
      </c>
      <c r="F362" s="128">
        <f>'Stats 2023'!I42</f>
        <v>0</v>
      </c>
      <c r="G362" s="128">
        <f>'Stats 2023'!J42</f>
        <v>0</v>
      </c>
      <c r="K362" s="86">
        <v>45065</v>
      </c>
      <c r="L362" s="126">
        <f t="shared" si="111"/>
        <v>254.00000008000001</v>
      </c>
      <c r="M362" s="126">
        <f t="shared" si="112"/>
        <v>137.00000008000001</v>
      </c>
      <c r="N362" s="126">
        <f t="shared" si="113"/>
        <v>262</v>
      </c>
      <c r="O362" s="126">
        <f t="shared" si="114"/>
        <v>145</v>
      </c>
      <c r="P362" s="126">
        <f t="shared" si="115"/>
        <v>276</v>
      </c>
      <c r="Q362" s="126">
        <f t="shared" si="116"/>
        <v>290</v>
      </c>
      <c r="R362" s="126">
        <f t="shared" ref="R362:R370" si="143">Q362-MAX(L362:P362)</f>
        <v>14</v>
      </c>
      <c r="S362" s="1">
        <f t="shared" ref="S362:S370" si="144">IF(Q362&gt;L362,1,0)</f>
        <v>1</v>
      </c>
      <c r="T362" s="126">
        <f t="shared" si="117"/>
        <v>14</v>
      </c>
      <c r="U362" s="126">
        <f t="shared" ref="U362:U370" si="145">SUM(L362:Q362)</f>
        <v>1364.0000001600001</v>
      </c>
      <c r="W362" s="126">
        <f t="shared" ref="W362:W370" si="146">Q362</f>
        <v>290</v>
      </c>
      <c r="X362" s="126">
        <f t="shared" ref="X362:X370" si="147">M362+O362</f>
        <v>282.00000008000001</v>
      </c>
    </row>
    <row r="363" spans="1:24">
      <c r="A363" s="86">
        <f>'Stats 2023'!D44</f>
        <v>45072</v>
      </c>
      <c r="B363" s="128">
        <f>'Stats 2023'!E44</f>
        <v>1</v>
      </c>
      <c r="C363" s="128">
        <f>'Stats 2023'!F44</f>
        <v>1</v>
      </c>
      <c r="D363" s="128">
        <f>'Stats 2023'!G44</f>
        <v>1</v>
      </c>
      <c r="E363" s="128">
        <f>'Stats 2023'!H44</f>
        <v>0</v>
      </c>
      <c r="F363" s="128">
        <f>'Stats 2023'!I44</f>
        <v>1</v>
      </c>
      <c r="G363" s="128">
        <f>'Stats 2023'!J44</f>
        <v>1</v>
      </c>
      <c r="K363" s="86">
        <v>45072</v>
      </c>
      <c r="L363" s="126">
        <f t="shared" si="111"/>
        <v>255.00000008000001</v>
      </c>
      <c r="M363" s="126">
        <f t="shared" si="112"/>
        <v>138.00000008000001</v>
      </c>
      <c r="N363" s="126">
        <f t="shared" si="113"/>
        <v>263</v>
      </c>
      <c r="O363" s="126">
        <f t="shared" si="114"/>
        <v>145</v>
      </c>
      <c r="P363" s="126">
        <f t="shared" si="115"/>
        <v>277</v>
      </c>
      <c r="Q363" s="126">
        <f t="shared" si="116"/>
        <v>291</v>
      </c>
      <c r="R363" s="126">
        <f t="shared" si="143"/>
        <v>14</v>
      </c>
      <c r="S363" s="1">
        <f t="shared" si="144"/>
        <v>1</v>
      </c>
      <c r="T363" s="126">
        <f t="shared" si="117"/>
        <v>14</v>
      </c>
      <c r="U363" s="126">
        <f t="shared" si="145"/>
        <v>1369.0000001600001</v>
      </c>
      <c r="W363" s="126">
        <f t="shared" si="146"/>
        <v>291</v>
      </c>
      <c r="X363" s="126">
        <f t="shared" si="147"/>
        <v>283.00000008000001</v>
      </c>
    </row>
    <row r="364" spans="1:24">
      <c r="A364" s="86">
        <f>'Stats 2023'!D45</f>
        <v>45079</v>
      </c>
      <c r="B364" s="128">
        <f>'Stats 2023'!E45</f>
        <v>0</v>
      </c>
      <c r="C364" s="128">
        <f>'Stats 2023'!F45</f>
        <v>1</v>
      </c>
      <c r="D364" s="128">
        <f>'Stats 2023'!G45</f>
        <v>0</v>
      </c>
      <c r="E364" s="128">
        <f>'Stats 2023'!H45</f>
        <v>1</v>
      </c>
      <c r="F364" s="128">
        <f>'Stats 2023'!I45</f>
        <v>1</v>
      </c>
      <c r="G364" s="128">
        <f>'Stats 2023'!J45</f>
        <v>1</v>
      </c>
      <c r="K364" s="86">
        <v>45079</v>
      </c>
      <c r="L364" s="126">
        <f t="shared" si="111"/>
        <v>255.00000008000001</v>
      </c>
      <c r="M364" s="126">
        <f t="shared" si="112"/>
        <v>139.00000008000001</v>
      </c>
      <c r="N364" s="126">
        <f t="shared" si="113"/>
        <v>263</v>
      </c>
      <c r="O364" s="126">
        <f t="shared" si="114"/>
        <v>146</v>
      </c>
      <c r="P364" s="126">
        <f t="shared" si="115"/>
        <v>278</v>
      </c>
      <c r="Q364" s="126">
        <f t="shared" si="116"/>
        <v>292</v>
      </c>
      <c r="R364" s="126">
        <f t="shared" si="143"/>
        <v>14</v>
      </c>
      <c r="S364" s="1">
        <f t="shared" si="144"/>
        <v>1</v>
      </c>
      <c r="T364" s="126">
        <f t="shared" si="117"/>
        <v>14</v>
      </c>
      <c r="U364" s="126">
        <f t="shared" si="145"/>
        <v>1373.0000001600001</v>
      </c>
      <c r="W364" s="126">
        <f t="shared" si="146"/>
        <v>292</v>
      </c>
      <c r="X364" s="126">
        <f t="shared" si="147"/>
        <v>285.00000008000001</v>
      </c>
    </row>
    <row r="365" spans="1:24">
      <c r="A365" s="86">
        <f>'Stats 2023'!D46</f>
        <v>45086</v>
      </c>
      <c r="B365" s="128">
        <f>'Stats 2023'!E46</f>
        <v>0</v>
      </c>
      <c r="C365" s="128">
        <f>'Stats 2023'!F46</f>
        <v>1</v>
      </c>
      <c r="D365" s="128">
        <f>'Stats 2023'!G46</f>
        <v>1</v>
      </c>
      <c r="E365" s="128">
        <f>'Stats 2023'!H46</f>
        <v>0</v>
      </c>
      <c r="F365" s="128">
        <f>'Stats 2023'!I46</f>
        <v>1</v>
      </c>
      <c r="G365" s="128">
        <f>'Stats 2023'!J46</f>
        <v>1</v>
      </c>
      <c r="K365" s="86">
        <v>45086</v>
      </c>
      <c r="L365" s="126">
        <f t="shared" si="111"/>
        <v>255.00000008000001</v>
      </c>
      <c r="M365" s="126">
        <f t="shared" si="112"/>
        <v>140.00000008000001</v>
      </c>
      <c r="N365" s="126">
        <f t="shared" si="113"/>
        <v>264</v>
      </c>
      <c r="O365" s="126">
        <f t="shared" si="114"/>
        <v>146</v>
      </c>
      <c r="P365" s="126">
        <f t="shared" si="115"/>
        <v>279</v>
      </c>
      <c r="Q365" s="126">
        <f t="shared" si="116"/>
        <v>293</v>
      </c>
      <c r="R365" s="126">
        <f t="shared" si="143"/>
        <v>14</v>
      </c>
      <c r="S365" s="1">
        <f t="shared" si="144"/>
        <v>1</v>
      </c>
      <c r="T365" s="126">
        <f t="shared" si="117"/>
        <v>14</v>
      </c>
      <c r="U365" s="126">
        <f t="shared" si="145"/>
        <v>1377.0000001600001</v>
      </c>
      <c r="W365" s="126">
        <f t="shared" si="146"/>
        <v>293</v>
      </c>
      <c r="X365" s="126">
        <f t="shared" si="147"/>
        <v>286.00000008000001</v>
      </c>
    </row>
    <row r="366" spans="1:24">
      <c r="A366" s="86">
        <f>'Stats 2023'!D47</f>
        <v>45093</v>
      </c>
      <c r="B366" s="128">
        <f>'Stats 2023'!E47</f>
        <v>1</v>
      </c>
      <c r="C366" s="128">
        <f>'Stats 2023'!F47</f>
        <v>1</v>
      </c>
      <c r="D366" s="128">
        <f>'Stats 2023'!G47</f>
        <v>1</v>
      </c>
      <c r="E366" s="128">
        <f>'Stats 2023'!H47</f>
        <v>0</v>
      </c>
      <c r="F366" s="128">
        <f>'Stats 2023'!I47</f>
        <v>1</v>
      </c>
      <c r="G366" s="128">
        <f>'Stats 2023'!J47</f>
        <v>1</v>
      </c>
      <c r="K366" s="86">
        <v>45093</v>
      </c>
      <c r="L366" s="126">
        <f t="shared" si="111"/>
        <v>256.00000008000001</v>
      </c>
      <c r="M366" s="126">
        <f t="shared" si="112"/>
        <v>141.00000008000001</v>
      </c>
      <c r="N366" s="126">
        <f t="shared" si="113"/>
        <v>265</v>
      </c>
      <c r="O366" s="126">
        <f t="shared" si="114"/>
        <v>146</v>
      </c>
      <c r="P366" s="126">
        <f t="shared" si="115"/>
        <v>280</v>
      </c>
      <c r="Q366" s="126">
        <f t="shared" si="116"/>
        <v>294</v>
      </c>
      <c r="R366" s="126">
        <f t="shared" si="143"/>
        <v>14</v>
      </c>
      <c r="S366" s="1">
        <f t="shared" si="144"/>
        <v>1</v>
      </c>
      <c r="T366" s="126">
        <f t="shared" si="117"/>
        <v>14</v>
      </c>
      <c r="U366" s="126">
        <f t="shared" si="145"/>
        <v>1382.0000001600001</v>
      </c>
      <c r="W366" s="126">
        <f t="shared" si="146"/>
        <v>294</v>
      </c>
      <c r="X366" s="126">
        <f t="shared" si="147"/>
        <v>287.00000008000001</v>
      </c>
    </row>
    <row r="367" spans="1:24">
      <c r="A367" s="86">
        <f>'Stats 2023'!D48</f>
        <v>45100</v>
      </c>
      <c r="B367" s="128">
        <f>'Stats 2023'!E48</f>
        <v>1</v>
      </c>
      <c r="C367" s="128">
        <f>'Stats 2023'!F48</f>
        <v>1</v>
      </c>
      <c r="D367" s="128">
        <f>'Stats 2023'!G48</f>
        <v>1</v>
      </c>
      <c r="E367" s="128">
        <f>'Stats 2023'!H48</f>
        <v>1</v>
      </c>
      <c r="F367" s="128">
        <f>'Stats 2023'!I48</f>
        <v>1</v>
      </c>
      <c r="G367" s="128">
        <f>'Stats 2023'!J48</f>
        <v>1</v>
      </c>
      <c r="K367" s="86">
        <v>45100</v>
      </c>
      <c r="L367" s="126">
        <f t="shared" si="111"/>
        <v>257.00000008000001</v>
      </c>
      <c r="M367" s="126">
        <f t="shared" si="112"/>
        <v>142.00000008000001</v>
      </c>
      <c r="N367" s="126">
        <f t="shared" si="113"/>
        <v>266</v>
      </c>
      <c r="O367" s="126">
        <f t="shared" si="114"/>
        <v>147</v>
      </c>
      <c r="P367" s="126">
        <f t="shared" si="115"/>
        <v>281</v>
      </c>
      <c r="Q367" s="126">
        <f t="shared" si="116"/>
        <v>295</v>
      </c>
      <c r="R367" s="126">
        <f t="shared" si="143"/>
        <v>14</v>
      </c>
      <c r="S367" s="1">
        <f t="shared" si="144"/>
        <v>1</v>
      </c>
      <c r="T367" s="126">
        <f t="shared" si="117"/>
        <v>14</v>
      </c>
      <c r="U367" s="126">
        <f t="shared" si="145"/>
        <v>1388.0000001600001</v>
      </c>
      <c r="W367" s="126">
        <f t="shared" si="146"/>
        <v>295</v>
      </c>
      <c r="X367" s="126">
        <f t="shared" si="147"/>
        <v>289.00000008000001</v>
      </c>
    </row>
    <row r="368" spans="1:24">
      <c r="A368" s="86">
        <f>'Stats 2023'!D49</f>
        <v>45107</v>
      </c>
      <c r="B368" s="128">
        <f>'Stats 2023'!E49</f>
        <v>0</v>
      </c>
      <c r="C368" s="128">
        <f>'Stats 2023'!F49</f>
        <v>1</v>
      </c>
      <c r="D368" s="128">
        <f>'Stats 2023'!G49</f>
        <v>0</v>
      </c>
      <c r="E368" s="128">
        <f>'Stats 2023'!H49</f>
        <v>0</v>
      </c>
      <c r="F368" s="128">
        <f>'Stats 2023'!I49</f>
        <v>1</v>
      </c>
      <c r="G368" s="128">
        <f>'Stats 2023'!J49</f>
        <v>1</v>
      </c>
      <c r="K368" s="86">
        <v>45107</v>
      </c>
      <c r="L368" s="126">
        <f t="shared" si="111"/>
        <v>257.00000008000001</v>
      </c>
      <c r="M368" s="126">
        <f t="shared" si="112"/>
        <v>143.00000008000001</v>
      </c>
      <c r="N368" s="126">
        <f t="shared" si="113"/>
        <v>266</v>
      </c>
      <c r="O368" s="126">
        <f t="shared" si="114"/>
        <v>147</v>
      </c>
      <c r="P368" s="126">
        <f t="shared" si="115"/>
        <v>282</v>
      </c>
      <c r="Q368" s="126">
        <f t="shared" si="116"/>
        <v>296</v>
      </c>
      <c r="R368" s="126">
        <f t="shared" si="143"/>
        <v>14</v>
      </c>
      <c r="S368" s="1">
        <f t="shared" si="144"/>
        <v>1</v>
      </c>
      <c r="T368" s="126">
        <f t="shared" si="117"/>
        <v>14</v>
      </c>
      <c r="U368" s="126">
        <f t="shared" si="145"/>
        <v>1391.0000001600001</v>
      </c>
      <c r="W368" s="126">
        <f t="shared" si="146"/>
        <v>296</v>
      </c>
      <c r="X368" s="126">
        <f t="shared" si="147"/>
        <v>290.00000008000001</v>
      </c>
    </row>
    <row r="369" spans="1:24">
      <c r="A369" s="86">
        <f>'Stats 2023'!D50</f>
        <v>45114</v>
      </c>
      <c r="B369" s="128">
        <f>'Stats 2023'!E50</f>
        <v>0</v>
      </c>
      <c r="C369" s="128">
        <f>'Stats 2023'!F50</f>
        <v>1</v>
      </c>
      <c r="D369" s="128">
        <f>'Stats 2023'!G50</f>
        <v>1</v>
      </c>
      <c r="E369" s="128">
        <f>'Stats 2023'!H50</f>
        <v>0</v>
      </c>
      <c r="F369" s="128">
        <f>'Stats 2023'!I50</f>
        <v>0</v>
      </c>
      <c r="G369" s="128">
        <f>'Stats 2023'!J50</f>
        <v>1</v>
      </c>
      <c r="K369" s="86">
        <v>45114</v>
      </c>
      <c r="L369" s="126">
        <f t="shared" si="111"/>
        <v>257.00000008000001</v>
      </c>
      <c r="M369" s="126">
        <f t="shared" si="112"/>
        <v>144.00000008000001</v>
      </c>
      <c r="N369" s="126">
        <f t="shared" si="113"/>
        <v>267</v>
      </c>
      <c r="O369" s="126">
        <f t="shared" si="114"/>
        <v>147</v>
      </c>
      <c r="P369" s="126">
        <f t="shared" si="115"/>
        <v>282</v>
      </c>
      <c r="Q369" s="126">
        <f t="shared" si="116"/>
        <v>297</v>
      </c>
      <c r="R369" s="126">
        <f t="shared" si="143"/>
        <v>15</v>
      </c>
      <c r="S369" s="1">
        <f t="shared" si="144"/>
        <v>1</v>
      </c>
      <c r="T369" s="126">
        <f t="shared" si="117"/>
        <v>15</v>
      </c>
      <c r="U369" s="126">
        <f t="shared" si="145"/>
        <v>1394.0000001600001</v>
      </c>
      <c r="W369" s="126">
        <f t="shared" si="146"/>
        <v>297</v>
      </c>
      <c r="X369" s="126">
        <f t="shared" si="147"/>
        <v>291.00000008000001</v>
      </c>
    </row>
    <row r="370" spans="1:24">
      <c r="A370" s="86">
        <f>'Stats 2023'!D51</f>
        <v>45121</v>
      </c>
      <c r="B370" s="128">
        <f>'Stats 2023'!E51</f>
        <v>1</v>
      </c>
      <c r="C370" s="128">
        <f>'Stats 2023'!F51</f>
        <v>1</v>
      </c>
      <c r="D370" s="128">
        <f>'Stats 2023'!G51</f>
        <v>1</v>
      </c>
      <c r="E370" s="128">
        <f>'Stats 2023'!H51</f>
        <v>1</v>
      </c>
      <c r="F370" s="128">
        <f>'Stats 2023'!I51</f>
        <v>1</v>
      </c>
      <c r="G370" s="128">
        <f>'Stats 2023'!J51</f>
        <v>1</v>
      </c>
      <c r="K370" s="86">
        <v>45121</v>
      </c>
      <c r="L370" s="126">
        <f t="shared" si="111"/>
        <v>258.00000008000001</v>
      </c>
      <c r="M370" s="126">
        <f t="shared" si="112"/>
        <v>145.00000008000001</v>
      </c>
      <c r="N370" s="126">
        <f t="shared" si="113"/>
        <v>268</v>
      </c>
      <c r="O370" s="126">
        <f t="shared" si="114"/>
        <v>148</v>
      </c>
      <c r="P370" s="126">
        <f t="shared" si="115"/>
        <v>283</v>
      </c>
      <c r="Q370" s="126">
        <f t="shared" si="116"/>
        <v>298</v>
      </c>
      <c r="R370" s="126">
        <f t="shared" si="143"/>
        <v>15</v>
      </c>
      <c r="S370" s="1">
        <f t="shared" si="144"/>
        <v>1</v>
      </c>
      <c r="T370" s="126">
        <f t="shared" si="117"/>
        <v>15</v>
      </c>
      <c r="U370" s="126">
        <f t="shared" si="145"/>
        <v>1400.0000001600001</v>
      </c>
      <c r="W370" s="126">
        <f t="shared" si="146"/>
        <v>298</v>
      </c>
      <c r="X370" s="126">
        <f t="shared" si="147"/>
        <v>293.00000008000001</v>
      </c>
    </row>
    <row r="371" spans="1:24">
      <c r="A371" s="86">
        <f>'Stats 2023'!D52</f>
        <v>45128</v>
      </c>
      <c r="B371" s="128">
        <f>'Stats 2023'!E52</f>
        <v>0</v>
      </c>
      <c r="C371" s="128">
        <f>'Stats 2023'!F52</f>
        <v>1</v>
      </c>
      <c r="D371" s="128">
        <f>'Stats 2023'!G52</f>
        <v>0</v>
      </c>
      <c r="E371" s="128">
        <f>'Stats 2023'!H52</f>
        <v>0</v>
      </c>
      <c r="F371" s="128">
        <f>'Stats 2023'!I52</f>
        <v>1</v>
      </c>
      <c r="G371" s="128">
        <f>'Stats 2023'!J52</f>
        <v>1</v>
      </c>
      <c r="K371" s="86">
        <v>45128</v>
      </c>
      <c r="L371" s="126">
        <f t="shared" si="111"/>
        <v>258.00000008000001</v>
      </c>
      <c r="M371" s="126">
        <f t="shared" si="112"/>
        <v>146.00000008000001</v>
      </c>
      <c r="N371" s="126">
        <f t="shared" si="113"/>
        <v>268</v>
      </c>
      <c r="O371" s="126">
        <f t="shared" si="114"/>
        <v>148</v>
      </c>
      <c r="P371" s="126">
        <f t="shared" si="115"/>
        <v>284</v>
      </c>
      <c r="Q371" s="126">
        <f t="shared" si="116"/>
        <v>299</v>
      </c>
      <c r="R371" s="126">
        <f t="shared" ref="R371" si="148">Q371-MAX(L371:P371)</f>
        <v>15</v>
      </c>
      <c r="S371" s="1">
        <f t="shared" ref="S371" si="149">IF(Q371&gt;L371,1,0)</f>
        <v>1</v>
      </c>
      <c r="T371" s="126">
        <f t="shared" si="117"/>
        <v>15</v>
      </c>
      <c r="U371" s="126">
        <f t="shared" ref="U371" si="150">SUM(L371:Q371)</f>
        <v>1403.0000001600001</v>
      </c>
      <c r="W371" s="126">
        <f t="shared" ref="W371" si="151">Q371</f>
        <v>299</v>
      </c>
      <c r="X371" s="126">
        <f t="shared" ref="X371" si="152">M371+O371</f>
        <v>294.00000008000001</v>
      </c>
    </row>
    <row r="372" spans="1:24">
      <c r="A372" s="86">
        <f>'Stats 2023'!D53</f>
        <v>45135</v>
      </c>
      <c r="B372" s="128">
        <f>'Stats 2023'!E53</f>
        <v>1</v>
      </c>
      <c r="C372" s="128">
        <f>'Stats 2023'!F53</f>
        <v>0</v>
      </c>
      <c r="D372" s="128">
        <f>'Stats 2023'!G53</f>
        <v>1</v>
      </c>
      <c r="E372" s="128">
        <f>'Stats 2023'!H53</f>
        <v>0</v>
      </c>
      <c r="F372" s="128">
        <f>'Stats 2023'!I53</f>
        <v>1</v>
      </c>
      <c r="G372" s="128">
        <f>'Stats 2023'!J53</f>
        <v>1</v>
      </c>
      <c r="K372" s="86">
        <v>45135</v>
      </c>
      <c r="L372" s="126">
        <f t="shared" ref="L372:L435" si="153">B372+L371</f>
        <v>259.00000008000001</v>
      </c>
      <c r="M372" s="126">
        <f t="shared" ref="M372:M435" si="154">C372+M371</f>
        <v>146.00000008000001</v>
      </c>
      <c r="N372" s="126">
        <f t="shared" ref="N372:N435" si="155">D372+N371</f>
        <v>269</v>
      </c>
      <c r="O372" s="126">
        <f t="shared" ref="O372:O435" si="156">E372+O371</f>
        <v>148</v>
      </c>
      <c r="P372" s="126">
        <f t="shared" ref="P372:P435" si="157">F372+P371</f>
        <v>285</v>
      </c>
      <c r="Q372" s="126">
        <f t="shared" ref="Q372:Q435" si="158">G372+Q371</f>
        <v>300</v>
      </c>
      <c r="R372" s="126">
        <f t="shared" ref="R372:R433" si="159">Q372-MAX(L372:P372)</f>
        <v>15</v>
      </c>
      <c r="S372" s="1">
        <f t="shared" ref="S372:S433" si="160">IF(Q372&gt;L372,1,0)</f>
        <v>1</v>
      </c>
      <c r="T372" s="126">
        <f t="shared" si="117"/>
        <v>15</v>
      </c>
      <c r="U372" s="126">
        <f t="shared" ref="U372:U433" si="161">SUM(L372:Q372)</f>
        <v>1407.0000001600001</v>
      </c>
      <c r="W372" s="126">
        <f t="shared" ref="W372:W433" si="162">Q372</f>
        <v>300</v>
      </c>
      <c r="X372" s="126">
        <f t="shared" ref="X372:X433" si="163">M372+O372</f>
        <v>294.00000008000001</v>
      </c>
    </row>
    <row r="373" spans="1:24">
      <c r="A373" s="86">
        <f>'Stats 2023'!D54</f>
        <v>45142</v>
      </c>
      <c r="B373" s="128">
        <f>'Stats 2023'!E54</f>
        <v>1</v>
      </c>
      <c r="C373" s="128">
        <f>'Stats 2023'!F54</f>
        <v>1</v>
      </c>
      <c r="D373" s="128">
        <f>'Stats 2023'!G54</f>
        <v>0</v>
      </c>
      <c r="E373" s="128">
        <f>'Stats 2023'!H54</f>
        <v>0</v>
      </c>
      <c r="F373" s="128">
        <f>'Stats 2023'!I54</f>
        <v>1</v>
      </c>
      <c r="G373" s="128">
        <f>'Stats 2023'!J54</f>
        <v>1</v>
      </c>
      <c r="K373" s="86">
        <v>45142</v>
      </c>
      <c r="L373" s="126">
        <f t="shared" si="153"/>
        <v>260.00000008000001</v>
      </c>
      <c r="M373" s="126">
        <f t="shared" si="154"/>
        <v>147.00000008000001</v>
      </c>
      <c r="N373" s="126">
        <f t="shared" si="155"/>
        <v>269</v>
      </c>
      <c r="O373" s="126">
        <f t="shared" si="156"/>
        <v>148</v>
      </c>
      <c r="P373" s="126">
        <f t="shared" si="157"/>
        <v>286</v>
      </c>
      <c r="Q373" s="126">
        <f t="shared" si="158"/>
        <v>301</v>
      </c>
      <c r="R373" s="126">
        <f t="shared" si="159"/>
        <v>15</v>
      </c>
      <c r="S373" s="1">
        <f t="shared" si="160"/>
        <v>1</v>
      </c>
      <c r="T373" s="126">
        <f t="shared" si="117"/>
        <v>15</v>
      </c>
      <c r="U373" s="126">
        <f t="shared" si="161"/>
        <v>1411.0000001600001</v>
      </c>
      <c r="W373" s="126">
        <f t="shared" si="162"/>
        <v>301</v>
      </c>
      <c r="X373" s="126">
        <f t="shared" si="163"/>
        <v>295.00000008000001</v>
      </c>
    </row>
    <row r="374" spans="1:24">
      <c r="A374" s="86">
        <f>'Stats 2023'!D55</f>
        <v>45149</v>
      </c>
      <c r="B374" s="128">
        <f>'Stats 2023'!E55</f>
        <v>1</v>
      </c>
      <c r="C374" s="128">
        <f>'Stats 2023'!F55</f>
        <v>1</v>
      </c>
      <c r="D374" s="128">
        <f>'Stats 2023'!G55</f>
        <v>1</v>
      </c>
      <c r="E374" s="128">
        <f>'Stats 2023'!H55</f>
        <v>1</v>
      </c>
      <c r="F374" s="128">
        <f>'Stats 2023'!I55</f>
        <v>0</v>
      </c>
      <c r="G374" s="128">
        <f>'Stats 2023'!J55</f>
        <v>1</v>
      </c>
      <c r="K374" s="86">
        <v>45149</v>
      </c>
      <c r="L374" s="126">
        <f t="shared" si="153"/>
        <v>261.00000008000001</v>
      </c>
      <c r="M374" s="126">
        <f t="shared" si="154"/>
        <v>148.00000008000001</v>
      </c>
      <c r="N374" s="126">
        <f t="shared" si="155"/>
        <v>270</v>
      </c>
      <c r="O374" s="126">
        <f t="shared" si="156"/>
        <v>149</v>
      </c>
      <c r="P374" s="126">
        <f t="shared" si="157"/>
        <v>286</v>
      </c>
      <c r="Q374" s="126">
        <f t="shared" si="158"/>
        <v>302</v>
      </c>
      <c r="R374" s="126">
        <f t="shared" si="159"/>
        <v>16</v>
      </c>
      <c r="S374" s="1">
        <f t="shared" si="160"/>
        <v>1</v>
      </c>
      <c r="T374" s="126">
        <f t="shared" si="117"/>
        <v>16</v>
      </c>
      <c r="U374" s="126">
        <f t="shared" si="161"/>
        <v>1416.0000001600001</v>
      </c>
      <c r="W374" s="126">
        <f t="shared" si="162"/>
        <v>302</v>
      </c>
      <c r="X374" s="126">
        <f t="shared" si="163"/>
        <v>297.00000008000001</v>
      </c>
    </row>
    <row r="375" spans="1:24">
      <c r="A375" s="86">
        <f>'Stats 2023'!D58</f>
        <v>45163</v>
      </c>
      <c r="B375" s="128">
        <f>'Stats 2023'!E58</f>
        <v>0</v>
      </c>
      <c r="C375" s="128">
        <f>'Stats 2023'!F58</f>
        <v>1</v>
      </c>
      <c r="D375" s="128">
        <f>'Stats 2023'!G58</f>
        <v>0</v>
      </c>
      <c r="E375" s="128">
        <f>'Stats 2023'!H58</f>
        <v>0</v>
      </c>
      <c r="F375" s="128">
        <f>'Stats 2023'!I58</f>
        <v>1</v>
      </c>
      <c r="G375" s="128">
        <f>'Stats 2023'!J58</f>
        <v>1</v>
      </c>
      <c r="K375" s="86">
        <v>45163</v>
      </c>
      <c r="L375" s="126">
        <f t="shared" si="153"/>
        <v>261.00000008000001</v>
      </c>
      <c r="M375" s="126">
        <f t="shared" si="154"/>
        <v>149.00000008000001</v>
      </c>
      <c r="N375" s="126">
        <f t="shared" si="155"/>
        <v>270</v>
      </c>
      <c r="O375" s="126">
        <f t="shared" si="156"/>
        <v>149</v>
      </c>
      <c r="P375" s="126">
        <f t="shared" si="157"/>
        <v>287</v>
      </c>
      <c r="Q375" s="126">
        <f t="shared" si="158"/>
        <v>303</v>
      </c>
      <c r="R375" s="126">
        <f t="shared" si="159"/>
        <v>16</v>
      </c>
      <c r="S375" s="1">
        <f t="shared" si="160"/>
        <v>1</v>
      </c>
      <c r="T375" s="126">
        <f t="shared" si="117"/>
        <v>16</v>
      </c>
      <c r="U375" s="126">
        <f t="shared" si="161"/>
        <v>1419.0000001600001</v>
      </c>
      <c r="W375" s="126">
        <f t="shared" si="162"/>
        <v>303</v>
      </c>
      <c r="X375" s="126">
        <f t="shared" si="163"/>
        <v>298.00000008000001</v>
      </c>
    </row>
    <row r="376" spans="1:24">
      <c r="A376" s="86">
        <f>'Stats 2023'!D59</f>
        <v>45170</v>
      </c>
      <c r="B376" s="128">
        <f>'Stats 2023'!E59</f>
        <v>1</v>
      </c>
      <c r="C376" s="128">
        <f>'Stats 2023'!F59</f>
        <v>1</v>
      </c>
      <c r="D376" s="128">
        <f>'Stats 2023'!G59</f>
        <v>1</v>
      </c>
      <c r="E376" s="128">
        <f>'Stats 2023'!H59</f>
        <v>0</v>
      </c>
      <c r="F376" s="128">
        <f>'Stats 2023'!I59</f>
        <v>1</v>
      </c>
      <c r="G376" s="128">
        <f>'Stats 2023'!J59</f>
        <v>0</v>
      </c>
      <c r="K376" s="86">
        <v>45170</v>
      </c>
      <c r="L376" s="126">
        <f t="shared" si="153"/>
        <v>262.00000008000001</v>
      </c>
      <c r="M376" s="126">
        <f t="shared" si="154"/>
        <v>150.00000008000001</v>
      </c>
      <c r="N376" s="126">
        <f t="shared" si="155"/>
        <v>271</v>
      </c>
      <c r="O376" s="126">
        <f t="shared" si="156"/>
        <v>149</v>
      </c>
      <c r="P376" s="126">
        <f t="shared" si="157"/>
        <v>288</v>
      </c>
      <c r="Q376" s="126">
        <f t="shared" si="158"/>
        <v>303</v>
      </c>
      <c r="R376" s="126">
        <f t="shared" si="159"/>
        <v>15</v>
      </c>
      <c r="S376" s="1">
        <f t="shared" si="160"/>
        <v>1</v>
      </c>
      <c r="T376" s="126">
        <f t="shared" si="117"/>
        <v>15</v>
      </c>
      <c r="U376" s="126">
        <f t="shared" si="161"/>
        <v>1423.0000001600001</v>
      </c>
      <c r="W376" s="126">
        <f t="shared" si="162"/>
        <v>303</v>
      </c>
      <c r="X376" s="126">
        <f t="shared" si="163"/>
        <v>299.00000008000001</v>
      </c>
    </row>
    <row r="377" spans="1:24">
      <c r="A377" s="86">
        <f>'Stats 2023'!D60</f>
        <v>45177</v>
      </c>
      <c r="B377" s="128">
        <f>'Stats 2023'!E60</f>
        <v>0</v>
      </c>
      <c r="C377" s="128">
        <f>'Stats 2023'!F60</f>
        <v>1</v>
      </c>
      <c r="D377" s="128">
        <f>'Stats 2023'!G60</f>
        <v>0</v>
      </c>
      <c r="E377" s="128">
        <f>'Stats 2023'!H60</f>
        <v>1</v>
      </c>
      <c r="F377" s="128">
        <f>'Stats 2023'!I60</f>
        <v>1</v>
      </c>
      <c r="G377" s="128">
        <f>'Stats 2023'!J60</f>
        <v>1</v>
      </c>
      <c r="K377" s="86">
        <v>45177</v>
      </c>
      <c r="L377" s="126">
        <f t="shared" si="153"/>
        <v>262.00000008000001</v>
      </c>
      <c r="M377" s="126">
        <f t="shared" si="154"/>
        <v>151.00000008000001</v>
      </c>
      <c r="N377" s="126">
        <f t="shared" si="155"/>
        <v>271</v>
      </c>
      <c r="O377" s="126">
        <f t="shared" si="156"/>
        <v>150</v>
      </c>
      <c r="P377" s="126">
        <f t="shared" si="157"/>
        <v>289</v>
      </c>
      <c r="Q377" s="126">
        <f t="shared" si="158"/>
        <v>304</v>
      </c>
      <c r="R377" s="126">
        <f t="shared" si="159"/>
        <v>15</v>
      </c>
      <c r="S377" s="1">
        <f t="shared" si="160"/>
        <v>1</v>
      </c>
      <c r="T377" s="126">
        <f t="shared" si="117"/>
        <v>15</v>
      </c>
      <c r="U377" s="126">
        <f t="shared" si="161"/>
        <v>1427.0000001600001</v>
      </c>
      <c r="W377" s="126">
        <f t="shared" si="162"/>
        <v>304</v>
      </c>
      <c r="X377" s="126">
        <f t="shared" si="163"/>
        <v>301.00000008000001</v>
      </c>
    </row>
    <row r="378" spans="1:24">
      <c r="A378" s="86">
        <f>'Stats 2023'!D61</f>
        <v>45184</v>
      </c>
      <c r="B378" s="128">
        <f>'Stats 2023'!E61</f>
        <v>1</v>
      </c>
      <c r="C378" s="128">
        <f>'Stats 2023'!F61</f>
        <v>0</v>
      </c>
      <c r="D378" s="128">
        <f>'Stats 2023'!G61</f>
        <v>0</v>
      </c>
      <c r="E378" s="128">
        <f>'Stats 2023'!H61</f>
        <v>0</v>
      </c>
      <c r="F378" s="128">
        <f>'Stats 2023'!I61</f>
        <v>1</v>
      </c>
      <c r="G378" s="128">
        <f>'Stats 2023'!J61</f>
        <v>1</v>
      </c>
      <c r="K378" s="86">
        <v>45184</v>
      </c>
      <c r="L378" s="126">
        <f t="shared" si="153"/>
        <v>263.00000008000001</v>
      </c>
      <c r="M378" s="126">
        <f t="shared" si="154"/>
        <v>151.00000008000001</v>
      </c>
      <c r="N378" s="126">
        <f t="shared" si="155"/>
        <v>271</v>
      </c>
      <c r="O378" s="126">
        <f t="shared" si="156"/>
        <v>150</v>
      </c>
      <c r="P378" s="126">
        <f t="shared" si="157"/>
        <v>290</v>
      </c>
      <c r="Q378" s="126">
        <f t="shared" si="158"/>
        <v>305</v>
      </c>
      <c r="R378" s="126">
        <f t="shared" si="159"/>
        <v>15</v>
      </c>
      <c r="S378" s="1">
        <f t="shared" si="160"/>
        <v>1</v>
      </c>
      <c r="T378" s="126">
        <f t="shared" si="117"/>
        <v>15</v>
      </c>
      <c r="U378" s="126">
        <f t="shared" si="161"/>
        <v>1430.0000001600001</v>
      </c>
      <c r="W378" s="126">
        <f t="shared" si="162"/>
        <v>305</v>
      </c>
      <c r="X378" s="126">
        <f t="shared" si="163"/>
        <v>301.00000008000001</v>
      </c>
    </row>
    <row r="379" spans="1:24">
      <c r="A379" s="86">
        <f>'Stats 2023'!D62</f>
        <v>45191</v>
      </c>
      <c r="B379" s="128">
        <f>'Stats 2023'!E62</f>
        <v>0</v>
      </c>
      <c r="C379" s="128">
        <f>'Stats 2023'!F62</f>
        <v>0</v>
      </c>
      <c r="D379" s="128">
        <f>'Stats 2023'!G62</f>
        <v>1</v>
      </c>
      <c r="E379" s="128">
        <f>'Stats 2023'!H62</f>
        <v>1</v>
      </c>
      <c r="F379" s="128">
        <f>'Stats 2023'!I62</f>
        <v>1</v>
      </c>
      <c r="G379" s="128">
        <f>'Stats 2023'!J62</f>
        <v>1</v>
      </c>
      <c r="K379" s="86">
        <v>45191</v>
      </c>
      <c r="L379" s="126">
        <f t="shared" si="153"/>
        <v>263.00000008000001</v>
      </c>
      <c r="M379" s="126">
        <f t="shared" si="154"/>
        <v>151.00000008000001</v>
      </c>
      <c r="N379" s="126">
        <f t="shared" si="155"/>
        <v>272</v>
      </c>
      <c r="O379" s="126">
        <f t="shared" si="156"/>
        <v>151</v>
      </c>
      <c r="P379" s="126">
        <f t="shared" si="157"/>
        <v>291</v>
      </c>
      <c r="Q379" s="126">
        <f t="shared" si="158"/>
        <v>306</v>
      </c>
      <c r="R379" s="126">
        <f t="shared" si="159"/>
        <v>15</v>
      </c>
      <c r="S379" s="1">
        <f t="shared" si="160"/>
        <v>1</v>
      </c>
      <c r="T379" s="126">
        <f t="shared" si="117"/>
        <v>15</v>
      </c>
      <c r="U379" s="126">
        <f t="shared" si="161"/>
        <v>1434.0000001600001</v>
      </c>
      <c r="W379" s="126">
        <f t="shared" si="162"/>
        <v>306</v>
      </c>
      <c r="X379" s="126">
        <f t="shared" si="163"/>
        <v>302.00000008000001</v>
      </c>
    </row>
    <row r="380" spans="1:24">
      <c r="A380" s="86">
        <f>'Stats 2023'!D64</f>
        <v>45198</v>
      </c>
      <c r="B380" s="128">
        <f>'Stats 2023'!E64</f>
        <v>0</v>
      </c>
      <c r="C380" s="128">
        <f>'Stats 2023'!F64</f>
        <v>0</v>
      </c>
      <c r="D380" s="128">
        <f>'Stats 2023'!G64</f>
        <v>0</v>
      </c>
      <c r="E380" s="128">
        <f>'Stats 2023'!H64</f>
        <v>0</v>
      </c>
      <c r="F380" s="128">
        <f>'Stats 2023'!I64</f>
        <v>0</v>
      </c>
      <c r="G380" s="128">
        <f>'Stats 2023'!J64</f>
        <v>1</v>
      </c>
      <c r="K380" s="86">
        <v>45198</v>
      </c>
      <c r="L380" s="126">
        <f t="shared" si="153"/>
        <v>263.00000008000001</v>
      </c>
      <c r="M380" s="126">
        <f t="shared" si="154"/>
        <v>151.00000008000001</v>
      </c>
      <c r="N380" s="126">
        <f t="shared" si="155"/>
        <v>272</v>
      </c>
      <c r="O380" s="126">
        <f t="shared" si="156"/>
        <v>151</v>
      </c>
      <c r="P380" s="126">
        <f t="shared" si="157"/>
        <v>291</v>
      </c>
      <c r="Q380" s="126">
        <f t="shared" si="158"/>
        <v>307</v>
      </c>
      <c r="R380" s="126">
        <f t="shared" si="159"/>
        <v>16</v>
      </c>
      <c r="S380" s="1">
        <f t="shared" si="160"/>
        <v>1</v>
      </c>
      <c r="T380" s="126">
        <f t="shared" si="117"/>
        <v>16</v>
      </c>
      <c r="U380" s="126">
        <f t="shared" si="161"/>
        <v>1435.0000001600001</v>
      </c>
      <c r="W380" s="126">
        <f t="shared" si="162"/>
        <v>307</v>
      </c>
      <c r="X380" s="126">
        <f t="shared" si="163"/>
        <v>302.00000008000001</v>
      </c>
    </row>
    <row r="381" spans="1:24">
      <c r="A381" s="86">
        <f>'Stats 2023'!D66</f>
        <v>45205</v>
      </c>
      <c r="B381" s="128">
        <f>'Stats 2023'!E66</f>
        <v>0</v>
      </c>
      <c r="C381" s="128">
        <f>'Stats 2023'!F66</f>
        <v>1</v>
      </c>
      <c r="D381" s="128">
        <f>'Stats 2023'!G66</f>
        <v>0</v>
      </c>
      <c r="E381" s="128">
        <f>'Stats 2023'!H66</f>
        <v>1</v>
      </c>
      <c r="F381" s="128">
        <f>'Stats 2023'!I66</f>
        <v>1</v>
      </c>
      <c r="G381" s="128">
        <f>'Stats 2023'!J66</f>
        <v>0</v>
      </c>
      <c r="K381" s="86">
        <v>45205</v>
      </c>
      <c r="L381" s="126">
        <f t="shared" si="153"/>
        <v>263.00000008000001</v>
      </c>
      <c r="M381" s="126">
        <f t="shared" si="154"/>
        <v>152.00000008000001</v>
      </c>
      <c r="N381" s="126">
        <f t="shared" si="155"/>
        <v>272</v>
      </c>
      <c r="O381" s="126">
        <f t="shared" si="156"/>
        <v>152</v>
      </c>
      <c r="P381" s="126">
        <f t="shared" si="157"/>
        <v>292</v>
      </c>
      <c r="Q381" s="126">
        <f t="shared" si="158"/>
        <v>307</v>
      </c>
      <c r="R381" s="126">
        <f t="shared" si="159"/>
        <v>15</v>
      </c>
      <c r="S381" s="1">
        <f t="shared" si="160"/>
        <v>1</v>
      </c>
      <c r="T381" s="126">
        <f t="shared" si="117"/>
        <v>15</v>
      </c>
      <c r="U381" s="126">
        <f t="shared" si="161"/>
        <v>1438.0000001600001</v>
      </c>
      <c r="W381" s="126">
        <f t="shared" si="162"/>
        <v>307</v>
      </c>
      <c r="X381" s="126">
        <f t="shared" si="163"/>
        <v>304.00000008000001</v>
      </c>
    </row>
    <row r="382" spans="1:24">
      <c r="A382" s="86">
        <f>'Stats 2023'!D67</f>
        <v>45212</v>
      </c>
      <c r="B382" s="128">
        <f>'Stats 2023'!E67</f>
        <v>1</v>
      </c>
      <c r="C382" s="128">
        <f>'Stats 2023'!F67</f>
        <v>0</v>
      </c>
      <c r="D382" s="128">
        <f>'Stats 2023'!G67</f>
        <v>1</v>
      </c>
      <c r="E382" s="128">
        <f>'Stats 2023'!H67</f>
        <v>0</v>
      </c>
      <c r="F382" s="128">
        <f>'Stats 2023'!I67</f>
        <v>0</v>
      </c>
      <c r="G382" s="128">
        <f>'Stats 2023'!J67</f>
        <v>1</v>
      </c>
      <c r="K382" s="86">
        <v>45212</v>
      </c>
      <c r="L382" s="126">
        <f t="shared" si="153"/>
        <v>264.00000008000001</v>
      </c>
      <c r="M382" s="126">
        <f t="shared" si="154"/>
        <v>152.00000008000001</v>
      </c>
      <c r="N382" s="126">
        <f t="shared" si="155"/>
        <v>273</v>
      </c>
      <c r="O382" s="126">
        <f t="shared" si="156"/>
        <v>152</v>
      </c>
      <c r="P382" s="126">
        <f t="shared" si="157"/>
        <v>292</v>
      </c>
      <c r="Q382" s="126">
        <f t="shared" si="158"/>
        <v>308</v>
      </c>
      <c r="R382" s="126">
        <f t="shared" si="159"/>
        <v>16</v>
      </c>
      <c r="S382" s="1">
        <f t="shared" si="160"/>
        <v>1</v>
      </c>
      <c r="T382" s="126">
        <f t="shared" si="117"/>
        <v>16</v>
      </c>
      <c r="U382" s="126">
        <f t="shared" si="161"/>
        <v>1441.0000001600001</v>
      </c>
      <c r="W382" s="126">
        <f t="shared" si="162"/>
        <v>308</v>
      </c>
      <c r="X382" s="126">
        <f t="shared" si="163"/>
        <v>304.00000008000001</v>
      </c>
    </row>
    <row r="383" spans="1:24">
      <c r="A383" s="86">
        <f>'Stats 2023'!D68</f>
        <v>45219</v>
      </c>
      <c r="B383" s="128">
        <f>'Stats 2023'!E68</f>
        <v>0</v>
      </c>
      <c r="C383" s="128">
        <f>'Stats 2023'!F68</f>
        <v>0</v>
      </c>
      <c r="D383" s="128">
        <f>'Stats 2023'!G68</f>
        <v>0</v>
      </c>
      <c r="E383" s="128">
        <f>'Stats 2023'!H68</f>
        <v>0</v>
      </c>
      <c r="F383" s="128">
        <f>'Stats 2023'!I68</f>
        <v>0</v>
      </c>
      <c r="G383" s="128">
        <f>'Stats 2023'!J68</f>
        <v>0</v>
      </c>
      <c r="K383" s="86">
        <v>45219</v>
      </c>
      <c r="L383" s="126">
        <f t="shared" si="153"/>
        <v>264.00000008000001</v>
      </c>
      <c r="M383" s="126">
        <f t="shared" si="154"/>
        <v>152.00000008000001</v>
      </c>
      <c r="N383" s="126">
        <f t="shared" si="155"/>
        <v>273</v>
      </c>
      <c r="O383" s="126">
        <f t="shared" si="156"/>
        <v>152</v>
      </c>
      <c r="P383" s="126">
        <f t="shared" si="157"/>
        <v>292</v>
      </c>
      <c r="Q383" s="126">
        <f t="shared" si="158"/>
        <v>308</v>
      </c>
      <c r="R383" s="126">
        <f t="shared" si="159"/>
        <v>16</v>
      </c>
      <c r="S383" s="1">
        <f t="shared" si="160"/>
        <v>1</v>
      </c>
      <c r="T383" s="126">
        <f t="shared" si="117"/>
        <v>16</v>
      </c>
      <c r="U383" s="126">
        <f t="shared" si="161"/>
        <v>1441.0000001600001</v>
      </c>
      <c r="W383" s="126">
        <f t="shared" si="162"/>
        <v>308</v>
      </c>
      <c r="X383" s="126">
        <f t="shared" si="163"/>
        <v>304.00000008000001</v>
      </c>
    </row>
    <row r="384" spans="1:24">
      <c r="A384" s="86">
        <f>'Stats 2023'!D69</f>
        <v>45226</v>
      </c>
      <c r="B384" s="128">
        <f>'Stats 2023'!E69</f>
        <v>1</v>
      </c>
      <c r="C384" s="128">
        <f>'Stats 2023'!F69</f>
        <v>0</v>
      </c>
      <c r="D384" s="128">
        <f>'Stats 2023'!G69</f>
        <v>1</v>
      </c>
      <c r="E384" s="128">
        <f>'Stats 2023'!H69</f>
        <v>0</v>
      </c>
      <c r="F384" s="128">
        <f>'Stats 2023'!I69</f>
        <v>0</v>
      </c>
      <c r="G384" s="128">
        <f>'Stats 2023'!J69</f>
        <v>1</v>
      </c>
      <c r="K384" s="86">
        <v>45226</v>
      </c>
      <c r="L384" s="126">
        <f t="shared" si="153"/>
        <v>265.00000008000001</v>
      </c>
      <c r="M384" s="126">
        <f t="shared" si="154"/>
        <v>152.00000008000001</v>
      </c>
      <c r="N384" s="126">
        <f t="shared" si="155"/>
        <v>274</v>
      </c>
      <c r="O384" s="126">
        <f t="shared" si="156"/>
        <v>152</v>
      </c>
      <c r="P384" s="126">
        <f t="shared" si="157"/>
        <v>292</v>
      </c>
      <c r="Q384" s="126">
        <f t="shared" si="158"/>
        <v>309</v>
      </c>
      <c r="R384" s="126">
        <f t="shared" si="159"/>
        <v>17</v>
      </c>
      <c r="S384" s="1">
        <f t="shared" si="160"/>
        <v>1</v>
      </c>
      <c r="T384" s="126">
        <f t="shared" si="117"/>
        <v>17</v>
      </c>
      <c r="U384" s="126">
        <f t="shared" si="161"/>
        <v>1444.0000001600001</v>
      </c>
      <c r="W384" s="126">
        <f t="shared" si="162"/>
        <v>309</v>
      </c>
      <c r="X384" s="126">
        <f t="shared" si="163"/>
        <v>304.00000008000001</v>
      </c>
    </row>
    <row r="385" spans="1:24">
      <c r="A385" s="86">
        <f>'Stats 2023'!D70</f>
        <v>45233</v>
      </c>
      <c r="B385" s="128">
        <f>'Stats 2023'!E70</f>
        <v>0</v>
      </c>
      <c r="C385" s="128">
        <f>'Stats 2023'!F70</f>
        <v>1</v>
      </c>
      <c r="D385" s="128">
        <f>'Stats 2023'!G70</f>
        <v>1</v>
      </c>
      <c r="E385" s="128">
        <f>'Stats 2023'!H70</f>
        <v>1</v>
      </c>
      <c r="F385" s="128">
        <f>'Stats 2023'!I70</f>
        <v>1</v>
      </c>
      <c r="G385" s="128">
        <f>'Stats 2023'!J70</f>
        <v>1</v>
      </c>
      <c r="K385" s="86">
        <v>45233</v>
      </c>
      <c r="L385" s="126">
        <f t="shared" si="153"/>
        <v>265.00000008000001</v>
      </c>
      <c r="M385" s="126">
        <f t="shared" si="154"/>
        <v>153.00000008000001</v>
      </c>
      <c r="N385" s="126">
        <f t="shared" si="155"/>
        <v>275</v>
      </c>
      <c r="O385" s="126">
        <f t="shared" si="156"/>
        <v>153</v>
      </c>
      <c r="P385" s="126">
        <f t="shared" si="157"/>
        <v>293</v>
      </c>
      <c r="Q385" s="126">
        <f t="shared" si="158"/>
        <v>310</v>
      </c>
      <c r="R385" s="126">
        <f t="shared" si="159"/>
        <v>17</v>
      </c>
      <c r="S385" s="1">
        <f t="shared" si="160"/>
        <v>1</v>
      </c>
      <c r="T385" s="126">
        <f t="shared" si="117"/>
        <v>17</v>
      </c>
      <c r="U385" s="126">
        <f t="shared" si="161"/>
        <v>1449.0000001600001</v>
      </c>
      <c r="W385" s="126">
        <f t="shared" si="162"/>
        <v>310</v>
      </c>
      <c r="X385" s="126">
        <f t="shared" si="163"/>
        <v>306.00000008000001</v>
      </c>
    </row>
    <row r="386" spans="1:24">
      <c r="A386" s="86">
        <f>'Stats 2023'!D72</f>
        <v>45240</v>
      </c>
      <c r="B386" s="128">
        <f>'Stats 2023'!E72</f>
        <v>1</v>
      </c>
      <c r="C386" s="128">
        <f>'Stats 2023'!F72</f>
        <v>1</v>
      </c>
      <c r="D386" s="128">
        <f>'Stats 2023'!G72</f>
        <v>0</v>
      </c>
      <c r="E386" s="128">
        <f>'Stats 2023'!H72</f>
        <v>0</v>
      </c>
      <c r="F386" s="128">
        <f>'Stats 2023'!I72</f>
        <v>1</v>
      </c>
      <c r="G386" s="128">
        <f>'Stats 2023'!J72</f>
        <v>1</v>
      </c>
      <c r="K386" s="86">
        <v>45240</v>
      </c>
      <c r="L386" s="126">
        <f t="shared" si="153"/>
        <v>266.00000008000001</v>
      </c>
      <c r="M386" s="126">
        <f t="shared" si="154"/>
        <v>154.00000008000001</v>
      </c>
      <c r="N386" s="126">
        <f t="shared" si="155"/>
        <v>275</v>
      </c>
      <c r="O386" s="126">
        <f t="shared" si="156"/>
        <v>153</v>
      </c>
      <c r="P386" s="126">
        <f t="shared" si="157"/>
        <v>294</v>
      </c>
      <c r="Q386" s="126">
        <f t="shared" si="158"/>
        <v>311</v>
      </c>
      <c r="R386" s="126">
        <f t="shared" si="159"/>
        <v>17</v>
      </c>
      <c r="S386" s="1">
        <f t="shared" si="160"/>
        <v>1</v>
      </c>
      <c r="T386" s="126">
        <f t="shared" ref="T386:T448" si="164">Q386-MAX(L386:P386)</f>
        <v>17</v>
      </c>
      <c r="U386" s="126">
        <f t="shared" si="161"/>
        <v>1453.0000001600001</v>
      </c>
      <c r="W386" s="126">
        <f t="shared" si="162"/>
        <v>311</v>
      </c>
      <c r="X386" s="126">
        <f t="shared" si="163"/>
        <v>307.00000008000001</v>
      </c>
    </row>
    <row r="387" spans="1:24">
      <c r="A387" s="86">
        <f>'Stats 2023'!D74</f>
        <v>45247</v>
      </c>
      <c r="B387" s="128">
        <f>'Stats 2023'!E74</f>
        <v>1</v>
      </c>
      <c r="C387" s="128">
        <f>'Stats 2023'!F74</f>
        <v>0</v>
      </c>
      <c r="D387" s="128">
        <f>'Stats 2023'!G74</f>
        <v>1</v>
      </c>
      <c r="E387" s="128">
        <f>'Stats 2023'!H74</f>
        <v>1</v>
      </c>
      <c r="F387" s="128">
        <f>'Stats 2023'!I74</f>
        <v>0</v>
      </c>
      <c r="G387" s="128">
        <f>'Stats 2023'!J74</f>
        <v>1</v>
      </c>
      <c r="K387" s="86">
        <v>45247</v>
      </c>
      <c r="L387" s="126">
        <f t="shared" si="153"/>
        <v>267.00000008000001</v>
      </c>
      <c r="M387" s="126">
        <f t="shared" si="154"/>
        <v>154.00000008000001</v>
      </c>
      <c r="N387" s="126">
        <f t="shared" si="155"/>
        <v>276</v>
      </c>
      <c r="O387" s="126">
        <f t="shared" si="156"/>
        <v>154</v>
      </c>
      <c r="P387" s="126">
        <f t="shared" si="157"/>
        <v>294</v>
      </c>
      <c r="Q387" s="126">
        <f t="shared" si="158"/>
        <v>312</v>
      </c>
      <c r="R387" s="126">
        <f t="shared" si="159"/>
        <v>18</v>
      </c>
      <c r="S387" s="1">
        <f t="shared" si="160"/>
        <v>1</v>
      </c>
      <c r="T387" s="126">
        <f t="shared" si="164"/>
        <v>18</v>
      </c>
      <c r="U387" s="126">
        <f t="shared" si="161"/>
        <v>1457.0000001600001</v>
      </c>
      <c r="W387" s="126">
        <f t="shared" si="162"/>
        <v>312</v>
      </c>
      <c r="X387" s="126">
        <f t="shared" si="163"/>
        <v>308.00000008000001</v>
      </c>
    </row>
    <row r="388" spans="1:24">
      <c r="A388" s="86">
        <f>'Stats 2023'!D75</f>
        <v>45254</v>
      </c>
      <c r="B388" s="128">
        <f>'Stats 2023'!E75</f>
        <v>0</v>
      </c>
      <c r="C388" s="128">
        <f>'Stats 2023'!F75</f>
        <v>0</v>
      </c>
      <c r="D388" s="128">
        <f>'Stats 2023'!G75</f>
        <v>0</v>
      </c>
      <c r="E388" s="128">
        <f>'Stats 2023'!H75</f>
        <v>0</v>
      </c>
      <c r="F388" s="128">
        <f>'Stats 2023'!I75</f>
        <v>0</v>
      </c>
      <c r="G388" s="128">
        <f>'Stats 2023'!J75</f>
        <v>0</v>
      </c>
      <c r="K388" s="86">
        <v>45254</v>
      </c>
      <c r="L388" s="126">
        <f t="shared" si="153"/>
        <v>267.00000008000001</v>
      </c>
      <c r="M388" s="126">
        <f t="shared" si="154"/>
        <v>154.00000008000001</v>
      </c>
      <c r="N388" s="126">
        <f t="shared" si="155"/>
        <v>276</v>
      </c>
      <c r="O388" s="126">
        <f t="shared" si="156"/>
        <v>154</v>
      </c>
      <c r="P388" s="126">
        <f t="shared" si="157"/>
        <v>294</v>
      </c>
      <c r="Q388" s="126">
        <f t="shared" si="158"/>
        <v>312</v>
      </c>
      <c r="R388" s="126">
        <f t="shared" si="159"/>
        <v>18</v>
      </c>
      <c r="S388" s="1">
        <f t="shared" si="160"/>
        <v>1</v>
      </c>
      <c r="T388" s="126">
        <f t="shared" si="164"/>
        <v>18</v>
      </c>
      <c r="U388" s="126">
        <f t="shared" si="161"/>
        <v>1457.0000001600001</v>
      </c>
      <c r="W388" s="126">
        <f t="shared" si="162"/>
        <v>312</v>
      </c>
      <c r="X388" s="126">
        <f t="shared" si="163"/>
        <v>308.00000008000001</v>
      </c>
    </row>
    <row r="389" spans="1:24">
      <c r="A389" s="86">
        <f>'Stats 2023'!D76</f>
        <v>45261</v>
      </c>
      <c r="B389" s="128">
        <f>'Stats 2023'!E76</f>
        <v>0</v>
      </c>
      <c r="C389" s="128">
        <f>'Stats 2023'!F76</f>
        <v>1</v>
      </c>
      <c r="D389" s="128">
        <f>'Stats 2023'!G76</f>
        <v>1</v>
      </c>
      <c r="E389" s="128">
        <f>'Stats 2023'!H76</f>
        <v>0</v>
      </c>
      <c r="F389" s="128">
        <f>'Stats 2023'!I76</f>
        <v>1</v>
      </c>
      <c r="G389" s="128">
        <f>'Stats 2023'!J76</f>
        <v>0</v>
      </c>
      <c r="K389" s="86">
        <v>45261</v>
      </c>
      <c r="L389" s="126">
        <f t="shared" si="153"/>
        <v>267.00000008000001</v>
      </c>
      <c r="M389" s="126">
        <f t="shared" si="154"/>
        <v>155.00000008000001</v>
      </c>
      <c r="N389" s="126">
        <f t="shared" si="155"/>
        <v>277</v>
      </c>
      <c r="O389" s="126">
        <f t="shared" si="156"/>
        <v>154</v>
      </c>
      <c r="P389" s="126">
        <f t="shared" si="157"/>
        <v>295</v>
      </c>
      <c r="Q389" s="126">
        <f t="shared" si="158"/>
        <v>312</v>
      </c>
      <c r="R389" s="126">
        <f t="shared" si="159"/>
        <v>17</v>
      </c>
      <c r="S389" s="1">
        <f t="shared" si="160"/>
        <v>1</v>
      </c>
      <c r="T389" s="126">
        <f t="shared" si="164"/>
        <v>17</v>
      </c>
      <c r="U389" s="126">
        <f t="shared" si="161"/>
        <v>1460.0000001600001</v>
      </c>
      <c r="W389" s="126">
        <f t="shared" si="162"/>
        <v>312</v>
      </c>
      <c r="X389" s="126">
        <f t="shared" si="163"/>
        <v>309.00000008000001</v>
      </c>
    </row>
    <row r="390" spans="1:24">
      <c r="A390" s="86">
        <f>'Stats 2023'!D78</f>
        <v>45268</v>
      </c>
      <c r="B390" s="128">
        <f>'Stats 2023'!E78</f>
        <v>0</v>
      </c>
      <c r="C390" s="128">
        <f>'Stats 2023'!F78</f>
        <v>0</v>
      </c>
      <c r="D390" s="128">
        <f>'Stats 2023'!G78</f>
        <v>0</v>
      </c>
      <c r="E390" s="128">
        <f>'Stats 2023'!H78</f>
        <v>1</v>
      </c>
      <c r="F390" s="128">
        <f>'Stats 2023'!I78</f>
        <v>1</v>
      </c>
      <c r="G390" s="128">
        <f>'Stats 2023'!J78</f>
        <v>1</v>
      </c>
      <c r="K390" s="86">
        <v>45268</v>
      </c>
      <c r="L390" s="126">
        <f t="shared" si="153"/>
        <v>267.00000008000001</v>
      </c>
      <c r="M390" s="126">
        <f t="shared" si="154"/>
        <v>155.00000008000001</v>
      </c>
      <c r="N390" s="126">
        <f t="shared" si="155"/>
        <v>277</v>
      </c>
      <c r="O390" s="126">
        <f t="shared" si="156"/>
        <v>155</v>
      </c>
      <c r="P390" s="126">
        <f t="shared" si="157"/>
        <v>296</v>
      </c>
      <c r="Q390" s="126">
        <f t="shared" si="158"/>
        <v>313</v>
      </c>
      <c r="R390" s="126">
        <f t="shared" si="159"/>
        <v>17</v>
      </c>
      <c r="S390" s="1">
        <f t="shared" si="160"/>
        <v>1</v>
      </c>
      <c r="T390" s="126">
        <f t="shared" si="164"/>
        <v>17</v>
      </c>
      <c r="U390" s="126">
        <f t="shared" si="161"/>
        <v>1463.0000001600001</v>
      </c>
      <c r="W390" s="126">
        <f t="shared" si="162"/>
        <v>313</v>
      </c>
      <c r="X390" s="126">
        <f t="shared" si="163"/>
        <v>310.00000008000001</v>
      </c>
    </row>
    <row r="391" spans="1:24">
      <c r="A391" s="86">
        <f>'Stats 2023'!D79</f>
        <v>45275</v>
      </c>
      <c r="B391" s="128">
        <f>'Stats 2023'!E79</f>
        <v>1</v>
      </c>
      <c r="C391" s="128">
        <f>'Stats 2023'!F79</f>
        <v>0</v>
      </c>
      <c r="D391" s="128">
        <f>'Stats 2023'!G79</f>
        <v>1</v>
      </c>
      <c r="E391" s="128">
        <f>'Stats 2023'!H79</f>
        <v>0</v>
      </c>
      <c r="F391" s="128">
        <f>'Stats 2023'!I79</f>
        <v>1</v>
      </c>
      <c r="G391" s="128">
        <f>'Stats 2023'!J79</f>
        <v>1</v>
      </c>
      <c r="K391" s="86">
        <v>45275</v>
      </c>
      <c r="L391" s="126">
        <f t="shared" si="153"/>
        <v>268.00000008000001</v>
      </c>
      <c r="M391" s="126">
        <f t="shared" si="154"/>
        <v>155.00000008000001</v>
      </c>
      <c r="N391" s="126">
        <f t="shared" si="155"/>
        <v>278</v>
      </c>
      <c r="O391" s="126">
        <f t="shared" si="156"/>
        <v>155</v>
      </c>
      <c r="P391" s="126">
        <f t="shared" si="157"/>
        <v>297</v>
      </c>
      <c r="Q391" s="126">
        <f t="shared" si="158"/>
        <v>314</v>
      </c>
      <c r="R391" s="126">
        <f t="shared" si="159"/>
        <v>17</v>
      </c>
      <c r="S391" s="1">
        <f t="shared" si="160"/>
        <v>1</v>
      </c>
      <c r="T391" s="126">
        <f t="shared" si="164"/>
        <v>17</v>
      </c>
      <c r="U391" s="126">
        <f t="shared" si="161"/>
        <v>1467.0000001600001</v>
      </c>
      <c r="W391" s="126">
        <f t="shared" si="162"/>
        <v>314</v>
      </c>
      <c r="X391" s="126">
        <f t="shared" si="163"/>
        <v>310.00000008000001</v>
      </c>
    </row>
    <row r="392" spans="1:24">
      <c r="A392" s="86">
        <f>'Stats 2023'!D80</f>
        <v>45282</v>
      </c>
      <c r="B392" s="128">
        <f>'Stats 2023'!E80</f>
        <v>1</v>
      </c>
      <c r="C392" s="128">
        <f>'Stats 2023'!F80</f>
        <v>1</v>
      </c>
      <c r="D392" s="128">
        <f>'Stats 2023'!G80</f>
        <v>1</v>
      </c>
      <c r="E392" s="128">
        <f>'Stats 2023'!H80</f>
        <v>0</v>
      </c>
      <c r="F392" s="128">
        <f>'Stats 2023'!I80</f>
        <v>0</v>
      </c>
      <c r="G392" s="128">
        <f>'Stats 2023'!J80</f>
        <v>0</v>
      </c>
      <c r="K392" s="86">
        <v>45282</v>
      </c>
      <c r="L392" s="126">
        <f t="shared" si="153"/>
        <v>269.00000008000001</v>
      </c>
      <c r="M392" s="126">
        <f t="shared" si="154"/>
        <v>156.00000008000001</v>
      </c>
      <c r="N392" s="126">
        <f t="shared" si="155"/>
        <v>279</v>
      </c>
      <c r="O392" s="126">
        <f t="shared" si="156"/>
        <v>155</v>
      </c>
      <c r="P392" s="126">
        <f t="shared" si="157"/>
        <v>297</v>
      </c>
      <c r="Q392" s="126">
        <f t="shared" si="158"/>
        <v>314</v>
      </c>
      <c r="R392" s="126">
        <f t="shared" si="159"/>
        <v>17</v>
      </c>
      <c r="S392" s="1">
        <f t="shared" si="160"/>
        <v>1</v>
      </c>
      <c r="T392" s="126">
        <f t="shared" si="164"/>
        <v>17</v>
      </c>
      <c r="U392" s="126">
        <f t="shared" si="161"/>
        <v>1470.0000001600001</v>
      </c>
      <c r="W392" s="126">
        <f t="shared" si="162"/>
        <v>314</v>
      </c>
      <c r="X392" s="126">
        <f t="shared" si="163"/>
        <v>311.00000008000001</v>
      </c>
    </row>
    <row r="393" spans="1:24">
      <c r="A393" s="86">
        <f>'Stats 2023'!D82</f>
        <v>45289</v>
      </c>
      <c r="B393" s="128">
        <f>'Stats 2023'!E82</f>
        <v>0</v>
      </c>
      <c r="C393" s="128">
        <f>'Stats 2023'!F82</f>
        <v>0</v>
      </c>
      <c r="D393" s="128">
        <f>'Stats 2023'!G82</f>
        <v>0</v>
      </c>
      <c r="E393" s="128">
        <f>'Stats 2023'!H82</f>
        <v>0</v>
      </c>
      <c r="F393" s="128">
        <f>'Stats 2023'!I82</f>
        <v>1</v>
      </c>
      <c r="G393" s="128">
        <f>'Stats 2023'!J82</f>
        <v>0</v>
      </c>
      <c r="K393" s="86">
        <v>45289</v>
      </c>
      <c r="L393" s="126">
        <f t="shared" si="153"/>
        <v>269.00000008000001</v>
      </c>
      <c r="M393" s="126">
        <f t="shared" si="154"/>
        <v>156.00000008000001</v>
      </c>
      <c r="N393" s="126">
        <f t="shared" si="155"/>
        <v>279</v>
      </c>
      <c r="O393" s="126">
        <f t="shared" si="156"/>
        <v>155</v>
      </c>
      <c r="P393" s="126">
        <f t="shared" si="157"/>
        <v>298</v>
      </c>
      <c r="Q393" s="126">
        <f t="shared" si="158"/>
        <v>314</v>
      </c>
      <c r="R393" s="126">
        <f t="shared" si="159"/>
        <v>16</v>
      </c>
      <c r="S393" s="1">
        <f t="shared" si="160"/>
        <v>1</v>
      </c>
      <c r="T393" s="126">
        <f t="shared" si="164"/>
        <v>16</v>
      </c>
      <c r="U393" s="126">
        <f t="shared" si="161"/>
        <v>1471.0000001600001</v>
      </c>
      <c r="W393" s="126">
        <f t="shared" si="162"/>
        <v>314</v>
      </c>
      <c r="X393" s="126">
        <f t="shared" si="163"/>
        <v>311.00000008000001</v>
      </c>
    </row>
    <row r="394" spans="1:24">
      <c r="A394" s="86">
        <f>'Stats 2023'!D83</f>
        <v>45296</v>
      </c>
      <c r="B394" s="128">
        <f>'Stats 2023'!E83</f>
        <v>1</v>
      </c>
      <c r="C394" s="128">
        <f>'Stats 2023'!F83</f>
        <v>1</v>
      </c>
      <c r="D394" s="128">
        <f>'Stats 2023'!G83</f>
        <v>0</v>
      </c>
      <c r="E394" s="128">
        <f>'Stats 2023'!H83</f>
        <v>1</v>
      </c>
      <c r="F394" s="128">
        <f>'Stats 2023'!I83</f>
        <v>1</v>
      </c>
      <c r="G394" s="128">
        <f>'Stats 2023'!J83</f>
        <v>1</v>
      </c>
      <c r="K394" s="86">
        <v>45296</v>
      </c>
      <c r="L394" s="126">
        <f t="shared" si="153"/>
        <v>270.00000008000001</v>
      </c>
      <c r="M394" s="126">
        <f t="shared" si="154"/>
        <v>157.00000008000001</v>
      </c>
      <c r="N394" s="126">
        <f t="shared" si="155"/>
        <v>279</v>
      </c>
      <c r="O394" s="126">
        <f t="shared" si="156"/>
        <v>156</v>
      </c>
      <c r="P394" s="126">
        <f t="shared" si="157"/>
        <v>299</v>
      </c>
      <c r="Q394" s="126">
        <f t="shared" si="158"/>
        <v>315</v>
      </c>
      <c r="R394" s="126">
        <f t="shared" si="159"/>
        <v>16</v>
      </c>
      <c r="S394" s="1">
        <f t="shared" si="160"/>
        <v>1</v>
      </c>
      <c r="T394" s="126">
        <f t="shared" si="164"/>
        <v>16</v>
      </c>
      <c r="U394" s="126">
        <f t="shared" si="161"/>
        <v>1476.0000001600001</v>
      </c>
      <c r="W394" s="126">
        <f t="shared" si="162"/>
        <v>315</v>
      </c>
      <c r="X394" s="126">
        <f t="shared" si="163"/>
        <v>313.00000008000001</v>
      </c>
    </row>
    <row r="395" spans="1:24">
      <c r="A395" s="86">
        <f>'Stats 2023'!D84</f>
        <v>45303</v>
      </c>
      <c r="B395" s="128">
        <f>'Stats 2023'!E84</f>
        <v>0</v>
      </c>
      <c r="C395" s="128">
        <f>'Stats 2023'!F84</f>
        <v>1</v>
      </c>
      <c r="D395" s="128">
        <f>'Stats 2023'!G84</f>
        <v>1</v>
      </c>
      <c r="E395" s="128">
        <f>'Stats 2023'!H84</f>
        <v>0</v>
      </c>
      <c r="F395" s="128">
        <f>'Stats 2023'!I84</f>
        <v>0</v>
      </c>
      <c r="G395" s="128">
        <f>'Stats 2023'!J84</f>
        <v>0</v>
      </c>
      <c r="K395" s="86">
        <v>45303</v>
      </c>
      <c r="L395" s="126">
        <f t="shared" si="153"/>
        <v>270.00000008000001</v>
      </c>
      <c r="M395" s="126">
        <f t="shared" si="154"/>
        <v>158.00000008000001</v>
      </c>
      <c r="N395" s="126">
        <f t="shared" si="155"/>
        <v>280</v>
      </c>
      <c r="O395" s="126">
        <f t="shared" si="156"/>
        <v>156</v>
      </c>
      <c r="P395" s="126">
        <f t="shared" si="157"/>
        <v>299</v>
      </c>
      <c r="Q395" s="126">
        <f t="shared" si="158"/>
        <v>315</v>
      </c>
      <c r="R395" s="126">
        <f t="shared" si="159"/>
        <v>16</v>
      </c>
      <c r="S395" s="1">
        <f t="shared" si="160"/>
        <v>1</v>
      </c>
      <c r="T395" s="126">
        <f t="shared" si="164"/>
        <v>16</v>
      </c>
      <c r="U395" s="126">
        <f t="shared" si="161"/>
        <v>1478.0000001600001</v>
      </c>
      <c r="W395" s="126">
        <f t="shared" si="162"/>
        <v>315</v>
      </c>
      <c r="X395" s="126">
        <f t="shared" si="163"/>
        <v>314.00000008000001</v>
      </c>
    </row>
    <row r="396" spans="1:24">
      <c r="A396" s="86">
        <f>'Stats 2023'!D85</f>
        <v>45310</v>
      </c>
      <c r="B396" s="128">
        <f>'Stats 2023'!E85</f>
        <v>0</v>
      </c>
      <c r="C396" s="128">
        <f>'Stats 2023'!F85</f>
        <v>1</v>
      </c>
      <c r="D396" s="128">
        <f>'Stats 2023'!G85</f>
        <v>0</v>
      </c>
      <c r="E396" s="128">
        <f>'Stats 2023'!H85</f>
        <v>0</v>
      </c>
      <c r="F396" s="128">
        <f>'Stats 2023'!I85</f>
        <v>1</v>
      </c>
      <c r="G396" s="128">
        <f>'Stats 2023'!J85</f>
        <v>0</v>
      </c>
      <c r="K396" s="86">
        <v>45310</v>
      </c>
      <c r="L396" s="126">
        <f t="shared" si="153"/>
        <v>270.00000008000001</v>
      </c>
      <c r="M396" s="126">
        <f t="shared" si="154"/>
        <v>159.00000008000001</v>
      </c>
      <c r="N396" s="126">
        <f t="shared" si="155"/>
        <v>280</v>
      </c>
      <c r="O396" s="126">
        <f t="shared" si="156"/>
        <v>156</v>
      </c>
      <c r="P396" s="126">
        <f t="shared" si="157"/>
        <v>300</v>
      </c>
      <c r="Q396" s="126">
        <f t="shared" si="158"/>
        <v>315</v>
      </c>
      <c r="R396" s="126">
        <f t="shared" si="159"/>
        <v>15</v>
      </c>
      <c r="S396" s="1">
        <f t="shared" si="160"/>
        <v>1</v>
      </c>
      <c r="T396" s="126">
        <f t="shared" si="164"/>
        <v>15</v>
      </c>
      <c r="U396" s="126">
        <f t="shared" si="161"/>
        <v>1480.0000001600001</v>
      </c>
      <c r="W396" s="126">
        <f t="shared" si="162"/>
        <v>315</v>
      </c>
      <c r="X396" s="126">
        <f t="shared" si="163"/>
        <v>315.00000008000001</v>
      </c>
    </row>
    <row r="397" spans="1:24">
      <c r="A397" s="86">
        <f>'Stats 2023'!D87</f>
        <v>45317</v>
      </c>
      <c r="B397" s="128">
        <f>'Stats 2023'!E87</f>
        <v>0</v>
      </c>
      <c r="C397" s="128">
        <f>'Stats 2023'!F87</f>
        <v>0</v>
      </c>
      <c r="D397" s="128">
        <f>'Stats 2023'!G87</f>
        <v>0</v>
      </c>
      <c r="E397" s="128">
        <f>'Stats 2023'!H87</f>
        <v>1</v>
      </c>
      <c r="F397" s="128">
        <f>'Stats 2023'!I87</f>
        <v>0</v>
      </c>
      <c r="G397" s="128">
        <f>'Stats 2023'!J87</f>
        <v>0</v>
      </c>
      <c r="K397" s="86">
        <v>45317</v>
      </c>
      <c r="L397" s="126">
        <f t="shared" si="153"/>
        <v>270.00000008000001</v>
      </c>
      <c r="M397" s="126">
        <f t="shared" si="154"/>
        <v>159.00000008000001</v>
      </c>
      <c r="N397" s="126">
        <f t="shared" si="155"/>
        <v>280</v>
      </c>
      <c r="O397" s="126">
        <f t="shared" si="156"/>
        <v>157</v>
      </c>
      <c r="P397" s="126">
        <f t="shared" si="157"/>
        <v>300</v>
      </c>
      <c r="Q397" s="126">
        <f t="shared" si="158"/>
        <v>315</v>
      </c>
      <c r="R397" s="126">
        <f t="shared" si="159"/>
        <v>15</v>
      </c>
      <c r="S397" s="1">
        <f t="shared" si="160"/>
        <v>1</v>
      </c>
      <c r="T397" s="126">
        <f t="shared" si="164"/>
        <v>15</v>
      </c>
      <c r="U397" s="126">
        <f t="shared" si="161"/>
        <v>1481.0000001600001</v>
      </c>
      <c r="W397" s="126">
        <f t="shared" si="162"/>
        <v>315</v>
      </c>
      <c r="X397" s="126">
        <f t="shared" si="163"/>
        <v>316.00000008000001</v>
      </c>
    </row>
    <row r="398" spans="1:24">
      <c r="A398" s="86">
        <f>'Stats 2023'!D89</f>
        <v>45324</v>
      </c>
      <c r="B398" s="128">
        <f>'Stats 2023'!E89</f>
        <v>0</v>
      </c>
      <c r="C398" s="128">
        <f>'Stats 2023'!F89</f>
        <v>1</v>
      </c>
      <c r="D398" s="128">
        <f>'Stats 2023'!G89</f>
        <v>1</v>
      </c>
      <c r="E398" s="128">
        <f>'Stats 2023'!H89</f>
        <v>1</v>
      </c>
      <c r="F398" s="128">
        <f>'Stats 2023'!I89</f>
        <v>1</v>
      </c>
      <c r="G398" s="128">
        <f>'Stats 2023'!J89</f>
        <v>0</v>
      </c>
      <c r="K398" s="86">
        <v>45324</v>
      </c>
      <c r="L398" s="126">
        <f t="shared" si="153"/>
        <v>270.00000008000001</v>
      </c>
      <c r="M398" s="126">
        <f t="shared" si="154"/>
        <v>160.00000008000001</v>
      </c>
      <c r="N398" s="126">
        <f t="shared" si="155"/>
        <v>281</v>
      </c>
      <c r="O398" s="126">
        <f t="shared" si="156"/>
        <v>158</v>
      </c>
      <c r="P398" s="126">
        <f t="shared" si="157"/>
        <v>301</v>
      </c>
      <c r="Q398" s="126">
        <f t="shared" si="158"/>
        <v>315</v>
      </c>
      <c r="R398" s="126">
        <f t="shared" si="159"/>
        <v>14</v>
      </c>
      <c r="S398" s="1">
        <f t="shared" si="160"/>
        <v>1</v>
      </c>
      <c r="T398" s="126">
        <f t="shared" si="164"/>
        <v>14</v>
      </c>
      <c r="U398" s="126">
        <f t="shared" si="161"/>
        <v>1485.0000001600001</v>
      </c>
      <c r="W398" s="126">
        <f t="shared" si="162"/>
        <v>315</v>
      </c>
      <c r="X398" s="126">
        <f t="shared" si="163"/>
        <v>318.00000008000001</v>
      </c>
    </row>
    <row r="399" spans="1:24">
      <c r="A399" s="86">
        <f>'Stats 2023'!D90</f>
        <v>45331</v>
      </c>
      <c r="B399" s="128">
        <f>'Stats 2023'!E90</f>
        <v>1</v>
      </c>
      <c r="C399" s="128">
        <f>'Stats 2023'!F90</f>
        <v>0</v>
      </c>
      <c r="D399" s="128">
        <f>'Stats 2023'!G90</f>
        <v>1</v>
      </c>
      <c r="E399" s="128">
        <f>'Stats 2023'!H90</f>
        <v>1</v>
      </c>
      <c r="F399" s="128">
        <f>'Stats 2023'!I90</f>
        <v>1</v>
      </c>
      <c r="G399" s="128">
        <f>'Stats 2023'!J90</f>
        <v>1</v>
      </c>
      <c r="K399" s="86">
        <v>45331</v>
      </c>
      <c r="L399" s="126">
        <f t="shared" si="153"/>
        <v>271.00000008000001</v>
      </c>
      <c r="M399" s="126">
        <f t="shared" si="154"/>
        <v>160.00000008000001</v>
      </c>
      <c r="N399" s="126">
        <f t="shared" si="155"/>
        <v>282</v>
      </c>
      <c r="O399" s="126">
        <f t="shared" si="156"/>
        <v>159</v>
      </c>
      <c r="P399" s="126">
        <f t="shared" si="157"/>
        <v>302</v>
      </c>
      <c r="Q399" s="126">
        <f t="shared" si="158"/>
        <v>316</v>
      </c>
      <c r="R399" s="126">
        <f t="shared" si="159"/>
        <v>14</v>
      </c>
      <c r="S399" s="1">
        <f t="shared" si="160"/>
        <v>1</v>
      </c>
      <c r="T399" s="126">
        <f t="shared" si="164"/>
        <v>14</v>
      </c>
      <c r="U399" s="126">
        <f t="shared" si="161"/>
        <v>1490.0000001600001</v>
      </c>
      <c r="W399" s="126">
        <f t="shared" si="162"/>
        <v>316</v>
      </c>
      <c r="X399" s="126">
        <f t="shared" si="163"/>
        <v>319.00000008000001</v>
      </c>
    </row>
    <row r="400" spans="1:24">
      <c r="A400" s="86">
        <v>45338</v>
      </c>
      <c r="B400" s="128">
        <v>0</v>
      </c>
      <c r="C400" s="128">
        <v>1</v>
      </c>
      <c r="D400" s="128">
        <v>1</v>
      </c>
      <c r="E400" s="128">
        <v>1</v>
      </c>
      <c r="F400" s="128">
        <v>1</v>
      </c>
      <c r="G400" s="128">
        <v>1</v>
      </c>
      <c r="K400" s="86">
        <v>45338</v>
      </c>
      <c r="L400" s="126">
        <f t="shared" si="153"/>
        <v>271.00000008000001</v>
      </c>
      <c r="M400" s="126">
        <f t="shared" si="154"/>
        <v>161.00000008000001</v>
      </c>
      <c r="N400" s="126">
        <f t="shared" si="155"/>
        <v>283</v>
      </c>
      <c r="O400" s="126">
        <f t="shared" si="156"/>
        <v>160</v>
      </c>
      <c r="P400" s="126">
        <f t="shared" si="157"/>
        <v>303</v>
      </c>
      <c r="Q400" s="126">
        <f t="shared" si="158"/>
        <v>317</v>
      </c>
      <c r="R400" s="126">
        <f t="shared" si="159"/>
        <v>14</v>
      </c>
      <c r="S400" s="1">
        <f t="shared" si="160"/>
        <v>1</v>
      </c>
      <c r="T400" s="126">
        <f t="shared" si="164"/>
        <v>14</v>
      </c>
      <c r="U400" s="126">
        <f t="shared" si="161"/>
        <v>1495.0000001600001</v>
      </c>
      <c r="W400" s="126">
        <f t="shared" si="162"/>
        <v>317</v>
      </c>
      <c r="X400" s="126">
        <f t="shared" si="163"/>
        <v>321.00000008000001</v>
      </c>
    </row>
    <row r="401" spans="1:24">
      <c r="A401" s="86">
        <v>45345</v>
      </c>
      <c r="B401" s="128">
        <v>0</v>
      </c>
      <c r="C401" s="128">
        <v>1</v>
      </c>
      <c r="D401" s="128">
        <v>0</v>
      </c>
      <c r="E401" s="128">
        <v>0</v>
      </c>
      <c r="F401" s="128">
        <v>1</v>
      </c>
      <c r="G401" s="128">
        <v>1</v>
      </c>
      <c r="K401" s="86">
        <v>45345</v>
      </c>
      <c r="L401" s="126">
        <f t="shared" si="153"/>
        <v>271.00000008000001</v>
      </c>
      <c r="M401" s="126">
        <f t="shared" si="154"/>
        <v>162.00000008000001</v>
      </c>
      <c r="N401" s="126">
        <f t="shared" si="155"/>
        <v>283</v>
      </c>
      <c r="O401" s="126">
        <f t="shared" si="156"/>
        <v>160</v>
      </c>
      <c r="P401" s="126">
        <f t="shared" si="157"/>
        <v>304</v>
      </c>
      <c r="Q401" s="126">
        <f t="shared" si="158"/>
        <v>318</v>
      </c>
      <c r="R401" s="126">
        <f t="shared" si="159"/>
        <v>14</v>
      </c>
      <c r="S401" s="1">
        <f t="shared" si="160"/>
        <v>1</v>
      </c>
      <c r="T401" s="126">
        <f t="shared" si="164"/>
        <v>14</v>
      </c>
      <c r="U401" s="126">
        <f t="shared" si="161"/>
        <v>1498.0000001600001</v>
      </c>
      <c r="W401" s="126">
        <f t="shared" si="162"/>
        <v>318</v>
      </c>
      <c r="X401" s="126">
        <f t="shared" si="163"/>
        <v>322.00000008000001</v>
      </c>
    </row>
    <row r="402" spans="1:24">
      <c r="A402" s="86">
        <v>45352</v>
      </c>
      <c r="B402" s="128">
        <v>1</v>
      </c>
      <c r="C402" s="128">
        <v>1</v>
      </c>
      <c r="D402" s="128">
        <v>1</v>
      </c>
      <c r="E402" s="128">
        <v>0</v>
      </c>
      <c r="F402" s="128">
        <v>0</v>
      </c>
      <c r="G402" s="128">
        <v>1</v>
      </c>
      <c r="K402" s="86">
        <v>45352</v>
      </c>
      <c r="L402" s="126">
        <f t="shared" si="153"/>
        <v>272.00000008000001</v>
      </c>
      <c r="M402" s="126">
        <f t="shared" si="154"/>
        <v>163.00000008000001</v>
      </c>
      <c r="N402" s="126">
        <f t="shared" si="155"/>
        <v>284</v>
      </c>
      <c r="O402" s="126">
        <f t="shared" si="156"/>
        <v>160</v>
      </c>
      <c r="P402" s="126">
        <f t="shared" si="157"/>
        <v>304</v>
      </c>
      <c r="Q402" s="126">
        <f t="shared" si="158"/>
        <v>319</v>
      </c>
      <c r="R402" s="126">
        <f t="shared" si="159"/>
        <v>15</v>
      </c>
      <c r="S402" s="1">
        <f t="shared" si="160"/>
        <v>1</v>
      </c>
      <c r="T402" s="126">
        <f t="shared" si="164"/>
        <v>15</v>
      </c>
      <c r="U402" s="126">
        <f t="shared" si="161"/>
        <v>1502.0000001600001</v>
      </c>
      <c r="W402" s="126">
        <f t="shared" si="162"/>
        <v>319</v>
      </c>
      <c r="X402" s="126">
        <f t="shared" si="163"/>
        <v>323.00000008000001</v>
      </c>
    </row>
    <row r="403" spans="1:24">
      <c r="A403" s="86">
        <v>45359</v>
      </c>
      <c r="B403" s="128">
        <v>1</v>
      </c>
      <c r="C403" s="128">
        <v>1</v>
      </c>
      <c r="D403" s="128">
        <v>0</v>
      </c>
      <c r="E403" s="128">
        <v>0</v>
      </c>
      <c r="F403" s="128">
        <v>0</v>
      </c>
      <c r="G403" s="128">
        <v>0</v>
      </c>
      <c r="K403" s="86">
        <v>45359</v>
      </c>
      <c r="L403" s="126">
        <f t="shared" si="153"/>
        <v>273.00000008000001</v>
      </c>
      <c r="M403" s="126">
        <f t="shared" si="154"/>
        <v>164.00000008000001</v>
      </c>
      <c r="N403" s="126">
        <f t="shared" si="155"/>
        <v>284</v>
      </c>
      <c r="O403" s="126">
        <f t="shared" si="156"/>
        <v>160</v>
      </c>
      <c r="P403" s="126">
        <f t="shared" si="157"/>
        <v>304</v>
      </c>
      <c r="Q403" s="126">
        <f t="shared" si="158"/>
        <v>319</v>
      </c>
      <c r="R403" s="126">
        <f t="shared" si="159"/>
        <v>15</v>
      </c>
      <c r="S403" s="1">
        <f t="shared" si="160"/>
        <v>1</v>
      </c>
      <c r="T403" s="126">
        <f t="shared" si="164"/>
        <v>15</v>
      </c>
      <c r="U403" s="126">
        <f t="shared" si="161"/>
        <v>1504.0000001600001</v>
      </c>
      <c r="W403" s="126">
        <f t="shared" si="162"/>
        <v>319</v>
      </c>
      <c r="X403" s="126">
        <f t="shared" si="163"/>
        <v>324.00000008000001</v>
      </c>
    </row>
    <row r="404" spans="1:24">
      <c r="A404" s="86">
        <v>45366</v>
      </c>
      <c r="B404" s="128">
        <v>1</v>
      </c>
      <c r="C404" s="128">
        <v>1</v>
      </c>
      <c r="D404" s="128">
        <v>0</v>
      </c>
      <c r="E404" s="128">
        <v>1</v>
      </c>
      <c r="F404" s="128">
        <v>1</v>
      </c>
      <c r="G404" s="128">
        <v>0</v>
      </c>
      <c r="K404" s="86">
        <v>45366</v>
      </c>
      <c r="L404" s="126">
        <f t="shared" si="153"/>
        <v>274.00000008000001</v>
      </c>
      <c r="M404" s="126">
        <f t="shared" si="154"/>
        <v>165.00000008000001</v>
      </c>
      <c r="N404" s="126">
        <f t="shared" si="155"/>
        <v>284</v>
      </c>
      <c r="O404" s="126">
        <f t="shared" si="156"/>
        <v>161</v>
      </c>
      <c r="P404" s="126">
        <f t="shared" si="157"/>
        <v>305</v>
      </c>
      <c r="Q404" s="126">
        <f t="shared" si="158"/>
        <v>319</v>
      </c>
      <c r="R404" s="126">
        <f t="shared" si="159"/>
        <v>14</v>
      </c>
      <c r="S404" s="1">
        <f t="shared" si="160"/>
        <v>1</v>
      </c>
      <c r="T404" s="126">
        <f t="shared" si="164"/>
        <v>14</v>
      </c>
      <c r="U404" s="126">
        <f t="shared" si="161"/>
        <v>1508.0000001600001</v>
      </c>
      <c r="W404" s="126">
        <f t="shared" si="162"/>
        <v>319</v>
      </c>
      <c r="X404" s="126">
        <f t="shared" si="163"/>
        <v>326.00000008000001</v>
      </c>
    </row>
    <row r="405" spans="1:24">
      <c r="A405" s="86">
        <v>45373</v>
      </c>
      <c r="B405" s="128">
        <v>1</v>
      </c>
      <c r="C405" s="128">
        <v>1</v>
      </c>
      <c r="D405" s="128">
        <v>1</v>
      </c>
      <c r="E405" s="128">
        <v>1</v>
      </c>
      <c r="F405" s="128">
        <v>1</v>
      </c>
      <c r="G405" s="128">
        <v>1</v>
      </c>
      <c r="K405" s="86">
        <v>45373</v>
      </c>
      <c r="L405" s="126">
        <f t="shared" si="153"/>
        <v>275.00000008000001</v>
      </c>
      <c r="M405" s="126">
        <f t="shared" si="154"/>
        <v>166.00000008000001</v>
      </c>
      <c r="N405" s="126">
        <f t="shared" si="155"/>
        <v>285</v>
      </c>
      <c r="O405" s="126">
        <f t="shared" si="156"/>
        <v>162</v>
      </c>
      <c r="P405" s="126">
        <f t="shared" si="157"/>
        <v>306</v>
      </c>
      <c r="Q405" s="126">
        <f t="shared" si="158"/>
        <v>320</v>
      </c>
      <c r="R405" s="126">
        <f t="shared" si="159"/>
        <v>14</v>
      </c>
      <c r="S405" s="1">
        <f t="shared" si="160"/>
        <v>1</v>
      </c>
      <c r="T405" s="126">
        <f t="shared" si="164"/>
        <v>14</v>
      </c>
      <c r="U405" s="126">
        <f t="shared" si="161"/>
        <v>1514.0000001600001</v>
      </c>
      <c r="W405" s="126">
        <f t="shared" si="162"/>
        <v>320</v>
      </c>
      <c r="X405" s="126">
        <f t="shared" si="163"/>
        <v>328.00000008000001</v>
      </c>
    </row>
    <row r="406" spans="1:24">
      <c r="A406" s="86">
        <v>45387</v>
      </c>
      <c r="B406" s="128">
        <v>1</v>
      </c>
      <c r="C406" s="128">
        <v>1</v>
      </c>
      <c r="D406" s="128">
        <v>0</v>
      </c>
      <c r="E406" s="128">
        <v>0</v>
      </c>
      <c r="F406" s="128">
        <v>1</v>
      </c>
      <c r="G406" s="128">
        <v>1</v>
      </c>
      <c r="K406" s="86">
        <v>45387</v>
      </c>
      <c r="L406" s="126">
        <f t="shared" si="153"/>
        <v>276.00000008000001</v>
      </c>
      <c r="M406" s="126">
        <f t="shared" si="154"/>
        <v>167.00000008000001</v>
      </c>
      <c r="N406" s="126">
        <f t="shared" si="155"/>
        <v>285</v>
      </c>
      <c r="O406" s="126">
        <f t="shared" si="156"/>
        <v>162</v>
      </c>
      <c r="P406" s="126">
        <f t="shared" si="157"/>
        <v>307</v>
      </c>
      <c r="Q406" s="126">
        <f t="shared" si="158"/>
        <v>321</v>
      </c>
      <c r="R406" s="126">
        <f t="shared" si="159"/>
        <v>14</v>
      </c>
      <c r="S406" s="1">
        <f t="shared" si="160"/>
        <v>1</v>
      </c>
      <c r="T406" s="126">
        <f t="shared" si="164"/>
        <v>14</v>
      </c>
      <c r="U406" s="126">
        <f t="shared" si="161"/>
        <v>1518.0000001600001</v>
      </c>
      <c r="W406" s="126">
        <f t="shared" si="162"/>
        <v>321</v>
      </c>
      <c r="X406" s="126">
        <f t="shared" si="163"/>
        <v>329.00000008000001</v>
      </c>
    </row>
    <row r="407" spans="1:24">
      <c r="A407" s="86">
        <v>45394</v>
      </c>
      <c r="B407" s="128">
        <v>0</v>
      </c>
      <c r="C407" s="128">
        <v>1</v>
      </c>
      <c r="D407" s="128">
        <v>1</v>
      </c>
      <c r="E407" s="128">
        <v>1</v>
      </c>
      <c r="F407" s="128">
        <v>1</v>
      </c>
      <c r="G407" s="128">
        <v>0</v>
      </c>
      <c r="K407" s="86">
        <v>45394</v>
      </c>
      <c r="L407" s="126">
        <f t="shared" si="153"/>
        <v>276.00000008000001</v>
      </c>
      <c r="M407" s="126">
        <f t="shared" si="154"/>
        <v>168.00000008000001</v>
      </c>
      <c r="N407" s="126">
        <f t="shared" si="155"/>
        <v>286</v>
      </c>
      <c r="O407" s="126">
        <f t="shared" si="156"/>
        <v>163</v>
      </c>
      <c r="P407" s="126">
        <f t="shared" si="157"/>
        <v>308</v>
      </c>
      <c r="Q407" s="126">
        <f t="shared" si="158"/>
        <v>321</v>
      </c>
      <c r="R407" s="126">
        <f t="shared" si="159"/>
        <v>13</v>
      </c>
      <c r="S407" s="1">
        <f t="shared" si="160"/>
        <v>1</v>
      </c>
      <c r="T407" s="126">
        <f t="shared" si="164"/>
        <v>13</v>
      </c>
      <c r="U407" s="126">
        <f t="shared" si="161"/>
        <v>1522.0000001600001</v>
      </c>
      <c r="W407" s="126">
        <f t="shared" si="162"/>
        <v>321</v>
      </c>
      <c r="X407" s="126">
        <f t="shared" si="163"/>
        <v>331.00000008000001</v>
      </c>
    </row>
    <row r="408" spans="1:24">
      <c r="A408" s="86">
        <v>45401</v>
      </c>
      <c r="B408" s="128">
        <v>1</v>
      </c>
      <c r="C408" s="128">
        <v>1</v>
      </c>
      <c r="D408" s="128">
        <v>1</v>
      </c>
      <c r="E408" s="128">
        <v>1</v>
      </c>
      <c r="F408" s="128">
        <v>1</v>
      </c>
      <c r="G408" s="128">
        <v>0</v>
      </c>
      <c r="K408" s="86">
        <v>45401</v>
      </c>
      <c r="L408" s="126">
        <f t="shared" si="153"/>
        <v>277.00000008000001</v>
      </c>
      <c r="M408" s="126">
        <f t="shared" si="154"/>
        <v>169.00000008000001</v>
      </c>
      <c r="N408" s="126">
        <f t="shared" si="155"/>
        <v>287</v>
      </c>
      <c r="O408" s="126">
        <f t="shared" si="156"/>
        <v>164</v>
      </c>
      <c r="P408" s="126">
        <f t="shared" si="157"/>
        <v>309</v>
      </c>
      <c r="Q408" s="126">
        <f t="shared" si="158"/>
        <v>321</v>
      </c>
      <c r="R408" s="126">
        <f t="shared" si="159"/>
        <v>12</v>
      </c>
      <c r="S408" s="1">
        <f t="shared" si="160"/>
        <v>1</v>
      </c>
      <c r="T408" s="126">
        <f t="shared" si="164"/>
        <v>12</v>
      </c>
      <c r="U408" s="126">
        <f t="shared" si="161"/>
        <v>1527.0000001600001</v>
      </c>
      <c r="W408" s="126">
        <f t="shared" si="162"/>
        <v>321</v>
      </c>
      <c r="X408" s="126">
        <f t="shared" si="163"/>
        <v>333.00000008000001</v>
      </c>
    </row>
    <row r="409" spans="1:24">
      <c r="A409" s="86">
        <v>45408</v>
      </c>
      <c r="B409" s="128">
        <v>1</v>
      </c>
      <c r="C409" s="128">
        <v>1</v>
      </c>
      <c r="D409" s="128">
        <v>0</v>
      </c>
      <c r="E409" s="128">
        <v>1</v>
      </c>
      <c r="F409" s="128">
        <v>1</v>
      </c>
      <c r="G409" s="128">
        <v>0</v>
      </c>
      <c r="K409" s="86">
        <v>45408</v>
      </c>
      <c r="L409" s="126">
        <f t="shared" si="153"/>
        <v>278.00000008000001</v>
      </c>
      <c r="M409" s="126">
        <f t="shared" si="154"/>
        <v>170.00000008000001</v>
      </c>
      <c r="N409" s="126">
        <f t="shared" si="155"/>
        <v>287</v>
      </c>
      <c r="O409" s="126">
        <f t="shared" si="156"/>
        <v>165</v>
      </c>
      <c r="P409" s="126">
        <f t="shared" si="157"/>
        <v>310</v>
      </c>
      <c r="Q409" s="126">
        <f t="shared" si="158"/>
        <v>321</v>
      </c>
      <c r="R409" s="126">
        <f t="shared" si="159"/>
        <v>11</v>
      </c>
      <c r="S409" s="1">
        <f t="shared" si="160"/>
        <v>1</v>
      </c>
      <c r="T409" s="126">
        <f t="shared" si="164"/>
        <v>11</v>
      </c>
      <c r="U409" s="126">
        <f t="shared" si="161"/>
        <v>1531.0000001600001</v>
      </c>
      <c r="W409" s="126">
        <f t="shared" si="162"/>
        <v>321</v>
      </c>
      <c r="X409" s="126">
        <f t="shared" si="163"/>
        <v>335.00000008000001</v>
      </c>
    </row>
    <row r="410" spans="1:24">
      <c r="A410" s="86">
        <v>45415</v>
      </c>
      <c r="B410" s="128">
        <v>0</v>
      </c>
      <c r="C410" s="128">
        <v>0</v>
      </c>
      <c r="D410" s="128">
        <v>1</v>
      </c>
      <c r="E410" s="128">
        <v>0</v>
      </c>
      <c r="F410" s="128">
        <v>1</v>
      </c>
      <c r="G410" s="128">
        <v>1</v>
      </c>
      <c r="K410" s="86">
        <v>45415</v>
      </c>
      <c r="L410" s="126">
        <f t="shared" si="153"/>
        <v>278.00000008000001</v>
      </c>
      <c r="M410" s="126">
        <f t="shared" si="154"/>
        <v>170.00000008000001</v>
      </c>
      <c r="N410" s="126">
        <f t="shared" si="155"/>
        <v>288</v>
      </c>
      <c r="O410" s="126">
        <f t="shared" si="156"/>
        <v>165</v>
      </c>
      <c r="P410" s="126">
        <f t="shared" si="157"/>
        <v>311</v>
      </c>
      <c r="Q410" s="126">
        <f t="shared" si="158"/>
        <v>322</v>
      </c>
      <c r="R410" s="126">
        <f t="shared" si="159"/>
        <v>11</v>
      </c>
      <c r="S410" s="1">
        <f t="shared" si="160"/>
        <v>1</v>
      </c>
      <c r="T410" s="126">
        <f t="shared" si="164"/>
        <v>11</v>
      </c>
      <c r="U410" s="126">
        <f t="shared" si="161"/>
        <v>1534.0000001600001</v>
      </c>
      <c r="W410" s="126">
        <f t="shared" si="162"/>
        <v>322</v>
      </c>
      <c r="X410" s="126">
        <f t="shared" si="163"/>
        <v>335.00000008000001</v>
      </c>
    </row>
    <row r="411" spans="1:24">
      <c r="A411" s="86">
        <v>45422</v>
      </c>
      <c r="B411" s="128">
        <v>1</v>
      </c>
      <c r="C411" s="128">
        <v>0</v>
      </c>
      <c r="D411" s="128">
        <v>0</v>
      </c>
      <c r="E411" s="128">
        <v>1</v>
      </c>
      <c r="F411" s="128">
        <v>1</v>
      </c>
      <c r="G411" s="128">
        <v>1</v>
      </c>
      <c r="K411" s="86">
        <v>45422</v>
      </c>
      <c r="L411" s="126">
        <f t="shared" si="153"/>
        <v>279.00000008000001</v>
      </c>
      <c r="M411" s="126">
        <f t="shared" si="154"/>
        <v>170.00000008000001</v>
      </c>
      <c r="N411" s="126">
        <f t="shared" si="155"/>
        <v>288</v>
      </c>
      <c r="O411" s="126">
        <f t="shared" si="156"/>
        <v>166</v>
      </c>
      <c r="P411" s="126">
        <f t="shared" si="157"/>
        <v>312</v>
      </c>
      <c r="Q411" s="126">
        <f t="shared" si="158"/>
        <v>323</v>
      </c>
      <c r="R411" s="126">
        <f t="shared" si="159"/>
        <v>11</v>
      </c>
      <c r="S411" s="1">
        <f t="shared" si="160"/>
        <v>1</v>
      </c>
      <c r="T411" s="126">
        <f t="shared" si="164"/>
        <v>11</v>
      </c>
      <c r="U411" s="126">
        <f t="shared" si="161"/>
        <v>1538.0000001600001</v>
      </c>
      <c r="W411" s="126">
        <f t="shared" si="162"/>
        <v>323</v>
      </c>
      <c r="X411" s="126">
        <f t="shared" si="163"/>
        <v>336.00000008000001</v>
      </c>
    </row>
    <row r="412" spans="1:24">
      <c r="A412" s="86">
        <v>45429</v>
      </c>
      <c r="B412" s="128">
        <v>1</v>
      </c>
      <c r="C412" s="128">
        <v>0</v>
      </c>
      <c r="D412" s="128">
        <v>1</v>
      </c>
      <c r="E412" s="128">
        <v>1</v>
      </c>
      <c r="F412" s="128">
        <v>1</v>
      </c>
      <c r="G412" s="128">
        <v>1</v>
      </c>
      <c r="K412" s="86">
        <v>45429</v>
      </c>
      <c r="L412" s="126">
        <f t="shared" si="153"/>
        <v>280.00000008000001</v>
      </c>
      <c r="M412" s="126">
        <f t="shared" si="154"/>
        <v>170.00000008000001</v>
      </c>
      <c r="N412" s="126">
        <f t="shared" si="155"/>
        <v>289</v>
      </c>
      <c r="O412" s="126">
        <f t="shared" si="156"/>
        <v>167</v>
      </c>
      <c r="P412" s="126">
        <f t="shared" si="157"/>
        <v>313</v>
      </c>
      <c r="Q412" s="126">
        <f t="shared" si="158"/>
        <v>324</v>
      </c>
      <c r="R412" s="126">
        <f t="shared" si="159"/>
        <v>11</v>
      </c>
      <c r="S412" s="1">
        <f t="shared" si="160"/>
        <v>1</v>
      </c>
      <c r="T412" s="126">
        <f t="shared" si="164"/>
        <v>11</v>
      </c>
      <c r="U412" s="126">
        <f t="shared" si="161"/>
        <v>1543.0000001600001</v>
      </c>
      <c r="W412" s="126">
        <f t="shared" si="162"/>
        <v>324</v>
      </c>
      <c r="X412" s="126">
        <f t="shared" si="163"/>
        <v>337.00000008000001</v>
      </c>
    </row>
    <row r="413" spans="1:24">
      <c r="A413" s="86">
        <v>45436</v>
      </c>
      <c r="B413" s="128">
        <v>1</v>
      </c>
      <c r="C413" s="128">
        <v>0</v>
      </c>
      <c r="D413" s="128">
        <v>0</v>
      </c>
      <c r="E413" s="128">
        <v>0</v>
      </c>
      <c r="F413" s="128">
        <v>1</v>
      </c>
      <c r="G413" s="128">
        <v>1</v>
      </c>
      <c r="K413" s="86">
        <v>45436</v>
      </c>
      <c r="L413" s="126">
        <f t="shared" si="153"/>
        <v>281.00000008000001</v>
      </c>
      <c r="M413" s="126">
        <f t="shared" si="154"/>
        <v>170.00000008000001</v>
      </c>
      <c r="N413" s="126">
        <f t="shared" si="155"/>
        <v>289</v>
      </c>
      <c r="O413" s="126">
        <f t="shared" si="156"/>
        <v>167</v>
      </c>
      <c r="P413" s="126">
        <f t="shared" si="157"/>
        <v>314</v>
      </c>
      <c r="Q413" s="126">
        <f t="shared" si="158"/>
        <v>325</v>
      </c>
      <c r="R413" s="126">
        <f t="shared" si="159"/>
        <v>11</v>
      </c>
      <c r="S413" s="1">
        <f t="shared" si="160"/>
        <v>1</v>
      </c>
      <c r="T413" s="126">
        <f t="shared" si="164"/>
        <v>11</v>
      </c>
      <c r="U413" s="126">
        <f t="shared" si="161"/>
        <v>1546.0000001600001</v>
      </c>
      <c r="W413" s="126">
        <f t="shared" si="162"/>
        <v>325</v>
      </c>
      <c r="X413" s="126">
        <f t="shared" si="163"/>
        <v>337.00000008000001</v>
      </c>
    </row>
    <row r="414" spans="1:24">
      <c r="A414" s="86">
        <v>45443</v>
      </c>
      <c r="B414" s="128">
        <v>1</v>
      </c>
      <c r="C414" s="128">
        <v>1</v>
      </c>
      <c r="D414" s="128">
        <v>1</v>
      </c>
      <c r="E414" s="128">
        <v>1</v>
      </c>
      <c r="F414" s="128">
        <v>1</v>
      </c>
      <c r="G414" s="128">
        <v>1</v>
      </c>
      <c r="K414" s="86">
        <v>45443</v>
      </c>
      <c r="L414" s="126">
        <f t="shared" si="153"/>
        <v>282.00000008000001</v>
      </c>
      <c r="M414" s="126">
        <f t="shared" si="154"/>
        <v>171.00000008000001</v>
      </c>
      <c r="N414" s="126">
        <f t="shared" si="155"/>
        <v>290</v>
      </c>
      <c r="O414" s="126">
        <f t="shared" si="156"/>
        <v>168</v>
      </c>
      <c r="P414" s="126">
        <f t="shared" si="157"/>
        <v>315</v>
      </c>
      <c r="Q414" s="126">
        <f t="shared" si="158"/>
        <v>326</v>
      </c>
      <c r="R414" s="126">
        <f t="shared" si="159"/>
        <v>11</v>
      </c>
      <c r="S414" s="1">
        <f t="shared" si="160"/>
        <v>1</v>
      </c>
      <c r="T414" s="126">
        <f t="shared" si="164"/>
        <v>11</v>
      </c>
      <c r="U414" s="126">
        <f t="shared" si="161"/>
        <v>1552.0000001600001</v>
      </c>
      <c r="W414" s="126">
        <f t="shared" si="162"/>
        <v>326</v>
      </c>
      <c r="X414" s="126">
        <f t="shared" si="163"/>
        <v>339.00000008000001</v>
      </c>
    </row>
    <row r="415" spans="1:24">
      <c r="A415" s="86">
        <v>45450</v>
      </c>
      <c r="B415" s="128">
        <v>1</v>
      </c>
      <c r="C415" s="128">
        <v>1</v>
      </c>
      <c r="D415" s="128">
        <v>1</v>
      </c>
      <c r="E415" s="128">
        <v>0</v>
      </c>
      <c r="F415" s="128">
        <v>0</v>
      </c>
      <c r="G415" s="128">
        <v>0</v>
      </c>
      <c r="K415" s="86">
        <v>45450</v>
      </c>
      <c r="L415" s="126">
        <f t="shared" si="153"/>
        <v>283.00000008000001</v>
      </c>
      <c r="M415" s="126">
        <f t="shared" si="154"/>
        <v>172.00000008000001</v>
      </c>
      <c r="N415" s="126">
        <f t="shared" si="155"/>
        <v>291</v>
      </c>
      <c r="O415" s="126">
        <f t="shared" si="156"/>
        <v>168</v>
      </c>
      <c r="P415" s="126">
        <f t="shared" si="157"/>
        <v>315</v>
      </c>
      <c r="Q415" s="126">
        <f t="shared" si="158"/>
        <v>326</v>
      </c>
      <c r="R415" s="126">
        <f t="shared" si="159"/>
        <v>11</v>
      </c>
      <c r="S415" s="1">
        <f t="shared" si="160"/>
        <v>1</v>
      </c>
      <c r="T415" s="126">
        <f t="shared" si="164"/>
        <v>11</v>
      </c>
      <c r="U415" s="126">
        <f t="shared" si="161"/>
        <v>1555.0000001600001</v>
      </c>
      <c r="W415" s="126">
        <f t="shared" si="162"/>
        <v>326</v>
      </c>
      <c r="X415" s="126">
        <f t="shared" si="163"/>
        <v>340.00000008000001</v>
      </c>
    </row>
    <row r="416" spans="1:24">
      <c r="A416" s="86">
        <v>45457</v>
      </c>
      <c r="B416" s="128">
        <v>1</v>
      </c>
      <c r="C416" s="128">
        <v>0</v>
      </c>
      <c r="D416" s="128">
        <v>0</v>
      </c>
      <c r="E416" s="128">
        <v>0</v>
      </c>
      <c r="F416" s="128">
        <v>1</v>
      </c>
      <c r="G416" s="128">
        <v>0</v>
      </c>
      <c r="K416" s="86">
        <v>45457</v>
      </c>
      <c r="L416" s="126">
        <f t="shared" si="153"/>
        <v>284.00000008000001</v>
      </c>
      <c r="M416" s="126">
        <f t="shared" si="154"/>
        <v>172.00000008000001</v>
      </c>
      <c r="N416" s="126">
        <f t="shared" si="155"/>
        <v>291</v>
      </c>
      <c r="O416" s="126">
        <f t="shared" si="156"/>
        <v>168</v>
      </c>
      <c r="P416" s="126">
        <f t="shared" si="157"/>
        <v>316</v>
      </c>
      <c r="Q416" s="126">
        <f t="shared" si="158"/>
        <v>326</v>
      </c>
      <c r="R416" s="126">
        <f t="shared" si="159"/>
        <v>10</v>
      </c>
      <c r="S416" s="1">
        <f t="shared" si="160"/>
        <v>1</v>
      </c>
      <c r="T416" s="126">
        <f t="shared" si="164"/>
        <v>10</v>
      </c>
      <c r="U416" s="126">
        <f t="shared" si="161"/>
        <v>1557.0000001600001</v>
      </c>
      <c r="W416" s="126">
        <f t="shared" si="162"/>
        <v>326</v>
      </c>
      <c r="X416" s="126">
        <f t="shared" si="163"/>
        <v>340.00000008000001</v>
      </c>
    </row>
    <row r="417" spans="1:24">
      <c r="A417" s="86">
        <v>45464</v>
      </c>
      <c r="B417" s="128">
        <v>0</v>
      </c>
      <c r="C417" s="128">
        <v>1</v>
      </c>
      <c r="D417" s="128">
        <v>1</v>
      </c>
      <c r="E417" s="128">
        <v>0</v>
      </c>
      <c r="F417" s="128">
        <v>0</v>
      </c>
      <c r="G417" s="128">
        <v>1</v>
      </c>
      <c r="K417" s="86">
        <v>45464</v>
      </c>
      <c r="L417" s="126">
        <f t="shared" si="153"/>
        <v>284.00000008000001</v>
      </c>
      <c r="M417" s="126">
        <f t="shared" si="154"/>
        <v>173.00000008000001</v>
      </c>
      <c r="N417" s="126">
        <f t="shared" si="155"/>
        <v>292</v>
      </c>
      <c r="O417" s="126">
        <f t="shared" si="156"/>
        <v>168</v>
      </c>
      <c r="P417" s="126">
        <f t="shared" si="157"/>
        <v>316</v>
      </c>
      <c r="Q417" s="126">
        <f t="shared" si="158"/>
        <v>327</v>
      </c>
      <c r="R417" s="126">
        <f t="shared" si="159"/>
        <v>11</v>
      </c>
      <c r="S417" s="1">
        <f t="shared" si="160"/>
        <v>1</v>
      </c>
      <c r="T417" s="126">
        <f t="shared" si="164"/>
        <v>11</v>
      </c>
      <c r="U417" s="126">
        <f t="shared" si="161"/>
        <v>1560.0000001600001</v>
      </c>
      <c r="W417" s="126">
        <f t="shared" si="162"/>
        <v>327</v>
      </c>
      <c r="X417" s="126">
        <f t="shared" si="163"/>
        <v>341.00000008000001</v>
      </c>
    </row>
    <row r="418" spans="1:24">
      <c r="A418" s="86">
        <v>45471</v>
      </c>
      <c r="B418" s="128">
        <v>1</v>
      </c>
      <c r="C418" s="128">
        <v>1</v>
      </c>
      <c r="D418" s="128">
        <v>1</v>
      </c>
      <c r="E418" s="128">
        <v>0</v>
      </c>
      <c r="F418" s="128">
        <v>0</v>
      </c>
      <c r="G418" s="128">
        <v>1</v>
      </c>
      <c r="K418" s="86">
        <v>45471</v>
      </c>
      <c r="L418" s="126">
        <f t="shared" si="153"/>
        <v>285.00000008000001</v>
      </c>
      <c r="M418" s="126">
        <f t="shared" si="154"/>
        <v>174.00000008000001</v>
      </c>
      <c r="N418" s="126">
        <f t="shared" si="155"/>
        <v>293</v>
      </c>
      <c r="O418" s="126">
        <f t="shared" si="156"/>
        <v>168</v>
      </c>
      <c r="P418" s="126">
        <f t="shared" si="157"/>
        <v>316</v>
      </c>
      <c r="Q418" s="126">
        <f t="shared" si="158"/>
        <v>328</v>
      </c>
      <c r="R418" s="126">
        <f t="shared" si="159"/>
        <v>12</v>
      </c>
      <c r="S418" s="1">
        <f t="shared" si="160"/>
        <v>1</v>
      </c>
      <c r="T418" s="126">
        <f t="shared" si="164"/>
        <v>12</v>
      </c>
      <c r="U418" s="126">
        <f t="shared" si="161"/>
        <v>1564.0000001600001</v>
      </c>
      <c r="W418" s="126">
        <f t="shared" si="162"/>
        <v>328</v>
      </c>
      <c r="X418" s="126">
        <f t="shared" si="163"/>
        <v>342.00000008000001</v>
      </c>
    </row>
    <row r="419" spans="1:24">
      <c r="A419" s="86">
        <v>45478</v>
      </c>
      <c r="B419" s="128">
        <v>1</v>
      </c>
      <c r="C419" s="128">
        <v>1</v>
      </c>
      <c r="D419" s="128">
        <v>0</v>
      </c>
      <c r="E419" s="128">
        <v>0</v>
      </c>
      <c r="F419" s="128">
        <v>1</v>
      </c>
      <c r="G419" s="128">
        <v>1</v>
      </c>
      <c r="K419" s="86">
        <v>45478</v>
      </c>
      <c r="L419" s="126">
        <f t="shared" si="153"/>
        <v>286.00000008000001</v>
      </c>
      <c r="M419" s="126">
        <f t="shared" si="154"/>
        <v>175.00000008000001</v>
      </c>
      <c r="N419" s="126">
        <f t="shared" si="155"/>
        <v>293</v>
      </c>
      <c r="O419" s="126">
        <f t="shared" si="156"/>
        <v>168</v>
      </c>
      <c r="P419" s="126">
        <f t="shared" si="157"/>
        <v>317</v>
      </c>
      <c r="Q419" s="126">
        <f t="shared" si="158"/>
        <v>329</v>
      </c>
      <c r="R419" s="126">
        <f t="shared" si="159"/>
        <v>12</v>
      </c>
      <c r="S419" s="1">
        <f t="shared" si="160"/>
        <v>1</v>
      </c>
      <c r="T419" s="126">
        <f t="shared" si="164"/>
        <v>12</v>
      </c>
      <c r="U419" s="126">
        <f t="shared" si="161"/>
        <v>1568.0000001600001</v>
      </c>
      <c r="W419" s="126">
        <f t="shared" si="162"/>
        <v>329</v>
      </c>
      <c r="X419" s="126">
        <f t="shared" si="163"/>
        <v>343.00000008000001</v>
      </c>
    </row>
    <row r="420" spans="1:24">
      <c r="A420" s="86">
        <v>45485</v>
      </c>
      <c r="B420" s="128">
        <v>1</v>
      </c>
      <c r="C420" s="128">
        <v>0</v>
      </c>
      <c r="D420" s="128">
        <v>0</v>
      </c>
      <c r="E420" s="128">
        <v>0</v>
      </c>
      <c r="F420" s="128">
        <v>1</v>
      </c>
      <c r="G420" s="128">
        <v>1</v>
      </c>
      <c r="K420" s="86">
        <v>45485</v>
      </c>
      <c r="L420" s="126">
        <f t="shared" si="153"/>
        <v>287.00000008000001</v>
      </c>
      <c r="M420" s="126">
        <f t="shared" si="154"/>
        <v>175.00000008000001</v>
      </c>
      <c r="N420" s="126">
        <f t="shared" si="155"/>
        <v>293</v>
      </c>
      <c r="O420" s="126">
        <f t="shared" si="156"/>
        <v>168</v>
      </c>
      <c r="P420" s="126">
        <f t="shared" si="157"/>
        <v>318</v>
      </c>
      <c r="Q420" s="126">
        <f t="shared" si="158"/>
        <v>330</v>
      </c>
      <c r="R420" s="126">
        <f t="shared" si="159"/>
        <v>12</v>
      </c>
      <c r="S420" s="1">
        <f t="shared" si="160"/>
        <v>1</v>
      </c>
      <c r="T420" s="126">
        <f t="shared" si="164"/>
        <v>12</v>
      </c>
      <c r="U420" s="126">
        <f t="shared" si="161"/>
        <v>1571.0000001600001</v>
      </c>
      <c r="W420" s="126">
        <f t="shared" si="162"/>
        <v>330</v>
      </c>
      <c r="X420" s="126">
        <f t="shared" si="163"/>
        <v>343.00000008000001</v>
      </c>
    </row>
    <row r="421" spans="1:24">
      <c r="A421" s="86">
        <v>45492</v>
      </c>
      <c r="B421" s="128">
        <v>1</v>
      </c>
      <c r="C421" s="128">
        <v>0</v>
      </c>
      <c r="D421" s="128">
        <v>0</v>
      </c>
      <c r="E421" s="128">
        <v>0</v>
      </c>
      <c r="F421" s="128">
        <v>1</v>
      </c>
      <c r="G421" s="128">
        <v>1</v>
      </c>
      <c r="K421" s="86">
        <v>45492</v>
      </c>
      <c r="L421" s="126">
        <f t="shared" si="153"/>
        <v>288.00000008000001</v>
      </c>
      <c r="M421" s="126">
        <f t="shared" si="154"/>
        <v>175.00000008000001</v>
      </c>
      <c r="N421" s="126">
        <f t="shared" si="155"/>
        <v>293</v>
      </c>
      <c r="O421" s="126">
        <f t="shared" si="156"/>
        <v>168</v>
      </c>
      <c r="P421" s="126">
        <f t="shared" si="157"/>
        <v>319</v>
      </c>
      <c r="Q421" s="126">
        <f t="shared" si="158"/>
        <v>331</v>
      </c>
      <c r="R421" s="126">
        <f t="shared" si="159"/>
        <v>12</v>
      </c>
      <c r="S421" s="1">
        <f t="shared" si="160"/>
        <v>1</v>
      </c>
      <c r="T421" s="126">
        <f t="shared" si="164"/>
        <v>12</v>
      </c>
      <c r="U421" s="126">
        <f t="shared" si="161"/>
        <v>1574.0000001600001</v>
      </c>
      <c r="W421" s="126">
        <f t="shared" si="162"/>
        <v>331</v>
      </c>
      <c r="X421" s="126">
        <f t="shared" si="163"/>
        <v>343.00000008000001</v>
      </c>
    </row>
    <row r="422" spans="1:24">
      <c r="A422" s="86">
        <v>45499</v>
      </c>
      <c r="B422" s="128">
        <v>1</v>
      </c>
      <c r="C422" s="128">
        <v>1</v>
      </c>
      <c r="D422" s="128">
        <v>1</v>
      </c>
      <c r="E422" s="128">
        <v>1</v>
      </c>
      <c r="F422" s="128">
        <v>1</v>
      </c>
      <c r="G422" s="128">
        <v>1</v>
      </c>
      <c r="K422" s="86">
        <v>45499</v>
      </c>
      <c r="L422" s="126">
        <f t="shared" si="153"/>
        <v>289.00000008000001</v>
      </c>
      <c r="M422" s="126">
        <f t="shared" si="154"/>
        <v>176.00000008000001</v>
      </c>
      <c r="N422" s="126">
        <f t="shared" si="155"/>
        <v>294</v>
      </c>
      <c r="O422" s="126">
        <f t="shared" si="156"/>
        <v>169</v>
      </c>
      <c r="P422" s="126">
        <f t="shared" si="157"/>
        <v>320</v>
      </c>
      <c r="Q422" s="126">
        <f t="shared" si="158"/>
        <v>332</v>
      </c>
      <c r="R422" s="126">
        <f t="shared" si="159"/>
        <v>12</v>
      </c>
      <c r="S422" s="1">
        <f t="shared" si="160"/>
        <v>1</v>
      </c>
      <c r="T422" s="126">
        <f t="shared" si="164"/>
        <v>12</v>
      </c>
      <c r="U422" s="126">
        <f t="shared" si="161"/>
        <v>1580.0000001600001</v>
      </c>
      <c r="W422" s="126">
        <f t="shared" si="162"/>
        <v>332</v>
      </c>
      <c r="X422" s="126">
        <f t="shared" si="163"/>
        <v>345.00000008000001</v>
      </c>
    </row>
    <row r="423" spans="1:24">
      <c r="A423" s="86">
        <v>45506</v>
      </c>
      <c r="B423" s="128">
        <v>1</v>
      </c>
      <c r="C423" s="128">
        <v>0</v>
      </c>
      <c r="D423" s="128">
        <v>0</v>
      </c>
      <c r="E423" s="128">
        <v>0</v>
      </c>
      <c r="F423" s="128">
        <v>1</v>
      </c>
      <c r="G423" s="128">
        <v>1</v>
      </c>
      <c r="K423" s="86">
        <v>45506</v>
      </c>
      <c r="L423" s="126">
        <f t="shared" si="153"/>
        <v>290.00000008000001</v>
      </c>
      <c r="M423" s="126">
        <f t="shared" si="154"/>
        <v>176.00000008000001</v>
      </c>
      <c r="N423" s="126">
        <f t="shared" si="155"/>
        <v>294</v>
      </c>
      <c r="O423" s="126">
        <f t="shared" si="156"/>
        <v>169</v>
      </c>
      <c r="P423" s="126">
        <f t="shared" si="157"/>
        <v>321</v>
      </c>
      <c r="Q423" s="126">
        <f t="shared" si="158"/>
        <v>333</v>
      </c>
      <c r="R423" s="126">
        <f t="shared" si="159"/>
        <v>12</v>
      </c>
      <c r="S423" s="1">
        <f t="shared" si="160"/>
        <v>1</v>
      </c>
      <c r="T423" s="126">
        <f t="shared" si="164"/>
        <v>12</v>
      </c>
      <c r="U423" s="126">
        <f t="shared" si="161"/>
        <v>1583.0000001600001</v>
      </c>
      <c r="W423" s="126">
        <f t="shared" si="162"/>
        <v>333</v>
      </c>
      <c r="X423" s="126">
        <f t="shared" si="163"/>
        <v>345.00000008000001</v>
      </c>
    </row>
    <row r="424" spans="1:24">
      <c r="A424" s="86">
        <v>45513</v>
      </c>
      <c r="B424" s="128">
        <v>1</v>
      </c>
      <c r="C424" s="128">
        <v>1</v>
      </c>
      <c r="D424" s="128">
        <v>1</v>
      </c>
      <c r="E424" s="128">
        <v>0</v>
      </c>
      <c r="F424" s="128">
        <v>0</v>
      </c>
      <c r="G424" s="128">
        <v>1</v>
      </c>
      <c r="K424" s="86">
        <v>45513</v>
      </c>
      <c r="L424" s="126">
        <f t="shared" si="153"/>
        <v>291.00000008000001</v>
      </c>
      <c r="M424" s="126">
        <f t="shared" si="154"/>
        <v>177.00000008000001</v>
      </c>
      <c r="N424" s="126">
        <f t="shared" si="155"/>
        <v>295</v>
      </c>
      <c r="O424" s="126">
        <f t="shared" si="156"/>
        <v>169</v>
      </c>
      <c r="P424" s="126">
        <f t="shared" si="157"/>
        <v>321</v>
      </c>
      <c r="Q424" s="126">
        <f t="shared" si="158"/>
        <v>334</v>
      </c>
      <c r="R424" s="126">
        <f t="shared" si="159"/>
        <v>13</v>
      </c>
      <c r="S424" s="1">
        <f t="shared" si="160"/>
        <v>1</v>
      </c>
      <c r="T424" s="126">
        <f t="shared" si="164"/>
        <v>13</v>
      </c>
      <c r="U424" s="126">
        <f t="shared" si="161"/>
        <v>1587.0000001600001</v>
      </c>
      <c r="W424" s="126">
        <f t="shared" si="162"/>
        <v>334</v>
      </c>
      <c r="X424" s="126">
        <f t="shared" si="163"/>
        <v>346.00000008000001</v>
      </c>
    </row>
    <row r="425" spans="1:24">
      <c r="A425" s="86">
        <v>45520</v>
      </c>
      <c r="B425" s="128">
        <v>1</v>
      </c>
      <c r="C425" s="128">
        <v>1</v>
      </c>
      <c r="D425" s="128">
        <v>1</v>
      </c>
      <c r="E425" s="128">
        <v>1</v>
      </c>
      <c r="F425" s="128">
        <v>1</v>
      </c>
      <c r="G425" s="128">
        <v>1</v>
      </c>
      <c r="K425" s="86">
        <v>45520</v>
      </c>
      <c r="L425" s="126">
        <f t="shared" si="153"/>
        <v>292.00000008000001</v>
      </c>
      <c r="M425" s="126">
        <f t="shared" si="154"/>
        <v>178.00000008000001</v>
      </c>
      <c r="N425" s="126">
        <f t="shared" si="155"/>
        <v>296</v>
      </c>
      <c r="O425" s="126">
        <f t="shared" si="156"/>
        <v>170</v>
      </c>
      <c r="P425" s="126">
        <f t="shared" si="157"/>
        <v>322</v>
      </c>
      <c r="Q425" s="126">
        <f t="shared" si="158"/>
        <v>335</v>
      </c>
      <c r="R425" s="126">
        <f t="shared" si="159"/>
        <v>13</v>
      </c>
      <c r="S425" s="1">
        <f t="shared" si="160"/>
        <v>1</v>
      </c>
      <c r="T425" s="126">
        <f t="shared" si="164"/>
        <v>13</v>
      </c>
      <c r="U425" s="126">
        <f t="shared" si="161"/>
        <v>1593.0000001600001</v>
      </c>
      <c r="W425" s="126">
        <f t="shared" si="162"/>
        <v>335</v>
      </c>
      <c r="X425" s="126">
        <f t="shared" si="163"/>
        <v>348.00000008000001</v>
      </c>
    </row>
    <row r="426" spans="1:24">
      <c r="A426" s="86">
        <v>45527</v>
      </c>
      <c r="B426" s="128">
        <v>1</v>
      </c>
      <c r="C426" s="128">
        <v>0</v>
      </c>
      <c r="D426" s="128">
        <v>1</v>
      </c>
      <c r="E426" s="128">
        <v>0</v>
      </c>
      <c r="F426" s="128">
        <v>1</v>
      </c>
      <c r="G426" s="128">
        <v>1</v>
      </c>
      <c r="K426" s="86">
        <v>45527</v>
      </c>
      <c r="L426" s="126">
        <f t="shared" si="153"/>
        <v>293.00000008000001</v>
      </c>
      <c r="M426" s="126">
        <f t="shared" si="154"/>
        <v>178.00000008000001</v>
      </c>
      <c r="N426" s="126">
        <f t="shared" si="155"/>
        <v>297</v>
      </c>
      <c r="O426" s="126">
        <f t="shared" si="156"/>
        <v>170</v>
      </c>
      <c r="P426" s="126">
        <f t="shared" si="157"/>
        <v>323</v>
      </c>
      <c r="Q426" s="126">
        <f t="shared" si="158"/>
        <v>336</v>
      </c>
      <c r="R426" s="126">
        <f t="shared" si="159"/>
        <v>13</v>
      </c>
      <c r="S426" s="1">
        <f t="shared" si="160"/>
        <v>1</v>
      </c>
      <c r="T426" s="126">
        <f t="shared" si="164"/>
        <v>13</v>
      </c>
      <c r="U426" s="126">
        <f t="shared" si="161"/>
        <v>1597.0000001600001</v>
      </c>
      <c r="W426" s="126">
        <f t="shared" si="162"/>
        <v>336</v>
      </c>
      <c r="X426" s="126">
        <f t="shared" si="163"/>
        <v>348.00000008000001</v>
      </c>
    </row>
    <row r="427" spans="1:24">
      <c r="A427" s="86">
        <v>45534</v>
      </c>
      <c r="B427" s="128">
        <v>1</v>
      </c>
      <c r="C427" s="128">
        <v>0</v>
      </c>
      <c r="D427" s="128">
        <v>1</v>
      </c>
      <c r="E427" s="128">
        <v>0</v>
      </c>
      <c r="F427" s="128">
        <v>1</v>
      </c>
      <c r="G427" s="128">
        <v>1</v>
      </c>
      <c r="K427" s="86">
        <v>45534</v>
      </c>
      <c r="L427" s="126">
        <f t="shared" si="153"/>
        <v>294.00000008000001</v>
      </c>
      <c r="M427" s="126">
        <f t="shared" si="154"/>
        <v>178.00000008000001</v>
      </c>
      <c r="N427" s="126">
        <f t="shared" si="155"/>
        <v>298</v>
      </c>
      <c r="O427" s="126">
        <f t="shared" si="156"/>
        <v>170</v>
      </c>
      <c r="P427" s="126">
        <f t="shared" si="157"/>
        <v>324</v>
      </c>
      <c r="Q427" s="126">
        <f t="shared" si="158"/>
        <v>337</v>
      </c>
      <c r="R427" s="126">
        <f t="shared" si="159"/>
        <v>13</v>
      </c>
      <c r="S427" s="1">
        <f t="shared" si="160"/>
        <v>1</v>
      </c>
      <c r="T427" s="126">
        <f t="shared" si="164"/>
        <v>13</v>
      </c>
      <c r="U427" s="126">
        <f t="shared" si="161"/>
        <v>1601.0000001600001</v>
      </c>
      <c r="W427" s="126">
        <f t="shared" si="162"/>
        <v>337</v>
      </c>
      <c r="X427" s="126">
        <f t="shared" si="163"/>
        <v>348.00000008000001</v>
      </c>
    </row>
    <row r="428" spans="1:24">
      <c r="A428" s="86">
        <v>45541</v>
      </c>
      <c r="B428" s="128">
        <v>1</v>
      </c>
      <c r="C428" s="128">
        <v>1</v>
      </c>
      <c r="D428" s="128">
        <v>0</v>
      </c>
      <c r="E428" s="128">
        <v>0</v>
      </c>
      <c r="F428" s="128">
        <v>0</v>
      </c>
      <c r="G428" s="128">
        <v>1</v>
      </c>
      <c r="K428" s="86">
        <v>45541</v>
      </c>
      <c r="L428" s="126">
        <f t="shared" si="153"/>
        <v>295.00000008000001</v>
      </c>
      <c r="M428" s="126">
        <f t="shared" si="154"/>
        <v>179.00000008000001</v>
      </c>
      <c r="N428" s="126">
        <f t="shared" si="155"/>
        <v>298</v>
      </c>
      <c r="O428" s="126">
        <f t="shared" si="156"/>
        <v>170</v>
      </c>
      <c r="P428" s="126">
        <f t="shared" si="157"/>
        <v>324</v>
      </c>
      <c r="Q428" s="126">
        <f t="shared" si="158"/>
        <v>338</v>
      </c>
      <c r="R428" s="126">
        <f t="shared" si="159"/>
        <v>14</v>
      </c>
      <c r="S428" s="1">
        <f t="shared" si="160"/>
        <v>1</v>
      </c>
      <c r="T428" s="126">
        <f t="shared" si="164"/>
        <v>14</v>
      </c>
      <c r="U428" s="126">
        <f t="shared" si="161"/>
        <v>1604.0000001600001</v>
      </c>
      <c r="W428" s="126">
        <f t="shared" si="162"/>
        <v>338</v>
      </c>
      <c r="X428" s="126">
        <f t="shared" si="163"/>
        <v>349.00000008000001</v>
      </c>
    </row>
    <row r="429" spans="1:24">
      <c r="A429" s="86">
        <v>45548</v>
      </c>
      <c r="B429" s="128">
        <v>1</v>
      </c>
      <c r="C429" s="128">
        <v>1</v>
      </c>
      <c r="D429" s="128">
        <v>1</v>
      </c>
      <c r="E429" s="128">
        <v>0</v>
      </c>
      <c r="F429" s="128">
        <v>0</v>
      </c>
      <c r="G429" s="128">
        <v>0</v>
      </c>
      <c r="K429" s="86">
        <v>45548</v>
      </c>
      <c r="L429" s="126">
        <f t="shared" si="153"/>
        <v>296.00000008000001</v>
      </c>
      <c r="M429" s="126">
        <f t="shared" si="154"/>
        <v>180.00000008000001</v>
      </c>
      <c r="N429" s="126">
        <f t="shared" si="155"/>
        <v>299</v>
      </c>
      <c r="O429" s="126">
        <f t="shared" si="156"/>
        <v>170</v>
      </c>
      <c r="P429" s="126">
        <f t="shared" si="157"/>
        <v>324</v>
      </c>
      <c r="Q429" s="126">
        <f t="shared" si="158"/>
        <v>338</v>
      </c>
      <c r="R429" s="126">
        <f t="shared" si="159"/>
        <v>14</v>
      </c>
      <c r="S429" s="1">
        <f t="shared" si="160"/>
        <v>1</v>
      </c>
      <c r="T429" s="126">
        <f t="shared" si="164"/>
        <v>14</v>
      </c>
      <c r="U429" s="126">
        <f t="shared" si="161"/>
        <v>1607.0000001600001</v>
      </c>
      <c r="W429" s="126">
        <f t="shared" si="162"/>
        <v>338</v>
      </c>
      <c r="X429" s="126">
        <f t="shared" si="163"/>
        <v>350.00000008000001</v>
      </c>
    </row>
    <row r="430" spans="1:24">
      <c r="A430" s="86">
        <v>45555</v>
      </c>
      <c r="B430" s="128">
        <v>1</v>
      </c>
      <c r="C430" s="128">
        <v>1</v>
      </c>
      <c r="D430" s="128">
        <v>1</v>
      </c>
      <c r="E430" s="128">
        <v>0</v>
      </c>
      <c r="F430" s="128">
        <v>1</v>
      </c>
      <c r="G430" s="128">
        <v>0</v>
      </c>
      <c r="K430" s="86">
        <v>45555</v>
      </c>
      <c r="L430" s="126">
        <f t="shared" si="153"/>
        <v>297.00000008000001</v>
      </c>
      <c r="M430" s="126">
        <f t="shared" si="154"/>
        <v>181.00000008000001</v>
      </c>
      <c r="N430" s="126">
        <f t="shared" si="155"/>
        <v>300</v>
      </c>
      <c r="O430" s="126">
        <f t="shared" si="156"/>
        <v>170</v>
      </c>
      <c r="P430" s="126">
        <f t="shared" si="157"/>
        <v>325</v>
      </c>
      <c r="Q430" s="126">
        <f t="shared" si="158"/>
        <v>338</v>
      </c>
      <c r="R430" s="126">
        <f t="shared" si="159"/>
        <v>13</v>
      </c>
      <c r="S430" s="1">
        <f t="shared" si="160"/>
        <v>1</v>
      </c>
      <c r="T430" s="126">
        <f t="shared" si="164"/>
        <v>13</v>
      </c>
      <c r="U430" s="126">
        <f t="shared" si="161"/>
        <v>1611.0000001600001</v>
      </c>
      <c r="W430" s="126">
        <f t="shared" si="162"/>
        <v>338</v>
      </c>
      <c r="X430" s="126">
        <f t="shared" si="163"/>
        <v>351.00000008000001</v>
      </c>
    </row>
    <row r="431" spans="1:24">
      <c r="A431" s="86">
        <v>45562</v>
      </c>
      <c r="B431" s="128">
        <v>1</v>
      </c>
      <c r="C431" s="128">
        <v>1</v>
      </c>
      <c r="D431" s="128">
        <v>0</v>
      </c>
      <c r="E431" s="128">
        <v>1</v>
      </c>
      <c r="F431" s="128">
        <v>1</v>
      </c>
      <c r="G431" s="128">
        <v>1</v>
      </c>
      <c r="K431" s="86">
        <v>45562</v>
      </c>
      <c r="L431" s="126">
        <f t="shared" si="153"/>
        <v>298.00000008000001</v>
      </c>
      <c r="M431" s="126">
        <f t="shared" si="154"/>
        <v>182.00000008000001</v>
      </c>
      <c r="N431" s="126">
        <f t="shared" si="155"/>
        <v>300</v>
      </c>
      <c r="O431" s="126">
        <f t="shared" si="156"/>
        <v>171</v>
      </c>
      <c r="P431" s="126">
        <f t="shared" si="157"/>
        <v>326</v>
      </c>
      <c r="Q431" s="126">
        <f t="shared" si="158"/>
        <v>339</v>
      </c>
      <c r="R431" s="126">
        <f t="shared" si="159"/>
        <v>13</v>
      </c>
      <c r="S431" s="1">
        <f t="shared" si="160"/>
        <v>1</v>
      </c>
      <c r="T431" s="126">
        <f t="shared" si="164"/>
        <v>13</v>
      </c>
      <c r="U431" s="126">
        <f t="shared" si="161"/>
        <v>1616.0000001600001</v>
      </c>
      <c r="W431" s="126">
        <f t="shared" si="162"/>
        <v>339</v>
      </c>
      <c r="X431" s="126">
        <f t="shared" si="163"/>
        <v>353.00000008000001</v>
      </c>
    </row>
    <row r="432" spans="1:24">
      <c r="A432" s="86">
        <v>45569</v>
      </c>
      <c r="B432" s="128">
        <v>1</v>
      </c>
      <c r="C432" s="128">
        <v>1</v>
      </c>
      <c r="D432" s="128">
        <v>0</v>
      </c>
      <c r="E432" s="128">
        <v>0</v>
      </c>
      <c r="F432" s="128">
        <v>0</v>
      </c>
      <c r="G432" s="128">
        <v>1</v>
      </c>
      <c r="K432" s="86">
        <v>45569</v>
      </c>
      <c r="L432" s="126">
        <f t="shared" si="153"/>
        <v>299.00000008000001</v>
      </c>
      <c r="M432" s="126">
        <f t="shared" si="154"/>
        <v>183.00000008000001</v>
      </c>
      <c r="N432" s="126">
        <f t="shared" si="155"/>
        <v>300</v>
      </c>
      <c r="O432" s="126">
        <f t="shared" si="156"/>
        <v>171</v>
      </c>
      <c r="P432" s="126">
        <f t="shared" si="157"/>
        <v>326</v>
      </c>
      <c r="Q432" s="126">
        <f t="shared" si="158"/>
        <v>340</v>
      </c>
      <c r="R432" s="126">
        <f t="shared" si="159"/>
        <v>14</v>
      </c>
      <c r="S432" s="1">
        <f t="shared" si="160"/>
        <v>1</v>
      </c>
      <c r="T432" s="126">
        <f t="shared" si="164"/>
        <v>14</v>
      </c>
      <c r="U432" s="126">
        <f t="shared" si="161"/>
        <v>1619.0000001600001</v>
      </c>
      <c r="W432" s="126">
        <f t="shared" si="162"/>
        <v>340</v>
      </c>
      <c r="X432" s="126">
        <f t="shared" si="163"/>
        <v>354.00000008000001</v>
      </c>
    </row>
    <row r="433" spans="1:24">
      <c r="A433" s="86">
        <v>45576</v>
      </c>
      <c r="B433" s="128">
        <v>1</v>
      </c>
      <c r="C433" s="128">
        <v>1</v>
      </c>
      <c r="D433" s="128">
        <v>0</v>
      </c>
      <c r="E433" s="128">
        <v>1</v>
      </c>
      <c r="F433" s="128">
        <v>1</v>
      </c>
      <c r="G433" s="128">
        <v>1</v>
      </c>
      <c r="K433" s="86">
        <v>45576</v>
      </c>
      <c r="L433" s="126">
        <f t="shared" si="153"/>
        <v>300.00000008000001</v>
      </c>
      <c r="M433" s="126">
        <f t="shared" si="154"/>
        <v>184.00000008000001</v>
      </c>
      <c r="N433" s="126">
        <f t="shared" si="155"/>
        <v>300</v>
      </c>
      <c r="O433" s="126">
        <f t="shared" si="156"/>
        <v>172</v>
      </c>
      <c r="P433" s="126">
        <f t="shared" si="157"/>
        <v>327</v>
      </c>
      <c r="Q433" s="126">
        <f t="shared" si="158"/>
        <v>341</v>
      </c>
      <c r="R433" s="126">
        <f t="shared" si="159"/>
        <v>14</v>
      </c>
      <c r="S433" s="1">
        <f t="shared" si="160"/>
        <v>1</v>
      </c>
      <c r="T433" s="126">
        <f t="shared" si="164"/>
        <v>14</v>
      </c>
      <c r="U433" s="126">
        <f t="shared" si="161"/>
        <v>1624.0000001600001</v>
      </c>
      <c r="W433" s="126">
        <f t="shared" si="162"/>
        <v>341</v>
      </c>
      <c r="X433" s="126">
        <f t="shared" si="163"/>
        <v>356.00000008000001</v>
      </c>
    </row>
    <row r="434" spans="1:24">
      <c r="A434" s="86">
        <v>45583</v>
      </c>
      <c r="B434" s="128">
        <v>1</v>
      </c>
      <c r="C434" s="128">
        <v>1</v>
      </c>
      <c r="D434" s="128">
        <v>0</v>
      </c>
      <c r="E434" s="128">
        <v>1</v>
      </c>
      <c r="F434" s="128">
        <v>1</v>
      </c>
      <c r="G434" s="128">
        <v>1</v>
      </c>
      <c r="K434" s="86">
        <v>45583</v>
      </c>
      <c r="L434" s="126">
        <f t="shared" si="153"/>
        <v>301.00000008000001</v>
      </c>
      <c r="M434" s="126">
        <f t="shared" si="154"/>
        <v>185.00000008000001</v>
      </c>
      <c r="N434" s="126">
        <f t="shared" si="155"/>
        <v>300</v>
      </c>
      <c r="O434" s="126">
        <f t="shared" si="156"/>
        <v>173</v>
      </c>
      <c r="P434" s="126">
        <f t="shared" si="157"/>
        <v>328</v>
      </c>
      <c r="Q434" s="126">
        <f t="shared" si="158"/>
        <v>342</v>
      </c>
      <c r="R434" s="126">
        <f t="shared" ref="R434:R497" si="165">Q434-MAX(L434:P434)</f>
        <v>14</v>
      </c>
      <c r="S434" s="1">
        <f t="shared" ref="S434:S497" si="166">IF(Q434&gt;L434,1,0)</f>
        <v>1</v>
      </c>
      <c r="T434" s="126">
        <f t="shared" si="164"/>
        <v>14</v>
      </c>
      <c r="U434" s="126">
        <f t="shared" ref="U434:U497" si="167">SUM(L434:Q434)</f>
        <v>1629.0000001600001</v>
      </c>
      <c r="W434" s="126">
        <f t="shared" ref="W434:W497" si="168">Q434</f>
        <v>342</v>
      </c>
      <c r="X434" s="126">
        <f t="shared" ref="X434:X497" si="169">M434+O434</f>
        <v>358.00000008000001</v>
      </c>
    </row>
    <row r="435" spans="1:24">
      <c r="A435" s="86">
        <v>45590</v>
      </c>
      <c r="B435" s="128">
        <v>1</v>
      </c>
      <c r="C435" s="128">
        <v>0</v>
      </c>
      <c r="D435" s="128">
        <v>0</v>
      </c>
      <c r="E435" s="128">
        <v>0</v>
      </c>
      <c r="F435" s="128">
        <v>0</v>
      </c>
      <c r="G435" s="128">
        <v>1</v>
      </c>
      <c r="K435" s="86">
        <v>45590</v>
      </c>
      <c r="L435" s="126">
        <f t="shared" si="153"/>
        <v>302.00000008000001</v>
      </c>
      <c r="M435" s="126">
        <f t="shared" si="154"/>
        <v>185.00000008000001</v>
      </c>
      <c r="N435" s="126">
        <f t="shared" si="155"/>
        <v>300</v>
      </c>
      <c r="O435" s="126">
        <f t="shared" si="156"/>
        <v>173</v>
      </c>
      <c r="P435" s="126">
        <f t="shared" si="157"/>
        <v>328</v>
      </c>
      <c r="Q435" s="126">
        <f t="shared" si="158"/>
        <v>343</v>
      </c>
      <c r="R435" s="126">
        <f t="shared" si="165"/>
        <v>15</v>
      </c>
      <c r="S435" s="1">
        <f t="shared" si="166"/>
        <v>1</v>
      </c>
      <c r="T435" s="126">
        <f t="shared" si="164"/>
        <v>15</v>
      </c>
      <c r="U435" s="126">
        <f t="shared" si="167"/>
        <v>1631.0000001600001</v>
      </c>
      <c r="W435" s="126">
        <f t="shared" si="168"/>
        <v>343</v>
      </c>
      <c r="X435" s="126">
        <f t="shared" si="169"/>
        <v>358.00000008000001</v>
      </c>
    </row>
    <row r="436" spans="1:24">
      <c r="A436" s="86">
        <v>45597</v>
      </c>
      <c r="B436" s="128">
        <v>1</v>
      </c>
      <c r="C436" s="128">
        <v>0</v>
      </c>
      <c r="D436" s="128">
        <v>0</v>
      </c>
      <c r="E436" s="128">
        <v>0</v>
      </c>
      <c r="F436" s="128">
        <v>1</v>
      </c>
      <c r="G436" s="128">
        <v>0</v>
      </c>
      <c r="K436" s="86">
        <v>45597</v>
      </c>
      <c r="L436" s="126">
        <f t="shared" ref="L436:O499" si="170">B436+L435</f>
        <v>303.00000008000001</v>
      </c>
      <c r="M436" s="126">
        <f t="shared" si="170"/>
        <v>185.00000008000001</v>
      </c>
      <c r="N436" s="126">
        <f t="shared" si="170"/>
        <v>300</v>
      </c>
      <c r="O436" s="126">
        <f t="shared" si="170"/>
        <v>173</v>
      </c>
      <c r="P436" s="126">
        <f t="shared" ref="P436:Q499" si="171">F436+P435</f>
        <v>329</v>
      </c>
      <c r="Q436" s="126">
        <f t="shared" si="171"/>
        <v>343</v>
      </c>
      <c r="R436" s="126">
        <f t="shared" si="165"/>
        <v>14</v>
      </c>
      <c r="S436" s="1">
        <f t="shared" si="166"/>
        <v>1</v>
      </c>
      <c r="T436" s="126">
        <f t="shared" si="164"/>
        <v>14</v>
      </c>
      <c r="U436" s="126">
        <f t="shared" si="167"/>
        <v>1633.0000001600001</v>
      </c>
      <c r="W436" s="126">
        <f t="shared" si="168"/>
        <v>343</v>
      </c>
      <c r="X436" s="126">
        <f t="shared" si="169"/>
        <v>358.00000008000001</v>
      </c>
    </row>
    <row r="437" spans="1:24">
      <c r="A437" s="86">
        <v>45604</v>
      </c>
      <c r="B437" s="128">
        <v>1</v>
      </c>
      <c r="C437" s="128">
        <v>1</v>
      </c>
      <c r="D437" s="128">
        <v>0</v>
      </c>
      <c r="E437" s="128">
        <v>0</v>
      </c>
      <c r="F437" s="128">
        <v>1</v>
      </c>
      <c r="G437" s="128">
        <v>1</v>
      </c>
      <c r="K437" s="86">
        <v>45604</v>
      </c>
      <c r="L437" s="126">
        <f t="shared" si="170"/>
        <v>304.00000008000001</v>
      </c>
      <c r="M437" s="126">
        <f t="shared" si="170"/>
        <v>186.00000008000001</v>
      </c>
      <c r="N437" s="126">
        <f t="shared" si="170"/>
        <v>300</v>
      </c>
      <c r="O437" s="126">
        <f t="shared" si="170"/>
        <v>173</v>
      </c>
      <c r="P437" s="126">
        <f t="shared" si="171"/>
        <v>330</v>
      </c>
      <c r="Q437" s="126">
        <f t="shared" si="171"/>
        <v>344</v>
      </c>
      <c r="R437" s="126">
        <f t="shared" si="165"/>
        <v>14</v>
      </c>
      <c r="S437" s="1">
        <f t="shared" si="166"/>
        <v>1</v>
      </c>
      <c r="T437" s="126">
        <f t="shared" si="164"/>
        <v>14</v>
      </c>
      <c r="U437" s="126">
        <f t="shared" si="167"/>
        <v>1637.0000001600001</v>
      </c>
      <c r="W437" s="126">
        <f t="shared" si="168"/>
        <v>344</v>
      </c>
      <c r="X437" s="126">
        <f t="shared" si="169"/>
        <v>359.00000008000001</v>
      </c>
    </row>
    <row r="438" spans="1:24">
      <c r="A438" s="86">
        <v>45611</v>
      </c>
      <c r="B438" s="128">
        <v>1</v>
      </c>
      <c r="C438" s="128">
        <v>1</v>
      </c>
      <c r="D438" s="128">
        <v>1</v>
      </c>
      <c r="E438" s="128">
        <v>0</v>
      </c>
      <c r="F438" s="128">
        <v>1</v>
      </c>
      <c r="G438" s="128">
        <v>1</v>
      </c>
      <c r="K438" s="86">
        <v>45611</v>
      </c>
      <c r="L438" s="126">
        <f t="shared" si="170"/>
        <v>305.00000008000001</v>
      </c>
      <c r="M438" s="126">
        <f t="shared" si="170"/>
        <v>187.00000008000001</v>
      </c>
      <c r="N438" s="126">
        <f t="shared" si="170"/>
        <v>301</v>
      </c>
      <c r="O438" s="126">
        <f t="shared" si="170"/>
        <v>173</v>
      </c>
      <c r="P438" s="126">
        <f t="shared" si="171"/>
        <v>331</v>
      </c>
      <c r="Q438" s="126">
        <f t="shared" si="171"/>
        <v>345</v>
      </c>
      <c r="R438" s="126">
        <f t="shared" si="165"/>
        <v>14</v>
      </c>
      <c r="S438" s="1">
        <f t="shared" si="166"/>
        <v>1</v>
      </c>
      <c r="T438" s="126">
        <f t="shared" si="164"/>
        <v>14</v>
      </c>
      <c r="U438" s="126">
        <f t="shared" si="167"/>
        <v>1642.0000001600001</v>
      </c>
      <c r="W438" s="126">
        <f t="shared" si="168"/>
        <v>345</v>
      </c>
      <c r="X438" s="126">
        <f t="shared" si="169"/>
        <v>360.00000008000001</v>
      </c>
    </row>
    <row r="439" spans="1:24">
      <c r="A439" s="86">
        <v>45618</v>
      </c>
      <c r="B439" s="128">
        <v>1</v>
      </c>
      <c r="C439" s="128">
        <v>1</v>
      </c>
      <c r="D439" s="128">
        <v>0</v>
      </c>
      <c r="E439" s="128">
        <v>1</v>
      </c>
      <c r="F439" s="128">
        <v>1</v>
      </c>
      <c r="G439" s="128">
        <v>1</v>
      </c>
      <c r="K439" s="86">
        <v>45618</v>
      </c>
      <c r="L439" s="126">
        <f t="shared" si="170"/>
        <v>306.00000008000001</v>
      </c>
      <c r="M439" s="126">
        <f t="shared" si="170"/>
        <v>188.00000008000001</v>
      </c>
      <c r="N439" s="126">
        <f t="shared" si="170"/>
        <v>301</v>
      </c>
      <c r="O439" s="126">
        <f t="shared" si="170"/>
        <v>174</v>
      </c>
      <c r="P439" s="126">
        <f t="shared" si="171"/>
        <v>332</v>
      </c>
      <c r="Q439" s="126">
        <f t="shared" si="171"/>
        <v>346</v>
      </c>
      <c r="R439" s="126">
        <f t="shared" si="165"/>
        <v>14</v>
      </c>
      <c r="S439" s="1">
        <f t="shared" si="166"/>
        <v>1</v>
      </c>
      <c r="T439" s="126">
        <f t="shared" si="164"/>
        <v>14</v>
      </c>
      <c r="U439" s="126">
        <f t="shared" si="167"/>
        <v>1647.0000001600001</v>
      </c>
      <c r="W439" s="126">
        <f t="shared" si="168"/>
        <v>346</v>
      </c>
      <c r="X439" s="126">
        <f t="shared" si="169"/>
        <v>362.00000008000001</v>
      </c>
    </row>
    <row r="440" spans="1:24">
      <c r="A440" s="86">
        <v>45625</v>
      </c>
      <c r="B440" s="128">
        <v>1</v>
      </c>
      <c r="C440" s="128">
        <v>0</v>
      </c>
      <c r="D440" s="128">
        <v>1</v>
      </c>
      <c r="E440" s="128">
        <v>0</v>
      </c>
      <c r="F440" s="128">
        <v>1</v>
      </c>
      <c r="G440" s="128">
        <v>0</v>
      </c>
      <c r="K440" s="86">
        <v>45625</v>
      </c>
      <c r="L440" s="126">
        <f t="shared" si="170"/>
        <v>307.00000008000001</v>
      </c>
      <c r="M440" s="126">
        <f t="shared" si="170"/>
        <v>188.00000008000001</v>
      </c>
      <c r="N440" s="126">
        <f t="shared" si="170"/>
        <v>302</v>
      </c>
      <c r="O440" s="126">
        <f t="shared" si="170"/>
        <v>174</v>
      </c>
      <c r="P440" s="126">
        <f t="shared" si="171"/>
        <v>333</v>
      </c>
      <c r="Q440" s="126">
        <f t="shared" si="171"/>
        <v>346</v>
      </c>
      <c r="R440" s="126">
        <f t="shared" si="165"/>
        <v>13</v>
      </c>
      <c r="S440" s="1">
        <f t="shared" si="166"/>
        <v>1</v>
      </c>
      <c r="T440" s="126">
        <f t="shared" si="164"/>
        <v>13</v>
      </c>
      <c r="U440" s="126">
        <f t="shared" si="167"/>
        <v>1650.0000001600001</v>
      </c>
      <c r="W440" s="126">
        <f t="shared" si="168"/>
        <v>346</v>
      </c>
      <c r="X440" s="126">
        <f t="shared" si="169"/>
        <v>362.00000008000001</v>
      </c>
    </row>
    <row r="441" spans="1:24">
      <c r="A441" s="86">
        <v>45632</v>
      </c>
      <c r="B441" s="128">
        <v>1</v>
      </c>
      <c r="C441" s="128">
        <v>1</v>
      </c>
      <c r="D441" s="128">
        <v>0</v>
      </c>
      <c r="E441" s="128">
        <v>1</v>
      </c>
      <c r="F441" s="128">
        <v>1</v>
      </c>
      <c r="G441" s="128">
        <v>1</v>
      </c>
      <c r="K441" s="86">
        <v>45632</v>
      </c>
      <c r="L441" s="126">
        <f t="shared" si="170"/>
        <v>308.00000008000001</v>
      </c>
      <c r="M441" s="126">
        <f t="shared" si="170"/>
        <v>189.00000008000001</v>
      </c>
      <c r="N441" s="126">
        <f t="shared" si="170"/>
        <v>302</v>
      </c>
      <c r="O441" s="126">
        <f t="shared" si="170"/>
        <v>175</v>
      </c>
      <c r="P441" s="126">
        <f t="shared" si="171"/>
        <v>334</v>
      </c>
      <c r="Q441" s="126">
        <f t="shared" si="171"/>
        <v>347</v>
      </c>
      <c r="R441" s="126">
        <f t="shared" si="165"/>
        <v>13</v>
      </c>
      <c r="S441" s="1">
        <f t="shared" si="166"/>
        <v>1</v>
      </c>
      <c r="T441" s="126">
        <f t="shared" si="164"/>
        <v>13</v>
      </c>
      <c r="U441" s="126">
        <f t="shared" si="167"/>
        <v>1655.0000001600001</v>
      </c>
      <c r="W441" s="126">
        <f t="shared" si="168"/>
        <v>347</v>
      </c>
      <c r="X441" s="126">
        <f t="shared" si="169"/>
        <v>364.00000008000001</v>
      </c>
    </row>
    <row r="442" spans="1:24">
      <c r="A442" s="86">
        <v>45639</v>
      </c>
      <c r="B442" s="128">
        <v>0</v>
      </c>
      <c r="C442" s="128">
        <v>0</v>
      </c>
      <c r="D442" s="128">
        <v>0</v>
      </c>
      <c r="E442" s="128">
        <v>0</v>
      </c>
      <c r="F442" s="128">
        <v>1</v>
      </c>
      <c r="G442" s="128">
        <v>1</v>
      </c>
      <c r="K442" s="86">
        <v>45639</v>
      </c>
      <c r="L442" s="126">
        <f t="shared" si="170"/>
        <v>308.00000008000001</v>
      </c>
      <c r="M442" s="126">
        <f t="shared" si="170"/>
        <v>189.00000008000001</v>
      </c>
      <c r="N442" s="126">
        <f t="shared" si="170"/>
        <v>302</v>
      </c>
      <c r="O442" s="126">
        <f t="shared" si="170"/>
        <v>175</v>
      </c>
      <c r="P442" s="126">
        <f t="shared" si="171"/>
        <v>335</v>
      </c>
      <c r="Q442" s="126">
        <f t="shared" si="171"/>
        <v>348</v>
      </c>
      <c r="R442" s="126">
        <f t="shared" si="165"/>
        <v>13</v>
      </c>
      <c r="S442" s="1">
        <f t="shared" si="166"/>
        <v>1</v>
      </c>
      <c r="T442" s="126">
        <f t="shared" si="164"/>
        <v>13</v>
      </c>
      <c r="U442" s="126">
        <f t="shared" si="167"/>
        <v>1657.0000001600001</v>
      </c>
      <c r="W442" s="126">
        <f t="shared" si="168"/>
        <v>348</v>
      </c>
      <c r="X442" s="126">
        <f t="shared" si="169"/>
        <v>364.00000008000001</v>
      </c>
    </row>
    <row r="443" spans="1:24">
      <c r="A443" s="86">
        <v>45646</v>
      </c>
      <c r="B443" s="128">
        <v>1</v>
      </c>
      <c r="C443" s="128">
        <v>1</v>
      </c>
      <c r="D443" s="128">
        <v>1</v>
      </c>
      <c r="E443" s="128">
        <v>1</v>
      </c>
      <c r="F443" s="128">
        <v>1</v>
      </c>
      <c r="G443" s="128">
        <v>1</v>
      </c>
      <c r="K443" s="86">
        <v>45646</v>
      </c>
      <c r="L443" s="126">
        <f t="shared" si="170"/>
        <v>309.00000008000001</v>
      </c>
      <c r="M443" s="126">
        <f t="shared" si="170"/>
        <v>190.00000008000001</v>
      </c>
      <c r="N443" s="126">
        <f t="shared" si="170"/>
        <v>303</v>
      </c>
      <c r="O443" s="126">
        <f t="shared" si="170"/>
        <v>176</v>
      </c>
      <c r="P443" s="126">
        <f t="shared" si="171"/>
        <v>336</v>
      </c>
      <c r="Q443" s="126">
        <f t="shared" si="171"/>
        <v>349</v>
      </c>
      <c r="R443" s="126">
        <f t="shared" si="165"/>
        <v>13</v>
      </c>
      <c r="S443" s="1">
        <f t="shared" si="166"/>
        <v>1</v>
      </c>
      <c r="T443" s="126">
        <f t="shared" si="164"/>
        <v>13</v>
      </c>
      <c r="U443" s="126">
        <f t="shared" si="167"/>
        <v>1663.0000001600001</v>
      </c>
      <c r="W443" s="126">
        <f t="shared" si="168"/>
        <v>349</v>
      </c>
      <c r="X443" s="126">
        <f t="shared" si="169"/>
        <v>366.00000008000001</v>
      </c>
    </row>
    <row r="444" spans="1:24">
      <c r="A444" s="86">
        <v>45653</v>
      </c>
      <c r="B444" s="128">
        <v>0</v>
      </c>
      <c r="C444" s="128">
        <v>0</v>
      </c>
      <c r="D444" s="128">
        <v>0</v>
      </c>
      <c r="E444" s="128">
        <v>1</v>
      </c>
      <c r="F444" s="128">
        <v>0</v>
      </c>
      <c r="G444" s="128">
        <v>0</v>
      </c>
      <c r="K444" s="86">
        <v>45653</v>
      </c>
      <c r="L444" s="126">
        <f t="shared" si="170"/>
        <v>309.00000008000001</v>
      </c>
      <c r="M444" s="126">
        <f t="shared" si="170"/>
        <v>190.00000008000001</v>
      </c>
      <c r="N444" s="126">
        <f t="shared" si="170"/>
        <v>303</v>
      </c>
      <c r="O444" s="126">
        <f t="shared" si="170"/>
        <v>177</v>
      </c>
      <c r="P444" s="126">
        <f t="shared" si="171"/>
        <v>336</v>
      </c>
      <c r="Q444" s="126">
        <f t="shared" si="171"/>
        <v>349</v>
      </c>
      <c r="R444" s="126">
        <f t="shared" si="165"/>
        <v>13</v>
      </c>
      <c r="S444" s="1">
        <f t="shared" si="166"/>
        <v>1</v>
      </c>
      <c r="T444" s="126">
        <f t="shared" si="164"/>
        <v>13</v>
      </c>
      <c r="U444" s="126">
        <f t="shared" si="167"/>
        <v>1664.0000001600001</v>
      </c>
      <c r="W444" s="126">
        <f t="shared" si="168"/>
        <v>349</v>
      </c>
      <c r="X444" s="126">
        <f t="shared" si="169"/>
        <v>367.00000008000001</v>
      </c>
    </row>
    <row r="445" spans="1:24">
      <c r="A445" s="86">
        <v>45660</v>
      </c>
      <c r="B445" s="128">
        <v>0</v>
      </c>
      <c r="C445" s="128">
        <v>1</v>
      </c>
      <c r="D445" s="128">
        <v>0</v>
      </c>
      <c r="E445" s="128">
        <v>0</v>
      </c>
      <c r="F445" s="128">
        <v>1</v>
      </c>
      <c r="G445" s="128">
        <v>1</v>
      </c>
      <c r="K445" s="86">
        <v>45660</v>
      </c>
      <c r="L445" s="126">
        <f t="shared" si="170"/>
        <v>309.00000008000001</v>
      </c>
      <c r="M445" s="126">
        <f t="shared" si="170"/>
        <v>191.00000008000001</v>
      </c>
      <c r="N445" s="126">
        <f t="shared" si="170"/>
        <v>303</v>
      </c>
      <c r="O445" s="126">
        <f t="shared" si="170"/>
        <v>177</v>
      </c>
      <c r="P445" s="126">
        <f t="shared" si="171"/>
        <v>337</v>
      </c>
      <c r="Q445" s="126">
        <f t="shared" si="171"/>
        <v>350</v>
      </c>
      <c r="R445" s="126">
        <f t="shared" si="165"/>
        <v>13</v>
      </c>
      <c r="S445" s="1">
        <f t="shared" si="166"/>
        <v>1</v>
      </c>
      <c r="T445" s="126">
        <f t="shared" si="164"/>
        <v>13</v>
      </c>
      <c r="U445" s="126">
        <f t="shared" si="167"/>
        <v>1667.0000001600001</v>
      </c>
      <c r="W445" s="126">
        <f t="shared" si="168"/>
        <v>350</v>
      </c>
      <c r="X445" s="126">
        <f t="shared" si="169"/>
        <v>368.00000008000001</v>
      </c>
    </row>
    <row r="446" spans="1:24">
      <c r="A446" s="86">
        <v>45667</v>
      </c>
      <c r="B446" s="128">
        <v>0</v>
      </c>
      <c r="C446" s="128">
        <v>1</v>
      </c>
      <c r="D446" s="128">
        <v>0</v>
      </c>
      <c r="E446" s="128">
        <v>1</v>
      </c>
      <c r="F446" s="128">
        <v>1</v>
      </c>
      <c r="G446" s="128">
        <v>1</v>
      </c>
      <c r="K446" s="86">
        <v>45667</v>
      </c>
      <c r="L446" s="126">
        <f t="shared" si="170"/>
        <v>309.00000008000001</v>
      </c>
      <c r="M446" s="126">
        <f t="shared" si="170"/>
        <v>192.00000008000001</v>
      </c>
      <c r="N446" s="126">
        <f t="shared" si="170"/>
        <v>303</v>
      </c>
      <c r="O446" s="126">
        <f t="shared" si="170"/>
        <v>178</v>
      </c>
      <c r="P446" s="126">
        <f t="shared" si="171"/>
        <v>338</v>
      </c>
      <c r="Q446" s="126">
        <f t="shared" si="171"/>
        <v>351</v>
      </c>
      <c r="R446" s="126">
        <f t="shared" si="165"/>
        <v>13</v>
      </c>
      <c r="S446" s="1">
        <f t="shared" si="166"/>
        <v>1</v>
      </c>
      <c r="T446" s="126">
        <f t="shared" si="164"/>
        <v>13</v>
      </c>
      <c r="U446" s="126">
        <f t="shared" si="167"/>
        <v>1671.0000001600001</v>
      </c>
      <c r="W446" s="126">
        <f t="shared" si="168"/>
        <v>351</v>
      </c>
      <c r="X446" s="126">
        <f t="shared" si="169"/>
        <v>370.00000008000001</v>
      </c>
    </row>
    <row r="447" spans="1:24">
      <c r="A447" s="86">
        <v>45674</v>
      </c>
      <c r="B447" s="128">
        <v>1</v>
      </c>
      <c r="C447" s="128">
        <v>1</v>
      </c>
      <c r="D447" s="128">
        <v>0</v>
      </c>
      <c r="E447" s="128">
        <v>1</v>
      </c>
      <c r="F447" s="128">
        <v>1</v>
      </c>
      <c r="G447" s="128">
        <v>1</v>
      </c>
      <c r="K447" s="86">
        <v>45674</v>
      </c>
      <c r="L447" s="126">
        <f t="shared" si="170"/>
        <v>310.00000008000001</v>
      </c>
      <c r="M447" s="126">
        <f t="shared" si="170"/>
        <v>193.00000008000001</v>
      </c>
      <c r="N447" s="126">
        <f t="shared" si="170"/>
        <v>303</v>
      </c>
      <c r="O447" s="126">
        <f t="shared" si="170"/>
        <v>179</v>
      </c>
      <c r="P447" s="126">
        <f t="shared" si="171"/>
        <v>339</v>
      </c>
      <c r="Q447" s="126">
        <f t="shared" si="171"/>
        <v>352</v>
      </c>
      <c r="R447" s="126">
        <f t="shared" si="165"/>
        <v>13</v>
      </c>
      <c r="S447" s="1">
        <f t="shared" si="166"/>
        <v>1</v>
      </c>
      <c r="T447" s="126">
        <f t="shared" si="164"/>
        <v>13</v>
      </c>
      <c r="U447" s="126">
        <f t="shared" si="167"/>
        <v>1676.0000001600001</v>
      </c>
      <c r="W447" s="126">
        <f t="shared" si="168"/>
        <v>352</v>
      </c>
      <c r="X447" s="126">
        <f t="shared" si="169"/>
        <v>372.00000008000001</v>
      </c>
    </row>
    <row r="448" spans="1:24">
      <c r="A448" s="86">
        <v>45681</v>
      </c>
      <c r="B448" s="128">
        <v>1</v>
      </c>
      <c r="C448" s="128">
        <v>1</v>
      </c>
      <c r="D448" s="128">
        <v>1</v>
      </c>
      <c r="E448" s="128">
        <v>0</v>
      </c>
      <c r="F448" s="128">
        <v>1</v>
      </c>
      <c r="G448" s="128">
        <v>1</v>
      </c>
      <c r="K448" s="86">
        <v>45681</v>
      </c>
      <c r="L448" s="126">
        <f t="shared" si="170"/>
        <v>311.00000008000001</v>
      </c>
      <c r="M448" s="126">
        <f t="shared" si="170"/>
        <v>194.00000008000001</v>
      </c>
      <c r="N448" s="126">
        <f t="shared" si="170"/>
        <v>304</v>
      </c>
      <c r="O448" s="126">
        <f t="shared" si="170"/>
        <v>179</v>
      </c>
      <c r="P448" s="126">
        <f t="shared" si="171"/>
        <v>340</v>
      </c>
      <c r="Q448" s="126">
        <f t="shared" si="171"/>
        <v>353</v>
      </c>
      <c r="R448" s="126">
        <f t="shared" si="165"/>
        <v>13</v>
      </c>
      <c r="S448" s="1">
        <f t="shared" si="166"/>
        <v>1</v>
      </c>
      <c r="T448" s="126">
        <f t="shared" si="164"/>
        <v>13</v>
      </c>
      <c r="U448" s="126">
        <f t="shared" si="167"/>
        <v>1681.0000001600001</v>
      </c>
      <c r="W448" s="126">
        <f t="shared" si="168"/>
        <v>353</v>
      </c>
      <c r="X448" s="126">
        <f t="shared" si="169"/>
        <v>373.00000008000001</v>
      </c>
    </row>
    <row r="449" spans="1:24">
      <c r="A449" s="86">
        <v>45688</v>
      </c>
      <c r="B449" s="128">
        <v>1</v>
      </c>
      <c r="C449" s="128">
        <v>1</v>
      </c>
      <c r="D449" s="128">
        <v>0</v>
      </c>
      <c r="E449" s="128">
        <v>1</v>
      </c>
      <c r="F449" s="128">
        <v>1</v>
      </c>
      <c r="G449" s="128">
        <v>1</v>
      </c>
      <c r="K449" s="86">
        <v>45688</v>
      </c>
      <c r="L449" s="126">
        <f t="shared" si="170"/>
        <v>312.00000008000001</v>
      </c>
      <c r="M449" s="126">
        <f t="shared" si="170"/>
        <v>195.00000008000001</v>
      </c>
      <c r="N449" s="126">
        <f t="shared" si="170"/>
        <v>304</v>
      </c>
      <c r="O449" s="126">
        <f t="shared" si="170"/>
        <v>180</v>
      </c>
      <c r="P449" s="126">
        <f t="shared" si="171"/>
        <v>341</v>
      </c>
      <c r="Q449" s="126">
        <f t="shared" si="171"/>
        <v>354</v>
      </c>
      <c r="R449" s="126">
        <f t="shared" si="165"/>
        <v>13</v>
      </c>
      <c r="S449" s="1">
        <f t="shared" si="166"/>
        <v>1</v>
      </c>
      <c r="T449" s="126">
        <f t="shared" ref="T449:T512" si="172">Q449-MAX(L449:P449)</f>
        <v>13</v>
      </c>
      <c r="U449" s="126">
        <f t="shared" si="167"/>
        <v>1686.0000001600001</v>
      </c>
      <c r="W449" s="126">
        <f t="shared" si="168"/>
        <v>354</v>
      </c>
      <c r="X449" s="126">
        <f t="shared" si="169"/>
        <v>375.00000008000001</v>
      </c>
    </row>
    <row r="450" spans="1:24">
      <c r="A450" s="86">
        <v>45695</v>
      </c>
      <c r="B450" s="128">
        <v>1</v>
      </c>
      <c r="C450" s="128">
        <v>1</v>
      </c>
      <c r="D450" s="128">
        <v>1</v>
      </c>
      <c r="E450" s="128">
        <v>1</v>
      </c>
      <c r="F450" s="128">
        <v>1</v>
      </c>
      <c r="G450" s="128">
        <v>1</v>
      </c>
      <c r="K450" s="86">
        <v>45695</v>
      </c>
      <c r="L450" s="126">
        <f t="shared" si="170"/>
        <v>313.00000008000001</v>
      </c>
      <c r="M450" s="126">
        <f t="shared" si="170"/>
        <v>196.00000008000001</v>
      </c>
      <c r="N450" s="126">
        <f t="shared" si="170"/>
        <v>305</v>
      </c>
      <c r="O450" s="126">
        <f t="shared" si="170"/>
        <v>181</v>
      </c>
      <c r="P450" s="126">
        <f t="shared" si="171"/>
        <v>342</v>
      </c>
      <c r="Q450" s="126">
        <f t="shared" si="171"/>
        <v>355</v>
      </c>
      <c r="R450" s="126">
        <f t="shared" si="165"/>
        <v>13</v>
      </c>
      <c r="S450" s="1">
        <f t="shared" si="166"/>
        <v>1</v>
      </c>
      <c r="T450" s="126">
        <f t="shared" si="172"/>
        <v>13</v>
      </c>
      <c r="U450" s="126">
        <f t="shared" si="167"/>
        <v>1692.0000001600001</v>
      </c>
      <c r="W450" s="126">
        <f t="shared" si="168"/>
        <v>355</v>
      </c>
      <c r="X450" s="126">
        <f t="shared" si="169"/>
        <v>377.00000008000001</v>
      </c>
    </row>
    <row r="451" spans="1:24">
      <c r="A451" s="86">
        <v>45702</v>
      </c>
      <c r="B451" s="128">
        <v>0</v>
      </c>
      <c r="C451" s="128">
        <v>1</v>
      </c>
      <c r="D451" s="128">
        <v>1</v>
      </c>
      <c r="E451" s="128">
        <v>1</v>
      </c>
      <c r="F451" s="128">
        <v>1</v>
      </c>
      <c r="G451" s="128">
        <v>1</v>
      </c>
      <c r="K451" s="86">
        <v>45702</v>
      </c>
      <c r="L451" s="126">
        <f t="shared" si="170"/>
        <v>313.00000008000001</v>
      </c>
      <c r="M451" s="126">
        <f t="shared" si="170"/>
        <v>197.00000008000001</v>
      </c>
      <c r="N451" s="126">
        <f t="shared" si="170"/>
        <v>306</v>
      </c>
      <c r="O451" s="126">
        <f t="shared" si="170"/>
        <v>182</v>
      </c>
      <c r="P451" s="126">
        <f t="shared" si="171"/>
        <v>343</v>
      </c>
      <c r="Q451" s="126">
        <f t="shared" si="171"/>
        <v>356</v>
      </c>
      <c r="R451" s="126">
        <f t="shared" si="165"/>
        <v>13</v>
      </c>
      <c r="S451" s="1">
        <f t="shared" si="166"/>
        <v>1</v>
      </c>
      <c r="T451" s="126">
        <f t="shared" si="172"/>
        <v>13</v>
      </c>
      <c r="U451" s="126">
        <f t="shared" si="167"/>
        <v>1697.0000001600001</v>
      </c>
      <c r="W451" s="126">
        <f t="shared" si="168"/>
        <v>356</v>
      </c>
      <c r="X451" s="126">
        <f t="shared" si="169"/>
        <v>379.00000008000001</v>
      </c>
    </row>
    <row r="452" spans="1:24">
      <c r="A452" s="86">
        <v>45709</v>
      </c>
      <c r="B452" s="128">
        <v>1</v>
      </c>
      <c r="C452" s="128">
        <v>1</v>
      </c>
      <c r="D452" s="128">
        <v>1</v>
      </c>
      <c r="E452" s="128">
        <v>1</v>
      </c>
      <c r="F452" s="128">
        <v>1</v>
      </c>
      <c r="G452" s="128">
        <v>1</v>
      </c>
      <c r="K452" s="86">
        <v>45709</v>
      </c>
      <c r="L452" s="126">
        <f t="shared" si="170"/>
        <v>314.00000008000001</v>
      </c>
      <c r="M452" s="126">
        <f t="shared" si="170"/>
        <v>198.00000008000001</v>
      </c>
      <c r="N452" s="126">
        <f t="shared" si="170"/>
        <v>307</v>
      </c>
      <c r="O452" s="126">
        <f t="shared" si="170"/>
        <v>183</v>
      </c>
      <c r="P452" s="126">
        <f t="shared" si="171"/>
        <v>344</v>
      </c>
      <c r="Q452" s="126">
        <f t="shared" si="171"/>
        <v>357</v>
      </c>
      <c r="R452" s="126">
        <f t="shared" si="165"/>
        <v>13</v>
      </c>
      <c r="S452" s="1">
        <f t="shared" si="166"/>
        <v>1</v>
      </c>
      <c r="T452" s="126">
        <f t="shared" si="172"/>
        <v>13</v>
      </c>
      <c r="U452" s="126">
        <f t="shared" si="167"/>
        <v>1703.0000001600001</v>
      </c>
      <c r="W452" s="126">
        <f t="shared" si="168"/>
        <v>357</v>
      </c>
      <c r="X452" s="126">
        <f t="shared" si="169"/>
        <v>381.00000008000001</v>
      </c>
    </row>
    <row r="453" spans="1:24">
      <c r="A453" s="86">
        <v>45716</v>
      </c>
      <c r="B453" s="128">
        <v>1</v>
      </c>
      <c r="C453" s="128">
        <v>0</v>
      </c>
      <c r="D453" s="128">
        <v>0</v>
      </c>
      <c r="E453" s="128">
        <v>0</v>
      </c>
      <c r="F453" s="128">
        <v>1</v>
      </c>
      <c r="G453" s="128">
        <v>0</v>
      </c>
      <c r="K453" s="86">
        <v>45716</v>
      </c>
      <c r="L453" s="126">
        <f t="shared" si="170"/>
        <v>315.00000008000001</v>
      </c>
      <c r="M453" s="126">
        <f t="shared" si="170"/>
        <v>198.00000008000001</v>
      </c>
      <c r="N453" s="126">
        <f t="shared" si="170"/>
        <v>307</v>
      </c>
      <c r="O453" s="126">
        <f t="shared" si="170"/>
        <v>183</v>
      </c>
      <c r="P453" s="126">
        <f t="shared" si="171"/>
        <v>345</v>
      </c>
      <c r="Q453" s="126">
        <f t="shared" si="171"/>
        <v>357</v>
      </c>
      <c r="R453" s="126">
        <f t="shared" si="165"/>
        <v>12</v>
      </c>
      <c r="S453" s="1">
        <f t="shared" si="166"/>
        <v>1</v>
      </c>
      <c r="T453" s="126">
        <f t="shared" si="172"/>
        <v>12</v>
      </c>
      <c r="U453" s="126">
        <f t="shared" si="167"/>
        <v>1705.0000001600001</v>
      </c>
      <c r="W453" s="126">
        <f t="shared" si="168"/>
        <v>357</v>
      </c>
      <c r="X453" s="126">
        <f t="shared" si="169"/>
        <v>381.00000008000001</v>
      </c>
    </row>
    <row r="454" spans="1:24">
      <c r="A454" s="86">
        <v>45723</v>
      </c>
      <c r="B454" s="128">
        <v>1</v>
      </c>
      <c r="C454" s="128">
        <v>1</v>
      </c>
      <c r="D454" s="128">
        <v>1</v>
      </c>
      <c r="E454" s="128">
        <v>1</v>
      </c>
      <c r="F454" s="128">
        <v>0</v>
      </c>
      <c r="G454" s="128">
        <v>1</v>
      </c>
      <c r="K454" s="86">
        <v>45723</v>
      </c>
      <c r="L454" s="126">
        <f t="shared" si="170"/>
        <v>316.00000008000001</v>
      </c>
      <c r="M454" s="126">
        <f t="shared" si="170"/>
        <v>199.00000008000001</v>
      </c>
      <c r="N454" s="126">
        <f t="shared" si="170"/>
        <v>308</v>
      </c>
      <c r="O454" s="126">
        <f t="shared" si="170"/>
        <v>184</v>
      </c>
      <c r="P454" s="126">
        <f t="shared" si="171"/>
        <v>345</v>
      </c>
      <c r="Q454" s="126">
        <f t="shared" si="171"/>
        <v>358</v>
      </c>
      <c r="R454" s="126">
        <f t="shared" si="165"/>
        <v>13</v>
      </c>
      <c r="S454" s="1">
        <f t="shared" si="166"/>
        <v>1</v>
      </c>
      <c r="T454" s="126">
        <f t="shared" si="172"/>
        <v>13</v>
      </c>
      <c r="U454" s="126">
        <f t="shared" si="167"/>
        <v>1710.0000001600001</v>
      </c>
      <c r="W454" s="126">
        <f t="shared" si="168"/>
        <v>358</v>
      </c>
      <c r="X454" s="126">
        <f t="shared" si="169"/>
        <v>383.00000008000001</v>
      </c>
    </row>
    <row r="455" spans="1:24">
      <c r="A455" s="86">
        <v>45730</v>
      </c>
      <c r="B455" s="128">
        <v>1</v>
      </c>
      <c r="C455" s="128">
        <v>1</v>
      </c>
      <c r="D455" s="128">
        <v>1</v>
      </c>
      <c r="E455" s="128">
        <v>0</v>
      </c>
      <c r="F455" s="128">
        <v>1</v>
      </c>
      <c r="G455" s="128">
        <v>1</v>
      </c>
      <c r="K455" s="86">
        <v>45730</v>
      </c>
      <c r="L455" s="126">
        <f t="shared" si="170"/>
        <v>317.00000008000001</v>
      </c>
      <c r="M455" s="126">
        <f t="shared" si="170"/>
        <v>200.00000008000001</v>
      </c>
      <c r="N455" s="126">
        <f t="shared" si="170"/>
        <v>309</v>
      </c>
      <c r="O455" s="126">
        <f t="shared" si="170"/>
        <v>184</v>
      </c>
      <c r="P455" s="126">
        <f t="shared" si="171"/>
        <v>346</v>
      </c>
      <c r="Q455" s="126">
        <f t="shared" si="171"/>
        <v>359</v>
      </c>
      <c r="R455" s="126">
        <f t="shared" si="165"/>
        <v>13</v>
      </c>
      <c r="S455" s="1">
        <f t="shared" si="166"/>
        <v>1</v>
      </c>
      <c r="T455" s="126">
        <f t="shared" si="172"/>
        <v>13</v>
      </c>
      <c r="U455" s="126">
        <f t="shared" si="167"/>
        <v>1715.0000001600001</v>
      </c>
      <c r="W455" s="126">
        <f t="shared" si="168"/>
        <v>359</v>
      </c>
      <c r="X455" s="126">
        <f t="shared" si="169"/>
        <v>384.00000008000001</v>
      </c>
    </row>
    <row r="456" spans="1:24">
      <c r="A456" s="86">
        <v>45737</v>
      </c>
      <c r="B456" s="128">
        <v>1</v>
      </c>
      <c r="C456" s="128">
        <v>0</v>
      </c>
      <c r="D456" s="128">
        <v>1</v>
      </c>
      <c r="E456" s="128">
        <v>0</v>
      </c>
      <c r="F456" s="128">
        <v>1</v>
      </c>
      <c r="G456" s="128">
        <v>1</v>
      </c>
      <c r="K456" s="86">
        <v>45737</v>
      </c>
      <c r="L456" s="126">
        <f t="shared" si="170"/>
        <v>318.00000008000001</v>
      </c>
      <c r="M456" s="126">
        <f t="shared" si="170"/>
        <v>200.00000008000001</v>
      </c>
      <c r="N456" s="126">
        <f t="shared" si="170"/>
        <v>310</v>
      </c>
      <c r="O456" s="126">
        <f t="shared" si="170"/>
        <v>184</v>
      </c>
      <c r="P456" s="126">
        <f t="shared" si="171"/>
        <v>347</v>
      </c>
      <c r="Q456" s="126">
        <f t="shared" si="171"/>
        <v>360</v>
      </c>
      <c r="R456" s="126">
        <f t="shared" si="165"/>
        <v>13</v>
      </c>
      <c r="S456" s="1">
        <f t="shared" si="166"/>
        <v>1</v>
      </c>
      <c r="T456" s="126">
        <f t="shared" si="172"/>
        <v>13</v>
      </c>
      <c r="U456" s="126">
        <f t="shared" si="167"/>
        <v>1719.0000001600001</v>
      </c>
      <c r="W456" s="126">
        <f t="shared" si="168"/>
        <v>360</v>
      </c>
      <c r="X456" s="126">
        <f t="shared" si="169"/>
        <v>384.00000008000001</v>
      </c>
    </row>
    <row r="457" spans="1:24">
      <c r="A457" s="86">
        <v>45744</v>
      </c>
      <c r="B457" s="128">
        <v>0</v>
      </c>
      <c r="C457" s="128">
        <v>1</v>
      </c>
      <c r="D457" s="128">
        <v>1</v>
      </c>
      <c r="E457" s="128">
        <v>0</v>
      </c>
      <c r="F457" s="128">
        <v>1</v>
      </c>
      <c r="G457" s="128">
        <v>0</v>
      </c>
      <c r="K457" s="86">
        <v>45744</v>
      </c>
      <c r="L457" s="126">
        <f t="shared" si="170"/>
        <v>318.00000008000001</v>
      </c>
      <c r="M457" s="126">
        <f t="shared" si="170"/>
        <v>201.00000008000001</v>
      </c>
      <c r="N457" s="126">
        <f t="shared" si="170"/>
        <v>311</v>
      </c>
      <c r="O457" s="126">
        <f t="shared" si="170"/>
        <v>184</v>
      </c>
      <c r="P457" s="126">
        <f t="shared" si="171"/>
        <v>348</v>
      </c>
      <c r="Q457" s="126">
        <f t="shared" si="171"/>
        <v>360</v>
      </c>
      <c r="R457" s="126">
        <f t="shared" si="165"/>
        <v>12</v>
      </c>
      <c r="S457" s="1">
        <f t="shared" si="166"/>
        <v>1</v>
      </c>
      <c r="T457" s="126">
        <f t="shared" si="172"/>
        <v>12</v>
      </c>
      <c r="U457" s="126">
        <f t="shared" si="167"/>
        <v>1722.0000001600001</v>
      </c>
      <c r="W457" s="126">
        <f t="shared" si="168"/>
        <v>360</v>
      </c>
      <c r="X457" s="126">
        <f t="shared" si="169"/>
        <v>385.00000008000001</v>
      </c>
    </row>
    <row r="458" spans="1:24">
      <c r="A458" s="86">
        <v>45751</v>
      </c>
      <c r="B458" s="128">
        <v>1</v>
      </c>
      <c r="C458" s="128">
        <v>1</v>
      </c>
      <c r="D458" s="128">
        <v>0</v>
      </c>
      <c r="E458" s="128">
        <v>0</v>
      </c>
      <c r="F458" s="128">
        <v>1</v>
      </c>
      <c r="G458" s="128">
        <v>0</v>
      </c>
      <c r="K458" s="86">
        <v>45751</v>
      </c>
      <c r="L458" s="126">
        <f t="shared" si="170"/>
        <v>319.00000008000001</v>
      </c>
      <c r="M458" s="126">
        <f t="shared" si="170"/>
        <v>202.00000008000001</v>
      </c>
      <c r="N458" s="126">
        <f t="shared" si="170"/>
        <v>311</v>
      </c>
      <c r="O458" s="126">
        <f t="shared" si="170"/>
        <v>184</v>
      </c>
      <c r="P458" s="126">
        <f t="shared" si="171"/>
        <v>349</v>
      </c>
      <c r="Q458" s="126">
        <f t="shared" si="171"/>
        <v>360</v>
      </c>
      <c r="R458" s="126">
        <f t="shared" si="165"/>
        <v>11</v>
      </c>
      <c r="S458" s="1">
        <f t="shared" si="166"/>
        <v>1</v>
      </c>
      <c r="T458" s="126">
        <f t="shared" si="172"/>
        <v>11</v>
      </c>
      <c r="U458" s="126">
        <f t="shared" si="167"/>
        <v>1725.0000001600001</v>
      </c>
      <c r="W458" s="126">
        <f t="shared" si="168"/>
        <v>360</v>
      </c>
      <c r="X458" s="126">
        <f t="shared" si="169"/>
        <v>386.00000008000001</v>
      </c>
    </row>
    <row r="459" spans="1:24">
      <c r="A459" s="86">
        <v>45758</v>
      </c>
      <c r="B459" s="128">
        <v>1</v>
      </c>
      <c r="C459" s="128">
        <v>1</v>
      </c>
      <c r="D459" s="128">
        <v>1</v>
      </c>
      <c r="E459" s="128">
        <v>0</v>
      </c>
      <c r="F459" s="128">
        <v>1</v>
      </c>
      <c r="G459" s="128">
        <v>1</v>
      </c>
      <c r="K459" s="86">
        <v>45758</v>
      </c>
      <c r="L459" s="126">
        <f t="shared" si="170"/>
        <v>320.00000008000001</v>
      </c>
      <c r="M459" s="126">
        <f t="shared" si="170"/>
        <v>203.00000008000001</v>
      </c>
      <c r="N459" s="126">
        <f t="shared" si="170"/>
        <v>312</v>
      </c>
      <c r="O459" s="126">
        <f t="shared" si="170"/>
        <v>184</v>
      </c>
      <c r="P459" s="126">
        <f t="shared" si="171"/>
        <v>350</v>
      </c>
      <c r="Q459" s="126">
        <f t="shared" si="171"/>
        <v>361</v>
      </c>
      <c r="R459" s="126">
        <f t="shared" si="165"/>
        <v>11</v>
      </c>
      <c r="S459" s="1">
        <f t="shared" si="166"/>
        <v>1</v>
      </c>
      <c r="T459" s="126">
        <f t="shared" si="172"/>
        <v>11</v>
      </c>
      <c r="U459" s="126">
        <f t="shared" si="167"/>
        <v>1730.0000001600001</v>
      </c>
      <c r="W459" s="126">
        <f t="shared" si="168"/>
        <v>361</v>
      </c>
      <c r="X459" s="126">
        <f t="shared" si="169"/>
        <v>387.00000008000001</v>
      </c>
    </row>
    <row r="460" spans="1:24">
      <c r="A460" s="86">
        <v>45772</v>
      </c>
      <c r="B460" s="128">
        <v>1</v>
      </c>
      <c r="C460" s="128">
        <v>1</v>
      </c>
      <c r="D460" s="128">
        <v>0</v>
      </c>
      <c r="E460" s="128">
        <v>1</v>
      </c>
      <c r="F460" s="128">
        <v>1</v>
      </c>
      <c r="G460" s="128">
        <v>1</v>
      </c>
      <c r="K460" s="86">
        <v>45772</v>
      </c>
      <c r="L460" s="126">
        <f t="shared" si="170"/>
        <v>321.00000008000001</v>
      </c>
      <c r="M460" s="126">
        <f t="shared" si="170"/>
        <v>204.00000008000001</v>
      </c>
      <c r="N460" s="126">
        <f t="shared" si="170"/>
        <v>312</v>
      </c>
      <c r="O460" s="126">
        <f t="shared" si="170"/>
        <v>185</v>
      </c>
      <c r="P460" s="126">
        <f t="shared" si="171"/>
        <v>351</v>
      </c>
      <c r="Q460" s="126">
        <f t="shared" si="171"/>
        <v>362</v>
      </c>
      <c r="R460" s="126">
        <f t="shared" si="165"/>
        <v>11</v>
      </c>
      <c r="S460" s="1">
        <f t="shared" si="166"/>
        <v>1</v>
      </c>
      <c r="T460" s="126">
        <f t="shared" si="172"/>
        <v>11</v>
      </c>
      <c r="U460" s="126">
        <f t="shared" si="167"/>
        <v>1735.0000001600001</v>
      </c>
      <c r="W460" s="126">
        <f t="shared" si="168"/>
        <v>362</v>
      </c>
      <c r="X460" s="126">
        <f t="shared" si="169"/>
        <v>389.00000008000001</v>
      </c>
    </row>
    <row r="461" spans="1:24">
      <c r="A461" s="86">
        <v>45779</v>
      </c>
      <c r="B461" s="128">
        <v>1</v>
      </c>
      <c r="C461" s="128">
        <v>1</v>
      </c>
      <c r="D461" s="128">
        <v>0</v>
      </c>
      <c r="E461" s="128">
        <v>0</v>
      </c>
      <c r="F461" s="128">
        <v>1</v>
      </c>
      <c r="G461" s="128">
        <v>1</v>
      </c>
      <c r="K461" s="86">
        <v>45779</v>
      </c>
      <c r="L461" s="126">
        <f t="shared" si="170"/>
        <v>322.00000008000001</v>
      </c>
      <c r="M461" s="126">
        <f t="shared" si="170"/>
        <v>205.00000008000001</v>
      </c>
      <c r="N461" s="126">
        <f t="shared" si="170"/>
        <v>312</v>
      </c>
      <c r="O461" s="126">
        <f t="shared" si="170"/>
        <v>185</v>
      </c>
      <c r="P461" s="126">
        <f t="shared" si="171"/>
        <v>352</v>
      </c>
      <c r="Q461" s="126">
        <f t="shared" si="171"/>
        <v>363</v>
      </c>
      <c r="R461" s="126">
        <f t="shared" si="165"/>
        <v>11</v>
      </c>
      <c r="S461" s="1">
        <f t="shared" si="166"/>
        <v>1</v>
      </c>
      <c r="T461" s="126">
        <f t="shared" si="172"/>
        <v>11</v>
      </c>
      <c r="U461" s="126">
        <f t="shared" si="167"/>
        <v>1739.0000001600001</v>
      </c>
      <c r="W461" s="126">
        <f t="shared" si="168"/>
        <v>363</v>
      </c>
      <c r="X461" s="126">
        <f t="shared" si="169"/>
        <v>390.00000008000001</v>
      </c>
    </row>
    <row r="462" spans="1:24">
      <c r="A462" s="86">
        <v>45786</v>
      </c>
      <c r="B462" s="128">
        <v>1</v>
      </c>
      <c r="C462" s="128">
        <v>1</v>
      </c>
      <c r="D462" s="128">
        <v>0</v>
      </c>
      <c r="E462" s="128">
        <v>1</v>
      </c>
      <c r="F462" s="128">
        <v>0</v>
      </c>
      <c r="G462" s="128">
        <v>1</v>
      </c>
      <c r="K462" s="86">
        <v>45786</v>
      </c>
      <c r="L462" s="126">
        <f t="shared" si="170"/>
        <v>323.00000008000001</v>
      </c>
      <c r="M462" s="126">
        <f t="shared" si="170"/>
        <v>206.00000008000001</v>
      </c>
      <c r="N462" s="126">
        <f t="shared" si="170"/>
        <v>312</v>
      </c>
      <c r="O462" s="126">
        <f t="shared" si="170"/>
        <v>186</v>
      </c>
      <c r="P462" s="126">
        <f t="shared" si="171"/>
        <v>352</v>
      </c>
      <c r="Q462" s="126">
        <f t="shared" si="171"/>
        <v>364</v>
      </c>
      <c r="R462" s="126">
        <f t="shared" si="165"/>
        <v>12</v>
      </c>
      <c r="S462" s="1">
        <f t="shared" si="166"/>
        <v>1</v>
      </c>
      <c r="T462" s="126">
        <f t="shared" si="172"/>
        <v>12</v>
      </c>
      <c r="U462" s="126">
        <f t="shared" si="167"/>
        <v>1743.0000001600001</v>
      </c>
      <c r="W462" s="126">
        <f t="shared" si="168"/>
        <v>364</v>
      </c>
      <c r="X462" s="126">
        <f t="shared" si="169"/>
        <v>392.00000008000001</v>
      </c>
    </row>
    <row r="463" spans="1:24">
      <c r="A463" s="86">
        <v>45793</v>
      </c>
      <c r="B463" s="128">
        <v>1</v>
      </c>
      <c r="C463" s="128">
        <v>1</v>
      </c>
      <c r="D463" s="128">
        <v>0</v>
      </c>
      <c r="E463" s="128">
        <v>0</v>
      </c>
      <c r="F463" s="128">
        <v>1</v>
      </c>
      <c r="G463" s="128">
        <v>0</v>
      </c>
      <c r="K463" s="86">
        <v>45793</v>
      </c>
      <c r="L463" s="126">
        <f t="shared" si="170"/>
        <v>324.00000008000001</v>
      </c>
      <c r="M463" s="126">
        <f t="shared" si="170"/>
        <v>207.00000008000001</v>
      </c>
      <c r="N463" s="126">
        <f t="shared" si="170"/>
        <v>312</v>
      </c>
      <c r="O463" s="126">
        <f t="shared" si="170"/>
        <v>186</v>
      </c>
      <c r="P463" s="126">
        <f t="shared" si="171"/>
        <v>353</v>
      </c>
      <c r="Q463" s="126">
        <f t="shared" si="171"/>
        <v>364</v>
      </c>
      <c r="R463" s="126">
        <f t="shared" si="165"/>
        <v>11</v>
      </c>
      <c r="S463" s="1">
        <f t="shared" si="166"/>
        <v>1</v>
      </c>
      <c r="T463" s="126">
        <f t="shared" si="172"/>
        <v>11</v>
      </c>
      <c r="U463" s="126">
        <f t="shared" si="167"/>
        <v>1746.0000001600001</v>
      </c>
      <c r="W463" s="126">
        <f t="shared" si="168"/>
        <v>364</v>
      </c>
      <c r="X463" s="126">
        <f t="shared" si="169"/>
        <v>393.00000008000001</v>
      </c>
    </row>
    <row r="464" spans="1:24">
      <c r="A464" s="86">
        <v>45800</v>
      </c>
      <c r="B464" s="128">
        <v>1</v>
      </c>
      <c r="C464" s="128">
        <v>1</v>
      </c>
      <c r="D464" s="128">
        <v>0</v>
      </c>
      <c r="E464" s="128">
        <v>1</v>
      </c>
      <c r="F464" s="128">
        <v>1</v>
      </c>
      <c r="G464" s="128">
        <v>1</v>
      </c>
      <c r="K464" s="86">
        <v>45800</v>
      </c>
      <c r="L464" s="126">
        <f t="shared" si="170"/>
        <v>325.00000008000001</v>
      </c>
      <c r="M464" s="126">
        <f t="shared" si="170"/>
        <v>208.00000008000001</v>
      </c>
      <c r="N464" s="126">
        <f t="shared" si="170"/>
        <v>312</v>
      </c>
      <c r="O464" s="126">
        <f t="shared" si="170"/>
        <v>187</v>
      </c>
      <c r="P464" s="126">
        <f t="shared" si="171"/>
        <v>354</v>
      </c>
      <c r="Q464" s="126">
        <f t="shared" si="171"/>
        <v>365</v>
      </c>
      <c r="R464" s="126">
        <f t="shared" si="165"/>
        <v>11</v>
      </c>
      <c r="S464" s="1">
        <f t="shared" si="166"/>
        <v>1</v>
      </c>
      <c r="T464" s="126">
        <f t="shared" si="172"/>
        <v>11</v>
      </c>
      <c r="U464" s="126">
        <f t="shared" si="167"/>
        <v>1751.0000001600001</v>
      </c>
      <c r="W464" s="126">
        <f t="shared" si="168"/>
        <v>365</v>
      </c>
      <c r="X464" s="126">
        <f t="shared" si="169"/>
        <v>395.00000008000001</v>
      </c>
    </row>
    <row r="465" spans="1:24">
      <c r="A465" s="86">
        <v>45807</v>
      </c>
      <c r="B465" s="128">
        <v>1</v>
      </c>
      <c r="C465" s="128">
        <v>0</v>
      </c>
      <c r="D465" s="128">
        <v>0</v>
      </c>
      <c r="E465" s="128">
        <v>0</v>
      </c>
      <c r="F465" s="128">
        <v>1</v>
      </c>
      <c r="G465" s="128">
        <v>0</v>
      </c>
      <c r="K465" s="86">
        <v>45807</v>
      </c>
      <c r="L465" s="126">
        <f t="shared" si="170"/>
        <v>326.00000008000001</v>
      </c>
      <c r="M465" s="126">
        <f t="shared" si="170"/>
        <v>208.00000008000001</v>
      </c>
      <c r="N465" s="126">
        <f t="shared" si="170"/>
        <v>312</v>
      </c>
      <c r="O465" s="126">
        <f t="shared" si="170"/>
        <v>187</v>
      </c>
      <c r="P465" s="126">
        <f t="shared" si="171"/>
        <v>355</v>
      </c>
      <c r="Q465" s="126">
        <f t="shared" si="171"/>
        <v>365</v>
      </c>
      <c r="R465" s="126">
        <f t="shared" si="165"/>
        <v>10</v>
      </c>
      <c r="S465" s="1">
        <f t="shared" si="166"/>
        <v>1</v>
      </c>
      <c r="T465" s="126">
        <f t="shared" si="172"/>
        <v>10</v>
      </c>
      <c r="U465" s="126">
        <f t="shared" si="167"/>
        <v>1753.0000001600001</v>
      </c>
      <c r="W465" s="126">
        <f t="shared" si="168"/>
        <v>365</v>
      </c>
      <c r="X465" s="126">
        <f t="shared" si="169"/>
        <v>395.00000008000001</v>
      </c>
    </row>
    <row r="466" spans="1:24">
      <c r="A466" s="86">
        <v>45814</v>
      </c>
      <c r="B466" s="128">
        <v>1</v>
      </c>
      <c r="C466" s="128">
        <v>0</v>
      </c>
      <c r="D466" s="128">
        <v>1</v>
      </c>
      <c r="E466" s="128">
        <v>0</v>
      </c>
      <c r="F466" s="128">
        <v>1</v>
      </c>
      <c r="G466" s="128">
        <v>1</v>
      </c>
      <c r="K466" s="86">
        <v>45814</v>
      </c>
      <c r="L466" s="126">
        <f t="shared" si="170"/>
        <v>327.00000008000001</v>
      </c>
      <c r="M466" s="126">
        <f t="shared" si="170"/>
        <v>208.00000008000001</v>
      </c>
      <c r="N466" s="126">
        <f t="shared" si="170"/>
        <v>313</v>
      </c>
      <c r="O466" s="126">
        <f t="shared" si="170"/>
        <v>187</v>
      </c>
      <c r="P466" s="126">
        <f t="shared" si="171"/>
        <v>356</v>
      </c>
      <c r="Q466" s="126">
        <f t="shared" si="171"/>
        <v>366</v>
      </c>
      <c r="R466" s="126">
        <f t="shared" si="165"/>
        <v>10</v>
      </c>
      <c r="S466" s="1">
        <f t="shared" si="166"/>
        <v>1</v>
      </c>
      <c r="T466" s="126">
        <f t="shared" si="172"/>
        <v>10</v>
      </c>
      <c r="U466" s="126">
        <f t="shared" si="167"/>
        <v>1757.0000001600001</v>
      </c>
      <c r="W466" s="126">
        <f t="shared" si="168"/>
        <v>366</v>
      </c>
      <c r="X466" s="126">
        <f t="shared" si="169"/>
        <v>395.00000008000001</v>
      </c>
    </row>
    <row r="467" spans="1:24">
      <c r="A467" s="86">
        <v>45821</v>
      </c>
      <c r="B467" s="128">
        <v>1</v>
      </c>
      <c r="C467" s="128">
        <v>0</v>
      </c>
      <c r="D467" s="128">
        <v>1</v>
      </c>
      <c r="E467" s="128">
        <v>1</v>
      </c>
      <c r="F467" s="128">
        <v>1</v>
      </c>
      <c r="G467" s="128">
        <v>0</v>
      </c>
      <c r="K467" s="86">
        <v>45821</v>
      </c>
      <c r="L467" s="126">
        <f t="shared" si="170"/>
        <v>328.00000008000001</v>
      </c>
      <c r="M467" s="126">
        <f t="shared" si="170"/>
        <v>208.00000008000001</v>
      </c>
      <c r="N467" s="126">
        <f t="shared" si="170"/>
        <v>314</v>
      </c>
      <c r="O467" s="126">
        <f t="shared" si="170"/>
        <v>188</v>
      </c>
      <c r="P467" s="126">
        <f t="shared" si="171"/>
        <v>357</v>
      </c>
      <c r="Q467" s="126">
        <f t="shared" si="171"/>
        <v>366</v>
      </c>
      <c r="R467" s="126">
        <f t="shared" si="165"/>
        <v>9</v>
      </c>
      <c r="S467" s="1">
        <f t="shared" si="166"/>
        <v>1</v>
      </c>
      <c r="T467" s="126">
        <f t="shared" si="172"/>
        <v>9</v>
      </c>
      <c r="U467" s="126">
        <f t="shared" si="167"/>
        <v>1761.0000001600001</v>
      </c>
      <c r="W467" s="126">
        <f t="shared" si="168"/>
        <v>366</v>
      </c>
      <c r="X467" s="126">
        <f t="shared" si="169"/>
        <v>396.00000008000001</v>
      </c>
    </row>
    <row r="468" spans="1:24">
      <c r="A468" s="86">
        <v>45828</v>
      </c>
      <c r="B468" s="128">
        <v>1</v>
      </c>
      <c r="C468" s="128">
        <v>1</v>
      </c>
      <c r="D468" s="128">
        <v>1</v>
      </c>
      <c r="E468" s="128">
        <v>0</v>
      </c>
      <c r="F468" s="128">
        <v>1</v>
      </c>
      <c r="G468" s="128">
        <v>1</v>
      </c>
      <c r="K468" s="86">
        <v>45828</v>
      </c>
      <c r="L468" s="126">
        <f t="shared" si="170"/>
        <v>329.00000008000001</v>
      </c>
      <c r="M468" s="126">
        <f t="shared" si="170"/>
        <v>209.00000008000001</v>
      </c>
      <c r="N468" s="126">
        <f t="shared" si="170"/>
        <v>315</v>
      </c>
      <c r="O468" s="126">
        <f t="shared" si="170"/>
        <v>188</v>
      </c>
      <c r="P468" s="126">
        <f t="shared" si="171"/>
        <v>358</v>
      </c>
      <c r="Q468" s="126">
        <f t="shared" si="171"/>
        <v>367</v>
      </c>
      <c r="R468" s="126">
        <f t="shared" si="165"/>
        <v>9</v>
      </c>
      <c r="S468" s="1">
        <f t="shared" si="166"/>
        <v>1</v>
      </c>
      <c r="T468" s="126">
        <f t="shared" si="172"/>
        <v>9</v>
      </c>
      <c r="U468" s="126">
        <f t="shared" si="167"/>
        <v>1766.0000001600001</v>
      </c>
      <c r="W468" s="126">
        <f t="shared" si="168"/>
        <v>367</v>
      </c>
      <c r="X468" s="126">
        <f t="shared" si="169"/>
        <v>397.00000008000001</v>
      </c>
    </row>
    <row r="469" spans="1:24">
      <c r="A469" s="86">
        <v>45835</v>
      </c>
      <c r="B469" s="128">
        <v>1</v>
      </c>
      <c r="C469" s="128">
        <v>1</v>
      </c>
      <c r="D469" s="128">
        <v>0</v>
      </c>
      <c r="E469" s="128">
        <v>0</v>
      </c>
      <c r="F469" s="128">
        <v>1</v>
      </c>
      <c r="G469" s="128">
        <v>1</v>
      </c>
      <c r="K469" s="86">
        <v>45835</v>
      </c>
      <c r="L469" s="126">
        <f t="shared" si="170"/>
        <v>330.00000008000001</v>
      </c>
      <c r="M469" s="126">
        <f t="shared" si="170"/>
        <v>210.00000008000001</v>
      </c>
      <c r="N469" s="126">
        <f t="shared" si="170"/>
        <v>315</v>
      </c>
      <c r="O469" s="126">
        <f t="shared" si="170"/>
        <v>188</v>
      </c>
      <c r="P469" s="126">
        <f t="shared" si="171"/>
        <v>359</v>
      </c>
      <c r="Q469" s="126">
        <f t="shared" si="171"/>
        <v>368</v>
      </c>
      <c r="R469" s="126">
        <f t="shared" si="165"/>
        <v>9</v>
      </c>
      <c r="S469" s="1">
        <f t="shared" si="166"/>
        <v>1</v>
      </c>
      <c r="T469" s="126">
        <f t="shared" si="172"/>
        <v>9</v>
      </c>
      <c r="U469" s="126">
        <f t="shared" si="167"/>
        <v>1770.0000001600001</v>
      </c>
      <c r="W469" s="126">
        <f t="shared" si="168"/>
        <v>368</v>
      </c>
      <c r="X469" s="126">
        <f t="shared" si="169"/>
        <v>398.00000008000001</v>
      </c>
    </row>
    <row r="470" spans="1:24">
      <c r="A470" s="86">
        <v>45842</v>
      </c>
      <c r="B470" s="128">
        <v>1</v>
      </c>
      <c r="C470" s="128">
        <v>0</v>
      </c>
      <c r="D470" s="128">
        <v>1</v>
      </c>
      <c r="E470" s="128">
        <v>1</v>
      </c>
      <c r="F470" s="128">
        <v>1</v>
      </c>
      <c r="G470" s="128">
        <v>0</v>
      </c>
      <c r="K470" s="86">
        <v>45842</v>
      </c>
      <c r="L470" s="126">
        <f t="shared" si="170"/>
        <v>331.00000008000001</v>
      </c>
      <c r="M470" s="126">
        <f t="shared" si="170"/>
        <v>210.00000008000001</v>
      </c>
      <c r="N470" s="126">
        <f t="shared" si="170"/>
        <v>316</v>
      </c>
      <c r="O470" s="126">
        <f t="shared" si="170"/>
        <v>189</v>
      </c>
      <c r="P470" s="126">
        <f t="shared" si="171"/>
        <v>360</v>
      </c>
      <c r="Q470" s="126">
        <f t="shared" si="171"/>
        <v>368</v>
      </c>
      <c r="R470" s="126">
        <f t="shared" si="165"/>
        <v>8</v>
      </c>
      <c r="S470" s="1">
        <f t="shared" si="166"/>
        <v>1</v>
      </c>
      <c r="T470" s="126">
        <f t="shared" si="172"/>
        <v>8</v>
      </c>
      <c r="U470" s="126">
        <f t="shared" si="167"/>
        <v>1774.0000001600001</v>
      </c>
      <c r="W470" s="126">
        <f t="shared" si="168"/>
        <v>368</v>
      </c>
      <c r="X470" s="126">
        <f t="shared" si="169"/>
        <v>399.00000008000001</v>
      </c>
    </row>
    <row r="471" spans="1:24">
      <c r="A471" s="86">
        <v>45849</v>
      </c>
      <c r="B471" s="128">
        <v>1</v>
      </c>
      <c r="C471" s="128">
        <v>1</v>
      </c>
      <c r="D471" s="128">
        <v>0</v>
      </c>
      <c r="E471" s="128">
        <v>1</v>
      </c>
      <c r="F471" s="128">
        <v>1</v>
      </c>
      <c r="G471" s="128">
        <v>1</v>
      </c>
      <c r="K471" s="86">
        <v>45849</v>
      </c>
      <c r="L471" s="126">
        <f t="shared" si="170"/>
        <v>332.00000008000001</v>
      </c>
      <c r="M471" s="126">
        <f t="shared" si="170"/>
        <v>211.00000008000001</v>
      </c>
      <c r="N471" s="126">
        <f t="shared" si="170"/>
        <v>316</v>
      </c>
      <c r="O471" s="126">
        <f t="shared" si="170"/>
        <v>190</v>
      </c>
      <c r="P471" s="126">
        <f t="shared" si="171"/>
        <v>361</v>
      </c>
      <c r="Q471" s="126">
        <f t="shared" si="171"/>
        <v>369</v>
      </c>
      <c r="R471" s="126">
        <f t="shared" si="165"/>
        <v>8</v>
      </c>
      <c r="S471" s="1">
        <f t="shared" si="166"/>
        <v>1</v>
      </c>
      <c r="T471" s="126">
        <f t="shared" si="172"/>
        <v>8</v>
      </c>
      <c r="U471" s="126">
        <f t="shared" si="167"/>
        <v>1779.0000001600001</v>
      </c>
      <c r="W471" s="126">
        <f t="shared" si="168"/>
        <v>369</v>
      </c>
      <c r="X471" s="126">
        <f t="shared" si="169"/>
        <v>401.00000008000001</v>
      </c>
    </row>
    <row r="472" spans="1:24">
      <c r="A472" s="86">
        <v>45856</v>
      </c>
      <c r="B472" s="128">
        <v>1</v>
      </c>
      <c r="C472" s="128">
        <v>1</v>
      </c>
      <c r="D472" s="128">
        <v>1</v>
      </c>
      <c r="E472" s="128">
        <v>1</v>
      </c>
      <c r="F472" s="128">
        <v>1</v>
      </c>
      <c r="G472" s="128">
        <v>1</v>
      </c>
      <c r="K472" s="86">
        <v>45856</v>
      </c>
      <c r="L472" s="126">
        <f t="shared" si="170"/>
        <v>333.00000008000001</v>
      </c>
      <c r="M472" s="126">
        <f t="shared" si="170"/>
        <v>212.00000008000001</v>
      </c>
      <c r="N472" s="126">
        <f t="shared" si="170"/>
        <v>317</v>
      </c>
      <c r="O472" s="126">
        <f t="shared" si="170"/>
        <v>191</v>
      </c>
      <c r="P472" s="126">
        <f t="shared" si="171"/>
        <v>362</v>
      </c>
      <c r="Q472" s="126">
        <f t="shared" si="171"/>
        <v>370</v>
      </c>
      <c r="R472" s="126">
        <f t="shared" si="165"/>
        <v>8</v>
      </c>
      <c r="S472" s="1">
        <f t="shared" si="166"/>
        <v>1</v>
      </c>
      <c r="T472" s="126">
        <f t="shared" si="172"/>
        <v>8</v>
      </c>
      <c r="U472" s="126">
        <f t="shared" si="167"/>
        <v>1785.0000001600001</v>
      </c>
      <c r="W472" s="126">
        <f t="shared" si="168"/>
        <v>370</v>
      </c>
      <c r="X472" s="126">
        <f t="shared" si="169"/>
        <v>403.00000008000001</v>
      </c>
    </row>
    <row r="473" spans="1:24">
      <c r="A473" s="86">
        <v>45863</v>
      </c>
      <c r="B473" s="128">
        <v>1</v>
      </c>
      <c r="C473" s="128">
        <v>1</v>
      </c>
      <c r="D473" s="128">
        <v>1</v>
      </c>
      <c r="E473" s="128">
        <v>0</v>
      </c>
      <c r="F473" s="128">
        <v>1</v>
      </c>
      <c r="G473" s="128">
        <v>0</v>
      </c>
      <c r="K473" s="86">
        <v>45863</v>
      </c>
      <c r="L473" s="126">
        <f t="shared" si="170"/>
        <v>334.00000008000001</v>
      </c>
      <c r="M473" s="126">
        <f t="shared" si="170"/>
        <v>213.00000008000001</v>
      </c>
      <c r="N473" s="126">
        <f t="shared" si="170"/>
        <v>318</v>
      </c>
      <c r="O473" s="126">
        <f t="shared" si="170"/>
        <v>191</v>
      </c>
      <c r="P473" s="126">
        <f t="shared" si="171"/>
        <v>363</v>
      </c>
      <c r="Q473" s="126">
        <f t="shared" si="171"/>
        <v>370</v>
      </c>
      <c r="R473" s="126">
        <f t="shared" si="165"/>
        <v>7</v>
      </c>
      <c r="S473" s="1">
        <f t="shared" si="166"/>
        <v>1</v>
      </c>
      <c r="T473" s="126">
        <f t="shared" si="172"/>
        <v>7</v>
      </c>
      <c r="U473" s="126">
        <f t="shared" si="167"/>
        <v>1789.0000001600001</v>
      </c>
      <c r="W473" s="126">
        <f t="shared" si="168"/>
        <v>370</v>
      </c>
      <c r="X473" s="126">
        <f t="shared" si="169"/>
        <v>404.00000008000001</v>
      </c>
    </row>
    <row r="474" spans="1:24">
      <c r="A474" s="86">
        <v>45877</v>
      </c>
      <c r="B474" s="128">
        <v>0</v>
      </c>
      <c r="C474" s="128">
        <v>1</v>
      </c>
      <c r="D474" s="128">
        <v>0</v>
      </c>
      <c r="E474" s="128">
        <v>1</v>
      </c>
      <c r="F474" s="128">
        <v>0</v>
      </c>
      <c r="G474" s="128">
        <v>1</v>
      </c>
      <c r="K474" s="86">
        <v>45877</v>
      </c>
      <c r="L474" s="126">
        <f t="shared" si="170"/>
        <v>334.00000008000001</v>
      </c>
      <c r="M474" s="126">
        <f t="shared" si="170"/>
        <v>214.00000008000001</v>
      </c>
      <c r="N474" s="126">
        <f t="shared" si="170"/>
        <v>318</v>
      </c>
      <c r="O474" s="126">
        <f t="shared" si="170"/>
        <v>192</v>
      </c>
      <c r="P474" s="126">
        <f t="shared" si="171"/>
        <v>363</v>
      </c>
      <c r="Q474" s="126">
        <f t="shared" si="171"/>
        <v>371</v>
      </c>
      <c r="R474" s="126">
        <f t="shared" si="165"/>
        <v>8</v>
      </c>
      <c r="S474" s="1">
        <f t="shared" si="166"/>
        <v>1</v>
      </c>
      <c r="T474" s="126">
        <f t="shared" si="172"/>
        <v>8</v>
      </c>
      <c r="U474" s="126">
        <f t="shared" si="167"/>
        <v>1792.0000001600001</v>
      </c>
      <c r="W474" s="126">
        <f t="shared" si="168"/>
        <v>371</v>
      </c>
      <c r="X474" s="126">
        <f t="shared" si="169"/>
        <v>406.00000008000001</v>
      </c>
    </row>
    <row r="475" spans="1:24">
      <c r="A475" s="86">
        <v>45884</v>
      </c>
      <c r="B475" s="128">
        <v>1</v>
      </c>
      <c r="C475" s="128">
        <v>0</v>
      </c>
      <c r="D475" s="128">
        <v>0</v>
      </c>
      <c r="E475" s="128">
        <v>1</v>
      </c>
      <c r="F475" s="128">
        <v>0</v>
      </c>
      <c r="G475" s="128">
        <v>1</v>
      </c>
      <c r="K475" s="86">
        <v>45884</v>
      </c>
      <c r="L475" s="126">
        <f t="shared" si="170"/>
        <v>335.00000008000001</v>
      </c>
      <c r="M475" s="126">
        <f t="shared" si="170"/>
        <v>214.00000008000001</v>
      </c>
      <c r="N475" s="126">
        <f t="shared" si="170"/>
        <v>318</v>
      </c>
      <c r="O475" s="126">
        <f t="shared" si="170"/>
        <v>193</v>
      </c>
      <c r="P475" s="126">
        <f t="shared" si="171"/>
        <v>363</v>
      </c>
      <c r="Q475" s="126">
        <f t="shared" si="171"/>
        <v>372</v>
      </c>
      <c r="R475" s="126">
        <f t="shared" si="165"/>
        <v>9</v>
      </c>
      <c r="S475" s="1">
        <f t="shared" si="166"/>
        <v>1</v>
      </c>
      <c r="T475" s="126">
        <f t="shared" si="172"/>
        <v>9</v>
      </c>
      <c r="U475" s="126">
        <f t="shared" si="167"/>
        <v>1795.0000001600001</v>
      </c>
      <c r="W475" s="126">
        <f t="shared" si="168"/>
        <v>372</v>
      </c>
      <c r="X475" s="126">
        <f t="shared" si="169"/>
        <v>407.00000008000001</v>
      </c>
    </row>
    <row r="476" spans="1:24">
      <c r="A476" s="86">
        <v>45891</v>
      </c>
      <c r="B476" s="128">
        <v>1</v>
      </c>
      <c r="C476" s="128">
        <v>0</v>
      </c>
      <c r="D476" s="128">
        <v>1</v>
      </c>
      <c r="E476" s="128">
        <v>0</v>
      </c>
      <c r="F476" s="128">
        <v>0</v>
      </c>
      <c r="G476" s="128">
        <v>0</v>
      </c>
      <c r="K476" s="86">
        <v>45891</v>
      </c>
      <c r="L476" s="126">
        <f t="shared" si="170"/>
        <v>336.00000008000001</v>
      </c>
      <c r="M476" s="126">
        <f t="shared" si="170"/>
        <v>214.00000008000001</v>
      </c>
      <c r="N476" s="126">
        <f t="shared" si="170"/>
        <v>319</v>
      </c>
      <c r="O476" s="126">
        <f t="shared" si="170"/>
        <v>193</v>
      </c>
      <c r="P476" s="126">
        <f t="shared" si="171"/>
        <v>363</v>
      </c>
      <c r="Q476" s="126">
        <f t="shared" si="171"/>
        <v>372</v>
      </c>
      <c r="R476" s="126">
        <f t="shared" si="165"/>
        <v>9</v>
      </c>
      <c r="S476" s="1">
        <f t="shared" si="166"/>
        <v>1</v>
      </c>
      <c r="T476" s="126">
        <f t="shared" si="172"/>
        <v>9</v>
      </c>
      <c r="U476" s="126">
        <f t="shared" si="167"/>
        <v>1797.0000001600001</v>
      </c>
      <c r="W476" s="126">
        <f t="shared" si="168"/>
        <v>372</v>
      </c>
      <c r="X476" s="126">
        <f t="shared" si="169"/>
        <v>407.00000008000001</v>
      </c>
    </row>
    <row r="477" spans="1:24">
      <c r="A477" s="86">
        <v>45898</v>
      </c>
      <c r="B477" s="128">
        <v>1</v>
      </c>
      <c r="C477" s="128">
        <v>0</v>
      </c>
      <c r="D477" s="128">
        <v>0</v>
      </c>
      <c r="E477" s="128">
        <v>0</v>
      </c>
      <c r="F477" s="128">
        <v>1</v>
      </c>
      <c r="G477" s="128">
        <v>0</v>
      </c>
      <c r="K477" s="86">
        <v>45898</v>
      </c>
      <c r="L477" s="126">
        <f t="shared" si="170"/>
        <v>337.00000008000001</v>
      </c>
      <c r="M477" s="126">
        <f t="shared" si="170"/>
        <v>214.00000008000001</v>
      </c>
      <c r="N477" s="126">
        <f t="shared" si="170"/>
        <v>319</v>
      </c>
      <c r="O477" s="126">
        <f t="shared" si="170"/>
        <v>193</v>
      </c>
      <c r="P477" s="126">
        <f t="shared" si="171"/>
        <v>364</v>
      </c>
      <c r="Q477" s="126">
        <f t="shared" si="171"/>
        <v>372</v>
      </c>
      <c r="R477" s="126">
        <f t="shared" si="165"/>
        <v>8</v>
      </c>
      <c r="S477" s="1">
        <f t="shared" si="166"/>
        <v>1</v>
      </c>
      <c r="T477" s="126">
        <f t="shared" si="172"/>
        <v>8</v>
      </c>
      <c r="U477" s="126">
        <f t="shared" si="167"/>
        <v>1799.0000001600001</v>
      </c>
      <c r="W477" s="126">
        <f t="shared" si="168"/>
        <v>372</v>
      </c>
      <c r="X477" s="126">
        <f t="shared" si="169"/>
        <v>407.00000008000001</v>
      </c>
    </row>
    <row r="478" spans="1:24">
      <c r="A478" s="86">
        <v>45905</v>
      </c>
      <c r="B478" s="128">
        <v>0</v>
      </c>
      <c r="C478" s="128">
        <v>0</v>
      </c>
      <c r="D478" s="128">
        <v>1</v>
      </c>
      <c r="E478" s="128">
        <v>0</v>
      </c>
      <c r="F478" s="128">
        <v>0</v>
      </c>
      <c r="G478" s="128">
        <v>1</v>
      </c>
      <c r="K478" s="86">
        <v>45905</v>
      </c>
      <c r="L478" s="126">
        <f t="shared" si="170"/>
        <v>337.00000008000001</v>
      </c>
      <c r="M478" s="126">
        <f t="shared" si="170"/>
        <v>214.00000008000001</v>
      </c>
      <c r="N478" s="126">
        <f t="shared" si="170"/>
        <v>320</v>
      </c>
      <c r="O478" s="126">
        <f t="shared" si="170"/>
        <v>193</v>
      </c>
      <c r="P478" s="126">
        <f t="shared" si="171"/>
        <v>364</v>
      </c>
      <c r="Q478" s="126">
        <f t="shared" si="171"/>
        <v>373</v>
      </c>
      <c r="R478" s="126">
        <f t="shared" si="165"/>
        <v>9</v>
      </c>
      <c r="S478" s="1">
        <f t="shared" si="166"/>
        <v>1</v>
      </c>
      <c r="T478" s="126">
        <f t="shared" si="172"/>
        <v>9</v>
      </c>
      <c r="U478" s="126">
        <f t="shared" si="167"/>
        <v>1801.0000001600001</v>
      </c>
      <c r="W478" s="126">
        <f t="shared" si="168"/>
        <v>373</v>
      </c>
      <c r="X478" s="126">
        <f t="shared" si="169"/>
        <v>407.00000008000001</v>
      </c>
    </row>
    <row r="479" spans="1:24">
      <c r="A479" s="86">
        <v>45912</v>
      </c>
      <c r="B479" s="128">
        <v>1</v>
      </c>
      <c r="C479" s="128">
        <v>1</v>
      </c>
      <c r="D479" s="128">
        <v>0</v>
      </c>
      <c r="E479" s="128">
        <v>0</v>
      </c>
      <c r="F479" s="128">
        <v>1</v>
      </c>
      <c r="G479" s="128">
        <v>0</v>
      </c>
      <c r="K479" s="86">
        <v>45912</v>
      </c>
      <c r="L479" s="126">
        <f t="shared" si="170"/>
        <v>338.00000008000001</v>
      </c>
      <c r="M479" s="126">
        <f t="shared" si="170"/>
        <v>215.00000008000001</v>
      </c>
      <c r="N479" s="126">
        <f t="shared" si="170"/>
        <v>320</v>
      </c>
      <c r="O479" s="126">
        <f t="shared" si="170"/>
        <v>193</v>
      </c>
      <c r="P479" s="126">
        <f t="shared" si="171"/>
        <v>365</v>
      </c>
      <c r="Q479" s="126">
        <f t="shared" si="171"/>
        <v>373</v>
      </c>
      <c r="R479" s="126">
        <f t="shared" si="165"/>
        <v>8</v>
      </c>
      <c r="S479" s="1">
        <f t="shared" si="166"/>
        <v>1</v>
      </c>
      <c r="T479" s="126">
        <f t="shared" si="172"/>
        <v>8</v>
      </c>
      <c r="U479" s="126">
        <f t="shared" si="167"/>
        <v>1804.0000001600001</v>
      </c>
      <c r="W479" s="126">
        <f t="shared" si="168"/>
        <v>373</v>
      </c>
      <c r="X479" s="126">
        <f t="shared" si="169"/>
        <v>408.00000008000001</v>
      </c>
    </row>
    <row r="480" spans="1:24">
      <c r="A480" s="86">
        <v>45919</v>
      </c>
      <c r="B480" s="128">
        <v>0</v>
      </c>
      <c r="C480" s="128">
        <v>1</v>
      </c>
      <c r="D480" s="128">
        <v>1</v>
      </c>
      <c r="E480" s="128">
        <v>1</v>
      </c>
      <c r="F480" s="128">
        <v>1</v>
      </c>
      <c r="G480" s="128">
        <v>1</v>
      </c>
      <c r="K480" s="86">
        <v>45919</v>
      </c>
      <c r="L480" s="126">
        <f t="shared" si="170"/>
        <v>338.00000008000001</v>
      </c>
      <c r="M480" s="126">
        <f t="shared" si="170"/>
        <v>216.00000008000001</v>
      </c>
      <c r="N480" s="126">
        <f t="shared" si="170"/>
        <v>321</v>
      </c>
      <c r="O480" s="126">
        <f t="shared" si="170"/>
        <v>194</v>
      </c>
      <c r="P480" s="126">
        <f t="shared" si="171"/>
        <v>366</v>
      </c>
      <c r="Q480" s="126">
        <f t="shared" si="171"/>
        <v>374</v>
      </c>
      <c r="R480" s="126">
        <f t="shared" si="165"/>
        <v>8</v>
      </c>
      <c r="S480" s="1">
        <f t="shared" si="166"/>
        <v>1</v>
      </c>
      <c r="T480" s="126">
        <f t="shared" si="172"/>
        <v>8</v>
      </c>
      <c r="U480" s="126">
        <f t="shared" si="167"/>
        <v>1809.0000001600001</v>
      </c>
      <c r="W480" s="126">
        <f t="shared" si="168"/>
        <v>374</v>
      </c>
      <c r="X480" s="126">
        <f t="shared" si="169"/>
        <v>410.00000008000001</v>
      </c>
    </row>
    <row r="481" spans="1:24">
      <c r="A481" s="86">
        <v>45926</v>
      </c>
      <c r="B481" s="128">
        <v>1</v>
      </c>
      <c r="C481" s="128">
        <v>0</v>
      </c>
      <c r="D481" s="128">
        <v>0</v>
      </c>
      <c r="E481" s="128">
        <v>1</v>
      </c>
      <c r="F481" s="128">
        <v>1</v>
      </c>
      <c r="G481" s="128">
        <v>1</v>
      </c>
      <c r="K481" s="86">
        <v>45926</v>
      </c>
      <c r="L481" s="126">
        <f t="shared" si="170"/>
        <v>339.00000008000001</v>
      </c>
      <c r="M481" s="126">
        <f t="shared" si="170"/>
        <v>216.00000008000001</v>
      </c>
      <c r="N481" s="126">
        <f t="shared" si="170"/>
        <v>321</v>
      </c>
      <c r="O481" s="126">
        <f t="shared" si="170"/>
        <v>195</v>
      </c>
      <c r="P481" s="126">
        <f t="shared" si="171"/>
        <v>367</v>
      </c>
      <c r="Q481" s="126">
        <f t="shared" si="171"/>
        <v>375</v>
      </c>
      <c r="R481" s="126">
        <f t="shared" si="165"/>
        <v>8</v>
      </c>
      <c r="S481" s="1">
        <f t="shared" si="166"/>
        <v>1</v>
      </c>
      <c r="T481" s="126">
        <f t="shared" si="172"/>
        <v>8</v>
      </c>
      <c r="U481" s="126">
        <f t="shared" si="167"/>
        <v>1813.0000001600001</v>
      </c>
      <c r="W481" s="126">
        <f t="shared" si="168"/>
        <v>375</v>
      </c>
      <c r="X481" s="126">
        <f t="shared" si="169"/>
        <v>411.00000008000001</v>
      </c>
    </row>
    <row r="482" spans="1:24">
      <c r="A482" s="86">
        <v>45933</v>
      </c>
      <c r="B482" s="128">
        <v>1</v>
      </c>
      <c r="C482" s="128">
        <v>1</v>
      </c>
      <c r="D482" s="128">
        <v>0</v>
      </c>
      <c r="E482" s="128">
        <v>1</v>
      </c>
      <c r="F482" s="128">
        <v>1</v>
      </c>
      <c r="G482" s="128">
        <v>1</v>
      </c>
      <c r="K482" s="86">
        <v>45933</v>
      </c>
      <c r="L482" s="126">
        <f t="shared" si="170"/>
        <v>340.00000008000001</v>
      </c>
      <c r="M482" s="126">
        <f t="shared" si="170"/>
        <v>217.00000008000001</v>
      </c>
      <c r="N482" s="126">
        <f t="shared" si="170"/>
        <v>321</v>
      </c>
      <c r="O482" s="126">
        <f t="shared" si="170"/>
        <v>196</v>
      </c>
      <c r="P482" s="126">
        <f t="shared" si="171"/>
        <v>368</v>
      </c>
      <c r="Q482" s="126">
        <f t="shared" si="171"/>
        <v>376</v>
      </c>
      <c r="R482" s="126">
        <f t="shared" si="165"/>
        <v>8</v>
      </c>
      <c r="S482" s="1">
        <f t="shared" si="166"/>
        <v>1</v>
      </c>
      <c r="T482" s="126">
        <f t="shared" si="172"/>
        <v>8</v>
      </c>
      <c r="U482" s="126">
        <f t="shared" si="167"/>
        <v>1818.0000001600001</v>
      </c>
      <c r="W482" s="126">
        <f t="shared" si="168"/>
        <v>376</v>
      </c>
      <c r="X482" s="126">
        <f t="shared" si="169"/>
        <v>413.00000008000001</v>
      </c>
    </row>
    <row r="483" spans="1:24">
      <c r="A483" s="86">
        <v>45940</v>
      </c>
      <c r="B483" s="128">
        <v>0</v>
      </c>
      <c r="C483" s="128">
        <v>1</v>
      </c>
      <c r="D483" s="128">
        <v>0</v>
      </c>
      <c r="E483" s="128">
        <v>1</v>
      </c>
      <c r="F483" s="128">
        <v>1</v>
      </c>
      <c r="G483" s="128">
        <v>1</v>
      </c>
      <c r="K483" s="86">
        <v>45940</v>
      </c>
      <c r="L483" s="126">
        <f t="shared" si="170"/>
        <v>340.00000008000001</v>
      </c>
      <c r="M483" s="126">
        <f t="shared" si="170"/>
        <v>218.00000008000001</v>
      </c>
      <c r="N483" s="126">
        <f t="shared" si="170"/>
        <v>321</v>
      </c>
      <c r="O483" s="126">
        <f t="shared" si="170"/>
        <v>197</v>
      </c>
      <c r="P483" s="126">
        <f t="shared" si="171"/>
        <v>369</v>
      </c>
      <c r="Q483" s="126">
        <f t="shared" si="171"/>
        <v>377</v>
      </c>
      <c r="R483" s="126">
        <f t="shared" si="165"/>
        <v>8</v>
      </c>
      <c r="S483" s="1">
        <f t="shared" si="166"/>
        <v>1</v>
      </c>
      <c r="T483" s="126">
        <f t="shared" si="172"/>
        <v>8</v>
      </c>
      <c r="U483" s="126">
        <f t="shared" si="167"/>
        <v>1822.0000001600001</v>
      </c>
      <c r="W483" s="126">
        <f t="shared" si="168"/>
        <v>377</v>
      </c>
      <c r="X483" s="126">
        <f t="shared" si="169"/>
        <v>415.00000008000001</v>
      </c>
    </row>
    <row r="484" spans="1:24">
      <c r="A484" s="86">
        <v>45947</v>
      </c>
      <c r="B484" s="128">
        <v>1</v>
      </c>
      <c r="C484" s="128">
        <v>0</v>
      </c>
      <c r="D484" s="128">
        <v>1</v>
      </c>
      <c r="E484" s="128">
        <v>0</v>
      </c>
      <c r="F484" s="128">
        <v>1</v>
      </c>
      <c r="G484" s="128">
        <v>0</v>
      </c>
      <c r="K484" s="86">
        <v>45947</v>
      </c>
      <c r="L484" s="126">
        <f t="shared" si="170"/>
        <v>341.00000008000001</v>
      </c>
      <c r="M484" s="126">
        <f t="shared" si="170"/>
        <v>218.00000008000001</v>
      </c>
      <c r="N484" s="126">
        <f t="shared" si="170"/>
        <v>322</v>
      </c>
      <c r="O484" s="126">
        <f t="shared" si="170"/>
        <v>197</v>
      </c>
      <c r="P484" s="126">
        <f t="shared" si="171"/>
        <v>370</v>
      </c>
      <c r="Q484" s="126">
        <f t="shared" si="171"/>
        <v>377</v>
      </c>
      <c r="R484" s="126">
        <f t="shared" si="165"/>
        <v>7</v>
      </c>
      <c r="S484" s="1">
        <f t="shared" si="166"/>
        <v>1</v>
      </c>
      <c r="T484" s="126">
        <f t="shared" si="172"/>
        <v>7</v>
      </c>
      <c r="U484" s="126">
        <f t="shared" si="167"/>
        <v>1825.0000001600001</v>
      </c>
      <c r="W484" s="126">
        <f t="shared" si="168"/>
        <v>377</v>
      </c>
      <c r="X484" s="126">
        <f t="shared" si="169"/>
        <v>415.00000008000001</v>
      </c>
    </row>
    <row r="485" spans="1:24">
      <c r="A485" s="86">
        <v>45954</v>
      </c>
      <c r="B485" s="128">
        <v>1</v>
      </c>
      <c r="C485" s="128">
        <v>0</v>
      </c>
      <c r="D485" s="128">
        <v>0</v>
      </c>
      <c r="E485" s="128">
        <v>1</v>
      </c>
      <c r="F485" s="128">
        <v>0</v>
      </c>
      <c r="G485" s="128">
        <v>1</v>
      </c>
      <c r="K485" s="86">
        <v>45954</v>
      </c>
      <c r="L485" s="126">
        <f t="shared" si="170"/>
        <v>342.00000008000001</v>
      </c>
      <c r="M485" s="126">
        <f t="shared" si="170"/>
        <v>218.00000008000001</v>
      </c>
      <c r="N485" s="126">
        <f t="shared" si="170"/>
        <v>322</v>
      </c>
      <c r="O485" s="126">
        <f t="shared" si="170"/>
        <v>198</v>
      </c>
      <c r="P485" s="126">
        <f t="shared" si="171"/>
        <v>370</v>
      </c>
      <c r="Q485" s="126">
        <f t="shared" si="171"/>
        <v>378</v>
      </c>
      <c r="R485" s="126">
        <f t="shared" si="165"/>
        <v>8</v>
      </c>
      <c r="S485" s="1">
        <f t="shared" si="166"/>
        <v>1</v>
      </c>
      <c r="T485" s="126">
        <f t="shared" si="172"/>
        <v>8</v>
      </c>
      <c r="U485" s="126">
        <f t="shared" si="167"/>
        <v>1828.0000001600001</v>
      </c>
      <c r="W485" s="126">
        <f t="shared" si="168"/>
        <v>378</v>
      </c>
      <c r="X485" s="126">
        <f t="shared" si="169"/>
        <v>416.00000008000001</v>
      </c>
    </row>
    <row r="486" spans="1:24">
      <c r="A486" s="86">
        <v>45961</v>
      </c>
      <c r="B486" s="128">
        <v>0</v>
      </c>
      <c r="C486" s="128">
        <v>1</v>
      </c>
      <c r="D486" s="128">
        <v>1</v>
      </c>
      <c r="E486" s="128">
        <v>1</v>
      </c>
      <c r="F486" s="128">
        <v>1</v>
      </c>
      <c r="G486" s="128">
        <v>1</v>
      </c>
      <c r="K486" s="86">
        <v>45961</v>
      </c>
      <c r="L486" s="126">
        <f t="shared" si="170"/>
        <v>342.00000008000001</v>
      </c>
      <c r="M486" s="126">
        <f t="shared" si="170"/>
        <v>219.00000008000001</v>
      </c>
      <c r="N486" s="126">
        <f t="shared" si="170"/>
        <v>323</v>
      </c>
      <c r="O486" s="126">
        <f t="shared" si="170"/>
        <v>199</v>
      </c>
      <c r="P486" s="126">
        <f t="shared" si="171"/>
        <v>371</v>
      </c>
      <c r="Q486" s="126">
        <f t="shared" si="171"/>
        <v>379</v>
      </c>
      <c r="R486" s="126">
        <f t="shared" si="165"/>
        <v>8</v>
      </c>
      <c r="S486" s="1">
        <f t="shared" si="166"/>
        <v>1</v>
      </c>
      <c r="T486" s="126">
        <f t="shared" si="172"/>
        <v>8</v>
      </c>
      <c r="U486" s="126">
        <f t="shared" si="167"/>
        <v>1833.0000001600001</v>
      </c>
      <c r="W486" s="126">
        <f t="shared" si="168"/>
        <v>379</v>
      </c>
      <c r="X486" s="126">
        <f t="shared" si="169"/>
        <v>418.00000008000001</v>
      </c>
    </row>
    <row r="487" spans="1:24">
      <c r="A487" s="86">
        <v>45968</v>
      </c>
      <c r="B487" s="128">
        <v>1</v>
      </c>
      <c r="C487" s="128">
        <v>1</v>
      </c>
      <c r="D487" s="128">
        <v>1</v>
      </c>
      <c r="E487" s="128">
        <v>1</v>
      </c>
      <c r="F487" s="128">
        <v>1</v>
      </c>
      <c r="G487" s="128">
        <v>1</v>
      </c>
      <c r="K487" s="86">
        <v>45968</v>
      </c>
      <c r="L487" s="126">
        <f t="shared" si="170"/>
        <v>343.00000008000001</v>
      </c>
      <c r="M487" s="126">
        <f t="shared" si="170"/>
        <v>220.00000008000001</v>
      </c>
      <c r="N487" s="126">
        <f t="shared" si="170"/>
        <v>324</v>
      </c>
      <c r="O487" s="126">
        <f t="shared" si="170"/>
        <v>200</v>
      </c>
      <c r="P487" s="126">
        <f t="shared" si="171"/>
        <v>372</v>
      </c>
      <c r="Q487" s="126">
        <f t="shared" si="171"/>
        <v>380</v>
      </c>
      <c r="R487" s="126">
        <f t="shared" si="165"/>
        <v>8</v>
      </c>
      <c r="S487" s="1">
        <f t="shared" si="166"/>
        <v>1</v>
      </c>
      <c r="T487" s="126">
        <f t="shared" si="172"/>
        <v>8</v>
      </c>
      <c r="U487" s="126">
        <f t="shared" si="167"/>
        <v>1839.0000001600001</v>
      </c>
      <c r="W487" s="126">
        <f t="shared" si="168"/>
        <v>380</v>
      </c>
      <c r="X487" s="126">
        <f t="shared" si="169"/>
        <v>420.00000008000001</v>
      </c>
    </row>
    <row r="488" spans="1:24">
      <c r="A488" s="86">
        <v>45975</v>
      </c>
      <c r="B488" s="128">
        <v>1</v>
      </c>
      <c r="C488" s="128">
        <v>1</v>
      </c>
      <c r="D488" s="128">
        <v>1</v>
      </c>
      <c r="E488" s="128">
        <v>1</v>
      </c>
      <c r="F488" s="128">
        <v>1</v>
      </c>
      <c r="G488" s="128">
        <v>1</v>
      </c>
      <c r="K488" s="86">
        <v>45975</v>
      </c>
      <c r="L488" s="126">
        <f t="shared" si="170"/>
        <v>344.00000008000001</v>
      </c>
      <c r="M488" s="126">
        <f t="shared" si="170"/>
        <v>221.00000008000001</v>
      </c>
      <c r="N488" s="126">
        <f t="shared" si="170"/>
        <v>325</v>
      </c>
      <c r="O488" s="126">
        <f t="shared" si="170"/>
        <v>201</v>
      </c>
      <c r="P488" s="126">
        <f t="shared" si="171"/>
        <v>373</v>
      </c>
      <c r="Q488" s="126">
        <f t="shared" si="171"/>
        <v>381</v>
      </c>
      <c r="R488" s="126">
        <f t="shared" si="165"/>
        <v>8</v>
      </c>
      <c r="S488" s="1">
        <f t="shared" si="166"/>
        <v>1</v>
      </c>
      <c r="T488" s="126">
        <f t="shared" si="172"/>
        <v>8</v>
      </c>
      <c r="U488" s="126">
        <f t="shared" si="167"/>
        <v>1845.0000001600001</v>
      </c>
      <c r="W488" s="126">
        <f t="shared" si="168"/>
        <v>381</v>
      </c>
      <c r="X488" s="126">
        <f t="shared" si="169"/>
        <v>422.00000008000001</v>
      </c>
    </row>
    <row r="489" spans="1:24">
      <c r="A489" s="86">
        <v>45982</v>
      </c>
      <c r="B489" s="128">
        <v>1</v>
      </c>
      <c r="C489" s="128">
        <v>1</v>
      </c>
      <c r="D489" s="128">
        <v>0</v>
      </c>
      <c r="E489" s="128">
        <v>1</v>
      </c>
      <c r="F489" s="128">
        <v>1</v>
      </c>
      <c r="G489" s="128">
        <v>1</v>
      </c>
      <c r="K489" s="86">
        <v>45982</v>
      </c>
      <c r="L489" s="126">
        <f t="shared" si="170"/>
        <v>345.00000008000001</v>
      </c>
      <c r="M489" s="126">
        <f t="shared" si="170"/>
        <v>222.00000008000001</v>
      </c>
      <c r="N489" s="126">
        <f t="shared" si="170"/>
        <v>325</v>
      </c>
      <c r="O489" s="126">
        <f t="shared" si="170"/>
        <v>202</v>
      </c>
      <c r="P489" s="126">
        <f t="shared" si="171"/>
        <v>374</v>
      </c>
      <c r="Q489" s="126">
        <f t="shared" si="171"/>
        <v>382</v>
      </c>
      <c r="R489" s="126">
        <f t="shared" si="165"/>
        <v>8</v>
      </c>
      <c r="S489" s="1">
        <f t="shared" si="166"/>
        <v>1</v>
      </c>
      <c r="T489" s="126">
        <f t="shared" si="172"/>
        <v>8</v>
      </c>
      <c r="U489" s="126">
        <f t="shared" si="167"/>
        <v>1850.0000001600001</v>
      </c>
      <c r="W489" s="126">
        <f t="shared" si="168"/>
        <v>382</v>
      </c>
      <c r="X489" s="126">
        <f t="shared" si="169"/>
        <v>424.00000008000001</v>
      </c>
    </row>
    <row r="490" spans="1:24">
      <c r="A490" s="86">
        <v>45989</v>
      </c>
      <c r="B490" s="128">
        <v>1</v>
      </c>
      <c r="C490" s="128">
        <v>0</v>
      </c>
      <c r="D490" s="128">
        <v>0</v>
      </c>
      <c r="E490" s="128">
        <v>0</v>
      </c>
      <c r="F490" s="128">
        <v>1</v>
      </c>
      <c r="G490" s="128">
        <v>0</v>
      </c>
      <c r="K490" s="86">
        <v>45989</v>
      </c>
      <c r="L490" s="126">
        <f t="shared" si="170"/>
        <v>346.00000008000001</v>
      </c>
      <c r="M490" s="126">
        <f t="shared" si="170"/>
        <v>222.00000008000001</v>
      </c>
      <c r="N490" s="126">
        <f t="shared" si="170"/>
        <v>325</v>
      </c>
      <c r="O490" s="126">
        <f t="shared" si="170"/>
        <v>202</v>
      </c>
      <c r="P490" s="126">
        <f t="shared" si="171"/>
        <v>375</v>
      </c>
      <c r="Q490" s="126">
        <f t="shared" si="171"/>
        <v>382</v>
      </c>
      <c r="R490" s="126">
        <f t="shared" si="165"/>
        <v>7</v>
      </c>
      <c r="S490" s="1">
        <f t="shared" si="166"/>
        <v>1</v>
      </c>
      <c r="T490" s="126">
        <f t="shared" si="172"/>
        <v>7</v>
      </c>
      <c r="U490" s="126">
        <f t="shared" si="167"/>
        <v>1852.0000001600001</v>
      </c>
      <c r="W490" s="126">
        <f t="shared" si="168"/>
        <v>382</v>
      </c>
      <c r="X490" s="126">
        <f t="shared" si="169"/>
        <v>424.00000008000001</v>
      </c>
    </row>
    <row r="491" spans="1:24">
      <c r="A491" s="86">
        <v>45996</v>
      </c>
      <c r="B491" s="128">
        <v>1</v>
      </c>
      <c r="C491" s="128">
        <v>0</v>
      </c>
      <c r="D491" s="128">
        <v>0</v>
      </c>
      <c r="E491" s="128">
        <v>0</v>
      </c>
      <c r="F491" s="128">
        <v>1</v>
      </c>
      <c r="G491" s="128">
        <v>1</v>
      </c>
      <c r="K491" s="86">
        <v>45996</v>
      </c>
      <c r="L491" s="126">
        <f t="shared" si="170"/>
        <v>347.00000008000001</v>
      </c>
      <c r="M491" s="126">
        <f t="shared" si="170"/>
        <v>222.00000008000001</v>
      </c>
      <c r="N491" s="126">
        <f t="shared" si="170"/>
        <v>325</v>
      </c>
      <c r="O491" s="126">
        <f t="shared" si="170"/>
        <v>202</v>
      </c>
      <c r="P491" s="126">
        <f t="shared" si="171"/>
        <v>376</v>
      </c>
      <c r="Q491" s="126">
        <f t="shared" si="171"/>
        <v>383</v>
      </c>
      <c r="R491" s="126">
        <f t="shared" si="165"/>
        <v>7</v>
      </c>
      <c r="S491" s="1">
        <f t="shared" si="166"/>
        <v>1</v>
      </c>
      <c r="T491" s="126">
        <f t="shared" si="172"/>
        <v>7</v>
      </c>
      <c r="U491" s="126">
        <f t="shared" si="167"/>
        <v>1855.0000001600001</v>
      </c>
      <c r="W491" s="126">
        <f t="shared" si="168"/>
        <v>383</v>
      </c>
      <c r="X491" s="126">
        <f t="shared" si="169"/>
        <v>424.00000008000001</v>
      </c>
    </row>
    <row r="492" spans="1:24">
      <c r="A492" s="86">
        <v>46003</v>
      </c>
      <c r="B492" s="128">
        <v>1</v>
      </c>
      <c r="C492" s="128">
        <v>1</v>
      </c>
      <c r="D492" s="128">
        <v>1</v>
      </c>
      <c r="E492" s="128">
        <v>1</v>
      </c>
      <c r="F492" s="128">
        <v>1</v>
      </c>
      <c r="G492" s="128">
        <v>1</v>
      </c>
      <c r="K492" s="86">
        <v>46003</v>
      </c>
      <c r="L492" s="126">
        <f t="shared" si="170"/>
        <v>348.00000008000001</v>
      </c>
      <c r="M492" s="126">
        <f t="shared" si="170"/>
        <v>223.00000008000001</v>
      </c>
      <c r="N492" s="126">
        <f t="shared" si="170"/>
        <v>326</v>
      </c>
      <c r="O492" s="126">
        <f t="shared" si="170"/>
        <v>203</v>
      </c>
      <c r="P492" s="126">
        <f t="shared" si="171"/>
        <v>377</v>
      </c>
      <c r="Q492" s="126">
        <f t="shared" si="171"/>
        <v>384</v>
      </c>
      <c r="R492" s="126">
        <f t="shared" si="165"/>
        <v>7</v>
      </c>
      <c r="S492" s="1">
        <f t="shared" si="166"/>
        <v>1</v>
      </c>
      <c r="T492" s="126">
        <f t="shared" si="172"/>
        <v>7</v>
      </c>
      <c r="U492" s="126">
        <f t="shared" si="167"/>
        <v>1861.0000001600001</v>
      </c>
      <c r="W492" s="126">
        <f t="shared" si="168"/>
        <v>384</v>
      </c>
      <c r="X492" s="126">
        <f t="shared" si="169"/>
        <v>426.00000008000001</v>
      </c>
    </row>
    <row r="493" spans="1:24">
      <c r="A493" s="86">
        <v>46010</v>
      </c>
      <c r="B493" s="128">
        <v>0</v>
      </c>
      <c r="C493" s="128">
        <v>1</v>
      </c>
      <c r="D493" s="128">
        <v>1</v>
      </c>
      <c r="E493" s="128">
        <v>1</v>
      </c>
      <c r="F493" s="128">
        <v>1</v>
      </c>
      <c r="G493" s="128">
        <v>1</v>
      </c>
      <c r="K493" s="86">
        <v>46010</v>
      </c>
      <c r="L493" s="126">
        <f t="shared" si="170"/>
        <v>348.00000008000001</v>
      </c>
      <c r="M493" s="126">
        <f t="shared" si="170"/>
        <v>224.00000008000001</v>
      </c>
      <c r="N493" s="126">
        <f t="shared" si="170"/>
        <v>327</v>
      </c>
      <c r="O493" s="126">
        <f t="shared" si="170"/>
        <v>204</v>
      </c>
      <c r="P493" s="126">
        <f t="shared" si="171"/>
        <v>378</v>
      </c>
      <c r="Q493" s="126">
        <f t="shared" si="171"/>
        <v>385</v>
      </c>
      <c r="R493" s="126">
        <f t="shared" si="165"/>
        <v>7</v>
      </c>
      <c r="S493" s="1">
        <f t="shared" si="166"/>
        <v>1</v>
      </c>
      <c r="T493" s="126">
        <f t="shared" si="172"/>
        <v>7</v>
      </c>
      <c r="U493" s="126">
        <f t="shared" si="167"/>
        <v>1866.0000001600001</v>
      </c>
      <c r="W493" s="126">
        <f t="shared" si="168"/>
        <v>385</v>
      </c>
      <c r="X493" s="126">
        <f t="shared" si="169"/>
        <v>428.00000008000001</v>
      </c>
    </row>
    <row r="494" spans="1:24">
      <c r="A494" s="86">
        <v>46031</v>
      </c>
      <c r="B494" s="128">
        <v>0</v>
      </c>
      <c r="C494" s="128">
        <v>1</v>
      </c>
      <c r="D494" s="128">
        <v>0</v>
      </c>
      <c r="E494" s="128">
        <v>1</v>
      </c>
      <c r="F494" s="128">
        <v>1</v>
      </c>
      <c r="G494" s="128">
        <v>0</v>
      </c>
      <c r="K494" s="86">
        <v>46031</v>
      </c>
      <c r="L494" s="126">
        <f t="shared" si="170"/>
        <v>348.00000008000001</v>
      </c>
      <c r="M494" s="126">
        <f t="shared" si="170"/>
        <v>225.00000008000001</v>
      </c>
      <c r="N494" s="126">
        <f t="shared" si="170"/>
        <v>327</v>
      </c>
      <c r="O494" s="126">
        <f t="shared" si="170"/>
        <v>205</v>
      </c>
      <c r="P494" s="126">
        <f t="shared" si="171"/>
        <v>379</v>
      </c>
      <c r="Q494" s="126">
        <f t="shared" si="171"/>
        <v>385</v>
      </c>
      <c r="R494" s="126">
        <f t="shared" si="165"/>
        <v>6</v>
      </c>
      <c r="S494" s="1">
        <f t="shared" si="166"/>
        <v>1</v>
      </c>
      <c r="T494" s="126">
        <f t="shared" si="172"/>
        <v>6</v>
      </c>
      <c r="U494" s="126">
        <f t="shared" si="167"/>
        <v>1869.0000001600001</v>
      </c>
      <c r="W494" s="126">
        <f t="shared" si="168"/>
        <v>385</v>
      </c>
      <c r="X494" s="126">
        <f t="shared" si="169"/>
        <v>430.00000008000001</v>
      </c>
    </row>
    <row r="495" spans="1:24">
      <c r="A495" s="86">
        <v>46038</v>
      </c>
      <c r="B495" s="128">
        <v>1</v>
      </c>
      <c r="C495" s="128">
        <v>0</v>
      </c>
      <c r="D495" s="128">
        <v>1</v>
      </c>
      <c r="E495" s="128">
        <v>0</v>
      </c>
      <c r="F495" s="128">
        <v>0</v>
      </c>
      <c r="G495" s="128">
        <v>0</v>
      </c>
      <c r="K495" s="86">
        <v>46038</v>
      </c>
      <c r="L495" s="126">
        <f t="shared" si="170"/>
        <v>349.00000008000001</v>
      </c>
      <c r="M495" s="126">
        <f t="shared" si="170"/>
        <v>225.00000008000001</v>
      </c>
      <c r="N495" s="126">
        <f t="shared" si="170"/>
        <v>328</v>
      </c>
      <c r="O495" s="126">
        <f t="shared" si="170"/>
        <v>205</v>
      </c>
      <c r="P495" s="126">
        <f t="shared" si="171"/>
        <v>379</v>
      </c>
      <c r="Q495" s="126">
        <f t="shared" si="171"/>
        <v>385</v>
      </c>
      <c r="R495" s="126">
        <f t="shared" si="165"/>
        <v>6</v>
      </c>
      <c r="S495" s="1">
        <f t="shared" si="166"/>
        <v>1</v>
      </c>
      <c r="T495" s="126">
        <f t="shared" si="172"/>
        <v>6</v>
      </c>
      <c r="U495" s="126">
        <f t="shared" si="167"/>
        <v>1871.0000001600001</v>
      </c>
      <c r="W495" s="126">
        <f t="shared" si="168"/>
        <v>385</v>
      </c>
      <c r="X495" s="126">
        <f t="shared" si="169"/>
        <v>430.00000008000001</v>
      </c>
    </row>
    <row r="496" spans="1:24">
      <c r="A496" s="86">
        <v>46045</v>
      </c>
      <c r="B496" s="128">
        <v>0</v>
      </c>
      <c r="C496" s="128">
        <v>0</v>
      </c>
      <c r="D496" s="128">
        <v>1</v>
      </c>
      <c r="E496" s="128">
        <v>1</v>
      </c>
      <c r="F496" s="128">
        <v>1</v>
      </c>
      <c r="G496" s="128">
        <v>1</v>
      </c>
      <c r="K496" s="86">
        <v>46045</v>
      </c>
      <c r="L496" s="126">
        <f t="shared" si="170"/>
        <v>349.00000008000001</v>
      </c>
      <c r="M496" s="126">
        <f t="shared" si="170"/>
        <v>225.00000008000001</v>
      </c>
      <c r="N496" s="126">
        <f t="shared" si="170"/>
        <v>329</v>
      </c>
      <c r="O496" s="126">
        <f t="shared" si="170"/>
        <v>206</v>
      </c>
      <c r="P496" s="126">
        <f t="shared" si="171"/>
        <v>380</v>
      </c>
      <c r="Q496" s="126">
        <f t="shared" si="171"/>
        <v>386</v>
      </c>
      <c r="R496" s="126">
        <f t="shared" si="165"/>
        <v>6</v>
      </c>
      <c r="S496" s="1">
        <f t="shared" si="166"/>
        <v>1</v>
      </c>
      <c r="T496" s="126">
        <f t="shared" si="172"/>
        <v>6</v>
      </c>
      <c r="U496" s="126">
        <f t="shared" si="167"/>
        <v>1875.0000001600001</v>
      </c>
      <c r="W496" s="126">
        <f t="shared" si="168"/>
        <v>386</v>
      </c>
      <c r="X496" s="126">
        <f t="shared" si="169"/>
        <v>431.00000008000001</v>
      </c>
    </row>
    <row r="497" spans="1:24">
      <c r="A497" s="86">
        <v>46052</v>
      </c>
      <c r="B497" s="128">
        <v>0</v>
      </c>
      <c r="C497" s="128">
        <v>1</v>
      </c>
      <c r="D497" s="128">
        <v>0</v>
      </c>
      <c r="E497" s="128">
        <v>1</v>
      </c>
      <c r="F497" s="128">
        <v>1</v>
      </c>
      <c r="G497" s="128">
        <v>1</v>
      </c>
      <c r="K497" s="86">
        <v>46052</v>
      </c>
      <c r="L497" s="126">
        <f t="shared" si="170"/>
        <v>349.00000008000001</v>
      </c>
      <c r="M497" s="126">
        <f t="shared" si="170"/>
        <v>226.00000008000001</v>
      </c>
      <c r="N497" s="126">
        <f t="shared" si="170"/>
        <v>329</v>
      </c>
      <c r="O497" s="126">
        <f t="shared" si="170"/>
        <v>207</v>
      </c>
      <c r="P497" s="126">
        <f t="shared" si="171"/>
        <v>381</v>
      </c>
      <c r="Q497" s="126">
        <f t="shared" si="171"/>
        <v>387</v>
      </c>
      <c r="R497" s="126">
        <f t="shared" si="165"/>
        <v>6</v>
      </c>
      <c r="S497" s="1">
        <f t="shared" si="166"/>
        <v>1</v>
      </c>
      <c r="T497" s="126">
        <f t="shared" si="172"/>
        <v>6</v>
      </c>
      <c r="U497" s="126">
        <f t="shared" si="167"/>
        <v>1879.0000001600001</v>
      </c>
      <c r="W497" s="126">
        <f t="shared" si="168"/>
        <v>387</v>
      </c>
      <c r="X497" s="126">
        <f t="shared" si="169"/>
        <v>433.00000008000001</v>
      </c>
    </row>
    <row r="498" spans="1:24">
      <c r="A498" s="86">
        <v>46059</v>
      </c>
      <c r="B498" s="128">
        <v>1</v>
      </c>
      <c r="C498" s="128">
        <v>1</v>
      </c>
      <c r="D498" s="128">
        <v>0</v>
      </c>
      <c r="E498" s="128">
        <v>0</v>
      </c>
      <c r="F498" s="128">
        <v>1</v>
      </c>
      <c r="G498" s="128">
        <v>1</v>
      </c>
      <c r="K498" s="86">
        <v>46059</v>
      </c>
      <c r="L498" s="126">
        <f t="shared" si="170"/>
        <v>350.00000008000001</v>
      </c>
      <c r="M498" s="126">
        <f t="shared" si="170"/>
        <v>227.00000008000001</v>
      </c>
      <c r="N498" s="126">
        <f t="shared" si="170"/>
        <v>329</v>
      </c>
      <c r="O498" s="126">
        <f t="shared" si="170"/>
        <v>207</v>
      </c>
      <c r="P498" s="126">
        <f t="shared" si="171"/>
        <v>382</v>
      </c>
      <c r="Q498" s="126">
        <f t="shared" si="171"/>
        <v>388</v>
      </c>
      <c r="R498" s="126">
        <f t="shared" ref="R498:R533" si="173">Q498-MAX(L498:P498)</f>
        <v>6</v>
      </c>
      <c r="S498" s="1">
        <f t="shared" ref="S498:S533" si="174">IF(Q498&gt;L498,1,0)</f>
        <v>1</v>
      </c>
      <c r="T498" s="126">
        <f t="shared" si="172"/>
        <v>6</v>
      </c>
      <c r="U498" s="126">
        <f t="shared" ref="U498:U532" si="175">SUM(L498:Q498)</f>
        <v>1883.0000001600001</v>
      </c>
      <c r="W498" s="126">
        <f t="shared" ref="W498:W533" si="176">Q498</f>
        <v>388</v>
      </c>
      <c r="X498" s="126">
        <f t="shared" ref="X498:X533" si="177">M498+O498</f>
        <v>434.00000008000001</v>
      </c>
    </row>
    <row r="499" spans="1:24">
      <c r="A499" s="86">
        <v>46066</v>
      </c>
      <c r="B499" s="128">
        <v>1</v>
      </c>
      <c r="C499" s="128">
        <v>1</v>
      </c>
      <c r="D499" s="128">
        <v>1</v>
      </c>
      <c r="E499" s="128">
        <v>0</v>
      </c>
      <c r="F499" s="128">
        <v>1</v>
      </c>
      <c r="G499" s="128">
        <v>1</v>
      </c>
      <c r="K499" s="86">
        <v>46066</v>
      </c>
      <c r="L499" s="126">
        <f t="shared" si="170"/>
        <v>351.00000008000001</v>
      </c>
      <c r="M499" s="126">
        <f t="shared" si="170"/>
        <v>228.00000008000001</v>
      </c>
      <c r="N499" s="126">
        <f t="shared" si="170"/>
        <v>330</v>
      </c>
      <c r="O499" s="126">
        <f t="shared" ref="O499:Q533" si="178">E499+O498</f>
        <v>207</v>
      </c>
      <c r="P499" s="126">
        <f t="shared" si="171"/>
        <v>383</v>
      </c>
      <c r="Q499" s="126">
        <f t="shared" si="171"/>
        <v>389</v>
      </c>
      <c r="R499" s="126">
        <f t="shared" si="173"/>
        <v>6</v>
      </c>
      <c r="S499" s="1">
        <f t="shared" si="174"/>
        <v>1</v>
      </c>
      <c r="T499" s="126">
        <f t="shared" si="172"/>
        <v>6</v>
      </c>
      <c r="U499" s="126">
        <f t="shared" si="175"/>
        <v>1888.0000001600001</v>
      </c>
      <c r="W499" s="126">
        <f t="shared" si="176"/>
        <v>389</v>
      </c>
      <c r="X499" s="126">
        <f t="shared" si="177"/>
        <v>435.00000008000001</v>
      </c>
    </row>
    <row r="500" spans="1:24">
      <c r="A500" s="86">
        <v>46073</v>
      </c>
      <c r="B500" s="128">
        <v>1</v>
      </c>
      <c r="C500" s="128">
        <v>1</v>
      </c>
      <c r="D500" s="128">
        <v>0</v>
      </c>
      <c r="E500" s="128">
        <v>1</v>
      </c>
      <c r="F500" s="128">
        <v>1</v>
      </c>
      <c r="G500" s="128">
        <v>1</v>
      </c>
      <c r="K500" s="86">
        <v>46073</v>
      </c>
      <c r="L500" s="126">
        <f t="shared" ref="L500:N533" si="179">B500+L499</f>
        <v>352.00000008000001</v>
      </c>
      <c r="M500" s="126">
        <f t="shared" si="179"/>
        <v>229.00000008000001</v>
      </c>
      <c r="N500" s="126">
        <f t="shared" si="179"/>
        <v>330</v>
      </c>
      <c r="O500" s="126">
        <f t="shared" si="178"/>
        <v>208</v>
      </c>
      <c r="P500" s="126">
        <f t="shared" si="178"/>
        <v>384</v>
      </c>
      <c r="Q500" s="126">
        <f t="shared" si="178"/>
        <v>390</v>
      </c>
      <c r="R500" s="126">
        <f t="shared" si="173"/>
        <v>6</v>
      </c>
      <c r="S500" s="1">
        <f t="shared" si="174"/>
        <v>1</v>
      </c>
      <c r="T500" s="126">
        <f t="shared" si="172"/>
        <v>6</v>
      </c>
      <c r="U500" s="126">
        <f t="shared" si="175"/>
        <v>1893.0000001600001</v>
      </c>
      <c r="W500" s="126">
        <f t="shared" si="176"/>
        <v>390</v>
      </c>
      <c r="X500" s="126">
        <f t="shared" si="177"/>
        <v>437.00000008000001</v>
      </c>
    </row>
    <row r="501" spans="1:24">
      <c r="A501" s="86">
        <v>46080</v>
      </c>
      <c r="B501" s="128">
        <v>1</v>
      </c>
      <c r="C501" s="128">
        <v>1</v>
      </c>
      <c r="D501" s="128">
        <v>1</v>
      </c>
      <c r="E501" s="128">
        <v>0</v>
      </c>
      <c r="F501" s="128">
        <v>1</v>
      </c>
      <c r="G501" s="128">
        <v>0</v>
      </c>
      <c r="K501" s="86">
        <v>46080</v>
      </c>
      <c r="L501" s="126">
        <f t="shared" si="179"/>
        <v>353.00000008000001</v>
      </c>
      <c r="M501" s="126">
        <f t="shared" si="179"/>
        <v>230.00000008000001</v>
      </c>
      <c r="N501" s="126">
        <f t="shared" si="179"/>
        <v>331</v>
      </c>
      <c r="O501" s="126">
        <f t="shared" si="178"/>
        <v>208</v>
      </c>
      <c r="P501" s="126">
        <f t="shared" si="178"/>
        <v>385</v>
      </c>
      <c r="Q501" s="126">
        <f t="shared" si="178"/>
        <v>390</v>
      </c>
      <c r="R501" s="126">
        <f t="shared" si="173"/>
        <v>5</v>
      </c>
      <c r="S501" s="1">
        <f t="shared" si="174"/>
        <v>1</v>
      </c>
      <c r="T501" s="227">
        <f t="shared" si="172"/>
        <v>5</v>
      </c>
      <c r="U501" s="126">
        <f t="shared" si="175"/>
        <v>1897.0000001600001</v>
      </c>
      <c r="W501" s="126">
        <f t="shared" si="176"/>
        <v>390</v>
      </c>
      <c r="X501" s="126">
        <f t="shared" si="177"/>
        <v>438.00000008000001</v>
      </c>
    </row>
    <row r="502" spans="1:24">
      <c r="A502" s="86">
        <v>46087</v>
      </c>
      <c r="B502" s="128">
        <v>1</v>
      </c>
      <c r="C502" s="128">
        <v>1</v>
      </c>
      <c r="D502" s="128">
        <v>0</v>
      </c>
      <c r="E502" s="128">
        <v>0</v>
      </c>
      <c r="F502" s="128">
        <v>1</v>
      </c>
      <c r="G502" s="128">
        <v>1</v>
      </c>
      <c r="K502" s="86">
        <v>46087</v>
      </c>
      <c r="L502" s="126">
        <f t="shared" si="179"/>
        <v>354.00000008000001</v>
      </c>
      <c r="M502" s="126">
        <f t="shared" si="179"/>
        <v>231.00000008000001</v>
      </c>
      <c r="N502" s="126">
        <f t="shared" si="179"/>
        <v>331</v>
      </c>
      <c r="O502" s="126">
        <f t="shared" si="178"/>
        <v>208</v>
      </c>
      <c r="P502" s="126">
        <f t="shared" si="178"/>
        <v>386</v>
      </c>
      <c r="Q502" s="126">
        <f t="shared" si="178"/>
        <v>391</v>
      </c>
      <c r="R502" s="126">
        <f t="shared" si="173"/>
        <v>5</v>
      </c>
      <c r="S502" s="1">
        <f t="shared" si="174"/>
        <v>1</v>
      </c>
      <c r="T502" s="227">
        <f t="shared" si="172"/>
        <v>5</v>
      </c>
      <c r="U502" s="126">
        <f t="shared" si="175"/>
        <v>1901.0000001600001</v>
      </c>
      <c r="W502" s="126">
        <f t="shared" si="176"/>
        <v>391</v>
      </c>
      <c r="X502" s="126">
        <f t="shared" si="177"/>
        <v>439.00000008000001</v>
      </c>
    </row>
    <row r="503" spans="1:24">
      <c r="A503" s="86">
        <v>46094</v>
      </c>
      <c r="B503" s="128">
        <v>1</v>
      </c>
      <c r="C503" s="128">
        <v>1</v>
      </c>
      <c r="D503" s="128">
        <v>1</v>
      </c>
      <c r="E503" s="128">
        <v>0</v>
      </c>
      <c r="F503" s="128">
        <v>1</v>
      </c>
      <c r="G503" s="128">
        <v>1</v>
      </c>
      <c r="K503" s="86">
        <v>46094</v>
      </c>
      <c r="L503" s="126">
        <f t="shared" si="179"/>
        <v>355.00000008000001</v>
      </c>
      <c r="M503" s="126">
        <f t="shared" si="179"/>
        <v>232.00000008000001</v>
      </c>
      <c r="N503" s="126">
        <f t="shared" si="179"/>
        <v>332</v>
      </c>
      <c r="O503" s="126">
        <f t="shared" si="178"/>
        <v>208</v>
      </c>
      <c r="P503" s="126">
        <f t="shared" si="178"/>
        <v>387</v>
      </c>
      <c r="Q503" s="126">
        <f t="shared" si="178"/>
        <v>392</v>
      </c>
      <c r="R503" s="126">
        <f t="shared" si="173"/>
        <v>5</v>
      </c>
      <c r="S503" s="1">
        <f t="shared" si="174"/>
        <v>1</v>
      </c>
      <c r="T503" s="227">
        <f t="shared" si="172"/>
        <v>5</v>
      </c>
      <c r="U503" s="126">
        <f t="shared" si="175"/>
        <v>1906.0000001600001</v>
      </c>
      <c r="W503" s="126">
        <f t="shared" si="176"/>
        <v>392</v>
      </c>
      <c r="X503" s="126">
        <f t="shared" si="177"/>
        <v>440.00000008000001</v>
      </c>
    </row>
    <row r="504" spans="1:24">
      <c r="A504" s="86">
        <v>46101</v>
      </c>
      <c r="B504" s="128">
        <v>0</v>
      </c>
      <c r="C504" s="128">
        <v>1</v>
      </c>
      <c r="D504" s="128">
        <v>0</v>
      </c>
      <c r="E504" s="128">
        <v>0</v>
      </c>
      <c r="F504" s="128">
        <v>0</v>
      </c>
      <c r="G504" s="128">
        <v>1</v>
      </c>
      <c r="K504" s="86">
        <v>46101</v>
      </c>
      <c r="L504" s="126">
        <f t="shared" si="179"/>
        <v>355.00000008000001</v>
      </c>
      <c r="M504" s="126">
        <f t="shared" si="179"/>
        <v>233.00000008000001</v>
      </c>
      <c r="N504" s="126">
        <f t="shared" si="179"/>
        <v>332</v>
      </c>
      <c r="O504" s="126">
        <f t="shared" si="178"/>
        <v>208</v>
      </c>
      <c r="P504" s="126">
        <f t="shared" si="178"/>
        <v>387</v>
      </c>
      <c r="Q504" s="126">
        <f t="shared" si="178"/>
        <v>393</v>
      </c>
      <c r="R504" s="126">
        <f t="shared" si="173"/>
        <v>6</v>
      </c>
      <c r="S504" s="1">
        <f t="shared" si="174"/>
        <v>1</v>
      </c>
      <c r="T504" s="126">
        <f t="shared" si="172"/>
        <v>6</v>
      </c>
      <c r="U504" s="126">
        <f t="shared" si="175"/>
        <v>1908.0000001600001</v>
      </c>
      <c r="W504" s="126">
        <f t="shared" si="176"/>
        <v>393</v>
      </c>
      <c r="X504" s="126">
        <f t="shared" si="177"/>
        <v>441.00000008000001</v>
      </c>
    </row>
    <row r="505" spans="1:24">
      <c r="A505" s="86">
        <v>46108</v>
      </c>
      <c r="B505" s="128">
        <v>1</v>
      </c>
      <c r="C505" s="128">
        <v>0</v>
      </c>
      <c r="D505" s="128">
        <v>1</v>
      </c>
      <c r="E505" s="128">
        <v>1</v>
      </c>
      <c r="F505" s="128">
        <v>1</v>
      </c>
      <c r="G505" s="128">
        <v>1</v>
      </c>
      <c r="K505" s="86">
        <v>46108</v>
      </c>
      <c r="L505" s="126">
        <f t="shared" si="179"/>
        <v>356.00000008000001</v>
      </c>
      <c r="M505" s="126">
        <f t="shared" si="179"/>
        <v>233.00000008000001</v>
      </c>
      <c r="N505" s="126">
        <f t="shared" si="179"/>
        <v>333</v>
      </c>
      <c r="O505" s="126">
        <f t="shared" si="178"/>
        <v>209</v>
      </c>
      <c r="P505" s="126">
        <f t="shared" si="178"/>
        <v>388</v>
      </c>
      <c r="Q505" s="126">
        <f t="shared" si="178"/>
        <v>394</v>
      </c>
      <c r="R505" s="126">
        <f t="shared" si="173"/>
        <v>6</v>
      </c>
      <c r="S505" s="1">
        <f t="shared" si="174"/>
        <v>1</v>
      </c>
      <c r="T505" s="126">
        <f t="shared" si="172"/>
        <v>6</v>
      </c>
      <c r="U505" s="126">
        <f t="shared" si="175"/>
        <v>1913.0000001600001</v>
      </c>
      <c r="W505" s="126">
        <f t="shared" si="176"/>
        <v>394</v>
      </c>
      <c r="X505" s="126">
        <f t="shared" si="177"/>
        <v>442.00000008000001</v>
      </c>
    </row>
    <row r="506" spans="1:24">
      <c r="A506" s="86">
        <v>46122</v>
      </c>
      <c r="B506" s="128">
        <v>1</v>
      </c>
      <c r="C506" s="128">
        <v>0</v>
      </c>
      <c r="D506" s="128">
        <v>0</v>
      </c>
      <c r="E506" s="128">
        <v>0</v>
      </c>
      <c r="F506" s="128">
        <v>1</v>
      </c>
      <c r="G506" s="128">
        <v>1</v>
      </c>
      <c r="K506" s="86">
        <v>46122</v>
      </c>
      <c r="L506" s="126">
        <f t="shared" si="179"/>
        <v>357.00000008000001</v>
      </c>
      <c r="M506" s="126">
        <f t="shared" si="179"/>
        <v>233.00000008000001</v>
      </c>
      <c r="N506" s="126">
        <f t="shared" si="179"/>
        <v>333</v>
      </c>
      <c r="O506" s="126">
        <f t="shared" si="178"/>
        <v>209</v>
      </c>
      <c r="P506" s="126">
        <f t="shared" si="178"/>
        <v>389</v>
      </c>
      <c r="Q506" s="126">
        <f t="shared" si="178"/>
        <v>395</v>
      </c>
      <c r="R506" s="126">
        <f t="shared" si="173"/>
        <v>6</v>
      </c>
      <c r="S506" s="1">
        <f t="shared" si="174"/>
        <v>1</v>
      </c>
      <c r="T506" s="126">
        <f t="shared" si="172"/>
        <v>6</v>
      </c>
      <c r="U506" s="126">
        <f t="shared" si="175"/>
        <v>1916.0000001600001</v>
      </c>
      <c r="W506" s="126">
        <f t="shared" si="176"/>
        <v>395</v>
      </c>
      <c r="X506" s="126">
        <f t="shared" si="177"/>
        <v>442.00000008000001</v>
      </c>
    </row>
    <row r="507" spans="1:24">
      <c r="A507" s="86">
        <v>46129</v>
      </c>
      <c r="B507" s="128">
        <v>0</v>
      </c>
      <c r="C507" s="128">
        <v>1</v>
      </c>
      <c r="D507" s="128">
        <v>0</v>
      </c>
      <c r="E507" s="128">
        <v>0</v>
      </c>
      <c r="F507" s="128">
        <v>1</v>
      </c>
      <c r="G507" s="128">
        <v>1</v>
      </c>
      <c r="K507" s="86">
        <v>46129</v>
      </c>
      <c r="L507" s="126">
        <f t="shared" si="179"/>
        <v>357.00000008000001</v>
      </c>
      <c r="M507" s="126">
        <f>C507+M506+1</f>
        <v>235.00000008000001</v>
      </c>
      <c r="N507" s="126">
        <f t="shared" si="179"/>
        <v>333</v>
      </c>
      <c r="O507" s="126">
        <f t="shared" si="178"/>
        <v>209</v>
      </c>
      <c r="P507" s="126">
        <f t="shared" si="178"/>
        <v>390</v>
      </c>
      <c r="Q507" s="126">
        <f t="shared" si="178"/>
        <v>396</v>
      </c>
      <c r="R507" s="126">
        <f t="shared" si="173"/>
        <v>6</v>
      </c>
      <c r="S507" s="1">
        <f t="shared" si="174"/>
        <v>1</v>
      </c>
      <c r="T507" s="126">
        <f t="shared" si="172"/>
        <v>6</v>
      </c>
      <c r="U507" s="126">
        <f t="shared" si="175"/>
        <v>1920.0000001600001</v>
      </c>
      <c r="W507" s="126">
        <f t="shared" si="176"/>
        <v>396</v>
      </c>
      <c r="X507" s="126">
        <f t="shared" si="177"/>
        <v>444.00000008000001</v>
      </c>
    </row>
    <row r="508" spans="1:24">
      <c r="A508" s="86">
        <v>46136</v>
      </c>
      <c r="B508" s="128">
        <v>0</v>
      </c>
      <c r="C508" s="128">
        <v>1</v>
      </c>
      <c r="D508" s="128">
        <v>1</v>
      </c>
      <c r="E508" s="128">
        <v>1</v>
      </c>
      <c r="F508" s="128">
        <v>1</v>
      </c>
      <c r="G508" s="128">
        <v>1</v>
      </c>
      <c r="K508" s="86">
        <v>46136</v>
      </c>
      <c r="L508" s="126">
        <f t="shared" si="179"/>
        <v>357.00000008000001</v>
      </c>
      <c r="M508" s="126">
        <f t="shared" si="179"/>
        <v>236.00000008000001</v>
      </c>
      <c r="N508" s="126">
        <f t="shared" si="179"/>
        <v>334</v>
      </c>
      <c r="O508" s="126">
        <f t="shared" si="178"/>
        <v>210</v>
      </c>
      <c r="P508" s="126">
        <f t="shared" si="178"/>
        <v>391</v>
      </c>
      <c r="Q508" s="126">
        <f t="shared" si="178"/>
        <v>397</v>
      </c>
      <c r="R508" s="126">
        <f t="shared" si="173"/>
        <v>6</v>
      </c>
      <c r="S508" s="1">
        <f t="shared" si="174"/>
        <v>1</v>
      </c>
      <c r="T508" s="126">
        <f t="shared" si="172"/>
        <v>6</v>
      </c>
      <c r="U508" s="126">
        <f t="shared" si="175"/>
        <v>1925.0000001600001</v>
      </c>
      <c r="W508" s="126">
        <f t="shared" si="176"/>
        <v>397</v>
      </c>
      <c r="X508" s="126">
        <f t="shared" si="177"/>
        <v>446.00000008000001</v>
      </c>
    </row>
    <row r="509" spans="1:24">
      <c r="A509" s="86">
        <v>46150</v>
      </c>
      <c r="B509" s="128">
        <v>1</v>
      </c>
      <c r="C509" s="128">
        <v>1</v>
      </c>
      <c r="D509" s="128">
        <v>1</v>
      </c>
      <c r="E509" s="128">
        <v>0</v>
      </c>
      <c r="F509" s="128">
        <v>0</v>
      </c>
      <c r="G509" s="128">
        <v>1</v>
      </c>
      <c r="K509" s="86">
        <v>46150</v>
      </c>
      <c r="L509" s="126">
        <f t="shared" si="179"/>
        <v>358.00000008000001</v>
      </c>
      <c r="M509" s="126">
        <f t="shared" si="179"/>
        <v>237.00000008000001</v>
      </c>
      <c r="N509" s="126">
        <f t="shared" si="179"/>
        <v>335</v>
      </c>
      <c r="O509" s="126">
        <f t="shared" si="178"/>
        <v>210</v>
      </c>
      <c r="P509" s="126">
        <f t="shared" si="178"/>
        <v>391</v>
      </c>
      <c r="Q509" s="126">
        <f t="shared" si="178"/>
        <v>398</v>
      </c>
      <c r="R509" s="126">
        <f t="shared" si="173"/>
        <v>7</v>
      </c>
      <c r="S509" s="1">
        <f t="shared" si="174"/>
        <v>1</v>
      </c>
      <c r="T509" s="126">
        <f t="shared" si="172"/>
        <v>7</v>
      </c>
      <c r="U509" s="126">
        <f t="shared" si="175"/>
        <v>1929.0000001600001</v>
      </c>
      <c r="W509" s="126">
        <f t="shared" si="176"/>
        <v>398</v>
      </c>
      <c r="X509" s="126">
        <f t="shared" si="177"/>
        <v>447.00000008000001</v>
      </c>
    </row>
    <row r="510" spans="1:24">
      <c r="A510" s="86">
        <v>46157</v>
      </c>
      <c r="B510" s="128">
        <v>0</v>
      </c>
      <c r="C510" s="128">
        <v>0</v>
      </c>
      <c r="D510" s="128">
        <v>1</v>
      </c>
      <c r="E510" s="128">
        <v>1</v>
      </c>
      <c r="F510" s="128">
        <v>1</v>
      </c>
      <c r="G510" s="128">
        <v>1</v>
      </c>
      <c r="K510" s="86">
        <v>46157</v>
      </c>
      <c r="L510" s="126">
        <f t="shared" si="179"/>
        <v>358.00000008000001</v>
      </c>
      <c r="M510" s="126">
        <f t="shared" si="179"/>
        <v>237.00000008000001</v>
      </c>
      <c r="N510" s="126">
        <f t="shared" si="179"/>
        <v>336</v>
      </c>
      <c r="O510" s="126">
        <f t="shared" si="178"/>
        <v>211</v>
      </c>
      <c r="P510" s="126">
        <f t="shared" si="178"/>
        <v>392</v>
      </c>
      <c r="Q510" s="126">
        <f t="shared" si="178"/>
        <v>399</v>
      </c>
      <c r="R510" s="126">
        <f t="shared" si="173"/>
        <v>7</v>
      </c>
      <c r="S510" s="1">
        <f t="shared" si="174"/>
        <v>1</v>
      </c>
      <c r="T510" s="126">
        <f t="shared" si="172"/>
        <v>7</v>
      </c>
      <c r="U510" s="126">
        <f t="shared" si="175"/>
        <v>1933.0000001600001</v>
      </c>
      <c r="W510" s="126">
        <f t="shared" si="176"/>
        <v>399</v>
      </c>
      <c r="X510" s="126">
        <f t="shared" si="177"/>
        <v>448.00000008000001</v>
      </c>
    </row>
    <row r="511" spans="1:24">
      <c r="A511" s="86">
        <v>46164</v>
      </c>
      <c r="B511" s="128">
        <v>0</v>
      </c>
      <c r="C511" s="128">
        <v>0</v>
      </c>
      <c r="D511" s="128">
        <v>0</v>
      </c>
      <c r="E511" s="128">
        <v>0</v>
      </c>
      <c r="F511" s="128">
        <v>0</v>
      </c>
      <c r="G511" s="128">
        <v>1</v>
      </c>
      <c r="K511" s="86">
        <v>46164</v>
      </c>
      <c r="L511" s="126">
        <f t="shared" si="179"/>
        <v>358.00000008000001</v>
      </c>
      <c r="M511" s="126">
        <f t="shared" si="179"/>
        <v>237.00000008000001</v>
      </c>
      <c r="N511" s="126">
        <f t="shared" si="179"/>
        <v>336</v>
      </c>
      <c r="O511" s="126">
        <f t="shared" si="178"/>
        <v>211</v>
      </c>
      <c r="P511" s="126">
        <f t="shared" si="178"/>
        <v>392</v>
      </c>
      <c r="Q511" s="126">
        <f t="shared" si="178"/>
        <v>400</v>
      </c>
      <c r="R511" s="126">
        <f t="shared" si="173"/>
        <v>8</v>
      </c>
      <c r="S511" s="1">
        <f t="shared" si="174"/>
        <v>1</v>
      </c>
      <c r="T511" s="126">
        <f t="shared" si="172"/>
        <v>8</v>
      </c>
      <c r="U511" s="126">
        <f t="shared" si="175"/>
        <v>1934.0000001600001</v>
      </c>
      <c r="W511" s="126">
        <f t="shared" si="176"/>
        <v>400</v>
      </c>
      <c r="X511" s="126">
        <f t="shared" si="177"/>
        <v>448.00000008000001</v>
      </c>
    </row>
    <row r="512" spans="1:24">
      <c r="A512" s="86">
        <v>46171</v>
      </c>
      <c r="B512" s="128">
        <v>1</v>
      </c>
      <c r="C512" s="128">
        <v>0</v>
      </c>
      <c r="D512" s="128">
        <v>0</v>
      </c>
      <c r="E512" s="128">
        <v>0</v>
      </c>
      <c r="F512" s="128">
        <v>0</v>
      </c>
      <c r="G512" s="128">
        <v>1</v>
      </c>
      <c r="K512" s="86">
        <v>46171</v>
      </c>
      <c r="L512" s="126">
        <f t="shared" si="179"/>
        <v>359.00000008000001</v>
      </c>
      <c r="M512" s="126">
        <f t="shared" si="179"/>
        <v>237.00000008000001</v>
      </c>
      <c r="N512" s="126">
        <f t="shared" si="179"/>
        <v>336</v>
      </c>
      <c r="O512" s="126">
        <f t="shared" si="178"/>
        <v>211</v>
      </c>
      <c r="P512" s="126">
        <f t="shared" si="178"/>
        <v>392</v>
      </c>
      <c r="Q512" s="126">
        <f t="shared" si="178"/>
        <v>401</v>
      </c>
      <c r="R512" s="126">
        <f t="shared" si="173"/>
        <v>9</v>
      </c>
      <c r="S512" s="1">
        <f t="shared" si="174"/>
        <v>1</v>
      </c>
      <c r="T512" s="126">
        <f t="shared" si="172"/>
        <v>9</v>
      </c>
      <c r="U512" s="126">
        <f t="shared" si="175"/>
        <v>1936.0000001600001</v>
      </c>
      <c r="W512" s="126">
        <f t="shared" si="176"/>
        <v>401</v>
      </c>
      <c r="X512" s="126">
        <f t="shared" si="177"/>
        <v>448.00000008000001</v>
      </c>
    </row>
    <row r="513" spans="1:24">
      <c r="A513" s="86">
        <v>46178</v>
      </c>
      <c r="B513" s="128">
        <v>0</v>
      </c>
      <c r="C513" s="128">
        <v>0</v>
      </c>
      <c r="D513" s="128">
        <v>0</v>
      </c>
      <c r="E513" s="128">
        <v>1</v>
      </c>
      <c r="F513" s="128">
        <v>1</v>
      </c>
      <c r="G513" s="128">
        <v>0</v>
      </c>
      <c r="K513" s="86">
        <v>46178</v>
      </c>
      <c r="L513" s="126">
        <f t="shared" si="179"/>
        <v>359.00000008000001</v>
      </c>
      <c r="M513" s="126">
        <f t="shared" si="179"/>
        <v>237.00000008000001</v>
      </c>
      <c r="N513" s="126">
        <f t="shared" si="179"/>
        <v>336</v>
      </c>
      <c r="O513" s="126">
        <f t="shared" si="178"/>
        <v>212</v>
      </c>
      <c r="P513" s="126">
        <f t="shared" si="178"/>
        <v>393</v>
      </c>
      <c r="Q513" s="126">
        <f t="shared" si="178"/>
        <v>401</v>
      </c>
      <c r="R513" s="126">
        <f t="shared" si="173"/>
        <v>8</v>
      </c>
      <c r="S513" s="1">
        <f t="shared" si="174"/>
        <v>1</v>
      </c>
      <c r="T513" s="126">
        <f t="shared" ref="T513:T533" si="180">Q513-MAX(L513:P513)</f>
        <v>8</v>
      </c>
      <c r="U513" s="126">
        <f t="shared" si="175"/>
        <v>1938.0000001600001</v>
      </c>
      <c r="W513" s="126">
        <f t="shared" si="176"/>
        <v>401</v>
      </c>
      <c r="X513" s="126">
        <f t="shared" si="177"/>
        <v>449.00000008000001</v>
      </c>
    </row>
    <row r="514" spans="1:24">
      <c r="A514" s="86">
        <v>46185</v>
      </c>
      <c r="B514" s="128">
        <v>0</v>
      </c>
      <c r="C514" s="128">
        <v>0</v>
      </c>
      <c r="D514" s="128">
        <v>0</v>
      </c>
      <c r="E514" s="128">
        <v>1</v>
      </c>
      <c r="F514" s="128">
        <v>0</v>
      </c>
      <c r="G514" s="128">
        <v>1</v>
      </c>
      <c r="K514" s="86">
        <v>46185</v>
      </c>
      <c r="L514" s="126">
        <f t="shared" si="179"/>
        <v>359.00000008000001</v>
      </c>
      <c r="M514" s="126">
        <f t="shared" si="179"/>
        <v>237.00000008000001</v>
      </c>
      <c r="N514" s="126">
        <f t="shared" si="179"/>
        <v>336</v>
      </c>
      <c r="O514" s="126">
        <f t="shared" si="178"/>
        <v>213</v>
      </c>
      <c r="P514" s="126">
        <f t="shared" si="178"/>
        <v>393</v>
      </c>
      <c r="Q514" s="126">
        <f t="shared" si="178"/>
        <v>402</v>
      </c>
      <c r="R514" s="126">
        <f t="shared" si="173"/>
        <v>9</v>
      </c>
      <c r="S514" s="1">
        <f t="shared" si="174"/>
        <v>1</v>
      </c>
      <c r="T514" s="126">
        <f t="shared" si="180"/>
        <v>9</v>
      </c>
      <c r="U514" s="126">
        <f t="shared" si="175"/>
        <v>1940.0000001600001</v>
      </c>
      <c r="W514" s="126">
        <f t="shared" si="176"/>
        <v>402</v>
      </c>
      <c r="X514" s="126">
        <f t="shared" si="177"/>
        <v>450.00000008000001</v>
      </c>
    </row>
    <row r="515" spans="1:24">
      <c r="A515" s="86">
        <v>46192</v>
      </c>
      <c r="B515" s="128">
        <v>0</v>
      </c>
      <c r="C515" s="128">
        <v>0</v>
      </c>
      <c r="D515" s="128">
        <v>0</v>
      </c>
      <c r="E515" s="128">
        <v>1</v>
      </c>
      <c r="F515" s="128">
        <v>0</v>
      </c>
      <c r="G515" s="128">
        <v>1</v>
      </c>
      <c r="K515" s="86">
        <v>46192</v>
      </c>
      <c r="L515" s="126">
        <f t="shared" si="179"/>
        <v>359.00000008000001</v>
      </c>
      <c r="M515" s="126">
        <f t="shared" si="179"/>
        <v>237.00000008000001</v>
      </c>
      <c r="N515" s="126">
        <f t="shared" si="179"/>
        <v>336</v>
      </c>
      <c r="O515" s="126">
        <f t="shared" si="178"/>
        <v>214</v>
      </c>
      <c r="P515" s="126">
        <f t="shared" si="178"/>
        <v>393</v>
      </c>
      <c r="Q515" s="126">
        <f t="shared" si="178"/>
        <v>403</v>
      </c>
      <c r="R515" s="126">
        <f t="shared" si="173"/>
        <v>10</v>
      </c>
      <c r="S515" s="1">
        <f t="shared" si="174"/>
        <v>1</v>
      </c>
      <c r="T515" s="126">
        <f t="shared" si="180"/>
        <v>10</v>
      </c>
      <c r="U515" s="126">
        <f t="shared" si="175"/>
        <v>1942.0000001600001</v>
      </c>
      <c r="W515" s="126">
        <f t="shared" si="176"/>
        <v>403</v>
      </c>
      <c r="X515" s="126">
        <f t="shared" si="177"/>
        <v>451.00000008000001</v>
      </c>
    </row>
    <row r="516" spans="1:24">
      <c r="A516" s="86">
        <v>46199</v>
      </c>
      <c r="B516" s="128">
        <v>1</v>
      </c>
      <c r="C516" s="128">
        <v>0</v>
      </c>
      <c r="D516" s="128">
        <v>0</v>
      </c>
      <c r="E516" s="128">
        <v>0</v>
      </c>
      <c r="F516" s="128">
        <v>1</v>
      </c>
      <c r="G516" s="128">
        <v>1</v>
      </c>
      <c r="K516" s="86">
        <v>46199</v>
      </c>
      <c r="L516" s="126">
        <f t="shared" si="179"/>
        <v>360.00000008000001</v>
      </c>
      <c r="M516" s="126">
        <f t="shared" si="179"/>
        <v>237.00000008000001</v>
      </c>
      <c r="N516" s="126">
        <f t="shared" si="179"/>
        <v>336</v>
      </c>
      <c r="O516" s="126">
        <f t="shared" si="178"/>
        <v>214</v>
      </c>
      <c r="P516" s="126">
        <f t="shared" si="178"/>
        <v>394</v>
      </c>
      <c r="Q516" s="126">
        <f t="shared" si="178"/>
        <v>404</v>
      </c>
      <c r="R516" s="126">
        <f t="shared" si="173"/>
        <v>10</v>
      </c>
      <c r="S516" s="1">
        <f t="shared" si="174"/>
        <v>1</v>
      </c>
      <c r="T516" s="126">
        <f t="shared" si="180"/>
        <v>10</v>
      </c>
      <c r="U516" s="126">
        <f t="shared" si="175"/>
        <v>1945.0000001600001</v>
      </c>
      <c r="W516" s="126">
        <f t="shared" si="176"/>
        <v>404</v>
      </c>
      <c r="X516" s="126">
        <f t="shared" si="177"/>
        <v>451.00000008000001</v>
      </c>
    </row>
    <row r="517" spans="1:24">
      <c r="A517" s="86">
        <v>46206</v>
      </c>
      <c r="B517" s="128">
        <v>1</v>
      </c>
      <c r="C517" s="128">
        <v>0</v>
      </c>
      <c r="D517" s="128">
        <v>1</v>
      </c>
      <c r="E517" s="128">
        <v>0</v>
      </c>
      <c r="F517" s="128">
        <v>1</v>
      </c>
      <c r="G517" s="128">
        <v>1</v>
      </c>
      <c r="K517" s="86">
        <v>46206</v>
      </c>
      <c r="L517" s="126">
        <f t="shared" si="179"/>
        <v>361.00000008000001</v>
      </c>
      <c r="M517" s="126">
        <f t="shared" si="179"/>
        <v>237.00000008000001</v>
      </c>
      <c r="N517" s="126">
        <f t="shared" si="179"/>
        <v>337</v>
      </c>
      <c r="O517" s="126">
        <f t="shared" si="178"/>
        <v>214</v>
      </c>
      <c r="P517" s="126">
        <f t="shared" si="178"/>
        <v>395</v>
      </c>
      <c r="Q517" s="126">
        <f t="shared" si="178"/>
        <v>405</v>
      </c>
      <c r="R517" s="126">
        <f t="shared" si="173"/>
        <v>10</v>
      </c>
      <c r="S517" s="1">
        <f t="shared" si="174"/>
        <v>1</v>
      </c>
      <c r="T517" s="126">
        <f t="shared" si="180"/>
        <v>10</v>
      </c>
      <c r="U517" s="126">
        <f t="shared" si="175"/>
        <v>1949.0000001600001</v>
      </c>
      <c r="W517" s="126">
        <f t="shared" si="176"/>
        <v>405</v>
      </c>
      <c r="X517" s="126">
        <f t="shared" si="177"/>
        <v>451.00000008000001</v>
      </c>
    </row>
    <row r="518" spans="1:24">
      <c r="A518" s="86">
        <v>46213</v>
      </c>
      <c r="B518" s="128">
        <v>1</v>
      </c>
      <c r="C518" s="128">
        <v>0</v>
      </c>
      <c r="D518" s="128">
        <v>1</v>
      </c>
      <c r="E518" s="128">
        <v>1</v>
      </c>
      <c r="F518" s="128">
        <v>1</v>
      </c>
      <c r="G518" s="128">
        <v>1</v>
      </c>
      <c r="K518" s="86">
        <v>46213</v>
      </c>
      <c r="L518" s="126">
        <f t="shared" si="179"/>
        <v>362.00000008000001</v>
      </c>
      <c r="M518" s="126">
        <f t="shared" si="179"/>
        <v>237.00000008000001</v>
      </c>
      <c r="N518" s="126">
        <f t="shared" si="179"/>
        <v>338</v>
      </c>
      <c r="O518" s="126">
        <f t="shared" si="178"/>
        <v>215</v>
      </c>
      <c r="P518" s="126">
        <f t="shared" si="178"/>
        <v>396</v>
      </c>
      <c r="Q518" s="126">
        <f t="shared" si="178"/>
        <v>406</v>
      </c>
      <c r="R518" s="126">
        <f t="shared" si="173"/>
        <v>10</v>
      </c>
      <c r="S518" s="1">
        <f t="shared" si="174"/>
        <v>1</v>
      </c>
      <c r="T518" s="126">
        <f t="shared" si="180"/>
        <v>10</v>
      </c>
      <c r="U518" s="126">
        <f t="shared" si="175"/>
        <v>1954.0000001600001</v>
      </c>
      <c r="W518" s="126">
        <f t="shared" si="176"/>
        <v>406</v>
      </c>
      <c r="X518" s="126">
        <f t="shared" si="177"/>
        <v>452.00000008000001</v>
      </c>
    </row>
    <row r="519" spans="1:24">
      <c r="A519" s="86">
        <v>46220</v>
      </c>
      <c r="B519" s="128">
        <v>1</v>
      </c>
      <c r="C519" s="128">
        <v>0</v>
      </c>
      <c r="D519" s="128">
        <v>0</v>
      </c>
      <c r="E519" s="128">
        <v>1</v>
      </c>
      <c r="F519" s="128">
        <v>1</v>
      </c>
      <c r="G519" s="128">
        <v>0</v>
      </c>
      <c r="K519" s="86">
        <v>46220</v>
      </c>
      <c r="L519" s="126">
        <f t="shared" si="179"/>
        <v>363.00000008000001</v>
      </c>
      <c r="M519" s="126">
        <f t="shared" si="179"/>
        <v>237.00000008000001</v>
      </c>
      <c r="N519" s="126">
        <f t="shared" si="179"/>
        <v>338</v>
      </c>
      <c r="O519" s="126">
        <f t="shared" si="178"/>
        <v>216</v>
      </c>
      <c r="P519" s="126">
        <f t="shared" si="178"/>
        <v>397</v>
      </c>
      <c r="Q519" s="126">
        <f t="shared" si="178"/>
        <v>406</v>
      </c>
      <c r="R519" s="126">
        <f t="shared" si="173"/>
        <v>9</v>
      </c>
      <c r="S519" s="1">
        <f t="shared" si="174"/>
        <v>1</v>
      </c>
      <c r="T519" s="126">
        <f t="shared" si="180"/>
        <v>9</v>
      </c>
      <c r="U519" s="126">
        <f t="shared" si="175"/>
        <v>1957.0000001600001</v>
      </c>
      <c r="W519" s="126">
        <f t="shared" si="176"/>
        <v>406</v>
      </c>
      <c r="X519" s="126">
        <f t="shared" si="177"/>
        <v>453.00000008000001</v>
      </c>
    </row>
    <row r="520" spans="1:24">
      <c r="A520" s="86">
        <v>46227</v>
      </c>
      <c r="B520" s="128">
        <v>1</v>
      </c>
      <c r="C520" s="128">
        <v>0</v>
      </c>
      <c r="D520" s="128">
        <v>0</v>
      </c>
      <c r="E520" s="128">
        <v>0</v>
      </c>
      <c r="F520" s="128">
        <v>1</v>
      </c>
      <c r="G520" s="128">
        <v>1</v>
      </c>
      <c r="K520" s="86">
        <v>46227</v>
      </c>
      <c r="L520" s="126">
        <f t="shared" si="179"/>
        <v>364.00000008000001</v>
      </c>
      <c r="M520" s="126">
        <f t="shared" si="179"/>
        <v>237.00000008000001</v>
      </c>
      <c r="N520" s="126">
        <f t="shared" si="179"/>
        <v>338</v>
      </c>
      <c r="O520" s="126">
        <f t="shared" si="178"/>
        <v>216</v>
      </c>
      <c r="P520" s="126">
        <f t="shared" si="178"/>
        <v>398</v>
      </c>
      <c r="Q520" s="126">
        <f t="shared" si="178"/>
        <v>407</v>
      </c>
      <c r="R520" s="126">
        <f t="shared" si="173"/>
        <v>9</v>
      </c>
      <c r="S520" s="1">
        <f t="shared" si="174"/>
        <v>1</v>
      </c>
      <c r="T520" s="126">
        <f t="shared" si="180"/>
        <v>9</v>
      </c>
      <c r="U520" s="126">
        <f t="shared" si="175"/>
        <v>1960.0000001600001</v>
      </c>
      <c r="W520" s="126">
        <f t="shared" si="176"/>
        <v>407</v>
      </c>
      <c r="X520" s="126">
        <f t="shared" si="177"/>
        <v>453.00000008000001</v>
      </c>
    </row>
    <row r="521" spans="1:24">
      <c r="A521" s="86">
        <v>46234</v>
      </c>
      <c r="B521" s="128">
        <v>1</v>
      </c>
      <c r="C521" s="128">
        <v>1</v>
      </c>
      <c r="D521" s="128">
        <v>0</v>
      </c>
      <c r="E521" s="128">
        <v>0</v>
      </c>
      <c r="F521" s="128">
        <v>1</v>
      </c>
      <c r="G521" s="128">
        <v>1</v>
      </c>
      <c r="K521" s="86">
        <v>46234</v>
      </c>
      <c r="L521" s="126">
        <f t="shared" si="179"/>
        <v>365.00000008000001</v>
      </c>
      <c r="M521" s="126">
        <f t="shared" si="179"/>
        <v>238.00000008000001</v>
      </c>
      <c r="N521" s="126">
        <f t="shared" si="179"/>
        <v>338</v>
      </c>
      <c r="O521" s="126">
        <f t="shared" si="178"/>
        <v>216</v>
      </c>
      <c r="P521" s="126">
        <f t="shared" si="178"/>
        <v>399</v>
      </c>
      <c r="Q521" s="126">
        <f t="shared" si="178"/>
        <v>408</v>
      </c>
      <c r="R521" s="126">
        <f t="shared" si="173"/>
        <v>9</v>
      </c>
      <c r="S521" s="1">
        <f t="shared" si="174"/>
        <v>1</v>
      </c>
      <c r="T521" s="126">
        <f t="shared" si="180"/>
        <v>9</v>
      </c>
      <c r="U521" s="126">
        <f t="shared" si="175"/>
        <v>1964.0000001600001</v>
      </c>
      <c r="W521" s="126">
        <f t="shared" si="176"/>
        <v>408</v>
      </c>
      <c r="X521" s="126">
        <f t="shared" si="177"/>
        <v>454.00000008000001</v>
      </c>
    </row>
    <row r="522" spans="1:24">
      <c r="A522" s="86">
        <v>46241</v>
      </c>
      <c r="B522" s="128">
        <v>0</v>
      </c>
      <c r="C522" s="128">
        <v>0</v>
      </c>
      <c r="D522" s="128">
        <v>0</v>
      </c>
      <c r="E522" s="128">
        <v>1</v>
      </c>
      <c r="F522" s="128">
        <v>1</v>
      </c>
      <c r="G522" s="128">
        <v>1</v>
      </c>
      <c r="K522" s="86">
        <v>46241</v>
      </c>
      <c r="L522" s="126">
        <f t="shared" si="179"/>
        <v>365.00000008000001</v>
      </c>
      <c r="M522" s="126">
        <f t="shared" si="179"/>
        <v>238.00000008000001</v>
      </c>
      <c r="N522" s="126">
        <f t="shared" si="179"/>
        <v>338</v>
      </c>
      <c r="O522" s="126">
        <f t="shared" si="178"/>
        <v>217</v>
      </c>
      <c r="P522" s="126">
        <f t="shared" si="178"/>
        <v>400</v>
      </c>
      <c r="Q522" s="126">
        <f t="shared" si="178"/>
        <v>409</v>
      </c>
      <c r="R522" s="126">
        <f t="shared" si="173"/>
        <v>9</v>
      </c>
      <c r="S522" s="1">
        <f t="shared" si="174"/>
        <v>1</v>
      </c>
      <c r="T522" s="126">
        <f t="shared" si="180"/>
        <v>9</v>
      </c>
      <c r="U522" s="126">
        <f t="shared" si="175"/>
        <v>1967.0000001600001</v>
      </c>
      <c r="W522" s="126">
        <f t="shared" si="176"/>
        <v>409</v>
      </c>
      <c r="X522" s="126">
        <f t="shared" si="177"/>
        <v>455.00000008000001</v>
      </c>
    </row>
    <row r="523" spans="1:24">
      <c r="A523" s="86">
        <v>46248</v>
      </c>
      <c r="B523" s="128">
        <v>0</v>
      </c>
      <c r="C523" s="128">
        <v>0</v>
      </c>
      <c r="D523" s="128">
        <v>1</v>
      </c>
      <c r="E523" s="128">
        <v>1</v>
      </c>
      <c r="F523" s="128">
        <v>1</v>
      </c>
      <c r="G523" s="128">
        <v>1</v>
      </c>
      <c r="K523" s="86">
        <v>46248</v>
      </c>
      <c r="L523" s="126">
        <f t="shared" si="179"/>
        <v>365.00000008000001</v>
      </c>
      <c r="M523" s="126">
        <f t="shared" si="179"/>
        <v>238.00000008000001</v>
      </c>
      <c r="N523" s="126">
        <f t="shared" si="179"/>
        <v>339</v>
      </c>
      <c r="O523" s="126">
        <f t="shared" si="178"/>
        <v>218</v>
      </c>
      <c r="P523" s="126">
        <f t="shared" si="178"/>
        <v>401</v>
      </c>
      <c r="Q523" s="126">
        <f t="shared" si="178"/>
        <v>410</v>
      </c>
      <c r="R523" s="126">
        <f t="shared" si="173"/>
        <v>9</v>
      </c>
      <c r="S523" s="1">
        <f t="shared" si="174"/>
        <v>1</v>
      </c>
      <c r="T523" s="126">
        <f t="shared" si="180"/>
        <v>9</v>
      </c>
      <c r="U523" s="126">
        <f t="shared" si="175"/>
        <v>1971.0000001600001</v>
      </c>
      <c r="W523" s="126">
        <f t="shared" si="176"/>
        <v>410</v>
      </c>
      <c r="X523" s="126">
        <f t="shared" si="177"/>
        <v>456.00000008000001</v>
      </c>
    </row>
    <row r="524" spans="1:24">
      <c r="A524" s="86">
        <v>46255</v>
      </c>
      <c r="B524" s="128">
        <v>0</v>
      </c>
      <c r="C524" s="128">
        <v>0</v>
      </c>
      <c r="D524" s="128">
        <v>0</v>
      </c>
      <c r="E524" s="128">
        <v>1</v>
      </c>
      <c r="F524" s="128">
        <v>1</v>
      </c>
      <c r="G524" s="128">
        <v>0</v>
      </c>
      <c r="K524" s="86">
        <v>46255</v>
      </c>
      <c r="L524" s="126">
        <f t="shared" si="179"/>
        <v>365.00000008000001</v>
      </c>
      <c r="M524" s="126">
        <f t="shared" si="179"/>
        <v>238.00000008000001</v>
      </c>
      <c r="N524" s="126">
        <f t="shared" si="179"/>
        <v>339</v>
      </c>
      <c r="O524" s="126">
        <f t="shared" si="178"/>
        <v>219</v>
      </c>
      <c r="P524" s="126">
        <f t="shared" si="178"/>
        <v>402</v>
      </c>
      <c r="Q524" s="126">
        <f t="shared" si="178"/>
        <v>410</v>
      </c>
      <c r="R524" s="126">
        <f t="shared" si="173"/>
        <v>8</v>
      </c>
      <c r="S524" s="1">
        <f t="shared" si="174"/>
        <v>1</v>
      </c>
      <c r="T524" s="126">
        <f t="shared" si="180"/>
        <v>8</v>
      </c>
      <c r="U524" s="126">
        <f t="shared" si="175"/>
        <v>1973.0000001600001</v>
      </c>
      <c r="W524" s="126">
        <f t="shared" si="176"/>
        <v>410</v>
      </c>
      <c r="X524" s="126">
        <f t="shared" si="177"/>
        <v>457.00000008000001</v>
      </c>
    </row>
    <row r="525" spans="1:24">
      <c r="A525" s="86">
        <v>46262</v>
      </c>
      <c r="B525" s="128">
        <v>0</v>
      </c>
      <c r="C525" s="128">
        <v>0</v>
      </c>
      <c r="D525" s="128">
        <v>1</v>
      </c>
      <c r="E525" s="128">
        <v>1</v>
      </c>
      <c r="F525" s="128">
        <v>1</v>
      </c>
      <c r="G525" s="128">
        <v>1</v>
      </c>
      <c r="K525" s="86">
        <v>46262</v>
      </c>
      <c r="L525" s="126">
        <f t="shared" si="179"/>
        <v>365.00000008000001</v>
      </c>
      <c r="M525" s="126">
        <f t="shared" si="179"/>
        <v>238.00000008000001</v>
      </c>
      <c r="N525" s="126">
        <f t="shared" si="179"/>
        <v>340</v>
      </c>
      <c r="O525" s="126">
        <f t="shared" si="178"/>
        <v>220</v>
      </c>
      <c r="P525" s="126">
        <f t="shared" si="178"/>
        <v>403</v>
      </c>
      <c r="Q525" s="126">
        <f t="shared" si="178"/>
        <v>411</v>
      </c>
      <c r="R525" s="126">
        <f t="shared" si="173"/>
        <v>8</v>
      </c>
      <c r="S525" s="1">
        <f t="shared" si="174"/>
        <v>1</v>
      </c>
      <c r="T525" s="126">
        <f t="shared" si="180"/>
        <v>8</v>
      </c>
      <c r="U525" s="126">
        <f t="shared" si="175"/>
        <v>1977.0000001600001</v>
      </c>
      <c r="W525" s="126">
        <f t="shared" si="176"/>
        <v>411</v>
      </c>
      <c r="X525" s="126">
        <f t="shared" si="177"/>
        <v>458.00000008000001</v>
      </c>
    </row>
    <row r="526" spans="1:24">
      <c r="A526" s="86">
        <v>46269</v>
      </c>
      <c r="B526" s="128">
        <v>1</v>
      </c>
      <c r="C526" s="128">
        <v>0</v>
      </c>
      <c r="D526" s="128">
        <v>0</v>
      </c>
      <c r="E526" s="128">
        <v>1</v>
      </c>
      <c r="F526" s="128">
        <v>0</v>
      </c>
      <c r="G526" s="128">
        <v>1</v>
      </c>
      <c r="K526" s="86">
        <v>46269</v>
      </c>
      <c r="L526" s="126">
        <f t="shared" si="179"/>
        <v>366.00000008000001</v>
      </c>
      <c r="M526" s="126">
        <f t="shared" si="179"/>
        <v>238.00000008000001</v>
      </c>
      <c r="N526" s="126">
        <f t="shared" si="179"/>
        <v>340</v>
      </c>
      <c r="O526" s="126">
        <f t="shared" si="178"/>
        <v>221</v>
      </c>
      <c r="P526" s="126">
        <f t="shared" si="178"/>
        <v>403</v>
      </c>
      <c r="Q526" s="126">
        <f t="shared" si="178"/>
        <v>412</v>
      </c>
      <c r="R526" s="126">
        <f t="shared" si="173"/>
        <v>9</v>
      </c>
      <c r="S526" s="1">
        <f t="shared" si="174"/>
        <v>1</v>
      </c>
      <c r="T526" s="126">
        <f t="shared" si="180"/>
        <v>9</v>
      </c>
      <c r="U526" s="126">
        <f t="shared" si="175"/>
        <v>1980.0000001600001</v>
      </c>
      <c r="W526" s="126">
        <f t="shared" si="176"/>
        <v>412</v>
      </c>
      <c r="X526" s="126">
        <f t="shared" si="177"/>
        <v>459.00000008000001</v>
      </c>
    </row>
    <row r="527" spans="1:24">
      <c r="A527" s="86">
        <v>46276</v>
      </c>
      <c r="B527" s="128">
        <v>0</v>
      </c>
      <c r="C527" s="128">
        <v>0</v>
      </c>
      <c r="D527" s="128">
        <v>0</v>
      </c>
      <c r="E527" s="128">
        <v>1</v>
      </c>
      <c r="F527" s="128">
        <v>1</v>
      </c>
      <c r="G527" s="128">
        <v>1</v>
      </c>
      <c r="K527" s="86">
        <v>46276</v>
      </c>
      <c r="L527" s="126">
        <f t="shared" si="179"/>
        <v>366.00000008000001</v>
      </c>
      <c r="M527" s="126">
        <f t="shared" si="179"/>
        <v>238.00000008000001</v>
      </c>
      <c r="N527" s="126">
        <f t="shared" si="179"/>
        <v>340</v>
      </c>
      <c r="O527" s="126">
        <f t="shared" si="178"/>
        <v>222</v>
      </c>
      <c r="P527" s="126">
        <f t="shared" si="178"/>
        <v>404</v>
      </c>
      <c r="Q527" s="126">
        <f t="shared" si="178"/>
        <v>413</v>
      </c>
      <c r="R527" s="126">
        <f t="shared" si="173"/>
        <v>9</v>
      </c>
      <c r="S527" s="1">
        <f t="shared" si="174"/>
        <v>1</v>
      </c>
      <c r="T527" s="126">
        <f t="shared" si="180"/>
        <v>9</v>
      </c>
      <c r="U527" s="126">
        <f t="shared" si="175"/>
        <v>1983.0000001600001</v>
      </c>
      <c r="W527" s="126">
        <f t="shared" si="176"/>
        <v>413</v>
      </c>
      <c r="X527" s="126">
        <f t="shared" si="177"/>
        <v>460.00000008000001</v>
      </c>
    </row>
    <row r="528" spans="1:24">
      <c r="A528" s="86">
        <v>46283</v>
      </c>
      <c r="B528" s="128">
        <v>0</v>
      </c>
      <c r="C528" s="128">
        <v>0</v>
      </c>
      <c r="D528" s="128">
        <v>0</v>
      </c>
      <c r="E528" s="128">
        <v>1</v>
      </c>
      <c r="F528" s="128">
        <v>0</v>
      </c>
      <c r="G528" s="128">
        <v>0</v>
      </c>
      <c r="K528" s="86">
        <v>46283</v>
      </c>
      <c r="L528" s="126">
        <f t="shared" si="179"/>
        <v>366.00000008000001</v>
      </c>
      <c r="M528" s="126">
        <f t="shared" si="179"/>
        <v>238.00000008000001</v>
      </c>
      <c r="N528" s="126">
        <f t="shared" si="179"/>
        <v>340</v>
      </c>
      <c r="O528" s="126">
        <f t="shared" si="178"/>
        <v>223</v>
      </c>
      <c r="P528" s="126">
        <f t="shared" si="178"/>
        <v>404</v>
      </c>
      <c r="Q528" s="126">
        <f t="shared" si="178"/>
        <v>413</v>
      </c>
      <c r="R528" s="126">
        <f t="shared" si="173"/>
        <v>9</v>
      </c>
      <c r="S528" s="1">
        <f t="shared" si="174"/>
        <v>1</v>
      </c>
      <c r="T528" s="126">
        <f t="shared" si="180"/>
        <v>9</v>
      </c>
      <c r="U528" s="126">
        <f t="shared" si="175"/>
        <v>1984.0000001600001</v>
      </c>
      <c r="W528" s="126">
        <f t="shared" si="176"/>
        <v>413</v>
      </c>
      <c r="X528" s="126">
        <f t="shared" si="177"/>
        <v>461.00000008000001</v>
      </c>
    </row>
    <row r="529" spans="1:24">
      <c r="A529" s="86">
        <v>46290</v>
      </c>
      <c r="B529" s="128">
        <v>1</v>
      </c>
      <c r="C529" s="128">
        <v>0</v>
      </c>
      <c r="D529" s="128">
        <v>1</v>
      </c>
      <c r="E529" s="128">
        <v>0</v>
      </c>
      <c r="F529" s="128">
        <v>1</v>
      </c>
      <c r="G529" s="128">
        <v>0</v>
      </c>
      <c r="K529" s="86">
        <v>46290</v>
      </c>
      <c r="L529" s="126">
        <f t="shared" si="179"/>
        <v>367.00000008000001</v>
      </c>
      <c r="M529" s="126">
        <f t="shared" si="179"/>
        <v>238.00000008000001</v>
      </c>
      <c r="N529" s="126">
        <f t="shared" si="179"/>
        <v>341</v>
      </c>
      <c r="O529" s="126">
        <f t="shared" si="178"/>
        <v>223</v>
      </c>
      <c r="P529" s="126">
        <f t="shared" si="178"/>
        <v>405</v>
      </c>
      <c r="Q529" s="126">
        <f t="shared" si="178"/>
        <v>413</v>
      </c>
      <c r="R529" s="126">
        <f t="shared" si="173"/>
        <v>8</v>
      </c>
      <c r="S529" s="1">
        <f t="shared" si="174"/>
        <v>1</v>
      </c>
      <c r="T529" s="126">
        <f t="shared" si="180"/>
        <v>8</v>
      </c>
      <c r="U529" s="126">
        <f t="shared" si="175"/>
        <v>1987.0000001600001</v>
      </c>
      <c r="W529" s="126">
        <f t="shared" si="176"/>
        <v>413</v>
      </c>
      <c r="X529" s="126">
        <f t="shared" si="177"/>
        <v>461.00000008000001</v>
      </c>
    </row>
    <row r="530" spans="1:24">
      <c r="A530" s="86">
        <v>46297</v>
      </c>
      <c r="B530" s="128">
        <v>1</v>
      </c>
      <c r="C530" s="128">
        <v>0</v>
      </c>
      <c r="D530" s="128">
        <v>1</v>
      </c>
      <c r="E530" s="128">
        <v>0</v>
      </c>
      <c r="F530" s="128">
        <v>0</v>
      </c>
      <c r="G530" s="128">
        <v>1</v>
      </c>
      <c r="K530" s="86">
        <v>46297</v>
      </c>
      <c r="L530" s="126">
        <f t="shared" si="179"/>
        <v>368.00000008000001</v>
      </c>
      <c r="M530" s="126">
        <f t="shared" si="179"/>
        <v>238.00000008000001</v>
      </c>
      <c r="N530" s="126">
        <f t="shared" si="179"/>
        <v>342</v>
      </c>
      <c r="O530" s="126">
        <f t="shared" si="178"/>
        <v>223</v>
      </c>
      <c r="P530" s="126">
        <f t="shared" si="178"/>
        <v>405</v>
      </c>
      <c r="Q530" s="126">
        <f t="shared" si="178"/>
        <v>414</v>
      </c>
      <c r="R530" s="126">
        <f t="shared" si="173"/>
        <v>9</v>
      </c>
      <c r="S530" s="1">
        <f t="shared" si="174"/>
        <v>1</v>
      </c>
      <c r="T530" s="126">
        <f t="shared" si="180"/>
        <v>9</v>
      </c>
      <c r="U530" s="126">
        <f t="shared" si="175"/>
        <v>1990.0000001600001</v>
      </c>
      <c r="W530" s="126">
        <f t="shared" si="176"/>
        <v>414</v>
      </c>
      <c r="X530" s="126">
        <f t="shared" si="177"/>
        <v>461.00000008000001</v>
      </c>
    </row>
    <row r="531" spans="1:24">
      <c r="A531" s="86">
        <v>46304</v>
      </c>
      <c r="B531" s="128">
        <v>1</v>
      </c>
      <c r="C531" s="128">
        <v>0</v>
      </c>
      <c r="D531" s="128">
        <v>1</v>
      </c>
      <c r="E531" s="128">
        <v>0</v>
      </c>
      <c r="F531" s="128">
        <v>0</v>
      </c>
      <c r="G531" s="128">
        <v>1</v>
      </c>
      <c r="K531" s="86">
        <v>46304</v>
      </c>
      <c r="L531" s="126">
        <f t="shared" si="179"/>
        <v>369.00000008000001</v>
      </c>
      <c r="M531" s="126">
        <f t="shared" si="179"/>
        <v>238.00000008000001</v>
      </c>
      <c r="N531" s="126">
        <f t="shared" si="179"/>
        <v>343</v>
      </c>
      <c r="O531" s="126">
        <f t="shared" si="178"/>
        <v>223</v>
      </c>
      <c r="P531" s="126">
        <f t="shared" si="178"/>
        <v>405</v>
      </c>
      <c r="Q531" s="126">
        <f t="shared" si="178"/>
        <v>415</v>
      </c>
      <c r="R531" s="126">
        <f t="shared" si="173"/>
        <v>10</v>
      </c>
      <c r="S531" s="1">
        <f t="shared" si="174"/>
        <v>1</v>
      </c>
      <c r="T531" s="126">
        <f t="shared" si="180"/>
        <v>10</v>
      </c>
      <c r="U531" s="126">
        <f t="shared" si="175"/>
        <v>1993.0000001600001</v>
      </c>
      <c r="W531" s="126">
        <f t="shared" si="176"/>
        <v>415</v>
      </c>
      <c r="X531" s="126">
        <f t="shared" si="177"/>
        <v>461.00000008000001</v>
      </c>
    </row>
    <row r="532" spans="1:24">
      <c r="A532" s="86">
        <v>46311</v>
      </c>
      <c r="B532" s="128">
        <v>0</v>
      </c>
      <c r="C532" s="128">
        <v>0</v>
      </c>
      <c r="D532" s="128">
        <v>1</v>
      </c>
      <c r="E532" s="128">
        <v>0</v>
      </c>
      <c r="F532" s="128">
        <v>0</v>
      </c>
      <c r="G532" s="128">
        <v>1</v>
      </c>
      <c r="K532" s="86">
        <v>46311</v>
      </c>
      <c r="L532" s="126">
        <f>B532+L531+1</f>
        <v>370.00000008000001</v>
      </c>
      <c r="M532" s="126">
        <f>C532+M531</f>
        <v>238.00000008000001</v>
      </c>
      <c r="N532" s="126">
        <f t="shared" si="179"/>
        <v>344</v>
      </c>
      <c r="O532" s="126">
        <f>E532+O531-1</f>
        <v>222</v>
      </c>
      <c r="P532" s="126">
        <f t="shared" si="178"/>
        <v>405</v>
      </c>
      <c r="Q532" s="126">
        <f>G532+Q531+1</f>
        <v>417</v>
      </c>
      <c r="R532" s="126">
        <f t="shared" si="173"/>
        <v>12</v>
      </c>
      <c r="S532" s="1">
        <f t="shared" si="174"/>
        <v>1</v>
      </c>
      <c r="T532" s="126">
        <f t="shared" si="180"/>
        <v>12</v>
      </c>
      <c r="U532" s="126">
        <f t="shared" si="175"/>
        <v>1996.0000001600001</v>
      </c>
      <c r="W532" s="126">
        <f t="shared" si="176"/>
        <v>417</v>
      </c>
      <c r="X532" s="126">
        <f t="shared" si="177"/>
        <v>460.00000008000001</v>
      </c>
    </row>
    <row r="533" spans="1:24">
      <c r="A533" s="86">
        <v>46318</v>
      </c>
      <c r="B533" s="128">
        <v>1</v>
      </c>
      <c r="C533" s="128">
        <v>0</v>
      </c>
      <c r="D533" s="128">
        <v>0</v>
      </c>
      <c r="E533" s="128">
        <v>1</v>
      </c>
      <c r="F533" s="128">
        <v>0</v>
      </c>
      <c r="G533" s="128">
        <v>1</v>
      </c>
      <c r="K533" s="86">
        <v>46318</v>
      </c>
      <c r="L533" s="126">
        <f t="shared" si="179"/>
        <v>371.00000008000001</v>
      </c>
      <c r="M533" s="126">
        <f t="shared" si="179"/>
        <v>238.00000008000001</v>
      </c>
      <c r="N533" s="126">
        <f t="shared" si="179"/>
        <v>344</v>
      </c>
      <c r="O533" s="126">
        <f>E533+O532</f>
        <v>223</v>
      </c>
      <c r="P533" s="126">
        <f t="shared" si="178"/>
        <v>405</v>
      </c>
      <c r="Q533" s="126">
        <f>G533+Q532</f>
        <v>418</v>
      </c>
      <c r="R533" s="126">
        <f t="shared" si="173"/>
        <v>13</v>
      </c>
      <c r="S533" s="1">
        <f t="shared" si="174"/>
        <v>1</v>
      </c>
      <c r="T533" s="126">
        <f t="shared" si="180"/>
        <v>13</v>
      </c>
      <c r="U533" s="126">
        <f>SUM(L533:Q533)</f>
        <v>1999.0000001600001</v>
      </c>
      <c r="W533" s="126">
        <f t="shared" si="176"/>
        <v>418</v>
      </c>
      <c r="X533" s="126">
        <f t="shared" si="177"/>
        <v>461.00000008000001</v>
      </c>
    </row>
  </sheetData>
  <autoFilter ref="J1:U533" xr:uid="{00000000-0001-0000-0400-000000000000}"/>
  <conditionalFormatting sqref="B86:B105 B266:G533">
    <cfRule type="cellIs" dxfId="186" priority="12" operator="equal">
      <formula>1</formula>
    </cfRule>
  </conditionalFormatting>
  <conditionalFormatting sqref="B181:B182 B204:G533">
    <cfRule type="cellIs" dxfId="185" priority="78" operator="equal">
      <formula>0</formula>
    </cfRule>
  </conditionalFormatting>
  <conditionalFormatting sqref="B185">
    <cfRule type="cellIs" dxfId="184" priority="77" operator="equal">
      <formula>0</formula>
    </cfRule>
  </conditionalFormatting>
  <conditionalFormatting sqref="B192">
    <cfRule type="cellIs" dxfId="183" priority="72" operator="equal">
      <formula>0</formula>
    </cfRule>
  </conditionalFormatting>
  <conditionalFormatting sqref="B194:B203">
    <cfRule type="cellIs" dxfId="182" priority="71" operator="equal">
      <formula>0</formula>
    </cfRule>
  </conditionalFormatting>
  <conditionalFormatting sqref="B107:C138">
    <cfRule type="cellIs" dxfId="181" priority="94" operator="equal">
      <formula>0</formula>
    </cfRule>
  </conditionalFormatting>
  <conditionalFormatting sqref="B38:G85">
    <cfRule type="cellIs" dxfId="180" priority="18" operator="equal">
      <formula>1</formula>
    </cfRule>
  </conditionalFormatting>
  <conditionalFormatting sqref="B38:G106">
    <cfRule type="cellIs" dxfId="179" priority="11" operator="equal">
      <formula>0</formula>
    </cfRule>
  </conditionalFormatting>
  <conditionalFormatting sqref="B106:G106 D107:G127 B107:B138 D128:D138 E128:G147 B139:D139">
    <cfRule type="cellIs" dxfId="178" priority="119" operator="equal">
      <formula>1</formula>
    </cfRule>
  </conditionalFormatting>
  <conditionalFormatting sqref="C86:C105">
    <cfRule type="cellIs" dxfId="177" priority="129" operator="greaterThan">
      <formula>1</formula>
    </cfRule>
  </conditionalFormatting>
  <conditionalFormatting sqref="C107:C138">
    <cfRule type="cellIs" dxfId="176" priority="95" operator="greaterThan">
      <formula>1</formula>
    </cfRule>
  </conditionalFormatting>
  <conditionalFormatting sqref="C140:C150">
    <cfRule type="cellIs" dxfId="175" priority="93" operator="greaterThan">
      <formula>1</formula>
    </cfRule>
  </conditionalFormatting>
  <conditionalFormatting sqref="C152:C162">
    <cfRule type="cellIs" dxfId="174" priority="69" operator="equal">
      <formula>0</formula>
    </cfRule>
    <cfRule type="cellIs" dxfId="173" priority="70" operator="greaterThan">
      <formula>1</formula>
    </cfRule>
  </conditionalFormatting>
  <conditionalFormatting sqref="C164:C203">
    <cfRule type="cellIs" dxfId="172" priority="63" operator="equal">
      <formula>0</formula>
    </cfRule>
    <cfRule type="cellIs" dxfId="171" priority="64" operator="greaterThan">
      <formula>1</formula>
    </cfRule>
  </conditionalFormatting>
  <conditionalFormatting sqref="C205:C219">
    <cfRule type="cellIs" dxfId="170" priority="34" operator="greaterThan">
      <formula>1</formula>
    </cfRule>
  </conditionalFormatting>
  <conditionalFormatting sqref="C221:C222">
    <cfRule type="cellIs" dxfId="169" priority="24" operator="greaterThan">
      <formula>1</formula>
    </cfRule>
  </conditionalFormatting>
  <conditionalFormatting sqref="C224:C225">
    <cfRule type="cellIs" dxfId="168" priority="22" operator="greaterThan">
      <formula>1</formula>
    </cfRule>
  </conditionalFormatting>
  <conditionalFormatting sqref="C226">
    <cfRule type="cellIs" dxfId="167" priority="20" operator="equal">
      <formula>1</formula>
    </cfRule>
  </conditionalFormatting>
  <conditionalFormatting sqref="C140:D151 B140:B178 E148:F154 G148:G167 D152:D154 D162 C163:D163 D164:D165 D166:F166 F167 F168:G169 D170:G178 D195:G203">
    <cfRule type="cellIs" dxfId="166" priority="80" operator="equal">
      <formula>0</formula>
    </cfRule>
  </conditionalFormatting>
  <conditionalFormatting sqref="D140:D150 B140:B203 E148:F154 G148:G167 C151:D151 D152:D154 D162 C163:D163 D164:D165 D166:F166 F167 F168:G169 D170:G203 B204:G204 D205:G205 B205:B219 D206 F206:G206 D207:G208 D209:D213 F209:G213 D214:G215 D216:D219 F216:G219 B220:G220 B221:B222 D221:D222 F221:G223 B223:D223 D224:G226 B224:B265 C227:G265">
    <cfRule type="cellIs" dxfId="165" priority="81" operator="equal">
      <formula>1</formula>
    </cfRule>
  </conditionalFormatting>
  <conditionalFormatting sqref="D186">
    <cfRule type="cellIs" dxfId="164" priority="76" operator="equal">
      <formula>0</formula>
    </cfRule>
  </conditionalFormatting>
  <conditionalFormatting sqref="D191">
    <cfRule type="cellIs" dxfId="163" priority="73" operator="equal">
      <formula>0</formula>
    </cfRule>
  </conditionalFormatting>
  <conditionalFormatting sqref="D167:E169">
    <cfRule type="cellIs" dxfId="162" priority="61" operator="equal">
      <formula>0</formula>
    </cfRule>
    <cfRule type="cellIs" dxfId="161" priority="62" operator="equal">
      <formula>1</formula>
    </cfRule>
  </conditionalFormatting>
  <conditionalFormatting sqref="D155:F161">
    <cfRule type="cellIs" dxfId="160" priority="67" operator="equal">
      <formula>0</formula>
    </cfRule>
    <cfRule type="cellIs" dxfId="159" priority="68" operator="equal">
      <formula>1</formula>
    </cfRule>
  </conditionalFormatting>
  <conditionalFormatting sqref="D86:G105">
    <cfRule type="cellIs" dxfId="158" priority="14" operator="equal">
      <formula>1</formula>
    </cfRule>
  </conditionalFormatting>
  <conditionalFormatting sqref="D107:G127 D128:D138 E128:G147 B139:D139">
    <cfRule type="cellIs" dxfId="157" priority="118" operator="equal">
      <formula>0</formula>
    </cfRule>
  </conditionalFormatting>
  <conditionalFormatting sqref="E180">
    <cfRule type="cellIs" dxfId="156" priority="60" operator="equal">
      <formula>0</formula>
    </cfRule>
  </conditionalFormatting>
  <conditionalFormatting sqref="E182:E185">
    <cfRule type="cellIs" dxfId="155" priority="56" operator="equal">
      <formula>0</formula>
    </cfRule>
  </conditionalFormatting>
  <conditionalFormatting sqref="E187:E190">
    <cfRule type="cellIs" dxfId="154" priority="52" operator="equal">
      <formula>0</formula>
    </cfRule>
  </conditionalFormatting>
  <conditionalFormatting sqref="E192:E202">
    <cfRule type="cellIs" dxfId="153" priority="51" operator="equal">
      <formula>0</formula>
    </cfRule>
  </conditionalFormatting>
  <conditionalFormatting sqref="E206">
    <cfRule type="cellIs" dxfId="152" priority="32" operator="greaterThan">
      <formula>1</formula>
    </cfRule>
  </conditionalFormatting>
  <conditionalFormatting sqref="E209:E213">
    <cfRule type="cellIs" dxfId="151" priority="30" operator="greaterThan">
      <formula>1</formula>
    </cfRule>
  </conditionalFormatting>
  <conditionalFormatting sqref="E216:E219">
    <cfRule type="cellIs" dxfId="150" priority="28" operator="greaterThan">
      <formula>1</formula>
    </cfRule>
  </conditionalFormatting>
  <conditionalFormatting sqref="E221:E223">
    <cfRule type="cellIs" dxfId="149" priority="26" operator="greaterThan">
      <formula>1</formula>
    </cfRule>
  </conditionalFormatting>
  <conditionalFormatting sqref="E162:F165">
    <cfRule type="cellIs" dxfId="148" priority="65" operator="equal">
      <formula>0</formula>
    </cfRule>
    <cfRule type="cellIs" dxfId="147" priority="66" operator="equal">
      <formula>1</formula>
    </cfRule>
  </conditionalFormatting>
  <conditionalFormatting sqref="F181">
    <cfRule type="cellIs" dxfId="146" priority="79" operator="equal">
      <formula>0</formula>
    </cfRule>
  </conditionalFormatting>
  <conditionalFormatting sqref="G183">
    <cfRule type="cellIs" dxfId="145" priority="75" operator="equal">
      <formula>0</formula>
    </cfRule>
  </conditionalFormatting>
  <conditionalFormatting sqref="G190:G192">
    <cfRule type="cellIs" dxfId="144" priority="74" operator="equal">
      <formula>0</formula>
    </cfRule>
  </conditionalFormatting>
  <conditionalFormatting sqref="T2:T533">
    <cfRule type="cellIs" dxfId="143" priority="1" operator="greaterThan">
      <formula>0</formula>
    </cfRule>
  </conditionalFormatting>
  <pageMargins left="0.7" right="0.7" top="0.78740157499999996" bottom="0.78740157499999996"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F7E8A-9E53-4E7C-8A72-8CE3FEA09DFE}">
  <sheetPr codeName="Sheet7"/>
  <dimension ref="A1:G7"/>
  <sheetViews>
    <sheetView zoomScaleNormal="100" workbookViewId="0">
      <selection activeCell="E27" sqref="E27"/>
    </sheetView>
  </sheetViews>
  <sheetFormatPr defaultRowHeight="14.6"/>
  <cols>
    <col min="1" max="1" width="21.3046875" customWidth="1"/>
  </cols>
  <sheetData>
    <row r="1" spans="1:7" ht="15">
      <c r="A1" s="37"/>
      <c r="B1" s="37" t="s">
        <v>0</v>
      </c>
      <c r="C1" s="37" t="s">
        <v>4</v>
      </c>
      <c r="D1" s="37" t="s">
        <v>1</v>
      </c>
      <c r="E1" s="37" t="s">
        <v>2</v>
      </c>
      <c r="F1" s="37" t="s">
        <v>3</v>
      </c>
      <c r="G1" s="37" t="s">
        <v>21</v>
      </c>
    </row>
    <row r="2" spans="1:7" ht="15">
      <c r="A2" s="169">
        <v>44533</v>
      </c>
      <c r="B2" s="37">
        <v>220.00000008000001</v>
      </c>
      <c r="C2" s="37">
        <v>88.000000080000007</v>
      </c>
      <c r="D2" s="37">
        <v>220</v>
      </c>
      <c r="E2" s="37">
        <v>130</v>
      </c>
      <c r="F2" s="37">
        <v>218</v>
      </c>
      <c r="G2" s="37">
        <v>236</v>
      </c>
    </row>
    <row r="3" spans="1:7" ht="15">
      <c r="A3" s="169">
        <v>45128</v>
      </c>
      <c r="B3" s="37">
        <v>258.00000008000001</v>
      </c>
      <c r="C3" s="37">
        <v>146.00000008000001</v>
      </c>
      <c r="D3" s="37">
        <v>268</v>
      </c>
      <c r="E3" s="37">
        <v>148</v>
      </c>
      <c r="F3" s="37">
        <v>284</v>
      </c>
      <c r="G3" s="37">
        <v>299</v>
      </c>
    </row>
    <row r="4" spans="1:7" ht="15">
      <c r="A4" s="37" t="s">
        <v>326</v>
      </c>
      <c r="B4" s="37">
        <f>B3-B2</f>
        <v>38</v>
      </c>
      <c r="C4" s="37">
        <f t="shared" ref="C4:G4" si="0">C3-C2</f>
        <v>58</v>
      </c>
      <c r="D4" s="37">
        <f t="shared" si="0"/>
        <v>48</v>
      </c>
      <c r="E4" s="37">
        <f t="shared" si="0"/>
        <v>18</v>
      </c>
      <c r="F4" s="37">
        <f t="shared" si="0"/>
        <v>66</v>
      </c>
      <c r="G4" s="37">
        <f t="shared" si="0"/>
        <v>63</v>
      </c>
    </row>
    <row r="5" spans="1:7" ht="15.45">
      <c r="A5" s="37" t="s">
        <v>327</v>
      </c>
      <c r="B5" s="40">
        <f>B4/84</f>
        <v>0.45238095238095238</v>
      </c>
      <c r="C5" s="170">
        <f t="shared" ref="C5:G5" si="1">C4/84</f>
        <v>0.69047619047619047</v>
      </c>
      <c r="D5" s="40">
        <f t="shared" si="1"/>
        <v>0.5714285714285714</v>
      </c>
      <c r="E5" s="40">
        <f t="shared" si="1"/>
        <v>0.21428571428571427</v>
      </c>
      <c r="F5" s="171">
        <f t="shared" si="1"/>
        <v>0.7857142857142857</v>
      </c>
      <c r="G5" s="172">
        <f t="shared" si="1"/>
        <v>0.75</v>
      </c>
    </row>
    <row r="6" spans="1:7" ht="15">
      <c r="A6" s="37" t="s">
        <v>328</v>
      </c>
      <c r="B6" s="37">
        <v>5</v>
      </c>
      <c r="C6" s="37">
        <v>3</v>
      </c>
      <c r="D6" s="37">
        <v>4</v>
      </c>
      <c r="E6" s="37">
        <v>6</v>
      </c>
      <c r="F6" s="37">
        <v>1</v>
      </c>
      <c r="G6" s="37">
        <v>2</v>
      </c>
    </row>
    <row r="7" spans="1:7" ht="15">
      <c r="A7" s="37" t="s">
        <v>329</v>
      </c>
      <c r="B7" s="40">
        <v>0.72965197674418603</v>
      </c>
      <c r="C7" s="40">
        <v>0.37500063953488377</v>
      </c>
      <c r="D7" s="40">
        <v>0.74418697674418599</v>
      </c>
      <c r="E7" s="40">
        <v>0.41569831395348833</v>
      </c>
      <c r="F7" s="40">
        <v>0.77034988372093027</v>
      </c>
      <c r="G7" s="40">
        <v>0.83679643916913948</v>
      </c>
    </row>
  </sheetData>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38875-C00F-4674-B10D-B10EF5024D23}">
  <sheetPr codeName="Sheet8"/>
  <dimension ref="A1:J7"/>
  <sheetViews>
    <sheetView workbookViewId="0">
      <selection activeCell="G30" sqref="G30"/>
    </sheetView>
  </sheetViews>
  <sheetFormatPr defaultColWidth="11.3828125" defaultRowHeight="14.6"/>
  <cols>
    <col min="1" max="1" width="12" customWidth="1"/>
    <col min="2" max="2" width="16" customWidth="1"/>
    <col min="3" max="6" width="16.3828125" customWidth="1"/>
    <col min="7" max="7" width="28.3828125" bestFit="1" customWidth="1"/>
    <col min="8" max="8" width="16.3828125" customWidth="1"/>
    <col min="9" max="9" width="17.15234375" customWidth="1"/>
    <col min="10" max="10" width="24.15234375" customWidth="1"/>
    <col min="11" max="11" width="16.3828125" customWidth="1"/>
  </cols>
  <sheetData>
    <row r="1" spans="1:10" s="148" customFormat="1" ht="34.75" customHeight="1">
      <c r="A1" s="157"/>
      <c r="B1" s="156" t="s">
        <v>302</v>
      </c>
      <c r="C1" s="158" t="s">
        <v>56</v>
      </c>
      <c r="D1" s="158" t="s">
        <v>294</v>
      </c>
      <c r="E1" s="158" t="s">
        <v>296</v>
      </c>
      <c r="F1" s="158" t="s">
        <v>295</v>
      </c>
      <c r="G1" s="158" t="s">
        <v>304</v>
      </c>
      <c r="H1" s="158" t="s">
        <v>299</v>
      </c>
      <c r="I1" s="158" t="s">
        <v>303</v>
      </c>
      <c r="J1" s="155" t="s">
        <v>297</v>
      </c>
    </row>
    <row r="2" spans="1:10">
      <c r="A2" s="153" t="s">
        <v>3</v>
      </c>
      <c r="B2" s="149">
        <v>6</v>
      </c>
      <c r="C2" s="149">
        <v>6</v>
      </c>
      <c r="D2" s="149">
        <v>6</v>
      </c>
      <c r="E2" s="149">
        <v>6</v>
      </c>
      <c r="F2" s="150">
        <f>'Executive Summary für dä JWU'!C3/'Executive Summary für dä JWU'!$C$2*6</f>
        <v>5.8133963379974407</v>
      </c>
      <c r="G2" s="149">
        <v>3</v>
      </c>
      <c r="H2" s="149">
        <v>0.25</v>
      </c>
      <c r="I2" s="150">
        <f t="shared" ref="I2:I7" si="0">AVERAGE(B2:G2)+H2</f>
        <v>5.7188993896662401</v>
      </c>
      <c r="J2" s="151" t="s">
        <v>300</v>
      </c>
    </row>
    <row r="3" spans="1:10">
      <c r="A3" s="154" t="s">
        <v>32</v>
      </c>
      <c r="B3" s="149">
        <v>1</v>
      </c>
      <c r="C3" s="149">
        <v>6</v>
      </c>
      <c r="D3" s="149">
        <v>6</v>
      </c>
      <c r="E3" s="149">
        <v>6</v>
      </c>
      <c r="F3" s="150">
        <v>6</v>
      </c>
      <c r="G3" s="149">
        <v>3</v>
      </c>
      <c r="H3" s="149">
        <v>0.5</v>
      </c>
      <c r="I3" s="150">
        <f t="shared" si="0"/>
        <v>5.166666666666667</v>
      </c>
      <c r="J3" s="151" t="s">
        <v>298</v>
      </c>
    </row>
    <row r="4" spans="1:10">
      <c r="A4" s="154" t="s">
        <v>1</v>
      </c>
      <c r="B4" s="149">
        <v>6</v>
      </c>
      <c r="C4" s="149">
        <v>4</v>
      </c>
      <c r="D4" s="149">
        <v>6</v>
      </c>
      <c r="E4" s="149">
        <v>6</v>
      </c>
      <c r="F4" s="150">
        <f>'Executive Summary für dä JWU'!C5/'Executive Summary für dä JWU'!$C$2*6</f>
        <v>4.9377979180901104</v>
      </c>
      <c r="G4" s="149">
        <v>3</v>
      </c>
      <c r="H4" s="149"/>
      <c r="I4" s="150">
        <f t="shared" si="0"/>
        <v>4.9896329863483517</v>
      </c>
      <c r="J4" s="149"/>
    </row>
    <row r="5" spans="1:10">
      <c r="A5" s="154" t="s">
        <v>2</v>
      </c>
      <c r="B5" s="149">
        <v>6</v>
      </c>
      <c r="C5" s="149">
        <v>4</v>
      </c>
      <c r="D5" s="149">
        <v>6</v>
      </c>
      <c r="E5" s="149">
        <v>3</v>
      </c>
      <c r="F5" s="150">
        <f>'Executive Summary für dä JWU'!C7/'Executive Summary für dä JWU'!$C$2*6</f>
        <v>3.2009574144355701</v>
      </c>
      <c r="G5" s="149">
        <v>3</v>
      </c>
      <c r="H5" s="149"/>
      <c r="I5" s="150">
        <f t="shared" si="0"/>
        <v>4.2001595690725955</v>
      </c>
      <c r="J5" s="149"/>
    </row>
    <row r="6" spans="1:10">
      <c r="A6" s="154" t="s">
        <v>4</v>
      </c>
      <c r="B6" s="149">
        <v>6</v>
      </c>
      <c r="C6" s="149">
        <v>2</v>
      </c>
      <c r="D6" s="149">
        <v>6</v>
      </c>
      <c r="E6" s="149">
        <v>3</v>
      </c>
      <c r="F6" s="150">
        <f>'Executive Summary für dä JWU'!C6/'Executive Summary für dä JWU'!$C$2*6</f>
        <v>3.4162674329809901</v>
      </c>
      <c r="G6" s="149">
        <v>3</v>
      </c>
      <c r="H6" s="149">
        <v>0.1</v>
      </c>
      <c r="I6" s="150">
        <f t="shared" si="0"/>
        <v>4.0027112388301651</v>
      </c>
      <c r="J6" s="151" t="s">
        <v>301</v>
      </c>
    </row>
    <row r="7" spans="1:10">
      <c r="A7" s="152" t="s">
        <v>0</v>
      </c>
      <c r="B7" s="149">
        <v>6</v>
      </c>
      <c r="C7" s="149">
        <v>1</v>
      </c>
      <c r="D7" s="149">
        <v>1</v>
      </c>
      <c r="E7" s="149">
        <v>6</v>
      </c>
      <c r="F7" s="150">
        <f>'Executive Summary für dä JWU'!C4/'Executive Summary für dä JWU'!$C$2*6</f>
        <v>5.3253552624779674</v>
      </c>
      <c r="G7" s="149">
        <v>3</v>
      </c>
      <c r="H7" s="149"/>
      <c r="I7" s="150">
        <f t="shared" si="0"/>
        <v>3.7208925437463276</v>
      </c>
      <c r="J7" s="149"/>
    </row>
  </sheetData>
  <sortState xmlns:xlrd2="http://schemas.microsoft.com/office/spreadsheetml/2017/richdata2" ref="A2:J7">
    <sortCondition descending="1" ref="I1:I7"/>
  </sortState>
  <pageMargins left="0.7" right="0.7" top="0.78740157499999996" bottom="0.78740157499999996"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614C7-3F53-492F-B9C9-A3D30F3C923E}">
  <sheetPr codeName="Sheet9"/>
  <dimension ref="A1:AH91"/>
  <sheetViews>
    <sheetView zoomScale="70" zoomScaleNormal="70" zoomScaleSheetLayoutView="70" workbookViewId="0">
      <pane xSplit="14" ySplit="23" topLeftCell="O49" activePane="bottomRight" state="frozen"/>
      <selection pane="topRight" activeCell="P1" sqref="P1"/>
      <selection pane="bottomLeft" activeCell="A24" sqref="A24"/>
      <selection pane="bottomRight" activeCell="N69" sqref="N69"/>
    </sheetView>
  </sheetViews>
  <sheetFormatPr defaultColWidth="11.3828125" defaultRowHeight="16.75"/>
  <cols>
    <col min="1" max="1" width="1.69140625" style="1" customWidth="1"/>
    <col min="2" max="2" width="1.3828125" style="1" customWidth="1"/>
    <col min="3" max="3" width="3.84375" style="2" bestFit="1" customWidth="1"/>
    <col min="4" max="4" width="12.53515625" style="1" customWidth="1"/>
    <col min="5" max="10" width="7.15234375" style="1" customWidth="1"/>
    <col min="11" max="12" width="1.3828125" style="1" customWidth="1"/>
    <col min="13" max="13" width="12.53515625" style="29" bestFit="1" customWidth="1"/>
    <col min="14" max="14" width="26.53515625" style="1" customWidth="1"/>
    <col min="15" max="15" width="16.69140625" style="1" customWidth="1"/>
    <col min="16" max="17" width="14.3828125" style="1" customWidth="1"/>
    <col min="18" max="18" width="13.3828125" style="1" customWidth="1"/>
    <col min="19" max="19" width="18.69140625" style="1" customWidth="1"/>
    <col min="20" max="20" width="20.3828125" style="1" customWidth="1"/>
    <col min="21" max="21" width="5.3828125" style="1" hidden="1" customWidth="1"/>
    <col min="22" max="22" width="11.3828125" style="1"/>
    <col min="23" max="23" width="16.69140625" style="1" customWidth="1"/>
    <col min="24" max="24" width="11.69140625" style="1" bestFit="1" customWidth="1"/>
    <col min="25" max="25" width="43.53515625" style="1" customWidth="1"/>
    <col min="26" max="26" width="16.3046875" style="1" customWidth="1"/>
    <col min="27" max="27" width="24.3046875" style="1" bestFit="1" customWidth="1"/>
    <col min="28" max="28" width="12.69140625" style="1" bestFit="1" customWidth="1"/>
    <col min="29" max="29" width="23" style="1" bestFit="1" customWidth="1"/>
    <col min="30" max="30" width="20" style="1" bestFit="1" customWidth="1"/>
    <col min="31" max="16384" width="11.3828125" style="1"/>
  </cols>
  <sheetData>
    <row r="1" spans="1:27" ht="8.25" customHeight="1"/>
    <row r="2" spans="1:27" ht="40.5" customHeight="1">
      <c r="C2" s="232" t="s">
        <v>5</v>
      </c>
      <c r="D2" s="233"/>
      <c r="E2" s="233"/>
      <c r="F2" s="233"/>
      <c r="G2" s="233"/>
      <c r="H2" s="233"/>
      <c r="I2" s="233"/>
      <c r="J2" s="233"/>
      <c r="K2" s="233"/>
      <c r="L2" s="233"/>
      <c r="M2" s="233"/>
      <c r="N2" s="233"/>
      <c r="O2" s="233"/>
      <c r="P2" s="233"/>
      <c r="Q2" s="233"/>
      <c r="R2" s="233"/>
      <c r="S2" s="233"/>
      <c r="T2" s="233"/>
      <c r="U2" s="233"/>
      <c r="V2" s="233"/>
      <c r="W2" s="233"/>
      <c r="X2" s="233"/>
      <c r="Y2" s="233"/>
      <c r="Z2" s="233"/>
      <c r="AA2" s="233"/>
    </row>
    <row r="3" spans="1:27" ht="8.25" customHeight="1"/>
    <row r="4" spans="1:27" ht="9.75" customHeight="1"/>
    <row r="5" spans="1:27" ht="21.75" customHeight="1">
      <c r="B5" s="6"/>
      <c r="C5" s="7" t="s">
        <v>13</v>
      </c>
      <c r="D5" s="8"/>
      <c r="E5" s="8"/>
      <c r="F5" s="8"/>
      <c r="G5" s="8"/>
      <c r="H5" s="8"/>
      <c r="I5" s="9"/>
      <c r="J5" s="9"/>
      <c r="L5" s="6"/>
      <c r="M5" s="31" t="s">
        <v>14</v>
      </c>
      <c r="N5" s="8"/>
      <c r="O5" s="234" t="s">
        <v>31</v>
      </c>
      <c r="P5" s="234"/>
      <c r="Q5" s="234"/>
      <c r="R5" s="234"/>
      <c r="S5" s="235"/>
      <c r="T5" s="236">
        <f>W16</f>
        <v>6598.5</v>
      </c>
      <c r="U5" s="237"/>
      <c r="V5" s="238" t="s">
        <v>52</v>
      </c>
      <c r="W5" s="239"/>
      <c r="X5" s="238" t="s">
        <v>56</v>
      </c>
      <c r="Y5" s="239"/>
      <c r="Z5" s="238" t="s">
        <v>61</v>
      </c>
      <c r="AA5" s="239"/>
    </row>
    <row r="6" spans="1:27" ht="23.25" customHeight="1">
      <c r="B6" s="6"/>
      <c r="L6" s="6"/>
      <c r="V6" s="240"/>
      <c r="W6" s="241"/>
      <c r="X6" s="240"/>
      <c r="Y6" s="241"/>
      <c r="Z6" s="240"/>
      <c r="AA6" s="241"/>
    </row>
    <row r="7" spans="1:27">
      <c r="B7" s="6"/>
      <c r="D7" s="33" t="s">
        <v>6</v>
      </c>
      <c r="E7" s="35" t="s">
        <v>7</v>
      </c>
      <c r="F7" s="35" t="s">
        <v>8</v>
      </c>
      <c r="G7" s="35" t="s">
        <v>9</v>
      </c>
      <c r="I7" s="11"/>
      <c r="J7" s="11"/>
      <c r="L7" s="6"/>
      <c r="N7" s="33" t="s">
        <v>6</v>
      </c>
      <c r="O7" s="68" t="s">
        <v>16</v>
      </c>
      <c r="P7" s="68" t="s">
        <v>17</v>
      </c>
      <c r="Q7" s="244" t="s">
        <v>26</v>
      </c>
      <c r="R7" s="244"/>
      <c r="S7" s="245" t="s">
        <v>27</v>
      </c>
      <c r="T7" s="245"/>
      <c r="U7" s="34"/>
      <c r="V7" s="242"/>
      <c r="W7" s="243"/>
      <c r="X7" s="242"/>
      <c r="Y7" s="243"/>
      <c r="Z7" s="242"/>
      <c r="AA7" s="243"/>
    </row>
    <row r="8" spans="1:27" ht="16.5" customHeight="1">
      <c r="A8" s="27"/>
      <c r="B8" s="197">
        <v>1</v>
      </c>
      <c r="C8" s="12">
        <f t="shared" ref="C8:C13" si="0">B8</f>
        <v>1</v>
      </c>
      <c r="D8" s="10" t="str">
        <f t="shared" ref="D8:D13" si="1">HLOOKUP($B8,$E$17:$J$20,2,FALSE)</f>
        <v>SJU</v>
      </c>
      <c r="E8" s="12">
        <f>ROUND(HLOOKUP(D8,$E$18:$J$20,3,FALSE),0)</f>
        <v>36</v>
      </c>
      <c r="F8" s="28">
        <f ca="1">E8/$C$20</f>
        <v>0.83720930232558144</v>
      </c>
      <c r="G8" s="28">
        <f ca="1">1-F8</f>
        <v>0.16279069767441856</v>
      </c>
      <c r="L8" s="6"/>
      <c r="N8" s="10" t="s">
        <v>2</v>
      </c>
      <c r="O8" s="13">
        <f>R20</f>
        <v>286.5</v>
      </c>
      <c r="P8" s="13">
        <v>0</v>
      </c>
      <c r="Q8" s="231"/>
      <c r="R8" s="231"/>
      <c r="S8" s="231" t="s">
        <v>18</v>
      </c>
      <c r="T8" s="231"/>
      <c r="V8" s="231" t="s">
        <v>48</v>
      </c>
      <c r="W8" s="231"/>
      <c r="X8" s="231" t="s">
        <v>58</v>
      </c>
      <c r="Y8" s="231"/>
      <c r="Z8" s="231" t="s">
        <v>65</v>
      </c>
      <c r="AA8" s="231"/>
    </row>
    <row r="9" spans="1:27">
      <c r="A9" s="27"/>
      <c r="B9" s="197">
        <v>2</v>
      </c>
      <c r="C9" s="12">
        <f>B9</f>
        <v>2</v>
      </c>
      <c r="D9" s="10" t="str">
        <f>HLOOKUP($B9,$E$17:$J$20,2,FALSE)</f>
        <v>JWU</v>
      </c>
      <c r="E9" s="12">
        <f>ROUND(HLOOKUP(D9,$E$18:$J$20,3,FALSE),0)</f>
        <v>36</v>
      </c>
      <c r="F9" s="28">
        <f t="shared" ref="F9:F13" ca="1" si="2">E9/$C$20</f>
        <v>0.83720930232558144</v>
      </c>
      <c r="G9" s="28">
        <f ca="1">1-F9</f>
        <v>0.16279069767441856</v>
      </c>
      <c r="J9"/>
      <c r="L9" s="6"/>
      <c r="N9" s="10" t="s">
        <v>4</v>
      </c>
      <c r="O9" s="13">
        <f>P20</f>
        <v>218</v>
      </c>
      <c r="P9" s="13">
        <v>0</v>
      </c>
      <c r="Q9" s="231"/>
      <c r="R9" s="231"/>
      <c r="S9" s="231" t="s">
        <v>18</v>
      </c>
      <c r="T9" s="231"/>
      <c r="V9" s="231" t="s">
        <v>49</v>
      </c>
      <c r="W9" s="231"/>
      <c r="X9" s="231" t="s">
        <v>57</v>
      </c>
      <c r="Y9" s="231"/>
      <c r="Z9" s="231" t="s">
        <v>64</v>
      </c>
      <c r="AA9" s="231"/>
    </row>
    <row r="10" spans="1:27">
      <c r="A10" s="27"/>
      <c r="B10" s="197">
        <v>3</v>
      </c>
      <c r="C10" s="12">
        <f t="shared" si="0"/>
        <v>3</v>
      </c>
      <c r="D10" s="10" t="str">
        <f t="shared" si="1"/>
        <v>MSO</v>
      </c>
      <c r="E10" s="12">
        <f>ROUND(HLOOKUP(D10,$E$18:$J$20,3,FALSE),0)</f>
        <v>30</v>
      </c>
      <c r="F10" s="28">
        <f t="shared" ca="1" si="2"/>
        <v>0.69767441860465118</v>
      </c>
      <c r="G10" s="28">
        <f t="shared" ref="G10" ca="1" si="3">1-F10</f>
        <v>0.30232558139534882</v>
      </c>
      <c r="J10"/>
      <c r="L10" s="6"/>
      <c r="M10"/>
      <c r="N10" s="10" t="s">
        <v>3</v>
      </c>
      <c r="O10" s="13">
        <f>S20</f>
        <v>117</v>
      </c>
      <c r="P10" s="13">
        <v>0</v>
      </c>
      <c r="Q10" s="231"/>
      <c r="R10" s="231"/>
      <c r="S10" s="231" t="s">
        <v>18</v>
      </c>
      <c r="T10" s="231"/>
      <c r="V10" s="231" t="s">
        <v>48</v>
      </c>
      <c r="W10" s="231"/>
      <c r="X10" s="231" t="s">
        <v>60</v>
      </c>
      <c r="Y10" s="231"/>
      <c r="Z10" s="231" t="s">
        <v>66</v>
      </c>
      <c r="AA10" s="231"/>
    </row>
    <row r="11" spans="1:27">
      <c r="A11" s="27"/>
      <c r="B11" s="197">
        <v>4</v>
      </c>
      <c r="C11" s="12">
        <f t="shared" si="0"/>
        <v>4</v>
      </c>
      <c r="D11" s="10" t="str">
        <f t="shared" si="1"/>
        <v>CBO</v>
      </c>
      <c r="E11" s="12">
        <f t="shared" ref="E11" si="4">ROUND(HLOOKUP(D11,$E$18:$J$20,3,FALSE),0)</f>
        <v>28</v>
      </c>
      <c r="F11" s="28">
        <f t="shared" ca="1" si="2"/>
        <v>0.65116279069767447</v>
      </c>
      <c r="G11" s="28">
        <f ca="1">1-F11</f>
        <v>0.34883720930232553</v>
      </c>
      <c r="L11" s="6"/>
      <c r="N11" s="10" t="s">
        <v>1</v>
      </c>
      <c r="O11" s="13">
        <f>Q20</f>
        <v>306</v>
      </c>
      <c r="P11" s="13">
        <v>0</v>
      </c>
      <c r="Q11" s="231"/>
      <c r="R11" s="231"/>
      <c r="S11" s="231" t="s">
        <v>18</v>
      </c>
      <c r="T11" s="231"/>
      <c r="V11" s="231" t="s">
        <v>48</v>
      </c>
      <c r="W11" s="231"/>
      <c r="X11" s="231" t="s">
        <v>59</v>
      </c>
      <c r="Y11" s="231"/>
      <c r="Z11" s="231" t="s">
        <v>67</v>
      </c>
      <c r="AA11" s="231"/>
    </row>
    <row r="12" spans="1:27">
      <c r="A12" s="27"/>
      <c r="B12" s="197">
        <v>5</v>
      </c>
      <c r="C12" s="12">
        <f t="shared" si="0"/>
        <v>5</v>
      </c>
      <c r="D12" s="10" t="str">
        <f t="shared" si="1"/>
        <v>YMI</v>
      </c>
      <c r="E12" s="12">
        <f>ROUND(HLOOKUP(D12,$E$18:$J$20,3,FALSE),0)</f>
        <v>23</v>
      </c>
      <c r="F12" s="28">
        <f t="shared" ca="1" si="2"/>
        <v>0.53488372093023251</v>
      </c>
      <c r="G12" s="28">
        <f ca="1">1-F12</f>
        <v>0.46511627906976749</v>
      </c>
      <c r="I12"/>
      <c r="L12" s="6"/>
      <c r="N12" s="10" t="s">
        <v>0</v>
      </c>
      <c r="O12" s="47">
        <f>O20</f>
        <v>111</v>
      </c>
      <c r="P12" s="13">
        <v>0</v>
      </c>
      <c r="Q12" s="231"/>
      <c r="R12" s="231"/>
      <c r="S12" s="231" t="s">
        <v>18</v>
      </c>
      <c r="T12" s="231"/>
      <c r="V12" s="231" t="s">
        <v>50</v>
      </c>
      <c r="W12" s="231"/>
      <c r="X12" s="231" t="s">
        <v>356</v>
      </c>
      <c r="Y12" s="231"/>
      <c r="Z12" s="231" t="s">
        <v>63</v>
      </c>
      <c r="AA12" s="231"/>
    </row>
    <row r="13" spans="1:27">
      <c r="A13" s="27"/>
      <c r="B13" s="197">
        <v>6</v>
      </c>
      <c r="C13" s="12">
        <f t="shared" si="0"/>
        <v>6</v>
      </c>
      <c r="D13" s="10" t="str">
        <f t="shared" si="1"/>
        <v>PKN</v>
      </c>
      <c r="E13" s="12">
        <f>ROUND(HLOOKUP(D13,$E$18:$J$20,3,FALSE),0)</f>
        <v>21</v>
      </c>
      <c r="F13" s="28">
        <f t="shared" ca="1" si="2"/>
        <v>0.48837209302325579</v>
      </c>
      <c r="G13" s="28">
        <f ca="1">1-F13</f>
        <v>0.51162790697674421</v>
      </c>
      <c r="L13" s="6"/>
      <c r="N13" s="10" t="s">
        <v>22</v>
      </c>
      <c r="O13" s="13">
        <f>T20</f>
        <v>202</v>
      </c>
      <c r="P13" s="13">
        <v>0</v>
      </c>
      <c r="Q13" s="231"/>
      <c r="R13" s="231"/>
      <c r="S13" s="231" t="s">
        <v>18</v>
      </c>
      <c r="T13" s="231"/>
      <c r="V13" s="231" t="s">
        <v>51</v>
      </c>
      <c r="W13" s="231"/>
      <c r="X13" s="246" t="s">
        <v>363</v>
      </c>
      <c r="Y13" s="246"/>
      <c r="Z13" s="231" t="s">
        <v>62</v>
      </c>
      <c r="AA13" s="231"/>
    </row>
    <row r="14" spans="1:27" ht="17.149999999999999" thickBot="1">
      <c r="B14" s="6"/>
      <c r="F14" s="63"/>
      <c r="L14" s="6"/>
      <c r="N14" s="29"/>
      <c r="O14" s="29"/>
      <c r="P14" s="29"/>
      <c r="Q14" s="248"/>
      <c r="R14" s="248"/>
      <c r="S14" s="248"/>
      <c r="T14" s="248"/>
      <c r="X14" s="247"/>
      <c r="Y14" s="247"/>
    </row>
    <row r="15" spans="1:27" ht="13.5" customHeight="1" thickBot="1">
      <c r="B15" s="6"/>
      <c r="L15" s="6"/>
      <c r="M15"/>
      <c r="Q15" s="1" t="s">
        <v>362</v>
      </c>
      <c r="S15" s="15">
        <v>1000</v>
      </c>
      <c r="V15" s="137" t="s">
        <v>121</v>
      </c>
      <c r="W15" s="138">
        <f>W16-S15</f>
        <v>5598.5</v>
      </c>
    </row>
    <row r="16" spans="1:27" ht="17.149999999999999" thickBot="1">
      <c r="B16" s="6"/>
      <c r="L16" s="6"/>
      <c r="N16" s="14" t="s">
        <v>19</v>
      </c>
      <c r="O16" s="15">
        <f>SUM(O8:O13)</f>
        <v>1240.5</v>
      </c>
      <c r="P16" s="87"/>
      <c r="Q16" s="262" t="s">
        <v>357</v>
      </c>
      <c r="R16" s="263"/>
      <c r="S16" s="15">
        <v>5358</v>
      </c>
      <c r="T16" s="1" t="s">
        <v>375</v>
      </c>
      <c r="V16" s="137" t="s">
        <v>69</v>
      </c>
      <c r="W16" s="138">
        <f>O16+S16</f>
        <v>6598.5</v>
      </c>
    </row>
    <row r="17" spans="2:34" ht="12" customHeight="1">
      <c r="B17" s="6"/>
      <c r="E17" s="27">
        <f t="shared" ref="E17:J17" si="5">RANK(E20,$E20:$J20)</f>
        <v>2</v>
      </c>
      <c r="F17" s="27">
        <f t="shared" si="5"/>
        <v>4</v>
      </c>
      <c r="G17" s="27">
        <f t="shared" si="5"/>
        <v>6</v>
      </c>
      <c r="H17" s="27">
        <f t="shared" si="5"/>
        <v>5</v>
      </c>
      <c r="I17" s="27">
        <f t="shared" si="5"/>
        <v>1</v>
      </c>
      <c r="J17" s="27">
        <f t="shared" si="5"/>
        <v>3</v>
      </c>
      <c r="L17" s="6"/>
      <c r="V17" s="249"/>
    </row>
    <row r="18" spans="2:34">
      <c r="B18" s="6"/>
      <c r="E18" s="16" t="s">
        <v>0</v>
      </c>
      <c r="F18" s="16" t="s">
        <v>4</v>
      </c>
      <c r="G18" s="16" t="s">
        <v>1</v>
      </c>
      <c r="H18" s="16" t="s">
        <v>2</v>
      </c>
      <c r="I18" s="16" t="s">
        <v>3</v>
      </c>
      <c r="J18" s="16" t="s">
        <v>21</v>
      </c>
      <c r="L18" s="6"/>
      <c r="O18" s="16" t="s">
        <v>0</v>
      </c>
      <c r="P18" s="16" t="s">
        <v>4</v>
      </c>
      <c r="Q18" s="16" t="s">
        <v>1</v>
      </c>
      <c r="R18" s="16" t="s">
        <v>2</v>
      </c>
      <c r="S18" s="16" t="s">
        <v>3</v>
      </c>
      <c r="T18" s="16" t="s">
        <v>22</v>
      </c>
      <c r="U18" s="16"/>
      <c r="V18" s="250"/>
    </row>
    <row r="19" spans="2:34" ht="6" customHeight="1">
      <c r="B19" s="6"/>
      <c r="E19" s="17"/>
      <c r="F19" s="17"/>
      <c r="G19" s="17"/>
      <c r="H19" s="17"/>
      <c r="I19" s="17"/>
      <c r="J19" s="17"/>
      <c r="L19" s="6"/>
      <c r="O19" s="17"/>
      <c r="P19" s="17"/>
      <c r="Q19" s="17"/>
      <c r="R19" s="17"/>
      <c r="S19" s="17"/>
      <c r="T19" s="17"/>
      <c r="U19" s="17"/>
    </row>
    <row r="20" spans="2:34" ht="16.75" customHeight="1">
      <c r="B20" s="6"/>
      <c r="C20" s="139">
        <f ca="1">COUNT(C23:C91)</f>
        <v>43</v>
      </c>
      <c r="E20" s="24">
        <f>SUM(E25:E91)+0.00002</f>
        <v>36.000019999999999</v>
      </c>
      <c r="F20" s="24">
        <f>SUM(F25:F91)+0.00005</f>
        <v>28.000050000000002</v>
      </c>
      <c r="G20" s="24">
        <f>SUM(G25:G91)+0.00005</f>
        <v>21.000050000000002</v>
      </c>
      <c r="H20" s="24">
        <f>SUM(H25:H91)+0.00006</f>
        <v>23.000060000000001</v>
      </c>
      <c r="I20" s="24">
        <f>SUM(I25:I91)+0.00009</f>
        <v>36.00009</v>
      </c>
      <c r="J20" s="24">
        <f>SUM(J25:J91)+0.0001</f>
        <v>30.0001</v>
      </c>
      <c r="L20" s="6"/>
      <c r="O20" s="19">
        <f t="shared" ref="O20:T20" si="6">SUM(O24:O91)</f>
        <v>111</v>
      </c>
      <c r="P20" s="19">
        <f t="shared" si="6"/>
        <v>218</v>
      </c>
      <c r="Q20" s="19">
        <f t="shared" si="6"/>
        <v>306</v>
      </c>
      <c r="R20" s="19">
        <f t="shared" si="6"/>
        <v>286.5</v>
      </c>
      <c r="S20" s="19">
        <f t="shared" si="6"/>
        <v>117</v>
      </c>
      <c r="T20" s="19">
        <f t="shared" si="6"/>
        <v>202</v>
      </c>
      <c r="U20" s="19"/>
      <c r="W20" s="193"/>
      <c r="X20" s="193"/>
      <c r="Y20" s="193"/>
      <c r="Z20" s="193"/>
    </row>
    <row r="21" spans="2:34">
      <c r="B21" s="6"/>
      <c r="E21" s="2"/>
      <c r="F21" s="2"/>
      <c r="G21" s="2"/>
      <c r="H21" s="2"/>
      <c r="I21" s="2"/>
      <c r="J21" s="2"/>
      <c r="L21" s="6"/>
      <c r="O21" s="20" cm="1">
        <f t="array" ref="O21">SUM(SUMIF($N$24:$N$100,{"LI";"LIFO";"LIFO+"},O24:O100))</f>
        <v>0</v>
      </c>
      <c r="P21" s="20" cm="1">
        <f t="array" ref="P21">SUM(SUMIF($N$24:$N$100,{"LI";"LIFO";"LIFO+"},P24:P100))</f>
        <v>3</v>
      </c>
      <c r="Q21" s="20" cm="1">
        <f t="array" ref="Q21">SUM(SUMIF($N$24:$N$100,{"LI";"LIFO";"LIFO+"},Q24:Q100))</f>
        <v>0</v>
      </c>
      <c r="R21" s="20" cm="1">
        <f t="array" ref="R21">SUM(SUMIF($N$24:$N$100,{"LI";"LIFO";"LIFO+"},R24:R100))</f>
        <v>6.5</v>
      </c>
      <c r="S21" s="20" cm="1">
        <f t="array" ref="S21">SUM(SUMIF($N$24:$N$100,{"LI";"LIFO";"LIFO+"},S24:S100))</f>
        <v>6</v>
      </c>
      <c r="T21" s="20" cm="1">
        <f t="array" ref="T21">SUM(SUMIF($N$24:$N$100,{"LI";"LIFO";"LIFO+"},T24:T100))</f>
        <v>13</v>
      </c>
      <c r="U21" s="20"/>
      <c r="W21" s="193"/>
      <c r="X21" s="193"/>
      <c r="Y21" s="193"/>
      <c r="Z21" s="193"/>
    </row>
    <row r="22" spans="2:34">
      <c r="B22" s="6"/>
      <c r="E22" s="18">
        <v>3</v>
      </c>
      <c r="F22" s="18">
        <v>5</v>
      </c>
      <c r="G22" s="18">
        <v>6</v>
      </c>
      <c r="H22" s="18">
        <v>7</v>
      </c>
      <c r="I22" s="18">
        <v>8</v>
      </c>
      <c r="J22" s="18">
        <v>1</v>
      </c>
      <c r="L22" s="6"/>
      <c r="W22" s="193"/>
      <c r="X22" s="193"/>
      <c r="Y22" s="193"/>
      <c r="Z22" s="193"/>
    </row>
    <row r="23" spans="2:34">
      <c r="B23" s="6"/>
      <c r="C23" s="12" t="s">
        <v>10</v>
      </c>
      <c r="D23" s="10" t="s">
        <v>11</v>
      </c>
      <c r="E23" s="12" t="s">
        <v>12</v>
      </c>
      <c r="F23" s="12" t="s">
        <v>12</v>
      </c>
      <c r="G23" s="12" t="s">
        <v>12</v>
      </c>
      <c r="H23" s="12" t="s">
        <v>324</v>
      </c>
      <c r="I23" s="12" t="s">
        <v>12</v>
      </c>
      <c r="J23" s="12" t="s">
        <v>12</v>
      </c>
      <c r="L23" s="6"/>
      <c r="M23" s="67" t="s">
        <v>11</v>
      </c>
      <c r="N23" s="67" t="s">
        <v>15</v>
      </c>
      <c r="O23" s="12" t="s">
        <v>16</v>
      </c>
      <c r="P23" s="12" t="s">
        <v>16</v>
      </c>
      <c r="Q23" s="12" t="s">
        <v>16</v>
      </c>
      <c r="R23" s="12" t="s">
        <v>16</v>
      </c>
      <c r="S23" s="12" t="s">
        <v>16</v>
      </c>
      <c r="T23" s="12" t="s">
        <v>16</v>
      </c>
      <c r="U23" s="12"/>
    </row>
    <row r="24" spans="2:34">
      <c r="B24" s="6"/>
      <c r="C24" s="12"/>
      <c r="D24" s="10"/>
      <c r="E24" s="12"/>
      <c r="F24" s="12"/>
      <c r="G24" s="12"/>
      <c r="H24" s="12"/>
      <c r="I24" s="12"/>
      <c r="J24" s="12"/>
      <c r="L24" s="6"/>
      <c r="M24" s="21">
        <v>45688</v>
      </c>
      <c r="N24" s="67" t="s">
        <v>20</v>
      </c>
      <c r="O24" s="25">
        <v>20</v>
      </c>
      <c r="P24" s="25">
        <v>20</v>
      </c>
      <c r="Q24" s="25">
        <v>20</v>
      </c>
      <c r="R24" s="25">
        <v>20</v>
      </c>
      <c r="S24" s="25">
        <v>20</v>
      </c>
      <c r="T24" s="25">
        <v>20</v>
      </c>
      <c r="U24" s="25"/>
      <c r="V24" s="179"/>
      <c r="Y24" s="179"/>
      <c r="Z24" s="179"/>
      <c r="AA24" s="34"/>
      <c r="AB24" s="34"/>
      <c r="AC24" s="34"/>
      <c r="AD24" s="34"/>
      <c r="AE24" s="34"/>
      <c r="AF24" s="34"/>
      <c r="AG24" s="179"/>
      <c r="AH24" s="179"/>
    </row>
    <row r="25" spans="2:34">
      <c r="B25" s="6"/>
      <c r="C25" s="12">
        <v>1</v>
      </c>
      <c r="D25" s="22">
        <f>M25</f>
        <v>45688</v>
      </c>
      <c r="E25" s="26">
        <f t="shared" ref="E25:J39" si="7">IF(O25="","",IF(O25=0,1,0))</f>
        <v>1</v>
      </c>
      <c r="F25" s="26">
        <f t="shared" si="7"/>
        <v>1</v>
      </c>
      <c r="G25" s="26">
        <f t="shared" si="7"/>
        <v>0</v>
      </c>
      <c r="H25" s="26">
        <f>IF(R25="","",IF(R25=0,1,0))</f>
        <v>1</v>
      </c>
      <c r="I25" s="26">
        <f t="shared" si="7"/>
        <v>1</v>
      </c>
      <c r="J25" s="26">
        <f t="shared" si="7"/>
        <v>1</v>
      </c>
      <c r="L25" s="6"/>
      <c r="M25" s="21">
        <f>M24</f>
        <v>45688</v>
      </c>
      <c r="N25" s="10" t="s">
        <v>24</v>
      </c>
      <c r="O25" s="25">
        <v>0</v>
      </c>
      <c r="P25" s="25">
        <v>0</v>
      </c>
      <c r="Q25" s="25">
        <v>13</v>
      </c>
      <c r="R25" s="25">
        <v>0</v>
      </c>
      <c r="S25" s="25">
        <v>0</v>
      </c>
      <c r="T25" s="25">
        <v>0</v>
      </c>
      <c r="U25" s="25"/>
      <c r="V25" s="179"/>
      <c r="Y25" s="200"/>
      <c r="Z25" s="201"/>
      <c r="AC25" s="198"/>
      <c r="AE25" s="63"/>
      <c r="AG25" s="179"/>
      <c r="AH25" s="179"/>
    </row>
    <row r="26" spans="2:34">
      <c r="B26" s="6"/>
      <c r="C26" s="12">
        <f t="shared" ref="C26:C88" ca="1" si="8">IF(D26&lt;=TODAY(),1,"")</f>
        <v>1</v>
      </c>
      <c r="D26" s="22">
        <f t="shared" ref="D26:D84" si="9">IF(M26="","",M26)</f>
        <v>45695</v>
      </c>
      <c r="E26" s="26">
        <f t="shared" si="7"/>
        <v>1</v>
      </c>
      <c r="F26" s="26">
        <f t="shared" si="7"/>
        <v>1</v>
      </c>
      <c r="G26" s="26">
        <f t="shared" si="7"/>
        <v>1</v>
      </c>
      <c r="H26" s="26">
        <f t="shared" si="7"/>
        <v>1</v>
      </c>
      <c r="I26" s="26">
        <f t="shared" si="7"/>
        <v>1</v>
      </c>
      <c r="J26" s="26">
        <f t="shared" si="7"/>
        <v>1</v>
      </c>
      <c r="M26" s="21">
        <f>M25+7</f>
        <v>45695</v>
      </c>
      <c r="N26" s="10" t="s">
        <v>24</v>
      </c>
      <c r="O26" s="25">
        <v>0</v>
      </c>
      <c r="P26" s="25">
        <v>0</v>
      </c>
      <c r="Q26" s="25">
        <v>0</v>
      </c>
      <c r="R26" s="25">
        <v>0</v>
      </c>
      <c r="S26" s="25">
        <v>0</v>
      </c>
      <c r="T26" s="25">
        <v>0</v>
      </c>
      <c r="U26" s="25"/>
      <c r="V26" s="179"/>
      <c r="Z26" s="201"/>
      <c r="AC26" s="198"/>
      <c r="AE26" s="63"/>
      <c r="AG26" s="179"/>
      <c r="AH26" s="179"/>
    </row>
    <row r="27" spans="2:34">
      <c r="B27" s="6"/>
      <c r="C27" s="12">
        <f t="shared" ca="1" si="8"/>
        <v>1</v>
      </c>
      <c r="D27" s="22">
        <f t="shared" si="9"/>
        <v>45702</v>
      </c>
      <c r="E27" s="26">
        <f t="shared" si="7"/>
        <v>0</v>
      </c>
      <c r="F27" s="26">
        <f t="shared" si="7"/>
        <v>1</v>
      </c>
      <c r="G27" s="26">
        <f t="shared" si="7"/>
        <v>1</v>
      </c>
      <c r="H27" s="26">
        <f t="shared" si="7"/>
        <v>1</v>
      </c>
      <c r="I27" s="26">
        <f t="shared" si="7"/>
        <v>1</v>
      </c>
      <c r="J27" s="26">
        <f t="shared" si="7"/>
        <v>1</v>
      </c>
      <c r="M27" s="21">
        <f>M26+7</f>
        <v>45702</v>
      </c>
      <c r="N27" s="10" t="s">
        <v>24</v>
      </c>
      <c r="O27" s="25">
        <v>13</v>
      </c>
      <c r="P27" s="25">
        <v>0</v>
      </c>
      <c r="Q27" s="25">
        <v>0</v>
      </c>
      <c r="R27" s="25">
        <v>0</v>
      </c>
      <c r="S27" s="25">
        <v>0</v>
      </c>
      <c r="T27" s="25">
        <v>0</v>
      </c>
      <c r="U27" s="25"/>
      <c r="V27" s="179"/>
      <c r="Z27" s="201"/>
      <c r="AC27" s="198"/>
      <c r="AE27" s="63"/>
      <c r="AG27" s="179"/>
      <c r="AH27" s="179"/>
    </row>
    <row r="28" spans="2:34">
      <c r="B28" s="6"/>
      <c r="C28" s="12">
        <f t="shared" ca="1" si="8"/>
        <v>1</v>
      </c>
      <c r="D28" s="22">
        <f t="shared" si="9"/>
        <v>45709</v>
      </c>
      <c r="E28" s="26">
        <f t="shared" si="7"/>
        <v>1</v>
      </c>
      <c r="F28" s="26">
        <f t="shared" si="7"/>
        <v>1</v>
      </c>
      <c r="G28" s="26">
        <f t="shared" si="7"/>
        <v>1</v>
      </c>
      <c r="H28" s="26">
        <f t="shared" si="7"/>
        <v>1</v>
      </c>
      <c r="I28" s="26">
        <f t="shared" si="7"/>
        <v>1</v>
      </c>
      <c r="J28" s="26">
        <f t="shared" si="7"/>
        <v>1</v>
      </c>
      <c r="M28" s="21">
        <f>M27+7</f>
        <v>45709</v>
      </c>
      <c r="N28" s="10" t="s">
        <v>24</v>
      </c>
      <c r="O28" s="25">
        <v>0</v>
      </c>
      <c r="P28" s="25">
        <v>0</v>
      </c>
      <c r="Q28" s="25">
        <v>0</v>
      </c>
      <c r="R28" s="25">
        <v>0</v>
      </c>
      <c r="S28" s="25">
        <v>0</v>
      </c>
      <c r="T28" s="25">
        <v>0</v>
      </c>
      <c r="U28" s="25"/>
      <c r="V28" s="179"/>
      <c r="Z28" s="201"/>
      <c r="AC28" s="198"/>
      <c r="AE28" s="63"/>
      <c r="AG28" s="179"/>
      <c r="AH28" s="179"/>
    </row>
    <row r="29" spans="2:34">
      <c r="B29" s="6"/>
      <c r="C29" s="12">
        <f t="shared" ca="1" si="8"/>
        <v>1</v>
      </c>
      <c r="D29" s="22">
        <f t="shared" ref="D29" si="10">IF(M29="","",M29)</f>
        <v>45716</v>
      </c>
      <c r="E29" s="26">
        <f t="shared" ref="E29" si="11">IF(O29="","",IF(O29=0,1,0))</f>
        <v>1</v>
      </c>
      <c r="F29" s="26">
        <f t="shared" ref="F29" si="12">IF(P29="","",IF(P29=0,1,0))</f>
        <v>0</v>
      </c>
      <c r="G29" s="26">
        <f t="shared" ref="G29" si="13">IF(Q29="","",IF(Q29=0,1,0))</f>
        <v>0</v>
      </c>
      <c r="H29" s="26">
        <f t="shared" ref="H29" si="14">IF(R29="","",IF(R29=0,1,0))</f>
        <v>0</v>
      </c>
      <c r="I29" s="26">
        <f t="shared" ref="I29" si="15">IF(S29="","",IF(S29=0,1,0))</f>
        <v>1</v>
      </c>
      <c r="J29" s="26">
        <f t="shared" ref="J29" si="16">IF(T29="","",IF(T29=0,1,0))</f>
        <v>0</v>
      </c>
      <c r="M29" s="21">
        <f>M28+7</f>
        <v>45716</v>
      </c>
      <c r="N29" s="10" t="s">
        <v>24</v>
      </c>
      <c r="O29" s="25">
        <v>0</v>
      </c>
      <c r="P29" s="25">
        <v>13</v>
      </c>
      <c r="Q29" s="25">
        <v>13</v>
      </c>
      <c r="R29" s="25">
        <v>13</v>
      </c>
      <c r="S29" s="25">
        <v>0</v>
      </c>
      <c r="T29" s="25">
        <v>13</v>
      </c>
      <c r="U29" s="25"/>
      <c r="V29" s="179"/>
      <c r="Z29" s="201"/>
      <c r="AC29" s="198"/>
      <c r="AE29" s="63"/>
      <c r="AG29" s="179"/>
      <c r="AH29" s="179"/>
    </row>
    <row r="30" spans="2:34">
      <c r="B30" s="6"/>
      <c r="C30" s="12">
        <f t="shared" ca="1" si="8"/>
        <v>1</v>
      </c>
      <c r="D30" s="22">
        <f t="shared" si="9"/>
        <v>45723</v>
      </c>
      <c r="E30" s="26">
        <f t="shared" si="7"/>
        <v>1</v>
      </c>
      <c r="F30" s="26">
        <f t="shared" si="7"/>
        <v>1</v>
      </c>
      <c r="G30" s="26">
        <f t="shared" si="7"/>
        <v>1</v>
      </c>
      <c r="H30" s="26">
        <f t="shared" si="7"/>
        <v>1</v>
      </c>
      <c r="I30" s="26">
        <f t="shared" si="7"/>
        <v>0</v>
      </c>
      <c r="J30" s="26">
        <f t="shared" si="7"/>
        <v>1</v>
      </c>
      <c r="M30" s="21">
        <f>M29+7</f>
        <v>45723</v>
      </c>
      <c r="N30" s="10" t="s">
        <v>24</v>
      </c>
      <c r="O30" s="25">
        <v>0</v>
      </c>
      <c r="P30" s="25">
        <v>0</v>
      </c>
      <c r="Q30" s="25">
        <v>0</v>
      </c>
      <c r="R30" s="25">
        <v>0</v>
      </c>
      <c r="S30" s="25">
        <v>13</v>
      </c>
      <c r="T30" s="25">
        <v>0</v>
      </c>
      <c r="U30" s="25"/>
      <c r="V30" s="179"/>
      <c r="Z30" s="201"/>
      <c r="AC30" s="198"/>
      <c r="AE30" s="63"/>
      <c r="AG30" s="179"/>
      <c r="AH30" s="179"/>
    </row>
    <row r="31" spans="2:34">
      <c r="B31" s="6"/>
      <c r="C31" s="12">
        <f t="shared" ca="1" si="8"/>
        <v>1</v>
      </c>
      <c r="D31" s="22">
        <f t="shared" si="9"/>
        <v>45730</v>
      </c>
      <c r="E31" s="26">
        <f t="shared" si="7"/>
        <v>1</v>
      </c>
      <c r="F31" s="26">
        <f t="shared" si="7"/>
        <v>1</v>
      </c>
      <c r="G31" s="26">
        <f t="shared" si="7"/>
        <v>1</v>
      </c>
      <c r="H31" s="26">
        <f t="shared" si="7"/>
        <v>0</v>
      </c>
      <c r="I31" s="26">
        <f t="shared" si="7"/>
        <v>1</v>
      </c>
      <c r="J31" s="26">
        <f t="shared" si="7"/>
        <v>1</v>
      </c>
      <c r="M31" s="21">
        <f t="shared" ref="M31:M32" si="17">M30+7</f>
        <v>45730</v>
      </c>
      <c r="N31" s="10" t="s">
        <v>24</v>
      </c>
      <c r="O31" s="25">
        <v>0</v>
      </c>
      <c r="P31" s="25">
        <v>0</v>
      </c>
      <c r="Q31" s="25">
        <v>0</v>
      </c>
      <c r="R31" s="25">
        <v>13</v>
      </c>
      <c r="S31" s="25">
        <v>0</v>
      </c>
      <c r="T31" s="25">
        <v>0</v>
      </c>
      <c r="U31" s="25"/>
      <c r="V31" s="179"/>
      <c r="Z31" s="201"/>
      <c r="AC31" s="198"/>
      <c r="AD31" s="34"/>
      <c r="AE31" s="199"/>
      <c r="AG31" s="179"/>
      <c r="AH31" s="179"/>
    </row>
    <row r="32" spans="2:34">
      <c r="B32" s="6"/>
      <c r="C32" s="12">
        <f t="shared" ca="1" si="8"/>
        <v>1</v>
      </c>
      <c r="D32" s="22">
        <f t="shared" si="9"/>
        <v>45737</v>
      </c>
      <c r="E32" s="26">
        <f t="shared" si="7"/>
        <v>1</v>
      </c>
      <c r="F32" s="26">
        <f t="shared" si="7"/>
        <v>0</v>
      </c>
      <c r="G32" s="26">
        <f t="shared" si="7"/>
        <v>1</v>
      </c>
      <c r="H32" s="26">
        <f t="shared" si="7"/>
        <v>0</v>
      </c>
      <c r="I32" s="26">
        <f t="shared" si="7"/>
        <v>1</v>
      </c>
      <c r="J32" s="26">
        <f t="shared" si="7"/>
        <v>1</v>
      </c>
      <c r="M32" s="21">
        <f t="shared" si="17"/>
        <v>45737</v>
      </c>
      <c r="N32" s="10" t="s">
        <v>24</v>
      </c>
      <c r="O32" s="25">
        <v>0</v>
      </c>
      <c r="P32" s="25">
        <v>13</v>
      </c>
      <c r="Q32" s="25">
        <v>0</v>
      </c>
      <c r="R32" s="25">
        <v>13</v>
      </c>
      <c r="S32" s="25">
        <v>0</v>
      </c>
      <c r="T32" s="25">
        <v>0</v>
      </c>
      <c r="U32" s="25"/>
      <c r="V32" s="179"/>
      <c r="W32" s="179"/>
      <c r="Z32" s="179"/>
    </row>
    <row r="33" spans="2:34">
      <c r="B33" s="6"/>
      <c r="C33" s="12">
        <f t="shared" ca="1" si="8"/>
        <v>1</v>
      </c>
      <c r="D33" s="22">
        <f t="shared" si="9"/>
        <v>45744</v>
      </c>
      <c r="E33" s="26">
        <f t="shared" si="7"/>
        <v>0</v>
      </c>
      <c r="F33" s="26">
        <f t="shared" si="7"/>
        <v>1</v>
      </c>
      <c r="G33" s="26">
        <f t="shared" si="7"/>
        <v>1</v>
      </c>
      <c r="H33" s="26">
        <f t="shared" si="7"/>
        <v>0</v>
      </c>
      <c r="I33" s="26">
        <f t="shared" si="7"/>
        <v>1</v>
      </c>
      <c r="J33" s="26">
        <f t="shared" si="7"/>
        <v>0</v>
      </c>
      <c r="M33" s="21">
        <f>M32+7</f>
        <v>45744</v>
      </c>
      <c r="N33" s="10" t="s">
        <v>24</v>
      </c>
      <c r="O33" s="25">
        <v>13</v>
      </c>
      <c r="P33" s="25">
        <v>0</v>
      </c>
      <c r="Q33" s="25">
        <v>0</v>
      </c>
      <c r="R33" s="25">
        <v>13</v>
      </c>
      <c r="S33" s="25">
        <v>0</v>
      </c>
      <c r="T33" s="25">
        <v>13</v>
      </c>
      <c r="U33" s="25"/>
      <c r="V33" s="179"/>
      <c r="Y33" s="179"/>
      <c r="Z33" s="179"/>
    </row>
    <row r="34" spans="2:34">
      <c r="B34" s="6"/>
      <c r="C34" s="12">
        <f t="shared" ca="1" si="8"/>
        <v>1</v>
      </c>
      <c r="D34" s="22">
        <f t="shared" si="9"/>
        <v>45751</v>
      </c>
      <c r="E34" s="26">
        <f t="shared" si="7"/>
        <v>1</v>
      </c>
      <c r="F34" s="26">
        <f t="shared" si="7"/>
        <v>1</v>
      </c>
      <c r="G34" s="26">
        <f t="shared" si="7"/>
        <v>0</v>
      </c>
      <c r="H34" s="26">
        <f t="shared" si="7"/>
        <v>0</v>
      </c>
      <c r="I34" s="26">
        <f t="shared" si="7"/>
        <v>1</v>
      </c>
      <c r="J34" s="26">
        <f t="shared" si="7"/>
        <v>0</v>
      </c>
      <c r="M34" s="21">
        <f>M33+7</f>
        <v>45751</v>
      </c>
      <c r="N34" s="10" t="s">
        <v>24</v>
      </c>
      <c r="O34" s="25">
        <v>0</v>
      </c>
      <c r="P34" s="25">
        <v>0</v>
      </c>
      <c r="Q34" s="25">
        <v>13</v>
      </c>
      <c r="R34" s="25">
        <v>13</v>
      </c>
      <c r="S34" s="25">
        <v>0</v>
      </c>
      <c r="T34" s="25">
        <v>13</v>
      </c>
      <c r="U34" s="25"/>
      <c r="V34" s="179"/>
      <c r="AD34" s="2"/>
      <c r="AG34" s="179"/>
      <c r="AH34" s="179"/>
    </row>
    <row r="35" spans="2:34">
      <c r="B35" s="6"/>
      <c r="C35" s="251"/>
      <c r="D35" s="252"/>
      <c r="E35" s="252"/>
      <c r="F35" s="252"/>
      <c r="G35" s="252"/>
      <c r="H35" s="252"/>
      <c r="I35" s="252"/>
      <c r="J35" s="253"/>
      <c r="M35" s="21">
        <f>M34</f>
        <v>45751</v>
      </c>
      <c r="N35" s="10" t="s">
        <v>53</v>
      </c>
      <c r="O35" s="25"/>
      <c r="P35" s="25"/>
      <c r="Q35" s="25"/>
      <c r="R35" s="25"/>
      <c r="S35" s="25"/>
      <c r="T35" s="25">
        <v>6.5</v>
      </c>
      <c r="U35" s="25"/>
      <c r="V35" s="179"/>
      <c r="AB35" s="58"/>
      <c r="AG35" s="179"/>
      <c r="AH35" s="179"/>
    </row>
    <row r="36" spans="2:34">
      <c r="B36" s="6"/>
      <c r="C36" s="12">
        <f t="shared" ca="1" si="8"/>
        <v>1</v>
      </c>
      <c r="D36" s="22">
        <f t="shared" si="9"/>
        <v>45758</v>
      </c>
      <c r="E36" s="26">
        <f t="shared" si="7"/>
        <v>1</v>
      </c>
      <c r="F36" s="26">
        <f t="shared" si="7"/>
        <v>1</v>
      </c>
      <c r="G36" s="26">
        <f t="shared" si="7"/>
        <v>1</v>
      </c>
      <c r="H36" s="26">
        <f t="shared" si="7"/>
        <v>0</v>
      </c>
      <c r="I36" s="26">
        <f t="shared" si="7"/>
        <v>1</v>
      </c>
      <c r="J36" s="26">
        <f t="shared" si="7"/>
        <v>1</v>
      </c>
      <c r="M36" s="21">
        <f>M35+7</f>
        <v>45758</v>
      </c>
      <c r="N36" s="10" t="s">
        <v>24</v>
      </c>
      <c r="O36" s="25">
        <v>0</v>
      </c>
      <c r="P36" s="25">
        <v>0</v>
      </c>
      <c r="Q36" s="25">
        <v>0</v>
      </c>
      <c r="R36" s="25">
        <v>13</v>
      </c>
      <c r="S36" s="25">
        <v>0</v>
      </c>
      <c r="T36" s="25">
        <v>0</v>
      </c>
      <c r="U36" s="25"/>
      <c r="V36" s="179"/>
      <c r="AC36" s="27" t="s">
        <v>341</v>
      </c>
      <c r="AD36" s="27">
        <v>100</v>
      </c>
    </row>
    <row r="37" spans="2:34">
      <c r="B37" s="6"/>
      <c r="C37" s="12">
        <f t="shared" ca="1" si="8"/>
        <v>1</v>
      </c>
      <c r="D37" s="22">
        <f t="shared" si="9"/>
        <v>45772</v>
      </c>
      <c r="E37" s="26">
        <f t="shared" si="7"/>
        <v>1</v>
      </c>
      <c r="F37" s="26">
        <f t="shared" si="7"/>
        <v>1</v>
      </c>
      <c r="G37" s="26">
        <f t="shared" si="7"/>
        <v>0</v>
      </c>
      <c r="H37" s="26">
        <f t="shared" si="7"/>
        <v>1</v>
      </c>
      <c r="I37" s="26">
        <f t="shared" si="7"/>
        <v>1</v>
      </c>
      <c r="J37" s="26">
        <f t="shared" si="7"/>
        <v>1</v>
      </c>
      <c r="M37" s="21">
        <f>M36+14</f>
        <v>45772</v>
      </c>
      <c r="N37" s="10" t="s">
        <v>24</v>
      </c>
      <c r="O37" s="25">
        <v>0</v>
      </c>
      <c r="P37" s="25">
        <v>0</v>
      </c>
      <c r="Q37" s="25">
        <v>13</v>
      </c>
      <c r="R37" s="25">
        <v>0</v>
      </c>
      <c r="S37" s="25">
        <v>0</v>
      </c>
      <c r="T37" s="25">
        <v>0</v>
      </c>
      <c r="U37" s="25"/>
      <c r="V37" s="179"/>
      <c r="AC37" s="27">
        <v>2.57</v>
      </c>
      <c r="AD37" s="27">
        <f>100-AC37</f>
        <v>97.43</v>
      </c>
    </row>
    <row r="38" spans="2:34" ht="16.5" customHeight="1">
      <c r="B38" s="6"/>
      <c r="C38" s="12">
        <f t="shared" ca="1" si="8"/>
        <v>1</v>
      </c>
      <c r="D38" s="22">
        <f t="shared" si="9"/>
        <v>45779</v>
      </c>
      <c r="E38" s="26">
        <f t="shared" si="7"/>
        <v>1</v>
      </c>
      <c r="F38" s="26">
        <f t="shared" si="7"/>
        <v>1</v>
      </c>
      <c r="G38" s="26">
        <f t="shared" si="7"/>
        <v>0</v>
      </c>
      <c r="H38" s="26">
        <f t="shared" si="7"/>
        <v>0</v>
      </c>
      <c r="I38" s="26">
        <f t="shared" si="7"/>
        <v>1</v>
      </c>
      <c r="J38" s="26">
        <f t="shared" si="7"/>
        <v>1</v>
      </c>
      <c r="M38" s="21">
        <f t="shared" ref="M38:M47" si="18">M37+7</f>
        <v>45779</v>
      </c>
      <c r="N38" s="10" t="s">
        <v>24</v>
      </c>
      <c r="O38" s="25">
        <v>0</v>
      </c>
      <c r="P38" s="25">
        <v>0</v>
      </c>
      <c r="Q38" s="25">
        <v>13</v>
      </c>
      <c r="R38" s="25">
        <v>13</v>
      </c>
      <c r="S38" s="25">
        <v>0</v>
      </c>
      <c r="T38" s="25">
        <v>0</v>
      </c>
      <c r="U38" s="25"/>
      <c r="V38" s="179"/>
      <c r="AC38" s="27">
        <v>2.6</v>
      </c>
      <c r="AD38" s="27">
        <f t="shared" ref="AD38:AD41" si="19">100-AC38</f>
        <v>97.4</v>
      </c>
    </row>
    <row r="39" spans="2:34">
      <c r="B39" s="6"/>
      <c r="C39" s="12">
        <f t="shared" ca="1" si="8"/>
        <v>1</v>
      </c>
      <c r="D39" s="22">
        <f t="shared" si="9"/>
        <v>45786</v>
      </c>
      <c r="E39" s="26">
        <f t="shared" si="7"/>
        <v>1</v>
      </c>
      <c r="F39" s="26">
        <f t="shared" si="7"/>
        <v>1</v>
      </c>
      <c r="G39" s="26">
        <f t="shared" si="7"/>
        <v>0</v>
      </c>
      <c r="H39" s="26">
        <f t="shared" si="7"/>
        <v>1</v>
      </c>
      <c r="I39" s="26">
        <f t="shared" si="7"/>
        <v>0</v>
      </c>
      <c r="J39" s="26">
        <f t="shared" si="7"/>
        <v>1</v>
      </c>
      <c r="M39" s="21">
        <f t="shared" si="18"/>
        <v>45786</v>
      </c>
      <c r="N39" s="10" t="s">
        <v>24</v>
      </c>
      <c r="O39" s="25">
        <v>0</v>
      </c>
      <c r="P39" s="25">
        <v>0</v>
      </c>
      <c r="Q39" s="25">
        <v>13</v>
      </c>
      <c r="R39" s="25">
        <v>0</v>
      </c>
      <c r="S39" s="25">
        <v>13</v>
      </c>
      <c r="T39" s="25">
        <v>0</v>
      </c>
      <c r="V39" s="179"/>
      <c r="AC39" s="27">
        <v>2.2400000000000002</v>
      </c>
      <c r="AD39" s="27">
        <f t="shared" si="19"/>
        <v>97.76</v>
      </c>
    </row>
    <row r="40" spans="2:34">
      <c r="B40" s="6"/>
      <c r="C40" s="12">
        <f t="shared" ca="1" si="8"/>
        <v>1</v>
      </c>
      <c r="D40" s="22">
        <f t="shared" si="9"/>
        <v>45793</v>
      </c>
      <c r="E40" s="26">
        <f t="shared" ref="E40:J56" si="20">IF(O40="","",IF(O40=0,1,0))</f>
        <v>1</v>
      </c>
      <c r="F40" s="26">
        <f t="shared" si="20"/>
        <v>1</v>
      </c>
      <c r="G40" s="26">
        <f t="shared" si="20"/>
        <v>0</v>
      </c>
      <c r="H40" s="26">
        <f t="shared" si="20"/>
        <v>0</v>
      </c>
      <c r="I40" s="26">
        <f t="shared" si="20"/>
        <v>1</v>
      </c>
      <c r="J40" s="26">
        <f t="shared" si="20"/>
        <v>0</v>
      </c>
      <c r="M40" s="21">
        <f t="shared" si="18"/>
        <v>45793</v>
      </c>
      <c r="N40" s="10" t="s">
        <v>24</v>
      </c>
      <c r="O40" s="25">
        <v>0</v>
      </c>
      <c r="P40" s="25">
        <v>0</v>
      </c>
      <c r="Q40" s="25">
        <v>13</v>
      </c>
      <c r="R40" s="25">
        <v>13</v>
      </c>
      <c r="S40" s="25">
        <v>0</v>
      </c>
      <c r="T40" s="25">
        <v>13</v>
      </c>
      <c r="V40" s="179"/>
      <c r="AC40" s="27">
        <v>2.02</v>
      </c>
      <c r="AD40" s="27">
        <f t="shared" si="19"/>
        <v>97.98</v>
      </c>
    </row>
    <row r="41" spans="2:34">
      <c r="B41" s="6"/>
      <c r="C41" s="12"/>
      <c r="D41" s="10"/>
      <c r="E41" s="12"/>
      <c r="F41" s="12"/>
      <c r="G41" s="12"/>
      <c r="H41" s="12"/>
      <c r="I41" s="12"/>
      <c r="J41" s="12"/>
      <c r="M41" s="21">
        <v>45793</v>
      </c>
      <c r="N41" s="10" t="s">
        <v>53</v>
      </c>
      <c r="O41" s="25"/>
      <c r="P41" s="25"/>
      <c r="Q41" s="25"/>
      <c r="R41" s="25"/>
      <c r="S41" s="25"/>
      <c r="T41" s="25">
        <v>6.5</v>
      </c>
      <c r="V41" s="179"/>
      <c r="AC41" s="27">
        <v>1.84</v>
      </c>
      <c r="AD41" s="27">
        <f t="shared" si="19"/>
        <v>98.16</v>
      </c>
    </row>
    <row r="42" spans="2:34">
      <c r="B42" s="6"/>
      <c r="C42" s="12">
        <f t="shared" ca="1" si="8"/>
        <v>1</v>
      </c>
      <c r="D42" s="22">
        <f t="shared" si="9"/>
        <v>45800</v>
      </c>
      <c r="E42" s="26">
        <f t="shared" si="20"/>
        <v>1</v>
      </c>
      <c r="F42" s="26">
        <f t="shared" si="20"/>
        <v>1</v>
      </c>
      <c r="G42" s="26">
        <f t="shared" si="20"/>
        <v>0</v>
      </c>
      <c r="H42" s="26">
        <f t="shared" si="20"/>
        <v>1</v>
      </c>
      <c r="I42" s="26">
        <f t="shared" si="20"/>
        <v>1</v>
      </c>
      <c r="J42" s="26">
        <f t="shared" si="20"/>
        <v>1</v>
      </c>
      <c r="M42" s="21">
        <f t="shared" si="18"/>
        <v>45800</v>
      </c>
      <c r="N42" s="10" t="s">
        <v>24</v>
      </c>
      <c r="O42" s="25">
        <v>0</v>
      </c>
      <c r="P42" s="25">
        <v>0</v>
      </c>
      <c r="Q42" s="25">
        <v>13</v>
      </c>
      <c r="R42" s="25">
        <v>0</v>
      </c>
      <c r="S42" s="25">
        <v>0</v>
      </c>
      <c r="T42" s="25">
        <v>0</v>
      </c>
      <c r="V42" s="179"/>
    </row>
    <row r="43" spans="2:34">
      <c r="B43" s="6"/>
      <c r="C43" s="12">
        <f t="shared" ca="1" si="8"/>
        <v>1</v>
      </c>
      <c r="D43" s="22">
        <f t="shared" si="9"/>
        <v>45807</v>
      </c>
      <c r="E43" s="26">
        <f t="shared" si="20"/>
        <v>1</v>
      </c>
      <c r="F43" s="26">
        <f t="shared" si="20"/>
        <v>0</v>
      </c>
      <c r="G43" s="26">
        <f t="shared" si="20"/>
        <v>0</v>
      </c>
      <c r="H43" s="26">
        <f t="shared" si="20"/>
        <v>0</v>
      </c>
      <c r="I43" s="26">
        <f t="shared" si="20"/>
        <v>1</v>
      </c>
      <c r="J43" s="26">
        <f t="shared" si="20"/>
        <v>0</v>
      </c>
      <c r="M43" s="21">
        <f t="shared" si="18"/>
        <v>45807</v>
      </c>
      <c r="N43" s="10" t="s">
        <v>24</v>
      </c>
      <c r="O43" s="25">
        <v>0</v>
      </c>
      <c r="P43" s="25">
        <v>13</v>
      </c>
      <c r="Q43" s="25">
        <v>13</v>
      </c>
      <c r="R43" s="25">
        <v>13</v>
      </c>
      <c r="S43" s="25">
        <v>0</v>
      </c>
      <c r="T43" s="25">
        <v>13</v>
      </c>
      <c r="V43" s="179"/>
      <c r="Y43" s="179"/>
      <c r="Z43" s="179"/>
    </row>
    <row r="44" spans="2:34">
      <c r="B44" s="6"/>
      <c r="C44" s="12">
        <f t="shared" ca="1" si="8"/>
        <v>1</v>
      </c>
      <c r="D44" s="22">
        <f t="shared" si="9"/>
        <v>45814</v>
      </c>
      <c r="E44" s="26">
        <f t="shared" si="20"/>
        <v>1</v>
      </c>
      <c r="F44" s="26">
        <f t="shared" si="20"/>
        <v>0</v>
      </c>
      <c r="G44" s="26">
        <f t="shared" si="20"/>
        <v>1</v>
      </c>
      <c r="H44" s="26">
        <f t="shared" si="20"/>
        <v>0</v>
      </c>
      <c r="I44" s="26">
        <f t="shared" si="20"/>
        <v>1</v>
      </c>
      <c r="J44" s="26">
        <f t="shared" si="20"/>
        <v>1</v>
      </c>
      <c r="M44" s="21">
        <f t="shared" si="18"/>
        <v>45814</v>
      </c>
      <c r="N44" s="10" t="s">
        <v>24</v>
      </c>
      <c r="O44" s="25">
        <v>0</v>
      </c>
      <c r="P44" s="25">
        <v>13</v>
      </c>
      <c r="Q44" s="25">
        <v>0</v>
      </c>
      <c r="R44" s="25">
        <v>13</v>
      </c>
      <c r="S44" s="25">
        <v>0</v>
      </c>
      <c r="T44" s="25">
        <v>0</v>
      </c>
      <c r="V44" s="179"/>
      <c r="Y44" s="179"/>
      <c r="Z44" s="179"/>
    </row>
    <row r="45" spans="2:34">
      <c r="B45" s="6"/>
      <c r="C45" s="12">
        <f t="shared" ca="1" si="8"/>
        <v>1</v>
      </c>
      <c r="D45" s="22">
        <f t="shared" si="9"/>
        <v>45821</v>
      </c>
      <c r="E45" s="26">
        <f t="shared" si="20"/>
        <v>1</v>
      </c>
      <c r="F45" s="26">
        <f t="shared" si="20"/>
        <v>0</v>
      </c>
      <c r="G45" s="26">
        <f t="shared" si="20"/>
        <v>1</v>
      </c>
      <c r="H45" s="26">
        <f t="shared" si="20"/>
        <v>1</v>
      </c>
      <c r="I45" s="26">
        <f t="shared" si="20"/>
        <v>1</v>
      </c>
      <c r="J45" s="26">
        <f t="shared" si="20"/>
        <v>0</v>
      </c>
      <c r="M45" s="21">
        <f t="shared" si="18"/>
        <v>45821</v>
      </c>
      <c r="N45" s="10" t="s">
        <v>24</v>
      </c>
      <c r="O45" s="25">
        <v>0</v>
      </c>
      <c r="P45" s="25">
        <v>13</v>
      </c>
      <c r="Q45" s="25">
        <v>0</v>
      </c>
      <c r="R45" s="25">
        <v>0</v>
      </c>
      <c r="S45" s="25">
        <v>0</v>
      </c>
      <c r="T45" s="25">
        <v>13</v>
      </c>
      <c r="V45" s="179"/>
      <c r="Y45" s="179"/>
      <c r="Z45" s="179"/>
    </row>
    <row r="46" spans="2:34">
      <c r="B46" s="6"/>
      <c r="C46" s="12">
        <f t="shared" ca="1" si="8"/>
        <v>1</v>
      </c>
      <c r="D46" s="22">
        <f t="shared" si="9"/>
        <v>45828</v>
      </c>
      <c r="E46" s="26">
        <f t="shared" si="20"/>
        <v>1</v>
      </c>
      <c r="F46" s="26">
        <f t="shared" si="20"/>
        <v>1</v>
      </c>
      <c r="G46" s="26">
        <f t="shared" si="20"/>
        <v>1</v>
      </c>
      <c r="H46" s="26">
        <f t="shared" si="20"/>
        <v>0</v>
      </c>
      <c r="I46" s="26">
        <f t="shared" si="20"/>
        <v>1</v>
      </c>
      <c r="J46" s="26">
        <f t="shared" si="20"/>
        <v>1</v>
      </c>
      <c r="M46" s="21">
        <f t="shared" si="18"/>
        <v>45828</v>
      </c>
      <c r="N46" s="10" t="s">
        <v>24</v>
      </c>
      <c r="O46" s="25">
        <v>0</v>
      </c>
      <c r="P46" s="25">
        <v>0</v>
      </c>
      <c r="Q46" s="25">
        <v>0</v>
      </c>
      <c r="R46" s="25">
        <v>13</v>
      </c>
      <c r="S46" s="25">
        <v>0</v>
      </c>
      <c r="T46" s="25">
        <v>0</v>
      </c>
      <c r="V46" s="179"/>
      <c r="Y46" s="179"/>
      <c r="Z46" s="179"/>
    </row>
    <row r="47" spans="2:34">
      <c r="B47" s="6"/>
      <c r="C47" s="12">
        <f t="shared" ca="1" si="8"/>
        <v>1</v>
      </c>
      <c r="D47" s="22">
        <f t="shared" si="9"/>
        <v>45835</v>
      </c>
      <c r="E47" s="26">
        <f t="shared" si="20"/>
        <v>1</v>
      </c>
      <c r="F47" s="26">
        <f t="shared" si="20"/>
        <v>1</v>
      </c>
      <c r="G47" s="26">
        <f t="shared" si="20"/>
        <v>0</v>
      </c>
      <c r="H47" s="26">
        <f t="shared" si="20"/>
        <v>0</v>
      </c>
      <c r="I47" s="26">
        <f t="shared" si="20"/>
        <v>1</v>
      </c>
      <c r="J47" s="26">
        <f t="shared" si="20"/>
        <v>1</v>
      </c>
      <c r="M47" s="21">
        <f t="shared" si="18"/>
        <v>45835</v>
      </c>
      <c r="N47" s="10" t="s">
        <v>24</v>
      </c>
      <c r="O47" s="25">
        <v>0</v>
      </c>
      <c r="P47" s="25">
        <v>0</v>
      </c>
      <c r="Q47" s="25">
        <v>13</v>
      </c>
      <c r="R47" s="25">
        <v>13</v>
      </c>
      <c r="S47" s="25">
        <v>0</v>
      </c>
      <c r="T47" s="25">
        <v>0</v>
      </c>
      <c r="V47" s="179"/>
      <c r="AG47" s="179"/>
      <c r="AH47" s="179"/>
    </row>
    <row r="48" spans="2:34">
      <c r="B48" s="6"/>
      <c r="C48" s="251"/>
      <c r="D48" s="252"/>
      <c r="E48" s="252"/>
      <c r="F48" s="252"/>
      <c r="G48" s="252"/>
      <c r="H48" s="252"/>
      <c r="I48" s="252"/>
      <c r="J48" s="253"/>
      <c r="M48" s="21">
        <f>M47</f>
        <v>45835</v>
      </c>
      <c r="N48" s="10" t="s">
        <v>46</v>
      </c>
      <c r="O48" s="25"/>
      <c r="P48" s="25"/>
      <c r="Q48" s="25"/>
      <c r="R48" s="25"/>
      <c r="S48" s="25">
        <v>3</v>
      </c>
      <c r="T48" s="25"/>
      <c r="V48" s="179"/>
      <c r="AG48" s="179"/>
      <c r="AH48" s="179"/>
    </row>
    <row r="49" spans="2:34">
      <c r="B49" s="6"/>
      <c r="C49" s="12">
        <f t="shared" ca="1" si="8"/>
        <v>1</v>
      </c>
      <c r="D49" s="22">
        <f t="shared" si="9"/>
        <v>45842</v>
      </c>
      <c r="E49" s="26">
        <f t="shared" si="20"/>
        <v>1</v>
      </c>
      <c r="F49" s="26">
        <f t="shared" si="20"/>
        <v>0</v>
      </c>
      <c r="G49" s="26">
        <f t="shared" si="20"/>
        <v>1</v>
      </c>
      <c r="H49" s="26">
        <f t="shared" si="20"/>
        <v>1</v>
      </c>
      <c r="I49" s="26">
        <f t="shared" si="20"/>
        <v>1</v>
      </c>
      <c r="J49" s="26">
        <f t="shared" si="20"/>
        <v>0</v>
      </c>
      <c r="M49" s="21">
        <v>45842</v>
      </c>
      <c r="N49" s="10" t="s">
        <v>24</v>
      </c>
      <c r="O49" s="25">
        <v>0</v>
      </c>
      <c r="P49" s="25">
        <v>13</v>
      </c>
      <c r="Q49" s="25">
        <v>0</v>
      </c>
      <c r="R49" s="25">
        <v>0</v>
      </c>
      <c r="S49" s="25">
        <v>0</v>
      </c>
      <c r="T49" s="25">
        <v>13</v>
      </c>
      <c r="V49" s="179"/>
      <c r="AG49" s="179"/>
      <c r="AH49" s="179"/>
    </row>
    <row r="50" spans="2:34">
      <c r="B50" s="6"/>
      <c r="C50" s="12">
        <f t="shared" ca="1" si="8"/>
        <v>1</v>
      </c>
      <c r="D50" s="22">
        <f t="shared" si="9"/>
        <v>45849</v>
      </c>
      <c r="E50" s="26">
        <f t="shared" si="20"/>
        <v>1</v>
      </c>
      <c r="F50" s="26">
        <f t="shared" si="20"/>
        <v>1</v>
      </c>
      <c r="G50" s="26">
        <f t="shared" si="20"/>
        <v>0</v>
      </c>
      <c r="H50" s="26">
        <f t="shared" si="20"/>
        <v>1</v>
      </c>
      <c r="I50" s="26">
        <f t="shared" si="20"/>
        <v>1</v>
      </c>
      <c r="J50" s="26">
        <f t="shared" si="20"/>
        <v>1</v>
      </c>
      <c r="M50" s="21">
        <f t="shared" ref="M50:M57" si="21">M49+7</f>
        <v>45849</v>
      </c>
      <c r="N50" s="10" t="s">
        <v>24</v>
      </c>
      <c r="O50" s="25">
        <v>0</v>
      </c>
      <c r="P50" s="25">
        <v>0</v>
      </c>
      <c r="Q50" s="25">
        <v>13</v>
      </c>
      <c r="R50" s="25">
        <v>0</v>
      </c>
      <c r="S50" s="25">
        <v>0</v>
      </c>
      <c r="T50" s="25">
        <v>0</v>
      </c>
      <c r="V50" s="179"/>
      <c r="AG50" s="179"/>
      <c r="AH50" s="179"/>
    </row>
    <row r="51" spans="2:34">
      <c r="B51" s="6"/>
      <c r="C51" s="12">
        <f t="shared" ca="1" si="8"/>
        <v>1</v>
      </c>
      <c r="D51" s="22">
        <f t="shared" si="9"/>
        <v>45856</v>
      </c>
      <c r="E51" s="26">
        <f t="shared" si="20"/>
        <v>1</v>
      </c>
      <c r="F51" s="26">
        <f t="shared" si="20"/>
        <v>1</v>
      </c>
      <c r="G51" s="26">
        <f t="shared" si="20"/>
        <v>1</v>
      </c>
      <c r="H51" s="26">
        <f t="shared" si="20"/>
        <v>1</v>
      </c>
      <c r="I51" s="26">
        <f t="shared" si="20"/>
        <v>1</v>
      </c>
      <c r="J51" s="26">
        <f t="shared" si="20"/>
        <v>1</v>
      </c>
      <c r="M51" s="21">
        <f>M50+7</f>
        <v>45856</v>
      </c>
      <c r="N51" s="10" t="s">
        <v>24</v>
      </c>
      <c r="O51" s="25">
        <v>0</v>
      </c>
      <c r="P51" s="25">
        <v>0</v>
      </c>
      <c r="Q51" s="25">
        <v>0</v>
      </c>
      <c r="R51" s="25">
        <v>0</v>
      </c>
      <c r="S51" s="25">
        <v>0</v>
      </c>
      <c r="T51" s="25">
        <v>0</v>
      </c>
      <c r="V51" s="179"/>
      <c r="AG51" s="179"/>
      <c r="AH51" s="179"/>
    </row>
    <row r="52" spans="2:34">
      <c r="B52" s="6"/>
      <c r="C52" s="12">
        <f t="shared" ca="1" si="8"/>
        <v>1</v>
      </c>
      <c r="D52" s="22">
        <f t="shared" si="9"/>
        <v>45863</v>
      </c>
      <c r="E52" s="26">
        <f t="shared" si="20"/>
        <v>1</v>
      </c>
      <c r="F52" s="26">
        <f t="shared" si="20"/>
        <v>1</v>
      </c>
      <c r="G52" s="26">
        <f t="shared" si="20"/>
        <v>1</v>
      </c>
      <c r="H52" s="26">
        <f t="shared" si="20"/>
        <v>0</v>
      </c>
      <c r="I52" s="26">
        <f t="shared" si="20"/>
        <v>1</v>
      </c>
      <c r="J52" s="26">
        <f t="shared" si="20"/>
        <v>0</v>
      </c>
      <c r="M52" s="21">
        <f t="shared" si="21"/>
        <v>45863</v>
      </c>
      <c r="N52" s="10" t="s">
        <v>24</v>
      </c>
      <c r="O52" s="25">
        <v>0</v>
      </c>
      <c r="P52" s="25">
        <v>0</v>
      </c>
      <c r="Q52" s="25">
        <v>0</v>
      </c>
      <c r="R52" s="25">
        <v>13</v>
      </c>
      <c r="S52" s="25">
        <v>0</v>
      </c>
      <c r="T52" s="25">
        <v>13</v>
      </c>
      <c r="V52" s="179"/>
      <c r="AG52" s="179"/>
      <c r="AH52" s="179"/>
    </row>
    <row r="53" spans="2:34">
      <c r="B53" s="6"/>
      <c r="C53" s="12">
        <f t="shared" ca="1" si="8"/>
        <v>1</v>
      </c>
      <c r="D53" s="22">
        <f t="shared" si="9"/>
        <v>45877</v>
      </c>
      <c r="E53" s="26">
        <f t="shared" si="20"/>
        <v>0</v>
      </c>
      <c r="F53" s="26">
        <f t="shared" si="20"/>
        <v>1</v>
      </c>
      <c r="G53" s="26">
        <f t="shared" si="20"/>
        <v>0</v>
      </c>
      <c r="H53" s="26">
        <f t="shared" si="20"/>
        <v>1</v>
      </c>
      <c r="I53" s="26">
        <f t="shared" si="20"/>
        <v>0</v>
      </c>
      <c r="J53" s="26">
        <f t="shared" si="20"/>
        <v>1</v>
      </c>
      <c r="M53" s="21">
        <f>M52+14</f>
        <v>45877</v>
      </c>
      <c r="N53" s="10" t="s">
        <v>24</v>
      </c>
      <c r="O53" s="25">
        <v>13</v>
      </c>
      <c r="P53" s="25">
        <v>0</v>
      </c>
      <c r="Q53" s="25">
        <v>13</v>
      </c>
      <c r="R53" s="25">
        <v>0</v>
      </c>
      <c r="S53" s="25">
        <v>13</v>
      </c>
      <c r="T53" s="25">
        <v>0</v>
      </c>
      <c r="V53" s="179"/>
      <c r="AG53" s="179"/>
      <c r="AH53" s="179"/>
    </row>
    <row r="54" spans="2:34">
      <c r="B54" s="6"/>
      <c r="C54" s="12">
        <f t="shared" ca="1" si="8"/>
        <v>1</v>
      </c>
      <c r="D54" s="22">
        <f t="shared" si="9"/>
        <v>45884</v>
      </c>
      <c r="E54" s="26">
        <f t="shared" si="20"/>
        <v>1</v>
      </c>
      <c r="F54" s="26">
        <f t="shared" si="20"/>
        <v>0</v>
      </c>
      <c r="G54" s="26">
        <f t="shared" si="20"/>
        <v>0</v>
      </c>
      <c r="H54" s="26">
        <f t="shared" si="20"/>
        <v>1</v>
      </c>
      <c r="I54" s="26">
        <f t="shared" si="20"/>
        <v>0</v>
      </c>
      <c r="J54" s="26">
        <f t="shared" si="20"/>
        <v>1</v>
      </c>
      <c r="M54" s="21">
        <f t="shared" si="21"/>
        <v>45884</v>
      </c>
      <c r="N54" s="10" t="s">
        <v>24</v>
      </c>
      <c r="O54" s="25">
        <v>0</v>
      </c>
      <c r="P54" s="25">
        <v>13</v>
      </c>
      <c r="Q54" s="25">
        <v>13</v>
      </c>
      <c r="R54" s="25">
        <v>0</v>
      </c>
      <c r="S54" s="25">
        <v>13</v>
      </c>
      <c r="T54" s="25">
        <v>0</v>
      </c>
      <c r="V54" s="179"/>
      <c r="AG54" s="179"/>
      <c r="AH54" s="179"/>
    </row>
    <row r="55" spans="2:34">
      <c r="B55" s="6"/>
      <c r="C55" s="12">
        <f t="shared" ca="1" si="8"/>
        <v>1</v>
      </c>
      <c r="D55" s="22">
        <f t="shared" si="9"/>
        <v>45891</v>
      </c>
      <c r="E55" s="26">
        <f t="shared" si="20"/>
        <v>1</v>
      </c>
      <c r="F55" s="26">
        <f t="shared" si="20"/>
        <v>0</v>
      </c>
      <c r="G55" s="26">
        <f t="shared" si="20"/>
        <v>1</v>
      </c>
      <c r="H55" s="26">
        <f t="shared" si="20"/>
        <v>0</v>
      </c>
      <c r="I55" s="26">
        <f t="shared" si="20"/>
        <v>0</v>
      </c>
      <c r="J55" s="26">
        <f t="shared" si="20"/>
        <v>0</v>
      </c>
      <c r="M55" s="21">
        <f t="shared" si="21"/>
        <v>45891</v>
      </c>
      <c r="N55" s="10" t="s">
        <v>24</v>
      </c>
      <c r="O55" s="25">
        <v>0</v>
      </c>
      <c r="P55" s="25">
        <v>13</v>
      </c>
      <c r="Q55" s="25">
        <v>0</v>
      </c>
      <c r="R55" s="25">
        <v>13</v>
      </c>
      <c r="S55" s="25">
        <v>13</v>
      </c>
      <c r="T55" s="25">
        <v>13</v>
      </c>
      <c r="V55" s="179"/>
      <c r="AG55" s="179"/>
      <c r="AH55" s="179"/>
    </row>
    <row r="56" spans="2:34">
      <c r="B56" s="6"/>
      <c r="C56" s="12">
        <f t="shared" ca="1" si="8"/>
        <v>1</v>
      </c>
      <c r="D56" s="22">
        <f t="shared" si="9"/>
        <v>45898</v>
      </c>
      <c r="E56" s="26">
        <f t="shared" si="20"/>
        <v>1</v>
      </c>
      <c r="F56" s="26">
        <f t="shared" si="20"/>
        <v>0</v>
      </c>
      <c r="G56" s="26">
        <f t="shared" si="20"/>
        <v>0</v>
      </c>
      <c r="H56" s="26">
        <f t="shared" si="20"/>
        <v>0</v>
      </c>
      <c r="I56" s="26">
        <f t="shared" si="20"/>
        <v>1</v>
      </c>
      <c r="J56" s="26">
        <f t="shared" si="20"/>
        <v>0</v>
      </c>
      <c r="M56" s="21">
        <f t="shared" si="21"/>
        <v>45898</v>
      </c>
      <c r="N56" s="10" t="s">
        <v>24</v>
      </c>
      <c r="O56" s="25">
        <v>0</v>
      </c>
      <c r="P56" s="25">
        <v>13</v>
      </c>
      <c r="Q56" s="25">
        <v>13</v>
      </c>
      <c r="R56" s="25">
        <v>13</v>
      </c>
      <c r="S56" s="25">
        <v>0</v>
      </c>
      <c r="T56" s="25">
        <v>13</v>
      </c>
      <c r="V56" s="179"/>
      <c r="AG56" s="179"/>
      <c r="AH56" s="179"/>
    </row>
    <row r="57" spans="2:34">
      <c r="B57" s="6"/>
      <c r="C57" s="12">
        <f t="shared" ca="1" si="8"/>
        <v>1</v>
      </c>
      <c r="D57" s="22">
        <f t="shared" si="9"/>
        <v>45905</v>
      </c>
      <c r="E57" s="26">
        <f t="shared" ref="E57:J91" si="22">IF(O57="","",IF(O57=0,1,0))</f>
        <v>0</v>
      </c>
      <c r="F57" s="26">
        <f t="shared" si="22"/>
        <v>0</v>
      </c>
      <c r="G57" s="26">
        <f t="shared" si="22"/>
        <v>1</v>
      </c>
      <c r="H57" s="26">
        <f t="shared" si="22"/>
        <v>0</v>
      </c>
      <c r="I57" s="26">
        <f t="shared" si="22"/>
        <v>0</v>
      </c>
      <c r="J57" s="26">
        <f t="shared" si="22"/>
        <v>1</v>
      </c>
      <c r="M57" s="21">
        <f t="shared" si="21"/>
        <v>45905</v>
      </c>
      <c r="N57" s="10" t="s">
        <v>24</v>
      </c>
      <c r="O57" s="25">
        <v>13</v>
      </c>
      <c r="P57" s="25">
        <v>13</v>
      </c>
      <c r="Q57" s="25">
        <v>0</v>
      </c>
      <c r="R57" s="25">
        <v>13</v>
      </c>
      <c r="S57" s="25">
        <v>13</v>
      </c>
      <c r="T57" s="25">
        <v>0</v>
      </c>
      <c r="V57" s="179"/>
      <c r="AG57" s="179"/>
      <c r="AH57" s="179"/>
    </row>
    <row r="58" spans="2:34">
      <c r="B58" s="6"/>
      <c r="C58" s="12">
        <f t="shared" ca="1" si="8"/>
        <v>1</v>
      </c>
      <c r="D58" s="22">
        <f t="shared" si="9"/>
        <v>45912</v>
      </c>
      <c r="E58" s="26">
        <f t="shared" si="22"/>
        <v>1</v>
      </c>
      <c r="F58" s="26">
        <f t="shared" si="22"/>
        <v>1</v>
      </c>
      <c r="G58" s="26">
        <f t="shared" si="22"/>
        <v>0</v>
      </c>
      <c r="H58" s="26">
        <f t="shared" si="22"/>
        <v>0</v>
      </c>
      <c r="I58" s="26">
        <f t="shared" si="22"/>
        <v>1</v>
      </c>
      <c r="J58" s="26">
        <f t="shared" si="22"/>
        <v>0</v>
      </c>
      <c r="M58" s="21">
        <v>45912</v>
      </c>
      <c r="N58" s="10" t="s">
        <v>24</v>
      </c>
      <c r="O58" s="25">
        <v>0</v>
      </c>
      <c r="P58" s="25">
        <v>0</v>
      </c>
      <c r="Q58" s="25">
        <v>13</v>
      </c>
      <c r="R58" s="25">
        <v>13</v>
      </c>
      <c r="S58" s="25">
        <v>0</v>
      </c>
      <c r="T58" s="25">
        <v>13</v>
      </c>
      <c r="V58" s="179"/>
      <c r="AG58" s="179"/>
      <c r="AH58" s="179"/>
    </row>
    <row r="59" spans="2:34">
      <c r="C59" s="251"/>
      <c r="D59" s="252"/>
      <c r="E59" s="252"/>
      <c r="F59" s="252"/>
      <c r="G59" s="252"/>
      <c r="H59" s="252"/>
      <c r="I59" s="252"/>
      <c r="J59" s="253"/>
      <c r="M59" s="21">
        <f>M58</f>
        <v>45912</v>
      </c>
      <c r="N59" s="10" t="s">
        <v>46</v>
      </c>
      <c r="O59" s="25"/>
      <c r="P59" s="25"/>
      <c r="Q59" s="25"/>
      <c r="R59" s="25"/>
      <c r="S59" s="25">
        <v>3</v>
      </c>
      <c r="T59" s="25"/>
      <c r="V59" s="179"/>
      <c r="AG59" s="179"/>
      <c r="AH59" s="179"/>
    </row>
    <row r="60" spans="2:34">
      <c r="C60" s="12">
        <f t="shared" ca="1" si="8"/>
        <v>1</v>
      </c>
      <c r="D60" s="22">
        <f t="shared" si="9"/>
        <v>45919</v>
      </c>
      <c r="E60" s="26">
        <f t="shared" si="22"/>
        <v>0</v>
      </c>
      <c r="F60" s="26">
        <f t="shared" si="22"/>
        <v>1</v>
      </c>
      <c r="G60" s="26">
        <f t="shared" si="22"/>
        <v>1</v>
      </c>
      <c r="H60" s="26">
        <f t="shared" si="22"/>
        <v>1</v>
      </c>
      <c r="I60" s="26">
        <f t="shared" si="22"/>
        <v>1</v>
      </c>
      <c r="J60" s="26">
        <f t="shared" si="22"/>
        <v>1</v>
      </c>
      <c r="M60" s="21">
        <v>45919</v>
      </c>
      <c r="N60" s="10" t="s">
        <v>24</v>
      </c>
      <c r="O60" s="25">
        <v>13</v>
      </c>
      <c r="P60" s="25">
        <v>0</v>
      </c>
      <c r="Q60" s="25">
        <v>0</v>
      </c>
      <c r="R60" s="25">
        <v>0</v>
      </c>
      <c r="S60" s="25">
        <v>0</v>
      </c>
      <c r="T60" s="25">
        <v>0</v>
      </c>
      <c r="V60" s="179"/>
      <c r="AG60" s="179"/>
      <c r="AH60" s="179"/>
    </row>
    <row r="61" spans="2:34">
      <c r="C61" s="12">
        <f t="shared" ca="1" si="8"/>
        <v>1</v>
      </c>
      <c r="D61" s="22">
        <f t="shared" si="9"/>
        <v>45926</v>
      </c>
      <c r="E61" s="26">
        <f t="shared" si="22"/>
        <v>1</v>
      </c>
      <c r="F61" s="26">
        <f t="shared" si="22"/>
        <v>0</v>
      </c>
      <c r="G61" s="26">
        <f t="shared" si="22"/>
        <v>0</v>
      </c>
      <c r="H61" s="26">
        <f t="shared" si="22"/>
        <v>1</v>
      </c>
      <c r="I61" s="26">
        <f t="shared" si="22"/>
        <v>1</v>
      </c>
      <c r="J61" s="26">
        <f t="shared" si="22"/>
        <v>1</v>
      </c>
      <c r="M61" s="21">
        <f t="shared" ref="M61:M65" si="23">M60+7</f>
        <v>45926</v>
      </c>
      <c r="N61" s="10" t="s">
        <v>24</v>
      </c>
      <c r="O61" s="25">
        <v>0</v>
      </c>
      <c r="P61" s="25">
        <v>13</v>
      </c>
      <c r="Q61" s="25">
        <v>13</v>
      </c>
      <c r="R61" s="25">
        <v>0</v>
      </c>
      <c r="S61" s="25">
        <v>0</v>
      </c>
      <c r="T61" s="25">
        <v>0</v>
      </c>
      <c r="V61" s="179"/>
      <c r="AG61" s="179"/>
      <c r="AH61" s="179"/>
    </row>
    <row r="62" spans="2:34">
      <c r="C62" s="12">
        <f t="shared" ca="1" si="8"/>
        <v>1</v>
      </c>
      <c r="D62" s="22">
        <f t="shared" si="9"/>
        <v>45933</v>
      </c>
      <c r="E62" s="26">
        <f t="shared" si="22"/>
        <v>1</v>
      </c>
      <c r="F62" s="26">
        <f t="shared" si="22"/>
        <v>1</v>
      </c>
      <c r="G62" s="26">
        <f t="shared" si="22"/>
        <v>0</v>
      </c>
      <c r="H62" s="26">
        <f t="shared" si="22"/>
        <v>1</v>
      </c>
      <c r="I62" s="26">
        <f t="shared" si="22"/>
        <v>1</v>
      </c>
      <c r="J62" s="26">
        <f t="shared" si="22"/>
        <v>1</v>
      </c>
      <c r="M62" s="21">
        <f t="shared" si="23"/>
        <v>45933</v>
      </c>
      <c r="N62" s="10" t="s">
        <v>24</v>
      </c>
      <c r="O62" s="25">
        <v>0</v>
      </c>
      <c r="P62" s="25">
        <v>0</v>
      </c>
      <c r="Q62" s="25">
        <v>13</v>
      </c>
      <c r="R62" s="25">
        <v>0</v>
      </c>
      <c r="S62" s="25">
        <v>0</v>
      </c>
      <c r="T62" s="25">
        <v>0</v>
      </c>
      <c r="V62" s="179"/>
      <c r="AG62" s="179"/>
      <c r="AH62" s="179"/>
    </row>
    <row r="63" spans="2:34">
      <c r="C63" s="251"/>
      <c r="D63" s="252"/>
      <c r="E63" s="252"/>
      <c r="F63" s="252"/>
      <c r="G63" s="252"/>
      <c r="H63" s="252"/>
      <c r="I63" s="252"/>
      <c r="J63" s="253"/>
      <c r="M63" s="21">
        <f t="shared" si="23"/>
        <v>45940</v>
      </c>
      <c r="N63" s="10" t="s">
        <v>46</v>
      </c>
      <c r="O63" s="25"/>
      <c r="P63" s="25">
        <v>3</v>
      </c>
      <c r="Q63" s="25"/>
      <c r="R63" s="25"/>
      <c r="S63" s="25"/>
      <c r="T63" s="25"/>
      <c r="V63" s="179"/>
      <c r="AG63" s="179"/>
      <c r="AH63" s="179"/>
    </row>
    <row r="64" spans="2:34">
      <c r="C64" s="12">
        <f t="shared" ca="1" si="8"/>
        <v>1</v>
      </c>
      <c r="D64" s="22">
        <f t="shared" si="9"/>
        <v>45940</v>
      </c>
      <c r="E64" s="26">
        <f t="shared" si="22"/>
        <v>0</v>
      </c>
      <c r="F64" s="26">
        <f t="shared" si="22"/>
        <v>1</v>
      </c>
      <c r="G64" s="26">
        <f t="shared" si="22"/>
        <v>0</v>
      </c>
      <c r="H64" s="26">
        <f t="shared" si="22"/>
        <v>1</v>
      </c>
      <c r="I64" s="26">
        <f t="shared" si="22"/>
        <v>1</v>
      </c>
      <c r="J64" s="26">
        <f t="shared" si="22"/>
        <v>1</v>
      </c>
      <c r="M64" s="21">
        <f>M63</f>
        <v>45940</v>
      </c>
      <c r="N64" s="10" t="s">
        <v>24</v>
      </c>
      <c r="O64" s="25">
        <v>13</v>
      </c>
      <c r="P64" s="25">
        <v>0</v>
      </c>
      <c r="Q64" s="25">
        <v>13</v>
      </c>
      <c r="R64" s="25">
        <v>0</v>
      </c>
      <c r="S64" s="25">
        <v>0</v>
      </c>
      <c r="T64" s="25">
        <v>0</v>
      </c>
      <c r="V64" s="179"/>
      <c r="AG64" s="179"/>
      <c r="AH64" s="179"/>
    </row>
    <row r="65" spans="3:34">
      <c r="C65" s="251"/>
      <c r="D65" s="252"/>
      <c r="E65" s="252"/>
      <c r="F65" s="252"/>
      <c r="G65" s="252"/>
      <c r="H65" s="252"/>
      <c r="I65" s="252"/>
      <c r="J65" s="253"/>
      <c r="M65" s="21">
        <f t="shared" si="23"/>
        <v>45947</v>
      </c>
      <c r="N65" s="10" t="s">
        <v>53</v>
      </c>
      <c r="O65" s="25"/>
      <c r="P65" s="25"/>
      <c r="Q65" s="25"/>
      <c r="R65" s="25">
        <v>6.5</v>
      </c>
      <c r="S65" s="25"/>
      <c r="T65" s="25"/>
      <c r="V65" s="179"/>
      <c r="AG65" s="179"/>
      <c r="AH65" s="179"/>
    </row>
    <row r="66" spans="3:34">
      <c r="C66" s="12">
        <f t="shared" ca="1" si="8"/>
        <v>1</v>
      </c>
      <c r="D66" s="22">
        <f t="shared" si="9"/>
        <v>45947</v>
      </c>
      <c r="E66" s="26">
        <f t="shared" si="22"/>
        <v>1</v>
      </c>
      <c r="F66" s="26">
        <f t="shared" si="22"/>
        <v>0</v>
      </c>
      <c r="G66" s="26">
        <f t="shared" si="22"/>
        <v>1</v>
      </c>
      <c r="H66" s="26">
        <f t="shared" si="22"/>
        <v>0</v>
      </c>
      <c r="I66" s="26">
        <f t="shared" si="22"/>
        <v>1</v>
      </c>
      <c r="J66" s="26">
        <f t="shared" si="22"/>
        <v>0</v>
      </c>
      <c r="M66" s="21">
        <f>M65</f>
        <v>45947</v>
      </c>
      <c r="N66" s="10" t="s">
        <v>24</v>
      </c>
      <c r="O66" s="25">
        <v>0</v>
      </c>
      <c r="P66" s="25">
        <v>13</v>
      </c>
      <c r="Q66" s="25">
        <v>0</v>
      </c>
      <c r="R66" s="25">
        <v>13</v>
      </c>
      <c r="S66" s="25">
        <v>0</v>
      </c>
      <c r="T66" s="25">
        <v>13</v>
      </c>
      <c r="V66" s="179"/>
      <c r="AG66" s="179"/>
      <c r="AH66" s="179"/>
    </row>
    <row r="67" spans="3:34">
      <c r="C67" s="12">
        <f t="shared" ca="1" si="8"/>
        <v>1</v>
      </c>
      <c r="D67" s="22">
        <f t="shared" si="9"/>
        <v>45954</v>
      </c>
      <c r="E67" s="26">
        <f t="shared" si="22"/>
        <v>1</v>
      </c>
      <c r="F67" s="26">
        <f t="shared" si="22"/>
        <v>0</v>
      </c>
      <c r="G67" s="26">
        <f t="shared" si="22"/>
        <v>0</v>
      </c>
      <c r="H67" s="26">
        <f t="shared" si="22"/>
        <v>1</v>
      </c>
      <c r="I67" s="26">
        <f t="shared" si="22"/>
        <v>0</v>
      </c>
      <c r="J67" s="26">
        <f t="shared" si="22"/>
        <v>1</v>
      </c>
      <c r="M67" s="21">
        <f>M66+7</f>
        <v>45954</v>
      </c>
      <c r="N67" s="10" t="s">
        <v>24</v>
      </c>
      <c r="O67" s="25">
        <v>0</v>
      </c>
      <c r="P67" s="25">
        <v>13</v>
      </c>
      <c r="Q67" s="25">
        <v>13</v>
      </c>
      <c r="R67" s="25">
        <v>0</v>
      </c>
      <c r="S67" s="25">
        <v>13</v>
      </c>
      <c r="T67" s="25">
        <v>0</v>
      </c>
      <c r="V67" s="179"/>
      <c r="AG67" s="179"/>
      <c r="AH67" s="179"/>
    </row>
    <row r="68" spans="3:34">
      <c r="C68" s="12">
        <f t="shared" ca="1" si="8"/>
        <v>1</v>
      </c>
      <c r="D68" s="22">
        <f t="shared" si="9"/>
        <v>45961</v>
      </c>
      <c r="E68" s="26">
        <f t="shared" si="22"/>
        <v>0</v>
      </c>
      <c r="F68" s="26">
        <f t="shared" si="22"/>
        <v>1</v>
      </c>
      <c r="G68" s="26">
        <f t="shared" si="22"/>
        <v>1</v>
      </c>
      <c r="H68" s="26">
        <f t="shared" si="22"/>
        <v>1</v>
      </c>
      <c r="I68" s="26">
        <f t="shared" si="22"/>
        <v>1</v>
      </c>
      <c r="J68" s="26">
        <f t="shared" si="22"/>
        <v>1</v>
      </c>
      <c r="M68" s="21">
        <f>M67+7</f>
        <v>45961</v>
      </c>
      <c r="N68" s="10" t="s">
        <v>24</v>
      </c>
      <c r="O68" s="25">
        <v>13</v>
      </c>
      <c r="P68" s="25">
        <v>0</v>
      </c>
      <c r="Q68" s="25">
        <v>0</v>
      </c>
      <c r="R68" s="25">
        <v>0</v>
      </c>
      <c r="S68" s="25">
        <v>0</v>
      </c>
      <c r="T68" s="25">
        <v>0</v>
      </c>
      <c r="V68" s="179"/>
      <c r="AG68" s="179"/>
      <c r="AH68" s="179"/>
    </row>
    <row r="69" spans="3:34">
      <c r="C69" s="12">
        <f t="shared" ca="1" si="8"/>
        <v>1</v>
      </c>
      <c r="D69" s="22">
        <f t="shared" si="9"/>
        <v>45968</v>
      </c>
      <c r="E69" s="26">
        <f t="shared" si="22"/>
        <v>1</v>
      </c>
      <c r="F69" s="26">
        <f t="shared" si="22"/>
        <v>1</v>
      </c>
      <c r="G69" s="26">
        <f t="shared" si="22"/>
        <v>1</v>
      </c>
      <c r="H69" s="26">
        <f t="shared" si="22"/>
        <v>1</v>
      </c>
      <c r="I69" s="26">
        <f t="shared" si="22"/>
        <v>1</v>
      </c>
      <c r="J69" s="26">
        <f t="shared" si="22"/>
        <v>1</v>
      </c>
      <c r="M69" s="21">
        <f t="shared" ref="M69:M73" si="24">M68+7</f>
        <v>45968</v>
      </c>
      <c r="N69" s="10" t="s">
        <v>24</v>
      </c>
      <c r="O69" s="25">
        <v>0</v>
      </c>
      <c r="P69" s="25">
        <v>0</v>
      </c>
      <c r="Q69" s="25">
        <v>0</v>
      </c>
      <c r="R69" s="25">
        <v>0</v>
      </c>
      <c r="S69" s="25">
        <v>0</v>
      </c>
      <c r="T69" s="25">
        <v>0</v>
      </c>
      <c r="V69" s="179"/>
      <c r="AG69" s="179"/>
      <c r="AH69" s="179"/>
    </row>
    <row r="70" spans="3:34">
      <c r="C70" s="12">
        <f t="shared" ca="1" si="8"/>
        <v>1</v>
      </c>
      <c r="D70" s="22">
        <f t="shared" si="9"/>
        <v>45975</v>
      </c>
      <c r="E70" s="26">
        <f t="shared" si="22"/>
        <v>1</v>
      </c>
      <c r="F70" s="26">
        <f t="shared" si="22"/>
        <v>1</v>
      </c>
      <c r="G70" s="26">
        <f t="shared" si="22"/>
        <v>1</v>
      </c>
      <c r="H70" s="26">
        <f t="shared" si="22"/>
        <v>1</v>
      </c>
      <c r="I70" s="26">
        <f t="shared" si="22"/>
        <v>1</v>
      </c>
      <c r="J70" s="26">
        <f t="shared" si="22"/>
        <v>1</v>
      </c>
      <c r="M70" s="21">
        <f t="shared" si="24"/>
        <v>45975</v>
      </c>
      <c r="N70" s="10" t="s">
        <v>24</v>
      </c>
      <c r="O70" s="25">
        <v>0</v>
      </c>
      <c r="P70" s="25">
        <v>0</v>
      </c>
      <c r="Q70" s="25">
        <v>0</v>
      </c>
      <c r="R70" s="25">
        <v>0</v>
      </c>
      <c r="S70" s="25">
        <v>0</v>
      </c>
      <c r="T70" s="25">
        <v>0</v>
      </c>
      <c r="V70" s="179"/>
      <c r="AG70" s="179"/>
      <c r="AH70" s="179"/>
    </row>
    <row r="71" spans="3:34">
      <c r="C71" s="12">
        <f t="shared" ref="C71" ca="1" si="25">IF(D71&lt;=TODAY(),1,"")</f>
        <v>1</v>
      </c>
      <c r="D71" s="22">
        <f t="shared" ref="D71" si="26">IF(M71="","",M71)</f>
        <v>45982</v>
      </c>
      <c r="E71" s="26">
        <f t="shared" ref="E71" si="27">IF(O71="","",IF(O71=0,1,0))</f>
        <v>1</v>
      </c>
      <c r="F71" s="26">
        <f t="shared" ref="F71" si="28">IF(P71="","",IF(P71=0,1,0))</f>
        <v>1</v>
      </c>
      <c r="G71" s="26">
        <f t="shared" ref="G71" si="29">IF(Q71="","",IF(Q71=0,1,0))</f>
        <v>0</v>
      </c>
      <c r="H71" s="26">
        <f t="shared" ref="H71" si="30">IF(R71="","",IF(R71=0,1,0))</f>
        <v>1</v>
      </c>
      <c r="I71" s="26">
        <f t="shared" ref="I71" si="31">IF(S71="","",IF(S71=0,1,0))</f>
        <v>1</v>
      </c>
      <c r="J71" s="26">
        <f t="shared" ref="J71" si="32">IF(T71="","",IF(T71=0,1,0))</f>
        <v>1</v>
      </c>
      <c r="M71" s="21">
        <f t="shared" si="24"/>
        <v>45982</v>
      </c>
      <c r="N71" s="10" t="s">
        <v>24</v>
      </c>
      <c r="O71" s="25">
        <v>0</v>
      </c>
      <c r="P71" s="25">
        <v>0</v>
      </c>
      <c r="Q71" s="25">
        <v>13</v>
      </c>
      <c r="R71" s="25">
        <v>0</v>
      </c>
      <c r="S71" s="25">
        <v>0</v>
      </c>
      <c r="T71" s="25">
        <v>0</v>
      </c>
      <c r="AG71" s="179"/>
      <c r="AH71" s="179"/>
    </row>
    <row r="72" spans="3:34">
      <c r="C72" s="12">
        <f t="shared" ca="1" si="8"/>
        <v>1</v>
      </c>
      <c r="D72" s="22">
        <f t="shared" si="9"/>
        <v>45989</v>
      </c>
      <c r="E72" s="26">
        <f t="shared" si="22"/>
        <v>1</v>
      </c>
      <c r="F72" s="26">
        <f t="shared" si="22"/>
        <v>0</v>
      </c>
      <c r="G72" s="26">
        <f t="shared" si="22"/>
        <v>0</v>
      </c>
      <c r="H72" s="26">
        <f t="shared" si="22"/>
        <v>0</v>
      </c>
      <c r="I72" s="26">
        <f t="shared" si="22"/>
        <v>1</v>
      </c>
      <c r="J72" s="26">
        <f t="shared" si="22"/>
        <v>0</v>
      </c>
      <c r="M72" s="21">
        <f t="shared" si="24"/>
        <v>45989</v>
      </c>
      <c r="N72" s="10" t="s">
        <v>24</v>
      </c>
      <c r="O72" s="25">
        <v>0</v>
      </c>
      <c r="P72" s="25">
        <v>13</v>
      </c>
      <c r="Q72" s="25">
        <v>13</v>
      </c>
      <c r="R72" s="25">
        <v>13</v>
      </c>
      <c r="S72" s="25">
        <v>0</v>
      </c>
      <c r="T72" s="25">
        <v>13</v>
      </c>
      <c r="AG72" s="179"/>
      <c r="AH72" s="179"/>
    </row>
    <row r="73" spans="3:34">
      <c r="C73" s="12">
        <f t="shared" ca="1" si="8"/>
        <v>1</v>
      </c>
      <c r="D73" s="22">
        <f t="shared" si="9"/>
        <v>45996</v>
      </c>
      <c r="E73" s="26">
        <f t="shared" si="22"/>
        <v>1</v>
      </c>
      <c r="F73" s="26">
        <f t="shared" si="22"/>
        <v>0</v>
      </c>
      <c r="G73" s="26">
        <f t="shared" si="22"/>
        <v>0</v>
      </c>
      <c r="H73" s="26">
        <f t="shared" si="22"/>
        <v>0</v>
      </c>
      <c r="I73" s="26">
        <f t="shared" si="22"/>
        <v>1</v>
      </c>
      <c r="J73" s="26">
        <f>IF(T73="","",IF(T73=0,1,0))</f>
        <v>1</v>
      </c>
      <c r="M73" s="21">
        <f t="shared" si="24"/>
        <v>45996</v>
      </c>
      <c r="N73" s="10" t="s">
        <v>24</v>
      </c>
      <c r="O73" s="25">
        <v>0</v>
      </c>
      <c r="P73" s="25">
        <v>13</v>
      </c>
      <c r="Q73" s="25">
        <v>13</v>
      </c>
      <c r="R73" s="25">
        <v>13</v>
      </c>
      <c r="S73" s="25">
        <v>0</v>
      </c>
      <c r="T73" s="25">
        <v>0</v>
      </c>
      <c r="AG73" s="179"/>
      <c r="AH73" s="179"/>
    </row>
    <row r="74" spans="3:34">
      <c r="C74" s="12" t="str">
        <f t="shared" ca="1" si="8"/>
        <v/>
      </c>
      <c r="D74" s="22" t="str">
        <f t="shared" si="9"/>
        <v/>
      </c>
      <c r="E74" s="26" t="str">
        <f t="shared" si="22"/>
        <v/>
      </c>
      <c r="F74" s="26" t="str">
        <f t="shared" si="22"/>
        <v/>
      </c>
      <c r="G74" s="26" t="str">
        <f t="shared" si="22"/>
        <v/>
      </c>
      <c r="H74" s="26" t="str">
        <f t="shared" si="22"/>
        <v/>
      </c>
      <c r="I74" s="26" t="str">
        <f t="shared" si="22"/>
        <v/>
      </c>
      <c r="J74" s="26" t="str">
        <f t="shared" si="22"/>
        <v/>
      </c>
      <c r="M74" s="21"/>
      <c r="N74" s="10"/>
      <c r="O74" s="25"/>
      <c r="P74" s="25"/>
      <c r="Q74" s="25"/>
      <c r="R74" s="25"/>
      <c r="S74" s="25"/>
      <c r="T74" s="25"/>
      <c r="AG74" s="179"/>
      <c r="AH74" s="179"/>
    </row>
    <row r="75" spans="3:34">
      <c r="C75" s="12" t="str">
        <f t="shared" ca="1" si="8"/>
        <v/>
      </c>
      <c r="D75" s="22" t="str">
        <f t="shared" si="9"/>
        <v/>
      </c>
      <c r="E75" s="26" t="str">
        <f t="shared" si="22"/>
        <v/>
      </c>
      <c r="F75" s="26" t="str">
        <f t="shared" si="22"/>
        <v/>
      </c>
      <c r="G75" s="26" t="str">
        <f t="shared" si="22"/>
        <v/>
      </c>
      <c r="H75" s="26" t="str">
        <f t="shared" si="22"/>
        <v/>
      </c>
      <c r="I75" s="26" t="str">
        <f t="shared" si="22"/>
        <v/>
      </c>
      <c r="J75" s="26" t="str">
        <f t="shared" si="22"/>
        <v/>
      </c>
      <c r="M75" s="21"/>
      <c r="N75" s="10"/>
      <c r="O75" s="25"/>
      <c r="P75" s="25"/>
      <c r="Q75" s="25"/>
      <c r="R75" s="25"/>
      <c r="S75" s="25"/>
      <c r="T75" s="25"/>
      <c r="AG75" s="179"/>
      <c r="AH75" s="179"/>
    </row>
    <row r="76" spans="3:34">
      <c r="C76" s="12" t="str">
        <f t="shared" ca="1" si="8"/>
        <v/>
      </c>
      <c r="D76" s="22" t="str">
        <f t="shared" si="9"/>
        <v/>
      </c>
      <c r="E76" s="26" t="str">
        <f t="shared" si="22"/>
        <v/>
      </c>
      <c r="F76" s="26" t="str">
        <f t="shared" si="22"/>
        <v/>
      </c>
      <c r="G76" s="26" t="str">
        <f t="shared" si="22"/>
        <v/>
      </c>
      <c r="H76" s="26" t="str">
        <f t="shared" si="22"/>
        <v/>
      </c>
      <c r="I76" s="26" t="str">
        <f t="shared" si="22"/>
        <v/>
      </c>
      <c r="J76" s="26" t="str">
        <f t="shared" si="22"/>
        <v/>
      </c>
      <c r="M76" s="21"/>
      <c r="N76" s="10"/>
      <c r="O76" s="25"/>
      <c r="P76" s="25"/>
      <c r="Q76" s="25"/>
      <c r="R76" s="25"/>
      <c r="S76" s="25"/>
      <c r="T76" s="25"/>
      <c r="AG76" s="179"/>
      <c r="AH76" s="179"/>
    </row>
    <row r="77" spans="3:34">
      <c r="C77" s="12" t="str">
        <f t="shared" ca="1" si="8"/>
        <v/>
      </c>
      <c r="D77" s="22" t="str">
        <f t="shared" si="9"/>
        <v/>
      </c>
      <c r="E77" s="26" t="str">
        <f t="shared" si="22"/>
        <v/>
      </c>
      <c r="F77" s="26" t="str">
        <f t="shared" si="22"/>
        <v/>
      </c>
      <c r="G77" s="26" t="str">
        <f t="shared" si="22"/>
        <v/>
      </c>
      <c r="H77" s="26" t="str">
        <f t="shared" si="22"/>
        <v/>
      </c>
      <c r="I77" s="26" t="str">
        <f t="shared" si="22"/>
        <v/>
      </c>
      <c r="J77" s="26" t="str">
        <f t="shared" si="22"/>
        <v/>
      </c>
      <c r="M77" s="21"/>
      <c r="N77" s="10"/>
      <c r="O77" s="25"/>
      <c r="P77" s="25"/>
      <c r="Q77" s="25"/>
      <c r="R77" s="25"/>
      <c r="S77" s="25"/>
      <c r="T77" s="25"/>
      <c r="AG77" s="179"/>
      <c r="AH77" s="179"/>
    </row>
    <row r="78" spans="3:34">
      <c r="C78" s="12" t="str">
        <f t="shared" ca="1" si="8"/>
        <v/>
      </c>
      <c r="D78" s="22" t="str">
        <f t="shared" si="9"/>
        <v/>
      </c>
      <c r="E78" s="26" t="str">
        <f t="shared" si="22"/>
        <v/>
      </c>
      <c r="F78" s="26" t="str">
        <f t="shared" si="22"/>
        <v/>
      </c>
      <c r="G78" s="26" t="str">
        <f t="shared" si="22"/>
        <v/>
      </c>
      <c r="H78" s="26" t="str">
        <f t="shared" si="22"/>
        <v/>
      </c>
      <c r="I78" s="26" t="str">
        <f t="shared" si="22"/>
        <v/>
      </c>
      <c r="J78" s="26" t="str">
        <f t="shared" si="22"/>
        <v/>
      </c>
      <c r="M78" s="21"/>
      <c r="N78" s="10"/>
      <c r="O78" s="25"/>
      <c r="P78" s="25"/>
      <c r="Q78" s="25"/>
      <c r="R78" s="25"/>
      <c r="S78" s="25"/>
      <c r="T78" s="25"/>
      <c r="AG78" s="179"/>
      <c r="AH78" s="179"/>
    </row>
    <row r="79" spans="3:34">
      <c r="C79" s="12" t="str">
        <f t="shared" ca="1" si="8"/>
        <v/>
      </c>
      <c r="D79" s="22" t="str">
        <f t="shared" si="9"/>
        <v/>
      </c>
      <c r="E79" s="26" t="str">
        <f t="shared" si="22"/>
        <v/>
      </c>
      <c r="F79" s="26" t="str">
        <f t="shared" si="22"/>
        <v/>
      </c>
      <c r="G79" s="26" t="str">
        <f t="shared" si="22"/>
        <v/>
      </c>
      <c r="H79" s="26" t="str">
        <f t="shared" si="22"/>
        <v/>
      </c>
      <c r="I79" s="26" t="str">
        <f t="shared" si="22"/>
        <v/>
      </c>
      <c r="J79" s="26" t="str">
        <f t="shared" si="22"/>
        <v/>
      </c>
      <c r="M79" s="21"/>
      <c r="N79" s="10"/>
      <c r="O79" s="25"/>
      <c r="P79" s="25"/>
      <c r="Q79" s="25"/>
      <c r="R79" s="25"/>
      <c r="S79" s="25"/>
      <c r="T79" s="25"/>
      <c r="W79" s="187"/>
      <c r="AG79" s="179"/>
      <c r="AH79" s="179"/>
    </row>
    <row r="80" spans="3:34">
      <c r="C80" s="12" t="str">
        <f t="shared" ca="1" si="8"/>
        <v/>
      </c>
      <c r="D80" s="22" t="str">
        <f t="shared" si="9"/>
        <v/>
      </c>
      <c r="E80" s="26" t="str">
        <f t="shared" si="22"/>
        <v/>
      </c>
      <c r="F80" s="26" t="str">
        <f t="shared" si="22"/>
        <v/>
      </c>
      <c r="G80" s="26" t="str">
        <f t="shared" si="22"/>
        <v/>
      </c>
      <c r="H80" s="26" t="str">
        <f t="shared" si="22"/>
        <v/>
      </c>
      <c r="I80" s="26" t="str">
        <f t="shared" si="22"/>
        <v/>
      </c>
      <c r="J80" s="26" t="str">
        <f t="shared" si="22"/>
        <v/>
      </c>
      <c r="M80" s="21"/>
      <c r="N80" s="10"/>
      <c r="O80" s="25"/>
      <c r="P80" s="25"/>
      <c r="Q80" s="25"/>
      <c r="R80" s="25"/>
      <c r="S80" s="25"/>
      <c r="T80" s="25"/>
      <c r="AG80" s="179"/>
      <c r="AH80" s="179"/>
    </row>
    <row r="81" spans="3:20">
      <c r="C81" s="12" t="str">
        <f t="shared" ca="1" si="8"/>
        <v/>
      </c>
      <c r="D81" s="22" t="str">
        <f t="shared" si="9"/>
        <v/>
      </c>
      <c r="E81" s="26" t="str">
        <f t="shared" si="22"/>
        <v/>
      </c>
      <c r="F81" s="26" t="str">
        <f t="shared" si="22"/>
        <v/>
      </c>
      <c r="G81" s="26" t="str">
        <f t="shared" si="22"/>
        <v/>
      </c>
      <c r="H81" s="26" t="str">
        <f t="shared" si="22"/>
        <v/>
      </c>
      <c r="I81" s="26" t="str">
        <f t="shared" si="22"/>
        <v/>
      </c>
      <c r="J81" s="26" t="str">
        <f t="shared" si="22"/>
        <v/>
      </c>
      <c r="M81" s="21"/>
      <c r="N81" s="10"/>
      <c r="O81" s="25"/>
      <c r="P81" s="25"/>
      <c r="Q81" s="25"/>
      <c r="R81" s="25"/>
      <c r="S81" s="25"/>
      <c r="T81" s="25"/>
    </row>
    <row r="82" spans="3:20">
      <c r="C82" s="12" t="str">
        <f t="shared" ca="1" si="8"/>
        <v/>
      </c>
      <c r="D82" s="22" t="str">
        <f t="shared" si="9"/>
        <v/>
      </c>
      <c r="E82" s="26" t="str">
        <f t="shared" si="22"/>
        <v/>
      </c>
      <c r="F82" s="26" t="str">
        <f t="shared" si="22"/>
        <v/>
      </c>
      <c r="G82" s="26" t="str">
        <f t="shared" si="22"/>
        <v/>
      </c>
      <c r="H82" s="26" t="str">
        <f t="shared" si="22"/>
        <v/>
      </c>
      <c r="I82" s="26" t="str">
        <f t="shared" si="22"/>
        <v/>
      </c>
      <c r="J82" s="26" t="str">
        <f t="shared" si="22"/>
        <v/>
      </c>
      <c r="M82" s="21"/>
      <c r="N82" s="10"/>
      <c r="O82" s="25"/>
      <c r="P82" s="25"/>
      <c r="Q82" s="25"/>
      <c r="R82" s="25"/>
      <c r="S82" s="25"/>
      <c r="T82" s="25"/>
    </row>
    <row r="83" spans="3:20">
      <c r="C83" s="12" t="str">
        <f t="shared" ca="1" si="8"/>
        <v/>
      </c>
      <c r="D83" s="22" t="str">
        <f t="shared" si="9"/>
        <v/>
      </c>
      <c r="E83" s="26" t="str">
        <f t="shared" si="22"/>
        <v/>
      </c>
      <c r="F83" s="26" t="str">
        <f t="shared" si="22"/>
        <v/>
      </c>
      <c r="G83" s="26" t="str">
        <f t="shared" si="22"/>
        <v/>
      </c>
      <c r="H83" s="26" t="str">
        <f t="shared" si="22"/>
        <v/>
      </c>
      <c r="I83" s="26" t="str">
        <f t="shared" si="22"/>
        <v/>
      </c>
      <c r="J83" s="26" t="str">
        <f t="shared" si="22"/>
        <v/>
      </c>
      <c r="M83" s="21"/>
      <c r="N83" s="10"/>
      <c r="O83" s="25"/>
      <c r="P83" s="25"/>
      <c r="Q83" s="25"/>
      <c r="R83" s="25"/>
      <c r="S83" s="25"/>
      <c r="T83" s="25"/>
    </row>
    <row r="84" spans="3:20">
      <c r="C84" s="12" t="str">
        <f t="shared" ca="1" si="8"/>
        <v/>
      </c>
      <c r="D84" s="22" t="str">
        <f t="shared" si="9"/>
        <v/>
      </c>
      <c r="E84" s="26" t="str">
        <f t="shared" si="22"/>
        <v/>
      </c>
      <c r="F84" s="26" t="str">
        <f t="shared" si="22"/>
        <v/>
      </c>
      <c r="G84" s="26" t="str">
        <f t="shared" si="22"/>
        <v/>
      </c>
      <c r="H84" s="26" t="str">
        <f t="shared" si="22"/>
        <v/>
      </c>
      <c r="I84" s="26" t="str">
        <f t="shared" si="22"/>
        <v/>
      </c>
      <c r="J84" s="26" t="str">
        <f t="shared" si="22"/>
        <v/>
      </c>
      <c r="M84" s="21"/>
      <c r="N84" s="10"/>
      <c r="O84" s="25"/>
      <c r="P84" s="25"/>
      <c r="Q84" s="25"/>
      <c r="R84" s="25"/>
      <c r="S84" s="25"/>
      <c r="T84" s="25"/>
    </row>
    <row r="85" spans="3:20">
      <c r="C85" s="12" t="str">
        <f t="shared" ca="1" si="8"/>
        <v/>
      </c>
      <c r="D85" s="22" t="str">
        <f t="shared" ref="D85:D91" si="33">IF(M85="","",M85)</f>
        <v/>
      </c>
      <c r="E85" s="26" t="str">
        <f t="shared" si="22"/>
        <v/>
      </c>
      <c r="F85" s="26" t="str">
        <f t="shared" si="22"/>
        <v/>
      </c>
      <c r="G85" s="26" t="str">
        <f t="shared" si="22"/>
        <v/>
      </c>
      <c r="H85" s="26" t="str">
        <f t="shared" si="22"/>
        <v/>
      </c>
      <c r="I85" s="26" t="str">
        <f t="shared" si="22"/>
        <v/>
      </c>
      <c r="J85" s="26" t="str">
        <f t="shared" si="22"/>
        <v/>
      </c>
      <c r="M85" s="21"/>
      <c r="N85" s="10"/>
      <c r="O85" s="25"/>
      <c r="P85" s="25"/>
      <c r="Q85" s="25"/>
      <c r="R85" s="25"/>
      <c r="S85" s="25"/>
      <c r="T85" s="25"/>
    </row>
    <row r="86" spans="3:20">
      <c r="C86" s="12" t="str">
        <f t="shared" ca="1" si="8"/>
        <v/>
      </c>
      <c r="D86" s="22" t="str">
        <f t="shared" si="33"/>
        <v/>
      </c>
      <c r="E86" s="26" t="str">
        <f t="shared" si="22"/>
        <v/>
      </c>
      <c r="F86" s="26" t="str">
        <f t="shared" si="22"/>
        <v/>
      </c>
      <c r="G86" s="26" t="str">
        <f t="shared" si="22"/>
        <v/>
      </c>
      <c r="H86" s="26" t="str">
        <f t="shared" si="22"/>
        <v/>
      </c>
      <c r="I86" s="26" t="str">
        <f t="shared" si="22"/>
        <v/>
      </c>
      <c r="J86" s="26" t="str">
        <f t="shared" si="22"/>
        <v/>
      </c>
      <c r="M86" s="21"/>
      <c r="N86" s="10"/>
      <c r="O86" s="25"/>
      <c r="P86" s="25"/>
      <c r="Q86" s="25"/>
      <c r="R86" s="25"/>
      <c r="S86" s="25"/>
      <c r="T86" s="25"/>
    </row>
    <row r="87" spans="3:20">
      <c r="C87" s="12" t="str">
        <f t="shared" ca="1" si="8"/>
        <v/>
      </c>
      <c r="D87" s="22" t="str">
        <f t="shared" si="33"/>
        <v/>
      </c>
      <c r="E87" s="26" t="str">
        <f t="shared" si="22"/>
        <v/>
      </c>
      <c r="F87" s="26" t="str">
        <f t="shared" si="22"/>
        <v/>
      </c>
      <c r="G87" s="26" t="str">
        <f t="shared" si="22"/>
        <v/>
      </c>
      <c r="H87" s="26" t="str">
        <f t="shared" si="22"/>
        <v/>
      </c>
      <c r="I87" s="26" t="str">
        <f t="shared" si="22"/>
        <v/>
      </c>
      <c r="J87" s="26" t="str">
        <f t="shared" si="22"/>
        <v/>
      </c>
      <c r="M87" s="21"/>
      <c r="N87" s="10"/>
      <c r="O87" s="25"/>
      <c r="P87" s="25"/>
      <c r="Q87" s="25"/>
      <c r="R87" s="25"/>
      <c r="S87" s="25"/>
      <c r="T87" s="25"/>
    </row>
    <row r="88" spans="3:20">
      <c r="C88" s="12" t="str">
        <f t="shared" ca="1" si="8"/>
        <v/>
      </c>
      <c r="D88" s="22" t="str">
        <f t="shared" si="33"/>
        <v/>
      </c>
      <c r="E88" s="26" t="str">
        <f t="shared" si="22"/>
        <v/>
      </c>
      <c r="F88" s="26" t="str">
        <f t="shared" si="22"/>
        <v/>
      </c>
      <c r="G88" s="26" t="str">
        <f t="shared" si="22"/>
        <v/>
      </c>
      <c r="H88" s="26" t="str">
        <f t="shared" si="22"/>
        <v/>
      </c>
      <c r="I88" s="26" t="str">
        <f t="shared" si="22"/>
        <v/>
      </c>
      <c r="J88" s="26" t="str">
        <f t="shared" si="22"/>
        <v/>
      </c>
      <c r="M88" s="21"/>
      <c r="N88" s="10"/>
      <c r="O88" s="25"/>
      <c r="P88" s="25"/>
      <c r="Q88" s="25"/>
      <c r="R88" s="25"/>
      <c r="S88" s="25"/>
      <c r="T88" s="25"/>
    </row>
    <row r="89" spans="3:20">
      <c r="C89" s="12" t="str">
        <f t="shared" ref="C89:C91" ca="1" si="34">IF(D89&lt;=TODAY(),1,"")</f>
        <v/>
      </c>
      <c r="D89" s="22" t="str">
        <f t="shared" si="33"/>
        <v/>
      </c>
      <c r="E89" s="26" t="str">
        <f t="shared" si="22"/>
        <v/>
      </c>
      <c r="F89" s="26" t="str">
        <f t="shared" si="22"/>
        <v/>
      </c>
      <c r="G89" s="26" t="str">
        <f t="shared" si="22"/>
        <v/>
      </c>
      <c r="H89" s="26" t="str">
        <f t="shared" si="22"/>
        <v/>
      </c>
      <c r="I89" s="26" t="str">
        <f t="shared" si="22"/>
        <v/>
      </c>
      <c r="J89" s="26" t="str">
        <f t="shared" si="22"/>
        <v/>
      </c>
      <c r="M89" s="21"/>
      <c r="N89" s="10"/>
      <c r="O89" s="25"/>
      <c r="P89" s="25"/>
      <c r="Q89" s="25"/>
      <c r="R89" s="25"/>
      <c r="S89" s="25"/>
      <c r="T89" s="25"/>
    </row>
    <row r="90" spans="3:20">
      <c r="C90" s="12" t="str">
        <f t="shared" ca="1" si="34"/>
        <v/>
      </c>
      <c r="D90" s="22" t="str">
        <f t="shared" si="33"/>
        <v/>
      </c>
      <c r="E90" s="26" t="str">
        <f t="shared" si="22"/>
        <v/>
      </c>
      <c r="F90" s="26" t="str">
        <f t="shared" si="22"/>
        <v/>
      </c>
      <c r="G90" s="26" t="str">
        <f t="shared" si="22"/>
        <v/>
      </c>
      <c r="H90" s="26" t="str">
        <f t="shared" si="22"/>
        <v/>
      </c>
      <c r="I90" s="26" t="str">
        <f t="shared" si="22"/>
        <v/>
      </c>
      <c r="J90" s="26" t="str">
        <f t="shared" si="22"/>
        <v/>
      </c>
      <c r="M90" s="21"/>
      <c r="N90" s="10"/>
      <c r="O90" s="25"/>
      <c r="P90" s="25"/>
      <c r="Q90" s="25"/>
      <c r="R90" s="25"/>
      <c r="S90" s="25"/>
      <c r="T90" s="25"/>
    </row>
    <row r="91" spans="3:20">
      <c r="C91" s="12" t="str">
        <f t="shared" ca="1" si="34"/>
        <v/>
      </c>
      <c r="D91" s="22" t="str">
        <f t="shared" si="33"/>
        <v/>
      </c>
      <c r="E91" s="26" t="str">
        <f t="shared" si="22"/>
        <v/>
      </c>
      <c r="F91" s="26" t="str">
        <f t="shared" si="22"/>
        <v/>
      </c>
      <c r="G91" s="26" t="str">
        <f t="shared" si="22"/>
        <v/>
      </c>
      <c r="H91" s="26" t="str">
        <f t="shared" si="22"/>
        <v/>
      </c>
      <c r="I91" s="26" t="str">
        <f t="shared" si="22"/>
        <v/>
      </c>
      <c r="J91" s="26" t="str">
        <f t="shared" si="22"/>
        <v/>
      </c>
      <c r="M91" s="21"/>
      <c r="N91" s="10"/>
      <c r="O91" s="25"/>
      <c r="P91" s="25"/>
      <c r="Q91" s="25"/>
      <c r="R91" s="25"/>
      <c r="S91" s="25"/>
      <c r="T91" s="25"/>
    </row>
  </sheetData>
  <mergeCells count="47">
    <mergeCell ref="C2:AA2"/>
    <mergeCell ref="O5:S5"/>
    <mergeCell ref="T5:U5"/>
    <mergeCell ref="V5:W7"/>
    <mergeCell ref="X5:Y7"/>
    <mergeCell ref="Z5:AA7"/>
    <mergeCell ref="Q7:R7"/>
    <mergeCell ref="S7:T7"/>
    <mergeCell ref="Q9:R9"/>
    <mergeCell ref="S9:T9"/>
    <mergeCell ref="V9:W9"/>
    <mergeCell ref="X9:Y9"/>
    <mergeCell ref="Z9:AA9"/>
    <mergeCell ref="Q8:R8"/>
    <mergeCell ref="S8:T8"/>
    <mergeCell ref="V8:W8"/>
    <mergeCell ref="X8:Y8"/>
    <mergeCell ref="Z8:AA8"/>
    <mergeCell ref="Q11:R11"/>
    <mergeCell ref="S11:T11"/>
    <mergeCell ref="V11:W11"/>
    <mergeCell ref="X11:Y11"/>
    <mergeCell ref="Z11:AA11"/>
    <mergeCell ref="Q10:R10"/>
    <mergeCell ref="S10:T10"/>
    <mergeCell ref="V10:W10"/>
    <mergeCell ref="X10:Y10"/>
    <mergeCell ref="Z10:AA10"/>
    <mergeCell ref="X12:Y12"/>
    <mergeCell ref="Z12:AA12"/>
    <mergeCell ref="Q13:R13"/>
    <mergeCell ref="S13:T13"/>
    <mergeCell ref="V13:W13"/>
    <mergeCell ref="X13:Y14"/>
    <mergeCell ref="Z13:AA13"/>
    <mergeCell ref="Q14:R14"/>
    <mergeCell ref="S14:T14"/>
    <mergeCell ref="C65:J65"/>
    <mergeCell ref="Q16:R16"/>
    <mergeCell ref="Q12:R12"/>
    <mergeCell ref="S12:T12"/>
    <mergeCell ref="V12:W12"/>
    <mergeCell ref="V17:V18"/>
    <mergeCell ref="C63:J63"/>
    <mergeCell ref="C59:J59"/>
    <mergeCell ref="C35:J35"/>
    <mergeCell ref="C48:J48"/>
  </mergeCells>
  <conditionalFormatting sqref="E25:J34 E36:J40 E42:J47 E49:J58 E60:J62 E64:J64 E66:J91">
    <cfRule type="cellIs" dxfId="142" priority="7" operator="equal">
      <formula>0</formula>
    </cfRule>
    <cfRule type="cellIs" dxfId="141" priority="8" operator="equal">
      <formula>1</formula>
    </cfRule>
  </conditionalFormatting>
  <conditionalFormatting sqref="U24:U38 O24:T91">
    <cfRule type="cellIs" dxfId="140" priority="1" operator="equal">
      <formula>0</formula>
    </cfRule>
    <cfRule type="cellIs" dxfId="139" priority="2" operator="greaterThan">
      <formula>0</formula>
    </cfRule>
  </conditionalFormatting>
  <conditionalFormatting sqref="AE25:AE30">
    <cfRule type="cellIs" dxfId="138" priority="5" operator="lessThan">
      <formula>0</formula>
    </cfRule>
    <cfRule type="cellIs" dxfId="137" priority="6" operator="greaterThan">
      <formula>0</formula>
    </cfRule>
  </conditionalFormatting>
  <pageMargins left="0.7" right="0.7" top="0.78740157499999996" bottom="0.78740157499999996"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0C6B3-7C63-46A5-832B-B8A32DB58EF6}">
  <sheetPr codeName="Sheet10"/>
  <dimension ref="A1:AH96"/>
  <sheetViews>
    <sheetView zoomScaleNormal="100" zoomScaleSheetLayoutView="70" workbookViewId="0">
      <pane xSplit="14" ySplit="23" topLeftCell="O24" activePane="bottomRight" state="frozen"/>
      <selection pane="topRight" activeCell="P1" sqref="P1"/>
      <selection pane="bottomLeft" activeCell="A24" sqref="A24"/>
      <selection pane="bottomRight" activeCell="J78" sqref="D25:J78"/>
    </sheetView>
  </sheetViews>
  <sheetFormatPr defaultColWidth="11.3828125" defaultRowHeight="16.75"/>
  <cols>
    <col min="1" max="1" width="1.69140625" style="1" customWidth="1"/>
    <col min="2" max="2" width="1.3828125" style="1" customWidth="1"/>
    <col min="3" max="3" width="3.84375" style="2" bestFit="1" customWidth="1"/>
    <col min="4" max="4" width="12.53515625" style="1" customWidth="1"/>
    <col min="5" max="10" width="7.15234375" style="1" customWidth="1"/>
    <col min="11" max="12" width="1.3828125" style="1" customWidth="1"/>
    <col min="13" max="13" width="12.53515625" style="29" bestFit="1" customWidth="1"/>
    <col min="14" max="14" width="26.53515625" style="1" customWidth="1"/>
    <col min="15" max="15" width="16.69140625" style="1" customWidth="1"/>
    <col min="16" max="17" width="14.3828125" style="1" customWidth="1"/>
    <col min="18" max="18" width="13.3828125" style="1" customWidth="1"/>
    <col min="19" max="19" width="18.69140625" style="1" customWidth="1"/>
    <col min="20" max="20" width="20.3828125" style="1" customWidth="1"/>
    <col min="21" max="21" width="5.3828125" style="1" hidden="1" customWidth="1"/>
    <col min="22" max="22" width="11.3828125" style="1"/>
    <col min="23" max="23" width="16.69140625" style="1" customWidth="1"/>
    <col min="24" max="24" width="11.69140625" style="1" bestFit="1" customWidth="1"/>
    <col min="25" max="25" width="43.53515625" style="1" customWidth="1"/>
    <col min="26" max="26" width="16.3046875" style="1" customWidth="1"/>
    <col min="27" max="27" width="24.3046875" style="1" bestFit="1" customWidth="1"/>
    <col min="28" max="28" width="12.69140625" style="1" bestFit="1" customWidth="1"/>
    <col min="29" max="29" width="23" style="1" bestFit="1" customWidth="1"/>
    <col min="30" max="30" width="20" style="1" bestFit="1" customWidth="1"/>
    <col min="31" max="16384" width="11.3828125" style="1"/>
  </cols>
  <sheetData>
    <row r="1" spans="1:27" ht="8.25" customHeight="1"/>
    <row r="2" spans="1:27" ht="40.5" customHeight="1">
      <c r="C2" s="232" t="s">
        <v>5</v>
      </c>
      <c r="D2" s="233"/>
      <c r="E2" s="233"/>
      <c r="F2" s="233"/>
      <c r="G2" s="233"/>
      <c r="H2" s="233"/>
      <c r="I2" s="233"/>
      <c r="J2" s="233"/>
      <c r="K2" s="233"/>
      <c r="L2" s="233"/>
      <c r="M2" s="233"/>
      <c r="N2" s="233"/>
      <c r="O2" s="233"/>
      <c r="P2" s="233"/>
      <c r="Q2" s="233"/>
      <c r="R2" s="233"/>
      <c r="S2" s="233"/>
      <c r="T2" s="233"/>
      <c r="U2" s="233"/>
      <c r="V2" s="233"/>
      <c r="W2" s="233"/>
      <c r="X2" s="233"/>
      <c r="Y2" s="233"/>
      <c r="Z2" s="233"/>
      <c r="AA2" s="233"/>
    </row>
    <row r="3" spans="1:27" ht="8.25" customHeight="1"/>
    <row r="4" spans="1:27" ht="9.75" customHeight="1"/>
    <row r="5" spans="1:27" ht="21.75" customHeight="1">
      <c r="B5" s="6"/>
      <c r="C5" s="7" t="s">
        <v>13</v>
      </c>
      <c r="D5" s="8"/>
      <c r="E5" s="8"/>
      <c r="F5" s="8"/>
      <c r="G5" s="8"/>
      <c r="H5" s="8"/>
      <c r="I5" s="9"/>
      <c r="J5" s="9"/>
      <c r="L5" s="6"/>
      <c r="M5" s="31" t="s">
        <v>14</v>
      </c>
      <c r="N5" s="8"/>
      <c r="O5" s="234" t="s">
        <v>31</v>
      </c>
      <c r="P5" s="234"/>
      <c r="Q5" s="234"/>
      <c r="R5" s="234"/>
      <c r="S5" s="235"/>
      <c r="T5" s="236">
        <f>W16</f>
        <v>5382.5</v>
      </c>
      <c r="U5" s="237"/>
      <c r="V5" s="238" t="s">
        <v>52</v>
      </c>
      <c r="W5" s="239"/>
      <c r="X5" s="238" t="s">
        <v>56</v>
      </c>
      <c r="Y5" s="239"/>
      <c r="Z5" s="238" t="s">
        <v>61</v>
      </c>
      <c r="AA5" s="239"/>
    </row>
    <row r="6" spans="1:27" ht="23.25" customHeight="1">
      <c r="B6" s="6"/>
      <c r="L6" s="6"/>
      <c r="V6" s="240"/>
      <c r="W6" s="241"/>
      <c r="X6" s="240"/>
      <c r="Y6" s="241"/>
      <c r="Z6" s="240"/>
      <c r="AA6" s="241"/>
    </row>
    <row r="7" spans="1:27">
      <c r="B7" s="6"/>
      <c r="D7" s="33" t="s">
        <v>6</v>
      </c>
      <c r="E7" s="35" t="s">
        <v>7</v>
      </c>
      <c r="F7" s="35" t="s">
        <v>8</v>
      </c>
      <c r="G7" s="35" t="s">
        <v>9</v>
      </c>
      <c r="I7" s="11"/>
      <c r="J7" s="11"/>
      <c r="L7" s="6"/>
      <c r="N7" s="33" t="s">
        <v>6</v>
      </c>
      <c r="O7" s="68" t="s">
        <v>16</v>
      </c>
      <c r="P7" s="68" t="s">
        <v>17</v>
      </c>
      <c r="Q7" s="244" t="s">
        <v>26</v>
      </c>
      <c r="R7" s="244"/>
      <c r="S7" s="245" t="s">
        <v>27</v>
      </c>
      <c r="T7" s="245"/>
      <c r="U7" s="34"/>
      <c r="V7" s="242"/>
      <c r="W7" s="243"/>
      <c r="X7" s="242"/>
      <c r="Y7" s="243"/>
      <c r="Z7" s="242"/>
      <c r="AA7" s="243"/>
    </row>
    <row r="8" spans="1:27" ht="16.5" customHeight="1">
      <c r="A8" s="27"/>
      <c r="B8" s="197">
        <v>1</v>
      </c>
      <c r="C8" s="12">
        <f t="shared" ref="C8:C13" si="0">B8</f>
        <v>1</v>
      </c>
      <c r="D8" s="10" t="str">
        <f t="shared" ref="D8:D13" si="1">HLOOKUP($B8,$E$17:$J$20,2,FALSE)</f>
        <v>JWU</v>
      </c>
      <c r="E8" s="12">
        <f>ROUND(HLOOKUP(D8,$E$18:$J$20,3,FALSE),0)</f>
        <v>40</v>
      </c>
      <c r="F8" s="64">
        <f ca="1">E8/$C$20</f>
        <v>0.81632653061224492</v>
      </c>
      <c r="G8" s="28">
        <f ca="1">1-F8</f>
        <v>0.18367346938775508</v>
      </c>
      <c r="L8" s="6"/>
      <c r="N8" s="10" t="s">
        <v>2</v>
      </c>
      <c r="O8" s="13">
        <f>R20</f>
        <v>393.5</v>
      </c>
      <c r="P8" s="13">
        <v>0</v>
      </c>
      <c r="Q8" s="231"/>
      <c r="R8" s="231"/>
      <c r="S8" s="231" t="s">
        <v>18</v>
      </c>
      <c r="T8" s="231"/>
      <c r="V8" s="231" t="s">
        <v>48</v>
      </c>
      <c r="W8" s="231"/>
      <c r="X8" s="231" t="s">
        <v>58</v>
      </c>
      <c r="Y8" s="231"/>
      <c r="Z8" s="231" t="s">
        <v>65</v>
      </c>
      <c r="AA8" s="231"/>
    </row>
    <row r="9" spans="1:27">
      <c r="A9" s="27"/>
      <c r="B9" s="197">
        <v>2</v>
      </c>
      <c r="C9" s="12">
        <f>B9</f>
        <v>2</v>
      </c>
      <c r="D9" s="10" t="str">
        <f>HLOOKUP($B9,$E$17:$J$20,2,FALSE)</f>
        <v>SJU</v>
      </c>
      <c r="E9" s="12">
        <f t="shared" ref="E9:E11" si="2">ROUND(HLOOKUP(D9,$E$18:$J$20,3,FALSE),0)</f>
        <v>38</v>
      </c>
      <c r="F9" s="28">
        <f t="shared" ref="F9:F13" ca="1" si="3">E9/$C$20</f>
        <v>0.77551020408163263</v>
      </c>
      <c r="G9" s="28">
        <f ca="1">1-F9</f>
        <v>0.22448979591836737</v>
      </c>
      <c r="L9" s="6"/>
      <c r="N9" s="10" t="s">
        <v>4</v>
      </c>
      <c r="O9" s="13">
        <f>P20</f>
        <v>214</v>
      </c>
      <c r="P9" s="13">
        <v>0</v>
      </c>
      <c r="Q9" s="231"/>
      <c r="R9" s="231"/>
      <c r="S9" s="231" t="s">
        <v>18</v>
      </c>
      <c r="T9" s="231"/>
      <c r="V9" s="231" t="s">
        <v>49</v>
      </c>
      <c r="W9" s="231"/>
      <c r="X9" s="231" t="s">
        <v>57</v>
      </c>
      <c r="Y9" s="231"/>
      <c r="Z9" s="231" t="s">
        <v>64</v>
      </c>
      <c r="AA9" s="231"/>
    </row>
    <row r="10" spans="1:27">
      <c r="A10" s="27"/>
      <c r="B10" s="197">
        <v>3</v>
      </c>
      <c r="C10" s="12">
        <f t="shared" si="0"/>
        <v>3</v>
      </c>
      <c r="D10" s="10" t="str">
        <f t="shared" si="1"/>
        <v>MSO</v>
      </c>
      <c r="E10" s="12">
        <f t="shared" si="2"/>
        <v>37</v>
      </c>
      <c r="F10" s="28">
        <f t="shared" ca="1" si="3"/>
        <v>0.75510204081632648</v>
      </c>
      <c r="G10" s="28">
        <f t="shared" ref="G10" ca="1" si="4">1-F10</f>
        <v>0.24489795918367352</v>
      </c>
      <c r="L10" s="6"/>
      <c r="M10"/>
      <c r="N10" s="10" t="s">
        <v>3</v>
      </c>
      <c r="O10" s="13">
        <f>S20</f>
        <v>158</v>
      </c>
      <c r="P10" s="13">
        <v>0</v>
      </c>
      <c r="Q10" s="231"/>
      <c r="R10" s="231"/>
      <c r="S10" s="231" t="s">
        <v>18</v>
      </c>
      <c r="T10" s="231"/>
      <c r="V10" s="231" t="s">
        <v>48</v>
      </c>
      <c r="W10" s="231"/>
      <c r="X10" s="231" t="s">
        <v>60</v>
      </c>
      <c r="Y10" s="231"/>
      <c r="Z10" s="231" t="s">
        <v>66</v>
      </c>
      <c r="AA10" s="231"/>
    </row>
    <row r="11" spans="1:27">
      <c r="A11" s="27"/>
      <c r="B11" s="197">
        <v>4</v>
      </c>
      <c r="C11" s="12">
        <f t="shared" si="0"/>
        <v>4</v>
      </c>
      <c r="D11" s="10" t="str">
        <f t="shared" si="1"/>
        <v>CBO</v>
      </c>
      <c r="E11" s="12">
        <f t="shared" si="2"/>
        <v>34</v>
      </c>
      <c r="F11" s="28">
        <f t="shared" ca="1" si="3"/>
        <v>0.69387755102040816</v>
      </c>
      <c r="G11" s="28">
        <f ca="1">1-F11</f>
        <v>0.30612244897959184</v>
      </c>
      <c r="L11" s="6"/>
      <c r="N11" s="10" t="s">
        <v>1</v>
      </c>
      <c r="O11" s="13">
        <f>Q20</f>
        <v>360</v>
      </c>
      <c r="P11" s="13">
        <v>0</v>
      </c>
      <c r="Q11" s="231"/>
      <c r="R11" s="231"/>
      <c r="S11" s="231" t="s">
        <v>18</v>
      </c>
      <c r="T11" s="231"/>
      <c r="V11" s="231" t="s">
        <v>48</v>
      </c>
      <c r="W11" s="231"/>
      <c r="X11" s="231" t="s">
        <v>59</v>
      </c>
      <c r="Y11" s="231"/>
      <c r="Z11" s="231" t="s">
        <v>67</v>
      </c>
      <c r="AA11" s="231"/>
    </row>
    <row r="12" spans="1:27">
      <c r="A12" s="27"/>
      <c r="B12" s="197">
        <v>5</v>
      </c>
      <c r="C12" s="12">
        <f t="shared" si="0"/>
        <v>5</v>
      </c>
      <c r="D12" s="10" t="str">
        <f t="shared" si="1"/>
        <v>PKN</v>
      </c>
      <c r="E12" s="12">
        <f>ROUND(HLOOKUP(D12,$E$18:$J$20,3,FALSE),0)</f>
        <v>22</v>
      </c>
      <c r="F12" s="28">
        <f t="shared" ca="1" si="3"/>
        <v>0.44897959183673469</v>
      </c>
      <c r="G12" s="28">
        <f ca="1">1-F12</f>
        <v>0.55102040816326525</v>
      </c>
      <c r="L12" s="6"/>
      <c r="N12" s="10" t="s">
        <v>0</v>
      </c>
      <c r="O12" s="47">
        <f>O20</f>
        <v>138</v>
      </c>
      <c r="P12" s="13">
        <v>0</v>
      </c>
      <c r="Q12" s="231"/>
      <c r="R12" s="231"/>
      <c r="S12" s="231" t="s">
        <v>18</v>
      </c>
      <c r="T12" s="231"/>
      <c r="V12" s="231" t="s">
        <v>50</v>
      </c>
      <c r="W12" s="231"/>
      <c r="X12" s="231" t="s">
        <v>81</v>
      </c>
      <c r="Y12" s="231"/>
      <c r="Z12" s="231" t="s">
        <v>63</v>
      </c>
      <c r="AA12" s="231"/>
    </row>
    <row r="13" spans="1:27">
      <c r="A13" s="27"/>
      <c r="B13" s="197">
        <v>6</v>
      </c>
      <c r="C13" s="12">
        <f t="shared" si="0"/>
        <v>6</v>
      </c>
      <c r="D13" s="10" t="str">
        <f t="shared" si="1"/>
        <v>YMI</v>
      </c>
      <c r="E13" s="12">
        <f>ROUND(HLOOKUP(D13,$E$18:$J$20,3,FALSE),0)</f>
        <v>20</v>
      </c>
      <c r="F13" s="28">
        <f t="shared" ca="1" si="3"/>
        <v>0.40816326530612246</v>
      </c>
      <c r="G13" s="28">
        <f ca="1">1-F13</f>
        <v>0.59183673469387754</v>
      </c>
      <c r="L13" s="6"/>
      <c r="N13" s="10" t="s">
        <v>22</v>
      </c>
      <c r="O13" s="13">
        <f>T20</f>
        <v>169</v>
      </c>
      <c r="P13" s="13">
        <v>0</v>
      </c>
      <c r="Q13" s="231"/>
      <c r="R13" s="231"/>
      <c r="S13" s="231" t="s">
        <v>18</v>
      </c>
      <c r="T13" s="231"/>
      <c r="V13" s="231" t="s">
        <v>51</v>
      </c>
      <c r="W13" s="231"/>
      <c r="X13" s="246" t="s">
        <v>118</v>
      </c>
      <c r="Y13" s="246"/>
      <c r="Z13" s="231" t="s">
        <v>62</v>
      </c>
      <c r="AA13" s="231"/>
    </row>
    <row r="14" spans="1:27">
      <c r="B14" s="6"/>
      <c r="F14" s="63"/>
      <c r="L14" s="6"/>
      <c r="N14" s="29"/>
      <c r="O14" s="29"/>
      <c r="P14" s="29"/>
      <c r="Q14" s="248"/>
      <c r="R14" s="248"/>
      <c r="S14" s="248"/>
      <c r="T14" s="248"/>
      <c r="X14" s="247"/>
      <c r="Y14" s="247"/>
    </row>
    <row r="15" spans="1:27" ht="13.5" customHeight="1" thickBot="1">
      <c r="B15" s="6"/>
      <c r="L15" s="6"/>
      <c r="M15"/>
    </row>
    <row r="16" spans="1:27" ht="17.149999999999999" thickBot="1">
      <c r="B16" s="6"/>
      <c r="L16" s="6"/>
      <c r="N16" s="14" t="s">
        <v>19</v>
      </c>
      <c r="O16" s="15">
        <f>SUM(O8:O13)</f>
        <v>1432.5</v>
      </c>
      <c r="P16" s="87"/>
      <c r="Q16" s="262" t="s">
        <v>330</v>
      </c>
      <c r="R16" s="263"/>
      <c r="S16" s="15">
        <v>3950</v>
      </c>
      <c r="V16" s="137" t="s">
        <v>121</v>
      </c>
      <c r="W16" s="138">
        <f>O16+S16</f>
        <v>5382.5</v>
      </c>
    </row>
    <row r="17" spans="2:34" ht="12" customHeight="1">
      <c r="B17" s="6"/>
      <c r="E17" s="27">
        <f t="shared" ref="E17:J17" si="5">RANK(E20,$E20:$J20)</f>
        <v>1</v>
      </c>
      <c r="F17" s="27">
        <f t="shared" si="5"/>
        <v>4</v>
      </c>
      <c r="G17" s="27">
        <f t="shared" si="5"/>
        <v>5</v>
      </c>
      <c r="H17" s="27">
        <f t="shared" si="5"/>
        <v>6</v>
      </c>
      <c r="I17" s="27">
        <f t="shared" si="5"/>
        <v>2</v>
      </c>
      <c r="J17" s="27">
        <f t="shared" si="5"/>
        <v>3</v>
      </c>
      <c r="L17" s="6"/>
      <c r="V17" s="249"/>
    </row>
    <row r="18" spans="2:34">
      <c r="B18" s="6"/>
      <c r="E18" s="16" t="s">
        <v>0</v>
      </c>
      <c r="F18" s="16" t="s">
        <v>4</v>
      </c>
      <c r="G18" s="16" t="s">
        <v>1</v>
      </c>
      <c r="H18" s="16" t="s">
        <v>2</v>
      </c>
      <c r="I18" s="16" t="s">
        <v>3</v>
      </c>
      <c r="J18" s="16" t="s">
        <v>21</v>
      </c>
      <c r="L18" s="6"/>
      <c r="O18" s="16" t="s">
        <v>0</v>
      </c>
      <c r="P18" s="16" t="s">
        <v>4</v>
      </c>
      <c r="Q18" s="16" t="s">
        <v>1</v>
      </c>
      <c r="R18" s="16" t="s">
        <v>2</v>
      </c>
      <c r="S18" s="16" t="s">
        <v>3</v>
      </c>
      <c r="T18" s="16" t="s">
        <v>22</v>
      </c>
      <c r="U18" s="16"/>
      <c r="V18" s="250"/>
    </row>
    <row r="19" spans="2:34" ht="6" customHeight="1">
      <c r="B19" s="6"/>
      <c r="E19" s="17"/>
      <c r="F19" s="17"/>
      <c r="G19" s="17"/>
      <c r="H19" s="17"/>
      <c r="I19" s="17"/>
      <c r="J19" s="17"/>
      <c r="L19" s="6"/>
      <c r="O19" s="17"/>
      <c r="P19" s="17"/>
      <c r="Q19" s="17"/>
      <c r="R19" s="17"/>
      <c r="S19" s="17"/>
      <c r="T19" s="17"/>
      <c r="U19" s="17"/>
    </row>
    <row r="20" spans="2:34" ht="16.75" customHeight="1">
      <c r="B20" s="6"/>
      <c r="C20" s="139">
        <f ca="1">COUNT(C23:C96)</f>
        <v>49</v>
      </c>
      <c r="E20" s="24">
        <f>SUM(E25:E96)+0.00007</f>
        <v>40.000070000000001</v>
      </c>
      <c r="F20" s="24">
        <f>SUM(F25:F96)+0.00005</f>
        <v>34.000050000000002</v>
      </c>
      <c r="G20" s="24">
        <f>SUM(G25:G96)+0.00008</f>
        <v>22.000080000000001</v>
      </c>
      <c r="H20" s="24">
        <f>SUM(H25:H96)+0.00006</f>
        <v>20.000060000000001</v>
      </c>
      <c r="I20" s="24">
        <f>SUM(I25:I96)+0.00009</f>
        <v>38.00009</v>
      </c>
      <c r="J20" s="24">
        <f>SUM(J25:J96)+0.0001</f>
        <v>37.000100000000003</v>
      </c>
      <c r="L20" s="6"/>
      <c r="O20" s="19">
        <f t="shared" ref="O20:T20" si="6">SUM(O24:O96)</f>
        <v>138</v>
      </c>
      <c r="P20" s="19">
        <f t="shared" si="6"/>
        <v>214</v>
      </c>
      <c r="Q20" s="19">
        <f t="shared" si="6"/>
        <v>360</v>
      </c>
      <c r="R20" s="19">
        <f t="shared" si="6"/>
        <v>393.5</v>
      </c>
      <c r="S20" s="19">
        <f t="shared" si="6"/>
        <v>158</v>
      </c>
      <c r="T20" s="19">
        <f t="shared" si="6"/>
        <v>169</v>
      </c>
      <c r="U20" s="19"/>
      <c r="W20" s="193"/>
      <c r="X20" s="193"/>
      <c r="Y20" s="193"/>
      <c r="Z20" s="193"/>
    </row>
    <row r="21" spans="2:34">
      <c r="B21" s="6"/>
      <c r="E21" s="2"/>
      <c r="F21" s="2"/>
      <c r="G21" s="2"/>
      <c r="H21" s="2"/>
      <c r="I21" s="2"/>
      <c r="J21" s="2"/>
      <c r="L21" s="6"/>
      <c r="O21" s="20" cm="1">
        <f t="array" ref="O21">SUM(SUMIF($N$24:$N$100,{"LI";"LIFO";"LIFO+"},O24:O100))</f>
        <v>6</v>
      </c>
      <c r="P21" s="20" cm="1">
        <f t="array" ref="P21">SUM(SUMIF($N$24:$N$100,{"LI";"LIFO";"LIFO+"},P24:P100))</f>
        <v>6</v>
      </c>
      <c r="Q21" s="20" cm="1">
        <f t="array" ref="Q21">SUM(SUMIF($N$24:$N$100,{"LI";"LIFO";"LIFO+"},Q24:Q100))</f>
        <v>0</v>
      </c>
      <c r="R21" s="20" cm="1">
        <f t="array" ref="R21">SUM(SUMIF($N$24:$N$100,{"LI";"LIFO";"LIFO+"},R24:R100))</f>
        <v>9.5</v>
      </c>
      <c r="S21" s="20" cm="1">
        <f t="array" ref="S21">SUM(SUMIF($N$24:$N$100,{"LI";"LIFO";"LIFO+"},S24:S100))</f>
        <v>0</v>
      </c>
      <c r="T21" s="20" cm="1">
        <f t="array" ref="T21">SUM(SUMIF($N$24:$N$100,{"LI";"LIFO";"LIFO+"},T24:T100))</f>
        <v>0</v>
      </c>
      <c r="U21" s="20"/>
      <c r="W21" s="193"/>
      <c r="X21" s="193"/>
      <c r="Y21" s="193"/>
      <c r="Z21" s="193"/>
    </row>
    <row r="22" spans="2:34">
      <c r="B22" s="6"/>
      <c r="E22" s="18">
        <v>3</v>
      </c>
      <c r="F22" s="18">
        <v>5</v>
      </c>
      <c r="G22" s="18">
        <v>6</v>
      </c>
      <c r="H22" s="18">
        <v>7</v>
      </c>
      <c r="I22" s="18">
        <v>8</v>
      </c>
      <c r="J22" s="18">
        <v>1</v>
      </c>
      <c r="L22" s="6"/>
      <c r="W22" s="193"/>
      <c r="X22" s="193"/>
      <c r="Y22" s="193"/>
      <c r="Z22" s="193"/>
    </row>
    <row r="23" spans="2:34">
      <c r="B23" s="6"/>
      <c r="C23" s="12" t="s">
        <v>10</v>
      </c>
      <c r="D23" s="10" t="s">
        <v>11</v>
      </c>
      <c r="E23" s="12" t="s">
        <v>12</v>
      </c>
      <c r="F23" s="12" t="s">
        <v>12</v>
      </c>
      <c r="G23" s="12" t="s">
        <v>12</v>
      </c>
      <c r="H23" s="12" t="s">
        <v>324</v>
      </c>
      <c r="I23" s="12" t="s">
        <v>12</v>
      </c>
      <c r="J23" s="12" t="s">
        <v>12</v>
      </c>
      <c r="L23" s="6"/>
      <c r="M23" s="67" t="s">
        <v>11</v>
      </c>
      <c r="N23" s="67" t="s">
        <v>15</v>
      </c>
      <c r="O23" s="12" t="s">
        <v>16</v>
      </c>
      <c r="P23" s="12" t="s">
        <v>16</v>
      </c>
      <c r="Q23" s="12" t="s">
        <v>16</v>
      </c>
      <c r="R23" s="12" t="s">
        <v>16</v>
      </c>
      <c r="S23" s="12" t="s">
        <v>16</v>
      </c>
      <c r="T23" s="12" t="s">
        <v>16</v>
      </c>
      <c r="U23" s="12"/>
    </row>
    <row r="24" spans="2:34">
      <c r="B24" s="6"/>
      <c r="C24" s="12"/>
      <c r="D24" s="10"/>
      <c r="E24" s="12"/>
      <c r="F24" s="12"/>
      <c r="G24" s="12"/>
      <c r="H24" s="12"/>
      <c r="I24" s="12"/>
      <c r="J24" s="12"/>
      <c r="L24" s="6"/>
      <c r="M24" s="21">
        <v>45338</v>
      </c>
      <c r="N24" s="67" t="s">
        <v>20</v>
      </c>
      <c r="O24" s="25">
        <v>20</v>
      </c>
      <c r="P24" s="25">
        <v>20</v>
      </c>
      <c r="Q24" s="25">
        <v>20</v>
      </c>
      <c r="R24" s="25">
        <v>20</v>
      </c>
      <c r="S24" s="25">
        <v>20</v>
      </c>
      <c r="T24" s="25">
        <v>20</v>
      </c>
      <c r="U24" s="25"/>
      <c r="X24" s="188"/>
      <c r="Y24" s="189"/>
      <c r="Z24" s="189"/>
      <c r="AA24" s="190" t="s">
        <v>342</v>
      </c>
      <c r="AB24" s="190" t="s">
        <v>345</v>
      </c>
      <c r="AC24" s="33" t="s">
        <v>353</v>
      </c>
      <c r="AD24" s="33"/>
      <c r="AE24" s="33"/>
      <c r="AF24" s="34"/>
      <c r="AG24" s="179"/>
      <c r="AH24" s="179"/>
    </row>
    <row r="25" spans="2:34">
      <c r="B25" s="6"/>
      <c r="C25" s="12">
        <v>1</v>
      </c>
      <c r="D25" s="22">
        <f>M25</f>
        <v>45338</v>
      </c>
      <c r="E25" s="26">
        <f t="shared" ref="E25:J26" si="7">IF(O25="","",IF(O25=0,1,0))</f>
        <v>0</v>
      </c>
      <c r="F25" s="26">
        <f t="shared" si="7"/>
        <v>1</v>
      </c>
      <c r="G25" s="26">
        <f t="shared" si="7"/>
        <v>1</v>
      </c>
      <c r="H25" s="26">
        <f>IF(R25="","",IF(R25=0,1,0))</f>
        <v>1</v>
      </c>
      <c r="I25" s="26">
        <f t="shared" si="7"/>
        <v>1</v>
      </c>
      <c r="J25" s="26">
        <f t="shared" si="7"/>
        <v>1</v>
      </c>
      <c r="L25" s="6"/>
      <c r="M25" s="21">
        <f>M24</f>
        <v>45338</v>
      </c>
      <c r="N25" s="10" t="s">
        <v>24</v>
      </c>
      <c r="O25" s="25">
        <v>12</v>
      </c>
      <c r="P25" s="25">
        <v>0</v>
      </c>
      <c r="Q25" s="25">
        <v>0</v>
      </c>
      <c r="R25" s="25">
        <v>0</v>
      </c>
      <c r="S25" s="25">
        <v>0</v>
      </c>
      <c r="T25" s="25">
        <v>0</v>
      </c>
      <c r="U25" s="25"/>
      <c r="X25" s="188" t="s">
        <v>32</v>
      </c>
      <c r="Y25" s="191" t="s">
        <v>316</v>
      </c>
      <c r="Z25" s="192">
        <v>21.467017120000001</v>
      </c>
      <c r="AA25" s="188">
        <v>190.00307913373703</v>
      </c>
      <c r="AB25" s="188">
        <v>278.86</v>
      </c>
      <c r="AC25" s="194">
        <f>(AB25/AA25)-1</f>
        <v>0.46766042566983601</v>
      </c>
      <c r="AD25" s="10"/>
      <c r="AE25" s="167"/>
      <c r="AG25" s="179"/>
      <c r="AH25" s="179"/>
    </row>
    <row r="26" spans="2:34">
      <c r="B26" s="6"/>
      <c r="C26" s="12">
        <f t="shared" ref="C26" ca="1" si="8">IF(D26&lt;=TODAY(),1,"")</f>
        <v>1</v>
      </c>
      <c r="D26" s="22">
        <f t="shared" ref="D26" si="9">IF(M26="","",M26)</f>
        <v>45345</v>
      </c>
      <c r="E26" s="26">
        <f t="shared" si="7"/>
        <v>0</v>
      </c>
      <c r="F26" s="26">
        <f t="shared" si="7"/>
        <v>1</v>
      </c>
      <c r="G26" s="26">
        <f t="shared" si="7"/>
        <v>0</v>
      </c>
      <c r="H26" s="26">
        <f t="shared" si="7"/>
        <v>0</v>
      </c>
      <c r="I26" s="26">
        <f t="shared" si="7"/>
        <v>1</v>
      </c>
      <c r="J26" s="26">
        <f t="shared" si="7"/>
        <v>1</v>
      </c>
      <c r="M26" s="21">
        <f>M25+7</f>
        <v>45345</v>
      </c>
      <c r="N26" s="10" t="s">
        <v>24</v>
      </c>
      <c r="O26" s="25">
        <v>12</v>
      </c>
      <c r="P26" s="25">
        <v>0</v>
      </c>
      <c r="Q26" s="25">
        <v>12</v>
      </c>
      <c r="R26" s="25">
        <v>12</v>
      </c>
      <c r="S26" s="25">
        <v>0</v>
      </c>
      <c r="T26" s="25">
        <v>0</v>
      </c>
      <c r="U26" s="25"/>
      <c r="X26" s="188" t="s">
        <v>3</v>
      </c>
      <c r="Y26" s="188" t="s">
        <v>317</v>
      </c>
      <c r="Z26" s="192">
        <v>514.90734899999995</v>
      </c>
      <c r="AA26" s="188">
        <v>190.11414594374236</v>
      </c>
      <c r="AB26" s="188">
        <v>266.14</v>
      </c>
      <c r="AC26" s="194">
        <f t="shared" ref="AC26:AC31" si="10">(AB26/AA26)-1</f>
        <v>0.39989582931274792</v>
      </c>
      <c r="AD26" s="10"/>
      <c r="AE26" s="167"/>
      <c r="AG26" s="179"/>
      <c r="AH26" s="179"/>
    </row>
    <row r="27" spans="2:34">
      <c r="B27" s="6"/>
      <c r="C27" s="12">
        <f t="shared" ref="C27:C46" ca="1" si="11">IF(D27&lt;=TODAY(),1,"")</f>
        <v>1</v>
      </c>
      <c r="D27" s="22">
        <f t="shared" ref="D27:D46" si="12">IF(M27="","",M27)</f>
        <v>45352</v>
      </c>
      <c r="E27" s="26">
        <f t="shared" ref="E27:E46" si="13">IF(O27="","",IF(O27=0,1,0))</f>
        <v>1</v>
      </c>
      <c r="F27" s="26">
        <f t="shared" ref="F27:F46" si="14">IF(P27="","",IF(P27=0,1,0))</f>
        <v>1</v>
      </c>
      <c r="G27" s="26">
        <f t="shared" ref="G27:G46" si="15">IF(Q27="","",IF(Q27=0,1,0))</f>
        <v>1</v>
      </c>
      <c r="H27" s="26">
        <f t="shared" ref="H27:H46" si="16">IF(R27="","",IF(R27=0,1,0))</f>
        <v>0</v>
      </c>
      <c r="I27" s="26">
        <f t="shared" ref="I27:I46" si="17">IF(S27="","",IF(S27=0,1,0))</f>
        <v>0</v>
      </c>
      <c r="J27" s="26">
        <f t="shared" ref="J27:J46" si="18">IF(T27="","",IF(T27=0,1,0))</f>
        <v>1</v>
      </c>
      <c r="M27" s="21">
        <f>M26+7</f>
        <v>45352</v>
      </c>
      <c r="N27" s="10" t="s">
        <v>24</v>
      </c>
      <c r="O27" s="25">
        <v>0</v>
      </c>
      <c r="P27" s="25">
        <v>0</v>
      </c>
      <c r="Q27" s="25">
        <v>0</v>
      </c>
      <c r="R27" s="25">
        <v>12</v>
      </c>
      <c r="S27" s="25">
        <v>12</v>
      </c>
      <c r="T27" s="25">
        <v>0</v>
      </c>
      <c r="U27" s="25"/>
      <c r="X27" s="188" t="s">
        <v>1</v>
      </c>
      <c r="Y27" s="188" t="s">
        <v>318</v>
      </c>
      <c r="Z27" s="192">
        <v>100.37945723</v>
      </c>
      <c r="AA27" s="188">
        <v>189.94866529774126</v>
      </c>
      <c r="AB27" s="188">
        <v>186.71</v>
      </c>
      <c r="AC27" s="194">
        <f t="shared" si="10"/>
        <v>-1.7050213501972777E-2</v>
      </c>
      <c r="AD27" s="10"/>
      <c r="AE27" s="167"/>
      <c r="AG27" s="179"/>
      <c r="AH27" s="179"/>
    </row>
    <row r="28" spans="2:34">
      <c r="B28" s="6"/>
      <c r="C28" s="12">
        <f t="shared" ca="1" si="11"/>
        <v>1</v>
      </c>
      <c r="D28" s="22">
        <f t="shared" si="12"/>
        <v>45359</v>
      </c>
      <c r="E28" s="26">
        <f t="shared" si="13"/>
        <v>1</v>
      </c>
      <c r="F28" s="26">
        <f t="shared" si="14"/>
        <v>1</v>
      </c>
      <c r="G28" s="26">
        <f t="shared" si="15"/>
        <v>0</v>
      </c>
      <c r="H28" s="26">
        <f t="shared" si="16"/>
        <v>0</v>
      </c>
      <c r="I28" s="26">
        <f t="shared" si="17"/>
        <v>0</v>
      </c>
      <c r="J28" s="26">
        <f t="shared" si="18"/>
        <v>0</v>
      </c>
      <c r="M28" s="21">
        <f t="shared" ref="M28:M37" si="19">M27+7</f>
        <v>45359</v>
      </c>
      <c r="N28" s="10" t="s">
        <v>24</v>
      </c>
      <c r="O28" s="25">
        <v>0</v>
      </c>
      <c r="P28" s="25">
        <v>0</v>
      </c>
      <c r="Q28" s="25">
        <v>12</v>
      </c>
      <c r="R28" s="25">
        <v>12</v>
      </c>
      <c r="S28" s="25">
        <v>12</v>
      </c>
      <c r="T28" s="25">
        <v>12</v>
      </c>
      <c r="U28" s="25"/>
      <c r="X28" s="188" t="s">
        <v>0</v>
      </c>
      <c r="Y28" s="188" t="s">
        <v>319</v>
      </c>
      <c r="Z28" s="192">
        <v>15448414.2267</v>
      </c>
      <c r="AA28" s="188">
        <v>189.93453355155481</v>
      </c>
      <c r="AB28" s="188">
        <v>150.13999999999999</v>
      </c>
      <c r="AC28" s="194">
        <f t="shared" si="10"/>
        <v>-0.20951710469625162</v>
      </c>
      <c r="AD28" s="10"/>
      <c r="AE28" s="167"/>
      <c r="AG28" s="179"/>
      <c r="AH28" s="179"/>
    </row>
    <row r="29" spans="2:34">
      <c r="B29" s="6"/>
      <c r="C29" s="12">
        <f t="shared" ca="1" si="11"/>
        <v>1</v>
      </c>
      <c r="D29" s="22">
        <f t="shared" si="12"/>
        <v>45366</v>
      </c>
      <c r="E29" s="26">
        <f t="shared" si="13"/>
        <v>1</v>
      </c>
      <c r="F29" s="26">
        <f t="shared" si="14"/>
        <v>1</v>
      </c>
      <c r="G29" s="26">
        <f t="shared" si="15"/>
        <v>0</v>
      </c>
      <c r="H29" s="26">
        <f t="shared" si="16"/>
        <v>1</v>
      </c>
      <c r="I29" s="26">
        <f t="shared" si="17"/>
        <v>1</v>
      </c>
      <c r="J29" s="26">
        <f t="shared" si="18"/>
        <v>0</v>
      </c>
      <c r="M29" s="21">
        <f t="shared" si="19"/>
        <v>45366</v>
      </c>
      <c r="N29" s="10" t="s">
        <v>24</v>
      </c>
      <c r="O29" s="25">
        <v>0</v>
      </c>
      <c r="P29" s="25">
        <v>0</v>
      </c>
      <c r="Q29" s="25">
        <v>12</v>
      </c>
      <c r="R29" s="25">
        <v>0</v>
      </c>
      <c r="S29" s="25">
        <v>0</v>
      </c>
      <c r="T29" s="25">
        <v>12</v>
      </c>
      <c r="U29" s="25"/>
      <c r="V29" s="58"/>
      <c r="X29" s="188" t="s">
        <v>2</v>
      </c>
      <c r="Y29" s="188" t="s">
        <v>320</v>
      </c>
      <c r="Z29" s="192">
        <v>147.60700398</v>
      </c>
      <c r="AA29" s="188">
        <v>189.99795876709533</v>
      </c>
      <c r="AB29" s="188">
        <v>201.64</v>
      </c>
      <c r="AC29" s="194">
        <f t="shared" si="10"/>
        <v>6.1274559518693428E-2</v>
      </c>
      <c r="AD29" s="10"/>
      <c r="AE29" s="167"/>
      <c r="AG29" s="179"/>
      <c r="AH29" s="179"/>
    </row>
    <row r="30" spans="2:34">
      <c r="B30" s="6"/>
      <c r="C30" s="12">
        <f t="shared" ca="1" si="11"/>
        <v>1</v>
      </c>
      <c r="D30" s="22">
        <f t="shared" si="12"/>
        <v>45373</v>
      </c>
      <c r="E30" s="26">
        <f t="shared" si="13"/>
        <v>1</v>
      </c>
      <c r="F30" s="26">
        <f t="shared" si="14"/>
        <v>1</v>
      </c>
      <c r="G30" s="26">
        <f t="shared" si="15"/>
        <v>1</v>
      </c>
      <c r="H30" s="26">
        <f t="shared" si="16"/>
        <v>1</v>
      </c>
      <c r="I30" s="26">
        <f t="shared" si="17"/>
        <v>1</v>
      </c>
      <c r="J30" s="26">
        <f t="shared" si="18"/>
        <v>1</v>
      </c>
      <c r="M30" s="21">
        <f t="shared" si="19"/>
        <v>45373</v>
      </c>
      <c r="N30" s="10" t="s">
        <v>24</v>
      </c>
      <c r="O30" s="25">
        <v>0</v>
      </c>
      <c r="P30" s="25">
        <v>0</v>
      </c>
      <c r="Q30" s="25">
        <v>0</v>
      </c>
      <c r="R30" s="25">
        <v>0</v>
      </c>
      <c r="S30" s="25">
        <v>0</v>
      </c>
      <c r="T30" s="25">
        <v>0</v>
      </c>
      <c r="U30" s="25"/>
      <c r="X30" s="188" t="s">
        <v>4</v>
      </c>
      <c r="Y30" s="188" t="s">
        <v>315</v>
      </c>
      <c r="Z30" s="192">
        <v>0.12023725</v>
      </c>
      <c r="AA30" s="188">
        <v>189.94498777506112</v>
      </c>
      <c r="AB30" s="188">
        <v>353.86</v>
      </c>
      <c r="AC30" s="194">
        <f t="shared" si="10"/>
        <v>0.86296045052292847</v>
      </c>
      <c r="AD30" s="174"/>
      <c r="AE30" s="167"/>
      <c r="AG30" s="179"/>
      <c r="AH30" s="179"/>
    </row>
    <row r="31" spans="2:34">
      <c r="B31" s="6"/>
      <c r="C31" s="12">
        <f t="shared" ca="1" si="11"/>
        <v>1</v>
      </c>
      <c r="D31" s="22">
        <f t="shared" si="12"/>
        <v>45387</v>
      </c>
      <c r="E31" s="26">
        <f t="shared" si="13"/>
        <v>1</v>
      </c>
      <c r="F31" s="26">
        <f t="shared" si="14"/>
        <v>1</v>
      </c>
      <c r="G31" s="26">
        <f t="shared" si="15"/>
        <v>0</v>
      </c>
      <c r="H31" s="26">
        <f t="shared" si="16"/>
        <v>0</v>
      </c>
      <c r="I31" s="26">
        <f t="shared" si="17"/>
        <v>1</v>
      </c>
      <c r="J31" s="26">
        <f t="shared" si="18"/>
        <v>1</v>
      </c>
      <c r="M31" s="21">
        <v>45387</v>
      </c>
      <c r="N31" s="10" t="s">
        <v>24</v>
      </c>
      <c r="O31" s="25">
        <v>0</v>
      </c>
      <c r="P31" s="25">
        <v>0</v>
      </c>
      <c r="Q31" s="25">
        <v>12</v>
      </c>
      <c r="R31" s="25">
        <v>12</v>
      </c>
      <c r="S31" s="25">
        <v>0</v>
      </c>
      <c r="T31" s="25">
        <v>0</v>
      </c>
      <c r="U31" s="25"/>
      <c r="X31" s="188" t="s">
        <v>346</v>
      </c>
      <c r="Y31" s="188" t="s">
        <v>347</v>
      </c>
      <c r="Z31" s="192">
        <v>1.2999999999999999E-2</v>
      </c>
      <c r="AA31" s="188">
        <f>718.31/1.1534</f>
        <v>622.77614010750824</v>
      </c>
      <c r="AB31" s="188">
        <v>718.31</v>
      </c>
      <c r="AC31" s="194">
        <f t="shared" si="10"/>
        <v>0.15339999999999998</v>
      </c>
      <c r="AD31" s="33"/>
      <c r="AE31" s="178"/>
      <c r="AG31" s="179"/>
      <c r="AH31" s="179"/>
    </row>
    <row r="32" spans="2:34">
      <c r="B32" s="6"/>
      <c r="C32" s="12">
        <f t="shared" ca="1" si="11"/>
        <v>1</v>
      </c>
      <c r="D32" s="22">
        <f t="shared" si="12"/>
        <v>45394</v>
      </c>
      <c r="E32" s="26">
        <f t="shared" si="13"/>
        <v>0</v>
      </c>
      <c r="F32" s="26">
        <f t="shared" si="14"/>
        <v>1</v>
      </c>
      <c r="G32" s="26">
        <f t="shared" si="15"/>
        <v>1</v>
      </c>
      <c r="H32" s="26">
        <f t="shared" si="16"/>
        <v>1</v>
      </c>
      <c r="I32" s="26">
        <f t="shared" si="17"/>
        <v>1</v>
      </c>
      <c r="J32" s="26">
        <f t="shared" si="18"/>
        <v>0</v>
      </c>
      <c r="M32" s="21">
        <f t="shared" si="19"/>
        <v>45394</v>
      </c>
      <c r="N32" s="10" t="s">
        <v>24</v>
      </c>
      <c r="O32" s="25">
        <v>12</v>
      </c>
      <c r="P32" s="25">
        <v>0</v>
      </c>
      <c r="Q32" s="25">
        <v>0</v>
      </c>
      <c r="R32" s="25">
        <v>0</v>
      </c>
      <c r="S32" s="25">
        <v>0</v>
      </c>
      <c r="T32" s="25">
        <v>12</v>
      </c>
      <c r="U32" s="25"/>
      <c r="W32" s="179"/>
      <c r="Z32" s="179"/>
      <c r="AA32" s="1">
        <f>SUM(AA25:AA31)</f>
        <v>1762.7195105764399</v>
      </c>
      <c r="AB32" s="1">
        <f>SUM(AB25:AB31)</f>
        <v>2155.66</v>
      </c>
    </row>
    <row r="33" spans="2:34">
      <c r="B33" s="6"/>
      <c r="C33" s="12">
        <f t="shared" ca="1" si="11"/>
        <v>1</v>
      </c>
      <c r="D33" s="22">
        <f t="shared" si="12"/>
        <v>45401</v>
      </c>
      <c r="E33" s="26">
        <f t="shared" si="13"/>
        <v>1</v>
      </c>
      <c r="F33" s="26">
        <f t="shared" si="14"/>
        <v>1</v>
      </c>
      <c r="G33" s="26">
        <f t="shared" si="15"/>
        <v>1</v>
      </c>
      <c r="H33" s="26">
        <f t="shared" si="16"/>
        <v>1</v>
      </c>
      <c r="I33" s="26">
        <f t="shared" si="17"/>
        <v>1</v>
      </c>
      <c r="J33" s="26">
        <f t="shared" si="18"/>
        <v>0</v>
      </c>
      <c r="M33" s="21">
        <f t="shared" si="19"/>
        <v>45401</v>
      </c>
      <c r="N33" s="10" t="s">
        <v>24</v>
      </c>
      <c r="O33" s="25">
        <v>0</v>
      </c>
      <c r="P33" s="25">
        <v>0</v>
      </c>
      <c r="Q33" s="25">
        <v>0</v>
      </c>
      <c r="R33" s="25">
        <v>0</v>
      </c>
      <c r="S33" s="25">
        <v>0</v>
      </c>
      <c r="T33" s="25">
        <v>12</v>
      </c>
      <c r="U33" s="25"/>
      <c r="Y33" s="179"/>
      <c r="Z33" s="179"/>
    </row>
    <row r="34" spans="2:34">
      <c r="B34" s="6"/>
      <c r="C34" s="12">
        <f t="shared" ca="1" si="11"/>
        <v>1</v>
      </c>
      <c r="D34" s="22">
        <f t="shared" si="12"/>
        <v>45408</v>
      </c>
      <c r="E34" s="26">
        <f t="shared" si="13"/>
        <v>1</v>
      </c>
      <c r="F34" s="26">
        <f t="shared" si="14"/>
        <v>1</v>
      </c>
      <c r="G34" s="26">
        <f t="shared" si="15"/>
        <v>0</v>
      </c>
      <c r="H34" s="26">
        <f t="shared" si="16"/>
        <v>1</v>
      </c>
      <c r="I34" s="26">
        <f t="shared" si="17"/>
        <v>1</v>
      </c>
      <c r="J34" s="26">
        <f t="shared" si="18"/>
        <v>0</v>
      </c>
      <c r="M34" s="21">
        <f t="shared" si="19"/>
        <v>45408</v>
      </c>
      <c r="N34" s="10" t="s">
        <v>24</v>
      </c>
      <c r="O34" s="25">
        <v>0</v>
      </c>
      <c r="P34" s="25">
        <v>0</v>
      </c>
      <c r="Q34" s="25">
        <v>12</v>
      </c>
      <c r="R34" s="25">
        <v>0</v>
      </c>
      <c r="S34" s="25">
        <v>0</v>
      </c>
      <c r="T34" s="25">
        <v>12</v>
      </c>
      <c r="U34" s="25"/>
      <c r="AD34" s="2"/>
      <c r="AG34" s="179"/>
      <c r="AH34" s="179"/>
    </row>
    <row r="35" spans="2:34">
      <c r="B35" s="6"/>
      <c r="C35" s="12">
        <f t="shared" ca="1" si="11"/>
        <v>1</v>
      </c>
      <c r="D35" s="22">
        <f t="shared" si="12"/>
        <v>45415</v>
      </c>
      <c r="E35" s="26">
        <f t="shared" si="13"/>
        <v>0</v>
      </c>
      <c r="F35" s="26">
        <f t="shared" si="14"/>
        <v>0</v>
      </c>
      <c r="G35" s="26">
        <f t="shared" si="15"/>
        <v>1</v>
      </c>
      <c r="H35" s="26">
        <f t="shared" si="16"/>
        <v>0</v>
      </c>
      <c r="I35" s="26">
        <f t="shared" si="17"/>
        <v>1</v>
      </c>
      <c r="J35" s="26">
        <f t="shared" si="18"/>
        <v>1</v>
      </c>
      <c r="M35" s="21">
        <f t="shared" si="19"/>
        <v>45415</v>
      </c>
      <c r="N35" s="10" t="s">
        <v>24</v>
      </c>
      <c r="O35" s="25">
        <v>12</v>
      </c>
      <c r="P35" s="25">
        <v>12</v>
      </c>
      <c r="Q35" s="25">
        <v>0</v>
      </c>
      <c r="R35" s="25">
        <v>12</v>
      </c>
      <c r="S35" s="25">
        <v>0</v>
      </c>
      <c r="T35" s="25">
        <v>0</v>
      </c>
      <c r="U35" s="25"/>
      <c r="AB35" s="58"/>
      <c r="AG35" s="179"/>
      <c r="AH35" s="179"/>
    </row>
    <row r="36" spans="2:34">
      <c r="B36" s="6"/>
      <c r="C36" s="12">
        <f t="shared" ca="1" si="11"/>
        <v>1</v>
      </c>
      <c r="D36" s="22">
        <f t="shared" si="12"/>
        <v>45422</v>
      </c>
      <c r="E36" s="26">
        <f t="shared" si="13"/>
        <v>1</v>
      </c>
      <c r="F36" s="26">
        <f t="shared" si="14"/>
        <v>0</v>
      </c>
      <c r="G36" s="26">
        <f t="shared" si="15"/>
        <v>0</v>
      </c>
      <c r="H36" s="26">
        <f t="shared" si="16"/>
        <v>1</v>
      </c>
      <c r="I36" s="26">
        <f t="shared" si="17"/>
        <v>1</v>
      </c>
      <c r="J36" s="26">
        <f t="shared" si="18"/>
        <v>1</v>
      </c>
      <c r="M36" s="21">
        <f t="shared" si="19"/>
        <v>45422</v>
      </c>
      <c r="N36" s="10" t="s">
        <v>24</v>
      </c>
      <c r="O36" s="25">
        <v>0</v>
      </c>
      <c r="P36" s="25">
        <v>12</v>
      </c>
      <c r="Q36" s="25">
        <v>12</v>
      </c>
      <c r="R36" s="25">
        <v>0</v>
      </c>
      <c r="S36" s="25">
        <v>0</v>
      </c>
      <c r="T36" s="25">
        <v>0</v>
      </c>
      <c r="U36" s="25"/>
      <c r="AC36" s="27" t="s">
        <v>341</v>
      </c>
      <c r="AD36" s="27">
        <v>100</v>
      </c>
    </row>
    <row r="37" spans="2:34">
      <c r="B37" s="6"/>
      <c r="C37" s="12">
        <f t="shared" ca="1" si="11"/>
        <v>1</v>
      </c>
      <c r="D37" s="22">
        <f t="shared" si="12"/>
        <v>45429</v>
      </c>
      <c r="E37" s="26">
        <f t="shared" si="13"/>
        <v>1</v>
      </c>
      <c r="F37" s="26">
        <f t="shared" si="14"/>
        <v>0</v>
      </c>
      <c r="G37" s="26">
        <f t="shared" si="15"/>
        <v>1</v>
      </c>
      <c r="H37" s="26">
        <f t="shared" si="16"/>
        <v>1</v>
      </c>
      <c r="I37" s="26">
        <f t="shared" si="17"/>
        <v>1</v>
      </c>
      <c r="J37" s="26">
        <f t="shared" si="18"/>
        <v>1</v>
      </c>
      <c r="M37" s="21">
        <f t="shared" si="19"/>
        <v>45429</v>
      </c>
      <c r="N37" s="10" t="s">
        <v>24</v>
      </c>
      <c r="O37" s="25">
        <v>0</v>
      </c>
      <c r="P37" s="25">
        <v>12</v>
      </c>
      <c r="Q37" s="25">
        <v>0</v>
      </c>
      <c r="R37" s="25">
        <v>0</v>
      </c>
      <c r="S37" s="25">
        <v>0</v>
      </c>
      <c r="T37" s="25">
        <v>0</v>
      </c>
      <c r="U37" s="25"/>
      <c r="AC37" s="27">
        <v>2.57</v>
      </c>
      <c r="AD37" s="27">
        <f>100-AC37</f>
        <v>97.43</v>
      </c>
    </row>
    <row r="38" spans="2:34" ht="16.5" customHeight="1">
      <c r="B38" s="6"/>
      <c r="E38" s="2"/>
      <c r="F38" s="2"/>
      <c r="G38" s="2"/>
      <c r="H38" s="2"/>
      <c r="I38" s="2"/>
      <c r="J38" s="2"/>
      <c r="M38" s="21">
        <v>45044</v>
      </c>
      <c r="N38" s="10" t="s">
        <v>325</v>
      </c>
      <c r="O38" s="25">
        <v>3</v>
      </c>
      <c r="P38" s="25"/>
      <c r="Q38" s="25"/>
      <c r="R38" s="25"/>
      <c r="S38" s="25"/>
      <c r="T38" s="25"/>
      <c r="U38" s="25"/>
      <c r="AC38" s="27">
        <v>1.88</v>
      </c>
      <c r="AD38" s="27">
        <f>100-AC38</f>
        <v>98.12</v>
      </c>
    </row>
    <row r="39" spans="2:34" ht="16.5" customHeight="1">
      <c r="B39" s="6"/>
      <c r="C39" s="12">
        <f t="shared" ca="1" si="11"/>
        <v>1</v>
      </c>
      <c r="D39" s="22">
        <f t="shared" si="12"/>
        <v>45436</v>
      </c>
      <c r="E39" s="26">
        <f t="shared" si="13"/>
        <v>1</v>
      </c>
      <c r="F39" s="26">
        <f t="shared" si="14"/>
        <v>0</v>
      </c>
      <c r="G39" s="26">
        <f t="shared" si="15"/>
        <v>0</v>
      </c>
      <c r="H39" s="26">
        <f t="shared" si="16"/>
        <v>0</v>
      </c>
      <c r="I39" s="26">
        <f t="shared" si="17"/>
        <v>1</v>
      </c>
      <c r="J39" s="26">
        <f t="shared" si="18"/>
        <v>1</v>
      </c>
      <c r="M39" s="21">
        <v>45436</v>
      </c>
      <c r="N39" s="10" t="s">
        <v>24</v>
      </c>
      <c r="O39" s="25">
        <v>0</v>
      </c>
      <c r="P39" s="25">
        <v>12</v>
      </c>
      <c r="Q39" s="25">
        <v>12</v>
      </c>
      <c r="R39" s="25">
        <v>12</v>
      </c>
      <c r="S39" s="25">
        <v>0</v>
      </c>
      <c r="T39" s="25">
        <v>0</v>
      </c>
      <c r="U39" s="25"/>
      <c r="AC39" s="27">
        <v>2.6</v>
      </c>
      <c r="AD39" s="27">
        <f t="shared" ref="AD39:AD42" si="20">100-AC39</f>
        <v>97.4</v>
      </c>
    </row>
    <row r="40" spans="2:34">
      <c r="B40" s="6"/>
      <c r="C40" s="12">
        <f t="shared" ca="1" si="11"/>
        <v>1</v>
      </c>
      <c r="D40" s="22">
        <f t="shared" si="12"/>
        <v>45443</v>
      </c>
      <c r="E40" s="26">
        <f t="shared" si="13"/>
        <v>1</v>
      </c>
      <c r="F40" s="26">
        <f t="shared" si="14"/>
        <v>1</v>
      </c>
      <c r="G40" s="26">
        <f t="shared" si="15"/>
        <v>1</v>
      </c>
      <c r="H40" s="26">
        <f t="shared" si="16"/>
        <v>1</v>
      </c>
      <c r="I40" s="26">
        <f t="shared" si="17"/>
        <v>1</v>
      </c>
      <c r="J40" s="26">
        <f t="shared" si="18"/>
        <v>1</v>
      </c>
      <c r="M40" s="21">
        <v>45443</v>
      </c>
      <c r="N40" s="10" t="s">
        <v>24</v>
      </c>
      <c r="O40" s="25">
        <v>0</v>
      </c>
      <c r="P40" s="25">
        <v>0</v>
      </c>
      <c r="Q40" s="25">
        <v>0</v>
      </c>
      <c r="R40" s="25">
        <v>0</v>
      </c>
      <c r="S40" s="25">
        <v>0</v>
      </c>
      <c r="T40" s="25">
        <v>0</v>
      </c>
      <c r="AC40" s="27">
        <v>2.2400000000000002</v>
      </c>
      <c r="AD40" s="27">
        <f t="shared" si="20"/>
        <v>97.76</v>
      </c>
    </row>
    <row r="41" spans="2:34">
      <c r="B41" s="6"/>
      <c r="C41" s="12">
        <f t="shared" ca="1" si="11"/>
        <v>1</v>
      </c>
      <c r="D41" s="22">
        <f t="shared" si="12"/>
        <v>45450</v>
      </c>
      <c r="E41" s="26">
        <f t="shared" si="13"/>
        <v>1</v>
      </c>
      <c r="F41" s="26">
        <f t="shared" si="14"/>
        <v>1</v>
      </c>
      <c r="G41" s="26">
        <f t="shared" si="15"/>
        <v>1</v>
      </c>
      <c r="H41" s="26">
        <f t="shared" si="16"/>
        <v>0</v>
      </c>
      <c r="I41" s="26">
        <f t="shared" si="17"/>
        <v>0</v>
      </c>
      <c r="J41" s="26">
        <f t="shared" si="18"/>
        <v>0</v>
      </c>
      <c r="M41" s="21">
        <f>M40+7</f>
        <v>45450</v>
      </c>
      <c r="N41" s="10" t="s">
        <v>24</v>
      </c>
      <c r="O41" s="25">
        <v>0</v>
      </c>
      <c r="P41" s="25">
        <v>0</v>
      </c>
      <c r="Q41" s="25">
        <v>0</v>
      </c>
      <c r="R41" s="25">
        <v>12</v>
      </c>
      <c r="S41" s="25">
        <v>12</v>
      </c>
      <c r="T41" s="25">
        <v>12</v>
      </c>
      <c r="AC41" s="27">
        <v>2.02</v>
      </c>
      <c r="AD41" s="27">
        <f t="shared" si="20"/>
        <v>97.98</v>
      </c>
    </row>
    <row r="42" spans="2:34">
      <c r="B42" s="6"/>
      <c r="C42" s="12">
        <f t="shared" ca="1" si="11"/>
        <v>1</v>
      </c>
      <c r="D42" s="22">
        <f t="shared" si="12"/>
        <v>45457</v>
      </c>
      <c r="E42" s="26">
        <f t="shared" si="13"/>
        <v>1</v>
      </c>
      <c r="F42" s="26">
        <f t="shared" si="14"/>
        <v>0</v>
      </c>
      <c r="G42" s="26">
        <f t="shared" si="15"/>
        <v>0</v>
      </c>
      <c r="H42" s="26">
        <f t="shared" si="16"/>
        <v>0</v>
      </c>
      <c r="I42" s="26">
        <f t="shared" si="17"/>
        <v>1</v>
      </c>
      <c r="J42" s="26">
        <f t="shared" si="18"/>
        <v>0</v>
      </c>
      <c r="M42" s="21">
        <f t="shared" ref="M42:M43" si="21">M41+7</f>
        <v>45457</v>
      </c>
      <c r="N42" s="10" t="s">
        <v>24</v>
      </c>
      <c r="O42" s="25">
        <v>0</v>
      </c>
      <c r="P42" s="25">
        <v>12</v>
      </c>
      <c r="Q42" s="25">
        <v>12</v>
      </c>
      <c r="R42" s="25">
        <v>12</v>
      </c>
      <c r="S42" s="25">
        <v>0</v>
      </c>
      <c r="T42" s="25">
        <v>12</v>
      </c>
      <c r="AC42" s="27">
        <v>1.84</v>
      </c>
      <c r="AD42" s="27">
        <f t="shared" si="20"/>
        <v>98.16</v>
      </c>
    </row>
    <row r="43" spans="2:34">
      <c r="B43" s="6"/>
      <c r="C43" s="12">
        <f t="shared" ca="1" si="11"/>
        <v>1</v>
      </c>
      <c r="D43" s="22">
        <f t="shared" si="12"/>
        <v>45464</v>
      </c>
      <c r="E43" s="26">
        <f t="shared" si="13"/>
        <v>0</v>
      </c>
      <c r="F43" s="26">
        <f t="shared" si="14"/>
        <v>1</v>
      </c>
      <c r="G43" s="26">
        <f t="shared" si="15"/>
        <v>1</v>
      </c>
      <c r="H43" s="26">
        <f t="shared" si="16"/>
        <v>0</v>
      </c>
      <c r="I43" s="26">
        <f t="shared" si="17"/>
        <v>0</v>
      </c>
      <c r="J43" s="26">
        <f t="shared" si="18"/>
        <v>1</v>
      </c>
      <c r="M43" s="21">
        <f t="shared" si="21"/>
        <v>45464</v>
      </c>
      <c r="N43" s="10" t="s">
        <v>24</v>
      </c>
      <c r="O43" s="25">
        <v>12</v>
      </c>
      <c r="P43" s="25">
        <v>0</v>
      </c>
      <c r="Q43" s="25">
        <v>0</v>
      </c>
      <c r="R43" s="25">
        <v>12</v>
      </c>
      <c r="S43" s="25">
        <v>12</v>
      </c>
      <c r="T43" s="25">
        <v>0</v>
      </c>
    </row>
    <row r="44" spans="2:34">
      <c r="B44" s="6"/>
      <c r="E44" s="2"/>
      <c r="F44" s="2"/>
      <c r="G44" s="2"/>
      <c r="H44" s="2"/>
      <c r="I44" s="2"/>
      <c r="J44" s="2"/>
      <c r="M44" s="21">
        <v>45471</v>
      </c>
      <c r="N44" s="10" t="s">
        <v>325</v>
      </c>
      <c r="O44" s="25">
        <v>3</v>
      </c>
      <c r="P44" s="25">
        <v>3</v>
      </c>
      <c r="Q44" s="25"/>
      <c r="R44" s="25"/>
      <c r="S44" s="25"/>
      <c r="T44" s="25"/>
    </row>
    <row r="45" spans="2:34">
      <c r="B45" s="6"/>
      <c r="C45" s="12">
        <f t="shared" ca="1" si="11"/>
        <v>1</v>
      </c>
      <c r="D45" s="22">
        <f t="shared" si="12"/>
        <v>45471</v>
      </c>
      <c r="E45" s="26">
        <f t="shared" si="13"/>
        <v>1</v>
      </c>
      <c r="F45" s="26">
        <f t="shared" si="14"/>
        <v>1</v>
      </c>
      <c r="G45" s="26">
        <f t="shared" si="15"/>
        <v>1</v>
      </c>
      <c r="H45" s="26">
        <f t="shared" si="16"/>
        <v>0</v>
      </c>
      <c r="I45" s="26">
        <f t="shared" si="17"/>
        <v>0</v>
      </c>
      <c r="J45" s="26">
        <f t="shared" si="18"/>
        <v>1</v>
      </c>
      <c r="M45" s="21">
        <f>M43+7</f>
        <v>45471</v>
      </c>
      <c r="N45" s="10" t="s">
        <v>24</v>
      </c>
      <c r="O45" s="25">
        <v>0</v>
      </c>
      <c r="P45" s="25">
        <v>0</v>
      </c>
      <c r="Q45" s="25">
        <v>0</v>
      </c>
      <c r="R45" s="25">
        <v>12</v>
      </c>
      <c r="S45" s="25">
        <v>12</v>
      </c>
      <c r="T45" s="25">
        <v>0</v>
      </c>
      <c r="Y45" s="179"/>
      <c r="Z45" s="179"/>
    </row>
    <row r="46" spans="2:34">
      <c r="B46" s="6"/>
      <c r="C46" s="12">
        <f t="shared" ca="1" si="11"/>
        <v>1</v>
      </c>
      <c r="D46" s="22">
        <f t="shared" si="12"/>
        <v>45478</v>
      </c>
      <c r="E46" s="26">
        <f t="shared" si="13"/>
        <v>1</v>
      </c>
      <c r="F46" s="26">
        <f t="shared" si="14"/>
        <v>1</v>
      </c>
      <c r="G46" s="26">
        <f t="shared" si="15"/>
        <v>0</v>
      </c>
      <c r="H46" s="26">
        <f t="shared" si="16"/>
        <v>0</v>
      </c>
      <c r="I46" s="26">
        <f t="shared" si="17"/>
        <v>1</v>
      </c>
      <c r="J46" s="26">
        <f t="shared" si="18"/>
        <v>1</v>
      </c>
      <c r="M46" s="21">
        <f>M44+7</f>
        <v>45478</v>
      </c>
      <c r="N46" s="10" t="s">
        <v>24</v>
      </c>
      <c r="O46" s="25">
        <v>0</v>
      </c>
      <c r="P46" s="25">
        <v>0</v>
      </c>
      <c r="Q46" s="25">
        <v>12</v>
      </c>
      <c r="R46" s="25">
        <v>12</v>
      </c>
      <c r="S46" s="25">
        <v>0</v>
      </c>
      <c r="T46" s="25">
        <v>0</v>
      </c>
      <c r="Y46" s="179"/>
      <c r="Z46" s="179"/>
    </row>
    <row r="47" spans="2:34">
      <c r="B47" s="6"/>
      <c r="C47" s="12">
        <f t="shared" ref="C47:C92" ca="1" si="22">IF(D47&lt;=TODAY(),1,"")</f>
        <v>1</v>
      </c>
      <c r="D47" s="22">
        <f t="shared" ref="D47:D92" si="23">IF(M47="","",M47)</f>
        <v>45485</v>
      </c>
      <c r="E47" s="26">
        <f t="shared" ref="E47:E92" si="24">IF(O47="","",IF(O47=0,1,0))</f>
        <v>1</v>
      </c>
      <c r="F47" s="26">
        <f t="shared" ref="F47:F92" si="25">IF(P47="","",IF(P47=0,1,0))</f>
        <v>0</v>
      </c>
      <c r="G47" s="26">
        <f t="shared" ref="G47:G92" si="26">IF(Q47="","",IF(Q47=0,1,0))</f>
        <v>0</v>
      </c>
      <c r="H47" s="26">
        <f t="shared" ref="H47:H92" si="27">IF(R47="","",IF(R47=0,1,0))</f>
        <v>0</v>
      </c>
      <c r="I47" s="26">
        <f t="shared" ref="I47:I92" si="28">IF(S47="","",IF(S47=0,1,0))</f>
        <v>1</v>
      </c>
      <c r="J47" s="26">
        <f t="shared" ref="J47:J92" si="29">IF(T47="","",IF(T47=0,1,0))</f>
        <v>1</v>
      </c>
      <c r="M47" s="21">
        <f t="shared" ref="M47:M54" si="30">M46+7</f>
        <v>45485</v>
      </c>
      <c r="N47" s="10" t="s">
        <v>24</v>
      </c>
      <c r="O47" s="25">
        <v>0</v>
      </c>
      <c r="P47" s="25">
        <v>12</v>
      </c>
      <c r="Q47" s="25">
        <v>12</v>
      </c>
      <c r="R47" s="25">
        <v>12</v>
      </c>
      <c r="S47" s="25">
        <v>0</v>
      </c>
      <c r="T47" s="25">
        <v>0</v>
      </c>
      <c r="Y47" s="179"/>
      <c r="Z47" s="179"/>
    </row>
    <row r="48" spans="2:34">
      <c r="B48" s="6"/>
      <c r="C48" s="12">
        <f t="shared" ca="1" si="22"/>
        <v>1</v>
      </c>
      <c r="D48" s="22">
        <f t="shared" si="23"/>
        <v>45492</v>
      </c>
      <c r="E48" s="26">
        <f t="shared" si="24"/>
        <v>1</v>
      </c>
      <c r="F48" s="26">
        <f t="shared" si="25"/>
        <v>0</v>
      </c>
      <c r="G48" s="26">
        <f t="shared" si="26"/>
        <v>0</v>
      </c>
      <c r="H48" s="26">
        <f t="shared" si="27"/>
        <v>0</v>
      </c>
      <c r="I48" s="26">
        <f t="shared" si="28"/>
        <v>1</v>
      </c>
      <c r="J48" s="26">
        <f t="shared" si="29"/>
        <v>1</v>
      </c>
      <c r="M48" s="21">
        <f t="shared" si="30"/>
        <v>45492</v>
      </c>
      <c r="N48" s="10"/>
      <c r="O48" s="25">
        <v>0</v>
      </c>
      <c r="P48" s="25">
        <v>12</v>
      </c>
      <c r="Q48" s="25">
        <v>12</v>
      </c>
      <c r="R48" s="25">
        <v>12</v>
      </c>
      <c r="S48" s="25">
        <v>0</v>
      </c>
      <c r="T48" s="25">
        <v>0</v>
      </c>
      <c r="Y48" s="179"/>
      <c r="Z48" s="179"/>
    </row>
    <row r="49" spans="2:34">
      <c r="B49" s="6"/>
      <c r="E49" s="2"/>
      <c r="F49" s="2"/>
      <c r="G49" s="2"/>
      <c r="H49" s="2"/>
      <c r="I49" s="2"/>
      <c r="J49" s="2"/>
      <c r="M49" s="21">
        <f t="shared" si="30"/>
        <v>45499</v>
      </c>
      <c r="N49" s="10" t="s">
        <v>325</v>
      </c>
      <c r="O49" s="25"/>
      <c r="P49" s="25"/>
      <c r="Q49" s="25"/>
      <c r="R49" s="25">
        <v>3</v>
      </c>
      <c r="S49" s="25"/>
      <c r="T49" s="25"/>
      <c r="AG49" s="179"/>
      <c r="AH49" s="179"/>
    </row>
    <row r="50" spans="2:34">
      <c r="B50" s="6"/>
      <c r="C50" s="12">
        <f t="shared" ca="1" si="22"/>
        <v>1</v>
      </c>
      <c r="D50" s="22">
        <f t="shared" si="23"/>
        <v>45499</v>
      </c>
      <c r="E50" s="26">
        <f t="shared" si="24"/>
        <v>1</v>
      </c>
      <c r="F50" s="26">
        <f t="shared" si="25"/>
        <v>1</v>
      </c>
      <c r="G50" s="26">
        <f t="shared" si="26"/>
        <v>1</v>
      </c>
      <c r="H50" s="26">
        <f t="shared" si="27"/>
        <v>1</v>
      </c>
      <c r="I50" s="26">
        <f t="shared" si="28"/>
        <v>1</v>
      </c>
      <c r="J50" s="26">
        <f t="shared" si="29"/>
        <v>1</v>
      </c>
      <c r="M50" s="21">
        <v>45499</v>
      </c>
      <c r="N50" s="10" t="s">
        <v>24</v>
      </c>
      <c r="O50" s="25">
        <v>0</v>
      </c>
      <c r="P50" s="25">
        <v>0</v>
      </c>
      <c r="Q50" s="25">
        <v>0</v>
      </c>
      <c r="R50" s="25">
        <v>0</v>
      </c>
      <c r="S50" s="25">
        <v>0</v>
      </c>
      <c r="T50" s="25">
        <v>0</v>
      </c>
      <c r="AG50" s="179"/>
      <c r="AH50" s="179"/>
    </row>
    <row r="51" spans="2:34">
      <c r="B51" s="6"/>
      <c r="C51" s="12">
        <f t="shared" ca="1" si="22"/>
        <v>1</v>
      </c>
      <c r="D51" s="22">
        <f t="shared" si="23"/>
        <v>45506</v>
      </c>
      <c r="E51" s="26">
        <f t="shared" si="24"/>
        <v>1</v>
      </c>
      <c r="F51" s="26">
        <f t="shared" si="25"/>
        <v>0</v>
      </c>
      <c r="G51" s="26">
        <f t="shared" si="26"/>
        <v>0</v>
      </c>
      <c r="H51" s="26">
        <f t="shared" si="27"/>
        <v>0</v>
      </c>
      <c r="I51" s="26">
        <f t="shared" si="28"/>
        <v>1</v>
      </c>
      <c r="J51" s="26">
        <f t="shared" si="29"/>
        <v>1</v>
      </c>
      <c r="M51" s="21">
        <f t="shared" si="30"/>
        <v>45506</v>
      </c>
      <c r="N51" s="10" t="s">
        <v>24</v>
      </c>
      <c r="O51" s="25">
        <v>0</v>
      </c>
      <c r="P51" s="25">
        <v>13</v>
      </c>
      <c r="Q51" s="25">
        <v>13</v>
      </c>
      <c r="R51" s="25">
        <v>13</v>
      </c>
      <c r="S51" s="25">
        <v>0</v>
      </c>
      <c r="T51" s="25">
        <v>0</v>
      </c>
      <c r="AG51" s="179"/>
      <c r="AH51" s="179"/>
    </row>
    <row r="52" spans="2:34">
      <c r="B52" s="6"/>
      <c r="C52" s="12">
        <f t="shared" ca="1" si="22"/>
        <v>1</v>
      </c>
      <c r="D52" s="22">
        <f t="shared" si="23"/>
        <v>45513</v>
      </c>
      <c r="E52" s="26">
        <f t="shared" si="24"/>
        <v>1</v>
      </c>
      <c r="F52" s="26">
        <f t="shared" si="25"/>
        <v>1</v>
      </c>
      <c r="G52" s="26">
        <f t="shared" si="26"/>
        <v>1</v>
      </c>
      <c r="H52" s="26">
        <f t="shared" si="27"/>
        <v>0</v>
      </c>
      <c r="I52" s="26">
        <f t="shared" si="28"/>
        <v>0</v>
      </c>
      <c r="J52" s="26">
        <f t="shared" si="29"/>
        <v>1</v>
      </c>
      <c r="M52" s="21">
        <f t="shared" si="30"/>
        <v>45513</v>
      </c>
      <c r="N52" s="10" t="s">
        <v>24</v>
      </c>
      <c r="O52" s="25">
        <v>0</v>
      </c>
      <c r="P52" s="25">
        <v>0</v>
      </c>
      <c r="Q52" s="25">
        <v>0</v>
      </c>
      <c r="R52" s="25">
        <v>13</v>
      </c>
      <c r="S52" s="25">
        <v>13</v>
      </c>
      <c r="T52" s="25">
        <v>0</v>
      </c>
      <c r="AG52" s="179"/>
      <c r="AH52" s="179"/>
    </row>
    <row r="53" spans="2:34">
      <c r="B53" s="6"/>
      <c r="C53" s="12">
        <f t="shared" ca="1" si="22"/>
        <v>1</v>
      </c>
      <c r="D53" s="22">
        <f t="shared" si="23"/>
        <v>45520</v>
      </c>
      <c r="E53" s="26">
        <f t="shared" si="24"/>
        <v>1</v>
      </c>
      <c r="F53" s="26">
        <f t="shared" si="25"/>
        <v>1</v>
      </c>
      <c r="G53" s="26">
        <f t="shared" si="26"/>
        <v>1</v>
      </c>
      <c r="H53" s="26">
        <f t="shared" si="27"/>
        <v>1</v>
      </c>
      <c r="I53" s="26">
        <f t="shared" si="28"/>
        <v>1</v>
      </c>
      <c r="J53" s="26">
        <f t="shared" si="29"/>
        <v>1</v>
      </c>
      <c r="M53" s="21">
        <f t="shared" si="30"/>
        <v>45520</v>
      </c>
      <c r="N53" s="10" t="s">
        <v>24</v>
      </c>
      <c r="O53" s="25">
        <v>0</v>
      </c>
      <c r="P53" s="25">
        <v>0</v>
      </c>
      <c r="Q53" s="25">
        <v>0</v>
      </c>
      <c r="R53" s="25">
        <v>0</v>
      </c>
      <c r="S53" s="25">
        <v>0</v>
      </c>
      <c r="T53" s="25">
        <v>0</v>
      </c>
      <c r="AG53" s="179"/>
      <c r="AH53" s="179"/>
    </row>
    <row r="54" spans="2:34">
      <c r="B54" s="6"/>
      <c r="C54" s="12">
        <f t="shared" ca="1" si="22"/>
        <v>1</v>
      </c>
      <c r="D54" s="22">
        <f t="shared" si="23"/>
        <v>45527</v>
      </c>
      <c r="E54" s="26">
        <f t="shared" si="24"/>
        <v>1</v>
      </c>
      <c r="F54" s="26">
        <f t="shared" si="25"/>
        <v>0</v>
      </c>
      <c r="G54" s="26">
        <f t="shared" si="26"/>
        <v>1</v>
      </c>
      <c r="H54" s="26">
        <f t="shared" si="27"/>
        <v>0</v>
      </c>
      <c r="I54" s="26">
        <f t="shared" si="28"/>
        <v>1</v>
      </c>
      <c r="J54" s="26">
        <f t="shared" si="29"/>
        <v>1</v>
      </c>
      <c r="M54" s="21">
        <f t="shared" si="30"/>
        <v>45527</v>
      </c>
      <c r="N54" s="10" t="s">
        <v>24</v>
      </c>
      <c r="O54" s="25">
        <v>0</v>
      </c>
      <c r="P54" s="25">
        <v>13</v>
      </c>
      <c r="Q54" s="25">
        <v>0</v>
      </c>
      <c r="R54" s="25">
        <v>13</v>
      </c>
      <c r="S54" s="25">
        <v>0</v>
      </c>
      <c r="T54" s="25">
        <v>0</v>
      </c>
      <c r="AG54" s="179"/>
      <c r="AH54" s="179"/>
    </row>
    <row r="55" spans="2:34">
      <c r="B55" s="6"/>
      <c r="C55" s="12">
        <f t="shared" ca="1" si="22"/>
        <v>1</v>
      </c>
      <c r="D55" s="22">
        <f t="shared" si="23"/>
        <v>45534</v>
      </c>
      <c r="E55" s="26">
        <f t="shared" si="24"/>
        <v>1</v>
      </c>
      <c r="F55" s="26">
        <f t="shared" si="25"/>
        <v>0</v>
      </c>
      <c r="G55" s="26">
        <f t="shared" si="26"/>
        <v>1</v>
      </c>
      <c r="H55" s="26">
        <f t="shared" si="27"/>
        <v>0</v>
      </c>
      <c r="I55" s="26">
        <f t="shared" si="28"/>
        <v>1</v>
      </c>
      <c r="J55" s="26">
        <f t="shared" si="29"/>
        <v>1</v>
      </c>
      <c r="M55" s="21">
        <f t="shared" ref="M55:M78" si="31">M54+7</f>
        <v>45534</v>
      </c>
      <c r="N55" s="10" t="s">
        <v>24</v>
      </c>
      <c r="O55" s="25">
        <v>0</v>
      </c>
      <c r="P55" s="25">
        <v>13</v>
      </c>
      <c r="Q55" s="25">
        <v>0</v>
      </c>
      <c r="R55" s="25">
        <v>13</v>
      </c>
      <c r="S55" s="25">
        <v>0</v>
      </c>
      <c r="T55" s="25">
        <v>0</v>
      </c>
      <c r="AG55" s="179"/>
      <c r="AH55" s="179"/>
    </row>
    <row r="56" spans="2:34">
      <c r="B56" s="6"/>
      <c r="C56" s="12">
        <f t="shared" ca="1" si="22"/>
        <v>1</v>
      </c>
      <c r="D56" s="22">
        <f t="shared" si="23"/>
        <v>45541</v>
      </c>
      <c r="E56" s="26">
        <f t="shared" si="24"/>
        <v>1</v>
      </c>
      <c r="F56" s="26">
        <f t="shared" si="25"/>
        <v>1</v>
      </c>
      <c r="G56" s="26">
        <f t="shared" si="26"/>
        <v>0</v>
      </c>
      <c r="H56" s="26">
        <f t="shared" si="27"/>
        <v>0</v>
      </c>
      <c r="I56" s="26">
        <f t="shared" si="28"/>
        <v>0</v>
      </c>
      <c r="J56" s="26">
        <f t="shared" si="29"/>
        <v>1</v>
      </c>
      <c r="M56" s="21">
        <f t="shared" si="31"/>
        <v>45541</v>
      </c>
      <c r="N56" s="10" t="s">
        <v>24</v>
      </c>
      <c r="O56" s="25">
        <v>0</v>
      </c>
      <c r="P56" s="25">
        <v>0</v>
      </c>
      <c r="Q56" s="25">
        <v>13</v>
      </c>
      <c r="R56" s="25">
        <v>13</v>
      </c>
      <c r="S56" s="25">
        <v>13</v>
      </c>
      <c r="T56" s="25">
        <v>0</v>
      </c>
      <c r="AG56" s="179"/>
      <c r="AH56" s="179"/>
    </row>
    <row r="57" spans="2:34">
      <c r="B57" s="6"/>
      <c r="C57" s="12">
        <f t="shared" ca="1" si="22"/>
        <v>1</v>
      </c>
      <c r="D57" s="22">
        <f t="shared" si="23"/>
        <v>45548</v>
      </c>
      <c r="E57" s="26">
        <f t="shared" si="24"/>
        <v>1</v>
      </c>
      <c r="F57" s="26">
        <f t="shared" si="25"/>
        <v>1</v>
      </c>
      <c r="G57" s="26">
        <f t="shared" si="26"/>
        <v>1</v>
      </c>
      <c r="H57" s="26">
        <f t="shared" si="27"/>
        <v>0</v>
      </c>
      <c r="I57" s="26">
        <f t="shared" si="28"/>
        <v>0</v>
      </c>
      <c r="J57" s="26">
        <f t="shared" si="29"/>
        <v>0</v>
      </c>
      <c r="M57" s="21">
        <f t="shared" si="31"/>
        <v>45548</v>
      </c>
      <c r="N57" s="10" t="s">
        <v>24</v>
      </c>
      <c r="O57" s="25">
        <v>0</v>
      </c>
      <c r="P57" s="25">
        <v>0</v>
      </c>
      <c r="Q57" s="25">
        <v>0</v>
      </c>
      <c r="R57" s="25">
        <v>13</v>
      </c>
      <c r="S57" s="25">
        <v>13</v>
      </c>
      <c r="T57" s="25">
        <v>13</v>
      </c>
      <c r="AG57" s="179"/>
      <c r="AH57" s="179"/>
    </row>
    <row r="58" spans="2:34">
      <c r="B58" s="6"/>
      <c r="C58" s="12">
        <f t="shared" ca="1" si="22"/>
        <v>1</v>
      </c>
      <c r="D58" s="22">
        <f t="shared" si="23"/>
        <v>45555</v>
      </c>
      <c r="E58" s="26">
        <f t="shared" si="24"/>
        <v>1</v>
      </c>
      <c r="F58" s="26">
        <f t="shared" si="25"/>
        <v>1</v>
      </c>
      <c r="G58" s="26">
        <f t="shared" si="26"/>
        <v>1</v>
      </c>
      <c r="H58" s="26">
        <f t="shared" si="27"/>
        <v>0</v>
      </c>
      <c r="I58" s="26">
        <f t="shared" si="28"/>
        <v>1</v>
      </c>
      <c r="J58" s="26">
        <f t="shared" si="29"/>
        <v>0</v>
      </c>
      <c r="M58" s="21">
        <f t="shared" si="31"/>
        <v>45555</v>
      </c>
      <c r="N58" s="10" t="s">
        <v>24</v>
      </c>
      <c r="O58" s="25">
        <v>0</v>
      </c>
      <c r="P58" s="25">
        <v>0</v>
      </c>
      <c r="Q58" s="25">
        <v>0</v>
      </c>
      <c r="R58" s="25">
        <v>13</v>
      </c>
      <c r="S58" s="25">
        <v>0</v>
      </c>
      <c r="T58" s="25">
        <v>13</v>
      </c>
      <c r="AG58" s="179"/>
      <c r="AH58" s="179"/>
    </row>
    <row r="59" spans="2:34">
      <c r="B59" s="6"/>
      <c r="C59" s="12">
        <f t="shared" ca="1" si="22"/>
        <v>1</v>
      </c>
      <c r="D59" s="22">
        <f t="shared" si="23"/>
        <v>45562</v>
      </c>
      <c r="E59" s="26">
        <f t="shared" si="24"/>
        <v>1</v>
      </c>
      <c r="F59" s="26">
        <f t="shared" si="25"/>
        <v>1</v>
      </c>
      <c r="G59" s="26">
        <f t="shared" si="26"/>
        <v>0</v>
      </c>
      <c r="H59" s="26">
        <f t="shared" si="27"/>
        <v>1</v>
      </c>
      <c r="I59" s="26">
        <f t="shared" si="28"/>
        <v>1</v>
      </c>
      <c r="J59" s="26">
        <f t="shared" si="29"/>
        <v>1</v>
      </c>
      <c r="M59" s="21">
        <f t="shared" si="31"/>
        <v>45562</v>
      </c>
      <c r="N59" s="10" t="s">
        <v>24</v>
      </c>
      <c r="O59" s="25">
        <v>0</v>
      </c>
      <c r="P59" s="25">
        <v>0</v>
      </c>
      <c r="Q59" s="25">
        <v>13</v>
      </c>
      <c r="R59" s="25">
        <v>0</v>
      </c>
      <c r="S59" s="25">
        <v>0</v>
      </c>
      <c r="T59" s="25">
        <v>0</v>
      </c>
      <c r="AG59" s="179"/>
      <c r="AH59" s="179"/>
    </row>
    <row r="60" spans="2:34">
      <c r="B60" s="6"/>
      <c r="C60" s="6"/>
      <c r="D60" s="2"/>
      <c r="F60" s="2"/>
      <c r="G60" s="2"/>
      <c r="H60" s="2"/>
      <c r="I60" s="2"/>
      <c r="J60" s="2"/>
      <c r="K60" s="2"/>
      <c r="M60" s="21">
        <f t="shared" si="31"/>
        <v>45569</v>
      </c>
      <c r="N60" s="10" t="s">
        <v>325</v>
      </c>
      <c r="O60" s="25"/>
      <c r="P60" s="25">
        <v>3</v>
      </c>
      <c r="Q60" s="25"/>
      <c r="R60" s="25"/>
      <c r="S60" s="25"/>
      <c r="T60" s="25"/>
      <c r="AG60" s="179"/>
      <c r="AH60" s="179"/>
    </row>
    <row r="61" spans="2:34">
      <c r="B61" s="6"/>
      <c r="C61" s="12">
        <f t="shared" ca="1" si="22"/>
        <v>1</v>
      </c>
      <c r="D61" s="22">
        <f t="shared" si="23"/>
        <v>45569</v>
      </c>
      <c r="E61" s="26">
        <f t="shared" si="24"/>
        <v>1</v>
      </c>
      <c r="F61" s="26">
        <f t="shared" si="25"/>
        <v>1</v>
      </c>
      <c r="G61" s="26">
        <f t="shared" si="26"/>
        <v>0</v>
      </c>
      <c r="H61" s="26">
        <f t="shared" si="27"/>
        <v>0</v>
      </c>
      <c r="I61" s="26">
        <f t="shared" si="28"/>
        <v>0</v>
      </c>
      <c r="J61" s="26">
        <f t="shared" si="29"/>
        <v>1</v>
      </c>
      <c r="M61" s="21">
        <f>M60</f>
        <v>45569</v>
      </c>
      <c r="N61" s="10" t="s">
        <v>24</v>
      </c>
      <c r="O61" s="25">
        <v>0</v>
      </c>
      <c r="P61" s="25">
        <v>0</v>
      </c>
      <c r="Q61" s="25">
        <v>13</v>
      </c>
      <c r="R61" s="25">
        <v>13</v>
      </c>
      <c r="S61" s="25">
        <v>13</v>
      </c>
      <c r="T61" s="25">
        <v>0</v>
      </c>
      <c r="AG61" s="179"/>
      <c r="AH61" s="179"/>
    </row>
    <row r="62" spans="2:34">
      <c r="B62" s="6"/>
      <c r="C62" s="12">
        <f t="shared" ca="1" si="22"/>
        <v>1</v>
      </c>
      <c r="D62" s="22">
        <f t="shared" si="23"/>
        <v>45576</v>
      </c>
      <c r="E62" s="26">
        <f t="shared" si="24"/>
        <v>1</v>
      </c>
      <c r="F62" s="26">
        <f t="shared" si="25"/>
        <v>1</v>
      </c>
      <c r="G62" s="26">
        <f t="shared" si="26"/>
        <v>0</v>
      </c>
      <c r="H62" s="26">
        <f t="shared" si="27"/>
        <v>1</v>
      </c>
      <c r="I62" s="26">
        <f t="shared" si="28"/>
        <v>1</v>
      </c>
      <c r="J62" s="26">
        <f t="shared" si="29"/>
        <v>1</v>
      </c>
      <c r="M62" s="21">
        <f t="shared" si="31"/>
        <v>45576</v>
      </c>
      <c r="N62" s="10" t="s">
        <v>24</v>
      </c>
      <c r="O62" s="25">
        <v>0</v>
      </c>
      <c r="P62" s="25">
        <v>0</v>
      </c>
      <c r="Q62" s="25">
        <v>13</v>
      </c>
      <c r="R62" s="25">
        <v>0</v>
      </c>
      <c r="S62" s="25">
        <v>0</v>
      </c>
      <c r="T62" s="25">
        <v>0</v>
      </c>
      <c r="AG62" s="179"/>
      <c r="AH62" s="179"/>
    </row>
    <row r="63" spans="2:34">
      <c r="C63" s="12">
        <f t="shared" ca="1" si="22"/>
        <v>1</v>
      </c>
      <c r="D63" s="22">
        <f t="shared" si="23"/>
        <v>45583</v>
      </c>
      <c r="E63" s="26">
        <f t="shared" si="24"/>
        <v>1</v>
      </c>
      <c r="F63" s="26">
        <f t="shared" si="25"/>
        <v>1</v>
      </c>
      <c r="G63" s="26">
        <f t="shared" si="26"/>
        <v>0</v>
      </c>
      <c r="H63" s="26">
        <f t="shared" si="27"/>
        <v>1</v>
      </c>
      <c r="I63" s="26">
        <f t="shared" si="28"/>
        <v>1</v>
      </c>
      <c r="J63" s="26">
        <f t="shared" si="29"/>
        <v>1</v>
      </c>
      <c r="M63" s="21">
        <f t="shared" si="31"/>
        <v>45583</v>
      </c>
      <c r="N63" s="10" t="s">
        <v>24</v>
      </c>
      <c r="O63" s="25">
        <v>0</v>
      </c>
      <c r="P63" s="25">
        <v>0</v>
      </c>
      <c r="Q63" s="25">
        <v>13</v>
      </c>
      <c r="R63" s="25">
        <v>0</v>
      </c>
      <c r="S63" s="25">
        <v>0</v>
      </c>
      <c r="T63" s="25">
        <v>0</v>
      </c>
      <c r="AG63" s="179"/>
      <c r="AH63" s="179"/>
    </row>
    <row r="64" spans="2:34">
      <c r="C64" s="12">
        <f t="shared" ca="1" si="22"/>
        <v>1</v>
      </c>
      <c r="D64" s="22">
        <f t="shared" si="23"/>
        <v>45590</v>
      </c>
      <c r="E64" s="26">
        <f t="shared" si="24"/>
        <v>1</v>
      </c>
      <c r="F64" s="26">
        <f t="shared" si="25"/>
        <v>0</v>
      </c>
      <c r="G64" s="26">
        <f t="shared" si="26"/>
        <v>0</v>
      </c>
      <c r="H64" s="26">
        <f t="shared" si="27"/>
        <v>0</v>
      </c>
      <c r="I64" s="26">
        <f t="shared" si="28"/>
        <v>0</v>
      </c>
      <c r="J64" s="26">
        <f t="shared" si="29"/>
        <v>1</v>
      </c>
      <c r="M64" s="21">
        <f t="shared" si="31"/>
        <v>45590</v>
      </c>
      <c r="N64" s="10" t="s">
        <v>24</v>
      </c>
      <c r="O64" s="25">
        <v>0</v>
      </c>
      <c r="P64" s="25">
        <v>13</v>
      </c>
      <c r="Q64" s="25">
        <v>13</v>
      </c>
      <c r="R64" s="25">
        <v>13</v>
      </c>
      <c r="S64" s="25">
        <v>13</v>
      </c>
      <c r="T64" s="25">
        <v>0</v>
      </c>
      <c r="AG64" s="179"/>
      <c r="AH64" s="179"/>
    </row>
    <row r="65" spans="3:34">
      <c r="C65" s="12">
        <f t="shared" ca="1" si="22"/>
        <v>1</v>
      </c>
      <c r="D65" s="22">
        <f t="shared" si="23"/>
        <v>45597</v>
      </c>
      <c r="E65" s="26">
        <f t="shared" si="24"/>
        <v>1</v>
      </c>
      <c r="F65" s="26">
        <f t="shared" si="25"/>
        <v>0</v>
      </c>
      <c r="G65" s="26">
        <f t="shared" si="26"/>
        <v>0</v>
      </c>
      <c r="H65" s="26">
        <f t="shared" si="27"/>
        <v>0</v>
      </c>
      <c r="I65" s="26">
        <f t="shared" si="28"/>
        <v>1</v>
      </c>
      <c r="J65" s="26">
        <f t="shared" si="29"/>
        <v>0</v>
      </c>
      <c r="M65" s="21">
        <f t="shared" si="31"/>
        <v>45597</v>
      </c>
      <c r="N65" s="10" t="s">
        <v>24</v>
      </c>
      <c r="O65" s="25">
        <v>0</v>
      </c>
      <c r="P65" s="25">
        <v>13</v>
      </c>
      <c r="Q65" s="25">
        <v>13</v>
      </c>
      <c r="R65" s="25">
        <v>13</v>
      </c>
      <c r="S65" s="25">
        <v>0</v>
      </c>
      <c r="T65" s="25">
        <v>13</v>
      </c>
      <c r="AG65" s="179"/>
      <c r="AH65" s="179"/>
    </row>
    <row r="66" spans="3:34">
      <c r="C66" s="12">
        <f t="shared" ca="1" si="22"/>
        <v>1</v>
      </c>
      <c r="D66" s="22">
        <f t="shared" si="23"/>
        <v>45604</v>
      </c>
      <c r="E66" s="26">
        <f t="shared" si="24"/>
        <v>1</v>
      </c>
      <c r="F66" s="26">
        <f t="shared" si="25"/>
        <v>1</v>
      </c>
      <c r="G66" s="26">
        <f t="shared" si="26"/>
        <v>0</v>
      </c>
      <c r="H66" s="26">
        <f t="shared" si="27"/>
        <v>0</v>
      </c>
      <c r="I66" s="26">
        <f t="shared" si="28"/>
        <v>1</v>
      </c>
      <c r="J66" s="26">
        <f t="shared" si="29"/>
        <v>1</v>
      </c>
      <c r="M66" s="21">
        <f t="shared" si="31"/>
        <v>45604</v>
      </c>
      <c r="N66" s="10" t="s">
        <v>24</v>
      </c>
      <c r="O66" s="25">
        <v>0</v>
      </c>
      <c r="P66" s="25">
        <v>0</v>
      </c>
      <c r="Q66" s="25">
        <v>13</v>
      </c>
      <c r="R66" s="25">
        <v>13</v>
      </c>
      <c r="S66" s="25">
        <v>0</v>
      </c>
      <c r="T66" s="25">
        <v>0</v>
      </c>
      <c r="AG66" s="179"/>
      <c r="AH66" s="179"/>
    </row>
    <row r="67" spans="3:34">
      <c r="C67" s="12">
        <f t="shared" ca="1" si="22"/>
        <v>1</v>
      </c>
      <c r="D67" s="22">
        <f t="shared" si="23"/>
        <v>45611</v>
      </c>
      <c r="E67" s="26">
        <f t="shared" si="24"/>
        <v>1</v>
      </c>
      <c r="F67" s="26">
        <f t="shared" si="25"/>
        <v>1</v>
      </c>
      <c r="G67" s="26">
        <f t="shared" si="26"/>
        <v>1</v>
      </c>
      <c r="H67" s="26">
        <f t="shared" si="27"/>
        <v>0</v>
      </c>
      <c r="I67" s="26">
        <f t="shared" si="28"/>
        <v>1</v>
      </c>
      <c r="J67" s="26">
        <f t="shared" si="29"/>
        <v>1</v>
      </c>
      <c r="M67" s="21">
        <f t="shared" si="31"/>
        <v>45611</v>
      </c>
      <c r="N67" s="10" t="s">
        <v>24</v>
      </c>
      <c r="O67" s="25">
        <v>0</v>
      </c>
      <c r="P67" s="25">
        <v>0</v>
      </c>
      <c r="Q67" s="25">
        <v>0</v>
      </c>
      <c r="R67" s="25">
        <v>13</v>
      </c>
      <c r="S67" s="25">
        <v>0</v>
      </c>
      <c r="T67" s="25">
        <v>0</v>
      </c>
      <c r="AG67" s="179"/>
      <c r="AH67" s="179"/>
    </row>
    <row r="68" spans="3:34">
      <c r="C68" s="12">
        <f t="shared" ca="1" si="22"/>
        <v>1</v>
      </c>
      <c r="D68" s="22">
        <f t="shared" si="23"/>
        <v>45618</v>
      </c>
      <c r="E68" s="26">
        <f t="shared" si="24"/>
        <v>1</v>
      </c>
      <c r="F68" s="26">
        <f t="shared" si="25"/>
        <v>1</v>
      </c>
      <c r="G68" s="26">
        <f t="shared" si="26"/>
        <v>0</v>
      </c>
      <c r="H68" s="26">
        <f t="shared" si="27"/>
        <v>1</v>
      </c>
      <c r="I68" s="26">
        <f t="shared" si="28"/>
        <v>1</v>
      </c>
      <c r="J68" s="26">
        <f t="shared" si="29"/>
        <v>1</v>
      </c>
      <c r="M68" s="21">
        <f t="shared" si="31"/>
        <v>45618</v>
      </c>
      <c r="N68" s="10" t="s">
        <v>24</v>
      </c>
      <c r="O68" s="25">
        <v>0</v>
      </c>
      <c r="P68" s="25">
        <v>0</v>
      </c>
      <c r="Q68" s="25">
        <v>13</v>
      </c>
      <c r="R68" s="25">
        <v>0</v>
      </c>
      <c r="S68" s="25">
        <v>0</v>
      </c>
      <c r="T68" s="25">
        <v>0</v>
      </c>
      <c r="AG68" s="179"/>
      <c r="AH68" s="179"/>
    </row>
    <row r="69" spans="3:34">
      <c r="C69" s="12">
        <f t="shared" ca="1" si="22"/>
        <v>1</v>
      </c>
      <c r="D69" s="22">
        <f t="shared" si="23"/>
        <v>45625</v>
      </c>
      <c r="E69" s="26">
        <f t="shared" si="24"/>
        <v>1</v>
      </c>
      <c r="F69" s="26">
        <f t="shared" si="25"/>
        <v>0</v>
      </c>
      <c r="G69" s="26">
        <f t="shared" si="26"/>
        <v>1</v>
      </c>
      <c r="H69" s="26">
        <f t="shared" si="27"/>
        <v>0</v>
      </c>
      <c r="I69" s="26">
        <f t="shared" si="28"/>
        <v>1</v>
      </c>
      <c r="J69" s="26">
        <f t="shared" si="29"/>
        <v>0</v>
      </c>
      <c r="M69" s="21">
        <f t="shared" si="31"/>
        <v>45625</v>
      </c>
      <c r="N69" s="10" t="s">
        <v>24</v>
      </c>
      <c r="O69" s="25">
        <v>0</v>
      </c>
      <c r="P69" s="25">
        <v>13</v>
      </c>
      <c r="Q69" s="25">
        <v>0</v>
      </c>
      <c r="R69" s="25">
        <v>13</v>
      </c>
      <c r="S69" s="25">
        <v>0</v>
      </c>
      <c r="T69" s="25">
        <v>13</v>
      </c>
      <c r="AG69" s="179"/>
      <c r="AH69" s="179"/>
    </row>
    <row r="70" spans="3:34">
      <c r="C70" s="12">
        <f t="shared" ca="1" si="22"/>
        <v>1</v>
      </c>
      <c r="D70" s="22">
        <f t="shared" si="23"/>
        <v>45632</v>
      </c>
      <c r="E70" s="26">
        <f t="shared" si="24"/>
        <v>1</v>
      </c>
      <c r="F70" s="26">
        <f t="shared" si="25"/>
        <v>1</v>
      </c>
      <c r="G70" s="26">
        <f t="shared" si="26"/>
        <v>0</v>
      </c>
      <c r="H70" s="26">
        <f t="shared" si="27"/>
        <v>1</v>
      </c>
      <c r="I70" s="26">
        <f t="shared" si="28"/>
        <v>1</v>
      </c>
      <c r="J70" s="26">
        <f t="shared" si="29"/>
        <v>1</v>
      </c>
      <c r="M70" s="21">
        <f t="shared" si="31"/>
        <v>45632</v>
      </c>
      <c r="N70" s="10" t="s">
        <v>24</v>
      </c>
      <c r="O70" s="25">
        <v>0</v>
      </c>
      <c r="P70" s="25">
        <v>0</v>
      </c>
      <c r="Q70" s="25">
        <v>13</v>
      </c>
      <c r="R70" s="25">
        <v>0</v>
      </c>
      <c r="S70" s="25">
        <v>0</v>
      </c>
      <c r="T70" s="25">
        <v>0</v>
      </c>
      <c r="AG70" s="179"/>
      <c r="AH70" s="179"/>
    </row>
    <row r="71" spans="3:34">
      <c r="C71" s="12">
        <f t="shared" ca="1" si="22"/>
        <v>1</v>
      </c>
      <c r="D71" s="22">
        <f t="shared" si="23"/>
        <v>45639</v>
      </c>
      <c r="E71" s="26">
        <f t="shared" si="24"/>
        <v>0</v>
      </c>
      <c r="F71" s="26">
        <f t="shared" si="25"/>
        <v>0</v>
      </c>
      <c r="G71" s="26">
        <f t="shared" si="26"/>
        <v>0</v>
      </c>
      <c r="H71" s="26">
        <f t="shared" si="27"/>
        <v>0</v>
      </c>
      <c r="I71" s="26">
        <f t="shared" si="28"/>
        <v>1</v>
      </c>
      <c r="J71" s="26">
        <f t="shared" si="29"/>
        <v>1</v>
      </c>
      <c r="M71" s="21">
        <f t="shared" si="31"/>
        <v>45639</v>
      </c>
      <c r="N71" s="10" t="s">
        <v>24</v>
      </c>
      <c r="O71" s="25">
        <v>13</v>
      </c>
      <c r="P71" s="25">
        <v>13</v>
      </c>
      <c r="Q71" s="25">
        <v>13</v>
      </c>
      <c r="R71" s="25">
        <v>13</v>
      </c>
      <c r="S71" s="25">
        <v>0</v>
      </c>
      <c r="T71" s="25">
        <v>0</v>
      </c>
      <c r="AG71" s="179"/>
      <c r="AH71" s="179"/>
    </row>
    <row r="72" spans="3:34">
      <c r="C72" s="12">
        <f t="shared" ca="1" si="22"/>
        <v>1</v>
      </c>
      <c r="D72" s="22">
        <f t="shared" si="23"/>
        <v>45646</v>
      </c>
      <c r="E72" s="26">
        <f t="shared" si="24"/>
        <v>1</v>
      </c>
      <c r="F72" s="26">
        <f t="shared" si="25"/>
        <v>1</v>
      </c>
      <c r="G72" s="26">
        <f t="shared" si="26"/>
        <v>1</v>
      </c>
      <c r="H72" s="26">
        <f t="shared" si="27"/>
        <v>1</v>
      </c>
      <c r="I72" s="26">
        <f t="shared" si="28"/>
        <v>1</v>
      </c>
      <c r="J72" s="26">
        <f t="shared" si="29"/>
        <v>1</v>
      </c>
      <c r="M72" s="21">
        <f t="shared" si="31"/>
        <v>45646</v>
      </c>
      <c r="N72" s="10" t="s">
        <v>24</v>
      </c>
      <c r="O72" s="25">
        <v>0</v>
      </c>
      <c r="P72" s="25">
        <v>0</v>
      </c>
      <c r="Q72" s="25">
        <v>0</v>
      </c>
      <c r="R72" s="25">
        <v>0</v>
      </c>
      <c r="S72" s="25">
        <v>0</v>
      </c>
      <c r="T72" s="25">
        <v>0</v>
      </c>
      <c r="AG72" s="179"/>
      <c r="AH72" s="179"/>
    </row>
    <row r="73" spans="3:34">
      <c r="C73" s="6"/>
      <c r="D73" s="2"/>
      <c r="F73" s="2"/>
      <c r="G73" s="2"/>
      <c r="H73" s="2"/>
      <c r="I73" s="2"/>
      <c r="J73" s="2"/>
      <c r="M73" s="21">
        <f>M74</f>
        <v>45653</v>
      </c>
      <c r="N73" s="10" t="s">
        <v>43</v>
      </c>
      <c r="O73" s="25"/>
      <c r="P73" s="25"/>
      <c r="Q73" s="25"/>
      <c r="R73" s="25">
        <v>6.5</v>
      </c>
      <c r="S73" s="25"/>
      <c r="T73" s="25"/>
      <c r="AG73" s="179"/>
      <c r="AH73" s="179"/>
    </row>
    <row r="74" spans="3:34">
      <c r="C74" s="12">
        <f t="shared" ca="1" si="22"/>
        <v>1</v>
      </c>
      <c r="D74" s="22">
        <f t="shared" si="23"/>
        <v>45653</v>
      </c>
      <c r="E74" s="26">
        <f t="shared" si="24"/>
        <v>0</v>
      </c>
      <c r="F74" s="26">
        <f t="shared" si="25"/>
        <v>0</v>
      </c>
      <c r="G74" s="26">
        <f t="shared" si="26"/>
        <v>0</v>
      </c>
      <c r="H74" s="26">
        <f t="shared" si="27"/>
        <v>1</v>
      </c>
      <c r="I74" s="26">
        <f t="shared" si="28"/>
        <v>0</v>
      </c>
      <c r="J74" s="26">
        <f t="shared" si="29"/>
        <v>0</v>
      </c>
      <c r="M74" s="21">
        <f>M72+7</f>
        <v>45653</v>
      </c>
      <c r="N74" s="10" t="s">
        <v>24</v>
      </c>
      <c r="O74" s="25">
        <v>13</v>
      </c>
      <c r="P74" s="25">
        <v>13</v>
      </c>
      <c r="Q74" s="25">
        <v>13</v>
      </c>
      <c r="R74" s="25">
        <v>0</v>
      </c>
      <c r="S74" s="25">
        <v>13</v>
      </c>
      <c r="T74" s="25">
        <v>13</v>
      </c>
      <c r="AG74" s="179"/>
      <c r="AH74" s="179"/>
    </row>
    <row r="75" spans="3:34">
      <c r="C75" s="12">
        <f t="shared" ca="1" si="22"/>
        <v>1</v>
      </c>
      <c r="D75" s="22">
        <f t="shared" si="23"/>
        <v>45660</v>
      </c>
      <c r="E75" s="26">
        <f t="shared" si="24"/>
        <v>0</v>
      </c>
      <c r="F75" s="26">
        <f t="shared" si="25"/>
        <v>1</v>
      </c>
      <c r="G75" s="26">
        <f t="shared" si="26"/>
        <v>0</v>
      </c>
      <c r="H75" s="26">
        <f t="shared" si="27"/>
        <v>0</v>
      </c>
      <c r="I75" s="26">
        <f t="shared" si="28"/>
        <v>1</v>
      </c>
      <c r="J75" s="26">
        <f t="shared" si="29"/>
        <v>1</v>
      </c>
      <c r="M75" s="21">
        <f t="shared" si="31"/>
        <v>45660</v>
      </c>
      <c r="N75" s="10" t="s">
        <v>24</v>
      </c>
      <c r="O75" s="25">
        <v>13</v>
      </c>
      <c r="P75" s="25">
        <v>0</v>
      </c>
      <c r="Q75" s="25">
        <v>13</v>
      </c>
      <c r="R75" s="25">
        <v>13</v>
      </c>
      <c r="S75" s="25">
        <v>0</v>
      </c>
      <c r="T75" s="25">
        <v>0</v>
      </c>
      <c r="AG75" s="179"/>
      <c r="AH75" s="179"/>
    </row>
    <row r="76" spans="3:34">
      <c r="C76" s="12">
        <f t="shared" ca="1" si="22"/>
        <v>1</v>
      </c>
      <c r="D76" s="22">
        <f t="shared" si="23"/>
        <v>45667</v>
      </c>
      <c r="E76" s="26">
        <f t="shared" si="24"/>
        <v>0</v>
      </c>
      <c r="F76" s="26">
        <f t="shared" si="25"/>
        <v>1</v>
      </c>
      <c r="G76" s="26">
        <f t="shared" si="26"/>
        <v>0</v>
      </c>
      <c r="H76" s="26">
        <f t="shared" si="27"/>
        <v>1</v>
      </c>
      <c r="I76" s="26">
        <f t="shared" si="28"/>
        <v>1</v>
      </c>
      <c r="J76" s="26">
        <f t="shared" si="29"/>
        <v>1</v>
      </c>
      <c r="M76" s="21">
        <f t="shared" si="31"/>
        <v>45667</v>
      </c>
      <c r="N76" s="10" t="s">
        <v>24</v>
      </c>
      <c r="O76" s="25">
        <v>13</v>
      </c>
      <c r="P76" s="25">
        <v>0</v>
      </c>
      <c r="Q76" s="25">
        <v>13</v>
      </c>
      <c r="R76" s="25">
        <v>0</v>
      </c>
      <c r="S76" s="25">
        <v>0</v>
      </c>
      <c r="T76" s="25">
        <v>0</v>
      </c>
      <c r="AG76" s="179"/>
      <c r="AH76" s="179"/>
    </row>
    <row r="77" spans="3:34">
      <c r="C77" s="12">
        <f t="shared" ca="1" si="22"/>
        <v>1</v>
      </c>
      <c r="D77" s="22">
        <f t="shared" si="23"/>
        <v>45674</v>
      </c>
      <c r="E77" s="26">
        <f t="shared" si="24"/>
        <v>1</v>
      </c>
      <c r="F77" s="26">
        <f t="shared" si="25"/>
        <v>1</v>
      </c>
      <c r="G77" s="26">
        <f t="shared" si="26"/>
        <v>0</v>
      </c>
      <c r="H77" s="26">
        <f t="shared" si="27"/>
        <v>1</v>
      </c>
      <c r="I77" s="26">
        <f t="shared" si="28"/>
        <v>1</v>
      </c>
      <c r="J77" s="26">
        <f t="shared" si="29"/>
        <v>1</v>
      </c>
      <c r="M77" s="21">
        <f t="shared" si="31"/>
        <v>45674</v>
      </c>
      <c r="N77" s="10" t="s">
        <v>24</v>
      </c>
      <c r="O77" s="25">
        <v>0</v>
      </c>
      <c r="P77" s="25">
        <v>0</v>
      </c>
      <c r="Q77" s="25">
        <v>13</v>
      </c>
      <c r="R77" s="25">
        <v>0</v>
      </c>
      <c r="S77" s="25">
        <v>0</v>
      </c>
      <c r="T77" s="25">
        <v>0</v>
      </c>
      <c r="AG77" s="179"/>
      <c r="AH77" s="179"/>
    </row>
    <row r="78" spans="3:34">
      <c r="C78" s="12">
        <f t="shared" ca="1" si="22"/>
        <v>1</v>
      </c>
      <c r="D78" s="22">
        <f t="shared" si="23"/>
        <v>45681</v>
      </c>
      <c r="E78" s="26">
        <f t="shared" si="24"/>
        <v>1</v>
      </c>
      <c r="F78" s="26">
        <f t="shared" si="25"/>
        <v>1</v>
      </c>
      <c r="G78" s="26">
        <f t="shared" si="26"/>
        <v>1</v>
      </c>
      <c r="H78" s="26">
        <f t="shared" si="27"/>
        <v>0</v>
      </c>
      <c r="I78" s="26">
        <f t="shared" si="28"/>
        <v>1</v>
      </c>
      <c r="J78" s="26">
        <f t="shared" si="29"/>
        <v>1</v>
      </c>
      <c r="M78" s="21">
        <f t="shared" si="31"/>
        <v>45681</v>
      </c>
      <c r="N78" s="10" t="s">
        <v>24</v>
      </c>
      <c r="O78" s="25">
        <v>0</v>
      </c>
      <c r="P78" s="25">
        <v>0</v>
      </c>
      <c r="Q78" s="25">
        <v>0</v>
      </c>
      <c r="R78" s="25">
        <v>13</v>
      </c>
      <c r="S78" s="25">
        <v>0</v>
      </c>
      <c r="T78" s="25">
        <v>0</v>
      </c>
      <c r="AG78" s="179"/>
      <c r="AH78" s="179"/>
    </row>
    <row r="79" spans="3:34">
      <c r="C79" s="12" t="str">
        <f t="shared" ca="1" si="22"/>
        <v/>
      </c>
      <c r="D79" s="22" t="str">
        <f t="shared" si="23"/>
        <v/>
      </c>
      <c r="E79" s="26" t="str">
        <f t="shared" si="24"/>
        <v/>
      </c>
      <c r="F79" s="26" t="str">
        <f t="shared" si="25"/>
        <v/>
      </c>
      <c r="G79" s="26" t="str">
        <f t="shared" si="26"/>
        <v/>
      </c>
      <c r="H79" s="26" t="str">
        <f t="shared" si="27"/>
        <v/>
      </c>
      <c r="I79" s="26" t="str">
        <f t="shared" si="28"/>
        <v/>
      </c>
      <c r="J79" s="26" t="str">
        <f t="shared" si="29"/>
        <v/>
      </c>
      <c r="M79" s="21"/>
      <c r="N79" s="10"/>
      <c r="O79" s="25"/>
      <c r="P79" s="25"/>
      <c r="Q79" s="25"/>
      <c r="R79" s="25"/>
      <c r="S79" s="25"/>
      <c r="T79" s="25"/>
      <c r="AG79" s="179"/>
      <c r="AH79" s="179"/>
    </row>
    <row r="80" spans="3:34">
      <c r="C80" s="12" t="str">
        <f t="shared" ca="1" si="22"/>
        <v/>
      </c>
      <c r="D80" s="22" t="str">
        <f t="shared" si="23"/>
        <v/>
      </c>
      <c r="E80" s="26" t="str">
        <f t="shared" si="24"/>
        <v/>
      </c>
      <c r="F80" s="26" t="str">
        <f t="shared" si="25"/>
        <v/>
      </c>
      <c r="G80" s="26" t="str">
        <f t="shared" si="26"/>
        <v/>
      </c>
      <c r="H80" s="26" t="str">
        <f t="shared" si="27"/>
        <v/>
      </c>
      <c r="I80" s="26" t="str">
        <f t="shared" si="28"/>
        <v/>
      </c>
      <c r="J80" s="26" t="str">
        <f t="shared" si="29"/>
        <v/>
      </c>
      <c r="M80" s="21"/>
      <c r="N80" s="10"/>
      <c r="O80" s="25"/>
      <c r="P80" s="25"/>
      <c r="Q80" s="25"/>
      <c r="R80" s="25"/>
      <c r="S80" s="25"/>
      <c r="T80" s="25"/>
      <c r="AG80" s="179"/>
      <c r="AH80" s="179"/>
    </row>
    <row r="81" spans="3:34">
      <c r="C81" s="12" t="str">
        <f t="shared" ca="1" si="22"/>
        <v/>
      </c>
      <c r="D81" s="22" t="str">
        <f t="shared" si="23"/>
        <v/>
      </c>
      <c r="E81" s="26" t="str">
        <f t="shared" si="24"/>
        <v/>
      </c>
      <c r="F81" s="26" t="str">
        <f t="shared" si="25"/>
        <v/>
      </c>
      <c r="G81" s="26" t="str">
        <f t="shared" si="26"/>
        <v/>
      </c>
      <c r="H81" s="26" t="str">
        <f t="shared" si="27"/>
        <v/>
      </c>
      <c r="I81" s="26" t="str">
        <f t="shared" si="28"/>
        <v/>
      </c>
      <c r="J81" s="26" t="str">
        <f t="shared" si="29"/>
        <v/>
      </c>
      <c r="M81" s="21"/>
      <c r="N81" s="10"/>
      <c r="O81" s="25"/>
      <c r="P81" s="25"/>
      <c r="Q81" s="25"/>
      <c r="R81" s="25"/>
      <c r="S81" s="25"/>
      <c r="T81" s="25"/>
      <c r="AG81" s="179"/>
      <c r="AH81" s="179"/>
    </row>
    <row r="82" spans="3:34">
      <c r="C82" s="12" t="str">
        <f t="shared" ca="1" si="22"/>
        <v/>
      </c>
      <c r="D82" s="22" t="str">
        <f t="shared" si="23"/>
        <v/>
      </c>
      <c r="E82" s="26" t="str">
        <f t="shared" si="24"/>
        <v/>
      </c>
      <c r="F82" s="26" t="str">
        <f t="shared" si="25"/>
        <v/>
      </c>
      <c r="G82" s="26" t="str">
        <f t="shared" si="26"/>
        <v/>
      </c>
      <c r="H82" s="26" t="str">
        <f t="shared" si="27"/>
        <v/>
      </c>
      <c r="I82" s="26" t="str">
        <f t="shared" si="28"/>
        <v/>
      </c>
      <c r="J82" s="26" t="str">
        <f t="shared" si="29"/>
        <v/>
      </c>
      <c r="M82" s="21"/>
      <c r="N82" s="10"/>
      <c r="O82" s="25"/>
      <c r="P82" s="25"/>
      <c r="Q82" s="25"/>
      <c r="R82" s="25"/>
      <c r="S82" s="25"/>
      <c r="T82" s="25"/>
      <c r="AG82" s="179"/>
      <c r="AH82" s="179"/>
    </row>
    <row r="83" spans="3:34">
      <c r="C83" s="12" t="str">
        <f t="shared" ca="1" si="22"/>
        <v/>
      </c>
      <c r="D83" s="22" t="str">
        <f t="shared" si="23"/>
        <v/>
      </c>
      <c r="E83" s="26" t="str">
        <f t="shared" si="24"/>
        <v/>
      </c>
      <c r="F83" s="26" t="str">
        <f t="shared" si="25"/>
        <v/>
      </c>
      <c r="G83" s="26" t="str">
        <f t="shared" si="26"/>
        <v/>
      </c>
      <c r="H83" s="26" t="str">
        <f t="shared" si="27"/>
        <v/>
      </c>
      <c r="I83" s="26" t="str">
        <f t="shared" si="28"/>
        <v/>
      </c>
      <c r="J83" s="26" t="str">
        <f t="shared" si="29"/>
        <v/>
      </c>
      <c r="M83" s="21"/>
      <c r="N83" s="10"/>
      <c r="O83" s="25"/>
      <c r="P83" s="25"/>
      <c r="Q83" s="25"/>
      <c r="R83" s="25"/>
      <c r="S83" s="25"/>
      <c r="T83" s="25"/>
      <c r="AG83" s="179"/>
      <c r="AH83" s="179"/>
    </row>
    <row r="84" spans="3:34">
      <c r="C84" s="12" t="str">
        <f t="shared" ca="1" si="22"/>
        <v/>
      </c>
      <c r="D84" s="22" t="str">
        <f t="shared" si="23"/>
        <v/>
      </c>
      <c r="E84" s="26" t="str">
        <f t="shared" si="24"/>
        <v/>
      </c>
      <c r="F84" s="26" t="str">
        <f t="shared" si="25"/>
        <v/>
      </c>
      <c r="G84" s="26" t="str">
        <f t="shared" si="26"/>
        <v/>
      </c>
      <c r="H84" s="26" t="str">
        <f t="shared" si="27"/>
        <v/>
      </c>
      <c r="I84" s="26" t="str">
        <f t="shared" si="28"/>
        <v/>
      </c>
      <c r="J84" s="26" t="str">
        <f t="shared" si="29"/>
        <v/>
      </c>
      <c r="M84" s="21"/>
      <c r="N84" s="10"/>
      <c r="O84" s="25"/>
      <c r="P84" s="25"/>
      <c r="Q84" s="25"/>
      <c r="R84" s="25"/>
      <c r="S84" s="25"/>
      <c r="T84" s="25"/>
      <c r="W84" s="187"/>
      <c r="AG84" s="179"/>
      <c r="AH84" s="179"/>
    </row>
    <row r="85" spans="3:34">
      <c r="C85" s="12" t="str">
        <f t="shared" ca="1" si="22"/>
        <v/>
      </c>
      <c r="D85" s="22" t="str">
        <f t="shared" si="23"/>
        <v/>
      </c>
      <c r="E85" s="26" t="str">
        <f t="shared" si="24"/>
        <v/>
      </c>
      <c r="F85" s="26" t="str">
        <f t="shared" si="25"/>
        <v/>
      </c>
      <c r="G85" s="26" t="str">
        <f t="shared" si="26"/>
        <v/>
      </c>
      <c r="H85" s="26" t="str">
        <f t="shared" si="27"/>
        <v/>
      </c>
      <c r="I85" s="26" t="str">
        <f t="shared" si="28"/>
        <v/>
      </c>
      <c r="J85" s="26" t="str">
        <f t="shared" si="29"/>
        <v/>
      </c>
      <c r="M85" s="21"/>
      <c r="N85" s="10"/>
      <c r="O85" s="25"/>
      <c r="P85" s="25"/>
      <c r="Q85" s="25"/>
      <c r="R85" s="25"/>
      <c r="S85" s="25"/>
      <c r="T85" s="25"/>
      <c r="AG85" s="179"/>
      <c r="AH85" s="179"/>
    </row>
    <row r="86" spans="3:34">
      <c r="C86" s="12" t="str">
        <f t="shared" ca="1" si="22"/>
        <v/>
      </c>
      <c r="D86" s="22" t="str">
        <f t="shared" si="23"/>
        <v/>
      </c>
      <c r="E86" s="26" t="str">
        <f t="shared" si="24"/>
        <v/>
      </c>
      <c r="F86" s="26" t="str">
        <f t="shared" si="25"/>
        <v/>
      </c>
      <c r="G86" s="26" t="str">
        <f t="shared" si="26"/>
        <v/>
      </c>
      <c r="H86" s="26" t="str">
        <f t="shared" si="27"/>
        <v/>
      </c>
      <c r="I86" s="26" t="str">
        <f t="shared" si="28"/>
        <v/>
      </c>
      <c r="J86" s="26" t="str">
        <f t="shared" si="29"/>
        <v/>
      </c>
      <c r="M86" s="21"/>
      <c r="N86" s="10"/>
      <c r="O86" s="25"/>
      <c r="P86" s="25"/>
      <c r="Q86" s="25"/>
      <c r="R86" s="25"/>
      <c r="S86" s="25"/>
      <c r="T86" s="25"/>
    </row>
    <row r="87" spans="3:34">
      <c r="C87" s="12" t="str">
        <f t="shared" ca="1" si="22"/>
        <v/>
      </c>
      <c r="D87" s="22" t="str">
        <f t="shared" si="23"/>
        <v/>
      </c>
      <c r="E87" s="26" t="str">
        <f t="shared" si="24"/>
        <v/>
      </c>
      <c r="F87" s="26" t="str">
        <f t="shared" si="25"/>
        <v/>
      </c>
      <c r="G87" s="26" t="str">
        <f t="shared" si="26"/>
        <v/>
      </c>
      <c r="H87" s="26" t="str">
        <f t="shared" si="27"/>
        <v/>
      </c>
      <c r="I87" s="26" t="str">
        <f t="shared" si="28"/>
        <v/>
      </c>
      <c r="J87" s="26" t="str">
        <f t="shared" si="29"/>
        <v/>
      </c>
      <c r="M87" s="21"/>
      <c r="N87" s="10"/>
      <c r="O87" s="25"/>
      <c r="P87" s="25"/>
      <c r="Q87" s="25"/>
      <c r="R87" s="25"/>
      <c r="S87" s="25"/>
      <c r="T87" s="25"/>
    </row>
    <row r="88" spans="3:34">
      <c r="C88" s="12" t="str">
        <f t="shared" ca="1" si="22"/>
        <v/>
      </c>
      <c r="D88" s="22" t="str">
        <f t="shared" si="23"/>
        <v/>
      </c>
      <c r="E88" s="26" t="str">
        <f t="shared" si="24"/>
        <v/>
      </c>
      <c r="F88" s="26" t="str">
        <f t="shared" si="25"/>
        <v/>
      </c>
      <c r="G88" s="26" t="str">
        <f t="shared" si="26"/>
        <v/>
      </c>
      <c r="H88" s="26" t="str">
        <f t="shared" si="27"/>
        <v/>
      </c>
      <c r="I88" s="26" t="str">
        <f t="shared" si="28"/>
        <v/>
      </c>
      <c r="J88" s="26" t="str">
        <f t="shared" si="29"/>
        <v/>
      </c>
      <c r="M88" s="21"/>
      <c r="N88" s="10"/>
      <c r="O88" s="25"/>
      <c r="P88" s="25"/>
      <c r="Q88" s="25"/>
      <c r="R88" s="25"/>
      <c r="S88" s="25"/>
      <c r="T88" s="25"/>
    </row>
    <row r="89" spans="3:34">
      <c r="C89" s="12" t="str">
        <f t="shared" ca="1" si="22"/>
        <v/>
      </c>
      <c r="D89" s="22" t="str">
        <f t="shared" si="23"/>
        <v/>
      </c>
      <c r="E89" s="26" t="str">
        <f t="shared" si="24"/>
        <v/>
      </c>
      <c r="F89" s="26" t="str">
        <f t="shared" si="25"/>
        <v/>
      </c>
      <c r="G89" s="26" t="str">
        <f t="shared" si="26"/>
        <v/>
      </c>
      <c r="H89" s="26" t="str">
        <f t="shared" si="27"/>
        <v/>
      </c>
      <c r="I89" s="26" t="str">
        <f t="shared" si="28"/>
        <v/>
      </c>
      <c r="J89" s="26" t="str">
        <f t="shared" si="29"/>
        <v/>
      </c>
      <c r="M89" s="21"/>
      <c r="N89" s="10"/>
      <c r="O89" s="25"/>
      <c r="P89" s="25"/>
      <c r="Q89" s="25"/>
      <c r="R89" s="25"/>
      <c r="S89" s="25"/>
      <c r="T89" s="25"/>
    </row>
    <row r="90" spans="3:34">
      <c r="C90" s="12" t="str">
        <f t="shared" ca="1" si="22"/>
        <v/>
      </c>
      <c r="D90" s="22" t="str">
        <f t="shared" si="23"/>
        <v/>
      </c>
      <c r="E90" s="26" t="str">
        <f t="shared" si="24"/>
        <v/>
      </c>
      <c r="F90" s="26" t="str">
        <f t="shared" si="25"/>
        <v/>
      </c>
      <c r="G90" s="26" t="str">
        <f t="shared" si="26"/>
        <v/>
      </c>
      <c r="H90" s="26" t="str">
        <f t="shared" si="27"/>
        <v/>
      </c>
      <c r="I90" s="26" t="str">
        <f t="shared" si="28"/>
        <v/>
      </c>
      <c r="J90" s="26" t="str">
        <f t="shared" si="29"/>
        <v/>
      </c>
      <c r="M90" s="21"/>
      <c r="N90" s="10"/>
      <c r="O90" s="25"/>
      <c r="P90" s="25"/>
      <c r="Q90" s="25"/>
      <c r="R90" s="25"/>
      <c r="S90" s="25"/>
      <c r="T90" s="25"/>
    </row>
    <row r="91" spans="3:34">
      <c r="C91" s="12" t="str">
        <f t="shared" ca="1" si="22"/>
        <v/>
      </c>
      <c r="D91" s="22" t="str">
        <f t="shared" si="23"/>
        <v/>
      </c>
      <c r="E91" s="26" t="str">
        <f t="shared" si="24"/>
        <v/>
      </c>
      <c r="F91" s="26" t="str">
        <f t="shared" si="25"/>
        <v/>
      </c>
      <c r="G91" s="26" t="str">
        <f t="shared" si="26"/>
        <v/>
      </c>
      <c r="H91" s="26" t="str">
        <f t="shared" si="27"/>
        <v/>
      </c>
      <c r="I91" s="26" t="str">
        <f t="shared" si="28"/>
        <v/>
      </c>
      <c r="J91" s="26" t="str">
        <f t="shared" si="29"/>
        <v/>
      </c>
      <c r="M91" s="21"/>
      <c r="N91" s="10"/>
      <c r="O91" s="25"/>
      <c r="P91" s="25"/>
      <c r="Q91" s="25"/>
      <c r="R91" s="25"/>
      <c r="S91" s="25"/>
      <c r="T91" s="25"/>
    </row>
    <row r="92" spans="3:34">
      <c r="C92" s="12" t="str">
        <f t="shared" ca="1" si="22"/>
        <v/>
      </c>
      <c r="D92" s="22" t="str">
        <f t="shared" si="23"/>
        <v/>
      </c>
      <c r="E92" s="26" t="str">
        <f t="shared" si="24"/>
        <v/>
      </c>
      <c r="F92" s="26" t="str">
        <f t="shared" si="25"/>
        <v/>
      </c>
      <c r="G92" s="26" t="str">
        <f t="shared" si="26"/>
        <v/>
      </c>
      <c r="H92" s="26" t="str">
        <f t="shared" si="27"/>
        <v/>
      </c>
      <c r="I92" s="26" t="str">
        <f t="shared" si="28"/>
        <v/>
      </c>
      <c r="J92" s="26" t="str">
        <f t="shared" si="29"/>
        <v/>
      </c>
      <c r="M92" s="21"/>
      <c r="N92" s="10"/>
      <c r="O92" s="25"/>
      <c r="P92" s="25"/>
      <c r="Q92" s="25"/>
      <c r="R92" s="25"/>
      <c r="S92" s="25"/>
      <c r="T92" s="25"/>
    </row>
    <row r="93" spans="3:34">
      <c r="C93" s="12" t="str">
        <f t="shared" ref="C93:C96" ca="1" si="32">IF(D93&lt;=TODAY(),1,"")</f>
        <v/>
      </c>
      <c r="D93" s="22" t="str">
        <f t="shared" ref="D93:D96" si="33">IF(M93="","",M93)</f>
        <v/>
      </c>
      <c r="E93" s="26" t="str">
        <f t="shared" ref="E93:J96" si="34">IF(O93="","",IF(O93=0,1,0))</f>
        <v/>
      </c>
      <c r="F93" s="26" t="str">
        <f t="shared" si="34"/>
        <v/>
      </c>
      <c r="G93" s="26" t="str">
        <f t="shared" si="34"/>
        <v/>
      </c>
      <c r="H93" s="26" t="str">
        <f t="shared" si="34"/>
        <v/>
      </c>
      <c r="I93" s="26" t="str">
        <f t="shared" si="34"/>
        <v/>
      </c>
      <c r="J93" s="26" t="str">
        <f t="shared" si="34"/>
        <v/>
      </c>
      <c r="M93" s="21"/>
      <c r="N93" s="10"/>
      <c r="O93" s="25"/>
      <c r="P93" s="25"/>
      <c r="Q93" s="25"/>
      <c r="R93" s="25"/>
      <c r="S93" s="25"/>
      <c r="T93" s="25"/>
    </row>
    <row r="94" spans="3:34">
      <c r="C94" s="12" t="str">
        <f t="shared" ca="1" si="32"/>
        <v/>
      </c>
      <c r="D94" s="22" t="str">
        <f t="shared" si="33"/>
        <v/>
      </c>
      <c r="E94" s="26" t="str">
        <f t="shared" si="34"/>
        <v/>
      </c>
      <c r="F94" s="26" t="str">
        <f t="shared" si="34"/>
        <v/>
      </c>
      <c r="G94" s="26" t="str">
        <f t="shared" si="34"/>
        <v/>
      </c>
      <c r="H94" s="26" t="str">
        <f t="shared" si="34"/>
        <v/>
      </c>
      <c r="I94" s="26" t="str">
        <f t="shared" si="34"/>
        <v/>
      </c>
      <c r="J94" s="26" t="str">
        <f t="shared" si="34"/>
        <v/>
      </c>
      <c r="M94" s="21"/>
      <c r="N94" s="10"/>
      <c r="O94" s="25"/>
      <c r="P94" s="25"/>
      <c r="Q94" s="25"/>
      <c r="R94" s="25"/>
      <c r="S94" s="25"/>
      <c r="T94" s="25"/>
    </row>
    <row r="95" spans="3:34">
      <c r="C95" s="12" t="str">
        <f t="shared" ca="1" si="32"/>
        <v/>
      </c>
      <c r="D95" s="22" t="str">
        <f t="shared" si="33"/>
        <v/>
      </c>
      <c r="E95" s="26" t="str">
        <f t="shared" si="34"/>
        <v/>
      </c>
      <c r="F95" s="26" t="str">
        <f t="shared" si="34"/>
        <v/>
      </c>
      <c r="G95" s="26" t="str">
        <f t="shared" si="34"/>
        <v/>
      </c>
      <c r="H95" s="26" t="str">
        <f t="shared" si="34"/>
        <v/>
      </c>
      <c r="I95" s="26" t="str">
        <f t="shared" si="34"/>
        <v/>
      </c>
      <c r="J95" s="26" t="str">
        <f t="shared" si="34"/>
        <v/>
      </c>
      <c r="M95" s="21"/>
      <c r="N95" s="10"/>
      <c r="O95" s="25"/>
      <c r="P95" s="25"/>
      <c r="Q95" s="25"/>
      <c r="R95" s="25"/>
      <c r="S95" s="25"/>
      <c r="T95" s="25"/>
    </row>
    <row r="96" spans="3:34">
      <c r="C96" s="12" t="str">
        <f t="shared" ca="1" si="32"/>
        <v/>
      </c>
      <c r="D96" s="22" t="str">
        <f t="shared" si="33"/>
        <v/>
      </c>
      <c r="E96" s="26" t="str">
        <f t="shared" si="34"/>
        <v/>
      </c>
      <c r="F96" s="26" t="str">
        <f t="shared" si="34"/>
        <v/>
      </c>
      <c r="G96" s="26" t="str">
        <f t="shared" si="34"/>
        <v/>
      </c>
      <c r="H96" s="26" t="str">
        <f t="shared" si="34"/>
        <v/>
      </c>
      <c r="I96" s="26" t="str">
        <f t="shared" si="34"/>
        <v/>
      </c>
      <c r="J96" s="26" t="str">
        <f t="shared" si="34"/>
        <v/>
      </c>
      <c r="M96" s="21"/>
      <c r="N96" s="10"/>
      <c r="O96" s="25"/>
      <c r="P96" s="25"/>
      <c r="Q96" s="25"/>
      <c r="R96" s="25"/>
      <c r="S96" s="25"/>
      <c r="T96" s="25"/>
    </row>
  </sheetData>
  <mergeCells count="42">
    <mergeCell ref="C2:AA2"/>
    <mergeCell ref="O5:S5"/>
    <mergeCell ref="T5:U5"/>
    <mergeCell ref="V5:W7"/>
    <mergeCell ref="X5:Y7"/>
    <mergeCell ref="Z5:AA7"/>
    <mergeCell ref="Q7:R7"/>
    <mergeCell ref="S7:T7"/>
    <mergeCell ref="Q9:R9"/>
    <mergeCell ref="S9:T9"/>
    <mergeCell ref="V9:W9"/>
    <mergeCell ref="X9:Y9"/>
    <mergeCell ref="Z9:AA9"/>
    <mergeCell ref="Q8:R8"/>
    <mergeCell ref="S8:T8"/>
    <mergeCell ref="V8:W8"/>
    <mergeCell ref="X8:Y8"/>
    <mergeCell ref="Z8:AA8"/>
    <mergeCell ref="Q11:R11"/>
    <mergeCell ref="S11:T11"/>
    <mergeCell ref="V11:W11"/>
    <mergeCell ref="X11:Y11"/>
    <mergeCell ref="Z11:AA11"/>
    <mergeCell ref="Q10:R10"/>
    <mergeCell ref="S10:T10"/>
    <mergeCell ref="V10:W10"/>
    <mergeCell ref="X10:Y10"/>
    <mergeCell ref="Z10:AA10"/>
    <mergeCell ref="X12:Y12"/>
    <mergeCell ref="Z12:AA12"/>
    <mergeCell ref="Q13:R13"/>
    <mergeCell ref="S13:T13"/>
    <mergeCell ref="V13:W13"/>
    <mergeCell ref="X13:Y14"/>
    <mergeCell ref="Z13:AA13"/>
    <mergeCell ref="Q14:R14"/>
    <mergeCell ref="S14:T14"/>
    <mergeCell ref="Q16:R16"/>
    <mergeCell ref="V17:V18"/>
    <mergeCell ref="Q12:R12"/>
    <mergeCell ref="S12:T12"/>
    <mergeCell ref="V12:W12"/>
  </mergeCells>
  <conditionalFormatting sqref="E25:J37 E39:J43 E45:J48 E50:J59 E61:J72 E74:J96">
    <cfRule type="cellIs" dxfId="136" priority="7" operator="equal">
      <formula>0</formula>
    </cfRule>
    <cfRule type="cellIs" dxfId="135" priority="8" operator="equal">
      <formula>1</formula>
    </cfRule>
  </conditionalFormatting>
  <conditionalFormatting sqref="O24:T96">
    <cfRule type="cellIs" dxfId="134" priority="1" operator="equal">
      <formula>0</formula>
    </cfRule>
    <cfRule type="cellIs" dxfId="133" priority="2" operator="greaterThan">
      <formula>0</formula>
    </cfRule>
  </conditionalFormatting>
  <conditionalFormatting sqref="U24:U39">
    <cfRule type="cellIs" dxfId="132" priority="3" operator="equal">
      <formula>0</formula>
    </cfRule>
    <cfRule type="cellIs" dxfId="131" priority="4" operator="greaterThan">
      <formula>0</formula>
    </cfRule>
  </conditionalFormatting>
  <conditionalFormatting sqref="AE25:AE30">
    <cfRule type="cellIs" dxfId="130" priority="5" operator="lessThan">
      <formula>0</formula>
    </cfRule>
    <cfRule type="cellIs" dxfId="129" priority="6" operator="greaterThan">
      <formula>0</formula>
    </cfRule>
  </conditionalFormatting>
  <pageMargins left="0.7" right="0.7" top="0.78740157499999996" bottom="0.78740157499999996" header="0.3" footer="0.3"/>
  <pageSetup paperSize="9" orientation="portrait" r:id="rId1"/>
  <ignoredErrors>
    <ignoredError sqref="M61" 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6641-20CC-48A7-9F20-CD4794B1F267}">
  <sheetPr codeName="Sheet11"/>
  <dimension ref="B1:AH94"/>
  <sheetViews>
    <sheetView zoomScale="70" zoomScaleNormal="70" zoomScaleSheetLayoutView="70" workbookViewId="0">
      <pane xSplit="14" ySplit="23" topLeftCell="O39" activePane="bottomRight" state="frozen"/>
      <selection pane="topRight" activeCell="P1" sqref="P1"/>
      <selection pane="bottomLeft" activeCell="A24" sqref="A24"/>
      <selection pane="bottomRight" activeCell="O21" sqref="O21:T21"/>
    </sheetView>
  </sheetViews>
  <sheetFormatPr defaultColWidth="11.3828125" defaultRowHeight="16.75"/>
  <cols>
    <col min="1" max="1" width="1.69140625" style="1" customWidth="1"/>
    <col min="2" max="2" width="1.3828125" style="1" customWidth="1"/>
    <col min="3" max="3" width="3.84375" style="2" bestFit="1" customWidth="1"/>
    <col min="4" max="4" width="12.53515625" style="1" customWidth="1"/>
    <col min="5" max="10" width="7.15234375" style="1" customWidth="1"/>
    <col min="11" max="12" width="1.3828125" style="1" customWidth="1"/>
    <col min="13" max="13" width="12.53515625" style="29" bestFit="1" customWidth="1"/>
    <col min="14" max="14" width="26.53515625" style="1" customWidth="1"/>
    <col min="15" max="15" width="16.69140625" style="1" customWidth="1"/>
    <col min="16" max="17" width="14.3828125" style="1" customWidth="1"/>
    <col min="18" max="18" width="13.3828125" style="1" customWidth="1"/>
    <col min="19" max="19" width="18.69140625" style="1" customWidth="1"/>
    <col min="20" max="20" width="20.3828125" style="1" customWidth="1"/>
    <col min="21" max="21" width="5.3828125" style="1" hidden="1" customWidth="1"/>
    <col min="22" max="22" width="11.3828125" style="1"/>
    <col min="23" max="23" width="16.69140625" style="1" customWidth="1"/>
    <col min="24" max="24" width="11.69140625" style="1" bestFit="1" customWidth="1"/>
    <col min="25" max="25" width="43.53515625" style="1" customWidth="1"/>
    <col min="26" max="26" width="16.3046875" style="1" customWidth="1"/>
    <col min="27" max="27" width="24.3046875" style="1" bestFit="1" customWidth="1"/>
    <col min="28" max="28" width="12.69140625" style="1" bestFit="1" customWidth="1"/>
    <col min="29" max="29" width="23" style="1" bestFit="1" customWidth="1"/>
    <col min="30" max="30" width="20" style="1" bestFit="1" customWidth="1"/>
    <col min="31" max="16384" width="11.3828125" style="1"/>
  </cols>
  <sheetData>
    <row r="1" spans="2:27" ht="8.25" customHeight="1"/>
    <row r="2" spans="2:27" ht="40.5" customHeight="1">
      <c r="C2" s="232" t="s">
        <v>5</v>
      </c>
      <c r="D2" s="233"/>
      <c r="E2" s="233"/>
      <c r="F2" s="233"/>
      <c r="G2" s="233"/>
      <c r="H2" s="233"/>
      <c r="I2" s="233"/>
      <c r="J2" s="233"/>
      <c r="K2" s="233"/>
      <c r="L2" s="233"/>
      <c r="M2" s="233"/>
      <c r="N2" s="233"/>
      <c r="O2" s="233"/>
      <c r="P2" s="233"/>
      <c r="Q2" s="233"/>
      <c r="R2" s="233"/>
      <c r="S2" s="233"/>
      <c r="T2" s="233"/>
      <c r="U2" s="233"/>
      <c r="V2" s="233"/>
      <c r="W2" s="233"/>
      <c r="X2" s="233"/>
      <c r="Y2" s="233"/>
      <c r="Z2" s="233"/>
      <c r="AA2" s="233"/>
    </row>
    <row r="3" spans="2:27" ht="8.25" customHeight="1"/>
    <row r="4" spans="2:27" ht="9.75" customHeight="1"/>
    <row r="5" spans="2:27" ht="21.75" customHeight="1">
      <c r="B5" s="6"/>
      <c r="C5" s="7" t="s">
        <v>13</v>
      </c>
      <c r="D5" s="8"/>
      <c r="E5" s="8"/>
      <c r="F5" s="8"/>
      <c r="G5" s="8"/>
      <c r="H5" s="8"/>
      <c r="I5" s="9"/>
      <c r="J5" s="9"/>
      <c r="L5" s="6"/>
      <c r="M5" s="31" t="s">
        <v>14</v>
      </c>
      <c r="N5" s="8"/>
      <c r="O5" s="234" t="s">
        <v>31</v>
      </c>
      <c r="P5" s="234"/>
      <c r="Q5" s="234"/>
      <c r="R5" s="234"/>
      <c r="S5" s="235"/>
      <c r="T5" s="236">
        <f>W16</f>
        <v>2995.2735682739599</v>
      </c>
      <c r="U5" s="237"/>
      <c r="V5" s="238" t="s">
        <v>52</v>
      </c>
      <c r="W5" s="239"/>
      <c r="X5" s="238" t="s">
        <v>56</v>
      </c>
      <c r="Y5" s="239"/>
      <c r="Z5" s="238" t="s">
        <v>61</v>
      </c>
      <c r="AA5" s="239"/>
    </row>
    <row r="6" spans="2:27" ht="23.25" customHeight="1">
      <c r="B6" s="6"/>
      <c r="L6" s="6"/>
      <c r="V6" s="240"/>
      <c r="W6" s="241"/>
      <c r="X6" s="240"/>
      <c r="Y6" s="241"/>
      <c r="Z6" s="240"/>
      <c r="AA6" s="241"/>
    </row>
    <row r="7" spans="2:27">
      <c r="B7" s="6"/>
      <c r="D7" s="33" t="s">
        <v>6</v>
      </c>
      <c r="E7" s="35" t="s">
        <v>7</v>
      </c>
      <c r="F7" s="35" t="s">
        <v>8</v>
      </c>
      <c r="G7" s="35" t="s">
        <v>9</v>
      </c>
      <c r="H7" s="11"/>
      <c r="I7" s="11"/>
      <c r="J7" s="11"/>
      <c r="L7" s="6"/>
      <c r="N7" s="33" t="s">
        <v>6</v>
      </c>
      <c r="O7" s="68" t="s">
        <v>16</v>
      </c>
      <c r="P7" s="68" t="s">
        <v>17</v>
      </c>
      <c r="Q7" s="244" t="s">
        <v>26</v>
      </c>
      <c r="R7" s="244"/>
      <c r="S7" s="245" t="s">
        <v>27</v>
      </c>
      <c r="T7" s="245"/>
      <c r="U7" s="34"/>
      <c r="V7" s="242"/>
      <c r="W7" s="243"/>
      <c r="X7" s="242"/>
      <c r="Y7" s="243"/>
      <c r="Z7" s="242"/>
      <c r="AA7" s="243"/>
    </row>
    <row r="8" spans="2:27" ht="16.5" customHeight="1">
      <c r="B8" s="6">
        <v>1</v>
      </c>
      <c r="C8" s="12">
        <f t="shared" ref="C8:C13" si="0">B8</f>
        <v>1</v>
      </c>
      <c r="D8" s="10" t="str">
        <f t="shared" ref="D8:D13" si="1">HLOOKUP($B8,$E$17:$J$20,2,FALSE)</f>
        <v>SJU</v>
      </c>
      <c r="E8" s="12">
        <f>ROUND(HLOOKUP(D8,$E$18:$J$20,3,FALSE),0)</f>
        <v>37</v>
      </c>
      <c r="F8" s="64">
        <f ca="1">E8/$C$20</f>
        <v>0.69811320754716977</v>
      </c>
      <c r="G8" s="28">
        <f t="shared" ref="G8:G10" ca="1" si="2">1-F8</f>
        <v>0.30188679245283023</v>
      </c>
      <c r="L8" s="6"/>
      <c r="N8" s="10" t="s">
        <v>2</v>
      </c>
      <c r="O8" s="13">
        <f>R20</f>
        <v>476</v>
      </c>
      <c r="P8" s="13">
        <v>0</v>
      </c>
      <c r="Q8" s="231"/>
      <c r="R8" s="231"/>
      <c r="S8" s="231" t="s">
        <v>18</v>
      </c>
      <c r="T8" s="231"/>
      <c r="V8" s="231" t="s">
        <v>48</v>
      </c>
      <c r="W8" s="231"/>
      <c r="X8" s="231" t="s">
        <v>58</v>
      </c>
      <c r="Y8" s="231"/>
      <c r="Z8" s="231" t="s">
        <v>65</v>
      </c>
      <c r="AA8" s="231"/>
    </row>
    <row r="9" spans="2:27">
      <c r="B9" s="6">
        <v>2</v>
      </c>
      <c r="C9" s="12">
        <f>B9</f>
        <v>2</v>
      </c>
      <c r="D9" s="10" t="str">
        <f>HLOOKUP($B9,$E$17:$J$20,2,FALSE)</f>
        <v>MSO</v>
      </c>
      <c r="E9" s="12">
        <f t="shared" ref="E9:E11" si="3">ROUND(HLOOKUP(D9,$E$18:$J$20,3,FALSE),0)</f>
        <v>35</v>
      </c>
      <c r="F9" s="28">
        <f ca="1">E9/$C$20</f>
        <v>0.660377358490566</v>
      </c>
      <c r="G9" s="28">
        <f ca="1">1-F9</f>
        <v>0.339622641509434</v>
      </c>
      <c r="L9" s="6"/>
      <c r="N9" s="10" t="s">
        <v>4</v>
      </c>
      <c r="O9" s="13">
        <f>P20</f>
        <v>269</v>
      </c>
      <c r="P9" s="13">
        <v>0</v>
      </c>
      <c r="Q9" s="231"/>
      <c r="R9" s="231"/>
      <c r="S9" s="231" t="s">
        <v>18</v>
      </c>
      <c r="T9" s="231"/>
      <c r="V9" s="231" t="s">
        <v>49</v>
      </c>
      <c r="W9" s="231"/>
      <c r="X9" s="231" t="s">
        <v>57</v>
      </c>
      <c r="Y9" s="231"/>
      <c r="Z9" s="231" t="s">
        <v>64</v>
      </c>
      <c r="AA9" s="231"/>
    </row>
    <row r="10" spans="2:27">
      <c r="B10" s="6">
        <v>3</v>
      </c>
      <c r="C10" s="12">
        <f t="shared" si="0"/>
        <v>3</v>
      </c>
      <c r="D10" s="10" t="str">
        <f t="shared" si="1"/>
        <v>CBO</v>
      </c>
      <c r="E10" s="12">
        <f t="shared" si="3"/>
        <v>32</v>
      </c>
      <c r="F10" s="28">
        <f ca="1">E10/$C$20</f>
        <v>0.60377358490566035</v>
      </c>
      <c r="G10" s="28">
        <f t="shared" ca="1" si="2"/>
        <v>0.39622641509433965</v>
      </c>
      <c r="L10" s="6"/>
      <c r="N10" s="10" t="s">
        <v>3</v>
      </c>
      <c r="O10" s="13">
        <f>S20</f>
        <v>215</v>
      </c>
      <c r="P10" s="13">
        <v>0</v>
      </c>
      <c r="Q10" s="231"/>
      <c r="R10" s="231"/>
      <c r="S10" s="231" t="s">
        <v>18</v>
      </c>
      <c r="T10" s="231"/>
      <c r="V10" s="231" t="s">
        <v>48</v>
      </c>
      <c r="W10" s="231"/>
      <c r="X10" s="231" t="s">
        <v>60</v>
      </c>
      <c r="Y10" s="231"/>
      <c r="Z10" s="231" t="s">
        <v>66</v>
      </c>
      <c r="AA10" s="231"/>
    </row>
    <row r="11" spans="2:27">
      <c r="B11" s="6">
        <v>4</v>
      </c>
      <c r="C11" s="12">
        <f t="shared" si="0"/>
        <v>4</v>
      </c>
      <c r="D11" s="10" t="str">
        <f t="shared" si="1"/>
        <v>PKN</v>
      </c>
      <c r="E11" s="12">
        <f t="shared" si="3"/>
        <v>26</v>
      </c>
      <c r="F11" s="28">
        <f t="shared" ref="F11" ca="1" si="4">E11/$C$20</f>
        <v>0.49056603773584906</v>
      </c>
      <c r="G11" s="28">
        <f ca="1">1-F11</f>
        <v>0.50943396226415094</v>
      </c>
      <c r="L11" s="6"/>
      <c r="N11" s="10" t="s">
        <v>1</v>
      </c>
      <c r="O11" s="13">
        <f>Q20</f>
        <v>332</v>
      </c>
      <c r="P11" s="13">
        <v>0</v>
      </c>
      <c r="Q11" s="231"/>
      <c r="R11" s="231"/>
      <c r="S11" s="231" t="s">
        <v>18</v>
      </c>
      <c r="T11" s="231"/>
      <c r="V11" s="231" t="s">
        <v>48</v>
      </c>
      <c r="W11" s="231"/>
      <c r="X11" s="231" t="s">
        <v>59</v>
      </c>
      <c r="Y11" s="231"/>
      <c r="Z11" s="231" t="s">
        <v>67</v>
      </c>
      <c r="AA11" s="231"/>
    </row>
    <row r="12" spans="2:27">
      <c r="B12" s="6">
        <v>5</v>
      </c>
      <c r="C12" s="12">
        <f t="shared" si="0"/>
        <v>5</v>
      </c>
      <c r="D12" s="10" t="str">
        <f t="shared" si="1"/>
        <v>JWU</v>
      </c>
      <c r="E12" s="12">
        <f>ROUND(HLOOKUP(D12,$E$18:$J$20,3,FALSE),0)</f>
        <v>21</v>
      </c>
      <c r="F12" s="28">
        <f ca="1">E12/$C$20</f>
        <v>0.39622641509433965</v>
      </c>
      <c r="G12" s="28">
        <f ca="1">1-F12</f>
        <v>0.60377358490566035</v>
      </c>
      <c r="L12" s="6"/>
      <c r="N12" s="10" t="s">
        <v>0</v>
      </c>
      <c r="O12" s="47">
        <f>O20</f>
        <v>407</v>
      </c>
      <c r="P12" s="13">
        <v>0</v>
      </c>
      <c r="Q12" s="231"/>
      <c r="R12" s="231"/>
      <c r="S12" s="231" t="s">
        <v>18</v>
      </c>
      <c r="T12" s="231"/>
      <c r="V12" s="231" t="s">
        <v>50</v>
      </c>
      <c r="W12" s="231"/>
      <c r="X12" s="231" t="s">
        <v>81</v>
      </c>
      <c r="Y12" s="231"/>
      <c r="Z12" s="231" t="s">
        <v>63</v>
      </c>
      <c r="AA12" s="231"/>
    </row>
    <row r="13" spans="2:27">
      <c r="B13" s="6">
        <v>6</v>
      </c>
      <c r="C13" s="12">
        <f t="shared" si="0"/>
        <v>6</v>
      </c>
      <c r="D13" s="10" t="str">
        <f t="shared" si="1"/>
        <v>YMI</v>
      </c>
      <c r="E13" s="12">
        <f>ROUND(HLOOKUP(D13,$E$18:$J$20,3,FALSE),0)</f>
        <v>15</v>
      </c>
      <c r="F13" s="28">
        <f ca="1">E13/$C$20</f>
        <v>0.28301886792452829</v>
      </c>
      <c r="G13" s="28">
        <f ca="1">1-F13</f>
        <v>0.71698113207547176</v>
      </c>
      <c r="L13" s="6"/>
      <c r="N13" s="10" t="s">
        <v>22</v>
      </c>
      <c r="O13" s="13">
        <f>T20</f>
        <v>248</v>
      </c>
      <c r="P13" s="13">
        <v>0</v>
      </c>
      <c r="Q13" s="231"/>
      <c r="R13" s="231"/>
      <c r="S13" s="231" t="s">
        <v>18</v>
      </c>
      <c r="T13" s="231"/>
      <c r="V13" s="231" t="s">
        <v>51</v>
      </c>
      <c r="W13" s="231"/>
      <c r="X13" s="246" t="s">
        <v>118</v>
      </c>
      <c r="Y13" s="246"/>
      <c r="Z13" s="231" t="s">
        <v>62</v>
      </c>
      <c r="AA13" s="231"/>
    </row>
    <row r="14" spans="2:27">
      <c r="B14" s="6"/>
      <c r="F14" s="63"/>
      <c r="L14" s="6"/>
      <c r="N14" s="29"/>
      <c r="O14" s="29"/>
      <c r="P14" s="29"/>
      <c r="Q14" s="248"/>
      <c r="R14" s="248"/>
      <c r="S14" s="248"/>
      <c r="T14" s="248"/>
      <c r="X14" s="247"/>
      <c r="Y14" s="247"/>
    </row>
    <row r="15" spans="2:27" ht="13.5" customHeight="1" thickBot="1">
      <c r="B15" s="6"/>
      <c r="L15" s="6"/>
    </row>
    <row r="16" spans="2:27" ht="17.149999999999999" thickBot="1">
      <c r="B16" s="6"/>
      <c r="L16" s="6"/>
      <c r="N16" s="14" t="s">
        <v>19</v>
      </c>
      <c r="O16" s="15">
        <f>SUM(O8:O13)</f>
        <v>1947</v>
      </c>
      <c r="P16" s="87"/>
      <c r="Q16" s="262" t="s">
        <v>330</v>
      </c>
      <c r="R16" s="263"/>
      <c r="S16" s="15">
        <f>AD31</f>
        <v>1048.2735682739599</v>
      </c>
      <c r="V16" s="137" t="s">
        <v>121</v>
      </c>
      <c r="W16" s="138">
        <f>O16+S16</f>
        <v>2995.2735682739599</v>
      </c>
    </row>
    <row r="17" spans="2:34" ht="12" customHeight="1">
      <c r="B17" s="6"/>
      <c r="E17" s="27">
        <f t="shared" ref="E17:J17" si="5">RANK(E20,$E20:$J20)</f>
        <v>5</v>
      </c>
      <c r="F17" s="27">
        <f t="shared" si="5"/>
        <v>3</v>
      </c>
      <c r="G17" s="27">
        <f t="shared" si="5"/>
        <v>4</v>
      </c>
      <c r="H17" s="27">
        <f t="shared" si="5"/>
        <v>6</v>
      </c>
      <c r="I17" s="27">
        <f t="shared" si="5"/>
        <v>1</v>
      </c>
      <c r="J17" s="27">
        <f t="shared" si="5"/>
        <v>2</v>
      </c>
      <c r="L17" s="6"/>
      <c r="V17" s="249"/>
    </row>
    <row r="18" spans="2:34">
      <c r="B18" s="6"/>
      <c r="E18" s="16" t="s">
        <v>0</v>
      </c>
      <c r="F18" s="16" t="s">
        <v>4</v>
      </c>
      <c r="G18" s="16" t="s">
        <v>1</v>
      </c>
      <c r="H18" s="16" t="s">
        <v>2</v>
      </c>
      <c r="I18" s="16" t="s">
        <v>3</v>
      </c>
      <c r="J18" s="16" t="s">
        <v>21</v>
      </c>
      <c r="L18" s="6"/>
      <c r="O18" s="16" t="s">
        <v>0</v>
      </c>
      <c r="P18" s="16" t="s">
        <v>4</v>
      </c>
      <c r="Q18" s="16" t="s">
        <v>1</v>
      </c>
      <c r="R18" s="16" t="s">
        <v>2</v>
      </c>
      <c r="S18" s="16" t="s">
        <v>3</v>
      </c>
      <c r="T18" s="16" t="s">
        <v>22</v>
      </c>
      <c r="U18" s="16"/>
      <c r="V18" s="250"/>
    </row>
    <row r="19" spans="2:34" ht="6" customHeight="1">
      <c r="B19" s="6"/>
      <c r="E19" s="17"/>
      <c r="F19" s="17"/>
      <c r="G19" s="17"/>
      <c r="H19" s="17"/>
      <c r="I19" s="17"/>
      <c r="J19" s="17"/>
      <c r="L19" s="6"/>
      <c r="O19" s="17"/>
      <c r="P19" s="17"/>
      <c r="Q19" s="17"/>
      <c r="R19" s="17"/>
      <c r="S19" s="17"/>
      <c r="T19" s="17"/>
      <c r="U19" s="17"/>
    </row>
    <row r="20" spans="2:34" ht="16.75" customHeight="1">
      <c r="B20" s="6"/>
      <c r="C20" s="139">
        <f ca="1">COUNT(C23:C94)</f>
        <v>53</v>
      </c>
      <c r="E20" s="24">
        <f>SUM(E25:E94)+0.00007</f>
        <v>21.000070000000001</v>
      </c>
      <c r="F20" s="24">
        <f>SUM(F25:F94)+0.00005</f>
        <v>32.000050000000002</v>
      </c>
      <c r="G20" s="24">
        <f>SUM(G25:G94)+0.00008</f>
        <v>26.000080000000001</v>
      </c>
      <c r="H20" s="24">
        <f>SUM(H25:H94)+0.00006</f>
        <v>15.00006</v>
      </c>
      <c r="I20" s="24">
        <f>SUM(I25:I94)+0.00009</f>
        <v>37.00009</v>
      </c>
      <c r="J20" s="24">
        <f>SUM(J25:J94)+0.0001</f>
        <v>35.000100000000003</v>
      </c>
      <c r="L20" s="6"/>
      <c r="O20" s="19">
        <f t="shared" ref="O20:T20" si="6">SUM(O24:O94)</f>
        <v>407</v>
      </c>
      <c r="P20" s="19">
        <f t="shared" si="6"/>
        <v>269</v>
      </c>
      <c r="Q20" s="19">
        <f t="shared" si="6"/>
        <v>332</v>
      </c>
      <c r="R20" s="19">
        <f t="shared" si="6"/>
        <v>476</v>
      </c>
      <c r="S20" s="19">
        <f t="shared" si="6"/>
        <v>215</v>
      </c>
      <c r="T20" s="19">
        <f t="shared" si="6"/>
        <v>248</v>
      </c>
      <c r="U20" s="19"/>
      <c r="W20" s="250" t="s">
        <v>331</v>
      </c>
      <c r="X20" s="250"/>
      <c r="Y20" s="250"/>
      <c r="Z20" s="250"/>
    </row>
    <row r="21" spans="2:34">
      <c r="B21" s="6"/>
      <c r="E21" s="2"/>
      <c r="F21" s="2"/>
      <c r="G21" s="2"/>
      <c r="H21" s="2"/>
      <c r="I21" s="2"/>
      <c r="J21" s="2"/>
      <c r="L21" s="6"/>
      <c r="O21" s="20" cm="1">
        <f t="array" ref="O21">SUM(SUMIF($N$24:$N$100,{"LI";"LIFO";"LIFO+"},O24:O100))</f>
        <v>15</v>
      </c>
      <c r="P21" s="20" cm="1">
        <f t="array" ref="P21">SUM(SUMIF($N$24:$N$100,{"LI";"LIFO";"LIFO+"},P24:P100))</f>
        <v>9</v>
      </c>
      <c r="Q21" s="20" cm="1">
        <f t="array" ref="Q21">SUM(SUMIF($N$24:$N$100,{"LI";"LIFO";"LIFO+"},Q24:Q100))</f>
        <v>0</v>
      </c>
      <c r="R21" s="20" cm="1">
        <f t="array" ref="R21">SUM(SUMIF($N$24:$N$100,{"LI";"LIFO";"LIFO+"},R24:R100))</f>
        <v>12</v>
      </c>
      <c r="S21" s="20" cm="1">
        <f t="array" ref="S21">SUM(SUMIF($N$24:$N$100,{"LI";"LIFO";"LIFO+"},S24:S100))</f>
        <v>15</v>
      </c>
      <c r="T21" s="20" cm="1">
        <f t="array" ref="T21">SUM(SUMIF($N$24:$N$100,{"LI";"LIFO";"LIFO+"},T24:T100))</f>
        <v>24</v>
      </c>
      <c r="U21" s="20"/>
      <c r="W21" s="250"/>
      <c r="X21" s="250"/>
      <c r="Y21" s="250"/>
      <c r="Z21" s="250"/>
    </row>
    <row r="22" spans="2:34">
      <c r="B22" s="6"/>
      <c r="E22" s="18">
        <v>3</v>
      </c>
      <c r="F22" s="18">
        <v>5</v>
      </c>
      <c r="G22" s="18">
        <v>6</v>
      </c>
      <c r="H22" s="18">
        <v>7</v>
      </c>
      <c r="I22" s="18">
        <v>8</v>
      </c>
      <c r="J22" s="18">
        <v>1</v>
      </c>
      <c r="L22" s="6"/>
      <c r="W22" s="250"/>
      <c r="X22" s="250"/>
      <c r="Y22" s="250"/>
      <c r="Z22" s="250"/>
      <c r="AB22" s="1" t="s">
        <v>336</v>
      </c>
    </row>
    <row r="23" spans="2:34">
      <c r="B23" s="6"/>
      <c r="C23" s="12" t="s">
        <v>10</v>
      </c>
      <c r="D23" s="10" t="s">
        <v>11</v>
      </c>
      <c r="E23" s="12" t="s">
        <v>12</v>
      </c>
      <c r="F23" s="12" t="s">
        <v>12</v>
      </c>
      <c r="G23" s="12" t="s">
        <v>12</v>
      </c>
      <c r="H23" s="12" t="s">
        <v>324</v>
      </c>
      <c r="I23" s="12" t="s">
        <v>12</v>
      </c>
      <c r="J23" s="12" t="s">
        <v>12</v>
      </c>
      <c r="L23" s="6"/>
      <c r="M23" s="67" t="s">
        <v>11</v>
      </c>
      <c r="N23" s="67" t="s">
        <v>15</v>
      </c>
      <c r="O23" s="12" t="s">
        <v>16</v>
      </c>
      <c r="P23" s="12" t="s">
        <v>16</v>
      </c>
      <c r="Q23" s="12" t="s">
        <v>16</v>
      </c>
      <c r="R23" s="12" t="s">
        <v>16</v>
      </c>
      <c r="S23" s="12" t="s">
        <v>16</v>
      </c>
      <c r="T23" s="12" t="s">
        <v>16</v>
      </c>
      <c r="U23" s="12"/>
    </row>
    <row r="24" spans="2:34">
      <c r="B24" s="6"/>
      <c r="C24" s="12"/>
      <c r="D24" s="10"/>
      <c r="E24" s="12"/>
      <c r="F24" s="12"/>
      <c r="G24" s="12"/>
      <c r="H24" s="12"/>
      <c r="I24" s="12"/>
      <c r="J24" s="12"/>
      <c r="L24" s="6"/>
      <c r="M24" s="21">
        <v>44967</v>
      </c>
      <c r="N24" s="67" t="s">
        <v>20</v>
      </c>
      <c r="O24" s="25">
        <v>20</v>
      </c>
      <c r="P24" s="25">
        <v>20</v>
      </c>
      <c r="Q24" s="25">
        <v>20</v>
      </c>
      <c r="R24" s="25">
        <v>20</v>
      </c>
      <c r="S24" s="25">
        <v>20</v>
      </c>
      <c r="T24" s="25">
        <v>20</v>
      </c>
      <c r="U24" s="25"/>
      <c r="X24" s="33" t="s">
        <v>312</v>
      </c>
      <c r="Y24" s="33" t="s">
        <v>314</v>
      </c>
      <c r="Z24" s="33" t="s">
        <v>313</v>
      </c>
      <c r="AA24" s="33" t="s">
        <v>344</v>
      </c>
      <c r="AB24" s="33" t="s">
        <v>334</v>
      </c>
      <c r="AC24" s="33" t="s">
        <v>338</v>
      </c>
      <c r="AD24" s="33" t="s">
        <v>337</v>
      </c>
      <c r="AE24" s="33" t="s">
        <v>323</v>
      </c>
      <c r="AF24" s="34"/>
      <c r="AG24" s="179"/>
      <c r="AH24" s="179"/>
    </row>
    <row r="25" spans="2:34">
      <c r="B25" s="6"/>
      <c r="C25" s="12">
        <v>1</v>
      </c>
      <c r="D25" s="22">
        <f>M25</f>
        <v>44967</v>
      </c>
      <c r="E25" s="26">
        <f t="shared" ref="E25:J26" si="7">IF(O25="","",IF(O25=0,1,0))</f>
        <v>0</v>
      </c>
      <c r="F25" s="26">
        <f t="shared" si="7"/>
        <v>0</v>
      </c>
      <c r="G25" s="26">
        <f t="shared" si="7"/>
        <v>1</v>
      </c>
      <c r="H25" s="26">
        <f>IF(R25="","",IF(R25=0,1,0))</f>
        <v>0</v>
      </c>
      <c r="I25" s="26">
        <f t="shared" si="7"/>
        <v>1</v>
      </c>
      <c r="J25" s="26">
        <f t="shared" si="7"/>
        <v>1</v>
      </c>
      <c r="L25" s="6"/>
      <c r="M25" s="21">
        <f>M24</f>
        <v>44967</v>
      </c>
      <c r="N25" s="10" t="s">
        <v>24</v>
      </c>
      <c r="O25" s="25">
        <v>12</v>
      </c>
      <c r="P25" s="25">
        <v>12</v>
      </c>
      <c r="Q25" s="25">
        <v>0</v>
      </c>
      <c r="R25" s="25">
        <v>12</v>
      </c>
      <c r="S25" s="25">
        <v>0</v>
      </c>
      <c r="T25" s="25">
        <v>0</v>
      </c>
      <c r="U25" s="25"/>
      <c r="X25" s="10" t="s">
        <v>32</v>
      </c>
      <c r="Y25" s="164" t="s">
        <v>316</v>
      </c>
      <c r="Z25" s="167">
        <v>21.467017120000001</v>
      </c>
      <c r="AA25" s="165">
        <v>8.8619671255006658</v>
      </c>
      <c r="AB25" s="10">
        <v>190</v>
      </c>
      <c r="AC25" s="180">
        <v>6.0011999999999999</v>
      </c>
      <c r="AD25" s="10">
        <f>Z25*AC25</f>
        <v>128.827863140544</v>
      </c>
      <c r="AE25" s="167">
        <f t="shared" ref="AE25:AE30" si="8">(AC25*100/AA25)-100</f>
        <v>-32.281400788191746</v>
      </c>
      <c r="AG25" s="179"/>
      <c r="AH25" s="179"/>
    </row>
    <row r="26" spans="2:34">
      <c r="B26" s="6"/>
      <c r="C26" s="12">
        <f t="shared" ref="C26" ca="1" si="9">IF(D26&lt;=TODAY(),1,"")</f>
        <v>1</v>
      </c>
      <c r="D26" s="22">
        <f t="shared" ref="D26" si="10">IF(M26="","",M26)</f>
        <v>44974</v>
      </c>
      <c r="E26" s="26">
        <f t="shared" si="7"/>
        <v>0</v>
      </c>
      <c r="F26" s="26">
        <f t="shared" si="7"/>
        <v>1</v>
      </c>
      <c r="G26" s="26">
        <f t="shared" si="7"/>
        <v>0</v>
      </c>
      <c r="H26" s="26">
        <f t="shared" si="7"/>
        <v>0</v>
      </c>
      <c r="I26" s="26">
        <f t="shared" si="7"/>
        <v>1</v>
      </c>
      <c r="J26" s="26">
        <f t="shared" si="7"/>
        <v>0</v>
      </c>
      <c r="M26" s="21">
        <f>M25+7</f>
        <v>44974</v>
      </c>
      <c r="N26" s="10" t="s">
        <v>24</v>
      </c>
      <c r="O26" s="25">
        <v>12</v>
      </c>
      <c r="P26" s="25">
        <v>0</v>
      </c>
      <c r="Q26" s="25">
        <v>12</v>
      </c>
      <c r="R26" s="25">
        <v>12</v>
      </c>
      <c r="S26" s="25">
        <v>0</v>
      </c>
      <c r="T26" s="25">
        <v>12</v>
      </c>
      <c r="U26" s="25"/>
      <c r="X26" s="10" t="s">
        <v>3</v>
      </c>
      <c r="Y26" s="10" t="s">
        <v>317</v>
      </c>
      <c r="Z26" s="167">
        <v>514.90734899999995</v>
      </c>
      <c r="AA26" s="165">
        <v>0.36946452671430025</v>
      </c>
      <c r="AB26" s="10">
        <f>AB25</f>
        <v>190</v>
      </c>
      <c r="AC26" s="180">
        <v>0.48759999999999998</v>
      </c>
      <c r="AD26" s="10">
        <f t="shared" ref="AD26:AD30" si="11">Z26*AC26</f>
        <v>251.06882337239998</v>
      </c>
      <c r="AE26" s="167">
        <f t="shared" si="8"/>
        <v>31.974780998948688</v>
      </c>
      <c r="AG26" s="179"/>
      <c r="AH26" s="179"/>
    </row>
    <row r="27" spans="2:34">
      <c r="B27" s="6"/>
      <c r="C27" s="12">
        <f t="shared" ref="C27:C74" ca="1" si="12">IF(D27&lt;=TODAY(),1,"")</f>
        <v>1</v>
      </c>
      <c r="D27" s="22">
        <f t="shared" ref="D27:D74" si="13">IF(M27="","",M27)</f>
        <v>44981</v>
      </c>
      <c r="E27" s="26">
        <f t="shared" ref="E27:E74" si="14">IF(O27="","",IF(O27=0,1,0))</f>
        <v>0</v>
      </c>
      <c r="F27" s="26">
        <f t="shared" ref="F27:F74" si="15">IF(P27="","",IF(P27=0,1,0))</f>
        <v>0</v>
      </c>
      <c r="G27" s="26">
        <f t="shared" ref="G27:G74" si="16">IF(Q27="","",IF(Q27=0,1,0))</f>
        <v>1</v>
      </c>
      <c r="H27" s="26">
        <f t="shared" ref="H27:H74" si="17">IF(R27="","",IF(R27=0,1,0))</f>
        <v>0</v>
      </c>
      <c r="I27" s="26">
        <f t="shared" ref="I27:I74" si="18">IF(S27="","",IF(S27=0,1,0))</f>
        <v>1</v>
      </c>
      <c r="J27" s="26">
        <f t="shared" ref="J27:J74" si="19">IF(T27="","",IF(T27=0,1,0))</f>
        <v>1</v>
      </c>
      <c r="M27" s="21">
        <f>M26+7</f>
        <v>44981</v>
      </c>
      <c r="N27" s="10" t="s">
        <v>24</v>
      </c>
      <c r="O27" s="25">
        <v>12</v>
      </c>
      <c r="P27" s="25">
        <v>12</v>
      </c>
      <c r="Q27" s="25">
        <v>0</v>
      </c>
      <c r="R27" s="25">
        <v>12</v>
      </c>
      <c r="S27" s="25">
        <v>0</v>
      </c>
      <c r="T27" s="25">
        <v>0</v>
      </c>
      <c r="U27" s="25"/>
      <c r="X27" s="10" t="s">
        <v>1</v>
      </c>
      <c r="Y27" s="10" t="s">
        <v>318</v>
      </c>
      <c r="Z27" s="167">
        <v>100.37945723</v>
      </c>
      <c r="AA27" s="165">
        <v>1.8952084943446352</v>
      </c>
      <c r="AB27" s="10">
        <f t="shared" ref="AB27:AB30" si="20">AB26</f>
        <v>190</v>
      </c>
      <c r="AC27" s="180">
        <v>1.6993</v>
      </c>
      <c r="AD27" s="10">
        <f>Z27*AC27</f>
        <v>170.574811670939</v>
      </c>
      <c r="AE27" s="167">
        <f t="shared" si="8"/>
        <v>-10.337041804594719</v>
      </c>
      <c r="AG27" s="179"/>
      <c r="AH27" s="179"/>
    </row>
    <row r="28" spans="2:34">
      <c r="B28" s="6"/>
      <c r="C28" s="12">
        <f t="shared" ca="1" si="12"/>
        <v>1</v>
      </c>
      <c r="D28" s="22">
        <f t="shared" si="13"/>
        <v>44988</v>
      </c>
      <c r="E28" s="26">
        <f t="shared" si="14"/>
        <v>1</v>
      </c>
      <c r="F28" s="26">
        <f t="shared" si="15"/>
        <v>1</v>
      </c>
      <c r="G28" s="26">
        <f t="shared" si="16"/>
        <v>1</v>
      </c>
      <c r="H28" s="26">
        <f t="shared" si="17"/>
        <v>0</v>
      </c>
      <c r="I28" s="26">
        <f t="shared" si="18"/>
        <v>1</v>
      </c>
      <c r="J28" s="26">
        <f t="shared" si="19"/>
        <v>0</v>
      </c>
      <c r="M28" s="21">
        <f t="shared" ref="M28:M30" si="21">M27+7</f>
        <v>44988</v>
      </c>
      <c r="N28" s="10" t="s">
        <v>24</v>
      </c>
      <c r="O28" s="25">
        <v>0</v>
      </c>
      <c r="P28" s="25">
        <v>0</v>
      </c>
      <c r="Q28" s="25">
        <v>0</v>
      </c>
      <c r="R28" s="25">
        <v>12</v>
      </c>
      <c r="S28" s="25">
        <v>0</v>
      </c>
      <c r="T28" s="25">
        <v>12</v>
      </c>
      <c r="U28" s="25"/>
      <c r="X28" s="10" t="s">
        <v>0</v>
      </c>
      <c r="Y28" s="10" t="s">
        <v>319</v>
      </c>
      <c r="Z28" s="167">
        <v>15448414.2267</v>
      </c>
      <c r="AA28" s="168">
        <v>1.2314532560319491E-5</v>
      </c>
      <c r="AB28" s="10">
        <f t="shared" si="20"/>
        <v>190</v>
      </c>
      <c r="AC28" s="181">
        <v>8.3100000000000001E-6</v>
      </c>
      <c r="AD28" s="10">
        <f t="shared" si="11"/>
        <v>128.376322223877</v>
      </c>
      <c r="AE28" s="167">
        <f t="shared" si="8"/>
        <v>-32.518754087533111</v>
      </c>
      <c r="AG28" s="179"/>
      <c r="AH28" s="179"/>
    </row>
    <row r="29" spans="2:34">
      <c r="B29" s="6"/>
      <c r="C29" s="12">
        <f t="shared" ca="1" si="12"/>
        <v>1</v>
      </c>
      <c r="D29" s="22">
        <f t="shared" si="13"/>
        <v>44995</v>
      </c>
      <c r="E29" s="26">
        <f t="shared" si="14"/>
        <v>1</v>
      </c>
      <c r="F29" s="26">
        <f t="shared" si="15"/>
        <v>0</v>
      </c>
      <c r="G29" s="26">
        <f t="shared" si="16"/>
        <v>0</v>
      </c>
      <c r="H29" s="26">
        <f t="shared" si="17"/>
        <v>0</v>
      </c>
      <c r="I29" s="26">
        <f t="shared" si="18"/>
        <v>0</v>
      </c>
      <c r="J29" s="26">
        <f t="shared" si="19"/>
        <v>1</v>
      </c>
      <c r="M29" s="21">
        <f t="shared" si="21"/>
        <v>44995</v>
      </c>
      <c r="N29" s="10" t="s">
        <v>24</v>
      </c>
      <c r="O29" s="25">
        <v>0</v>
      </c>
      <c r="P29" s="25">
        <v>12</v>
      </c>
      <c r="Q29" s="25">
        <v>12</v>
      </c>
      <c r="R29" s="25">
        <v>12</v>
      </c>
      <c r="S29" s="25">
        <v>12</v>
      </c>
      <c r="T29" s="25">
        <v>0</v>
      </c>
      <c r="U29" s="25"/>
      <c r="V29" s="58"/>
      <c r="X29" s="10" t="s">
        <v>2</v>
      </c>
      <c r="Y29" s="10" t="s">
        <v>320</v>
      </c>
      <c r="Z29" s="167">
        <v>147.60700398</v>
      </c>
      <c r="AA29" s="165">
        <v>1.2888277308695768</v>
      </c>
      <c r="AB29" s="10">
        <f t="shared" si="20"/>
        <v>190</v>
      </c>
      <c r="AC29" s="181">
        <v>0.94</v>
      </c>
      <c r="AD29" s="10">
        <f t="shared" si="11"/>
        <v>138.75058374119999</v>
      </c>
      <c r="AE29" s="167">
        <f t="shared" si="8"/>
        <v>-27.065504761774591</v>
      </c>
      <c r="AG29" s="179"/>
      <c r="AH29" s="179"/>
    </row>
    <row r="30" spans="2:34">
      <c r="B30" s="6"/>
      <c r="C30" s="12"/>
      <c r="D30" s="10"/>
      <c r="E30" s="12"/>
      <c r="F30" s="12"/>
      <c r="G30" s="12"/>
      <c r="H30" s="12"/>
      <c r="I30" s="12"/>
      <c r="J30" s="12"/>
      <c r="M30" s="21">
        <f t="shared" si="21"/>
        <v>45002</v>
      </c>
      <c r="N30" s="10" t="s">
        <v>43</v>
      </c>
      <c r="O30" s="25">
        <v>6</v>
      </c>
      <c r="P30" s="25"/>
      <c r="Q30" s="25"/>
      <c r="R30" s="25"/>
      <c r="S30" s="25"/>
      <c r="T30" s="25"/>
      <c r="U30" s="25"/>
      <c r="X30" s="174" t="s">
        <v>4</v>
      </c>
      <c r="Y30" s="174" t="s">
        <v>315</v>
      </c>
      <c r="Z30" s="175">
        <v>0.12023725</v>
      </c>
      <c r="AA30" s="176">
        <v>1582.205181838407</v>
      </c>
      <c r="AB30" s="10">
        <f t="shared" si="20"/>
        <v>190</v>
      </c>
      <c r="AC30" s="177">
        <v>1918.5</v>
      </c>
      <c r="AD30" s="174">
        <f t="shared" si="11"/>
        <v>230.67516412500001</v>
      </c>
      <c r="AE30" s="167">
        <f t="shared" si="8"/>
        <v>21.2548171388772</v>
      </c>
      <c r="AG30" s="179"/>
      <c r="AH30" s="179"/>
    </row>
    <row r="31" spans="2:34">
      <c r="B31" s="6"/>
      <c r="C31" s="12">
        <f t="shared" ca="1" si="12"/>
        <v>1</v>
      </c>
      <c r="D31" s="22">
        <f t="shared" si="13"/>
        <v>45002</v>
      </c>
      <c r="E31" s="26">
        <f t="shared" si="14"/>
        <v>1</v>
      </c>
      <c r="F31" s="26">
        <f t="shared" si="15"/>
        <v>0</v>
      </c>
      <c r="G31" s="26">
        <f t="shared" si="16"/>
        <v>0</v>
      </c>
      <c r="H31" s="26">
        <f t="shared" si="17"/>
        <v>0</v>
      </c>
      <c r="I31" s="26">
        <f t="shared" si="18"/>
        <v>0</v>
      </c>
      <c r="J31" s="26">
        <f t="shared" si="19"/>
        <v>0</v>
      </c>
      <c r="M31" s="21">
        <v>45002</v>
      </c>
      <c r="N31" s="10" t="s">
        <v>24</v>
      </c>
      <c r="O31" s="25">
        <v>0</v>
      </c>
      <c r="P31" s="25">
        <v>12</v>
      </c>
      <c r="Q31" s="25">
        <v>12</v>
      </c>
      <c r="R31" s="25">
        <v>12</v>
      </c>
      <c r="S31" s="25">
        <v>12</v>
      </c>
      <c r="T31" s="25">
        <v>12</v>
      </c>
      <c r="U31" s="25"/>
      <c r="X31" s="264" t="s">
        <v>335</v>
      </c>
      <c r="Y31" s="264"/>
      <c r="Z31" s="264"/>
      <c r="AA31" s="264"/>
      <c r="AB31" s="33">
        <v>1141.44</v>
      </c>
      <c r="AC31" s="164"/>
      <c r="AD31" s="33">
        <f>SUM(AD25:AD30)</f>
        <v>1048.2735682739599</v>
      </c>
      <c r="AE31" s="178">
        <f>AD31/AB31-1</f>
        <v>-8.1621838840447269E-2</v>
      </c>
      <c r="AG31" s="179"/>
      <c r="AH31" s="179"/>
    </row>
    <row r="32" spans="2:34">
      <c r="B32" s="6"/>
      <c r="C32" s="12">
        <f t="shared" ca="1" si="12"/>
        <v>1</v>
      </c>
      <c r="D32" s="22">
        <f t="shared" si="13"/>
        <v>45009</v>
      </c>
      <c r="E32" s="26">
        <f t="shared" si="14"/>
        <v>0</v>
      </c>
      <c r="F32" s="26">
        <f t="shared" si="15"/>
        <v>1</v>
      </c>
      <c r="G32" s="26">
        <f t="shared" si="16"/>
        <v>0</v>
      </c>
      <c r="H32" s="26">
        <f t="shared" si="17"/>
        <v>0</v>
      </c>
      <c r="I32" s="26">
        <f t="shared" si="18"/>
        <v>1</v>
      </c>
      <c r="J32" s="26">
        <f t="shared" si="19"/>
        <v>1</v>
      </c>
      <c r="M32" s="21">
        <v>45009</v>
      </c>
      <c r="N32" s="10" t="s">
        <v>24</v>
      </c>
      <c r="O32" s="25">
        <v>12</v>
      </c>
      <c r="P32" s="25">
        <v>0</v>
      </c>
      <c r="Q32" s="25">
        <v>12</v>
      </c>
      <c r="R32" s="25">
        <v>12</v>
      </c>
      <c r="S32" s="25">
        <v>0</v>
      </c>
      <c r="T32" s="25">
        <v>0</v>
      </c>
      <c r="U32" s="25"/>
      <c r="Y32" s="179"/>
      <c r="Z32" s="179"/>
    </row>
    <row r="33" spans="2:34">
      <c r="B33" s="6"/>
      <c r="C33" s="12">
        <f t="shared" ca="1" si="12"/>
        <v>1</v>
      </c>
      <c r="D33" s="22">
        <f t="shared" si="13"/>
        <v>45016</v>
      </c>
      <c r="E33" s="26">
        <f t="shared" si="14"/>
        <v>0</v>
      </c>
      <c r="F33" s="26">
        <f t="shared" si="15"/>
        <v>1</v>
      </c>
      <c r="G33" s="26">
        <f t="shared" si="16"/>
        <v>0</v>
      </c>
      <c r="H33" s="26">
        <f t="shared" si="17"/>
        <v>0</v>
      </c>
      <c r="I33" s="26">
        <f t="shared" si="18"/>
        <v>1</v>
      </c>
      <c r="J33" s="26">
        <f t="shared" si="19"/>
        <v>1</v>
      </c>
      <c r="M33" s="21">
        <v>45016</v>
      </c>
      <c r="N33" s="10" t="s">
        <v>24</v>
      </c>
      <c r="O33" s="25">
        <v>12</v>
      </c>
      <c r="P33" s="25">
        <v>0</v>
      </c>
      <c r="Q33" s="25">
        <v>12</v>
      </c>
      <c r="R33" s="25">
        <v>12</v>
      </c>
      <c r="S33" s="25">
        <v>0</v>
      </c>
      <c r="T33" s="25">
        <v>0</v>
      </c>
      <c r="U33" s="25"/>
      <c r="Y33" s="179"/>
      <c r="Z33" s="179"/>
    </row>
    <row r="34" spans="2:34">
      <c r="B34" s="6"/>
      <c r="C34" s="12">
        <f t="shared" ca="1" si="12"/>
        <v>1</v>
      </c>
      <c r="D34" s="22">
        <f t="shared" si="13"/>
        <v>45030</v>
      </c>
      <c r="E34" s="26">
        <f t="shared" si="14"/>
        <v>0</v>
      </c>
      <c r="F34" s="26">
        <f t="shared" si="15"/>
        <v>1</v>
      </c>
      <c r="G34" s="26">
        <f t="shared" si="16"/>
        <v>0</v>
      </c>
      <c r="H34" s="26">
        <f t="shared" si="17"/>
        <v>0</v>
      </c>
      <c r="I34" s="26">
        <f t="shared" si="18"/>
        <v>1</v>
      </c>
      <c r="J34" s="26">
        <f t="shared" si="19"/>
        <v>0</v>
      </c>
      <c r="M34" s="21">
        <v>45030</v>
      </c>
      <c r="N34" s="10" t="s">
        <v>24</v>
      </c>
      <c r="O34" s="25">
        <v>12</v>
      </c>
      <c r="P34" s="25">
        <v>0</v>
      </c>
      <c r="Q34" s="25">
        <v>12</v>
      </c>
      <c r="R34" s="25">
        <v>12</v>
      </c>
      <c r="S34" s="25">
        <v>0</v>
      </c>
      <c r="T34" s="25">
        <v>12</v>
      </c>
      <c r="U34" s="25"/>
      <c r="AD34" s="2"/>
      <c r="AG34" s="179"/>
      <c r="AH34" s="179"/>
    </row>
    <row r="35" spans="2:34">
      <c r="B35" s="6"/>
      <c r="C35" s="12"/>
      <c r="D35" s="10"/>
      <c r="E35" s="12"/>
      <c r="F35" s="12"/>
      <c r="G35" s="12"/>
      <c r="H35" s="12"/>
      <c r="I35" s="12"/>
      <c r="J35" s="12"/>
      <c r="M35" s="21">
        <v>45037</v>
      </c>
      <c r="N35" s="10" t="s">
        <v>43</v>
      </c>
      <c r="O35" s="25"/>
      <c r="P35" s="25"/>
      <c r="Q35" s="25"/>
      <c r="R35" s="25"/>
      <c r="S35" s="25"/>
      <c r="T35" s="25">
        <v>6</v>
      </c>
      <c r="U35" s="25"/>
      <c r="AB35" s="58"/>
      <c r="AG35" s="179"/>
      <c r="AH35" s="179"/>
    </row>
    <row r="36" spans="2:34">
      <c r="B36" s="6"/>
      <c r="C36" s="12">
        <f t="shared" ca="1" si="12"/>
        <v>1</v>
      </c>
      <c r="D36" s="22">
        <f t="shared" si="13"/>
        <v>45037</v>
      </c>
      <c r="E36" s="26">
        <f t="shared" si="14"/>
        <v>0</v>
      </c>
      <c r="F36" s="26">
        <f t="shared" si="15"/>
        <v>0</v>
      </c>
      <c r="G36" s="26">
        <f t="shared" si="16"/>
        <v>0</v>
      </c>
      <c r="H36" s="26">
        <f t="shared" si="17"/>
        <v>0</v>
      </c>
      <c r="I36" s="26">
        <f t="shared" si="18"/>
        <v>0</v>
      </c>
      <c r="J36" s="26">
        <f t="shared" si="19"/>
        <v>1</v>
      </c>
      <c r="M36" s="21">
        <v>45037</v>
      </c>
      <c r="N36" s="10" t="s">
        <v>24</v>
      </c>
      <c r="O36" s="25">
        <v>12</v>
      </c>
      <c r="P36" s="25">
        <v>12</v>
      </c>
      <c r="Q36" s="25">
        <v>12</v>
      </c>
      <c r="R36" s="25">
        <v>12</v>
      </c>
      <c r="S36" s="25">
        <v>12</v>
      </c>
      <c r="T36" s="25">
        <v>0</v>
      </c>
      <c r="U36" s="25"/>
      <c r="X36" s="10"/>
      <c r="Y36" s="186"/>
      <c r="Z36" s="186"/>
      <c r="AA36" s="33" t="s">
        <v>342</v>
      </c>
      <c r="AB36" s="33" t="s">
        <v>343</v>
      </c>
      <c r="AC36" s="27" t="s">
        <v>341</v>
      </c>
      <c r="AD36" s="27">
        <v>100</v>
      </c>
    </row>
    <row r="37" spans="2:34">
      <c r="B37" s="6"/>
      <c r="C37" s="12"/>
      <c r="D37" s="10"/>
      <c r="E37" s="12"/>
      <c r="F37" s="12"/>
      <c r="G37" s="12"/>
      <c r="H37" s="12"/>
      <c r="I37" s="12"/>
      <c r="J37" s="12"/>
      <c r="M37" s="21">
        <v>45044</v>
      </c>
      <c r="N37" s="10" t="s">
        <v>325</v>
      </c>
      <c r="O37" s="25"/>
      <c r="P37" s="25"/>
      <c r="Q37" s="25"/>
      <c r="R37" s="25"/>
      <c r="S37" s="25"/>
      <c r="T37" s="25">
        <v>3</v>
      </c>
      <c r="U37" s="25"/>
      <c r="X37" s="10" t="s">
        <v>32</v>
      </c>
      <c r="Y37" s="164" t="s">
        <v>316</v>
      </c>
      <c r="Z37" s="167">
        <v>21.467017120000001</v>
      </c>
      <c r="AA37" s="10">
        <f>AB37*100/AD37</f>
        <v>190.00307913373703</v>
      </c>
      <c r="AB37" s="10">
        <v>185.12</v>
      </c>
      <c r="AC37" s="27">
        <v>2.57</v>
      </c>
      <c r="AD37" s="27">
        <f>100-AC37</f>
        <v>97.43</v>
      </c>
    </row>
    <row r="38" spans="2:34" ht="16.5" customHeight="1">
      <c r="B38" s="6"/>
      <c r="C38" s="12">
        <f t="shared" ca="1" si="12"/>
        <v>1</v>
      </c>
      <c r="D38" s="22">
        <f t="shared" si="13"/>
        <v>45044</v>
      </c>
      <c r="E38" s="26">
        <f t="shared" si="14"/>
        <v>0</v>
      </c>
      <c r="F38" s="26">
        <f t="shared" si="15"/>
        <v>0</v>
      </c>
      <c r="G38" s="26">
        <f t="shared" si="16"/>
        <v>1</v>
      </c>
      <c r="H38" s="26">
        <f t="shared" si="17"/>
        <v>0</v>
      </c>
      <c r="I38" s="26">
        <f t="shared" si="18"/>
        <v>1</v>
      </c>
      <c r="J38" s="26">
        <f t="shared" si="19"/>
        <v>1</v>
      </c>
      <c r="M38" s="21">
        <f>M36+7</f>
        <v>45044</v>
      </c>
      <c r="N38" s="10" t="s">
        <v>24</v>
      </c>
      <c r="O38" s="25">
        <v>12</v>
      </c>
      <c r="P38" s="25">
        <v>12</v>
      </c>
      <c r="Q38" s="25">
        <v>0</v>
      </c>
      <c r="R38" s="25">
        <v>12</v>
      </c>
      <c r="S38" s="25">
        <v>0</v>
      </c>
      <c r="T38" s="25">
        <v>0</v>
      </c>
      <c r="U38" s="25"/>
      <c r="X38" s="10" t="s">
        <v>3</v>
      </c>
      <c r="Y38" s="10" t="s">
        <v>317</v>
      </c>
      <c r="Z38" s="167">
        <v>514.90734899999995</v>
      </c>
      <c r="AA38" s="10">
        <f t="shared" ref="AA38:AA42" si="22">AB38*100/AD38</f>
        <v>190.11414594374236</v>
      </c>
      <c r="AB38" s="10">
        <v>186.54</v>
      </c>
      <c r="AC38" s="27">
        <v>1.88</v>
      </c>
      <c r="AD38" s="27">
        <f>100-AC38</f>
        <v>98.12</v>
      </c>
    </row>
    <row r="39" spans="2:34" ht="16.5" customHeight="1">
      <c r="B39" s="6"/>
      <c r="C39" s="12">
        <f t="shared" ca="1" si="12"/>
        <v>1</v>
      </c>
      <c r="D39" s="22">
        <f t="shared" si="13"/>
        <v>45051</v>
      </c>
      <c r="E39" s="26">
        <f t="shared" si="14"/>
        <v>0</v>
      </c>
      <c r="F39" s="26">
        <f t="shared" si="15"/>
        <v>1</v>
      </c>
      <c r="G39" s="26">
        <f t="shared" si="16"/>
        <v>1</v>
      </c>
      <c r="H39" s="26">
        <f t="shared" si="17"/>
        <v>0</v>
      </c>
      <c r="I39" s="26">
        <f t="shared" si="18"/>
        <v>1</v>
      </c>
      <c r="J39" s="26">
        <f t="shared" si="19"/>
        <v>1</v>
      </c>
      <c r="M39" s="21">
        <f>M38+7</f>
        <v>45051</v>
      </c>
      <c r="N39" s="10" t="s">
        <v>24</v>
      </c>
      <c r="O39" s="25">
        <v>12</v>
      </c>
      <c r="P39" s="25">
        <v>0</v>
      </c>
      <c r="Q39" s="25">
        <v>0</v>
      </c>
      <c r="R39" s="25">
        <v>12</v>
      </c>
      <c r="S39" s="25">
        <v>0</v>
      </c>
      <c r="T39" s="25">
        <v>0</v>
      </c>
      <c r="U39" s="25"/>
      <c r="X39" s="10" t="s">
        <v>1</v>
      </c>
      <c r="Y39" s="10" t="s">
        <v>318</v>
      </c>
      <c r="Z39" s="167">
        <v>100.37945723</v>
      </c>
      <c r="AA39" s="10">
        <f t="shared" si="22"/>
        <v>189.94866529774126</v>
      </c>
      <c r="AB39" s="10">
        <v>185.01</v>
      </c>
      <c r="AC39" s="27">
        <v>2.6</v>
      </c>
      <c r="AD39" s="27">
        <f t="shared" ref="AD39:AD42" si="23">100-AC39</f>
        <v>97.4</v>
      </c>
    </row>
    <row r="40" spans="2:34">
      <c r="B40" s="6"/>
      <c r="C40" s="12">
        <f t="shared" ca="1" si="12"/>
        <v>1</v>
      </c>
      <c r="D40" s="22">
        <f t="shared" si="13"/>
        <v>45058</v>
      </c>
      <c r="E40" s="26">
        <f t="shared" si="14"/>
        <v>0</v>
      </c>
      <c r="F40" s="26">
        <f t="shared" si="15"/>
        <v>1</v>
      </c>
      <c r="G40" s="26">
        <f t="shared" si="16"/>
        <v>0</v>
      </c>
      <c r="H40" s="26">
        <f t="shared" si="17"/>
        <v>1</v>
      </c>
      <c r="I40" s="26">
        <f t="shared" si="18"/>
        <v>1</v>
      </c>
      <c r="J40" s="26">
        <f t="shared" si="19"/>
        <v>0</v>
      </c>
      <c r="M40" s="21">
        <f>M39+7</f>
        <v>45058</v>
      </c>
      <c r="N40" s="10" t="s">
        <v>24</v>
      </c>
      <c r="O40" s="25">
        <v>12</v>
      </c>
      <c r="P40" s="25">
        <v>0</v>
      </c>
      <c r="Q40" s="25">
        <v>12</v>
      </c>
      <c r="R40" s="25">
        <v>0</v>
      </c>
      <c r="S40" s="25">
        <v>0</v>
      </c>
      <c r="T40" s="25">
        <v>12</v>
      </c>
      <c r="X40" s="10" t="s">
        <v>0</v>
      </c>
      <c r="Y40" s="10" t="s">
        <v>319</v>
      </c>
      <c r="Z40" s="167">
        <v>15448414.2267</v>
      </c>
      <c r="AA40" s="10">
        <f t="shared" si="22"/>
        <v>189.93453355155481</v>
      </c>
      <c r="AB40" s="10">
        <v>185.68</v>
      </c>
      <c r="AC40" s="27">
        <v>2.2400000000000002</v>
      </c>
      <c r="AD40" s="27">
        <f t="shared" si="23"/>
        <v>97.76</v>
      </c>
    </row>
    <row r="41" spans="2:34">
      <c r="B41" s="6"/>
      <c r="C41" s="12"/>
      <c r="D41" s="10"/>
      <c r="E41" s="12"/>
      <c r="F41" s="12"/>
      <c r="G41" s="12"/>
      <c r="H41" s="12"/>
      <c r="I41" s="12"/>
      <c r="J41" s="12"/>
      <c r="M41" s="21">
        <f>M40+7</f>
        <v>45065</v>
      </c>
      <c r="N41" s="10" t="s">
        <v>43</v>
      </c>
      <c r="O41" s="25"/>
      <c r="P41" s="25">
        <v>6</v>
      </c>
      <c r="Q41" s="25"/>
      <c r="R41" s="25"/>
      <c r="S41" s="25"/>
      <c r="T41" s="25"/>
      <c r="X41" s="10" t="s">
        <v>2</v>
      </c>
      <c r="Y41" s="10" t="s">
        <v>320</v>
      </c>
      <c r="Z41" s="167">
        <v>147.60700398</v>
      </c>
      <c r="AA41" s="10">
        <f t="shared" si="22"/>
        <v>189.99795876709533</v>
      </c>
      <c r="AB41" s="10">
        <v>186.16</v>
      </c>
      <c r="AC41" s="27">
        <v>2.02</v>
      </c>
      <c r="AD41" s="27">
        <f t="shared" si="23"/>
        <v>97.98</v>
      </c>
    </row>
    <row r="42" spans="2:34">
      <c r="B42" s="6"/>
      <c r="C42" s="12">
        <f t="shared" ca="1" si="12"/>
        <v>1</v>
      </c>
      <c r="D42" s="22">
        <f t="shared" si="13"/>
        <v>45065</v>
      </c>
      <c r="E42" s="26">
        <f t="shared" si="14"/>
        <v>0</v>
      </c>
      <c r="F42" s="26">
        <f t="shared" si="15"/>
        <v>1</v>
      </c>
      <c r="G42" s="26">
        <f t="shared" si="16"/>
        <v>0</v>
      </c>
      <c r="H42" s="26">
        <f t="shared" si="17"/>
        <v>0</v>
      </c>
      <c r="I42" s="26">
        <f t="shared" si="18"/>
        <v>0</v>
      </c>
      <c r="J42" s="26">
        <f t="shared" si="19"/>
        <v>0</v>
      </c>
      <c r="M42" s="21">
        <v>45065</v>
      </c>
      <c r="N42" s="10" t="s">
        <v>24</v>
      </c>
      <c r="O42" s="25">
        <v>12</v>
      </c>
      <c r="P42" s="25">
        <v>0</v>
      </c>
      <c r="Q42" s="25">
        <v>12</v>
      </c>
      <c r="R42" s="25">
        <v>12</v>
      </c>
      <c r="S42" s="25">
        <v>12</v>
      </c>
      <c r="T42" s="25">
        <v>12</v>
      </c>
      <c r="X42" s="10" t="s">
        <v>4</v>
      </c>
      <c r="Y42" s="10" t="s">
        <v>315</v>
      </c>
      <c r="Z42" s="167">
        <v>0.12023725</v>
      </c>
      <c r="AA42" s="10">
        <f t="shared" si="22"/>
        <v>189.94498777506112</v>
      </c>
      <c r="AB42" s="10">
        <v>186.45</v>
      </c>
      <c r="AC42" s="27">
        <v>1.84</v>
      </c>
      <c r="AD42" s="27">
        <f t="shared" si="23"/>
        <v>98.16</v>
      </c>
    </row>
    <row r="43" spans="2:34">
      <c r="B43" s="6"/>
      <c r="C43" s="12"/>
      <c r="D43" s="10"/>
      <c r="E43" s="12"/>
      <c r="F43" s="12"/>
      <c r="G43" s="12"/>
      <c r="H43" s="12"/>
      <c r="I43" s="12"/>
      <c r="J43" s="12"/>
      <c r="M43" s="21">
        <f>M42+7</f>
        <v>45072</v>
      </c>
      <c r="N43" s="10" t="s">
        <v>46</v>
      </c>
      <c r="O43" s="25">
        <v>3</v>
      </c>
      <c r="P43" s="25"/>
      <c r="Q43" s="25"/>
      <c r="R43" s="25"/>
      <c r="S43" s="25"/>
      <c r="T43" s="25">
        <v>3</v>
      </c>
      <c r="Y43" s="179"/>
      <c r="Z43" s="179"/>
    </row>
    <row r="44" spans="2:34">
      <c r="B44" s="6"/>
      <c r="C44" s="12">
        <f t="shared" ca="1" si="12"/>
        <v>1</v>
      </c>
      <c r="D44" s="22">
        <f t="shared" si="13"/>
        <v>45072</v>
      </c>
      <c r="E44" s="26">
        <f t="shared" si="14"/>
        <v>1</v>
      </c>
      <c r="F44" s="26">
        <f t="shared" si="15"/>
        <v>1</v>
      </c>
      <c r="G44" s="26">
        <f t="shared" si="16"/>
        <v>1</v>
      </c>
      <c r="H44" s="26">
        <f t="shared" si="17"/>
        <v>0</v>
      </c>
      <c r="I44" s="26">
        <f t="shared" si="18"/>
        <v>1</v>
      </c>
      <c r="J44" s="26">
        <f t="shared" si="19"/>
        <v>1</v>
      </c>
      <c r="M44" s="21">
        <f>M43</f>
        <v>45072</v>
      </c>
      <c r="N44" s="10" t="s">
        <v>24</v>
      </c>
      <c r="O44" s="25">
        <v>0</v>
      </c>
      <c r="P44" s="25">
        <v>0</v>
      </c>
      <c r="Q44" s="25">
        <v>0</v>
      </c>
      <c r="R44" s="25">
        <v>12</v>
      </c>
      <c r="S44" s="25">
        <v>0</v>
      </c>
      <c r="T44" s="25">
        <v>0</v>
      </c>
      <c r="Y44" s="179"/>
      <c r="Z44" s="179"/>
    </row>
    <row r="45" spans="2:34">
      <c r="B45" s="6"/>
      <c r="C45" s="12">
        <f t="shared" ca="1" si="12"/>
        <v>1</v>
      </c>
      <c r="D45" s="22">
        <f t="shared" si="13"/>
        <v>45079</v>
      </c>
      <c r="E45" s="26">
        <f t="shared" si="14"/>
        <v>0</v>
      </c>
      <c r="F45" s="26">
        <f t="shared" si="15"/>
        <v>1</v>
      </c>
      <c r="G45" s="26">
        <f t="shared" si="16"/>
        <v>0</v>
      </c>
      <c r="H45" s="26">
        <f t="shared" si="17"/>
        <v>1</v>
      </c>
      <c r="I45" s="26">
        <f t="shared" si="18"/>
        <v>1</v>
      </c>
      <c r="J45" s="26">
        <f t="shared" si="19"/>
        <v>1</v>
      </c>
      <c r="M45" s="21">
        <f>M44+7</f>
        <v>45079</v>
      </c>
      <c r="N45" s="10" t="s">
        <v>24</v>
      </c>
      <c r="O45" s="25">
        <v>12</v>
      </c>
      <c r="P45" s="25">
        <v>0</v>
      </c>
      <c r="Q45" s="25">
        <v>12</v>
      </c>
      <c r="R45" s="25">
        <v>0</v>
      </c>
      <c r="S45" s="25">
        <v>0</v>
      </c>
      <c r="T45" s="25">
        <v>0</v>
      </c>
      <c r="Y45" s="179"/>
      <c r="Z45" s="179"/>
    </row>
    <row r="46" spans="2:34">
      <c r="B46" s="6"/>
      <c r="C46" s="12">
        <f t="shared" ca="1" si="12"/>
        <v>1</v>
      </c>
      <c r="D46" s="22">
        <f t="shared" si="13"/>
        <v>45086</v>
      </c>
      <c r="E46" s="26">
        <f t="shared" si="14"/>
        <v>0</v>
      </c>
      <c r="F46" s="26">
        <f t="shared" si="15"/>
        <v>1</v>
      </c>
      <c r="G46" s="26">
        <f t="shared" si="16"/>
        <v>1</v>
      </c>
      <c r="H46" s="26">
        <f t="shared" si="17"/>
        <v>0</v>
      </c>
      <c r="I46" s="26">
        <f t="shared" si="18"/>
        <v>1</v>
      </c>
      <c r="J46" s="26">
        <f t="shared" si="19"/>
        <v>1</v>
      </c>
      <c r="M46" s="21">
        <f>M45+7</f>
        <v>45086</v>
      </c>
      <c r="N46" s="10" t="s">
        <v>24</v>
      </c>
      <c r="O46" s="25">
        <v>12</v>
      </c>
      <c r="P46" s="25">
        <v>0</v>
      </c>
      <c r="Q46" s="25">
        <v>0</v>
      </c>
      <c r="R46" s="25">
        <v>12</v>
      </c>
      <c r="S46" s="25">
        <v>0</v>
      </c>
      <c r="T46" s="25">
        <v>0</v>
      </c>
      <c r="Y46" s="179"/>
      <c r="Z46" s="179"/>
    </row>
    <row r="47" spans="2:34">
      <c r="B47" s="6"/>
      <c r="C47" s="12">
        <f t="shared" ca="1" si="12"/>
        <v>1</v>
      </c>
      <c r="D47" s="22">
        <f t="shared" si="13"/>
        <v>45093</v>
      </c>
      <c r="E47" s="26">
        <f t="shared" si="14"/>
        <v>1</v>
      </c>
      <c r="F47" s="26">
        <f t="shared" si="15"/>
        <v>1</v>
      </c>
      <c r="G47" s="26">
        <f t="shared" si="16"/>
        <v>1</v>
      </c>
      <c r="H47" s="26">
        <f t="shared" si="17"/>
        <v>0</v>
      </c>
      <c r="I47" s="26">
        <f t="shared" si="18"/>
        <v>1</v>
      </c>
      <c r="J47" s="26">
        <f t="shared" si="19"/>
        <v>1</v>
      </c>
      <c r="M47" s="21">
        <f>M46+7</f>
        <v>45093</v>
      </c>
      <c r="N47" s="10" t="s">
        <v>24</v>
      </c>
      <c r="O47" s="25">
        <v>0</v>
      </c>
      <c r="P47" s="25">
        <v>0</v>
      </c>
      <c r="Q47" s="25">
        <v>0</v>
      </c>
      <c r="R47" s="25">
        <v>12</v>
      </c>
      <c r="S47" s="25">
        <v>0</v>
      </c>
      <c r="T47" s="25">
        <v>0</v>
      </c>
      <c r="Y47" s="179"/>
      <c r="Z47" s="179"/>
    </row>
    <row r="48" spans="2:34">
      <c r="B48" s="6"/>
      <c r="C48" s="12">
        <f t="shared" ca="1" si="12"/>
        <v>1</v>
      </c>
      <c r="D48" s="22">
        <f t="shared" si="13"/>
        <v>45100</v>
      </c>
      <c r="E48" s="26">
        <f t="shared" si="14"/>
        <v>1</v>
      </c>
      <c r="F48" s="26">
        <f t="shared" si="15"/>
        <v>1</v>
      </c>
      <c r="G48" s="26">
        <f t="shared" si="16"/>
        <v>1</v>
      </c>
      <c r="H48" s="26">
        <f t="shared" si="17"/>
        <v>1</v>
      </c>
      <c r="I48" s="26">
        <f t="shared" si="18"/>
        <v>1</v>
      </c>
      <c r="J48" s="26">
        <f t="shared" si="19"/>
        <v>1</v>
      </c>
      <c r="M48" s="21">
        <f>M47+7</f>
        <v>45100</v>
      </c>
      <c r="N48" s="10" t="s">
        <v>24</v>
      </c>
      <c r="O48" s="25">
        <v>0</v>
      </c>
      <c r="P48" s="25">
        <v>0</v>
      </c>
      <c r="Q48" s="25">
        <v>0</v>
      </c>
      <c r="R48" s="25">
        <v>0</v>
      </c>
      <c r="S48" s="25">
        <v>0</v>
      </c>
      <c r="T48" s="25">
        <v>0</v>
      </c>
      <c r="AG48" s="179"/>
      <c r="AH48" s="179"/>
    </row>
    <row r="49" spans="2:34">
      <c r="B49" s="6"/>
      <c r="C49" s="12">
        <f t="shared" ca="1" si="12"/>
        <v>1</v>
      </c>
      <c r="D49" s="22">
        <f t="shared" si="13"/>
        <v>45107</v>
      </c>
      <c r="E49" s="26">
        <f t="shared" si="14"/>
        <v>0</v>
      </c>
      <c r="F49" s="26">
        <f t="shared" si="15"/>
        <v>1</v>
      </c>
      <c r="G49" s="26">
        <f t="shared" si="16"/>
        <v>0</v>
      </c>
      <c r="H49" s="26">
        <f t="shared" si="17"/>
        <v>0</v>
      </c>
      <c r="I49" s="26">
        <f t="shared" si="18"/>
        <v>1</v>
      </c>
      <c r="J49" s="26">
        <f t="shared" si="19"/>
        <v>1</v>
      </c>
      <c r="M49" s="21">
        <f t="shared" ref="M49:M55" si="24">M48+7</f>
        <v>45107</v>
      </c>
      <c r="N49" s="10" t="s">
        <v>24</v>
      </c>
      <c r="O49" s="25">
        <v>12</v>
      </c>
      <c r="P49" s="25">
        <v>0</v>
      </c>
      <c r="Q49" s="25">
        <v>12</v>
      </c>
      <c r="R49" s="25">
        <v>12</v>
      </c>
      <c r="S49" s="25">
        <v>0</v>
      </c>
      <c r="T49" s="25">
        <v>0</v>
      </c>
      <c r="AG49" s="179"/>
      <c r="AH49" s="179"/>
    </row>
    <row r="50" spans="2:34">
      <c r="B50" s="6"/>
      <c r="C50" s="12">
        <f t="shared" ca="1" si="12"/>
        <v>1</v>
      </c>
      <c r="D50" s="22">
        <f t="shared" si="13"/>
        <v>45114</v>
      </c>
      <c r="E50" s="26">
        <f t="shared" si="14"/>
        <v>0</v>
      </c>
      <c r="F50" s="26">
        <f t="shared" si="15"/>
        <v>1</v>
      </c>
      <c r="G50" s="26">
        <f t="shared" si="16"/>
        <v>1</v>
      </c>
      <c r="H50" s="26">
        <f t="shared" si="17"/>
        <v>0</v>
      </c>
      <c r="I50" s="26">
        <f t="shared" si="18"/>
        <v>0</v>
      </c>
      <c r="J50" s="26">
        <f t="shared" si="19"/>
        <v>1</v>
      </c>
      <c r="M50" s="21">
        <f t="shared" si="24"/>
        <v>45114</v>
      </c>
      <c r="N50" s="10" t="s">
        <v>24</v>
      </c>
      <c r="O50" s="25">
        <v>12</v>
      </c>
      <c r="P50" s="25">
        <v>0</v>
      </c>
      <c r="Q50" s="25">
        <v>0</v>
      </c>
      <c r="R50" s="25">
        <v>12</v>
      </c>
      <c r="S50" s="25">
        <v>12</v>
      </c>
      <c r="T50" s="25">
        <v>0</v>
      </c>
      <c r="AG50" s="179"/>
      <c r="AH50" s="179"/>
    </row>
    <row r="51" spans="2:34">
      <c r="B51" s="6"/>
      <c r="C51" s="12">
        <f t="shared" ca="1" si="12"/>
        <v>1</v>
      </c>
      <c r="D51" s="22">
        <f t="shared" si="13"/>
        <v>45121</v>
      </c>
      <c r="E51" s="26">
        <f t="shared" si="14"/>
        <v>1</v>
      </c>
      <c r="F51" s="26">
        <f t="shared" si="15"/>
        <v>1</v>
      </c>
      <c r="G51" s="26">
        <f t="shared" si="16"/>
        <v>1</v>
      </c>
      <c r="H51" s="26">
        <f t="shared" si="17"/>
        <v>1</v>
      </c>
      <c r="I51" s="26">
        <f t="shared" si="18"/>
        <v>1</v>
      </c>
      <c r="J51" s="26">
        <f t="shared" si="19"/>
        <v>1</v>
      </c>
      <c r="M51" s="21">
        <f t="shared" si="24"/>
        <v>45121</v>
      </c>
      <c r="N51" s="10" t="s">
        <v>24</v>
      </c>
      <c r="O51" s="25">
        <v>0</v>
      </c>
      <c r="P51" s="25">
        <v>0</v>
      </c>
      <c r="Q51" s="25">
        <v>0</v>
      </c>
      <c r="R51" s="25">
        <v>0</v>
      </c>
      <c r="S51" s="25">
        <v>0</v>
      </c>
      <c r="T51" s="25">
        <v>0</v>
      </c>
      <c r="AG51" s="179"/>
      <c r="AH51" s="179"/>
    </row>
    <row r="52" spans="2:34">
      <c r="B52" s="6"/>
      <c r="C52" s="12">
        <f t="shared" ca="1" si="12"/>
        <v>1</v>
      </c>
      <c r="D52" s="22">
        <f t="shared" si="13"/>
        <v>45128</v>
      </c>
      <c r="E52" s="26">
        <f t="shared" si="14"/>
        <v>0</v>
      </c>
      <c r="F52" s="26">
        <f t="shared" si="15"/>
        <v>1</v>
      </c>
      <c r="G52" s="26">
        <f t="shared" si="16"/>
        <v>0</v>
      </c>
      <c r="H52" s="26">
        <f t="shared" si="17"/>
        <v>0</v>
      </c>
      <c r="I52" s="26">
        <f t="shared" si="18"/>
        <v>1</v>
      </c>
      <c r="J52" s="26">
        <f t="shared" si="19"/>
        <v>1</v>
      </c>
      <c r="M52" s="21">
        <f t="shared" si="24"/>
        <v>45128</v>
      </c>
      <c r="N52" s="10" t="s">
        <v>24</v>
      </c>
      <c r="O52" s="25">
        <v>12</v>
      </c>
      <c r="P52" s="25">
        <v>0</v>
      </c>
      <c r="Q52" s="25">
        <v>12</v>
      </c>
      <c r="R52" s="25">
        <v>12</v>
      </c>
      <c r="S52" s="25">
        <v>0</v>
      </c>
      <c r="T52" s="25">
        <v>0</v>
      </c>
      <c r="AG52" s="179"/>
      <c r="AH52" s="179"/>
    </row>
    <row r="53" spans="2:34">
      <c r="B53" s="6"/>
      <c r="C53" s="12">
        <f t="shared" ca="1" si="12"/>
        <v>1</v>
      </c>
      <c r="D53" s="22">
        <f t="shared" si="13"/>
        <v>45135</v>
      </c>
      <c r="E53" s="26">
        <f t="shared" si="14"/>
        <v>1</v>
      </c>
      <c r="F53" s="26">
        <f t="shared" si="15"/>
        <v>0</v>
      </c>
      <c r="G53" s="26">
        <f t="shared" si="16"/>
        <v>1</v>
      </c>
      <c r="H53" s="26">
        <f t="shared" si="17"/>
        <v>0</v>
      </c>
      <c r="I53" s="26">
        <f t="shared" si="18"/>
        <v>1</v>
      </c>
      <c r="J53" s="26">
        <f t="shared" si="19"/>
        <v>1</v>
      </c>
      <c r="M53" s="21">
        <f t="shared" si="24"/>
        <v>45135</v>
      </c>
      <c r="N53" s="10" t="s">
        <v>24</v>
      </c>
      <c r="O53" s="25">
        <v>0</v>
      </c>
      <c r="P53" s="25">
        <v>12</v>
      </c>
      <c r="Q53" s="25">
        <v>0</v>
      </c>
      <c r="R53" s="25">
        <v>12</v>
      </c>
      <c r="S53" s="25">
        <v>0</v>
      </c>
      <c r="T53" s="25">
        <v>0</v>
      </c>
      <c r="AG53" s="179"/>
      <c r="AH53" s="179"/>
    </row>
    <row r="54" spans="2:34">
      <c r="B54" s="6"/>
      <c r="C54" s="12">
        <f t="shared" ca="1" si="12"/>
        <v>1</v>
      </c>
      <c r="D54" s="22">
        <f t="shared" si="13"/>
        <v>45142</v>
      </c>
      <c r="E54" s="26">
        <f t="shared" si="14"/>
        <v>1</v>
      </c>
      <c r="F54" s="26">
        <f t="shared" si="15"/>
        <v>1</v>
      </c>
      <c r="G54" s="26">
        <f t="shared" si="16"/>
        <v>0</v>
      </c>
      <c r="H54" s="26">
        <f t="shared" si="17"/>
        <v>0</v>
      </c>
      <c r="I54" s="26">
        <f t="shared" si="18"/>
        <v>1</v>
      </c>
      <c r="J54" s="26">
        <f t="shared" si="19"/>
        <v>1</v>
      </c>
      <c r="M54" s="21">
        <f t="shared" si="24"/>
        <v>45142</v>
      </c>
      <c r="N54" s="10" t="s">
        <v>24</v>
      </c>
      <c r="O54" s="25">
        <v>0</v>
      </c>
      <c r="P54" s="25">
        <v>0</v>
      </c>
      <c r="Q54" s="25">
        <v>12</v>
      </c>
      <c r="R54" s="25">
        <v>12</v>
      </c>
      <c r="S54" s="25">
        <v>0</v>
      </c>
      <c r="T54" s="25">
        <v>0</v>
      </c>
      <c r="AG54" s="179"/>
      <c r="AH54" s="179"/>
    </row>
    <row r="55" spans="2:34">
      <c r="B55" s="6"/>
      <c r="C55" s="12">
        <f t="shared" ca="1" si="12"/>
        <v>1</v>
      </c>
      <c r="D55" s="22">
        <f t="shared" si="13"/>
        <v>45149</v>
      </c>
      <c r="E55" s="26">
        <f t="shared" si="14"/>
        <v>1</v>
      </c>
      <c r="F55" s="26">
        <f t="shared" si="15"/>
        <v>1</v>
      </c>
      <c r="G55" s="26">
        <f t="shared" si="16"/>
        <v>1</v>
      </c>
      <c r="H55" s="26">
        <f t="shared" si="17"/>
        <v>1</v>
      </c>
      <c r="I55" s="26">
        <f t="shared" si="18"/>
        <v>0</v>
      </c>
      <c r="J55" s="26">
        <f t="shared" si="19"/>
        <v>1</v>
      </c>
      <c r="M55" s="21">
        <f t="shared" si="24"/>
        <v>45149</v>
      </c>
      <c r="N55" s="10" t="s">
        <v>24</v>
      </c>
      <c r="O55" s="25">
        <v>0</v>
      </c>
      <c r="P55" s="25">
        <v>0</v>
      </c>
      <c r="Q55" s="25">
        <v>0</v>
      </c>
      <c r="R55" s="25">
        <v>0</v>
      </c>
      <c r="S55" s="25">
        <v>12</v>
      </c>
      <c r="T55" s="25">
        <v>0</v>
      </c>
      <c r="AG55" s="179"/>
      <c r="AH55" s="179"/>
    </row>
    <row r="56" spans="2:34">
      <c r="B56" s="6"/>
      <c r="C56" s="12">
        <f t="shared" ca="1" si="12"/>
        <v>1</v>
      </c>
      <c r="D56" s="22">
        <f t="shared" si="13"/>
        <v>45156</v>
      </c>
      <c r="E56" s="26">
        <f t="shared" si="14"/>
        <v>1</v>
      </c>
      <c r="F56" s="26">
        <f t="shared" si="15"/>
        <v>1</v>
      </c>
      <c r="G56" s="26">
        <f t="shared" si="16"/>
        <v>1</v>
      </c>
      <c r="H56" s="26">
        <f t="shared" si="17"/>
        <v>0</v>
      </c>
      <c r="I56" s="26">
        <f t="shared" si="18"/>
        <v>1</v>
      </c>
      <c r="J56" s="26">
        <f t="shared" si="19"/>
        <v>1</v>
      </c>
      <c r="M56" s="21">
        <v>45156</v>
      </c>
      <c r="N56" s="10" t="s">
        <v>24</v>
      </c>
      <c r="O56" s="25">
        <v>0</v>
      </c>
      <c r="P56" s="25">
        <v>0</v>
      </c>
      <c r="Q56" s="25">
        <v>0</v>
      </c>
      <c r="R56" s="25">
        <v>12</v>
      </c>
      <c r="S56" s="25">
        <v>0</v>
      </c>
      <c r="T56" s="25">
        <v>0</v>
      </c>
      <c r="AG56" s="179"/>
      <c r="AH56" s="179"/>
    </row>
    <row r="57" spans="2:34">
      <c r="B57" s="6"/>
      <c r="C57" s="12"/>
      <c r="D57" s="10"/>
      <c r="E57" s="12"/>
      <c r="F57" s="12"/>
      <c r="G57" s="12"/>
      <c r="H57" s="12"/>
      <c r="I57" s="12"/>
      <c r="J57" s="12"/>
      <c r="M57" s="21">
        <f>M56+7</f>
        <v>45163</v>
      </c>
      <c r="N57" s="10" t="s">
        <v>53</v>
      </c>
      <c r="O57" s="25"/>
      <c r="P57" s="25"/>
      <c r="Q57" s="25"/>
      <c r="R57" s="25">
        <v>6</v>
      </c>
      <c r="S57" s="25"/>
      <c r="T57" s="25"/>
      <c r="AG57" s="179"/>
      <c r="AH57" s="179"/>
    </row>
    <row r="58" spans="2:34">
      <c r="B58" s="6"/>
      <c r="C58" s="12">
        <f t="shared" ca="1" si="12"/>
        <v>1</v>
      </c>
      <c r="D58" s="22">
        <f t="shared" si="13"/>
        <v>45163</v>
      </c>
      <c r="E58" s="26">
        <f t="shared" si="14"/>
        <v>0</v>
      </c>
      <c r="F58" s="26">
        <f t="shared" si="15"/>
        <v>1</v>
      </c>
      <c r="G58" s="26">
        <f t="shared" si="16"/>
        <v>0</v>
      </c>
      <c r="H58" s="26">
        <f t="shared" si="17"/>
        <v>0</v>
      </c>
      <c r="I58" s="26">
        <f t="shared" si="18"/>
        <v>1</v>
      </c>
      <c r="J58" s="26">
        <f t="shared" si="19"/>
        <v>1</v>
      </c>
      <c r="M58" s="21">
        <f>M57</f>
        <v>45163</v>
      </c>
      <c r="N58" s="10" t="s">
        <v>24</v>
      </c>
      <c r="O58" s="25">
        <v>12</v>
      </c>
      <c r="P58" s="25">
        <v>0</v>
      </c>
      <c r="Q58" s="25">
        <v>12</v>
      </c>
      <c r="R58" s="25">
        <v>12</v>
      </c>
      <c r="S58" s="25">
        <v>0</v>
      </c>
      <c r="T58" s="25">
        <v>0</v>
      </c>
      <c r="AG58" s="179"/>
      <c r="AH58" s="179"/>
    </row>
    <row r="59" spans="2:34">
      <c r="B59" s="6"/>
      <c r="C59" s="12">
        <f t="shared" ca="1" si="12"/>
        <v>1</v>
      </c>
      <c r="D59" s="22">
        <f t="shared" si="13"/>
        <v>45170</v>
      </c>
      <c r="E59" s="26">
        <f t="shared" si="14"/>
        <v>1</v>
      </c>
      <c r="F59" s="26">
        <f t="shared" si="15"/>
        <v>1</v>
      </c>
      <c r="G59" s="26">
        <f t="shared" si="16"/>
        <v>1</v>
      </c>
      <c r="H59" s="26">
        <f t="shared" si="17"/>
        <v>0</v>
      </c>
      <c r="I59" s="26">
        <f t="shared" si="18"/>
        <v>1</v>
      </c>
      <c r="J59" s="26">
        <f t="shared" si="19"/>
        <v>0</v>
      </c>
      <c r="M59" s="21">
        <f>M58+7</f>
        <v>45170</v>
      </c>
      <c r="N59" s="10" t="s">
        <v>24</v>
      </c>
      <c r="O59" s="25">
        <v>0</v>
      </c>
      <c r="P59" s="25">
        <v>0</v>
      </c>
      <c r="Q59" s="25">
        <v>0</v>
      </c>
      <c r="R59" s="25">
        <v>12</v>
      </c>
      <c r="S59" s="25">
        <v>0</v>
      </c>
      <c r="T59" s="25">
        <v>12</v>
      </c>
      <c r="AG59" s="179"/>
      <c r="AH59" s="179"/>
    </row>
    <row r="60" spans="2:34">
      <c r="B60" s="6"/>
      <c r="C60" s="12">
        <f t="shared" ca="1" si="12"/>
        <v>1</v>
      </c>
      <c r="D60" s="22">
        <f t="shared" si="13"/>
        <v>45177</v>
      </c>
      <c r="E60" s="26">
        <f t="shared" si="14"/>
        <v>0</v>
      </c>
      <c r="F60" s="26">
        <f t="shared" si="15"/>
        <v>1</v>
      </c>
      <c r="G60" s="26">
        <f t="shared" si="16"/>
        <v>0</v>
      </c>
      <c r="H60" s="26">
        <f t="shared" si="17"/>
        <v>1</v>
      </c>
      <c r="I60" s="26">
        <f t="shared" si="18"/>
        <v>1</v>
      </c>
      <c r="J60" s="26">
        <f t="shared" si="19"/>
        <v>1</v>
      </c>
      <c r="M60" s="21">
        <f>M59+7</f>
        <v>45177</v>
      </c>
      <c r="N60" s="10" t="s">
        <v>24</v>
      </c>
      <c r="O60" s="25">
        <v>12</v>
      </c>
      <c r="P60" s="25">
        <v>0</v>
      </c>
      <c r="Q60" s="25">
        <v>12</v>
      </c>
      <c r="R60" s="25">
        <v>0</v>
      </c>
      <c r="S60" s="25">
        <v>0</v>
      </c>
      <c r="T60" s="25">
        <v>0</v>
      </c>
      <c r="AG60" s="179"/>
      <c r="AH60" s="179"/>
    </row>
    <row r="61" spans="2:34">
      <c r="B61" s="6"/>
      <c r="C61" s="12">
        <f t="shared" ca="1" si="12"/>
        <v>1</v>
      </c>
      <c r="D61" s="22">
        <f t="shared" si="13"/>
        <v>45184</v>
      </c>
      <c r="E61" s="26">
        <f t="shared" si="14"/>
        <v>1</v>
      </c>
      <c r="F61" s="26">
        <f t="shared" si="15"/>
        <v>0</v>
      </c>
      <c r="G61" s="26">
        <f t="shared" si="16"/>
        <v>0</v>
      </c>
      <c r="H61" s="26">
        <f t="shared" si="17"/>
        <v>0</v>
      </c>
      <c r="I61" s="26">
        <f t="shared" si="18"/>
        <v>1</v>
      </c>
      <c r="J61" s="26">
        <f t="shared" si="19"/>
        <v>1</v>
      </c>
      <c r="M61" s="21">
        <f>M60+7</f>
        <v>45184</v>
      </c>
      <c r="N61" s="10" t="s">
        <v>24</v>
      </c>
      <c r="O61" s="25">
        <v>0</v>
      </c>
      <c r="P61" s="25">
        <v>12</v>
      </c>
      <c r="Q61" s="25">
        <v>12</v>
      </c>
      <c r="R61" s="25">
        <v>12</v>
      </c>
      <c r="S61" s="25">
        <v>0</v>
      </c>
      <c r="T61" s="25">
        <v>0</v>
      </c>
      <c r="AG61" s="179"/>
      <c r="AH61" s="179"/>
    </row>
    <row r="62" spans="2:34">
      <c r="C62" s="12">
        <f t="shared" ca="1" si="12"/>
        <v>1</v>
      </c>
      <c r="D62" s="22">
        <f t="shared" si="13"/>
        <v>45191</v>
      </c>
      <c r="E62" s="26">
        <f t="shared" si="14"/>
        <v>0</v>
      </c>
      <c r="F62" s="26">
        <f t="shared" si="15"/>
        <v>0</v>
      </c>
      <c r="G62" s="26">
        <f t="shared" si="16"/>
        <v>1</v>
      </c>
      <c r="H62" s="26">
        <f t="shared" si="17"/>
        <v>1</v>
      </c>
      <c r="I62" s="26">
        <f t="shared" si="18"/>
        <v>1</v>
      </c>
      <c r="J62" s="26">
        <f t="shared" si="19"/>
        <v>1</v>
      </c>
      <c r="M62" s="21">
        <f t="shared" ref="M62:M63" si="25">M61+7</f>
        <v>45191</v>
      </c>
      <c r="N62" s="10" t="s">
        <v>24</v>
      </c>
      <c r="O62" s="25">
        <v>12</v>
      </c>
      <c r="P62" s="25">
        <v>12</v>
      </c>
      <c r="Q62" s="25">
        <v>0</v>
      </c>
      <c r="R62" s="25">
        <v>0</v>
      </c>
      <c r="S62" s="25">
        <v>0</v>
      </c>
      <c r="T62" s="25">
        <v>0</v>
      </c>
      <c r="AG62" s="179"/>
      <c r="AH62" s="179"/>
    </row>
    <row r="63" spans="2:34">
      <c r="C63" s="12"/>
      <c r="D63" s="22"/>
      <c r="E63" s="26"/>
      <c r="F63" s="26"/>
      <c r="G63" s="26"/>
      <c r="H63" s="26"/>
      <c r="I63" s="26"/>
      <c r="J63" s="26"/>
      <c r="M63" s="21">
        <f t="shared" si="25"/>
        <v>45198</v>
      </c>
      <c r="N63" s="10" t="s">
        <v>43</v>
      </c>
      <c r="O63" s="25">
        <v>0</v>
      </c>
      <c r="P63" s="25">
        <v>0</v>
      </c>
      <c r="Q63" s="25">
        <v>0</v>
      </c>
      <c r="R63" s="25">
        <v>0</v>
      </c>
      <c r="S63" s="25">
        <v>0</v>
      </c>
      <c r="T63" s="25">
        <v>6</v>
      </c>
      <c r="AG63" s="179"/>
      <c r="AH63" s="179"/>
    </row>
    <row r="64" spans="2:34">
      <c r="C64" s="12">
        <f t="shared" ca="1" si="12"/>
        <v>1</v>
      </c>
      <c r="D64" s="22">
        <f t="shared" si="13"/>
        <v>45198</v>
      </c>
      <c r="E64" s="26">
        <f t="shared" si="14"/>
        <v>0</v>
      </c>
      <c r="F64" s="26">
        <f t="shared" si="15"/>
        <v>0</v>
      </c>
      <c r="G64" s="26">
        <f t="shared" si="16"/>
        <v>0</v>
      </c>
      <c r="H64" s="26">
        <f t="shared" si="17"/>
        <v>0</v>
      </c>
      <c r="I64" s="26">
        <f t="shared" si="18"/>
        <v>0</v>
      </c>
      <c r="J64" s="26">
        <f t="shared" si="19"/>
        <v>1</v>
      </c>
      <c r="M64" s="21">
        <f>M63</f>
        <v>45198</v>
      </c>
      <c r="N64" s="10" t="s">
        <v>24</v>
      </c>
      <c r="O64" s="25">
        <v>12</v>
      </c>
      <c r="P64" s="25">
        <v>12</v>
      </c>
      <c r="Q64" s="25">
        <v>12</v>
      </c>
      <c r="R64" s="25">
        <v>12</v>
      </c>
      <c r="S64" s="25">
        <v>12</v>
      </c>
      <c r="T64" s="25">
        <v>0</v>
      </c>
      <c r="AG64" s="179"/>
      <c r="AH64" s="179"/>
    </row>
    <row r="65" spans="3:34">
      <c r="C65" s="12"/>
      <c r="D65" s="22"/>
      <c r="E65" s="26"/>
      <c r="F65" s="26"/>
      <c r="G65" s="26"/>
      <c r="H65" s="26"/>
      <c r="I65" s="26"/>
      <c r="J65" s="26"/>
      <c r="M65" s="21">
        <f>M64+7</f>
        <v>45205</v>
      </c>
      <c r="N65" s="10" t="s">
        <v>53</v>
      </c>
      <c r="O65" s="25"/>
      <c r="P65" s="25"/>
      <c r="Q65" s="25"/>
      <c r="R65" s="25"/>
      <c r="S65" s="25"/>
      <c r="T65" s="25">
        <v>6</v>
      </c>
      <c r="AG65" s="179"/>
      <c r="AH65" s="179"/>
    </row>
    <row r="66" spans="3:34">
      <c r="C66" s="12">
        <f t="shared" ca="1" si="12"/>
        <v>1</v>
      </c>
      <c r="D66" s="22">
        <f t="shared" si="13"/>
        <v>45205</v>
      </c>
      <c r="E66" s="26">
        <f t="shared" si="14"/>
        <v>0</v>
      </c>
      <c r="F66" s="26">
        <f t="shared" si="15"/>
        <v>1</v>
      </c>
      <c r="G66" s="26">
        <f t="shared" si="16"/>
        <v>0</v>
      </c>
      <c r="H66" s="26">
        <f t="shared" si="17"/>
        <v>1</v>
      </c>
      <c r="I66" s="26">
        <f t="shared" si="18"/>
        <v>1</v>
      </c>
      <c r="J66" s="26">
        <f t="shared" si="19"/>
        <v>0</v>
      </c>
      <c r="M66" s="21">
        <f>M65</f>
        <v>45205</v>
      </c>
      <c r="N66" s="10" t="s">
        <v>24</v>
      </c>
      <c r="O66" s="25">
        <v>12</v>
      </c>
      <c r="P66" s="25">
        <v>0</v>
      </c>
      <c r="Q66" s="25">
        <v>12</v>
      </c>
      <c r="R66" s="25">
        <v>0</v>
      </c>
      <c r="S66" s="25">
        <v>0</v>
      </c>
      <c r="T66" s="25">
        <v>12</v>
      </c>
      <c r="AG66" s="179"/>
      <c r="AH66" s="179"/>
    </row>
    <row r="67" spans="3:34">
      <c r="C67" s="12">
        <f t="shared" ca="1" si="12"/>
        <v>1</v>
      </c>
      <c r="D67" s="22">
        <f t="shared" si="13"/>
        <v>45212</v>
      </c>
      <c r="E67" s="26">
        <f t="shared" si="14"/>
        <v>1</v>
      </c>
      <c r="F67" s="26">
        <f t="shared" si="15"/>
        <v>0</v>
      </c>
      <c r="G67" s="26">
        <f t="shared" si="16"/>
        <v>1</v>
      </c>
      <c r="H67" s="26">
        <f t="shared" si="17"/>
        <v>0</v>
      </c>
      <c r="I67" s="26">
        <f t="shared" si="18"/>
        <v>0</v>
      </c>
      <c r="J67" s="26">
        <f t="shared" si="19"/>
        <v>1</v>
      </c>
      <c r="M67" s="21">
        <f t="shared" ref="M67:M72" si="26">M66+7</f>
        <v>45212</v>
      </c>
      <c r="N67" s="10" t="s">
        <v>24</v>
      </c>
      <c r="O67" s="25">
        <v>0</v>
      </c>
      <c r="P67" s="25">
        <v>12</v>
      </c>
      <c r="Q67" s="25">
        <v>0</v>
      </c>
      <c r="R67" s="25">
        <v>12</v>
      </c>
      <c r="S67" s="25">
        <v>12</v>
      </c>
      <c r="T67" s="25">
        <v>0</v>
      </c>
      <c r="AG67" s="179"/>
      <c r="AH67" s="179"/>
    </row>
    <row r="68" spans="3:34">
      <c r="C68" s="12">
        <f t="shared" ca="1" si="12"/>
        <v>1</v>
      </c>
      <c r="D68" s="22">
        <f t="shared" si="13"/>
        <v>45219</v>
      </c>
      <c r="E68" s="26">
        <f t="shared" si="14"/>
        <v>0</v>
      </c>
      <c r="F68" s="26">
        <f t="shared" si="15"/>
        <v>0</v>
      </c>
      <c r="G68" s="26">
        <f t="shared" si="16"/>
        <v>0</v>
      </c>
      <c r="H68" s="26">
        <f t="shared" si="17"/>
        <v>0</v>
      </c>
      <c r="I68" s="26">
        <f t="shared" si="18"/>
        <v>0</v>
      </c>
      <c r="J68" s="26">
        <f t="shared" si="19"/>
        <v>0</v>
      </c>
      <c r="M68" s="21">
        <f t="shared" si="26"/>
        <v>45219</v>
      </c>
      <c r="N68" s="10" t="s">
        <v>24</v>
      </c>
      <c r="O68" s="25">
        <v>12</v>
      </c>
      <c r="P68" s="25">
        <v>12</v>
      </c>
      <c r="Q68" s="25">
        <v>12</v>
      </c>
      <c r="R68" s="25">
        <v>12</v>
      </c>
      <c r="S68" s="25">
        <v>12</v>
      </c>
      <c r="T68" s="25">
        <v>12</v>
      </c>
      <c r="AG68" s="179"/>
      <c r="AH68" s="179"/>
    </row>
    <row r="69" spans="3:34">
      <c r="C69" s="12">
        <f t="shared" ca="1" si="12"/>
        <v>1</v>
      </c>
      <c r="D69" s="22">
        <f t="shared" si="13"/>
        <v>45226</v>
      </c>
      <c r="E69" s="26">
        <f t="shared" si="14"/>
        <v>1</v>
      </c>
      <c r="F69" s="26">
        <f t="shared" si="15"/>
        <v>0</v>
      </c>
      <c r="G69" s="26">
        <f t="shared" si="16"/>
        <v>1</v>
      </c>
      <c r="H69" s="26">
        <f t="shared" si="17"/>
        <v>0</v>
      </c>
      <c r="I69" s="26">
        <f t="shared" si="18"/>
        <v>0</v>
      </c>
      <c r="J69" s="26">
        <f t="shared" si="19"/>
        <v>1</v>
      </c>
      <c r="M69" s="21">
        <f t="shared" si="26"/>
        <v>45226</v>
      </c>
      <c r="N69" s="10" t="s">
        <v>24</v>
      </c>
      <c r="O69" s="25">
        <v>0</v>
      </c>
      <c r="P69" s="25">
        <v>12</v>
      </c>
      <c r="Q69" s="25">
        <v>0</v>
      </c>
      <c r="R69" s="25">
        <v>12</v>
      </c>
      <c r="S69" s="25">
        <v>12</v>
      </c>
      <c r="T69" s="25">
        <v>0</v>
      </c>
      <c r="AG69" s="179"/>
      <c r="AH69" s="179"/>
    </row>
    <row r="70" spans="3:34">
      <c r="C70" s="12">
        <f t="shared" ca="1" si="12"/>
        <v>1</v>
      </c>
      <c r="D70" s="22">
        <f t="shared" si="13"/>
        <v>45233</v>
      </c>
      <c r="E70" s="26">
        <f t="shared" si="14"/>
        <v>0</v>
      </c>
      <c r="F70" s="26">
        <f t="shared" si="15"/>
        <v>1</v>
      </c>
      <c r="G70" s="26">
        <f t="shared" si="16"/>
        <v>1</v>
      </c>
      <c r="H70" s="26">
        <f t="shared" si="17"/>
        <v>1</v>
      </c>
      <c r="I70" s="26">
        <f t="shared" si="18"/>
        <v>1</v>
      </c>
      <c r="J70" s="26">
        <f t="shared" si="19"/>
        <v>1</v>
      </c>
      <c r="M70" s="21">
        <f t="shared" si="26"/>
        <v>45233</v>
      </c>
      <c r="N70" s="10" t="s">
        <v>24</v>
      </c>
      <c r="O70" s="25">
        <v>12</v>
      </c>
      <c r="P70" s="25">
        <v>0</v>
      </c>
      <c r="Q70" s="25">
        <v>0</v>
      </c>
      <c r="R70" s="25">
        <v>0</v>
      </c>
      <c r="S70" s="25">
        <v>0</v>
      </c>
      <c r="T70" s="25">
        <v>0</v>
      </c>
      <c r="AG70" s="179"/>
      <c r="AH70" s="179"/>
    </row>
    <row r="71" spans="3:34">
      <c r="C71" s="12"/>
      <c r="D71" s="22"/>
      <c r="E71" s="26"/>
      <c r="F71" s="26"/>
      <c r="G71" s="26"/>
      <c r="H71" s="26"/>
      <c r="I71" s="26"/>
      <c r="J71" s="26"/>
      <c r="M71" s="21">
        <v>45233</v>
      </c>
      <c r="N71" s="10" t="s">
        <v>46</v>
      </c>
      <c r="O71" s="25"/>
      <c r="P71" s="25"/>
      <c r="Q71" s="25"/>
      <c r="R71" s="25"/>
      <c r="S71" s="25">
        <v>3</v>
      </c>
      <c r="T71" s="25"/>
      <c r="AG71" s="179"/>
      <c r="AH71" s="179"/>
    </row>
    <row r="72" spans="3:34">
      <c r="C72" s="12">
        <f t="shared" ca="1" si="12"/>
        <v>1</v>
      </c>
      <c r="D72" s="22">
        <f t="shared" si="13"/>
        <v>45240</v>
      </c>
      <c r="E72" s="26">
        <f t="shared" si="14"/>
        <v>1</v>
      </c>
      <c r="F72" s="26">
        <f t="shared" si="15"/>
        <v>1</v>
      </c>
      <c r="G72" s="26">
        <f t="shared" si="16"/>
        <v>0</v>
      </c>
      <c r="H72" s="26">
        <f t="shared" si="17"/>
        <v>0</v>
      </c>
      <c r="I72" s="26">
        <f t="shared" si="18"/>
        <v>1</v>
      </c>
      <c r="J72" s="26">
        <f t="shared" si="19"/>
        <v>1</v>
      </c>
      <c r="M72" s="21">
        <f t="shared" si="26"/>
        <v>45240</v>
      </c>
      <c r="N72" s="10" t="s">
        <v>24</v>
      </c>
      <c r="O72" s="25">
        <v>0</v>
      </c>
      <c r="P72" s="25">
        <v>0</v>
      </c>
      <c r="Q72" s="25">
        <v>12</v>
      </c>
      <c r="R72" s="25">
        <v>12</v>
      </c>
      <c r="S72" s="25">
        <v>0</v>
      </c>
      <c r="T72" s="25">
        <v>0</v>
      </c>
      <c r="AG72" s="179"/>
      <c r="AH72" s="179"/>
    </row>
    <row r="73" spans="3:34">
      <c r="C73" s="12"/>
      <c r="D73" s="22"/>
      <c r="E73" s="26"/>
      <c r="F73" s="26"/>
      <c r="G73" s="26"/>
      <c r="H73" s="26"/>
      <c r="I73" s="26"/>
      <c r="J73" s="26"/>
      <c r="M73" s="21">
        <f>M72+7</f>
        <v>45247</v>
      </c>
      <c r="N73" s="10" t="s">
        <v>53</v>
      </c>
      <c r="O73" s="25"/>
      <c r="P73" s="25"/>
      <c r="Q73" s="25"/>
      <c r="R73" s="25"/>
      <c r="S73" s="25">
        <v>6</v>
      </c>
      <c r="T73" s="25"/>
      <c r="AG73" s="179"/>
      <c r="AH73" s="179"/>
    </row>
    <row r="74" spans="3:34">
      <c r="C74" s="12">
        <f t="shared" ca="1" si="12"/>
        <v>1</v>
      </c>
      <c r="D74" s="22">
        <f t="shared" si="13"/>
        <v>45247</v>
      </c>
      <c r="E74" s="26">
        <f t="shared" si="14"/>
        <v>1</v>
      </c>
      <c r="F74" s="26">
        <f t="shared" si="15"/>
        <v>0</v>
      </c>
      <c r="G74" s="26">
        <f t="shared" si="16"/>
        <v>1</v>
      </c>
      <c r="H74" s="26">
        <f t="shared" si="17"/>
        <v>1</v>
      </c>
      <c r="I74" s="26">
        <f t="shared" si="18"/>
        <v>0</v>
      </c>
      <c r="J74" s="26">
        <f t="shared" si="19"/>
        <v>1</v>
      </c>
      <c r="M74" s="21">
        <f>M72+7</f>
        <v>45247</v>
      </c>
      <c r="N74" s="10" t="s">
        <v>24</v>
      </c>
      <c r="O74" s="25">
        <v>0</v>
      </c>
      <c r="P74" s="25">
        <v>12</v>
      </c>
      <c r="Q74" s="25">
        <v>0</v>
      </c>
      <c r="R74" s="25">
        <v>0</v>
      </c>
      <c r="S74" s="25">
        <v>12</v>
      </c>
      <c r="T74" s="25">
        <v>0</v>
      </c>
      <c r="AG74" s="179"/>
      <c r="AH74" s="179"/>
    </row>
    <row r="75" spans="3:34">
      <c r="C75" s="12">
        <f t="shared" ref="C75:C80" ca="1" si="27">IF(D75&lt;=TODAY(),1,"")</f>
        <v>1</v>
      </c>
      <c r="D75" s="22">
        <f t="shared" ref="D75:D80" si="28">IF(M75="","",M75)</f>
        <v>45254</v>
      </c>
      <c r="E75" s="26">
        <f t="shared" ref="E75:E80" si="29">IF(O75="","",IF(O75=0,1,0))</f>
        <v>0</v>
      </c>
      <c r="F75" s="26">
        <f t="shared" ref="F75:F80" si="30">IF(P75="","",IF(P75=0,1,0))</f>
        <v>0</v>
      </c>
      <c r="G75" s="26">
        <f t="shared" ref="G75:G80" si="31">IF(Q75="","",IF(Q75=0,1,0))</f>
        <v>0</v>
      </c>
      <c r="H75" s="26">
        <f t="shared" ref="H75:H80" si="32">IF(R75="","",IF(R75=0,1,0))</f>
        <v>0</v>
      </c>
      <c r="I75" s="26">
        <f t="shared" ref="I75:I80" si="33">IF(S75="","",IF(S75=0,1,0))</f>
        <v>0</v>
      </c>
      <c r="J75" s="26">
        <f t="shared" ref="J75:J80" si="34">IF(T75="","",IF(T75=0,1,0))</f>
        <v>0</v>
      </c>
      <c r="M75" s="21">
        <f>M74+7</f>
        <v>45254</v>
      </c>
      <c r="N75" s="10" t="s">
        <v>24</v>
      </c>
      <c r="O75" s="25">
        <v>12</v>
      </c>
      <c r="P75" s="25">
        <v>12</v>
      </c>
      <c r="Q75" s="25">
        <v>12</v>
      </c>
      <c r="R75" s="25">
        <v>12</v>
      </c>
      <c r="S75" s="25">
        <v>12</v>
      </c>
      <c r="T75" s="25">
        <v>12</v>
      </c>
      <c r="AG75" s="179"/>
      <c r="AH75" s="179"/>
    </row>
    <row r="76" spans="3:34">
      <c r="C76" s="12">
        <f t="shared" ca="1" si="27"/>
        <v>1</v>
      </c>
      <c r="D76" s="22">
        <f t="shared" si="28"/>
        <v>45261</v>
      </c>
      <c r="E76" s="26">
        <f t="shared" si="29"/>
        <v>0</v>
      </c>
      <c r="F76" s="26">
        <f t="shared" si="30"/>
        <v>1</v>
      </c>
      <c r="G76" s="26">
        <f t="shared" si="31"/>
        <v>1</v>
      </c>
      <c r="H76" s="26">
        <f t="shared" si="32"/>
        <v>0</v>
      </c>
      <c r="I76" s="26">
        <f t="shared" si="33"/>
        <v>1</v>
      </c>
      <c r="J76" s="26">
        <f t="shared" si="34"/>
        <v>0</v>
      </c>
      <c r="M76" s="21">
        <f>M75+7</f>
        <v>45261</v>
      </c>
      <c r="N76" s="10" t="s">
        <v>24</v>
      </c>
      <c r="O76" s="25">
        <v>12</v>
      </c>
      <c r="P76" s="25">
        <v>0</v>
      </c>
      <c r="Q76" s="25">
        <v>0</v>
      </c>
      <c r="R76" s="25">
        <v>12</v>
      </c>
      <c r="S76" s="25">
        <v>0</v>
      </c>
      <c r="T76" s="25">
        <v>12</v>
      </c>
      <c r="AG76" s="179"/>
      <c r="AH76" s="179"/>
    </row>
    <row r="77" spans="3:34">
      <c r="C77" s="12"/>
      <c r="D77" s="22"/>
      <c r="E77" s="26"/>
      <c r="F77" s="26"/>
      <c r="G77" s="26"/>
      <c r="H77" s="26"/>
      <c r="I77" s="26"/>
      <c r="J77" s="26"/>
      <c r="M77" s="21">
        <f>M78</f>
        <v>45268</v>
      </c>
      <c r="N77" s="10" t="s">
        <v>53</v>
      </c>
      <c r="O77" s="25">
        <v>6</v>
      </c>
      <c r="P77" s="25"/>
      <c r="Q77" s="25"/>
      <c r="R77" s="25"/>
      <c r="S77" s="25"/>
      <c r="T77" s="25"/>
      <c r="AG77" s="179"/>
      <c r="AH77" s="179"/>
    </row>
    <row r="78" spans="3:34">
      <c r="C78" s="12">
        <f t="shared" ca="1" si="27"/>
        <v>1</v>
      </c>
      <c r="D78" s="22">
        <f t="shared" si="28"/>
        <v>45268</v>
      </c>
      <c r="E78" s="26">
        <f t="shared" si="29"/>
        <v>0</v>
      </c>
      <c r="F78" s="26">
        <f t="shared" si="30"/>
        <v>0</v>
      </c>
      <c r="G78" s="26">
        <f t="shared" si="31"/>
        <v>0</v>
      </c>
      <c r="H78" s="26">
        <f t="shared" si="32"/>
        <v>1</v>
      </c>
      <c r="I78" s="26">
        <f t="shared" si="33"/>
        <v>1</v>
      </c>
      <c r="J78" s="26">
        <f t="shared" si="34"/>
        <v>1</v>
      </c>
      <c r="M78" s="21">
        <f>M76+7</f>
        <v>45268</v>
      </c>
      <c r="N78" s="10" t="s">
        <v>24</v>
      </c>
      <c r="O78" s="25">
        <v>12</v>
      </c>
      <c r="P78" s="25">
        <v>12</v>
      </c>
      <c r="Q78" s="25">
        <v>12</v>
      </c>
      <c r="R78" s="25">
        <v>0</v>
      </c>
      <c r="S78" s="25">
        <v>0</v>
      </c>
      <c r="T78" s="25">
        <v>0</v>
      </c>
      <c r="AG78" s="179"/>
      <c r="AH78" s="179"/>
    </row>
    <row r="79" spans="3:34">
      <c r="C79" s="12">
        <f t="shared" ca="1" si="27"/>
        <v>1</v>
      </c>
      <c r="D79" s="22">
        <f t="shared" si="28"/>
        <v>45275</v>
      </c>
      <c r="E79" s="26">
        <f t="shared" si="29"/>
        <v>1</v>
      </c>
      <c r="F79" s="26">
        <f t="shared" si="30"/>
        <v>0</v>
      </c>
      <c r="G79" s="26">
        <f t="shared" si="31"/>
        <v>1</v>
      </c>
      <c r="H79" s="26">
        <f t="shared" si="32"/>
        <v>0</v>
      </c>
      <c r="I79" s="26">
        <f t="shared" si="33"/>
        <v>1</v>
      </c>
      <c r="J79" s="26">
        <f t="shared" si="34"/>
        <v>1</v>
      </c>
      <c r="M79" s="21">
        <f t="shared" ref="M79:M85" si="35">M78+7</f>
        <v>45275</v>
      </c>
      <c r="N79" s="10" t="s">
        <v>24</v>
      </c>
      <c r="O79" s="25">
        <v>0</v>
      </c>
      <c r="P79" s="25">
        <v>12</v>
      </c>
      <c r="Q79" s="25">
        <v>0</v>
      </c>
      <c r="R79" s="25">
        <v>12</v>
      </c>
      <c r="S79" s="25">
        <v>0</v>
      </c>
      <c r="T79" s="25">
        <v>0</v>
      </c>
      <c r="AG79" s="179"/>
      <c r="AH79" s="179"/>
    </row>
    <row r="80" spans="3:34">
      <c r="C80" s="12">
        <f t="shared" ca="1" si="27"/>
        <v>1</v>
      </c>
      <c r="D80" s="22">
        <f t="shared" si="28"/>
        <v>45282</v>
      </c>
      <c r="E80" s="26">
        <f t="shared" si="29"/>
        <v>1</v>
      </c>
      <c r="F80" s="26">
        <f t="shared" si="30"/>
        <v>1</v>
      </c>
      <c r="G80" s="26">
        <f t="shared" si="31"/>
        <v>1</v>
      </c>
      <c r="H80" s="26">
        <f t="shared" si="32"/>
        <v>0</v>
      </c>
      <c r="I80" s="26">
        <f t="shared" si="33"/>
        <v>0</v>
      </c>
      <c r="J80" s="26">
        <f t="shared" si="34"/>
        <v>0</v>
      </c>
      <c r="M80" s="21">
        <f t="shared" si="35"/>
        <v>45282</v>
      </c>
      <c r="N80" s="10" t="s">
        <v>24</v>
      </c>
      <c r="O80" s="25">
        <v>0</v>
      </c>
      <c r="P80" s="25">
        <v>0</v>
      </c>
      <c r="Q80" s="25">
        <v>0</v>
      </c>
      <c r="R80" s="25">
        <v>12</v>
      </c>
      <c r="S80" s="25">
        <v>12</v>
      </c>
      <c r="T80" s="25">
        <v>12</v>
      </c>
      <c r="AG80" s="179"/>
      <c r="AH80" s="179"/>
    </row>
    <row r="81" spans="3:34">
      <c r="C81" s="12"/>
      <c r="D81" s="22"/>
      <c r="E81" s="26"/>
      <c r="F81" s="26"/>
      <c r="G81" s="26"/>
      <c r="H81" s="26"/>
      <c r="I81" s="26"/>
      <c r="J81" s="26"/>
      <c r="M81" s="21">
        <v>45289</v>
      </c>
      <c r="N81" s="10" t="s">
        <v>43</v>
      </c>
      <c r="O81" s="25"/>
      <c r="P81" s="25"/>
      <c r="Q81" s="25"/>
      <c r="R81" s="25"/>
      <c r="S81" s="25">
        <v>6</v>
      </c>
      <c r="T81" s="25"/>
      <c r="AG81" s="179"/>
      <c r="AH81" s="179"/>
    </row>
    <row r="82" spans="3:34">
      <c r="C82" s="12">
        <f t="shared" ref="C82:C94" ca="1" si="36">IF(D82&lt;=TODAY(),1,"")</f>
        <v>1</v>
      </c>
      <c r="D82" s="22">
        <f t="shared" ref="D82:D94" si="37">IF(M82="","",M82)</f>
        <v>45289</v>
      </c>
      <c r="E82" s="26">
        <f t="shared" ref="E82:E94" si="38">IF(O82="","",IF(O82=0,1,0))</f>
        <v>0</v>
      </c>
      <c r="F82" s="26">
        <f t="shared" ref="F82:F94" si="39">IF(P82="","",IF(P82=0,1,0))</f>
        <v>0</v>
      </c>
      <c r="G82" s="26">
        <f t="shared" ref="G82:G94" si="40">IF(Q82="","",IF(Q82=0,1,0))</f>
        <v>0</v>
      </c>
      <c r="H82" s="26">
        <f t="shared" ref="H82:H94" si="41">IF(R82="","",IF(R82=0,1,0))</f>
        <v>0</v>
      </c>
      <c r="I82" s="26">
        <f t="shared" ref="I82:I94" si="42">IF(S82="","",IF(S82=0,1,0))</f>
        <v>1</v>
      </c>
      <c r="J82" s="26">
        <f t="shared" ref="J82:J94" si="43">IF(T82="","",IF(T82=0,1,0))</f>
        <v>0</v>
      </c>
      <c r="M82" s="21">
        <f>M80+7</f>
        <v>45289</v>
      </c>
      <c r="N82" s="10" t="s">
        <v>24</v>
      </c>
      <c r="O82" s="25">
        <v>12</v>
      </c>
      <c r="P82" s="25">
        <v>12</v>
      </c>
      <c r="Q82" s="25">
        <v>12</v>
      </c>
      <c r="R82" s="25">
        <v>12</v>
      </c>
      <c r="S82" s="25">
        <v>0</v>
      </c>
      <c r="T82" s="25">
        <v>12</v>
      </c>
      <c r="W82" s="187"/>
      <c r="AG82" s="179"/>
      <c r="AH82" s="179"/>
    </row>
    <row r="83" spans="3:34">
      <c r="C83" s="12">
        <f t="shared" ca="1" si="36"/>
        <v>1</v>
      </c>
      <c r="D83" s="22">
        <f t="shared" si="37"/>
        <v>45296</v>
      </c>
      <c r="E83" s="26">
        <f>IF(O83="","",IF(O83=0,1,0))</f>
        <v>1</v>
      </c>
      <c r="F83" s="26">
        <f t="shared" si="39"/>
        <v>1</v>
      </c>
      <c r="G83" s="26">
        <f t="shared" si="40"/>
        <v>0</v>
      </c>
      <c r="H83" s="26">
        <f t="shared" si="41"/>
        <v>1</v>
      </c>
      <c r="I83" s="26">
        <f t="shared" si="42"/>
        <v>1</v>
      </c>
      <c r="J83" s="26">
        <f t="shared" si="43"/>
        <v>1</v>
      </c>
      <c r="M83" s="21">
        <f t="shared" si="35"/>
        <v>45296</v>
      </c>
      <c r="N83" s="10" t="s">
        <v>24</v>
      </c>
      <c r="O83" s="25">
        <v>0</v>
      </c>
      <c r="P83" s="25">
        <v>0</v>
      </c>
      <c r="Q83" s="25">
        <v>12</v>
      </c>
      <c r="R83" s="25">
        <v>0</v>
      </c>
      <c r="S83" s="25">
        <v>0</v>
      </c>
      <c r="T83" s="25">
        <v>0</v>
      </c>
      <c r="AG83" s="179"/>
      <c r="AH83" s="179"/>
    </row>
    <row r="84" spans="3:34">
      <c r="C84" s="12">
        <f t="shared" ca="1" si="36"/>
        <v>1</v>
      </c>
      <c r="D84" s="22">
        <f t="shared" si="37"/>
        <v>45303</v>
      </c>
      <c r="E84" s="26">
        <f t="shared" si="38"/>
        <v>0</v>
      </c>
      <c r="F84" s="26">
        <f t="shared" si="39"/>
        <v>1</v>
      </c>
      <c r="G84" s="26">
        <f t="shared" si="40"/>
        <v>1</v>
      </c>
      <c r="H84" s="26">
        <f t="shared" si="41"/>
        <v>0</v>
      </c>
      <c r="I84" s="26">
        <f t="shared" si="42"/>
        <v>0</v>
      </c>
      <c r="J84" s="26">
        <f t="shared" si="43"/>
        <v>0</v>
      </c>
      <c r="M84" s="21">
        <f t="shared" si="35"/>
        <v>45303</v>
      </c>
      <c r="N84" s="10" t="s">
        <v>24</v>
      </c>
      <c r="O84" s="25">
        <v>12</v>
      </c>
      <c r="P84" s="25">
        <v>0</v>
      </c>
      <c r="Q84" s="25">
        <v>0</v>
      </c>
      <c r="R84" s="25">
        <v>12</v>
      </c>
      <c r="S84" s="25">
        <v>12</v>
      </c>
      <c r="T84" s="25">
        <v>12</v>
      </c>
    </row>
    <row r="85" spans="3:34">
      <c r="C85" s="12">
        <f t="shared" ca="1" si="36"/>
        <v>1</v>
      </c>
      <c r="D85" s="22">
        <f t="shared" si="37"/>
        <v>45310</v>
      </c>
      <c r="E85" s="26">
        <f t="shared" si="38"/>
        <v>0</v>
      </c>
      <c r="F85" s="26">
        <f t="shared" si="39"/>
        <v>1</v>
      </c>
      <c r="G85" s="26">
        <f t="shared" si="40"/>
        <v>0</v>
      </c>
      <c r="H85" s="26">
        <f t="shared" si="41"/>
        <v>0</v>
      </c>
      <c r="I85" s="26">
        <f t="shared" si="42"/>
        <v>1</v>
      </c>
      <c r="J85" s="26">
        <f t="shared" si="43"/>
        <v>0</v>
      </c>
      <c r="M85" s="21">
        <f t="shared" si="35"/>
        <v>45310</v>
      </c>
      <c r="N85" s="10" t="s">
        <v>24</v>
      </c>
      <c r="O85" s="25">
        <v>12</v>
      </c>
      <c r="P85" s="25">
        <v>0</v>
      </c>
      <c r="Q85" s="25">
        <v>12</v>
      </c>
      <c r="R85" s="25">
        <v>12</v>
      </c>
      <c r="S85" s="25">
        <v>0</v>
      </c>
      <c r="T85" s="25">
        <v>12</v>
      </c>
    </row>
    <row r="86" spans="3:34">
      <c r="C86" s="12"/>
      <c r="D86" s="22"/>
      <c r="E86" s="26"/>
      <c r="F86" s="26"/>
      <c r="G86" s="26"/>
      <c r="H86" s="26"/>
      <c r="I86" s="26"/>
      <c r="J86" s="26"/>
      <c r="M86" s="21">
        <v>45310</v>
      </c>
      <c r="N86" s="10" t="s">
        <v>46</v>
      </c>
      <c r="O86" s="25"/>
      <c r="P86" s="25">
        <v>3</v>
      </c>
      <c r="Q86" s="25"/>
      <c r="R86" s="25"/>
      <c r="S86" s="25"/>
      <c r="T86" s="25"/>
    </row>
    <row r="87" spans="3:34">
      <c r="C87" s="12">
        <f t="shared" ca="1" si="36"/>
        <v>1</v>
      </c>
      <c r="D87" s="22">
        <f t="shared" si="37"/>
        <v>45317</v>
      </c>
      <c r="E87" s="26">
        <f t="shared" si="38"/>
        <v>0</v>
      </c>
      <c r="F87" s="26">
        <f t="shared" si="39"/>
        <v>0</v>
      </c>
      <c r="G87" s="26">
        <f t="shared" si="40"/>
        <v>0</v>
      </c>
      <c r="H87" s="26">
        <f t="shared" si="41"/>
        <v>1</v>
      </c>
      <c r="I87" s="26">
        <f t="shared" si="42"/>
        <v>0</v>
      </c>
      <c r="J87" s="26">
        <f t="shared" si="43"/>
        <v>0</v>
      </c>
      <c r="M87" s="21">
        <v>45317</v>
      </c>
      <c r="N87" s="10" t="s">
        <v>24</v>
      </c>
      <c r="O87" s="25">
        <v>12</v>
      </c>
      <c r="P87" s="25">
        <v>12</v>
      </c>
      <c r="Q87" s="25">
        <v>12</v>
      </c>
      <c r="R87" s="25">
        <v>0</v>
      </c>
      <c r="S87" s="25">
        <v>12</v>
      </c>
      <c r="T87" s="25">
        <v>12</v>
      </c>
    </row>
    <row r="88" spans="3:34">
      <c r="C88" s="12">
        <f t="shared" ca="1" si="36"/>
        <v>1</v>
      </c>
      <c r="D88" s="22">
        <f t="shared" si="37"/>
        <v>45317</v>
      </c>
      <c r="E88" s="26" t="str">
        <f t="shared" si="38"/>
        <v/>
      </c>
      <c r="F88" s="26" t="str">
        <f t="shared" si="39"/>
        <v/>
      </c>
      <c r="G88" s="26" t="str">
        <f t="shared" si="40"/>
        <v/>
      </c>
      <c r="H88" s="26">
        <f t="shared" si="41"/>
        <v>0</v>
      </c>
      <c r="I88" s="26" t="str">
        <f t="shared" si="42"/>
        <v/>
      </c>
      <c r="J88" s="26" t="str">
        <f t="shared" si="43"/>
        <v/>
      </c>
      <c r="M88" s="21">
        <v>45317</v>
      </c>
      <c r="N88" s="10" t="s">
        <v>43</v>
      </c>
      <c r="O88" s="25"/>
      <c r="P88" s="25"/>
      <c r="Q88" s="25"/>
      <c r="R88" s="25">
        <v>6</v>
      </c>
      <c r="S88" s="25"/>
      <c r="T88" s="25"/>
    </row>
    <row r="89" spans="3:34">
      <c r="C89" s="12">
        <f t="shared" ca="1" si="36"/>
        <v>1</v>
      </c>
      <c r="D89" s="22">
        <f t="shared" si="37"/>
        <v>45324</v>
      </c>
      <c r="E89" s="26">
        <f t="shared" si="38"/>
        <v>0</v>
      </c>
      <c r="F89" s="26">
        <f t="shared" si="39"/>
        <v>1</v>
      </c>
      <c r="G89" s="26">
        <f t="shared" si="40"/>
        <v>1</v>
      </c>
      <c r="H89" s="26">
        <f t="shared" si="41"/>
        <v>1</v>
      </c>
      <c r="I89" s="26">
        <f t="shared" si="42"/>
        <v>1</v>
      </c>
      <c r="J89" s="26">
        <f t="shared" si="43"/>
        <v>0</v>
      </c>
      <c r="M89" s="21">
        <v>45324</v>
      </c>
      <c r="N89" s="10" t="s">
        <v>24</v>
      </c>
      <c r="O89" s="25">
        <v>12</v>
      </c>
      <c r="P89" s="25">
        <v>0</v>
      </c>
      <c r="Q89" s="25">
        <v>0</v>
      </c>
      <c r="R89" s="25">
        <v>0</v>
      </c>
      <c r="S89" s="25">
        <v>0</v>
      </c>
      <c r="T89" s="25">
        <v>12</v>
      </c>
    </row>
    <row r="90" spans="3:34">
      <c r="C90" s="12">
        <f t="shared" ca="1" si="36"/>
        <v>1</v>
      </c>
      <c r="D90" s="22">
        <f t="shared" si="37"/>
        <v>45331</v>
      </c>
      <c r="E90" s="26">
        <f t="shared" si="38"/>
        <v>1</v>
      </c>
      <c r="F90" s="26">
        <f t="shared" si="39"/>
        <v>0</v>
      </c>
      <c r="G90" s="26">
        <f t="shared" si="40"/>
        <v>1</v>
      </c>
      <c r="H90" s="26">
        <f t="shared" si="41"/>
        <v>1</v>
      </c>
      <c r="I90" s="26">
        <f t="shared" si="42"/>
        <v>1</v>
      </c>
      <c r="J90" s="26">
        <f t="shared" si="43"/>
        <v>1</v>
      </c>
      <c r="M90" s="21">
        <v>45331</v>
      </c>
      <c r="N90" s="10" t="s">
        <v>24</v>
      </c>
      <c r="O90" s="25">
        <v>0</v>
      </c>
      <c r="P90" s="25">
        <v>12</v>
      </c>
      <c r="Q90" s="25">
        <v>0</v>
      </c>
      <c r="R90" s="25">
        <v>0</v>
      </c>
      <c r="S90" s="25">
        <v>0</v>
      </c>
      <c r="T90" s="25">
        <v>0</v>
      </c>
    </row>
    <row r="91" spans="3:34">
      <c r="C91" s="12" t="str">
        <f t="shared" ca="1" si="36"/>
        <v/>
      </c>
      <c r="D91" s="22" t="str">
        <f t="shared" si="37"/>
        <v/>
      </c>
      <c r="E91" s="26" t="str">
        <f t="shared" si="38"/>
        <v/>
      </c>
      <c r="F91" s="26" t="str">
        <f t="shared" si="39"/>
        <v/>
      </c>
      <c r="G91" s="26" t="str">
        <f t="shared" si="40"/>
        <v/>
      </c>
      <c r="H91" s="26" t="str">
        <f t="shared" si="41"/>
        <v/>
      </c>
      <c r="I91" s="26" t="str">
        <f t="shared" si="42"/>
        <v/>
      </c>
      <c r="J91" s="26" t="str">
        <f t="shared" si="43"/>
        <v/>
      </c>
      <c r="M91" s="21"/>
      <c r="N91" s="10"/>
      <c r="O91" s="25"/>
      <c r="P91" s="25"/>
      <c r="Q91" s="25"/>
      <c r="R91" s="25"/>
      <c r="S91" s="25"/>
      <c r="T91" s="25"/>
    </row>
    <row r="92" spans="3:34">
      <c r="C92" s="12" t="str">
        <f t="shared" ca="1" si="36"/>
        <v/>
      </c>
      <c r="D92" s="22" t="str">
        <f t="shared" si="37"/>
        <v/>
      </c>
      <c r="E92" s="26" t="str">
        <f t="shared" si="38"/>
        <v/>
      </c>
      <c r="F92" s="26" t="str">
        <f t="shared" si="39"/>
        <v/>
      </c>
      <c r="G92" s="26" t="str">
        <f t="shared" si="40"/>
        <v/>
      </c>
      <c r="H92" s="26" t="str">
        <f t="shared" si="41"/>
        <v/>
      </c>
      <c r="I92" s="26" t="str">
        <f t="shared" si="42"/>
        <v/>
      </c>
      <c r="J92" s="26" t="str">
        <f t="shared" si="43"/>
        <v/>
      </c>
      <c r="M92" s="21"/>
      <c r="N92" s="10"/>
      <c r="O92" s="25"/>
      <c r="P92" s="25"/>
      <c r="Q92" s="25"/>
      <c r="R92" s="25"/>
      <c r="S92" s="25"/>
      <c r="T92" s="25"/>
    </row>
    <row r="93" spans="3:34">
      <c r="C93" s="12" t="str">
        <f t="shared" ca="1" si="36"/>
        <v/>
      </c>
      <c r="D93" s="22" t="str">
        <f t="shared" si="37"/>
        <v/>
      </c>
      <c r="E93" s="26" t="str">
        <f t="shared" si="38"/>
        <v/>
      </c>
      <c r="F93" s="26" t="str">
        <f t="shared" si="39"/>
        <v/>
      </c>
      <c r="G93" s="26" t="str">
        <f t="shared" si="40"/>
        <v/>
      </c>
      <c r="H93" s="26" t="str">
        <f t="shared" si="41"/>
        <v/>
      </c>
      <c r="I93" s="26" t="str">
        <f t="shared" si="42"/>
        <v/>
      </c>
      <c r="J93" s="26" t="str">
        <f t="shared" si="43"/>
        <v/>
      </c>
      <c r="M93" s="21"/>
      <c r="N93" s="10"/>
      <c r="O93" s="25"/>
      <c r="P93" s="25"/>
      <c r="Q93" s="25"/>
      <c r="R93" s="25"/>
      <c r="S93" s="25"/>
      <c r="T93" s="25"/>
    </row>
    <row r="94" spans="3:34">
      <c r="C94" s="12" t="str">
        <f t="shared" ca="1" si="36"/>
        <v/>
      </c>
      <c r="D94" s="22" t="str">
        <f t="shared" si="37"/>
        <v/>
      </c>
      <c r="E94" s="26" t="str">
        <f t="shared" si="38"/>
        <v/>
      </c>
      <c r="F94" s="26" t="str">
        <f t="shared" si="39"/>
        <v/>
      </c>
      <c r="G94" s="26" t="str">
        <f t="shared" si="40"/>
        <v/>
      </c>
      <c r="H94" s="26" t="str">
        <f t="shared" si="41"/>
        <v/>
      </c>
      <c r="I94" s="26" t="str">
        <f t="shared" si="42"/>
        <v/>
      </c>
      <c r="J94" s="26" t="str">
        <f t="shared" si="43"/>
        <v/>
      </c>
      <c r="M94" s="21"/>
      <c r="N94" s="10"/>
      <c r="O94" s="25"/>
      <c r="P94" s="25"/>
      <c r="Q94" s="25"/>
      <c r="R94" s="25"/>
      <c r="S94" s="25"/>
      <c r="T94" s="25"/>
    </row>
  </sheetData>
  <mergeCells count="44">
    <mergeCell ref="Q16:R16"/>
    <mergeCell ref="V17:V18"/>
    <mergeCell ref="Q12:R12"/>
    <mergeCell ref="S12:T12"/>
    <mergeCell ref="V12:W12"/>
    <mergeCell ref="X12:Y12"/>
    <mergeCell ref="Z12:AA12"/>
    <mergeCell ref="Q13:R13"/>
    <mergeCell ref="S13:T13"/>
    <mergeCell ref="V13:W13"/>
    <mergeCell ref="X13:Y14"/>
    <mergeCell ref="Z13:AA13"/>
    <mergeCell ref="Q14:R14"/>
    <mergeCell ref="S14:T14"/>
    <mergeCell ref="S8:T8"/>
    <mergeCell ref="V8:W8"/>
    <mergeCell ref="X8:Y8"/>
    <mergeCell ref="Z8:AA8"/>
    <mergeCell ref="Q11:R11"/>
    <mergeCell ref="S11:T11"/>
    <mergeCell ref="V11:W11"/>
    <mergeCell ref="X11:Y11"/>
    <mergeCell ref="Z11:AA11"/>
    <mergeCell ref="Q10:R10"/>
    <mergeCell ref="S10:T10"/>
    <mergeCell ref="V10:W10"/>
    <mergeCell ref="X10:Y10"/>
    <mergeCell ref="Z10:AA10"/>
    <mergeCell ref="X31:AA31"/>
    <mergeCell ref="W20:Z22"/>
    <mergeCell ref="C2:AA2"/>
    <mergeCell ref="O5:S5"/>
    <mergeCell ref="T5:U5"/>
    <mergeCell ref="V5:W7"/>
    <mergeCell ref="X5:Y7"/>
    <mergeCell ref="Z5:AA7"/>
    <mergeCell ref="Q7:R7"/>
    <mergeCell ref="S7:T7"/>
    <mergeCell ref="Q9:R9"/>
    <mergeCell ref="S9:T9"/>
    <mergeCell ref="V9:W9"/>
    <mergeCell ref="X9:Y9"/>
    <mergeCell ref="Z9:AA9"/>
    <mergeCell ref="Q8:R8"/>
  </mergeCells>
  <conditionalFormatting sqref="E25:J29 E31:J34 E36:J36 E38:J40 E42:J42 E44:J56 E58:J62 E64:J64 E66:J70 E72:J72 E74:J76 E78:J80 E82:J85 E87:J94">
    <cfRule type="cellIs" dxfId="128" priority="11" operator="equal">
      <formula>0</formula>
    </cfRule>
    <cfRule type="cellIs" dxfId="127" priority="12" operator="equal">
      <formula>1</formula>
    </cfRule>
  </conditionalFormatting>
  <conditionalFormatting sqref="U24:U39 O24:T94">
    <cfRule type="cellIs" dxfId="126" priority="5" operator="equal">
      <formula>0</formula>
    </cfRule>
    <cfRule type="cellIs" dxfId="125" priority="6" operator="greaterThan">
      <formula>0</formula>
    </cfRule>
  </conditionalFormatting>
  <conditionalFormatting sqref="AE25:AE30">
    <cfRule type="cellIs" dxfId="124" priority="9" operator="lessThan">
      <formula>0</formula>
    </cfRule>
    <cfRule type="cellIs" dxfId="123" priority="10" operator="greaterThan">
      <formula>0</formula>
    </cfRule>
  </conditionalFormatting>
  <pageMargins left="0.7" right="0.7" top="0.78740157499999996" bottom="0.78740157499999996"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B903F-322A-4407-AA1E-C71B8EC058F1}">
  <sheetPr codeName="Sheet12"/>
  <dimension ref="A1:AC92"/>
  <sheetViews>
    <sheetView zoomScale="70" zoomScaleNormal="70" workbookViewId="0">
      <pane xSplit="14" ySplit="23" topLeftCell="O33" activePane="bottomRight" state="frozen"/>
      <selection pane="topRight" activeCell="P1" sqref="P1"/>
      <selection pane="bottomLeft" activeCell="A24" sqref="A24"/>
      <selection pane="bottomRight" activeCell="O21" sqref="O21:T21"/>
    </sheetView>
  </sheetViews>
  <sheetFormatPr defaultColWidth="11.3828125" defaultRowHeight="16.75"/>
  <cols>
    <col min="1" max="1" width="1.69140625" style="1" customWidth="1"/>
    <col min="2" max="2" width="1.3828125" style="1" customWidth="1"/>
    <col min="3" max="3" width="3.84375" style="2" bestFit="1" customWidth="1"/>
    <col min="4" max="4" width="12.53515625" style="1" customWidth="1"/>
    <col min="5" max="10" width="7.15234375" style="1" customWidth="1"/>
    <col min="11" max="12" width="1.3828125" style="1" customWidth="1"/>
    <col min="13" max="13" width="12.53515625" style="29" bestFit="1" customWidth="1"/>
    <col min="14" max="14" width="26.53515625" style="1" customWidth="1"/>
    <col min="15" max="15" width="16.69140625" style="1" customWidth="1"/>
    <col min="16" max="17" width="14.3828125" style="1" customWidth="1"/>
    <col min="18" max="18" width="13.3828125" style="1" customWidth="1"/>
    <col min="19" max="19" width="14.3828125" style="1" customWidth="1"/>
    <col min="20" max="20" width="20.3828125" style="1" customWidth="1"/>
    <col min="21" max="21" width="5.3828125" style="1" hidden="1" customWidth="1"/>
    <col min="22" max="22" width="11.3828125" style="1"/>
    <col min="23" max="23" width="16.69140625" style="1" customWidth="1"/>
    <col min="24" max="24" width="11.69140625" style="1" bestFit="1" customWidth="1"/>
    <col min="25" max="25" width="43.53515625" style="1" customWidth="1"/>
    <col min="26" max="26" width="11.3828125" style="1"/>
    <col min="27" max="27" width="12.15234375" style="1" customWidth="1"/>
    <col min="28" max="16384" width="11.3828125" style="1"/>
  </cols>
  <sheetData>
    <row r="1" spans="2:27" ht="8.25" customHeight="1"/>
    <row r="2" spans="2:27" ht="40.5" customHeight="1">
      <c r="C2" s="232" t="s">
        <v>5</v>
      </c>
      <c r="D2" s="233"/>
      <c r="E2" s="233"/>
      <c r="F2" s="233"/>
      <c r="G2" s="233"/>
      <c r="H2" s="233"/>
      <c r="I2" s="233"/>
      <c r="J2" s="233"/>
      <c r="K2" s="233"/>
      <c r="L2" s="233"/>
      <c r="M2" s="233"/>
      <c r="N2" s="233"/>
      <c r="O2" s="233"/>
      <c r="P2" s="233"/>
      <c r="Q2" s="233"/>
      <c r="R2" s="233"/>
      <c r="S2" s="233"/>
      <c r="T2" s="233"/>
      <c r="U2" s="233"/>
      <c r="V2" s="233"/>
      <c r="W2" s="233"/>
      <c r="X2" s="233"/>
      <c r="Y2" s="233"/>
      <c r="Z2" s="233"/>
      <c r="AA2" s="233"/>
    </row>
    <row r="3" spans="2:27" ht="8.25" customHeight="1"/>
    <row r="4" spans="2:27" ht="9.75" customHeight="1"/>
    <row r="5" spans="2:27" ht="21.75" customHeight="1">
      <c r="B5" s="6"/>
      <c r="C5" s="7" t="s">
        <v>13</v>
      </c>
      <c r="D5" s="8"/>
      <c r="E5" s="8"/>
      <c r="F5" s="8"/>
      <c r="G5" s="8"/>
      <c r="H5" s="8"/>
      <c r="I5" s="9"/>
      <c r="J5" s="9"/>
      <c r="L5" s="6"/>
      <c r="M5" s="31" t="s">
        <v>14</v>
      </c>
      <c r="N5" s="8"/>
      <c r="O5" s="234" t="s">
        <v>31</v>
      </c>
      <c r="P5" s="234"/>
      <c r="Q5" s="234"/>
      <c r="R5" s="234"/>
      <c r="S5" s="235"/>
      <c r="T5" s="236">
        <f>W16</f>
        <v>2190.92</v>
      </c>
      <c r="U5" s="237"/>
      <c r="V5" s="238" t="s">
        <v>52</v>
      </c>
      <c r="W5" s="239"/>
      <c r="X5" s="238" t="s">
        <v>56</v>
      </c>
      <c r="Y5" s="239"/>
      <c r="Z5" s="238" t="s">
        <v>61</v>
      </c>
      <c r="AA5" s="239"/>
    </row>
    <row r="6" spans="2:27" ht="23.25" customHeight="1">
      <c r="B6" s="6"/>
      <c r="L6" s="6"/>
      <c r="V6" s="240"/>
      <c r="W6" s="241"/>
      <c r="X6" s="240"/>
      <c r="Y6" s="241"/>
      <c r="Z6" s="240"/>
      <c r="AA6" s="241"/>
    </row>
    <row r="7" spans="2:27">
      <c r="B7" s="6"/>
      <c r="D7" s="33" t="s">
        <v>6</v>
      </c>
      <c r="E7" s="35" t="s">
        <v>7</v>
      </c>
      <c r="F7" s="35" t="s">
        <v>8</v>
      </c>
      <c r="G7" s="35" t="s">
        <v>9</v>
      </c>
      <c r="H7" s="11"/>
      <c r="I7" s="11"/>
      <c r="J7" s="11"/>
      <c r="L7" s="6"/>
      <c r="N7" s="33" t="s">
        <v>6</v>
      </c>
      <c r="O7" s="68" t="s">
        <v>16</v>
      </c>
      <c r="P7" s="68" t="s">
        <v>17</v>
      </c>
      <c r="Q7" s="244" t="s">
        <v>26</v>
      </c>
      <c r="R7" s="244"/>
      <c r="S7" s="245" t="s">
        <v>27</v>
      </c>
      <c r="T7" s="245"/>
      <c r="U7" s="34"/>
      <c r="V7" s="242"/>
      <c r="W7" s="243"/>
      <c r="X7" s="242"/>
      <c r="Y7" s="243"/>
      <c r="Z7" s="242"/>
      <c r="AA7" s="243"/>
    </row>
    <row r="8" spans="2:27" ht="16.5" customHeight="1">
      <c r="B8" s="6">
        <v>1</v>
      </c>
      <c r="C8" s="12">
        <f t="shared" ref="C8:C13" si="0">B8</f>
        <v>1</v>
      </c>
      <c r="D8" s="10" t="str">
        <f t="shared" ref="D8:D13" si="1">HLOOKUP($B8,$E$17:$J$20,2,FALSE)</f>
        <v>SJU</v>
      </c>
      <c r="E8" s="12">
        <f t="shared" ref="E8:E13" si="2">ROUND(HLOOKUP(D8,$E$18:$J$20,3,FALSE),0)</f>
        <v>38</v>
      </c>
      <c r="F8" s="64">
        <f ca="1">E8/$C$20</f>
        <v>0.82608695652173914</v>
      </c>
      <c r="G8" s="28">
        <f t="shared" ref="G8:G10" ca="1" si="3">1-F8</f>
        <v>0.17391304347826086</v>
      </c>
      <c r="L8" s="6"/>
      <c r="N8" s="10" t="s">
        <v>2</v>
      </c>
      <c r="O8" s="13">
        <f>R20</f>
        <v>330.5</v>
      </c>
      <c r="P8" s="13">
        <v>0</v>
      </c>
      <c r="Q8" s="231" t="s">
        <v>25</v>
      </c>
      <c r="R8" s="231"/>
      <c r="S8" s="231" t="s">
        <v>18</v>
      </c>
      <c r="T8" s="231"/>
      <c r="V8" s="231" t="s">
        <v>48</v>
      </c>
      <c r="W8" s="231"/>
      <c r="X8" s="231" t="s">
        <v>58</v>
      </c>
      <c r="Y8" s="231"/>
      <c r="Z8" s="231" t="s">
        <v>65</v>
      </c>
      <c r="AA8" s="231"/>
    </row>
    <row r="9" spans="2:27">
      <c r="B9" s="6">
        <v>2</v>
      </c>
      <c r="C9" s="12">
        <f>B9</f>
        <v>2</v>
      </c>
      <c r="D9" s="10" t="str">
        <f>HLOOKUP($B9,$E$17:$J$20,2,FALSE)</f>
        <v>MSO</v>
      </c>
      <c r="E9" s="12">
        <f t="shared" si="2"/>
        <v>34</v>
      </c>
      <c r="F9" s="28">
        <f ca="1">E9/$C$20</f>
        <v>0.73913043478260865</v>
      </c>
      <c r="G9" s="28">
        <f t="shared" ca="1" si="3"/>
        <v>0.26086956521739135</v>
      </c>
      <c r="L9" s="6"/>
      <c r="N9" s="10" t="s">
        <v>4</v>
      </c>
      <c r="O9" s="13">
        <f>P20</f>
        <v>195</v>
      </c>
      <c r="P9" s="13">
        <v>0</v>
      </c>
      <c r="Q9" s="231" t="s">
        <v>25</v>
      </c>
      <c r="R9" s="231"/>
      <c r="S9" s="231" t="s">
        <v>18</v>
      </c>
      <c r="T9" s="231"/>
      <c r="V9" s="231" t="s">
        <v>49</v>
      </c>
      <c r="W9" s="231"/>
      <c r="X9" s="231" t="s">
        <v>57</v>
      </c>
      <c r="Y9" s="231"/>
      <c r="Z9" s="231" t="s">
        <v>64</v>
      </c>
      <c r="AA9" s="231"/>
    </row>
    <row r="10" spans="2:27">
      <c r="B10" s="6">
        <v>3</v>
      </c>
      <c r="C10" s="12">
        <f t="shared" si="0"/>
        <v>3</v>
      </c>
      <c r="D10" s="10" t="str">
        <f t="shared" si="1"/>
        <v>CBO</v>
      </c>
      <c r="E10" s="12">
        <f t="shared" si="2"/>
        <v>31</v>
      </c>
      <c r="F10" s="28">
        <f ca="1">E10/$C$20</f>
        <v>0.67391304347826086</v>
      </c>
      <c r="G10" s="28">
        <f t="shared" ca="1" si="3"/>
        <v>0.32608695652173914</v>
      </c>
      <c r="L10" s="6"/>
      <c r="N10" s="10" t="s">
        <v>3</v>
      </c>
      <c r="O10" s="13">
        <f>S20</f>
        <v>114</v>
      </c>
      <c r="P10" s="13">
        <v>0</v>
      </c>
      <c r="Q10" s="231" t="s">
        <v>25</v>
      </c>
      <c r="R10" s="231"/>
      <c r="S10" s="231" t="s">
        <v>18</v>
      </c>
      <c r="T10" s="231"/>
      <c r="V10" s="231" t="s">
        <v>48</v>
      </c>
      <c r="W10" s="231"/>
      <c r="X10" s="231" t="s">
        <v>60</v>
      </c>
      <c r="Y10" s="231"/>
      <c r="Z10" s="231" t="s">
        <v>66</v>
      </c>
      <c r="AA10" s="231"/>
    </row>
    <row r="11" spans="2:27">
      <c r="B11" s="6">
        <v>4</v>
      </c>
      <c r="C11" s="12">
        <f t="shared" si="0"/>
        <v>4</v>
      </c>
      <c r="D11" s="10" t="str">
        <f t="shared" si="1"/>
        <v>PKN</v>
      </c>
      <c r="E11" s="12">
        <f t="shared" si="2"/>
        <v>25</v>
      </c>
      <c r="F11" s="28">
        <f t="shared" ref="F11" ca="1" si="4">E11/$C$20</f>
        <v>0.54347826086956519</v>
      </c>
      <c r="G11" s="28">
        <f ca="1">1-F11</f>
        <v>0.45652173913043481</v>
      </c>
      <c r="L11" s="6"/>
      <c r="N11" s="10" t="s">
        <v>1</v>
      </c>
      <c r="O11" s="13">
        <f>Q20</f>
        <v>257</v>
      </c>
      <c r="P11" s="13">
        <v>0</v>
      </c>
      <c r="Q11" s="231" t="s">
        <v>25</v>
      </c>
      <c r="R11" s="231"/>
      <c r="S11" s="231" t="s">
        <v>18</v>
      </c>
      <c r="T11" s="231"/>
      <c r="V11" s="231" t="s">
        <v>48</v>
      </c>
      <c r="W11" s="231"/>
      <c r="X11" s="231" t="s">
        <v>59</v>
      </c>
      <c r="Y11" s="231"/>
      <c r="Z11" s="231" t="s">
        <v>67</v>
      </c>
      <c r="AA11" s="231"/>
    </row>
    <row r="12" spans="2:27">
      <c r="B12" s="6">
        <v>5</v>
      </c>
      <c r="C12" s="12">
        <f t="shared" si="0"/>
        <v>5</v>
      </c>
      <c r="D12" s="10" t="str">
        <f t="shared" si="1"/>
        <v>JWU</v>
      </c>
      <c r="E12" s="12">
        <f t="shared" si="2"/>
        <v>21</v>
      </c>
      <c r="F12" s="28">
        <f ca="1">E12/$C$20</f>
        <v>0.45652173913043476</v>
      </c>
      <c r="G12" s="28">
        <f ca="1">1-F12</f>
        <v>0.54347826086956519</v>
      </c>
      <c r="L12" s="6"/>
      <c r="N12" s="10" t="s">
        <v>0</v>
      </c>
      <c r="O12" s="47">
        <f>O20</f>
        <v>318.5</v>
      </c>
      <c r="P12" s="13">
        <v>0</v>
      </c>
      <c r="Q12" s="231" t="s">
        <v>25</v>
      </c>
      <c r="R12" s="231"/>
      <c r="S12" s="231" t="s">
        <v>18</v>
      </c>
      <c r="T12" s="231"/>
      <c r="V12" s="231" t="s">
        <v>50</v>
      </c>
      <c r="W12" s="231"/>
      <c r="X12" s="231" t="s">
        <v>81</v>
      </c>
      <c r="Y12" s="231"/>
      <c r="Z12" s="231" t="s">
        <v>63</v>
      </c>
      <c r="AA12" s="231"/>
    </row>
    <row r="13" spans="2:27">
      <c r="B13" s="6">
        <v>6</v>
      </c>
      <c r="C13" s="12">
        <f t="shared" si="0"/>
        <v>6</v>
      </c>
      <c r="D13" s="10" t="str">
        <f t="shared" si="1"/>
        <v>YMI</v>
      </c>
      <c r="E13" s="12">
        <f t="shared" si="2"/>
        <v>7</v>
      </c>
      <c r="F13" s="28">
        <f ca="1">E13/$C$20</f>
        <v>0.15217391304347827</v>
      </c>
      <c r="G13" s="28">
        <f ca="1">1-F13</f>
        <v>0.84782608695652173</v>
      </c>
      <c r="L13" s="6"/>
      <c r="N13" s="10" t="s">
        <v>22</v>
      </c>
      <c r="O13" s="13">
        <f>T20</f>
        <v>162.5</v>
      </c>
      <c r="P13" s="13">
        <v>0</v>
      </c>
      <c r="Q13" s="231" t="s">
        <v>25</v>
      </c>
      <c r="R13" s="231"/>
      <c r="S13" s="231" t="s">
        <v>18</v>
      </c>
      <c r="T13" s="231"/>
      <c r="V13" s="231" t="s">
        <v>51</v>
      </c>
      <c r="W13" s="231"/>
      <c r="X13" s="246" t="s">
        <v>118</v>
      </c>
      <c r="Y13" s="246"/>
      <c r="Z13" s="231" t="s">
        <v>62</v>
      </c>
      <c r="AA13" s="231"/>
    </row>
    <row r="14" spans="2:27">
      <c r="B14" s="6"/>
      <c r="F14" s="63"/>
      <c r="L14" s="6"/>
      <c r="N14" s="29"/>
      <c r="O14" s="29"/>
      <c r="P14" s="29"/>
      <c r="Q14" s="248"/>
      <c r="R14" s="248"/>
      <c r="S14" s="248"/>
      <c r="T14" s="248"/>
      <c r="X14" s="247"/>
      <c r="Y14" s="247"/>
    </row>
    <row r="15" spans="2:27" ht="13.5" customHeight="1" thickBot="1">
      <c r="B15" s="6"/>
      <c r="L15" s="6"/>
    </row>
    <row r="16" spans="2:27" ht="17.149999999999999" thickBot="1">
      <c r="B16" s="6"/>
      <c r="L16" s="6"/>
      <c r="N16" s="14" t="s">
        <v>19</v>
      </c>
      <c r="O16" s="15">
        <f>SUM(O8:O13)</f>
        <v>1377.5</v>
      </c>
      <c r="P16" s="87"/>
      <c r="Q16" s="262" t="s">
        <v>30</v>
      </c>
      <c r="R16" s="263"/>
      <c r="S16" s="15">
        <v>813.42</v>
      </c>
      <c r="V16" s="137" t="s">
        <v>121</v>
      </c>
      <c r="W16" s="138">
        <f>O16+S16</f>
        <v>2190.92</v>
      </c>
    </row>
    <row r="17" spans="2:27" ht="12" customHeight="1">
      <c r="B17" s="6"/>
      <c r="E17" s="27">
        <f t="shared" ref="E17:J17" si="5">RANK(E20,$E20:$J20)</f>
        <v>5</v>
      </c>
      <c r="F17" s="27">
        <f t="shared" si="5"/>
        <v>3</v>
      </c>
      <c r="G17" s="27">
        <f t="shared" si="5"/>
        <v>4</v>
      </c>
      <c r="H17" s="27">
        <f t="shared" si="5"/>
        <v>6</v>
      </c>
      <c r="I17" s="27">
        <f t="shared" si="5"/>
        <v>1</v>
      </c>
      <c r="J17" s="27">
        <f t="shared" si="5"/>
        <v>2</v>
      </c>
      <c r="L17" s="6"/>
      <c r="V17" s="249"/>
    </row>
    <row r="18" spans="2:27">
      <c r="B18" s="6"/>
      <c r="E18" s="16" t="s">
        <v>0</v>
      </c>
      <c r="F18" s="16" t="s">
        <v>4</v>
      </c>
      <c r="G18" s="16" t="s">
        <v>1</v>
      </c>
      <c r="H18" s="16" t="s">
        <v>2</v>
      </c>
      <c r="I18" s="16" t="s">
        <v>3</v>
      </c>
      <c r="J18" s="16" t="s">
        <v>21</v>
      </c>
      <c r="L18" s="6"/>
      <c r="O18" s="16" t="s">
        <v>0</v>
      </c>
      <c r="P18" s="16" t="s">
        <v>4</v>
      </c>
      <c r="Q18" s="16" t="s">
        <v>1</v>
      </c>
      <c r="R18" s="16" t="s">
        <v>2</v>
      </c>
      <c r="S18" s="16" t="s">
        <v>3</v>
      </c>
      <c r="T18" s="16" t="s">
        <v>22</v>
      </c>
      <c r="U18" s="16"/>
      <c r="V18" s="250"/>
    </row>
    <row r="19" spans="2:27" ht="6" customHeight="1">
      <c r="B19" s="6"/>
      <c r="E19" s="17"/>
      <c r="F19" s="17"/>
      <c r="G19" s="17"/>
      <c r="H19" s="17"/>
      <c r="I19" s="17"/>
      <c r="J19" s="17"/>
      <c r="L19" s="6"/>
      <c r="O19" s="17"/>
      <c r="P19" s="17"/>
      <c r="Q19" s="17"/>
      <c r="R19" s="17"/>
      <c r="S19" s="17"/>
      <c r="T19" s="17"/>
      <c r="U19" s="17"/>
    </row>
    <row r="20" spans="2:27">
      <c r="B20" s="6"/>
      <c r="C20" s="139">
        <f ca="1">COUNT(C23:C94)</f>
        <v>46</v>
      </c>
      <c r="E20" s="24">
        <f>SUM(E25:E92)+0.00007</f>
        <v>21.000070000000001</v>
      </c>
      <c r="F20" s="24">
        <f>SUM(F25:F92)+0.00005</f>
        <v>31.000050000000002</v>
      </c>
      <c r="G20" s="24">
        <f>SUM(G25:G92)+0.00008</f>
        <v>25.000080000000001</v>
      </c>
      <c r="H20" s="24">
        <f>SUM(H25:H92)+0.00006</f>
        <v>7.0000600000000004</v>
      </c>
      <c r="I20" s="24">
        <f>SUM(I25:I92)+0.00009</f>
        <v>38.00009</v>
      </c>
      <c r="J20" s="24">
        <f>SUM(J25:J92)+0.0001</f>
        <v>34.000100000000003</v>
      </c>
      <c r="L20" s="6"/>
      <c r="O20" s="19">
        <f>SUM(O24:O92)</f>
        <v>318.5</v>
      </c>
      <c r="P20" s="19">
        <f>SUM(P24:P92)</f>
        <v>195</v>
      </c>
      <c r="Q20" s="19">
        <f>SUM(Q24:Q92)</f>
        <v>257</v>
      </c>
      <c r="R20" s="146">
        <f>IF(150&gt;MAX(O20,P20,Q20,S20,T20),150,(MAX(O20,P20,Q20,S20,T20)+12))</f>
        <v>330.5</v>
      </c>
      <c r="S20" s="19">
        <f>SUM(S24:S92)</f>
        <v>114</v>
      </c>
      <c r="T20" s="19">
        <f>SUM(T24:T92)</f>
        <v>162.5</v>
      </c>
      <c r="U20" s="19"/>
    </row>
    <row r="21" spans="2:27">
      <c r="B21" s="6"/>
      <c r="E21" s="2"/>
      <c r="F21" s="2"/>
      <c r="G21" s="2"/>
      <c r="H21" s="2"/>
      <c r="I21" s="2"/>
      <c r="J21" s="2"/>
      <c r="L21" s="6"/>
      <c r="O21" s="20" cm="1">
        <f t="array" ref="O21">SUM(SUMIF($N$24:$N$100,{"LI";"LIFO";"LIFO+"},O24:O100))</f>
        <v>5.5</v>
      </c>
      <c r="P21" s="20" cm="1">
        <f t="array" ref="P21">SUM(SUMIF($N$24:$N$100,{"LI";"LIFO";"LIFO+"},P24:P100))</f>
        <v>3</v>
      </c>
      <c r="Q21" s="20" cm="1">
        <f t="array" ref="Q21">SUM(SUMIF($N$24:$N$100,{"LI";"LIFO";"LIFO+"},Q24:Q100))</f>
        <v>3</v>
      </c>
      <c r="R21" s="20" cm="1">
        <f t="array" ref="R21">SUM(SUMIF($N$24:$N$100,{"LI";"LIFO";"LIFO+"},R24:R100))</f>
        <v>0</v>
      </c>
      <c r="S21" s="20" cm="1">
        <f t="array" ref="S21">SUM(SUMIF($N$24:$N$100,{"LI";"LIFO";"LIFO+"},S24:S100))</f>
        <v>0</v>
      </c>
      <c r="T21" s="20" cm="1">
        <f t="array" ref="T21">SUM(SUMIF($N$24:$N$100,{"LI";"LIFO";"LIFO+"},T24:T100))</f>
        <v>8.5</v>
      </c>
      <c r="U21" s="20"/>
    </row>
    <row r="22" spans="2:27">
      <c r="B22" s="6"/>
      <c r="E22" s="18">
        <v>3</v>
      </c>
      <c r="F22" s="18">
        <v>5</v>
      </c>
      <c r="G22" s="18">
        <v>6</v>
      </c>
      <c r="H22" s="18">
        <v>7</v>
      </c>
      <c r="I22" s="18">
        <v>8</v>
      </c>
      <c r="J22" s="18">
        <v>1</v>
      </c>
      <c r="L22" s="6"/>
    </row>
    <row r="23" spans="2:27">
      <c r="B23" s="6"/>
      <c r="C23" s="12" t="s">
        <v>10</v>
      </c>
      <c r="D23" s="10" t="s">
        <v>11</v>
      </c>
      <c r="E23" s="12" t="s">
        <v>12</v>
      </c>
      <c r="F23" s="12" t="s">
        <v>12</v>
      </c>
      <c r="G23" s="12" t="s">
        <v>12</v>
      </c>
      <c r="H23" s="12" t="s">
        <v>12</v>
      </c>
      <c r="I23" s="12" t="s">
        <v>12</v>
      </c>
      <c r="J23" s="12" t="s">
        <v>12</v>
      </c>
      <c r="L23" s="6"/>
      <c r="M23" s="67" t="s">
        <v>11</v>
      </c>
      <c r="N23" s="67" t="s">
        <v>15</v>
      </c>
      <c r="O23" s="12" t="s">
        <v>16</v>
      </c>
      <c r="P23" s="12" t="s">
        <v>16</v>
      </c>
      <c r="Q23" s="12" t="s">
        <v>16</v>
      </c>
      <c r="R23" s="12" t="s">
        <v>16</v>
      </c>
      <c r="S23" s="12" t="s">
        <v>16</v>
      </c>
      <c r="T23" s="12" t="s">
        <v>16</v>
      </c>
      <c r="U23" s="12"/>
    </row>
    <row r="24" spans="2:27">
      <c r="B24" s="6"/>
      <c r="C24" s="12"/>
      <c r="D24" s="10"/>
      <c r="E24" s="12"/>
      <c r="F24" s="12"/>
      <c r="G24" s="12"/>
      <c r="H24" s="12"/>
      <c r="I24" s="12"/>
      <c r="J24" s="12"/>
      <c r="L24" s="6"/>
      <c r="M24" s="21">
        <v>44638</v>
      </c>
      <c r="N24" s="67" t="s">
        <v>20</v>
      </c>
      <c r="O24" s="25">
        <v>20</v>
      </c>
      <c r="P24" s="25">
        <v>20</v>
      </c>
      <c r="Q24" s="25">
        <v>20</v>
      </c>
      <c r="R24" s="25">
        <v>20</v>
      </c>
      <c r="S24" s="25">
        <v>20</v>
      </c>
      <c r="T24" s="25">
        <v>20</v>
      </c>
      <c r="U24" s="25"/>
    </row>
    <row r="25" spans="2:27">
      <c r="B25" s="6"/>
      <c r="C25" s="12">
        <v>1</v>
      </c>
      <c r="D25" s="22">
        <f>M25</f>
        <v>44638</v>
      </c>
      <c r="E25" s="26">
        <f t="shared" ref="E25:J25" si="6">IF(O25="","",IF(O25=0,1,0))</f>
        <v>1</v>
      </c>
      <c r="F25" s="26">
        <f t="shared" si="6"/>
        <v>1</v>
      </c>
      <c r="G25" s="26">
        <f t="shared" si="6"/>
        <v>1</v>
      </c>
      <c r="H25" s="26">
        <f>IF(R25="","",IF(R25=0,1,0))</f>
        <v>1</v>
      </c>
      <c r="I25" s="26">
        <f t="shared" si="6"/>
        <v>1</v>
      </c>
      <c r="J25" s="26">
        <f t="shared" si="6"/>
        <v>0</v>
      </c>
      <c r="L25" s="6"/>
      <c r="M25" s="21">
        <f>M24</f>
        <v>44638</v>
      </c>
      <c r="N25" s="10" t="s">
        <v>24</v>
      </c>
      <c r="O25" s="25">
        <v>0</v>
      </c>
      <c r="P25" s="25">
        <v>0</v>
      </c>
      <c r="Q25" s="25">
        <v>0</v>
      </c>
      <c r="R25" s="25">
        <v>0</v>
      </c>
      <c r="S25" s="25">
        <v>0</v>
      </c>
      <c r="T25" s="25">
        <v>10</v>
      </c>
      <c r="U25" s="25"/>
      <c r="Y25" s="58"/>
    </row>
    <row r="26" spans="2:27">
      <c r="B26" s="6"/>
      <c r="C26" s="12">
        <f ca="1">IF(D26&lt;=TODAY(),1,"")</f>
        <v>1</v>
      </c>
      <c r="D26" s="22">
        <f>IF(M26="","",M26)</f>
        <v>44645</v>
      </c>
      <c r="E26" s="26">
        <f t="shared" ref="E26" si="7">IF(O26="","",IF(O26=0,1,0))</f>
        <v>0</v>
      </c>
      <c r="F26" s="26">
        <f t="shared" ref="F26" si="8">IF(P26="","",IF(P26=0,1,0))</f>
        <v>0</v>
      </c>
      <c r="G26" s="26">
        <f t="shared" ref="G26" si="9">IF(Q26="","",IF(Q26=0,1,0))</f>
        <v>0</v>
      </c>
      <c r="H26" s="26">
        <f>IF(R26="","",IF(R26=0,1,0))</f>
        <v>0</v>
      </c>
      <c r="I26" s="26">
        <f t="shared" ref="I26" si="10">IF(S26="","",IF(S26=0,1,0))</f>
        <v>1</v>
      </c>
      <c r="J26" s="26">
        <f t="shared" ref="J26" si="11">IF(T26="","",IF(T26=0,1,0))</f>
        <v>1</v>
      </c>
      <c r="L26" s="6"/>
      <c r="M26" s="21">
        <f>M25+7</f>
        <v>44645</v>
      </c>
      <c r="N26" s="10" t="s">
        <v>24</v>
      </c>
      <c r="O26" s="25">
        <v>10</v>
      </c>
      <c r="P26" s="25">
        <v>10</v>
      </c>
      <c r="Q26" s="25">
        <v>10</v>
      </c>
      <c r="R26" s="25">
        <v>10</v>
      </c>
      <c r="S26" s="25">
        <v>0</v>
      </c>
      <c r="T26" s="25">
        <v>0</v>
      </c>
      <c r="U26" s="25"/>
    </row>
    <row r="27" spans="2:27">
      <c r="B27" s="6"/>
      <c r="C27" s="12">
        <f t="shared" ref="C27:C81" ca="1" si="12">IF(D27&lt;=TODAY(),1,"")</f>
        <v>1</v>
      </c>
      <c r="D27" s="22">
        <f t="shared" ref="D27:D81" si="13">IF(M27="","",M27)</f>
        <v>44652</v>
      </c>
      <c r="E27" s="26">
        <f t="shared" ref="E27:E30" si="14">IF(O27="","",IF(O27=0,1,0))</f>
        <v>0</v>
      </c>
      <c r="F27" s="26">
        <f t="shared" ref="F27:F30" si="15">IF(P27="","",IF(P27=0,1,0))</f>
        <v>0</v>
      </c>
      <c r="G27" s="26">
        <f t="shared" ref="G27:G30" si="16">IF(Q27="","",IF(Q27=0,1,0))</f>
        <v>0</v>
      </c>
      <c r="H27" s="26">
        <f t="shared" ref="H27:H30" si="17">IF(R27="","",IF(R27=0,1,0))</f>
        <v>0</v>
      </c>
      <c r="I27" s="26">
        <f t="shared" ref="I27:I30" si="18">IF(S27="","",IF(S27=0,1,0))</f>
        <v>1</v>
      </c>
      <c r="J27" s="26">
        <f t="shared" ref="J27:J30" si="19">IF(T27="","",IF(T27=0,1,0))</f>
        <v>1</v>
      </c>
      <c r="L27" s="6"/>
      <c r="M27" s="21">
        <f>M26+7</f>
        <v>44652</v>
      </c>
      <c r="N27" s="10" t="s">
        <v>24</v>
      </c>
      <c r="O27" s="25">
        <v>10</v>
      </c>
      <c r="P27" s="25">
        <v>10</v>
      </c>
      <c r="Q27" s="25">
        <v>10</v>
      </c>
      <c r="R27" s="25">
        <v>10</v>
      </c>
      <c r="S27" s="25">
        <v>0</v>
      </c>
      <c r="T27" s="25">
        <v>0</v>
      </c>
      <c r="U27" s="25"/>
    </row>
    <row r="28" spans="2:27">
      <c r="B28" s="6"/>
      <c r="C28" s="76"/>
      <c r="D28" s="77"/>
      <c r="E28" s="77"/>
      <c r="F28" s="77"/>
      <c r="G28" s="77" t="str">
        <f>IF(Q28="","",IF(Q28=0,1,0))</f>
        <v/>
      </c>
      <c r="H28" s="77"/>
      <c r="I28" s="77" t="str">
        <f t="shared" si="18"/>
        <v/>
      </c>
      <c r="J28" s="2"/>
      <c r="L28" s="6"/>
      <c r="M28" s="21">
        <f>M29</f>
        <v>44659</v>
      </c>
      <c r="N28" s="10" t="s">
        <v>46</v>
      </c>
      <c r="O28" s="25">
        <v>2.5</v>
      </c>
      <c r="P28" s="25"/>
      <c r="Q28" s="25"/>
      <c r="R28" s="25"/>
      <c r="S28" s="25"/>
      <c r="T28" s="25"/>
      <c r="U28" s="25"/>
    </row>
    <row r="29" spans="2:27">
      <c r="B29" s="6"/>
      <c r="C29" s="12">
        <f t="shared" ca="1" si="12"/>
        <v>1</v>
      </c>
      <c r="D29" s="22">
        <f t="shared" si="13"/>
        <v>44659</v>
      </c>
      <c r="E29" s="26">
        <f t="shared" si="14"/>
        <v>1</v>
      </c>
      <c r="F29" s="26">
        <f t="shared" si="15"/>
        <v>0</v>
      </c>
      <c r="G29" s="26">
        <f t="shared" si="16"/>
        <v>1</v>
      </c>
      <c r="H29" s="26">
        <f t="shared" si="17"/>
        <v>0</v>
      </c>
      <c r="I29" s="26">
        <f t="shared" si="18"/>
        <v>1</v>
      </c>
      <c r="J29" s="26">
        <f t="shared" si="19"/>
        <v>1</v>
      </c>
      <c r="L29" s="6"/>
      <c r="M29" s="21">
        <f>M27+7</f>
        <v>44659</v>
      </c>
      <c r="N29" s="10" t="s">
        <v>24</v>
      </c>
      <c r="O29" s="25">
        <v>0</v>
      </c>
      <c r="P29" s="25">
        <v>10</v>
      </c>
      <c r="Q29" s="25">
        <v>0</v>
      </c>
      <c r="R29" s="25">
        <v>10</v>
      </c>
      <c r="S29" s="25">
        <v>0</v>
      </c>
      <c r="T29" s="25">
        <v>0</v>
      </c>
      <c r="U29" s="25"/>
      <c r="V29" s="58"/>
    </row>
    <row r="30" spans="2:27">
      <c r="B30" s="6"/>
      <c r="C30" s="12">
        <f t="shared" ca="1" si="12"/>
        <v>1</v>
      </c>
      <c r="D30" s="22">
        <f t="shared" si="13"/>
        <v>44673</v>
      </c>
      <c r="E30" s="26">
        <f t="shared" si="14"/>
        <v>1</v>
      </c>
      <c r="F30" s="26">
        <f t="shared" si="15"/>
        <v>1</v>
      </c>
      <c r="G30" s="26">
        <f t="shared" si="16"/>
        <v>1</v>
      </c>
      <c r="H30" s="26">
        <f t="shared" si="17"/>
        <v>0</v>
      </c>
      <c r="I30" s="26">
        <f t="shared" si="18"/>
        <v>1</v>
      </c>
      <c r="J30" s="26">
        <f t="shared" si="19"/>
        <v>1</v>
      </c>
      <c r="L30" s="6"/>
      <c r="M30" s="21">
        <f>M29+14</f>
        <v>44673</v>
      </c>
      <c r="N30" s="10" t="s">
        <v>24</v>
      </c>
      <c r="O30" s="25">
        <v>0</v>
      </c>
      <c r="P30" s="25">
        <v>0</v>
      </c>
      <c r="Q30" s="25">
        <v>0</v>
      </c>
      <c r="R30" s="25">
        <v>10</v>
      </c>
      <c r="S30" s="25">
        <v>0</v>
      </c>
      <c r="T30" s="25">
        <v>0</v>
      </c>
      <c r="U30" s="25"/>
    </row>
    <row r="31" spans="2:27">
      <c r="B31" s="6"/>
      <c r="C31" s="12">
        <f t="shared" ca="1" si="12"/>
        <v>1</v>
      </c>
      <c r="D31" s="22">
        <f t="shared" si="13"/>
        <v>44680</v>
      </c>
      <c r="E31" s="26">
        <f t="shared" ref="E31:E81" si="20">IF(O31="","",IF(O31=0,1,0))</f>
        <v>1</v>
      </c>
      <c r="F31" s="26">
        <f t="shared" ref="F31:F81" si="21">IF(P31="","",IF(P31=0,1,0))</f>
        <v>1</v>
      </c>
      <c r="G31" s="26">
        <f t="shared" ref="G31:G81" si="22">IF(Q31="","",IF(Q31=0,1,0))</f>
        <v>1</v>
      </c>
      <c r="H31" s="26">
        <f t="shared" ref="H31:H81" si="23">IF(R31="","",IF(R31=0,1,0))</f>
        <v>0</v>
      </c>
      <c r="I31" s="26">
        <f t="shared" ref="I31:I81" si="24">IF(S31="","",IF(S31=0,1,0))</f>
        <v>1</v>
      </c>
      <c r="J31" s="26">
        <f t="shared" ref="J31:J81" si="25">IF(T31="","",IF(T31=0,1,0))</f>
        <v>1</v>
      </c>
      <c r="L31" s="6"/>
      <c r="M31" s="21">
        <f t="shared" ref="M31:M36" si="26">M30+7</f>
        <v>44680</v>
      </c>
      <c r="N31" s="10" t="s">
        <v>24</v>
      </c>
      <c r="O31" s="25">
        <v>0</v>
      </c>
      <c r="P31" s="25">
        <v>0</v>
      </c>
      <c r="Q31" s="25">
        <v>0</v>
      </c>
      <c r="R31" s="25">
        <v>10</v>
      </c>
      <c r="S31" s="25">
        <v>0</v>
      </c>
      <c r="T31" s="25">
        <v>0</v>
      </c>
      <c r="U31" s="25"/>
      <c r="AA31" s="58"/>
    </row>
    <row r="32" spans="2:27">
      <c r="B32" s="6"/>
      <c r="C32" s="12">
        <f t="shared" ca="1" si="12"/>
        <v>1</v>
      </c>
      <c r="D32" s="22">
        <f t="shared" si="13"/>
        <v>44687</v>
      </c>
      <c r="E32" s="26">
        <f t="shared" si="20"/>
        <v>0</v>
      </c>
      <c r="F32" s="26">
        <f t="shared" si="21"/>
        <v>1</v>
      </c>
      <c r="G32" s="26">
        <f t="shared" si="22"/>
        <v>0</v>
      </c>
      <c r="H32" s="26">
        <f t="shared" si="23"/>
        <v>0</v>
      </c>
      <c r="I32" s="26">
        <f t="shared" si="24"/>
        <v>0</v>
      </c>
      <c r="J32" s="26">
        <f t="shared" si="25"/>
        <v>1</v>
      </c>
      <c r="L32" s="6"/>
      <c r="M32" s="21">
        <f t="shared" si="26"/>
        <v>44687</v>
      </c>
      <c r="N32" s="10" t="s">
        <v>24</v>
      </c>
      <c r="O32" s="25">
        <v>10</v>
      </c>
      <c r="P32" s="25">
        <v>0</v>
      </c>
      <c r="Q32" s="25">
        <v>10</v>
      </c>
      <c r="R32" s="25">
        <v>10</v>
      </c>
      <c r="S32" s="25">
        <v>10</v>
      </c>
      <c r="T32" s="25">
        <v>0</v>
      </c>
      <c r="U32" s="25"/>
    </row>
    <row r="33" spans="2:28">
      <c r="B33" s="6"/>
      <c r="C33" s="12">
        <f t="shared" ca="1" si="12"/>
        <v>1</v>
      </c>
      <c r="D33" s="22">
        <f t="shared" si="13"/>
        <v>44694</v>
      </c>
      <c r="E33" s="26">
        <f t="shared" si="20"/>
        <v>1</v>
      </c>
      <c r="F33" s="26">
        <f t="shared" si="21"/>
        <v>1</v>
      </c>
      <c r="G33" s="26">
        <f t="shared" si="22"/>
        <v>1</v>
      </c>
      <c r="H33" s="26">
        <f t="shared" si="23"/>
        <v>1</v>
      </c>
      <c r="I33" s="26">
        <f t="shared" si="24"/>
        <v>1</v>
      </c>
      <c r="J33" s="26">
        <f t="shared" si="25"/>
        <v>0</v>
      </c>
      <c r="L33" s="6"/>
      <c r="M33" s="21">
        <f t="shared" si="26"/>
        <v>44694</v>
      </c>
      <c r="N33" s="10" t="s">
        <v>24</v>
      </c>
      <c r="O33" s="25">
        <v>0</v>
      </c>
      <c r="P33" s="25">
        <v>0</v>
      </c>
      <c r="Q33" s="25">
        <v>0</v>
      </c>
      <c r="R33" s="25">
        <v>0</v>
      </c>
      <c r="S33" s="25">
        <v>0</v>
      </c>
      <c r="T33" s="25">
        <v>10</v>
      </c>
      <c r="U33" s="25"/>
    </row>
    <row r="34" spans="2:28">
      <c r="B34" s="6"/>
      <c r="C34" s="12">
        <f t="shared" ca="1" si="12"/>
        <v>1</v>
      </c>
      <c r="D34" s="22">
        <f t="shared" si="13"/>
        <v>44701</v>
      </c>
      <c r="E34" s="26">
        <f t="shared" si="20"/>
        <v>1</v>
      </c>
      <c r="F34" s="26">
        <f t="shared" si="21"/>
        <v>1</v>
      </c>
      <c r="G34" s="26">
        <f t="shared" si="22"/>
        <v>1</v>
      </c>
      <c r="H34" s="26">
        <f t="shared" si="23"/>
        <v>1</v>
      </c>
      <c r="I34" s="26">
        <f t="shared" si="24"/>
        <v>1</v>
      </c>
      <c r="J34" s="26">
        <f t="shared" si="25"/>
        <v>0</v>
      </c>
      <c r="L34" s="6"/>
      <c r="M34" s="21">
        <f t="shared" si="26"/>
        <v>44701</v>
      </c>
      <c r="N34" s="10" t="s">
        <v>24</v>
      </c>
      <c r="O34" s="25">
        <v>0</v>
      </c>
      <c r="P34" s="25">
        <v>0</v>
      </c>
      <c r="Q34" s="25">
        <v>0</v>
      </c>
      <c r="R34" s="25">
        <v>0</v>
      </c>
      <c r="S34" s="25">
        <v>0</v>
      </c>
      <c r="T34" s="25">
        <v>10</v>
      </c>
      <c r="U34" s="25"/>
    </row>
    <row r="35" spans="2:28">
      <c r="B35" s="6"/>
      <c r="C35" s="12">
        <f t="shared" ca="1" si="12"/>
        <v>1</v>
      </c>
      <c r="D35" s="22">
        <f t="shared" si="13"/>
        <v>44708</v>
      </c>
      <c r="E35" s="26">
        <f t="shared" si="20"/>
        <v>1</v>
      </c>
      <c r="F35" s="26">
        <f t="shared" si="21"/>
        <v>1</v>
      </c>
      <c r="G35" s="26">
        <f t="shared" si="22"/>
        <v>0</v>
      </c>
      <c r="H35" s="26">
        <f t="shared" si="23"/>
        <v>0</v>
      </c>
      <c r="I35" s="26">
        <f t="shared" si="24"/>
        <v>1</v>
      </c>
      <c r="J35" s="26">
        <f t="shared" si="25"/>
        <v>1</v>
      </c>
      <c r="L35" s="6"/>
      <c r="M35" s="21">
        <f t="shared" si="26"/>
        <v>44708</v>
      </c>
      <c r="N35" s="10" t="s">
        <v>24</v>
      </c>
      <c r="O35" s="25">
        <v>0</v>
      </c>
      <c r="P35" s="25">
        <v>0</v>
      </c>
      <c r="Q35" s="25">
        <v>10</v>
      </c>
      <c r="R35" s="25">
        <v>10</v>
      </c>
      <c r="S35" s="25">
        <v>0</v>
      </c>
      <c r="T35" s="25">
        <v>0</v>
      </c>
      <c r="U35" s="25"/>
      <c r="AB35" s="58"/>
    </row>
    <row r="36" spans="2:28">
      <c r="B36" s="6"/>
      <c r="C36" s="12">
        <f t="shared" ca="1" si="12"/>
        <v>1</v>
      </c>
      <c r="D36" s="22">
        <f t="shared" si="13"/>
        <v>44715</v>
      </c>
      <c r="E36" s="26">
        <f t="shared" si="20"/>
        <v>0</v>
      </c>
      <c r="F36" s="26">
        <f t="shared" si="21"/>
        <v>1</v>
      </c>
      <c r="G36" s="26">
        <f t="shared" si="22"/>
        <v>0</v>
      </c>
      <c r="H36" s="26">
        <f t="shared" si="23"/>
        <v>0</v>
      </c>
      <c r="I36" s="26">
        <f t="shared" si="24"/>
        <v>0</v>
      </c>
      <c r="J36" s="26">
        <f t="shared" si="25"/>
        <v>1</v>
      </c>
      <c r="L36" s="6"/>
      <c r="M36" s="21">
        <f t="shared" si="26"/>
        <v>44715</v>
      </c>
      <c r="N36" s="10" t="s">
        <v>24</v>
      </c>
      <c r="O36" s="25">
        <v>10</v>
      </c>
      <c r="P36" s="25">
        <v>0</v>
      </c>
      <c r="Q36" s="25">
        <v>10</v>
      </c>
      <c r="R36" s="25">
        <v>10</v>
      </c>
      <c r="S36" s="25">
        <v>10</v>
      </c>
      <c r="T36" s="25">
        <v>0</v>
      </c>
      <c r="U36" s="25"/>
      <c r="AB36" s="58"/>
    </row>
    <row r="37" spans="2:28">
      <c r="B37" s="6"/>
      <c r="C37" s="12">
        <f t="shared" ca="1" si="12"/>
        <v>1</v>
      </c>
      <c r="D37" s="22">
        <f t="shared" si="13"/>
        <v>44722</v>
      </c>
      <c r="E37" s="26">
        <f t="shared" si="20"/>
        <v>1</v>
      </c>
      <c r="F37" s="26">
        <f t="shared" si="21"/>
        <v>1</v>
      </c>
      <c r="G37" s="26">
        <f t="shared" si="22"/>
        <v>0</v>
      </c>
      <c r="H37" s="26">
        <f t="shared" si="23"/>
        <v>0</v>
      </c>
      <c r="I37" s="26">
        <f t="shared" si="24"/>
        <v>0</v>
      </c>
      <c r="J37" s="26">
        <f t="shared" si="25"/>
        <v>1</v>
      </c>
      <c r="L37" s="6"/>
      <c r="M37" s="21">
        <f>M36+7</f>
        <v>44722</v>
      </c>
      <c r="N37" s="10" t="s">
        <v>24</v>
      </c>
      <c r="O37" s="25">
        <v>0</v>
      </c>
      <c r="P37" s="25">
        <v>0</v>
      </c>
      <c r="Q37" s="25">
        <v>10</v>
      </c>
      <c r="R37" s="25">
        <v>10</v>
      </c>
      <c r="S37" s="25">
        <v>10</v>
      </c>
      <c r="T37" s="25">
        <v>0</v>
      </c>
      <c r="U37" s="25"/>
    </row>
    <row r="38" spans="2:28" ht="16.5" customHeight="1">
      <c r="B38" s="6"/>
      <c r="C38" s="12">
        <f t="shared" ca="1" si="12"/>
        <v>1</v>
      </c>
      <c r="D38" s="22">
        <f t="shared" si="13"/>
        <v>44729</v>
      </c>
      <c r="E38" s="26">
        <f t="shared" si="20"/>
        <v>1</v>
      </c>
      <c r="F38" s="26">
        <f t="shared" si="21"/>
        <v>1</v>
      </c>
      <c r="G38" s="26">
        <f t="shared" si="22"/>
        <v>1</v>
      </c>
      <c r="H38" s="26">
        <f t="shared" si="23"/>
        <v>0</v>
      </c>
      <c r="I38" s="26">
        <f t="shared" si="24"/>
        <v>0</v>
      </c>
      <c r="J38" s="26">
        <f t="shared" si="25"/>
        <v>0</v>
      </c>
      <c r="K38" s="2"/>
      <c r="L38" s="23"/>
      <c r="M38" s="21">
        <f>M37+7</f>
        <v>44729</v>
      </c>
      <c r="N38" s="10" t="s">
        <v>24</v>
      </c>
      <c r="O38" s="25">
        <v>0</v>
      </c>
      <c r="P38" s="25">
        <v>0</v>
      </c>
      <c r="Q38" s="25">
        <v>0</v>
      </c>
      <c r="R38" s="25">
        <v>10</v>
      </c>
      <c r="S38" s="25">
        <v>10</v>
      </c>
      <c r="T38" s="25">
        <v>10</v>
      </c>
      <c r="U38" s="25"/>
    </row>
    <row r="39" spans="2:28" ht="16.5" customHeight="1">
      <c r="B39" s="6"/>
      <c r="C39" s="12">
        <f t="shared" ca="1" si="12"/>
        <v>1</v>
      </c>
      <c r="D39" s="22">
        <f t="shared" si="13"/>
        <v>44736</v>
      </c>
      <c r="E39" s="26">
        <f t="shared" si="20"/>
        <v>0</v>
      </c>
      <c r="F39" s="26">
        <f t="shared" si="21"/>
        <v>1</v>
      </c>
      <c r="G39" s="26">
        <f t="shared" si="22"/>
        <v>1</v>
      </c>
      <c r="H39" s="26">
        <f t="shared" si="23"/>
        <v>0</v>
      </c>
      <c r="I39" s="26">
        <f t="shared" si="24"/>
        <v>1</v>
      </c>
      <c r="J39" s="26">
        <f t="shared" si="25"/>
        <v>1</v>
      </c>
      <c r="K39" s="2"/>
      <c r="L39" s="23"/>
      <c r="M39" s="21">
        <f>M38+7</f>
        <v>44736</v>
      </c>
      <c r="N39" s="10" t="s">
        <v>24</v>
      </c>
      <c r="O39" s="25">
        <v>10</v>
      </c>
      <c r="P39" s="25">
        <v>0</v>
      </c>
      <c r="Q39" s="25">
        <v>0</v>
      </c>
      <c r="R39" s="25">
        <v>10</v>
      </c>
      <c r="S39" s="25">
        <v>0</v>
      </c>
      <c r="T39" s="25">
        <v>0</v>
      </c>
      <c r="U39" s="25"/>
    </row>
    <row r="40" spans="2:28" ht="16.5" customHeight="1">
      <c r="B40" s="6"/>
      <c r="C40" s="76"/>
      <c r="D40" s="77"/>
      <c r="E40" s="77"/>
      <c r="F40" s="77"/>
      <c r="G40" s="77" t="str">
        <f>IF(Q40="","",IF(Q40=0,1,0))</f>
        <v/>
      </c>
      <c r="H40" s="77"/>
      <c r="I40" s="77" t="str">
        <f t="shared" si="24"/>
        <v/>
      </c>
      <c r="J40" s="2"/>
      <c r="L40" s="6"/>
      <c r="M40" s="21">
        <f>M39+7</f>
        <v>44743</v>
      </c>
      <c r="N40" s="10" t="s">
        <v>292</v>
      </c>
      <c r="O40" s="25">
        <v>5</v>
      </c>
      <c r="P40" s="25"/>
      <c r="Q40" s="25"/>
      <c r="R40" s="25"/>
      <c r="S40" s="25"/>
      <c r="T40" s="25"/>
      <c r="U40" s="25"/>
    </row>
    <row r="41" spans="2:28" ht="16.5" customHeight="1">
      <c r="B41" s="6"/>
      <c r="C41" s="12">
        <f t="shared" ca="1" si="12"/>
        <v>1</v>
      </c>
      <c r="D41" s="22">
        <f t="shared" si="13"/>
        <v>44743</v>
      </c>
      <c r="E41" s="26">
        <f t="shared" si="20"/>
        <v>0</v>
      </c>
      <c r="F41" s="26">
        <f t="shared" si="21"/>
        <v>1</v>
      </c>
      <c r="G41" s="26">
        <f t="shared" si="22"/>
        <v>1</v>
      </c>
      <c r="H41" s="26">
        <f t="shared" si="23"/>
        <v>0</v>
      </c>
      <c r="I41" s="26">
        <f t="shared" si="24"/>
        <v>1</v>
      </c>
      <c r="J41" s="26">
        <f t="shared" si="25"/>
        <v>1</v>
      </c>
      <c r="L41" s="6"/>
      <c r="M41" s="21">
        <f>M40</f>
        <v>44743</v>
      </c>
      <c r="N41" s="10" t="s">
        <v>24</v>
      </c>
      <c r="O41" s="25">
        <v>10</v>
      </c>
      <c r="P41" s="25">
        <v>0</v>
      </c>
      <c r="Q41" s="25">
        <v>0</v>
      </c>
      <c r="R41" s="25">
        <v>10</v>
      </c>
      <c r="S41" s="25">
        <v>0</v>
      </c>
      <c r="T41" s="25">
        <v>0</v>
      </c>
      <c r="U41" s="25"/>
    </row>
    <row r="42" spans="2:28" ht="16.5" customHeight="1">
      <c r="B42" s="6"/>
      <c r="C42" s="12">
        <f t="shared" ca="1" si="12"/>
        <v>1</v>
      </c>
      <c r="D42" s="22">
        <f t="shared" si="13"/>
        <v>44750</v>
      </c>
      <c r="E42" s="26">
        <f t="shared" si="20"/>
        <v>0</v>
      </c>
      <c r="F42" s="26">
        <f t="shared" si="21"/>
        <v>0</v>
      </c>
      <c r="G42" s="26">
        <f t="shared" si="22"/>
        <v>0</v>
      </c>
      <c r="H42" s="26">
        <f t="shared" si="23"/>
        <v>0</v>
      </c>
      <c r="I42" s="26">
        <f t="shared" si="24"/>
        <v>1</v>
      </c>
      <c r="J42" s="26">
        <f t="shared" si="25"/>
        <v>1</v>
      </c>
      <c r="L42" s="6"/>
      <c r="M42" s="21">
        <v>44750</v>
      </c>
      <c r="N42" s="10" t="s">
        <v>24</v>
      </c>
      <c r="O42" s="25">
        <v>10</v>
      </c>
      <c r="P42" s="25">
        <v>10</v>
      </c>
      <c r="Q42" s="25">
        <v>10</v>
      </c>
      <c r="R42" s="25">
        <v>10</v>
      </c>
      <c r="S42" s="25">
        <v>0</v>
      </c>
      <c r="T42" s="25">
        <v>0</v>
      </c>
      <c r="U42" s="25"/>
      <c r="W42" s="48"/>
    </row>
    <row r="43" spans="2:28" ht="16.5" customHeight="1">
      <c r="B43" s="6"/>
      <c r="C43" s="12">
        <f t="shared" ca="1" si="12"/>
        <v>1</v>
      </c>
      <c r="D43" s="22">
        <f t="shared" si="13"/>
        <v>44757</v>
      </c>
      <c r="E43" s="26">
        <f t="shared" si="20"/>
        <v>0</v>
      </c>
      <c r="F43" s="26">
        <f t="shared" si="21"/>
        <v>1</v>
      </c>
      <c r="G43" s="26">
        <f t="shared" si="22"/>
        <v>0</v>
      </c>
      <c r="H43" s="26">
        <f t="shared" si="23"/>
        <v>1</v>
      </c>
      <c r="I43" s="26">
        <f t="shared" si="24"/>
        <v>1</v>
      </c>
      <c r="J43" s="26">
        <f t="shared" si="25"/>
        <v>1</v>
      </c>
      <c r="L43" s="6"/>
      <c r="M43" s="21">
        <v>44757</v>
      </c>
      <c r="N43" s="10" t="s">
        <v>24</v>
      </c>
      <c r="O43" s="25">
        <v>10</v>
      </c>
      <c r="P43" s="25">
        <v>0</v>
      </c>
      <c r="Q43" s="25">
        <v>10</v>
      </c>
      <c r="R43" s="25">
        <v>0</v>
      </c>
      <c r="S43" s="25">
        <v>0</v>
      </c>
      <c r="T43" s="25">
        <v>0</v>
      </c>
      <c r="U43" s="25"/>
      <c r="W43" s="48"/>
    </row>
    <row r="44" spans="2:28" ht="16.5" customHeight="1">
      <c r="B44" s="6"/>
      <c r="C44" s="76"/>
      <c r="D44" s="77"/>
      <c r="E44" s="77"/>
      <c r="F44" s="77"/>
      <c r="G44" s="77" t="str">
        <f>IF(Q44="","",IF(Q44=0,1,0))</f>
        <v/>
      </c>
      <c r="H44" s="77"/>
      <c r="I44" s="77" t="str">
        <f t="shared" ref="I44" si="27">IF(S44="","",IF(S44=0,1,0))</f>
        <v/>
      </c>
      <c r="J44" s="2"/>
      <c r="L44" s="6"/>
      <c r="M44" s="21">
        <v>44757</v>
      </c>
      <c r="N44" s="10" t="s">
        <v>46</v>
      </c>
      <c r="O44" s="25"/>
      <c r="P44" s="25"/>
      <c r="Q44" s="25"/>
      <c r="R44" s="25"/>
      <c r="S44" s="25"/>
      <c r="T44" s="25">
        <v>2.5</v>
      </c>
      <c r="U44" s="25"/>
      <c r="W44" s="48"/>
    </row>
    <row r="45" spans="2:28" ht="16.5" customHeight="1">
      <c r="B45" s="6"/>
      <c r="C45" s="12">
        <f t="shared" ca="1" si="12"/>
        <v>1</v>
      </c>
      <c r="D45" s="22">
        <f t="shared" si="13"/>
        <v>44764</v>
      </c>
      <c r="E45" s="26">
        <f t="shared" si="20"/>
        <v>0</v>
      </c>
      <c r="F45" s="26">
        <f t="shared" si="21"/>
        <v>1</v>
      </c>
      <c r="G45" s="26">
        <f t="shared" si="22"/>
        <v>0</v>
      </c>
      <c r="H45" s="26">
        <f t="shared" si="23"/>
        <v>1</v>
      </c>
      <c r="I45" s="26">
        <f t="shared" si="24"/>
        <v>1</v>
      </c>
      <c r="J45" s="26">
        <f t="shared" si="25"/>
        <v>0</v>
      </c>
      <c r="L45" s="6"/>
      <c r="M45" s="21">
        <v>44764</v>
      </c>
      <c r="N45" s="10" t="s">
        <v>24</v>
      </c>
      <c r="O45" s="25">
        <v>10</v>
      </c>
      <c r="P45" s="25">
        <v>0</v>
      </c>
      <c r="Q45" s="25">
        <v>10</v>
      </c>
      <c r="R45" s="25">
        <v>0</v>
      </c>
      <c r="S45" s="25">
        <v>0</v>
      </c>
      <c r="T45" s="25">
        <v>10</v>
      </c>
      <c r="U45" s="25"/>
      <c r="W45" s="48"/>
    </row>
    <row r="46" spans="2:28" ht="16.5" customHeight="1">
      <c r="B46" s="6"/>
      <c r="C46" s="12">
        <f t="shared" ca="1" si="12"/>
        <v>1</v>
      </c>
      <c r="D46" s="22">
        <f t="shared" si="13"/>
        <v>44771</v>
      </c>
      <c r="E46" s="26">
        <f t="shared" si="20"/>
        <v>1</v>
      </c>
      <c r="F46" s="26">
        <f t="shared" si="21"/>
        <v>1</v>
      </c>
      <c r="G46" s="26">
        <f t="shared" si="22"/>
        <v>1</v>
      </c>
      <c r="H46" s="26">
        <f t="shared" si="23"/>
        <v>1</v>
      </c>
      <c r="I46" s="26">
        <f t="shared" si="24"/>
        <v>1</v>
      </c>
      <c r="J46" s="26">
        <f t="shared" si="25"/>
        <v>1</v>
      </c>
      <c r="L46" s="6"/>
      <c r="M46" s="21">
        <f t="shared" ref="M46:M52" si="28">M45+7</f>
        <v>44771</v>
      </c>
      <c r="N46" s="10" t="s">
        <v>24</v>
      </c>
      <c r="O46" s="25">
        <v>0</v>
      </c>
      <c r="P46" s="25">
        <v>0</v>
      </c>
      <c r="Q46" s="25">
        <v>0</v>
      </c>
      <c r="R46" s="25">
        <v>0</v>
      </c>
      <c r="S46" s="25">
        <v>0</v>
      </c>
      <c r="T46" s="25">
        <v>0</v>
      </c>
      <c r="U46" s="25"/>
      <c r="W46" s="48"/>
    </row>
    <row r="47" spans="2:28" ht="16.5" customHeight="1">
      <c r="B47" s="6"/>
      <c r="C47" s="12">
        <f t="shared" ca="1" si="12"/>
        <v>1</v>
      </c>
      <c r="D47" s="22">
        <f t="shared" si="13"/>
        <v>44778</v>
      </c>
      <c r="E47" s="26">
        <f t="shared" si="20"/>
        <v>0</v>
      </c>
      <c r="F47" s="26">
        <f t="shared" si="21"/>
        <v>1</v>
      </c>
      <c r="G47" s="26">
        <f t="shared" si="22"/>
        <v>1</v>
      </c>
      <c r="H47" s="26" t="str">
        <f t="shared" si="23"/>
        <v/>
      </c>
      <c r="I47" s="26">
        <f t="shared" si="24"/>
        <v>1</v>
      </c>
      <c r="J47" s="26">
        <f t="shared" si="25"/>
        <v>1</v>
      </c>
      <c r="L47" s="6"/>
      <c r="M47" s="21">
        <f t="shared" si="28"/>
        <v>44778</v>
      </c>
      <c r="N47" s="10" t="s">
        <v>24</v>
      </c>
      <c r="O47" s="25">
        <v>12</v>
      </c>
      <c r="P47" s="25">
        <v>0</v>
      </c>
      <c r="Q47" s="25">
        <v>0</v>
      </c>
      <c r="R47" s="25"/>
      <c r="S47" s="25">
        <v>0</v>
      </c>
      <c r="T47" s="25">
        <v>0</v>
      </c>
      <c r="U47" s="25"/>
      <c r="W47" s="48"/>
    </row>
    <row r="48" spans="2:28" ht="16.5" customHeight="1">
      <c r="B48" s="6"/>
      <c r="C48" s="12">
        <f t="shared" ca="1" si="12"/>
        <v>1</v>
      </c>
      <c r="D48" s="22">
        <f t="shared" si="13"/>
        <v>44785</v>
      </c>
      <c r="E48" s="26">
        <f t="shared" si="20"/>
        <v>1</v>
      </c>
      <c r="F48" s="26">
        <f t="shared" si="21"/>
        <v>1</v>
      </c>
      <c r="G48" s="26">
        <f t="shared" si="22"/>
        <v>1</v>
      </c>
      <c r="H48" s="26" t="str">
        <f t="shared" si="23"/>
        <v/>
      </c>
      <c r="I48" s="26">
        <f t="shared" si="24"/>
        <v>1</v>
      </c>
      <c r="J48" s="26">
        <f t="shared" si="25"/>
        <v>1</v>
      </c>
      <c r="L48" s="6"/>
      <c r="M48" s="21">
        <f t="shared" si="28"/>
        <v>44785</v>
      </c>
      <c r="N48" s="10" t="s">
        <v>24</v>
      </c>
      <c r="O48" s="25">
        <v>0</v>
      </c>
      <c r="P48" s="25">
        <v>0</v>
      </c>
      <c r="Q48" s="25">
        <v>0</v>
      </c>
      <c r="R48" s="25"/>
      <c r="S48" s="25">
        <v>0</v>
      </c>
      <c r="T48" s="25">
        <v>0</v>
      </c>
      <c r="U48" s="25"/>
      <c r="W48" s="48"/>
    </row>
    <row r="49" spans="1:29" ht="16.5" customHeight="1">
      <c r="B49" s="6"/>
      <c r="C49" s="12">
        <f t="shared" ca="1" si="12"/>
        <v>1</v>
      </c>
      <c r="D49" s="22">
        <f t="shared" si="13"/>
        <v>44792</v>
      </c>
      <c r="E49" s="26">
        <f t="shared" si="20"/>
        <v>0</v>
      </c>
      <c r="F49" s="26">
        <f t="shared" si="21"/>
        <v>1</v>
      </c>
      <c r="G49" s="26">
        <f t="shared" si="22"/>
        <v>0</v>
      </c>
      <c r="H49" s="26" t="str">
        <f t="shared" si="23"/>
        <v/>
      </c>
      <c r="I49" s="26">
        <f t="shared" si="24"/>
        <v>1</v>
      </c>
      <c r="J49" s="26">
        <f t="shared" si="25"/>
        <v>1</v>
      </c>
      <c r="L49" s="6"/>
      <c r="M49" s="21">
        <f t="shared" si="28"/>
        <v>44792</v>
      </c>
      <c r="N49" s="10" t="s">
        <v>24</v>
      </c>
      <c r="O49" s="25">
        <v>12</v>
      </c>
      <c r="P49" s="25">
        <v>0</v>
      </c>
      <c r="Q49" s="25">
        <v>12</v>
      </c>
      <c r="R49" s="25"/>
      <c r="S49" s="25">
        <v>0</v>
      </c>
      <c r="T49" s="25">
        <v>0</v>
      </c>
      <c r="U49" s="25"/>
      <c r="W49" s="48"/>
    </row>
    <row r="50" spans="1:29" ht="16.5" customHeight="1">
      <c r="B50" s="6"/>
      <c r="C50" s="12">
        <f t="shared" ca="1" si="12"/>
        <v>1</v>
      </c>
      <c r="D50" s="22">
        <f t="shared" si="13"/>
        <v>44799</v>
      </c>
      <c r="E50" s="26">
        <f t="shared" si="20"/>
        <v>0</v>
      </c>
      <c r="F50" s="26">
        <f t="shared" si="21"/>
        <v>1</v>
      </c>
      <c r="G50" s="26">
        <f t="shared" si="22"/>
        <v>1</v>
      </c>
      <c r="H50" s="26" t="str">
        <f t="shared" si="23"/>
        <v/>
      </c>
      <c r="I50" s="26">
        <f t="shared" si="24"/>
        <v>1</v>
      </c>
      <c r="J50" s="26">
        <f t="shared" si="25"/>
        <v>1</v>
      </c>
      <c r="L50" s="6"/>
      <c r="M50" s="21">
        <f t="shared" si="28"/>
        <v>44799</v>
      </c>
      <c r="N50" s="10" t="s">
        <v>24</v>
      </c>
      <c r="O50" s="25">
        <v>12</v>
      </c>
      <c r="P50" s="25">
        <v>0</v>
      </c>
      <c r="Q50" s="25">
        <v>0</v>
      </c>
      <c r="R50" s="25"/>
      <c r="S50" s="25">
        <v>0</v>
      </c>
      <c r="T50" s="25">
        <v>0</v>
      </c>
      <c r="U50" s="25"/>
    </row>
    <row r="51" spans="1:29" ht="16.5" customHeight="1">
      <c r="B51" s="6"/>
      <c r="C51" s="12">
        <f t="shared" ca="1" si="12"/>
        <v>1</v>
      </c>
      <c r="D51" s="22">
        <f t="shared" si="13"/>
        <v>44806</v>
      </c>
      <c r="E51" s="26">
        <f t="shared" si="20"/>
        <v>1</v>
      </c>
      <c r="F51" s="26">
        <f t="shared" si="21"/>
        <v>0</v>
      </c>
      <c r="G51" s="26">
        <f t="shared" si="22"/>
        <v>1</v>
      </c>
      <c r="H51" s="26" t="str">
        <f t="shared" si="23"/>
        <v/>
      </c>
      <c r="I51" s="26">
        <f t="shared" si="24"/>
        <v>1</v>
      </c>
      <c r="J51" s="26">
        <f t="shared" si="25"/>
        <v>1</v>
      </c>
      <c r="L51" s="6"/>
      <c r="M51" s="21">
        <f t="shared" si="28"/>
        <v>44806</v>
      </c>
      <c r="N51" s="10" t="s">
        <v>24</v>
      </c>
      <c r="O51" s="25">
        <v>0</v>
      </c>
      <c r="P51" s="25">
        <v>12</v>
      </c>
      <c r="Q51" s="25">
        <v>0</v>
      </c>
      <c r="R51" s="25"/>
      <c r="S51" s="25">
        <v>0</v>
      </c>
      <c r="T51" s="25">
        <v>0</v>
      </c>
      <c r="U51" s="25"/>
    </row>
    <row r="52" spans="1:29" ht="16.5" customHeight="1">
      <c r="B52" s="6"/>
      <c r="C52" s="12">
        <f t="shared" ca="1" si="12"/>
        <v>1</v>
      </c>
      <c r="D52" s="22">
        <f t="shared" si="13"/>
        <v>44813</v>
      </c>
      <c r="E52" s="26">
        <f t="shared" si="20"/>
        <v>0</v>
      </c>
      <c r="F52" s="26">
        <f t="shared" si="21"/>
        <v>0</v>
      </c>
      <c r="G52" s="26">
        <f t="shared" si="22"/>
        <v>1</v>
      </c>
      <c r="H52" s="26" t="str">
        <f t="shared" si="23"/>
        <v/>
      </c>
      <c r="I52" s="26">
        <f t="shared" si="24"/>
        <v>1</v>
      </c>
      <c r="J52" s="26">
        <f t="shared" si="25"/>
        <v>1</v>
      </c>
      <c r="L52" s="6"/>
      <c r="M52" s="21">
        <f t="shared" si="28"/>
        <v>44813</v>
      </c>
      <c r="N52" s="10" t="s">
        <v>24</v>
      </c>
      <c r="O52" s="25">
        <v>12</v>
      </c>
      <c r="P52" s="25">
        <v>12</v>
      </c>
      <c r="Q52" s="25">
        <v>0</v>
      </c>
      <c r="R52" s="25"/>
      <c r="S52" s="25">
        <v>0</v>
      </c>
      <c r="T52" s="25">
        <v>0</v>
      </c>
      <c r="U52" s="25"/>
    </row>
    <row r="53" spans="1:29" s="52" customFormat="1" ht="16.5" customHeight="1">
      <c r="A53" s="1"/>
      <c r="B53" s="1"/>
      <c r="C53" s="12">
        <f t="shared" ca="1" si="12"/>
        <v>1</v>
      </c>
      <c r="D53" s="22">
        <f t="shared" si="13"/>
        <v>44820</v>
      </c>
      <c r="E53" s="26">
        <f t="shared" si="20"/>
        <v>1</v>
      </c>
      <c r="F53" s="26">
        <f t="shared" si="21"/>
        <v>1</v>
      </c>
      <c r="G53" s="26">
        <f t="shared" si="22"/>
        <v>0</v>
      </c>
      <c r="H53" s="26" t="str">
        <f t="shared" si="23"/>
        <v/>
      </c>
      <c r="I53" s="26">
        <f t="shared" si="24"/>
        <v>1</v>
      </c>
      <c r="J53" s="26">
        <f t="shared" si="25"/>
        <v>0</v>
      </c>
      <c r="L53" s="51"/>
      <c r="M53" s="21">
        <f t="shared" ref="M53" si="29">M52+7</f>
        <v>44820</v>
      </c>
      <c r="N53" s="10" t="s">
        <v>24</v>
      </c>
      <c r="O53" s="25">
        <v>0</v>
      </c>
      <c r="P53" s="25">
        <v>0</v>
      </c>
      <c r="Q53" s="25">
        <v>12</v>
      </c>
      <c r="R53" s="25"/>
      <c r="S53" s="25">
        <v>0</v>
      </c>
      <c r="T53" s="25">
        <v>12</v>
      </c>
      <c r="U53" s="25"/>
    </row>
    <row r="54" spans="1:29">
      <c r="C54" s="12">
        <f t="shared" ca="1" si="12"/>
        <v>1</v>
      </c>
      <c r="D54" s="22">
        <f t="shared" si="13"/>
        <v>44827</v>
      </c>
      <c r="E54" s="26">
        <f t="shared" si="20"/>
        <v>0</v>
      </c>
      <c r="F54" s="26">
        <f t="shared" si="21"/>
        <v>1</v>
      </c>
      <c r="G54" s="26">
        <f t="shared" si="22"/>
        <v>1</v>
      </c>
      <c r="H54" s="26" t="str">
        <f t="shared" si="23"/>
        <v/>
      </c>
      <c r="I54" s="26">
        <f t="shared" si="24"/>
        <v>1</v>
      </c>
      <c r="J54" s="26">
        <f t="shared" si="25"/>
        <v>1</v>
      </c>
      <c r="M54" s="21">
        <f t="shared" ref="M54" si="30">M53+7</f>
        <v>44827</v>
      </c>
      <c r="N54" s="10" t="s">
        <v>24</v>
      </c>
      <c r="O54" s="25">
        <v>12</v>
      </c>
      <c r="P54" s="25">
        <v>0</v>
      </c>
      <c r="Q54" s="25">
        <v>0</v>
      </c>
      <c r="R54" s="25"/>
      <c r="S54" s="25">
        <v>0</v>
      </c>
      <c r="T54" s="25">
        <v>0</v>
      </c>
      <c r="U54" s="50"/>
    </row>
    <row r="55" spans="1:29">
      <c r="C55" s="12">
        <f t="shared" ca="1" si="12"/>
        <v>1</v>
      </c>
      <c r="D55" s="22">
        <f t="shared" si="13"/>
        <v>44834</v>
      </c>
      <c r="E55" s="26">
        <f t="shared" si="20"/>
        <v>0</v>
      </c>
      <c r="F55" s="26">
        <f t="shared" si="21"/>
        <v>1</v>
      </c>
      <c r="G55" s="26">
        <f t="shared" si="22"/>
        <v>1</v>
      </c>
      <c r="H55" s="26" t="str">
        <f t="shared" si="23"/>
        <v/>
      </c>
      <c r="I55" s="26">
        <f t="shared" si="24"/>
        <v>1</v>
      </c>
      <c r="J55" s="26">
        <f t="shared" si="25"/>
        <v>1</v>
      </c>
      <c r="M55" s="21">
        <f>M54+7</f>
        <v>44834</v>
      </c>
      <c r="N55" s="10" t="s">
        <v>24</v>
      </c>
      <c r="O55" s="25">
        <v>12</v>
      </c>
      <c r="P55" s="25">
        <v>0</v>
      </c>
      <c r="Q55" s="25">
        <v>0</v>
      </c>
      <c r="R55" s="25"/>
      <c r="S55" s="25">
        <v>0</v>
      </c>
      <c r="T55" s="25">
        <v>0</v>
      </c>
      <c r="U55" s="25"/>
      <c r="W55" s="36"/>
      <c r="X55" s="36"/>
      <c r="Y55" s="36"/>
      <c r="Z55" s="36"/>
      <c r="AA55" s="36"/>
      <c r="AB55" s="36"/>
      <c r="AC55" s="36"/>
    </row>
    <row r="56" spans="1:29">
      <c r="C56" s="12">
        <f t="shared" ca="1" si="12"/>
        <v>1</v>
      </c>
      <c r="D56" s="22">
        <f t="shared" si="13"/>
        <v>44841</v>
      </c>
      <c r="E56" s="26">
        <f t="shared" si="20"/>
        <v>1</v>
      </c>
      <c r="F56" s="26">
        <f t="shared" si="21"/>
        <v>0</v>
      </c>
      <c r="G56" s="26">
        <f t="shared" si="22"/>
        <v>1</v>
      </c>
      <c r="H56" s="26" t="str">
        <f t="shared" si="23"/>
        <v/>
      </c>
      <c r="I56" s="26">
        <f t="shared" si="24"/>
        <v>0</v>
      </c>
      <c r="J56" s="26">
        <f t="shared" si="25"/>
        <v>0</v>
      </c>
      <c r="M56" s="21">
        <f t="shared" ref="M56" si="31">M55+7</f>
        <v>44841</v>
      </c>
      <c r="N56" s="10" t="s">
        <v>24</v>
      </c>
      <c r="O56" s="25">
        <v>0</v>
      </c>
      <c r="P56" s="25">
        <v>12</v>
      </c>
      <c r="Q56" s="25">
        <v>0</v>
      </c>
      <c r="R56" s="25"/>
      <c r="S56" s="25">
        <v>12</v>
      </c>
      <c r="T56" s="25">
        <v>12</v>
      </c>
      <c r="U56" s="25"/>
    </row>
    <row r="57" spans="1:29">
      <c r="C57" s="76"/>
      <c r="D57" s="77"/>
      <c r="E57" s="77"/>
      <c r="F57" s="77"/>
      <c r="G57" s="77">
        <f>IF(Q57="","",IF(Q57=0,1,0))</f>
        <v>0</v>
      </c>
      <c r="H57" s="77"/>
      <c r="I57" s="77" t="str">
        <f t="shared" si="24"/>
        <v/>
      </c>
      <c r="J57" s="2"/>
      <c r="L57" s="6"/>
      <c r="M57" s="21">
        <f>M58</f>
        <v>44848</v>
      </c>
      <c r="N57" s="10" t="s">
        <v>46</v>
      </c>
      <c r="O57" s="25"/>
      <c r="P57" s="25"/>
      <c r="Q57" s="25">
        <v>3</v>
      </c>
      <c r="R57" s="25"/>
      <c r="S57" s="25"/>
      <c r="T57" s="25"/>
      <c r="U57" s="25"/>
    </row>
    <row r="58" spans="1:29">
      <c r="C58" s="12">
        <f t="shared" ca="1" si="12"/>
        <v>1</v>
      </c>
      <c r="D58" s="22">
        <f t="shared" si="13"/>
        <v>44848</v>
      </c>
      <c r="E58" s="26">
        <f t="shared" si="20"/>
        <v>0</v>
      </c>
      <c r="F58" s="26">
        <f t="shared" si="21"/>
        <v>1</v>
      </c>
      <c r="G58" s="26">
        <f t="shared" si="22"/>
        <v>1</v>
      </c>
      <c r="H58" s="26" t="str">
        <f t="shared" si="23"/>
        <v/>
      </c>
      <c r="I58" s="26">
        <f t="shared" si="24"/>
        <v>1</v>
      </c>
      <c r="J58" s="26">
        <f t="shared" si="25"/>
        <v>1</v>
      </c>
      <c r="M58" s="21">
        <f>M56+7</f>
        <v>44848</v>
      </c>
      <c r="N58" s="10" t="s">
        <v>24</v>
      </c>
      <c r="O58" s="25">
        <v>12</v>
      </c>
      <c r="P58" s="25">
        <v>0</v>
      </c>
      <c r="Q58" s="25">
        <v>0</v>
      </c>
      <c r="R58" s="25"/>
      <c r="S58" s="25">
        <v>0</v>
      </c>
      <c r="T58" s="25">
        <v>0</v>
      </c>
      <c r="U58" s="25"/>
    </row>
    <row r="59" spans="1:29">
      <c r="C59" s="76"/>
      <c r="D59" s="77"/>
      <c r="E59" s="77"/>
      <c r="F59" s="77"/>
      <c r="G59" s="77" t="str">
        <f>IF(Q59="","",IF(Q59=0,1,0))</f>
        <v/>
      </c>
      <c r="H59" s="77"/>
      <c r="I59" s="77" t="str">
        <f t="shared" ref="I59" si="32">IF(S59="","",IF(S59=0,1,0))</f>
        <v/>
      </c>
      <c r="J59" s="2"/>
      <c r="L59" s="6"/>
      <c r="M59" s="21">
        <f>M60</f>
        <v>44855</v>
      </c>
      <c r="N59" s="10" t="s">
        <v>46</v>
      </c>
      <c r="O59" s="25">
        <v>3</v>
      </c>
      <c r="P59" s="25"/>
      <c r="Q59" s="25"/>
      <c r="R59" s="25"/>
      <c r="S59" s="25"/>
      <c r="T59" s="25"/>
      <c r="U59" s="25"/>
    </row>
    <row r="60" spans="1:29">
      <c r="C60" s="12">
        <f t="shared" ca="1" si="12"/>
        <v>1</v>
      </c>
      <c r="D60" s="22">
        <f t="shared" si="13"/>
        <v>44855</v>
      </c>
      <c r="E60" s="26">
        <f t="shared" si="20"/>
        <v>1</v>
      </c>
      <c r="F60" s="26">
        <f t="shared" si="21"/>
        <v>0</v>
      </c>
      <c r="G60" s="26">
        <f t="shared" si="22"/>
        <v>0</v>
      </c>
      <c r="H60" s="26" t="str">
        <f t="shared" si="23"/>
        <v/>
      </c>
      <c r="I60" s="26">
        <f t="shared" si="24"/>
        <v>1</v>
      </c>
      <c r="J60" s="26">
        <f t="shared" si="25"/>
        <v>1</v>
      </c>
      <c r="M60" s="21">
        <f>M58+7</f>
        <v>44855</v>
      </c>
      <c r="N60" s="10" t="s">
        <v>24</v>
      </c>
      <c r="O60" s="25">
        <v>0</v>
      </c>
      <c r="P60" s="25">
        <v>12</v>
      </c>
      <c r="Q60" s="25">
        <v>12</v>
      </c>
      <c r="R60" s="25"/>
      <c r="S60" s="25">
        <v>0</v>
      </c>
      <c r="T60" s="25">
        <v>0</v>
      </c>
      <c r="U60" s="25"/>
    </row>
    <row r="61" spans="1:29">
      <c r="C61" s="76"/>
      <c r="D61" s="77"/>
      <c r="E61" s="77" t="str">
        <f t="shared" ref="E61" si="33">IF(O61="","",IF(O61=0,1,0))</f>
        <v/>
      </c>
      <c r="F61" s="77"/>
      <c r="G61" s="77" t="str">
        <f>IF(Q61="","",IF(Q61=0,1,0))</f>
        <v/>
      </c>
      <c r="H61" s="77"/>
      <c r="I61" s="77" t="str">
        <f t="shared" si="24"/>
        <v/>
      </c>
      <c r="J61" s="2"/>
      <c r="L61" s="6"/>
      <c r="M61" s="21">
        <f>M62</f>
        <v>44862</v>
      </c>
      <c r="N61" s="10" t="s">
        <v>46</v>
      </c>
      <c r="O61" s="25"/>
      <c r="P61" s="25">
        <v>3</v>
      </c>
      <c r="Q61" s="25"/>
      <c r="R61" s="25"/>
      <c r="S61" s="25"/>
      <c r="T61" s="25"/>
      <c r="U61" s="25"/>
    </row>
    <row r="62" spans="1:29">
      <c r="C62" s="12">
        <f t="shared" ca="1" si="12"/>
        <v>1</v>
      </c>
      <c r="D62" s="22">
        <f t="shared" si="13"/>
        <v>44862</v>
      </c>
      <c r="E62" s="26">
        <f t="shared" si="20"/>
        <v>1</v>
      </c>
      <c r="F62" s="26">
        <f t="shared" si="21"/>
        <v>1</v>
      </c>
      <c r="G62" s="26">
        <f t="shared" si="22"/>
        <v>0</v>
      </c>
      <c r="H62" s="26" t="str">
        <f t="shared" si="23"/>
        <v/>
      </c>
      <c r="I62" s="26">
        <f t="shared" si="24"/>
        <v>1</v>
      </c>
      <c r="J62" s="26">
        <f t="shared" si="25"/>
        <v>1</v>
      </c>
      <c r="M62" s="21">
        <f t="shared" ref="M62:M63" si="34">M60+7</f>
        <v>44862</v>
      </c>
      <c r="N62" s="10" t="s">
        <v>24</v>
      </c>
      <c r="O62" s="25">
        <v>0</v>
      </c>
      <c r="P62" s="25">
        <v>0</v>
      </c>
      <c r="Q62" s="25">
        <v>12</v>
      </c>
      <c r="R62" s="25"/>
      <c r="S62" s="25">
        <v>0</v>
      </c>
      <c r="T62" s="25">
        <v>0</v>
      </c>
      <c r="U62" s="25"/>
    </row>
    <row r="63" spans="1:29">
      <c r="C63" s="12">
        <f t="shared" ca="1" si="12"/>
        <v>1</v>
      </c>
      <c r="D63" s="22">
        <f t="shared" si="13"/>
        <v>44869</v>
      </c>
      <c r="E63" s="26">
        <f t="shared" si="20"/>
        <v>0</v>
      </c>
      <c r="F63" s="26">
        <f>IF(P63="","",IF(P63=0,1,0))</f>
        <v>1</v>
      </c>
      <c r="G63" s="26">
        <f t="shared" si="22"/>
        <v>0</v>
      </c>
      <c r="H63" s="26" t="str">
        <f t="shared" si="23"/>
        <v/>
      </c>
      <c r="I63" s="26">
        <f t="shared" si="24"/>
        <v>1</v>
      </c>
      <c r="J63" s="26">
        <f t="shared" si="25"/>
        <v>1</v>
      </c>
      <c r="M63" s="21">
        <f t="shared" si="34"/>
        <v>44869</v>
      </c>
      <c r="N63" s="10" t="s">
        <v>24</v>
      </c>
      <c r="O63" s="25">
        <v>12</v>
      </c>
      <c r="P63" s="25">
        <v>0</v>
      </c>
      <c r="Q63" s="25">
        <v>12</v>
      </c>
      <c r="R63" s="25"/>
      <c r="S63" s="25">
        <v>0</v>
      </c>
      <c r="T63" s="25">
        <v>0</v>
      </c>
      <c r="U63" s="25"/>
    </row>
    <row r="64" spans="1:29">
      <c r="C64" s="12">
        <f t="shared" ca="1" si="12"/>
        <v>1</v>
      </c>
      <c r="D64" s="22">
        <f t="shared" si="13"/>
        <v>44876</v>
      </c>
      <c r="E64" s="26">
        <f t="shared" si="20"/>
        <v>1</v>
      </c>
      <c r="F64" s="26">
        <f t="shared" si="21"/>
        <v>1</v>
      </c>
      <c r="G64" s="26">
        <f t="shared" si="22"/>
        <v>0</v>
      </c>
      <c r="H64" s="26" t="str">
        <f t="shared" si="23"/>
        <v/>
      </c>
      <c r="I64" s="26">
        <f t="shared" si="24"/>
        <v>1</v>
      </c>
      <c r="J64" s="26">
        <f t="shared" si="25"/>
        <v>0</v>
      </c>
      <c r="M64" s="21">
        <f>M63+7</f>
        <v>44876</v>
      </c>
      <c r="N64" s="10" t="s">
        <v>24</v>
      </c>
      <c r="O64" s="25">
        <v>0</v>
      </c>
      <c r="P64" s="25">
        <v>0</v>
      </c>
      <c r="Q64" s="25">
        <v>12</v>
      </c>
      <c r="R64" s="25"/>
      <c r="S64" s="25">
        <v>0</v>
      </c>
      <c r="T64" s="25">
        <v>12</v>
      </c>
      <c r="U64" s="25"/>
    </row>
    <row r="65" spans="3:21">
      <c r="C65" s="12">
        <f t="shared" ca="1" si="12"/>
        <v>1</v>
      </c>
      <c r="D65" s="22">
        <f t="shared" si="13"/>
        <v>44883</v>
      </c>
      <c r="E65" s="26">
        <f t="shared" si="20"/>
        <v>0</v>
      </c>
      <c r="F65" s="26">
        <f t="shared" si="21"/>
        <v>1</v>
      </c>
      <c r="G65" s="26">
        <f t="shared" si="22"/>
        <v>0</v>
      </c>
      <c r="H65" s="26" t="str">
        <f t="shared" si="23"/>
        <v/>
      </c>
      <c r="I65" s="26">
        <f t="shared" si="24"/>
        <v>0</v>
      </c>
      <c r="J65" s="26">
        <f t="shared" si="25"/>
        <v>1</v>
      </c>
      <c r="M65" s="21">
        <f>M64+7</f>
        <v>44883</v>
      </c>
      <c r="N65" s="10" t="s">
        <v>24</v>
      </c>
      <c r="O65" s="25">
        <v>12</v>
      </c>
      <c r="P65" s="25">
        <v>0</v>
      </c>
      <c r="Q65" s="25">
        <v>12</v>
      </c>
      <c r="R65" s="25"/>
      <c r="S65" s="25">
        <v>12</v>
      </c>
      <c r="T65" s="25">
        <v>0</v>
      </c>
      <c r="U65" s="25"/>
    </row>
    <row r="66" spans="3:21">
      <c r="C66" s="76"/>
      <c r="D66" s="77"/>
      <c r="E66" s="77"/>
      <c r="F66" s="77"/>
      <c r="G66" s="77" t="str">
        <f>IF(Q66="","",IF(Q66=0,1,0))</f>
        <v/>
      </c>
      <c r="H66" s="77"/>
      <c r="I66" s="77" t="str">
        <f t="shared" si="24"/>
        <v/>
      </c>
      <c r="J66" s="2"/>
      <c r="M66" s="21">
        <f>M65+7</f>
        <v>44890</v>
      </c>
      <c r="N66" s="10" t="s">
        <v>292</v>
      </c>
      <c r="O66" s="25">
        <v>6</v>
      </c>
      <c r="P66" s="25"/>
      <c r="Q66" s="25"/>
      <c r="R66" s="25"/>
      <c r="S66" s="25"/>
      <c r="T66" s="25"/>
      <c r="U66" s="25"/>
    </row>
    <row r="67" spans="3:21">
      <c r="C67" s="12">
        <f t="shared" ca="1" si="12"/>
        <v>1</v>
      </c>
      <c r="D67" s="22">
        <f t="shared" si="13"/>
        <v>44890</v>
      </c>
      <c r="E67" s="26">
        <f t="shared" si="20"/>
        <v>0</v>
      </c>
      <c r="F67" s="26">
        <f t="shared" si="21"/>
        <v>1</v>
      </c>
      <c r="G67" s="26">
        <f t="shared" si="22"/>
        <v>0</v>
      </c>
      <c r="H67" s="26" t="str">
        <f t="shared" si="23"/>
        <v/>
      </c>
      <c r="I67" s="26">
        <f t="shared" si="24"/>
        <v>1</v>
      </c>
      <c r="J67" s="26">
        <f t="shared" si="25"/>
        <v>1</v>
      </c>
      <c r="M67" s="21">
        <f>M66</f>
        <v>44890</v>
      </c>
      <c r="N67" s="10" t="s">
        <v>24</v>
      </c>
      <c r="O67" s="25">
        <v>12</v>
      </c>
      <c r="P67" s="25">
        <v>0</v>
      </c>
      <c r="Q67" s="25">
        <v>12</v>
      </c>
      <c r="R67" s="25"/>
      <c r="S67" s="25">
        <v>0</v>
      </c>
      <c r="T67" s="25">
        <v>0</v>
      </c>
      <c r="U67" s="25"/>
    </row>
    <row r="68" spans="3:21">
      <c r="C68" s="76"/>
      <c r="D68" s="77"/>
      <c r="E68" s="77"/>
      <c r="F68" s="77"/>
      <c r="G68" s="77" t="str">
        <f>IF(Q68="","",IF(Q68=0,1,0))</f>
        <v/>
      </c>
      <c r="H68" s="77"/>
      <c r="I68" s="77" t="str">
        <f t="shared" ref="I68" si="35">IF(S68="","",IF(S68=0,1,0))</f>
        <v/>
      </c>
      <c r="J68" s="2"/>
      <c r="M68" s="21">
        <f>M67+7</f>
        <v>44897</v>
      </c>
      <c r="N68" s="10" t="s">
        <v>43</v>
      </c>
      <c r="O68" s="25"/>
      <c r="P68" s="25"/>
      <c r="Q68" s="25"/>
      <c r="R68" s="25"/>
      <c r="S68" s="25"/>
      <c r="T68" s="25">
        <v>6</v>
      </c>
      <c r="U68" s="25"/>
    </row>
    <row r="69" spans="3:21">
      <c r="C69" s="12">
        <f t="shared" ca="1" si="12"/>
        <v>1</v>
      </c>
      <c r="D69" s="22">
        <f t="shared" si="13"/>
        <v>44897</v>
      </c>
      <c r="E69" s="26">
        <f t="shared" si="20"/>
        <v>0</v>
      </c>
      <c r="F69" s="26">
        <f t="shared" si="21"/>
        <v>0</v>
      </c>
      <c r="G69" s="26">
        <f t="shared" si="22"/>
        <v>0</v>
      </c>
      <c r="H69" s="26" t="str">
        <f t="shared" si="23"/>
        <v/>
      </c>
      <c r="I69" s="26">
        <f t="shared" si="24"/>
        <v>0</v>
      </c>
      <c r="J69" s="26">
        <f t="shared" si="25"/>
        <v>1</v>
      </c>
      <c r="M69" s="21">
        <f>M68</f>
        <v>44897</v>
      </c>
      <c r="N69" s="10" t="s">
        <v>24</v>
      </c>
      <c r="O69" s="25">
        <v>12</v>
      </c>
      <c r="P69" s="25">
        <v>12</v>
      </c>
      <c r="Q69" s="25">
        <v>12</v>
      </c>
      <c r="R69" s="25"/>
      <c r="S69" s="25">
        <v>12</v>
      </c>
      <c r="T69" s="25">
        <v>0</v>
      </c>
      <c r="U69" s="25"/>
    </row>
    <row r="70" spans="3:21" ht="16.399999999999999" customHeight="1">
      <c r="C70" s="12">
        <f t="shared" ca="1" si="12"/>
        <v>1</v>
      </c>
      <c r="D70" s="22">
        <f t="shared" si="13"/>
        <v>44904</v>
      </c>
      <c r="E70" s="26">
        <f t="shared" si="20"/>
        <v>1</v>
      </c>
      <c r="F70" s="26">
        <f t="shared" si="21"/>
        <v>0</v>
      </c>
      <c r="G70" s="26">
        <f t="shared" si="22"/>
        <v>1</v>
      </c>
      <c r="H70" s="26" t="str">
        <f t="shared" si="23"/>
        <v/>
      </c>
      <c r="I70" s="26">
        <f t="shared" si="24"/>
        <v>0</v>
      </c>
      <c r="J70" s="26">
        <f t="shared" si="25"/>
        <v>1</v>
      </c>
      <c r="M70" s="21">
        <f t="shared" ref="M70" si="36">M69+7</f>
        <v>44904</v>
      </c>
      <c r="N70" s="10" t="s">
        <v>24</v>
      </c>
      <c r="O70" s="25">
        <v>0</v>
      </c>
      <c r="P70" s="25">
        <v>12</v>
      </c>
      <c r="Q70" s="25">
        <v>0</v>
      </c>
      <c r="R70" s="25"/>
      <c r="S70" s="25">
        <v>12</v>
      </c>
      <c r="T70" s="25">
        <v>0</v>
      </c>
      <c r="U70" s="25"/>
    </row>
    <row r="71" spans="3:21">
      <c r="C71" s="12">
        <f t="shared" ca="1" si="12"/>
        <v>1</v>
      </c>
      <c r="D71" s="22">
        <f t="shared" si="13"/>
        <v>44911</v>
      </c>
      <c r="E71" s="26">
        <f t="shared" si="20"/>
        <v>0</v>
      </c>
      <c r="F71" s="26">
        <f t="shared" si="21"/>
        <v>0</v>
      </c>
      <c r="G71" s="26">
        <f t="shared" si="22"/>
        <v>0</v>
      </c>
      <c r="H71" s="26" t="str">
        <f t="shared" si="23"/>
        <v/>
      </c>
      <c r="I71" s="26">
        <f t="shared" si="24"/>
        <v>1</v>
      </c>
      <c r="J71" s="26">
        <f t="shared" si="25"/>
        <v>1</v>
      </c>
      <c r="M71" s="21">
        <f>M70+7</f>
        <v>44911</v>
      </c>
      <c r="N71" s="10" t="s">
        <v>24</v>
      </c>
      <c r="O71" s="25">
        <v>12</v>
      </c>
      <c r="P71" s="25">
        <v>12</v>
      </c>
      <c r="Q71" s="25">
        <v>12</v>
      </c>
      <c r="R71" s="25"/>
      <c r="S71" s="25">
        <v>0</v>
      </c>
      <c r="T71" s="25">
        <v>0</v>
      </c>
      <c r="U71" s="25"/>
    </row>
    <row r="72" spans="3:21">
      <c r="C72" s="12">
        <f t="shared" ca="1" si="12"/>
        <v>1</v>
      </c>
      <c r="D72" s="22">
        <f t="shared" si="13"/>
        <v>44918</v>
      </c>
      <c r="E72" s="26">
        <f t="shared" si="20"/>
        <v>1</v>
      </c>
      <c r="F72" s="26">
        <f t="shared" si="21"/>
        <v>1</v>
      </c>
      <c r="G72" s="26">
        <f t="shared" si="22"/>
        <v>1</v>
      </c>
      <c r="H72" s="26" t="str">
        <f t="shared" si="23"/>
        <v/>
      </c>
      <c r="I72" s="26">
        <f t="shared" si="24"/>
        <v>1</v>
      </c>
      <c r="J72" s="26">
        <f t="shared" si="25"/>
        <v>1</v>
      </c>
      <c r="M72" s="21">
        <f>M71+7</f>
        <v>44918</v>
      </c>
      <c r="N72" s="10" t="s">
        <v>24</v>
      </c>
      <c r="O72" s="25">
        <v>0</v>
      </c>
      <c r="P72" s="25">
        <v>0</v>
      </c>
      <c r="Q72" s="25">
        <v>0</v>
      </c>
      <c r="R72" s="25"/>
      <c r="S72" s="25">
        <v>0</v>
      </c>
      <c r="T72" s="25">
        <v>0</v>
      </c>
      <c r="U72" s="25"/>
    </row>
    <row r="73" spans="3:21">
      <c r="C73" s="76"/>
      <c r="D73" s="77"/>
      <c r="E73" s="77"/>
      <c r="F73" s="77"/>
      <c r="G73" s="77" t="str">
        <f>IF(Q73="","",IF(Q73=0,1,0))</f>
        <v/>
      </c>
      <c r="H73" s="77"/>
      <c r="I73" s="77"/>
      <c r="J73" s="2"/>
      <c r="M73" s="21">
        <v>44925</v>
      </c>
      <c r="N73" s="10" t="s">
        <v>24</v>
      </c>
      <c r="O73" s="25"/>
      <c r="P73" s="25"/>
      <c r="Q73" s="25"/>
      <c r="R73" s="25"/>
      <c r="S73" s="25">
        <v>6</v>
      </c>
      <c r="T73" s="25"/>
      <c r="U73" s="25"/>
    </row>
    <row r="74" spans="3:21">
      <c r="C74" s="12">
        <f t="shared" ca="1" si="12"/>
        <v>1</v>
      </c>
      <c r="D74" s="22">
        <f t="shared" si="13"/>
        <v>44925</v>
      </c>
      <c r="E74" s="26">
        <f t="shared" si="20"/>
        <v>0</v>
      </c>
      <c r="F74" s="26">
        <f t="shared" si="21"/>
        <v>0</v>
      </c>
      <c r="G74" s="26">
        <f t="shared" si="22"/>
        <v>0</v>
      </c>
      <c r="H74" s="26" t="str">
        <f t="shared" si="23"/>
        <v/>
      </c>
      <c r="I74" s="26">
        <f t="shared" si="24"/>
        <v>1</v>
      </c>
      <c r="J74" s="26">
        <f t="shared" si="25"/>
        <v>0</v>
      </c>
      <c r="M74" s="21">
        <f>M72+7</f>
        <v>44925</v>
      </c>
      <c r="N74" s="10" t="s">
        <v>24</v>
      </c>
      <c r="O74" s="25">
        <v>12</v>
      </c>
      <c r="P74" s="25">
        <v>12</v>
      </c>
      <c r="Q74" s="25">
        <v>12</v>
      </c>
      <c r="R74" s="25"/>
      <c r="S74" s="25">
        <v>0</v>
      </c>
      <c r="T74" s="25">
        <v>12</v>
      </c>
      <c r="U74" s="25"/>
    </row>
    <row r="75" spans="3:21">
      <c r="C75" s="12">
        <f t="shared" ca="1" si="12"/>
        <v>1</v>
      </c>
      <c r="D75" s="22">
        <f t="shared" si="13"/>
        <v>44932</v>
      </c>
      <c r="E75" s="26">
        <f t="shared" si="20"/>
        <v>1</v>
      </c>
      <c r="F75" s="26">
        <f t="shared" si="21"/>
        <v>0</v>
      </c>
      <c r="G75" s="26">
        <f t="shared" si="22"/>
        <v>1</v>
      </c>
      <c r="H75" s="26" t="str">
        <f t="shared" si="23"/>
        <v/>
      </c>
      <c r="I75" s="26">
        <f t="shared" si="24"/>
        <v>1</v>
      </c>
      <c r="J75" s="26">
        <f t="shared" si="25"/>
        <v>1</v>
      </c>
      <c r="M75" s="21">
        <f>M74+7</f>
        <v>44932</v>
      </c>
      <c r="N75" s="10" t="s">
        <v>24</v>
      </c>
      <c r="O75" s="25">
        <v>0</v>
      </c>
      <c r="P75" s="25">
        <v>12</v>
      </c>
      <c r="Q75" s="25">
        <v>0</v>
      </c>
      <c r="R75" s="25"/>
      <c r="S75" s="25">
        <v>0</v>
      </c>
      <c r="T75" s="134">
        <v>0</v>
      </c>
      <c r="U75" s="25"/>
    </row>
    <row r="76" spans="3:21">
      <c r="C76" s="12">
        <f t="shared" ca="1" si="12"/>
        <v>1</v>
      </c>
      <c r="D76" s="22">
        <f t="shared" si="13"/>
        <v>44939</v>
      </c>
      <c r="E76" s="26">
        <f t="shared" si="20"/>
        <v>0</v>
      </c>
      <c r="F76" s="26">
        <f t="shared" si="21"/>
        <v>1</v>
      </c>
      <c r="G76" s="26">
        <f t="shared" si="22"/>
        <v>1</v>
      </c>
      <c r="H76" s="26" t="str">
        <f t="shared" si="23"/>
        <v/>
      </c>
      <c r="I76" s="26">
        <f t="shared" si="24"/>
        <v>1</v>
      </c>
      <c r="J76" s="26">
        <f t="shared" si="25"/>
        <v>0</v>
      </c>
      <c r="M76" s="21">
        <f>M75+7</f>
        <v>44939</v>
      </c>
      <c r="N76" s="10" t="s">
        <v>24</v>
      </c>
      <c r="O76" s="25">
        <v>12</v>
      </c>
      <c r="P76" s="25">
        <v>0</v>
      </c>
      <c r="Q76" s="25">
        <v>0</v>
      </c>
      <c r="R76" s="25"/>
      <c r="S76" s="25">
        <v>0</v>
      </c>
      <c r="T76" s="25">
        <v>12</v>
      </c>
      <c r="U76" s="25"/>
    </row>
    <row r="77" spans="3:21">
      <c r="C77" s="12">
        <f t="shared" ca="1" si="12"/>
        <v>1</v>
      </c>
      <c r="D77" s="22">
        <f t="shared" si="13"/>
        <v>44946</v>
      </c>
      <c r="E77" s="26">
        <f t="shared" si="20"/>
        <v>0</v>
      </c>
      <c r="F77" s="26">
        <f t="shared" si="21"/>
        <v>0</v>
      </c>
      <c r="G77" s="26">
        <f t="shared" si="22"/>
        <v>1</v>
      </c>
      <c r="H77" s="26" t="str">
        <f t="shared" si="23"/>
        <v/>
      </c>
      <c r="I77" s="26">
        <f t="shared" si="24"/>
        <v>1</v>
      </c>
      <c r="J77" s="26">
        <f t="shared" si="25"/>
        <v>0</v>
      </c>
      <c r="M77" s="21">
        <f>M76+7</f>
        <v>44946</v>
      </c>
      <c r="N77" s="10" t="s">
        <v>24</v>
      </c>
      <c r="O77" s="25">
        <v>12</v>
      </c>
      <c r="P77" s="25">
        <v>12</v>
      </c>
      <c r="Q77" s="25">
        <v>0</v>
      </c>
      <c r="R77" s="25"/>
      <c r="S77" s="25">
        <v>0</v>
      </c>
      <c r="T77" s="25">
        <v>12</v>
      </c>
      <c r="U77" s="25"/>
    </row>
    <row r="78" spans="3:21">
      <c r="C78" s="12">
        <f t="shared" ca="1" si="12"/>
        <v>1</v>
      </c>
      <c r="D78" s="22">
        <f t="shared" si="13"/>
        <v>44953</v>
      </c>
      <c r="E78" s="26">
        <f t="shared" si="20"/>
        <v>0</v>
      </c>
      <c r="F78" s="26">
        <f t="shared" si="21"/>
        <v>1</v>
      </c>
      <c r="G78" s="26">
        <f t="shared" si="22"/>
        <v>1</v>
      </c>
      <c r="H78" s="26">
        <f t="shared" si="23"/>
        <v>1</v>
      </c>
      <c r="I78" s="26">
        <f t="shared" si="24"/>
        <v>1</v>
      </c>
      <c r="J78" s="26">
        <f t="shared" si="25"/>
        <v>0</v>
      </c>
      <c r="M78" s="21">
        <f>M77+7</f>
        <v>44953</v>
      </c>
      <c r="N78" s="10" t="s">
        <v>24</v>
      </c>
      <c r="O78" s="25">
        <v>12</v>
      </c>
      <c r="P78" s="25">
        <v>0</v>
      </c>
      <c r="Q78" s="25">
        <v>0</v>
      </c>
      <c r="R78" s="25">
        <v>0</v>
      </c>
      <c r="S78" s="25">
        <v>0</v>
      </c>
      <c r="T78" s="25">
        <v>12</v>
      </c>
      <c r="U78" s="25"/>
    </row>
    <row r="79" spans="3:21">
      <c r="C79" s="12">
        <f t="shared" ca="1" si="12"/>
        <v>1</v>
      </c>
      <c r="D79" s="22">
        <f t="shared" si="13"/>
        <v>44960</v>
      </c>
      <c r="E79" s="26">
        <f t="shared" si="20"/>
        <v>1</v>
      </c>
      <c r="F79" s="26">
        <f t="shared" si="21"/>
        <v>0</v>
      </c>
      <c r="G79" s="26">
        <f t="shared" si="22"/>
        <v>0</v>
      </c>
      <c r="H79" s="26" t="str">
        <f t="shared" si="23"/>
        <v/>
      </c>
      <c r="I79" s="26">
        <f t="shared" si="24"/>
        <v>1</v>
      </c>
      <c r="J79" s="26">
        <f t="shared" si="25"/>
        <v>1</v>
      </c>
      <c r="M79" s="21">
        <f>M78+7</f>
        <v>44960</v>
      </c>
      <c r="N79" s="10" t="s">
        <v>24</v>
      </c>
      <c r="O79" s="25">
        <v>0</v>
      </c>
      <c r="P79" s="25">
        <v>12</v>
      </c>
      <c r="Q79" s="25">
        <v>12</v>
      </c>
      <c r="R79" s="25"/>
      <c r="S79" s="25">
        <v>0</v>
      </c>
      <c r="T79" s="25">
        <v>0</v>
      </c>
      <c r="U79" s="25"/>
    </row>
    <row r="80" spans="3:21">
      <c r="C80" s="12" t="str">
        <f t="shared" ca="1" si="12"/>
        <v/>
      </c>
      <c r="D80" s="22" t="str">
        <f t="shared" si="13"/>
        <v/>
      </c>
      <c r="E80" s="26" t="str">
        <f t="shared" si="20"/>
        <v/>
      </c>
      <c r="F80" s="26" t="str">
        <f t="shared" si="21"/>
        <v/>
      </c>
      <c r="G80" s="26" t="str">
        <f t="shared" si="22"/>
        <v/>
      </c>
      <c r="H80" s="26" t="str">
        <f t="shared" si="23"/>
        <v/>
      </c>
      <c r="I80" s="26" t="str">
        <f t="shared" si="24"/>
        <v/>
      </c>
      <c r="J80" s="26" t="str">
        <f t="shared" si="25"/>
        <v/>
      </c>
      <c r="M80" s="21"/>
      <c r="N80" s="10"/>
      <c r="O80" s="25"/>
      <c r="P80" s="25"/>
      <c r="Q80" s="25"/>
      <c r="R80" s="25"/>
      <c r="S80" s="25"/>
      <c r="T80" s="25"/>
      <c r="U80" s="25"/>
    </row>
    <row r="81" spans="3:21">
      <c r="C81" s="12" t="str">
        <f t="shared" ca="1" si="12"/>
        <v/>
      </c>
      <c r="D81" s="22" t="str">
        <f t="shared" si="13"/>
        <v/>
      </c>
      <c r="E81" s="26" t="str">
        <f t="shared" si="20"/>
        <v/>
      </c>
      <c r="F81" s="26" t="str">
        <f t="shared" si="21"/>
        <v/>
      </c>
      <c r="G81" s="26" t="str">
        <f t="shared" si="22"/>
        <v/>
      </c>
      <c r="H81" s="26" t="str">
        <f t="shared" si="23"/>
        <v/>
      </c>
      <c r="I81" s="26" t="str">
        <f t="shared" si="24"/>
        <v/>
      </c>
      <c r="J81" s="26" t="str">
        <f t="shared" si="25"/>
        <v/>
      </c>
      <c r="M81" s="21"/>
      <c r="N81" s="10"/>
      <c r="O81" s="25"/>
      <c r="P81" s="25"/>
      <c r="Q81" s="25"/>
      <c r="R81" s="25"/>
      <c r="S81" s="25"/>
      <c r="T81" s="25"/>
      <c r="U81" s="25"/>
    </row>
    <row r="82" spans="3:21">
      <c r="C82" s="12"/>
      <c r="D82" s="22"/>
      <c r="E82" s="26"/>
      <c r="F82" s="26"/>
      <c r="G82" s="26"/>
      <c r="H82" s="26"/>
      <c r="I82" s="26"/>
      <c r="J82" s="26"/>
      <c r="M82" s="21"/>
      <c r="N82" s="10"/>
      <c r="O82" s="25"/>
      <c r="P82" s="25"/>
      <c r="Q82" s="25"/>
      <c r="R82" s="25"/>
      <c r="S82" s="25"/>
      <c r="T82" s="25"/>
    </row>
    <row r="83" spans="3:21">
      <c r="C83" s="12"/>
      <c r="D83" s="22"/>
      <c r="E83" s="26"/>
      <c r="F83" s="26"/>
      <c r="G83" s="26"/>
      <c r="H83" s="26"/>
      <c r="I83" s="26"/>
      <c r="J83" s="26"/>
      <c r="M83" s="21"/>
      <c r="N83" s="10"/>
      <c r="O83" s="25"/>
      <c r="P83" s="25"/>
      <c r="Q83" s="25"/>
      <c r="R83" s="25"/>
      <c r="S83" s="25"/>
      <c r="T83" s="25"/>
    </row>
    <row r="84" spans="3:21">
      <c r="C84" s="12"/>
      <c r="D84" s="22"/>
      <c r="E84" s="26"/>
      <c r="F84" s="26"/>
      <c r="G84" s="26"/>
      <c r="H84" s="26"/>
      <c r="I84" s="26"/>
      <c r="J84" s="26"/>
      <c r="M84" s="21"/>
      <c r="N84" s="10"/>
      <c r="O84" s="25"/>
      <c r="P84" s="25"/>
      <c r="Q84" s="25"/>
      <c r="R84" s="25"/>
      <c r="S84" s="25"/>
      <c r="T84" s="25"/>
    </row>
    <row r="85" spans="3:21">
      <c r="C85" s="12"/>
      <c r="D85" s="22"/>
      <c r="E85" s="26"/>
      <c r="F85" s="26"/>
      <c r="G85" s="26"/>
      <c r="H85" s="26"/>
      <c r="I85" s="26"/>
      <c r="J85" s="26"/>
      <c r="M85" s="21"/>
      <c r="N85" s="10"/>
      <c r="O85" s="25"/>
      <c r="P85" s="25"/>
      <c r="Q85" s="25"/>
      <c r="R85" s="25"/>
      <c r="S85" s="25"/>
      <c r="T85" s="25"/>
    </row>
    <row r="86" spans="3:21">
      <c r="C86" s="12"/>
      <c r="D86" s="22"/>
      <c r="E86" s="26"/>
      <c r="F86" s="26"/>
      <c r="G86" s="26"/>
      <c r="H86" s="26"/>
      <c r="I86" s="26"/>
      <c r="J86" s="26"/>
      <c r="M86" s="21"/>
      <c r="N86" s="10"/>
      <c r="O86" s="25"/>
      <c r="P86" s="25"/>
      <c r="Q86" s="25"/>
      <c r="R86" s="25"/>
      <c r="S86" s="25"/>
      <c r="T86" s="25"/>
    </row>
    <row r="87" spans="3:21">
      <c r="C87" s="12"/>
      <c r="D87" s="22"/>
      <c r="E87" s="26"/>
      <c r="F87" s="26"/>
      <c r="G87" s="26"/>
      <c r="H87" s="26"/>
      <c r="I87" s="26"/>
      <c r="J87" s="26"/>
      <c r="M87" s="21"/>
      <c r="N87" s="10"/>
      <c r="O87" s="25"/>
      <c r="P87" s="25"/>
      <c r="Q87" s="25"/>
      <c r="R87" s="25"/>
      <c r="S87" s="25"/>
      <c r="T87" s="25"/>
    </row>
    <row r="88" spans="3:21">
      <c r="C88" s="12" t="str">
        <f t="shared" ref="C88" ca="1" si="37">IF(D88&lt;=TODAY(),1,"")</f>
        <v/>
      </c>
      <c r="D88" s="22" t="str">
        <f t="shared" ref="D88:D92" si="38">IF(M88="","",M88)</f>
        <v/>
      </c>
      <c r="E88" s="26" t="str">
        <f t="shared" ref="E88:J91" si="39">IF(O88="","",IF(O88=0,1,0))</f>
        <v/>
      </c>
      <c r="F88" s="26" t="str">
        <f t="shared" ref="F88:J88" si="40">IF(P88="","",IF(P88=0,1,0))</f>
        <v/>
      </c>
      <c r="G88" s="26" t="str">
        <f t="shared" si="40"/>
        <v/>
      </c>
      <c r="H88" s="26" t="str">
        <f t="shared" si="40"/>
        <v/>
      </c>
      <c r="I88" s="26" t="str">
        <f t="shared" si="40"/>
        <v/>
      </c>
      <c r="J88" s="26" t="str">
        <f t="shared" si="40"/>
        <v/>
      </c>
      <c r="M88" s="21"/>
      <c r="N88" s="10"/>
      <c r="O88" s="25"/>
      <c r="P88" s="25"/>
      <c r="Q88" s="25"/>
      <c r="R88" s="25"/>
      <c r="S88" s="25"/>
      <c r="T88" s="25"/>
    </row>
    <row r="89" spans="3:21">
      <c r="C89" s="12" t="str">
        <f t="shared" ref="C89:C91" ca="1" si="41">IF(D89&lt;=TODAY(),1,"")</f>
        <v/>
      </c>
      <c r="D89" s="22" t="str">
        <f t="shared" si="38"/>
        <v/>
      </c>
      <c r="E89" s="26" t="str">
        <f t="shared" si="39"/>
        <v/>
      </c>
      <c r="F89" s="26" t="str">
        <f t="shared" si="39"/>
        <v/>
      </c>
      <c r="G89" s="26" t="str">
        <f t="shared" si="39"/>
        <v/>
      </c>
      <c r="H89" s="26" t="str">
        <f t="shared" si="39"/>
        <v/>
      </c>
      <c r="I89" s="26" t="str">
        <f t="shared" si="39"/>
        <v/>
      </c>
      <c r="J89" s="26" t="str">
        <f t="shared" si="39"/>
        <v/>
      </c>
      <c r="M89" s="21"/>
      <c r="N89" s="10"/>
      <c r="O89" s="25"/>
      <c r="P89" s="25"/>
      <c r="Q89" s="25"/>
      <c r="R89" s="25"/>
      <c r="S89" s="25"/>
      <c r="T89" s="25"/>
    </row>
    <row r="90" spans="3:21">
      <c r="C90" s="12" t="str">
        <f t="shared" ca="1" si="41"/>
        <v/>
      </c>
      <c r="D90" s="22" t="str">
        <f t="shared" si="38"/>
        <v/>
      </c>
      <c r="E90" s="26" t="str">
        <f t="shared" si="39"/>
        <v/>
      </c>
      <c r="F90" s="26" t="str">
        <f t="shared" si="39"/>
        <v/>
      </c>
      <c r="G90" s="26" t="str">
        <f t="shared" si="39"/>
        <v/>
      </c>
      <c r="H90" s="26" t="str">
        <f t="shared" si="39"/>
        <v/>
      </c>
      <c r="I90" s="26" t="str">
        <f t="shared" si="39"/>
        <v/>
      </c>
      <c r="J90" s="26" t="str">
        <f t="shared" si="39"/>
        <v/>
      </c>
      <c r="M90" s="21"/>
      <c r="N90" s="10"/>
      <c r="O90" s="25"/>
      <c r="P90" s="25"/>
      <c r="Q90" s="25"/>
      <c r="R90" s="25"/>
      <c r="S90" s="25"/>
      <c r="T90" s="25"/>
    </row>
    <row r="91" spans="3:21">
      <c r="C91" s="12" t="str">
        <f t="shared" ca="1" si="41"/>
        <v/>
      </c>
      <c r="D91" s="22" t="str">
        <f t="shared" si="38"/>
        <v/>
      </c>
      <c r="E91" s="26" t="str">
        <f t="shared" si="39"/>
        <v/>
      </c>
      <c r="F91" s="26"/>
      <c r="G91" s="26" t="str">
        <f t="shared" si="39"/>
        <v/>
      </c>
      <c r="H91" s="26" t="str">
        <f t="shared" si="39"/>
        <v/>
      </c>
      <c r="I91" s="26" t="str">
        <f>IF(S91="","",IF(S91=0,1,0))</f>
        <v/>
      </c>
      <c r="J91" s="26" t="str">
        <f t="shared" si="39"/>
        <v/>
      </c>
      <c r="M91" s="21"/>
      <c r="N91" s="10"/>
      <c r="O91" s="25"/>
      <c r="P91" s="25"/>
      <c r="Q91" s="25"/>
      <c r="R91" s="25"/>
      <c r="S91" s="25"/>
      <c r="T91" s="25"/>
    </row>
    <row r="92" spans="3:21">
      <c r="C92" s="12" t="str">
        <f ca="1">IF(D92&lt;=TODAY(),1,"")</f>
        <v/>
      </c>
      <c r="D92" s="22" t="str">
        <f t="shared" si="38"/>
        <v/>
      </c>
      <c r="E92" s="26" t="str">
        <f>IF(O92="","",IF(O92=0,1,0))</f>
        <v/>
      </c>
      <c r="F92" s="26" t="str">
        <f t="shared" ref="F92:H92" si="42">IF(P92="","",IF(P92=0,1,0))</f>
        <v/>
      </c>
      <c r="G92" s="26" t="str">
        <f>IF(Q92="","",IF(Q92=0,1,0))</f>
        <v/>
      </c>
      <c r="H92" s="26" t="str">
        <f t="shared" si="42"/>
        <v/>
      </c>
      <c r="I92" s="26" t="str">
        <f>IF(S92="","",IF(S92=0,1,0))</f>
        <v/>
      </c>
      <c r="J92" s="26" t="str">
        <f>IF(T92="","",IF(T92=0,1,0))</f>
        <v/>
      </c>
      <c r="M92" s="21"/>
      <c r="N92" s="10"/>
      <c r="O92" s="25"/>
      <c r="P92" s="25"/>
      <c r="Q92" s="25"/>
      <c r="R92" s="25"/>
      <c r="S92" s="25"/>
      <c r="T92" s="25"/>
    </row>
  </sheetData>
  <mergeCells count="42">
    <mergeCell ref="Q16:R16"/>
    <mergeCell ref="V17:V18"/>
    <mergeCell ref="Q12:R12"/>
    <mergeCell ref="S12:T12"/>
    <mergeCell ref="V12:W12"/>
    <mergeCell ref="X12:Y12"/>
    <mergeCell ref="Z12:AA12"/>
    <mergeCell ref="Q13:R13"/>
    <mergeCell ref="S13:T13"/>
    <mergeCell ref="V13:W13"/>
    <mergeCell ref="X13:Y14"/>
    <mergeCell ref="Z13:AA13"/>
    <mergeCell ref="Q14:R14"/>
    <mergeCell ref="S14:T14"/>
    <mergeCell ref="Q10:R10"/>
    <mergeCell ref="S10:T10"/>
    <mergeCell ref="V10:W10"/>
    <mergeCell ref="X10:Y10"/>
    <mergeCell ref="Z10:AA10"/>
    <mergeCell ref="Q11:R11"/>
    <mergeCell ref="S11:T11"/>
    <mergeCell ref="V11:W11"/>
    <mergeCell ref="X11:Y11"/>
    <mergeCell ref="Z11:AA11"/>
    <mergeCell ref="Q8:R8"/>
    <mergeCell ref="S8:T8"/>
    <mergeCell ref="V8:W8"/>
    <mergeCell ref="X8:Y8"/>
    <mergeCell ref="Z8:AA8"/>
    <mergeCell ref="Q9:R9"/>
    <mergeCell ref="S9:T9"/>
    <mergeCell ref="V9:W9"/>
    <mergeCell ref="X9:Y9"/>
    <mergeCell ref="Z9:AA9"/>
    <mergeCell ref="C2:AA2"/>
    <mergeCell ref="O5:S5"/>
    <mergeCell ref="T5:U5"/>
    <mergeCell ref="V5:W7"/>
    <mergeCell ref="X5:Y7"/>
    <mergeCell ref="Z5:AA7"/>
    <mergeCell ref="Q7:R7"/>
    <mergeCell ref="S7:T7"/>
  </mergeCells>
  <conditionalFormatting sqref="E25:J27 E29:J39 E41:J43 E45:F56 E58:J58 E60:J60 E62:J65 E67:J67 E69:J72 E74:J81">
    <cfRule type="cellIs" dxfId="122" priority="145" operator="equal">
      <formula>0</formula>
    </cfRule>
  </conditionalFormatting>
  <conditionalFormatting sqref="E25:J27 E29:J39 E41:J43 E58:J58 E60:J60 E62:J65 E67:J67 E69:J72">
    <cfRule type="cellIs" dxfId="121" priority="146" operator="equal">
      <formula>1</formula>
    </cfRule>
  </conditionalFormatting>
  <conditionalFormatting sqref="E45:J56">
    <cfRule type="cellIs" dxfId="120" priority="13" operator="equal">
      <formula>1</formula>
    </cfRule>
  </conditionalFormatting>
  <conditionalFormatting sqref="E74:J92">
    <cfRule type="cellIs" dxfId="119" priority="58" operator="equal">
      <formula>1</formula>
    </cfRule>
  </conditionalFormatting>
  <conditionalFormatting sqref="G89">
    <cfRule type="cellIs" dxfId="118" priority="67" operator="equal">
      <formula>0</formula>
    </cfRule>
  </conditionalFormatting>
  <conditionalFormatting sqref="G92">
    <cfRule type="cellIs" dxfId="117" priority="57" operator="equal">
      <formula>0</formula>
    </cfRule>
  </conditionalFormatting>
  <conditionalFormatting sqref="G45:J46 G47:G53 I47:J53 G54:J56">
    <cfRule type="cellIs" dxfId="116" priority="155" operator="equal">
      <formula>0</formula>
    </cfRule>
  </conditionalFormatting>
  <conditionalFormatting sqref="I90:I92">
    <cfRule type="cellIs" dxfId="115" priority="60" operator="equal">
      <formula>0</formula>
    </cfRule>
  </conditionalFormatting>
  <conditionalFormatting sqref="O65:T92">
    <cfRule type="cellIs" dxfId="114" priority="1" operator="equal">
      <formula>0</formula>
    </cfRule>
    <cfRule type="cellIs" dxfId="113" priority="2" operator="greaterThan">
      <formula>0</formula>
    </cfRule>
  </conditionalFormatting>
  <conditionalFormatting sqref="O24:U64">
    <cfRule type="cellIs" dxfId="112" priority="45" operator="equal">
      <formula>0</formula>
    </cfRule>
    <cfRule type="cellIs" dxfId="111" priority="46" operator="greaterThan">
      <formula>0</formula>
    </cfRule>
  </conditionalFormatting>
  <conditionalFormatting sqref="U65:U81">
    <cfRule type="cellIs" dxfId="110" priority="379" operator="equal">
      <formula>0</formula>
    </cfRule>
    <cfRule type="cellIs" dxfId="109" priority="380" operator="greaterThan">
      <formula>0</formula>
    </cfRule>
  </conditionalFormatting>
  <pageMargins left="0.7" right="0.7" top="0.78740157499999996" bottom="0.78740157499999996" header="0.3" footer="0.3"/>
  <pageSetup paperSize="9" orientation="portrait" r:id="rId1"/>
  <ignoredErrors>
    <ignoredError sqref="M58:M69" formula="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3"/>
  <dimension ref="A1:AC93"/>
  <sheetViews>
    <sheetView zoomScale="70" zoomScaleNormal="70" workbookViewId="0">
      <pane xSplit="14" ySplit="23" topLeftCell="O42" activePane="bottomRight" state="frozen"/>
      <selection pane="topRight" activeCell="P1" sqref="P1"/>
      <selection pane="bottomLeft" activeCell="A24" sqref="A24"/>
      <selection pane="bottomRight" activeCell="X42" sqref="X42"/>
    </sheetView>
  </sheetViews>
  <sheetFormatPr defaultColWidth="11.3828125" defaultRowHeight="16.75"/>
  <cols>
    <col min="1" max="1" width="1.69140625" style="1" customWidth="1"/>
    <col min="2" max="2" width="1.3828125" style="1" customWidth="1"/>
    <col min="3" max="3" width="3.84375" style="2" bestFit="1" customWidth="1"/>
    <col min="4" max="4" width="12.53515625" style="1" customWidth="1"/>
    <col min="5" max="10" width="7.15234375" style="1" customWidth="1"/>
    <col min="11" max="12" width="1.3828125" style="1" customWidth="1"/>
    <col min="13" max="13" width="12.53515625" style="29" bestFit="1" customWidth="1"/>
    <col min="14" max="14" width="26.53515625" style="1" customWidth="1"/>
    <col min="15" max="15" width="16.69140625" style="1" customWidth="1"/>
    <col min="16" max="17" width="14.3828125" style="1" customWidth="1"/>
    <col min="18" max="18" width="13.3828125" style="1" customWidth="1"/>
    <col min="19" max="19" width="14.3828125" style="1" customWidth="1"/>
    <col min="20" max="20" width="20.3828125" style="1" customWidth="1"/>
    <col min="21" max="21" width="5.3828125" style="1" hidden="1" customWidth="1"/>
    <col min="22" max="22" width="11.84375" style="1" bestFit="1" customWidth="1"/>
    <col min="23" max="23" width="16.69140625" style="1" customWidth="1"/>
    <col min="24" max="24" width="11.69140625" style="1" bestFit="1" customWidth="1"/>
    <col min="25" max="25" width="43.53515625" style="1" customWidth="1"/>
    <col min="26" max="26" width="11.84375" style="1" bestFit="1" customWidth="1"/>
    <col min="27" max="27" width="12.15234375" style="1" customWidth="1"/>
    <col min="28" max="16384" width="11.3828125" style="1"/>
  </cols>
  <sheetData>
    <row r="1" spans="2:27" ht="8.25" customHeight="1"/>
    <row r="2" spans="2:27" ht="40.5" customHeight="1">
      <c r="C2" s="232" t="s">
        <v>5</v>
      </c>
      <c r="D2" s="233"/>
      <c r="E2" s="233"/>
      <c r="F2" s="233"/>
      <c r="G2" s="233"/>
      <c r="H2" s="233"/>
      <c r="I2" s="233"/>
      <c r="J2" s="233"/>
      <c r="K2" s="233"/>
      <c r="L2" s="233"/>
      <c r="M2" s="233"/>
      <c r="N2" s="233"/>
      <c r="O2" s="233"/>
      <c r="P2" s="233"/>
      <c r="Q2" s="233"/>
      <c r="R2" s="233"/>
      <c r="S2" s="233"/>
      <c r="T2" s="233"/>
      <c r="U2" s="233"/>
      <c r="V2" s="233"/>
      <c r="W2" s="233"/>
      <c r="X2" s="233"/>
      <c r="Y2" s="233"/>
      <c r="Z2" s="233"/>
      <c r="AA2" s="233"/>
    </row>
    <row r="3" spans="2:27" ht="8.25" customHeight="1"/>
    <row r="4" spans="2:27" ht="9.75" customHeight="1"/>
    <row r="5" spans="2:27" ht="21.75" customHeight="1">
      <c r="B5" s="6"/>
      <c r="C5" s="7" t="s">
        <v>13</v>
      </c>
      <c r="D5" s="8"/>
      <c r="E5" s="8"/>
      <c r="F5" s="8"/>
      <c r="G5" s="8"/>
      <c r="H5" s="8"/>
      <c r="I5" s="9"/>
      <c r="J5" s="9"/>
      <c r="L5" s="6"/>
      <c r="M5" s="31" t="s">
        <v>14</v>
      </c>
      <c r="N5" s="8"/>
      <c r="O5" s="234" t="s">
        <v>31</v>
      </c>
      <c r="P5" s="234"/>
      <c r="Q5" s="234"/>
      <c r="R5" s="234"/>
      <c r="S5" s="235"/>
      <c r="T5" s="236">
        <f>W16</f>
        <v>1810.68</v>
      </c>
      <c r="U5" s="237"/>
      <c r="V5" s="238" t="s">
        <v>52</v>
      </c>
      <c r="W5" s="239"/>
      <c r="X5" s="238" t="s">
        <v>56</v>
      </c>
      <c r="Y5" s="239"/>
      <c r="Z5" s="238" t="s">
        <v>61</v>
      </c>
      <c r="AA5" s="239"/>
    </row>
    <row r="6" spans="2:27" ht="23.25" customHeight="1">
      <c r="B6" s="6"/>
      <c r="L6" s="6"/>
      <c r="V6" s="240"/>
      <c r="W6" s="241"/>
      <c r="X6" s="240"/>
      <c r="Y6" s="241"/>
      <c r="Z6" s="240"/>
      <c r="AA6" s="241"/>
    </row>
    <row r="7" spans="2:27">
      <c r="B7" s="6"/>
      <c r="D7" s="33" t="s">
        <v>6</v>
      </c>
      <c r="E7" s="35" t="s">
        <v>7</v>
      </c>
      <c r="F7" s="35" t="s">
        <v>8</v>
      </c>
      <c r="G7" s="35" t="s">
        <v>9</v>
      </c>
      <c r="H7" s="11"/>
      <c r="I7" s="11"/>
      <c r="J7" s="11"/>
      <c r="L7" s="6"/>
      <c r="N7" s="33" t="s">
        <v>6</v>
      </c>
      <c r="O7" s="68" t="s">
        <v>16</v>
      </c>
      <c r="P7" s="68" t="s">
        <v>17</v>
      </c>
      <c r="Q7" s="244" t="s">
        <v>26</v>
      </c>
      <c r="R7" s="244"/>
      <c r="S7" s="245" t="s">
        <v>27</v>
      </c>
      <c r="T7" s="245"/>
      <c r="U7" s="34"/>
      <c r="V7" s="242"/>
      <c r="W7" s="243"/>
      <c r="X7" s="242"/>
      <c r="Y7" s="243"/>
      <c r="Z7" s="242"/>
      <c r="AA7" s="243"/>
    </row>
    <row r="8" spans="2:27" ht="16.5" customHeight="1">
      <c r="B8" s="6">
        <v>1</v>
      </c>
      <c r="C8" s="12">
        <f t="shared" ref="C8:C13" si="0">B8</f>
        <v>1</v>
      </c>
      <c r="D8" s="10" t="str">
        <f t="shared" ref="D8:D13" si="1">HLOOKUP($B8,$E$17:$J$20,2,FALSE)</f>
        <v>MSO</v>
      </c>
      <c r="E8" s="12">
        <f>ROUND(HLOOKUP(D8,$E$18:$J$20,3,FALSE),0)</f>
        <v>35</v>
      </c>
      <c r="F8" s="64">
        <f t="shared" ref="F8:F12" ca="1" si="2">E8/$C$20</f>
        <v>0.83333333333333337</v>
      </c>
      <c r="G8" s="28">
        <f t="shared" ref="G8:G10" ca="1" si="3">1-F8</f>
        <v>0.16666666666666663</v>
      </c>
      <c r="L8" s="6"/>
      <c r="N8" s="10" t="s">
        <v>2</v>
      </c>
      <c r="O8" s="13">
        <f>R20</f>
        <v>250</v>
      </c>
      <c r="P8" s="13">
        <v>0</v>
      </c>
      <c r="Q8" s="231" t="s">
        <v>25</v>
      </c>
      <c r="R8" s="231"/>
      <c r="S8" s="231" t="s">
        <v>18</v>
      </c>
      <c r="T8" s="231"/>
      <c r="V8" s="231" t="s">
        <v>48</v>
      </c>
      <c r="W8" s="231"/>
      <c r="X8" s="231" t="s">
        <v>58</v>
      </c>
      <c r="Y8" s="231"/>
      <c r="Z8" s="231" t="s">
        <v>65</v>
      </c>
      <c r="AA8" s="231"/>
    </row>
    <row r="9" spans="2:27">
      <c r="B9" s="6">
        <v>2</v>
      </c>
      <c r="C9" s="12">
        <f t="shared" si="0"/>
        <v>2</v>
      </c>
      <c r="D9" s="10" t="str">
        <f>HLOOKUP($B9,$E$17:$J$20,2,FALSE)</f>
        <v>SJU</v>
      </c>
      <c r="E9" s="12">
        <f t="shared" ref="E9:E13" si="4">ROUND(HLOOKUP(D9,$E$18:$J$20,3,FALSE),0)</f>
        <v>32</v>
      </c>
      <c r="F9" s="28">
        <f t="shared" ca="1" si="2"/>
        <v>0.76190476190476186</v>
      </c>
      <c r="G9" s="28">
        <f t="shared" ca="1" si="3"/>
        <v>0.23809523809523814</v>
      </c>
      <c r="L9" s="6"/>
      <c r="N9" s="10" t="s">
        <v>4</v>
      </c>
      <c r="O9" s="13">
        <f>P20</f>
        <v>187.5</v>
      </c>
      <c r="P9" s="13">
        <v>0</v>
      </c>
      <c r="Q9" s="231" t="s">
        <v>25</v>
      </c>
      <c r="R9" s="231"/>
      <c r="S9" s="231" t="s">
        <v>18</v>
      </c>
      <c r="T9" s="231"/>
      <c r="V9" s="231" t="s">
        <v>49</v>
      </c>
      <c r="W9" s="231"/>
      <c r="X9" s="231" t="s">
        <v>57</v>
      </c>
      <c r="Y9" s="231"/>
      <c r="Z9" s="231" t="s">
        <v>64</v>
      </c>
      <c r="AA9" s="231"/>
    </row>
    <row r="10" spans="2:27">
      <c r="B10" s="6">
        <v>3</v>
      </c>
      <c r="C10" s="12">
        <f t="shared" si="0"/>
        <v>3</v>
      </c>
      <c r="D10" s="10" t="str">
        <f t="shared" si="1"/>
        <v>JWU</v>
      </c>
      <c r="E10" s="12">
        <f t="shared" si="4"/>
        <v>31</v>
      </c>
      <c r="F10" s="28">
        <f t="shared" ca="1" si="2"/>
        <v>0.73809523809523814</v>
      </c>
      <c r="G10" s="28">
        <f t="shared" ca="1" si="3"/>
        <v>0.26190476190476186</v>
      </c>
      <c r="L10" s="6"/>
      <c r="N10" s="10" t="s">
        <v>3</v>
      </c>
      <c r="O10" s="13">
        <f>S20</f>
        <v>120</v>
      </c>
      <c r="P10" s="13">
        <v>0</v>
      </c>
      <c r="Q10" s="231" t="s">
        <v>25</v>
      </c>
      <c r="R10" s="231"/>
      <c r="S10" s="231" t="s">
        <v>18</v>
      </c>
      <c r="T10" s="231"/>
      <c r="V10" s="231" t="s">
        <v>48</v>
      </c>
      <c r="W10" s="231"/>
      <c r="X10" s="231" t="s">
        <v>60</v>
      </c>
      <c r="Y10" s="231"/>
      <c r="Z10" s="231" t="s">
        <v>66</v>
      </c>
      <c r="AA10" s="231"/>
    </row>
    <row r="11" spans="2:27">
      <c r="B11" s="6">
        <v>4</v>
      </c>
      <c r="C11" s="12">
        <f t="shared" si="0"/>
        <v>4</v>
      </c>
      <c r="D11" s="10" t="str">
        <f t="shared" si="1"/>
        <v>PKN</v>
      </c>
      <c r="E11" s="12">
        <f t="shared" si="4"/>
        <v>30</v>
      </c>
      <c r="F11" s="28">
        <f t="shared" ca="1" si="2"/>
        <v>0.7142857142857143</v>
      </c>
      <c r="G11" s="28">
        <f ca="1">1-F11</f>
        <v>0.2857142857142857</v>
      </c>
      <c r="L11" s="6"/>
      <c r="N11" s="10" t="s">
        <v>1</v>
      </c>
      <c r="O11" s="13">
        <f>Q20</f>
        <v>140</v>
      </c>
      <c r="P11" s="13">
        <v>0</v>
      </c>
      <c r="Q11" s="231" t="s">
        <v>25</v>
      </c>
      <c r="R11" s="231"/>
      <c r="S11" s="231" t="s">
        <v>18</v>
      </c>
      <c r="T11" s="231"/>
      <c r="V11" s="231" t="s">
        <v>48</v>
      </c>
      <c r="W11" s="231"/>
      <c r="X11" s="231" t="s">
        <v>59</v>
      </c>
      <c r="Y11" s="231"/>
      <c r="Z11" s="231" t="s">
        <v>67</v>
      </c>
      <c r="AA11" s="231"/>
    </row>
    <row r="12" spans="2:27">
      <c r="B12" s="6">
        <v>5</v>
      </c>
      <c r="C12" s="12">
        <f t="shared" si="0"/>
        <v>5</v>
      </c>
      <c r="D12" s="10" t="str">
        <f t="shared" si="1"/>
        <v>CBO</v>
      </c>
      <c r="E12" s="12">
        <f t="shared" si="4"/>
        <v>26</v>
      </c>
      <c r="F12" s="28">
        <f t="shared" ca="1" si="2"/>
        <v>0.61904761904761907</v>
      </c>
      <c r="G12" s="28">
        <f ca="1">1-F12</f>
        <v>0.38095238095238093</v>
      </c>
      <c r="L12" s="6"/>
      <c r="N12" s="10" t="s">
        <v>0</v>
      </c>
      <c r="O12" s="47">
        <f>O20</f>
        <v>132.5</v>
      </c>
      <c r="P12" s="13">
        <v>0</v>
      </c>
      <c r="Q12" s="231" t="s">
        <v>25</v>
      </c>
      <c r="R12" s="231"/>
      <c r="S12" s="231" t="s">
        <v>18</v>
      </c>
      <c r="T12" s="231"/>
      <c r="V12" s="231" t="s">
        <v>50</v>
      </c>
      <c r="W12" s="231"/>
      <c r="X12" s="231" t="s">
        <v>81</v>
      </c>
      <c r="Y12" s="231"/>
      <c r="Z12" s="231" t="s">
        <v>63</v>
      </c>
      <c r="AA12" s="231"/>
    </row>
    <row r="13" spans="2:27">
      <c r="B13" s="6">
        <v>6</v>
      </c>
      <c r="C13" s="12">
        <f t="shared" si="0"/>
        <v>6</v>
      </c>
      <c r="D13" s="10" t="str">
        <f t="shared" si="1"/>
        <v>YMI</v>
      </c>
      <c r="E13" s="12">
        <f t="shared" si="4"/>
        <v>19</v>
      </c>
      <c r="F13" s="28">
        <f ca="1">E13/$C$20</f>
        <v>0.45238095238095238</v>
      </c>
      <c r="G13" s="28">
        <f ca="1">1-F13</f>
        <v>0.54761904761904767</v>
      </c>
      <c r="L13" s="6"/>
      <c r="N13" s="10" t="s">
        <v>22</v>
      </c>
      <c r="O13" s="13">
        <f>T20</f>
        <v>95</v>
      </c>
      <c r="P13" s="13">
        <v>0</v>
      </c>
      <c r="Q13" s="231" t="s">
        <v>25</v>
      </c>
      <c r="R13" s="231"/>
      <c r="S13" s="231" t="s">
        <v>18</v>
      </c>
      <c r="T13" s="231"/>
      <c r="V13" s="231" t="s">
        <v>51</v>
      </c>
      <c r="W13" s="231"/>
      <c r="X13" s="246" t="s">
        <v>118</v>
      </c>
      <c r="Y13" s="246"/>
      <c r="Z13" s="231" t="s">
        <v>62</v>
      </c>
      <c r="AA13" s="231"/>
    </row>
    <row r="14" spans="2:27">
      <c r="B14" s="6"/>
      <c r="F14" s="63"/>
      <c r="L14" s="6"/>
      <c r="N14" s="29"/>
      <c r="O14" s="29"/>
      <c r="P14" s="29"/>
      <c r="Q14" s="248"/>
      <c r="R14" s="248"/>
      <c r="S14" s="248"/>
      <c r="T14" s="248"/>
      <c r="X14" s="247"/>
      <c r="Y14" s="247"/>
    </row>
    <row r="15" spans="2:27" ht="13.5" customHeight="1" thickBot="1">
      <c r="B15" s="6"/>
      <c r="L15" s="6"/>
    </row>
    <row r="16" spans="2:27" ht="17.149999999999999" thickBot="1">
      <c r="B16" s="6"/>
      <c r="L16" s="6"/>
      <c r="N16" s="14" t="s">
        <v>19</v>
      </c>
      <c r="O16" s="15">
        <f>SUM(O8:O13)</f>
        <v>925</v>
      </c>
      <c r="P16" s="87"/>
      <c r="Q16" s="262" t="s">
        <v>30</v>
      </c>
      <c r="R16" s="263"/>
      <c r="S16" s="15">
        <v>885.68000000000006</v>
      </c>
      <c r="V16" s="137" t="s">
        <v>121</v>
      </c>
      <c r="W16" s="138">
        <f>O16+S16</f>
        <v>1810.68</v>
      </c>
      <c r="Z16" s="87"/>
    </row>
    <row r="17" spans="2:27" ht="12" customHeight="1">
      <c r="B17" s="6"/>
      <c r="E17" s="27">
        <f t="shared" ref="E17:J17" si="5">RANK(E20,$E20:$J20)</f>
        <v>3</v>
      </c>
      <c r="F17" s="27">
        <f t="shared" si="5"/>
        <v>5</v>
      </c>
      <c r="G17" s="27">
        <f t="shared" si="5"/>
        <v>4</v>
      </c>
      <c r="H17" s="27">
        <f t="shared" si="5"/>
        <v>6</v>
      </c>
      <c r="I17" s="27">
        <f t="shared" si="5"/>
        <v>2</v>
      </c>
      <c r="J17" s="27">
        <f t="shared" si="5"/>
        <v>1</v>
      </c>
      <c r="L17" s="6"/>
      <c r="V17" s="249" t="s">
        <v>290</v>
      </c>
    </row>
    <row r="18" spans="2:27">
      <c r="B18" s="6"/>
      <c r="E18" s="16" t="s">
        <v>0</v>
      </c>
      <c r="F18" s="16" t="s">
        <v>4</v>
      </c>
      <c r="G18" s="16" t="s">
        <v>1</v>
      </c>
      <c r="H18" s="16" t="s">
        <v>2</v>
      </c>
      <c r="I18" s="16" t="s">
        <v>3</v>
      </c>
      <c r="J18" s="16" t="s">
        <v>21</v>
      </c>
      <c r="L18" s="6"/>
      <c r="O18" s="16" t="s">
        <v>0</v>
      </c>
      <c r="P18" s="16" t="s">
        <v>4</v>
      </c>
      <c r="Q18" s="16" t="s">
        <v>1</v>
      </c>
      <c r="R18" s="16" t="s">
        <v>2</v>
      </c>
      <c r="S18" s="16" t="s">
        <v>3</v>
      </c>
      <c r="T18" s="16" t="s">
        <v>22</v>
      </c>
      <c r="U18" s="16"/>
      <c r="V18" s="250"/>
      <c r="W18" s="1">
        <v>997.26</v>
      </c>
    </row>
    <row r="19" spans="2:27" ht="6" customHeight="1">
      <c r="B19" s="6"/>
      <c r="E19" s="17"/>
      <c r="F19" s="17"/>
      <c r="G19" s="17"/>
      <c r="H19" s="17"/>
      <c r="I19" s="17"/>
      <c r="J19" s="17"/>
      <c r="L19" s="6"/>
      <c r="O19" s="17"/>
      <c r="P19" s="17"/>
      <c r="Q19" s="17"/>
      <c r="R19" s="17"/>
      <c r="S19" s="17"/>
      <c r="T19" s="17"/>
      <c r="U19" s="17"/>
    </row>
    <row r="20" spans="2:27">
      <c r="B20" s="6"/>
      <c r="C20" s="139">
        <f ca="1">COUNT(C23:C95)</f>
        <v>42</v>
      </c>
      <c r="E20" s="24">
        <f>SUM(E25:E93)+0.00007</f>
        <v>31.000070000000001</v>
      </c>
      <c r="F20" s="24">
        <f>SUM(F25:F93)+0.00005</f>
        <v>26.000050000000002</v>
      </c>
      <c r="G20" s="24">
        <f>SUM(G25:G93)+0.00008</f>
        <v>30.000080000000001</v>
      </c>
      <c r="H20" s="24">
        <f>SUM(H25:H93)+0.00006</f>
        <v>19.000060000000001</v>
      </c>
      <c r="I20" s="24">
        <f>SUM(I25:I93)+0.00009</f>
        <v>32.00009</v>
      </c>
      <c r="J20" s="24">
        <f>SUM(J25:J93)+0.0001</f>
        <v>35.000100000000003</v>
      </c>
      <c r="L20" s="6"/>
      <c r="O20" s="19">
        <f>SUM(O24:O93)</f>
        <v>132.5</v>
      </c>
      <c r="P20" s="19">
        <f t="shared" ref="P20:Q20" si="6">SUM(P24:P93)</f>
        <v>187.5</v>
      </c>
      <c r="Q20" s="19">
        <f t="shared" si="6"/>
        <v>140</v>
      </c>
      <c r="R20" s="19">
        <f>SUM(R24:R93)</f>
        <v>250</v>
      </c>
      <c r="S20" s="19">
        <f>SUM(S24:S93)</f>
        <v>120</v>
      </c>
      <c r="T20" s="19">
        <f>SUM(T24:T93)</f>
        <v>95</v>
      </c>
      <c r="U20" s="19"/>
      <c r="V20" s="1" t="s">
        <v>291</v>
      </c>
      <c r="W20" s="87">
        <v>813.42</v>
      </c>
    </row>
    <row r="21" spans="2:27">
      <c r="B21" s="6"/>
      <c r="E21" s="2"/>
      <c r="F21" s="2"/>
      <c r="G21" s="2"/>
      <c r="H21" s="2"/>
      <c r="I21" s="2"/>
      <c r="J21" s="2"/>
      <c r="L21" s="6"/>
      <c r="O21" s="20" cm="1">
        <f t="array" ref="O21">SUM(SUMIF($N$24:$N$100,{"LI";"LIFO";"LIFO+"},O24:O100))</f>
        <v>2.5</v>
      </c>
      <c r="P21" s="20" cm="1">
        <f t="array" ref="P21">SUM(SUMIF($N$24:$N$100,{"LI";"LIFO";"LIFO+"},P24:P100))</f>
        <v>2.5</v>
      </c>
      <c r="Q21" s="20" cm="1">
        <f t="array" ref="Q21">SUM(SUMIF($N$24:$N$100,{"LI";"LIFO";"LIFO+"},Q24:Q100))</f>
        <v>0</v>
      </c>
      <c r="R21" s="20" cm="1">
        <f t="array" ref="R21">SUM(SUMIF($N$24:$N$100,{"LI";"LIFO";"LIFO+"},R24:R100))</f>
        <v>0</v>
      </c>
      <c r="S21" s="20" cm="1">
        <f t="array" ref="S21">SUM(SUMIF($N$24:$N$100,{"LI";"LIFO";"LIFO+"},S24:S100))</f>
        <v>0</v>
      </c>
      <c r="T21" s="20" cm="1">
        <f t="array" ref="T21">SUM(SUMIF($N$24:$N$100,{"LI";"LIFO";"LIFO+"},T24:T100))</f>
        <v>5</v>
      </c>
      <c r="U21" s="20"/>
    </row>
    <row r="22" spans="2:27">
      <c r="B22" s="6"/>
      <c r="E22" s="18">
        <v>3</v>
      </c>
      <c r="F22" s="18">
        <v>5</v>
      </c>
      <c r="G22" s="18">
        <v>6</v>
      </c>
      <c r="H22" s="18">
        <v>7</v>
      </c>
      <c r="I22" s="18">
        <v>8</v>
      </c>
      <c r="J22" s="18">
        <v>1</v>
      </c>
      <c r="L22" s="6"/>
    </row>
    <row r="23" spans="2:27">
      <c r="B23" s="6"/>
      <c r="C23" s="12" t="s">
        <v>10</v>
      </c>
      <c r="D23" s="10" t="s">
        <v>11</v>
      </c>
      <c r="E23" s="12" t="s">
        <v>12</v>
      </c>
      <c r="F23" s="12" t="s">
        <v>12</v>
      </c>
      <c r="G23" s="12" t="s">
        <v>12</v>
      </c>
      <c r="H23" s="12" t="s">
        <v>12</v>
      </c>
      <c r="I23" s="12" t="s">
        <v>12</v>
      </c>
      <c r="J23" s="12" t="s">
        <v>12</v>
      </c>
      <c r="L23" s="6"/>
      <c r="M23" s="67" t="s">
        <v>11</v>
      </c>
      <c r="N23" s="67" t="s">
        <v>15</v>
      </c>
      <c r="O23" s="12" t="s">
        <v>16</v>
      </c>
      <c r="P23" s="12" t="s">
        <v>16</v>
      </c>
      <c r="Q23" s="12" t="s">
        <v>16</v>
      </c>
      <c r="R23" s="12" t="s">
        <v>16</v>
      </c>
      <c r="S23" s="12" t="s">
        <v>16</v>
      </c>
      <c r="T23" s="12" t="s">
        <v>16</v>
      </c>
      <c r="U23" s="12"/>
    </row>
    <row r="24" spans="2:27">
      <c r="B24" s="6"/>
      <c r="C24" s="12"/>
      <c r="D24" s="10"/>
      <c r="E24" s="12"/>
      <c r="F24" s="12"/>
      <c r="G24" s="12"/>
      <c r="H24" s="12"/>
      <c r="I24" s="12"/>
      <c r="J24" s="12"/>
      <c r="L24" s="6"/>
      <c r="M24" s="21">
        <v>44344</v>
      </c>
      <c r="N24" s="67" t="s">
        <v>20</v>
      </c>
      <c r="O24" s="25">
        <v>20</v>
      </c>
      <c r="P24" s="25">
        <v>20</v>
      </c>
      <c r="Q24" s="25">
        <v>20</v>
      </c>
      <c r="R24" s="25">
        <v>20</v>
      </c>
      <c r="S24" s="25">
        <v>20</v>
      </c>
      <c r="T24" s="25">
        <v>20</v>
      </c>
      <c r="U24" s="25"/>
      <c r="V24" s="87">
        <f>SUM(O24:T24)</f>
        <v>120</v>
      </c>
    </row>
    <row r="25" spans="2:27">
      <c r="B25" s="6"/>
      <c r="C25" s="12">
        <v>1</v>
      </c>
      <c r="D25" s="22">
        <v>44344</v>
      </c>
      <c r="E25" s="26">
        <f t="shared" ref="E25:J39" si="7">IF(O25="","",IF(O25=0,1,0))</f>
        <v>1</v>
      </c>
      <c r="F25" s="26">
        <f t="shared" si="7"/>
        <v>1</v>
      </c>
      <c r="G25" s="26">
        <f t="shared" si="7"/>
        <v>0</v>
      </c>
      <c r="H25" s="26">
        <f>IF(R25="","",IF(R25=0,1,0))</f>
        <v>1</v>
      </c>
      <c r="I25" s="26">
        <f t="shared" si="7"/>
        <v>1</v>
      </c>
      <c r="J25" s="26">
        <f t="shared" si="7"/>
        <v>1</v>
      </c>
      <c r="L25" s="6"/>
      <c r="M25" s="21">
        <f>M24</f>
        <v>44344</v>
      </c>
      <c r="N25" s="10" t="s">
        <v>24</v>
      </c>
      <c r="O25" s="25">
        <v>0</v>
      </c>
      <c r="P25" s="25">
        <v>0</v>
      </c>
      <c r="Q25" s="25">
        <v>10</v>
      </c>
      <c r="R25" s="25">
        <v>0</v>
      </c>
      <c r="S25" s="25">
        <v>0</v>
      </c>
      <c r="T25" s="25">
        <v>0</v>
      </c>
      <c r="U25" s="25"/>
      <c r="V25" s="87">
        <f t="shared" ref="V25:V71" si="8">SUM(O25:T25)</f>
        <v>10</v>
      </c>
      <c r="Y25" s="58"/>
    </row>
    <row r="26" spans="2:27">
      <c r="B26" s="6"/>
      <c r="C26" s="12">
        <f t="shared" ref="C26:C55" ca="1" si="9">IF(D26&lt;=TODAY(),1,"")</f>
        <v>1</v>
      </c>
      <c r="D26" s="22">
        <f>IF(M26="","",M26)</f>
        <v>44351</v>
      </c>
      <c r="E26" s="26">
        <f t="shared" si="7"/>
        <v>1</v>
      </c>
      <c r="F26" s="26">
        <f t="shared" si="7"/>
        <v>1</v>
      </c>
      <c r="G26" s="26">
        <f t="shared" si="7"/>
        <v>1</v>
      </c>
      <c r="H26" s="26">
        <f t="shared" si="7"/>
        <v>0</v>
      </c>
      <c r="I26" s="26">
        <f t="shared" si="7"/>
        <v>0</v>
      </c>
      <c r="J26" s="26">
        <f t="shared" si="7"/>
        <v>1</v>
      </c>
      <c r="L26" s="6"/>
      <c r="M26" s="21">
        <f>M25+7</f>
        <v>44351</v>
      </c>
      <c r="N26" s="10" t="s">
        <v>24</v>
      </c>
      <c r="O26" s="25">
        <v>0</v>
      </c>
      <c r="P26" s="25">
        <v>0</v>
      </c>
      <c r="Q26" s="25">
        <v>0</v>
      </c>
      <c r="R26" s="25">
        <v>10</v>
      </c>
      <c r="S26" s="25">
        <v>10</v>
      </c>
      <c r="T26" s="25">
        <v>0</v>
      </c>
      <c r="U26" s="25"/>
      <c r="V26" s="87">
        <f t="shared" si="8"/>
        <v>20</v>
      </c>
    </row>
    <row r="27" spans="2:27">
      <c r="B27" s="6"/>
      <c r="C27" s="12">
        <f t="shared" ca="1" si="9"/>
        <v>1</v>
      </c>
      <c r="D27" s="22">
        <f t="shared" ref="D27:D31" si="10">IF(M27="","",M27)</f>
        <v>44358</v>
      </c>
      <c r="E27" s="26">
        <f t="shared" si="7"/>
        <v>1</v>
      </c>
      <c r="F27" s="26">
        <f t="shared" si="7"/>
        <v>1</v>
      </c>
      <c r="G27" s="26">
        <f t="shared" si="7"/>
        <v>1</v>
      </c>
      <c r="H27" s="26">
        <f t="shared" si="7"/>
        <v>0</v>
      </c>
      <c r="I27" s="26">
        <f>IF(S27="","",IF(S27=0,1,0))</f>
        <v>0</v>
      </c>
      <c r="J27" s="26">
        <f t="shared" si="7"/>
        <v>1</v>
      </c>
      <c r="L27" s="6"/>
      <c r="M27" s="21">
        <f>M26+7</f>
        <v>44358</v>
      </c>
      <c r="N27" s="10" t="s">
        <v>24</v>
      </c>
      <c r="O27" s="25">
        <v>0</v>
      </c>
      <c r="P27" s="25">
        <v>0</v>
      </c>
      <c r="Q27" s="25">
        <v>0</v>
      </c>
      <c r="R27" s="25">
        <v>10</v>
      </c>
      <c r="S27" s="25">
        <v>10</v>
      </c>
      <c r="T27" s="25">
        <v>0</v>
      </c>
      <c r="U27" s="25"/>
      <c r="V27" s="87">
        <f t="shared" si="8"/>
        <v>20</v>
      </c>
    </row>
    <row r="28" spans="2:27">
      <c r="B28" s="6"/>
      <c r="C28" s="12">
        <f t="shared" ca="1" si="9"/>
        <v>1</v>
      </c>
      <c r="D28" s="22">
        <f t="shared" si="10"/>
        <v>44365</v>
      </c>
      <c r="E28" s="26">
        <f t="shared" si="7"/>
        <v>0</v>
      </c>
      <c r="F28" s="26">
        <f t="shared" si="7"/>
        <v>1</v>
      </c>
      <c r="G28" s="26">
        <f t="shared" si="7"/>
        <v>1</v>
      </c>
      <c r="H28" s="26">
        <f t="shared" si="7"/>
        <v>1</v>
      </c>
      <c r="I28" s="26">
        <f>IF(S28="","",IF(S28=0,1,0))</f>
        <v>1</v>
      </c>
      <c r="J28" s="26">
        <f t="shared" si="7"/>
        <v>1</v>
      </c>
      <c r="L28" s="6"/>
      <c r="M28" s="21">
        <f>M27+7</f>
        <v>44365</v>
      </c>
      <c r="N28" s="10" t="s">
        <v>24</v>
      </c>
      <c r="O28" s="25">
        <v>10</v>
      </c>
      <c r="P28" s="25">
        <v>0</v>
      </c>
      <c r="Q28" s="25">
        <v>0</v>
      </c>
      <c r="R28" s="25">
        <v>0</v>
      </c>
      <c r="S28" s="25">
        <v>0</v>
      </c>
      <c r="T28" s="25">
        <v>0</v>
      </c>
      <c r="U28" s="25"/>
      <c r="V28" s="87">
        <f t="shared" si="8"/>
        <v>10</v>
      </c>
    </row>
    <row r="29" spans="2:27">
      <c r="B29" s="6"/>
      <c r="C29" s="12">
        <f ca="1">IF(D29&lt;=TODAY(),1,"")</f>
        <v>1</v>
      </c>
      <c r="D29" s="22">
        <f t="shared" si="10"/>
        <v>44372</v>
      </c>
      <c r="E29" s="26">
        <f>IF(O29="","",IF(O29=0,1,0))</f>
        <v>1</v>
      </c>
      <c r="F29" s="26">
        <f>IF(P29="","",IF(P29=0,1,0))</f>
        <v>0</v>
      </c>
      <c r="G29" s="26">
        <f>IF(Q29="","",IF(Q29=0,1,0))</f>
        <v>1</v>
      </c>
      <c r="H29" s="26">
        <f>IF(R29="","",IF(R29=0,1,0))</f>
        <v>0</v>
      </c>
      <c r="I29" s="26">
        <f>IF(S29="","",IF(S29=0,1,0))</f>
        <v>1</v>
      </c>
      <c r="J29" s="26">
        <f>IF(T29="","",IF(T29=0,1,0))</f>
        <v>1</v>
      </c>
      <c r="L29" s="6"/>
      <c r="M29" s="21">
        <f>M28+7</f>
        <v>44372</v>
      </c>
      <c r="N29" s="10" t="s">
        <v>24</v>
      </c>
      <c r="O29" s="25">
        <v>0</v>
      </c>
      <c r="P29" s="25">
        <v>10</v>
      </c>
      <c r="Q29" s="25">
        <v>0</v>
      </c>
      <c r="R29" s="25">
        <v>10</v>
      </c>
      <c r="S29" s="25">
        <v>0</v>
      </c>
      <c r="T29" s="25">
        <v>0</v>
      </c>
      <c r="U29" s="25"/>
      <c r="V29" s="87">
        <f t="shared" si="8"/>
        <v>20</v>
      </c>
    </row>
    <row r="30" spans="2:27">
      <c r="B30" s="6"/>
      <c r="C30" s="76"/>
      <c r="D30" s="77"/>
      <c r="E30" s="77"/>
      <c r="F30" s="77" t="str">
        <f>IF(P30="","",IF(P30=0,1,0))</f>
        <v/>
      </c>
      <c r="G30" s="77" t="str">
        <f>IF(Q30="","",IF(Q30=0,1,0))</f>
        <v/>
      </c>
      <c r="H30" s="77"/>
      <c r="I30" s="77" t="str">
        <f t="shared" ref="I30" si="11">IF(S30="","",IF(S30=0,1,0))</f>
        <v/>
      </c>
      <c r="J30" s="2" t="str">
        <f>IF(T30="","",IF(T30=0,1,0))</f>
        <v/>
      </c>
      <c r="L30" s="6"/>
      <c r="M30" s="21">
        <f>M31</f>
        <v>44379</v>
      </c>
      <c r="N30" s="10" t="s">
        <v>46</v>
      </c>
      <c r="O30" s="25">
        <v>2.5</v>
      </c>
      <c r="P30" s="25"/>
      <c r="Q30" s="25"/>
      <c r="R30" s="25"/>
      <c r="S30" s="25"/>
      <c r="T30" s="25"/>
      <c r="U30" s="25"/>
      <c r="V30" s="87">
        <f t="shared" si="8"/>
        <v>2.5</v>
      </c>
    </row>
    <row r="31" spans="2:27">
      <c r="B31" s="6"/>
      <c r="C31" s="12">
        <v>1</v>
      </c>
      <c r="D31" s="22">
        <f t="shared" si="10"/>
        <v>44379</v>
      </c>
      <c r="E31" s="26">
        <f t="shared" si="7"/>
        <v>1</v>
      </c>
      <c r="F31" s="26">
        <f t="shared" si="7"/>
        <v>0</v>
      </c>
      <c r="G31" s="26">
        <f t="shared" si="7"/>
        <v>0</v>
      </c>
      <c r="H31" s="26">
        <f t="shared" si="7"/>
        <v>0</v>
      </c>
      <c r="I31" s="26">
        <f>IF(S31="","",IF(S31=0,1,0))</f>
        <v>0</v>
      </c>
      <c r="J31" s="26">
        <f t="shared" si="7"/>
        <v>1</v>
      </c>
      <c r="L31" s="6"/>
      <c r="M31" s="21">
        <f>M29+7</f>
        <v>44379</v>
      </c>
      <c r="N31" s="10" t="s">
        <v>24</v>
      </c>
      <c r="O31" s="25">
        <v>0</v>
      </c>
      <c r="P31" s="25">
        <v>10</v>
      </c>
      <c r="Q31" s="25">
        <v>10</v>
      </c>
      <c r="R31" s="25">
        <v>10</v>
      </c>
      <c r="S31" s="25">
        <v>10</v>
      </c>
      <c r="T31" s="25">
        <v>0</v>
      </c>
      <c r="U31" s="25"/>
      <c r="V31" s="87">
        <f t="shared" si="8"/>
        <v>40</v>
      </c>
      <c r="AA31" s="58"/>
    </row>
    <row r="32" spans="2:27">
      <c r="B32" s="6"/>
      <c r="C32" s="12">
        <f ca="1">IF(D32&lt;=TODAY(),1,"")</f>
        <v>1</v>
      </c>
      <c r="D32" s="22">
        <f>IF(M32="","",M32)</f>
        <v>44386</v>
      </c>
      <c r="E32" s="26">
        <f t="shared" si="7"/>
        <v>0</v>
      </c>
      <c r="F32" s="26">
        <f t="shared" si="7"/>
        <v>1</v>
      </c>
      <c r="G32" s="26">
        <f t="shared" si="7"/>
        <v>1</v>
      </c>
      <c r="H32" s="26">
        <f t="shared" si="7"/>
        <v>0</v>
      </c>
      <c r="I32" s="26">
        <f>IF(S32="","",IF(S32=0,1,0))</f>
        <v>1</v>
      </c>
      <c r="J32" s="26">
        <f t="shared" si="7"/>
        <v>1</v>
      </c>
      <c r="L32" s="6"/>
      <c r="M32" s="32">
        <f>M31+7</f>
        <v>44386</v>
      </c>
      <c r="N32" s="10" t="s">
        <v>24</v>
      </c>
      <c r="O32" s="25">
        <v>10</v>
      </c>
      <c r="P32" s="25">
        <v>0</v>
      </c>
      <c r="Q32" s="25">
        <v>0</v>
      </c>
      <c r="R32" s="25">
        <v>10</v>
      </c>
      <c r="S32" s="25">
        <v>0</v>
      </c>
      <c r="T32" s="25">
        <v>0</v>
      </c>
      <c r="U32" s="25"/>
      <c r="V32" s="87">
        <f t="shared" si="8"/>
        <v>20</v>
      </c>
    </row>
    <row r="33" spans="2:28">
      <c r="B33" s="6"/>
      <c r="C33" s="12">
        <f t="shared" ca="1" si="9"/>
        <v>1</v>
      </c>
      <c r="D33" s="22">
        <f t="shared" ref="D33:D41" si="12">IF(M33="","",M33)</f>
        <v>44393</v>
      </c>
      <c r="E33" s="26">
        <f t="shared" si="7"/>
        <v>1</v>
      </c>
      <c r="F33" s="26">
        <f>IF(P33="","",IF(P33=0,1,0))</f>
        <v>0</v>
      </c>
      <c r="G33" s="26">
        <f t="shared" si="7"/>
        <v>0</v>
      </c>
      <c r="H33" s="26">
        <f t="shared" si="7"/>
        <v>0</v>
      </c>
      <c r="I33" s="26">
        <f t="shared" si="7"/>
        <v>1</v>
      </c>
      <c r="J33" s="26">
        <f t="shared" si="7"/>
        <v>1</v>
      </c>
      <c r="L33" s="6"/>
      <c r="M33" s="32">
        <f>M32+7</f>
        <v>44393</v>
      </c>
      <c r="N33" s="10" t="s">
        <v>24</v>
      </c>
      <c r="O33" s="25">
        <v>0</v>
      </c>
      <c r="P33" s="25">
        <v>10</v>
      </c>
      <c r="Q33" s="25">
        <v>10</v>
      </c>
      <c r="R33" s="25">
        <v>10</v>
      </c>
      <c r="S33" s="25">
        <v>0</v>
      </c>
      <c r="T33" s="25">
        <v>0</v>
      </c>
      <c r="U33" s="25"/>
      <c r="V33" s="87">
        <f t="shared" si="8"/>
        <v>30</v>
      </c>
    </row>
    <row r="34" spans="2:28">
      <c r="B34" s="6"/>
      <c r="C34" s="12">
        <f t="shared" ca="1" si="9"/>
        <v>1</v>
      </c>
      <c r="D34" s="22">
        <f t="shared" si="12"/>
        <v>44400</v>
      </c>
      <c r="E34" s="26">
        <f t="shared" si="7"/>
        <v>1</v>
      </c>
      <c r="F34" s="26">
        <f t="shared" si="7"/>
        <v>1</v>
      </c>
      <c r="G34" s="26">
        <f t="shared" si="7"/>
        <v>0</v>
      </c>
      <c r="H34" s="26">
        <f t="shared" si="7"/>
        <v>0</v>
      </c>
      <c r="I34" s="26">
        <f t="shared" si="7"/>
        <v>1</v>
      </c>
      <c r="J34" s="26">
        <f t="shared" si="7"/>
        <v>0</v>
      </c>
      <c r="L34" s="6"/>
      <c r="M34" s="32">
        <f>M33+7</f>
        <v>44400</v>
      </c>
      <c r="N34" s="10" t="s">
        <v>24</v>
      </c>
      <c r="O34" s="25">
        <v>0</v>
      </c>
      <c r="P34" s="25">
        <v>0</v>
      </c>
      <c r="Q34" s="25">
        <v>10</v>
      </c>
      <c r="R34" s="25">
        <v>10</v>
      </c>
      <c r="S34" s="25">
        <v>0</v>
      </c>
      <c r="T34" s="25">
        <v>10</v>
      </c>
      <c r="U34" s="25"/>
      <c r="V34" s="87">
        <f t="shared" si="8"/>
        <v>30</v>
      </c>
    </row>
    <row r="35" spans="2:28">
      <c r="B35" s="6"/>
      <c r="C35" s="12">
        <f t="shared" ca="1" si="9"/>
        <v>1</v>
      </c>
      <c r="D35" s="22">
        <f t="shared" si="12"/>
        <v>44407</v>
      </c>
      <c r="E35" s="26">
        <f t="shared" si="7"/>
        <v>0</v>
      </c>
      <c r="F35" s="26">
        <f>IF(P35="","",IF(P35=0,1,0))</f>
        <v>1</v>
      </c>
      <c r="G35" s="26">
        <f t="shared" si="7"/>
        <v>1</v>
      </c>
      <c r="H35" s="26">
        <f t="shared" si="7"/>
        <v>1</v>
      </c>
      <c r="I35" s="26">
        <f t="shared" si="7"/>
        <v>1</v>
      </c>
      <c r="J35" s="26">
        <f t="shared" si="7"/>
        <v>1</v>
      </c>
      <c r="L35" s="6"/>
      <c r="M35" s="21">
        <f>M34+7</f>
        <v>44407</v>
      </c>
      <c r="N35" s="10" t="s">
        <v>24</v>
      </c>
      <c r="O35" s="25">
        <v>10</v>
      </c>
      <c r="P35" s="25">
        <v>0</v>
      </c>
      <c r="Q35" s="25">
        <v>0</v>
      </c>
      <c r="R35" s="25">
        <v>0</v>
      </c>
      <c r="S35" s="25">
        <v>0</v>
      </c>
      <c r="T35" s="25">
        <v>0</v>
      </c>
      <c r="U35" s="25"/>
      <c r="V35" s="87">
        <f t="shared" si="8"/>
        <v>10</v>
      </c>
      <c r="AB35" s="58"/>
    </row>
    <row r="36" spans="2:28">
      <c r="B36" s="6"/>
      <c r="C36" s="76"/>
      <c r="D36" s="77"/>
      <c r="E36" s="77"/>
      <c r="F36" s="77" t="str">
        <f>IF(P36="","",IF(P36=0,1,0))</f>
        <v/>
      </c>
      <c r="G36" s="77" t="str">
        <f>IF(Q36="","",IF(Q36=0,1,0))</f>
        <v/>
      </c>
      <c r="H36" s="77"/>
      <c r="I36" s="77" t="str">
        <f t="shared" si="7"/>
        <v/>
      </c>
      <c r="J36" s="2"/>
      <c r="L36" s="6"/>
      <c r="M36" s="21">
        <v>44414</v>
      </c>
      <c r="N36" s="10" t="s">
        <v>46</v>
      </c>
      <c r="O36" s="25"/>
      <c r="P36" s="25"/>
      <c r="Q36" s="25"/>
      <c r="R36" s="25"/>
      <c r="S36" s="25"/>
      <c r="T36" s="25">
        <v>2.5</v>
      </c>
      <c r="U36" s="25"/>
      <c r="V36" s="87">
        <f t="shared" si="8"/>
        <v>2.5</v>
      </c>
    </row>
    <row r="37" spans="2:28">
      <c r="B37" s="6"/>
      <c r="C37" s="12">
        <f t="shared" ca="1" si="9"/>
        <v>1</v>
      </c>
      <c r="D37" s="22">
        <f t="shared" si="12"/>
        <v>44414</v>
      </c>
      <c r="E37" s="26">
        <f t="shared" si="7"/>
        <v>0</v>
      </c>
      <c r="F37" s="26">
        <f t="shared" si="7"/>
        <v>1</v>
      </c>
      <c r="G37" s="26">
        <f t="shared" si="7"/>
        <v>1</v>
      </c>
      <c r="H37" s="26">
        <f t="shared" si="7"/>
        <v>1</v>
      </c>
      <c r="I37" s="26">
        <f t="shared" si="7"/>
        <v>1</v>
      </c>
      <c r="J37" s="26">
        <f t="shared" si="7"/>
        <v>1</v>
      </c>
      <c r="L37" s="6"/>
      <c r="M37" s="21">
        <f>M36</f>
        <v>44414</v>
      </c>
      <c r="N37" s="10" t="s">
        <v>24</v>
      </c>
      <c r="O37" s="25">
        <v>10</v>
      </c>
      <c r="P37" s="25">
        <v>0</v>
      </c>
      <c r="Q37" s="25">
        <v>0</v>
      </c>
      <c r="R37" s="25">
        <v>0</v>
      </c>
      <c r="S37" s="25">
        <v>0</v>
      </c>
      <c r="T37" s="25">
        <v>0</v>
      </c>
      <c r="U37" s="25"/>
      <c r="V37" s="87">
        <f t="shared" si="8"/>
        <v>10</v>
      </c>
      <c r="AB37" s="58"/>
    </row>
    <row r="38" spans="2:28">
      <c r="B38" s="6"/>
      <c r="C38" s="12">
        <f t="shared" ca="1" si="9"/>
        <v>1</v>
      </c>
      <c r="D38" s="22">
        <f t="shared" si="12"/>
        <v>44421</v>
      </c>
      <c r="E38" s="26">
        <f t="shared" si="7"/>
        <v>1</v>
      </c>
      <c r="F38" s="26">
        <f t="shared" si="7"/>
        <v>1</v>
      </c>
      <c r="G38" s="26">
        <f t="shared" si="7"/>
        <v>1</v>
      </c>
      <c r="H38" s="26">
        <f t="shared" si="7"/>
        <v>1</v>
      </c>
      <c r="I38" s="26">
        <f t="shared" si="7"/>
        <v>0</v>
      </c>
      <c r="J38" s="26">
        <f t="shared" si="7"/>
        <v>1</v>
      </c>
      <c r="L38" s="6"/>
      <c r="M38" s="21">
        <f>M37+7</f>
        <v>44421</v>
      </c>
      <c r="N38" s="10" t="s">
        <v>24</v>
      </c>
      <c r="O38" s="25">
        <v>0</v>
      </c>
      <c r="P38" s="25">
        <v>0</v>
      </c>
      <c r="Q38" s="25">
        <v>0</v>
      </c>
      <c r="R38" s="25">
        <v>0</v>
      </c>
      <c r="S38" s="25">
        <v>10</v>
      </c>
      <c r="T38" s="25">
        <v>0</v>
      </c>
      <c r="U38" s="25"/>
      <c r="V38" s="87">
        <f t="shared" si="8"/>
        <v>10</v>
      </c>
    </row>
    <row r="39" spans="2:28" ht="16.5" customHeight="1">
      <c r="B39" s="6"/>
      <c r="C39" s="12">
        <f ca="1">IF(D39&lt;=TODAY(),1,"")</f>
        <v>1</v>
      </c>
      <c r="D39" s="22">
        <f t="shared" si="12"/>
        <v>44428</v>
      </c>
      <c r="E39" s="26">
        <f t="shared" si="7"/>
        <v>1</v>
      </c>
      <c r="F39" s="26">
        <f t="shared" si="7"/>
        <v>0</v>
      </c>
      <c r="G39" s="26">
        <f t="shared" si="7"/>
        <v>1</v>
      </c>
      <c r="H39" s="26">
        <f t="shared" si="7"/>
        <v>1</v>
      </c>
      <c r="I39" s="26">
        <f t="shared" si="7"/>
        <v>1</v>
      </c>
      <c r="J39" s="26">
        <f t="shared" si="7"/>
        <v>0</v>
      </c>
      <c r="K39" s="2"/>
      <c r="L39" s="23"/>
      <c r="M39" s="21">
        <f>M38+7</f>
        <v>44428</v>
      </c>
      <c r="N39" s="10" t="s">
        <v>24</v>
      </c>
      <c r="O39" s="25">
        <v>0</v>
      </c>
      <c r="P39" s="25">
        <v>10</v>
      </c>
      <c r="Q39" s="25">
        <v>0</v>
      </c>
      <c r="R39" s="25">
        <v>0</v>
      </c>
      <c r="S39" s="25">
        <v>0</v>
      </c>
      <c r="T39" s="25">
        <v>10</v>
      </c>
      <c r="U39" s="25"/>
      <c r="V39" s="87">
        <f t="shared" si="8"/>
        <v>20</v>
      </c>
    </row>
    <row r="40" spans="2:28" ht="16.5" customHeight="1">
      <c r="B40" s="6"/>
      <c r="C40" s="12">
        <f t="shared" ca="1" si="9"/>
        <v>1</v>
      </c>
      <c r="D40" s="22">
        <f t="shared" si="12"/>
        <v>44435</v>
      </c>
      <c r="E40" s="26">
        <f t="shared" ref="E40:J89" si="13">IF(O40="","",IF(O40=0,1,0))</f>
        <v>1</v>
      </c>
      <c r="F40" s="26">
        <f t="shared" si="13"/>
        <v>0</v>
      </c>
      <c r="G40" s="26">
        <f t="shared" si="13"/>
        <v>1</v>
      </c>
      <c r="H40" s="26">
        <f t="shared" si="13"/>
        <v>1</v>
      </c>
      <c r="I40" s="26">
        <f t="shared" si="13"/>
        <v>0</v>
      </c>
      <c r="J40" s="26">
        <f>IF(T40="","",IF(T40=0,1,0))</f>
        <v>1</v>
      </c>
      <c r="K40" s="2"/>
      <c r="L40" s="23"/>
      <c r="M40" s="21">
        <f>M39+7</f>
        <v>44435</v>
      </c>
      <c r="N40" s="10" t="s">
        <v>24</v>
      </c>
      <c r="O40" s="25">
        <v>0</v>
      </c>
      <c r="P40" s="25">
        <v>10</v>
      </c>
      <c r="Q40" s="25">
        <v>0</v>
      </c>
      <c r="R40" s="25">
        <v>0</v>
      </c>
      <c r="S40" s="25">
        <v>10</v>
      </c>
      <c r="T40" s="25">
        <v>0</v>
      </c>
      <c r="U40" s="25"/>
      <c r="V40" s="87">
        <f t="shared" si="8"/>
        <v>20</v>
      </c>
    </row>
    <row r="41" spans="2:28" ht="16.5" customHeight="1">
      <c r="B41" s="6"/>
      <c r="C41" s="12">
        <f t="shared" ca="1" si="9"/>
        <v>1</v>
      </c>
      <c r="D41" s="22">
        <f t="shared" si="12"/>
        <v>44442</v>
      </c>
      <c r="E41" s="26">
        <f t="shared" si="13"/>
        <v>1</v>
      </c>
      <c r="F41" s="26">
        <f t="shared" si="13"/>
        <v>0</v>
      </c>
      <c r="G41" s="26">
        <f t="shared" si="13"/>
        <v>0</v>
      </c>
      <c r="H41" s="26">
        <f t="shared" si="13"/>
        <v>0</v>
      </c>
      <c r="I41" s="26">
        <f t="shared" si="13"/>
        <v>1</v>
      </c>
      <c r="J41" s="26">
        <f t="shared" si="13"/>
        <v>1</v>
      </c>
      <c r="L41" s="6"/>
      <c r="M41" s="21">
        <f>M40+7</f>
        <v>44442</v>
      </c>
      <c r="N41" s="10" t="s">
        <v>24</v>
      </c>
      <c r="O41" s="25">
        <v>0</v>
      </c>
      <c r="P41" s="25">
        <v>10</v>
      </c>
      <c r="Q41" s="25">
        <v>10</v>
      </c>
      <c r="R41" s="25">
        <v>10</v>
      </c>
      <c r="S41" s="25">
        <v>0</v>
      </c>
      <c r="T41" s="25">
        <v>0</v>
      </c>
      <c r="U41" s="25"/>
      <c r="V41" s="87">
        <f t="shared" si="8"/>
        <v>30</v>
      </c>
    </row>
    <row r="42" spans="2:28" ht="16.5" customHeight="1">
      <c r="B42" s="6"/>
      <c r="C42" s="12">
        <f t="shared" ref="C42" ca="1" si="14">IF(D42&lt;=TODAY(),1,"")</f>
        <v>1</v>
      </c>
      <c r="D42" s="22">
        <f t="shared" ref="D42" si="15">IF(M42="","",M42)</f>
        <v>44449</v>
      </c>
      <c r="E42" s="26">
        <f t="shared" ref="E42" si="16">IF(O42="","",IF(O42=0,1,0))</f>
        <v>0</v>
      </c>
      <c r="F42" s="26">
        <f t="shared" ref="F42" si="17">IF(P42="","",IF(P42=0,1,0))</f>
        <v>0</v>
      </c>
      <c r="G42" s="26">
        <f t="shared" ref="G42" si="18">IF(Q42="","",IF(Q42=0,1,0))</f>
        <v>1</v>
      </c>
      <c r="H42" s="26">
        <f t="shared" ref="H42" si="19">IF(R42="","",IF(R42=0,1,0))</f>
        <v>0</v>
      </c>
      <c r="I42" s="26">
        <f t="shared" ref="I42:I43" si="20">IF(S42="","",IF(S42=0,1,0))</f>
        <v>1</v>
      </c>
      <c r="J42" s="26">
        <f>IF(T42="","",IF(T42=0,1,0))</f>
        <v>0</v>
      </c>
      <c r="L42" s="6"/>
      <c r="M42" s="21">
        <f>M41+7</f>
        <v>44449</v>
      </c>
      <c r="N42" s="10" t="s">
        <v>24</v>
      </c>
      <c r="O42" s="25">
        <v>10</v>
      </c>
      <c r="P42" s="25">
        <v>10</v>
      </c>
      <c r="Q42" s="25">
        <v>0</v>
      </c>
      <c r="R42" s="25">
        <v>10</v>
      </c>
      <c r="S42" s="25">
        <v>0</v>
      </c>
      <c r="T42" s="25">
        <v>10</v>
      </c>
      <c r="U42" s="25"/>
      <c r="V42" s="87">
        <f t="shared" si="8"/>
        <v>40</v>
      </c>
    </row>
    <row r="43" spans="2:28" ht="16.5" customHeight="1">
      <c r="B43" s="6"/>
      <c r="C43" s="76"/>
      <c r="D43" s="77"/>
      <c r="E43" s="77"/>
      <c r="F43" s="77" t="str">
        <f>IF(P43="","",IF(P43=0,1,0))</f>
        <v/>
      </c>
      <c r="G43" s="77" t="str">
        <f>IF(Q43="","",IF(Q43=0,1,0))</f>
        <v/>
      </c>
      <c r="H43" s="77"/>
      <c r="I43" s="77" t="str">
        <f t="shared" si="20"/>
        <v/>
      </c>
      <c r="J43" s="2"/>
      <c r="L43" s="6"/>
      <c r="M43" s="21">
        <f>M44</f>
        <v>44456</v>
      </c>
      <c r="N43" s="10" t="s">
        <v>46</v>
      </c>
      <c r="O43" s="25"/>
      <c r="P43" s="25"/>
      <c r="Q43" s="25"/>
      <c r="R43" s="25"/>
      <c r="S43" s="25"/>
      <c r="T43" s="25">
        <v>2.5</v>
      </c>
      <c r="U43" s="25"/>
      <c r="V43" s="87">
        <f t="shared" si="8"/>
        <v>2.5</v>
      </c>
    </row>
    <row r="44" spans="2:28" ht="16.5" customHeight="1">
      <c r="B44" s="6"/>
      <c r="C44" s="12">
        <f t="shared" ref="C44:C50" ca="1" si="21">IF(D44&lt;=TODAY(),1,"")</f>
        <v>1</v>
      </c>
      <c r="D44" s="22">
        <f t="shared" ref="D44:D54" si="22">IF(M44="","",M44)</f>
        <v>44456</v>
      </c>
      <c r="E44" s="26">
        <f t="shared" ref="E44:J47" si="23">IF(O44="","",IF(O44=0,1,0))</f>
        <v>1</v>
      </c>
      <c r="F44" s="26">
        <f t="shared" si="23"/>
        <v>1</v>
      </c>
      <c r="G44" s="26">
        <f t="shared" si="23"/>
        <v>1</v>
      </c>
      <c r="H44" s="26">
        <f t="shared" si="23"/>
        <v>0</v>
      </c>
      <c r="I44" s="26">
        <f t="shared" si="23"/>
        <v>1</v>
      </c>
      <c r="J44" s="26">
        <f t="shared" si="23"/>
        <v>1</v>
      </c>
      <c r="L44" s="6"/>
      <c r="M44" s="21">
        <f>M42+7</f>
        <v>44456</v>
      </c>
      <c r="N44" s="10" t="s">
        <v>24</v>
      </c>
      <c r="O44" s="25">
        <v>0</v>
      </c>
      <c r="P44" s="25">
        <v>0</v>
      </c>
      <c r="Q44" s="25">
        <v>0</v>
      </c>
      <c r="R44" s="25">
        <v>10</v>
      </c>
      <c r="S44" s="25">
        <v>0</v>
      </c>
      <c r="T44" s="25">
        <v>0</v>
      </c>
      <c r="U44" s="25"/>
      <c r="V44" s="87">
        <f t="shared" si="8"/>
        <v>10</v>
      </c>
      <c r="W44" s="48"/>
    </row>
    <row r="45" spans="2:28" ht="16.5" customHeight="1">
      <c r="B45" s="6"/>
      <c r="C45" s="76"/>
      <c r="D45" s="77"/>
      <c r="E45" s="77"/>
      <c r="F45" s="77"/>
      <c r="G45" s="77" t="str">
        <f>IF(Q45="","",IF(Q45=0,1,0))</f>
        <v/>
      </c>
      <c r="H45" s="77"/>
      <c r="I45" s="77" t="str">
        <f t="shared" si="23"/>
        <v/>
      </c>
      <c r="J45" s="2"/>
      <c r="L45" s="6"/>
      <c r="M45" s="21">
        <f>M46</f>
        <v>44463</v>
      </c>
      <c r="N45" s="10" t="s">
        <v>46</v>
      </c>
      <c r="O45" s="25"/>
      <c r="P45" s="25">
        <v>2.5</v>
      </c>
      <c r="Q45" s="25"/>
      <c r="R45" s="25"/>
      <c r="S45" s="25"/>
      <c r="T45" s="25"/>
      <c r="U45" s="25"/>
      <c r="V45" s="87">
        <f t="shared" si="8"/>
        <v>2.5</v>
      </c>
      <c r="W45" s="48"/>
    </row>
    <row r="46" spans="2:28" ht="16.5" customHeight="1">
      <c r="B46" s="6"/>
      <c r="C46" s="12">
        <f t="shared" ca="1" si="21"/>
        <v>1</v>
      </c>
      <c r="D46" s="22">
        <f t="shared" si="22"/>
        <v>44463</v>
      </c>
      <c r="E46" s="26">
        <f t="shared" si="23"/>
        <v>1</v>
      </c>
      <c r="F46" s="26">
        <f t="shared" si="23"/>
        <v>1</v>
      </c>
      <c r="G46" s="26">
        <f t="shared" si="23"/>
        <v>1</v>
      </c>
      <c r="H46" s="26">
        <f t="shared" si="23"/>
        <v>0</v>
      </c>
      <c r="I46" s="26">
        <f t="shared" si="23"/>
        <v>1</v>
      </c>
      <c r="J46" s="26">
        <f t="shared" si="23"/>
        <v>1</v>
      </c>
      <c r="L46" s="6"/>
      <c r="M46" s="21">
        <f>M44+7</f>
        <v>44463</v>
      </c>
      <c r="N46" s="10" t="s">
        <v>24</v>
      </c>
      <c r="O46" s="25">
        <v>0</v>
      </c>
      <c r="P46" s="25">
        <v>0</v>
      </c>
      <c r="Q46" s="25">
        <v>0</v>
      </c>
      <c r="R46" s="25">
        <v>10</v>
      </c>
      <c r="S46" s="25">
        <v>0</v>
      </c>
      <c r="T46" s="25">
        <v>0</v>
      </c>
      <c r="U46" s="25"/>
      <c r="V46" s="87">
        <f t="shared" si="8"/>
        <v>10</v>
      </c>
      <c r="W46" s="48"/>
    </row>
    <row r="47" spans="2:28" ht="16.5" customHeight="1">
      <c r="B47" s="6"/>
      <c r="C47" s="12">
        <f t="shared" ca="1" si="21"/>
        <v>1</v>
      </c>
      <c r="D47" s="22">
        <f t="shared" si="22"/>
        <v>44470</v>
      </c>
      <c r="E47" s="26">
        <f t="shared" si="23"/>
        <v>1</v>
      </c>
      <c r="F47" s="26">
        <f t="shared" si="23"/>
        <v>1</v>
      </c>
      <c r="G47" s="26">
        <f t="shared" si="23"/>
        <v>0</v>
      </c>
      <c r="H47" s="26">
        <f t="shared" si="23"/>
        <v>1</v>
      </c>
      <c r="I47" s="26">
        <f t="shared" si="23"/>
        <v>1</v>
      </c>
      <c r="J47" s="26">
        <f t="shared" si="23"/>
        <v>1</v>
      </c>
      <c r="L47" s="6"/>
      <c r="M47" s="21">
        <f t="shared" ref="M47:M53" si="24">M46+7</f>
        <v>44470</v>
      </c>
      <c r="N47" s="10" t="s">
        <v>24</v>
      </c>
      <c r="O47" s="25">
        <v>0</v>
      </c>
      <c r="P47" s="25">
        <v>0</v>
      </c>
      <c r="Q47" s="25">
        <v>10</v>
      </c>
      <c r="R47" s="25">
        <v>0</v>
      </c>
      <c r="S47" s="25">
        <v>0</v>
      </c>
      <c r="T47" s="25">
        <v>0</v>
      </c>
      <c r="U47" s="25"/>
      <c r="V47" s="87">
        <f t="shared" si="8"/>
        <v>10</v>
      </c>
      <c r="W47" s="48"/>
    </row>
    <row r="48" spans="2:28" ht="16.5" customHeight="1">
      <c r="B48" s="6"/>
      <c r="C48" s="12">
        <f t="shared" ca="1" si="21"/>
        <v>1</v>
      </c>
      <c r="D48" s="22">
        <f t="shared" si="22"/>
        <v>44477</v>
      </c>
      <c r="E48" s="26">
        <f t="shared" ref="E48:J49" si="25">IF(O48="","",IF(O48=0,1,0))</f>
        <v>1</v>
      </c>
      <c r="F48" s="26">
        <f t="shared" si="25"/>
        <v>0</v>
      </c>
      <c r="G48" s="26">
        <f t="shared" si="25"/>
        <v>1</v>
      </c>
      <c r="H48" s="26">
        <f t="shared" si="25"/>
        <v>0</v>
      </c>
      <c r="I48" s="26">
        <f t="shared" si="25"/>
        <v>0</v>
      </c>
      <c r="J48" s="26">
        <f t="shared" si="25"/>
        <v>1</v>
      </c>
      <c r="L48" s="6"/>
      <c r="M48" s="21">
        <f t="shared" si="24"/>
        <v>44477</v>
      </c>
      <c r="N48" s="10" t="s">
        <v>24</v>
      </c>
      <c r="O48" s="25">
        <v>0</v>
      </c>
      <c r="P48" s="25">
        <v>10</v>
      </c>
      <c r="Q48" s="25">
        <v>0</v>
      </c>
      <c r="R48" s="25">
        <v>10</v>
      </c>
      <c r="S48" s="25">
        <v>10</v>
      </c>
      <c r="T48" s="25">
        <v>0</v>
      </c>
      <c r="U48" s="25"/>
      <c r="V48" s="87">
        <f t="shared" si="8"/>
        <v>30</v>
      </c>
      <c r="W48" s="48"/>
    </row>
    <row r="49" spans="1:29" ht="16.5" customHeight="1">
      <c r="B49" s="6"/>
      <c r="C49" s="12">
        <f t="shared" ca="1" si="21"/>
        <v>1</v>
      </c>
      <c r="D49" s="22">
        <f t="shared" si="22"/>
        <v>44484</v>
      </c>
      <c r="E49" s="26">
        <f t="shared" si="25"/>
        <v>0</v>
      </c>
      <c r="F49" s="26">
        <f t="shared" si="25"/>
        <v>1</v>
      </c>
      <c r="G49" s="26">
        <f t="shared" si="25"/>
        <v>0</v>
      </c>
      <c r="H49" s="26">
        <f t="shared" si="25"/>
        <v>1</v>
      </c>
      <c r="I49" s="26">
        <f t="shared" si="25"/>
        <v>1</v>
      </c>
      <c r="J49" s="26">
        <f t="shared" si="25"/>
        <v>1</v>
      </c>
      <c r="L49" s="6"/>
      <c r="M49" s="21">
        <f t="shared" si="24"/>
        <v>44484</v>
      </c>
      <c r="N49" s="10" t="s">
        <v>24</v>
      </c>
      <c r="O49" s="25">
        <v>10</v>
      </c>
      <c r="P49" s="25">
        <v>0</v>
      </c>
      <c r="Q49" s="25">
        <v>10</v>
      </c>
      <c r="R49" s="25">
        <v>0</v>
      </c>
      <c r="S49" s="25">
        <v>0</v>
      </c>
      <c r="T49" s="25">
        <v>0</v>
      </c>
      <c r="U49" s="25"/>
      <c r="V49" s="87">
        <f t="shared" si="8"/>
        <v>20</v>
      </c>
      <c r="W49" s="48"/>
    </row>
    <row r="50" spans="1:29" ht="16.5" customHeight="1">
      <c r="B50" s="6"/>
      <c r="C50" s="12">
        <f t="shared" ca="1" si="21"/>
        <v>1</v>
      </c>
      <c r="D50" s="22">
        <f t="shared" si="22"/>
        <v>44491</v>
      </c>
      <c r="E50" s="26">
        <f t="shared" si="13"/>
        <v>1</v>
      </c>
      <c r="F50" s="26">
        <f t="shared" si="13"/>
        <v>1</v>
      </c>
      <c r="G50" s="26">
        <f t="shared" si="13"/>
        <v>1</v>
      </c>
      <c r="H50" s="26">
        <f t="shared" si="13"/>
        <v>0</v>
      </c>
      <c r="I50" s="26">
        <f t="shared" si="13"/>
        <v>1</v>
      </c>
      <c r="J50" s="26">
        <f t="shared" si="13"/>
        <v>0</v>
      </c>
      <c r="L50" s="6"/>
      <c r="M50" s="21">
        <f t="shared" si="24"/>
        <v>44491</v>
      </c>
      <c r="N50" s="10" t="s">
        <v>24</v>
      </c>
      <c r="O50" s="25">
        <v>0</v>
      </c>
      <c r="P50" s="25">
        <v>0</v>
      </c>
      <c r="Q50" s="25">
        <v>0</v>
      </c>
      <c r="R50" s="25">
        <v>10</v>
      </c>
      <c r="S50" s="25">
        <v>0</v>
      </c>
      <c r="T50" s="25">
        <v>10</v>
      </c>
      <c r="U50" s="25"/>
      <c r="V50" s="87">
        <f t="shared" si="8"/>
        <v>20</v>
      </c>
      <c r="W50" s="48"/>
    </row>
    <row r="51" spans="1:29" ht="16.5" customHeight="1">
      <c r="B51" s="6"/>
      <c r="C51" s="12">
        <f t="shared" ca="1" si="9"/>
        <v>1</v>
      </c>
      <c r="D51" s="22">
        <f t="shared" si="22"/>
        <v>44498</v>
      </c>
      <c r="E51" s="26">
        <f t="shared" si="13"/>
        <v>1</v>
      </c>
      <c r="F51" s="26">
        <f t="shared" si="13"/>
        <v>1</v>
      </c>
      <c r="G51" s="26">
        <f t="shared" si="13"/>
        <v>1</v>
      </c>
      <c r="H51" s="26">
        <f t="shared" si="13"/>
        <v>0</v>
      </c>
      <c r="I51" s="26">
        <f t="shared" si="13"/>
        <v>1</v>
      </c>
      <c r="J51" s="26">
        <f t="shared" si="13"/>
        <v>0</v>
      </c>
      <c r="L51" s="6"/>
      <c r="M51" s="21">
        <f t="shared" si="24"/>
        <v>44498</v>
      </c>
      <c r="N51" s="10" t="s">
        <v>24</v>
      </c>
      <c r="O51" s="25">
        <v>0</v>
      </c>
      <c r="P51" s="25">
        <v>0</v>
      </c>
      <c r="Q51" s="25">
        <v>0</v>
      </c>
      <c r="R51" s="25">
        <v>10</v>
      </c>
      <c r="S51" s="25">
        <v>0</v>
      </c>
      <c r="T51" s="25">
        <v>10</v>
      </c>
      <c r="U51" s="25"/>
      <c r="V51" s="87">
        <f t="shared" si="8"/>
        <v>20</v>
      </c>
      <c r="W51" s="48"/>
    </row>
    <row r="52" spans="1:29" ht="16.5" customHeight="1">
      <c r="B52" s="6"/>
      <c r="C52" s="12">
        <f ca="1">IF(D52&lt;=TODAY(),1,"")</f>
        <v>1</v>
      </c>
      <c r="D52" s="22">
        <f t="shared" si="22"/>
        <v>44505</v>
      </c>
      <c r="E52" s="26">
        <f t="shared" si="13"/>
        <v>1</v>
      </c>
      <c r="F52" s="26">
        <f t="shared" si="13"/>
        <v>1</v>
      </c>
      <c r="G52" s="26">
        <f t="shared" si="13"/>
        <v>0</v>
      </c>
      <c r="H52" s="26">
        <f t="shared" si="13"/>
        <v>1</v>
      </c>
      <c r="I52" s="26">
        <f t="shared" si="13"/>
        <v>1</v>
      </c>
      <c r="J52" s="26">
        <f t="shared" si="13"/>
        <v>1</v>
      </c>
      <c r="L52" s="6"/>
      <c r="M52" s="21">
        <f t="shared" si="24"/>
        <v>44505</v>
      </c>
      <c r="N52" s="10" t="s">
        <v>24</v>
      </c>
      <c r="O52" s="25">
        <v>0</v>
      </c>
      <c r="P52" s="25">
        <v>0</v>
      </c>
      <c r="Q52" s="25">
        <v>10</v>
      </c>
      <c r="R52" s="25">
        <v>0</v>
      </c>
      <c r="S52" s="25">
        <v>0</v>
      </c>
      <c r="T52" s="25">
        <v>0</v>
      </c>
      <c r="U52" s="25"/>
      <c r="V52" s="87">
        <f t="shared" si="8"/>
        <v>10</v>
      </c>
      <c r="W52" s="48"/>
    </row>
    <row r="53" spans="1:29" ht="16.5" customHeight="1">
      <c r="B53" s="6"/>
      <c r="C53" s="12">
        <f t="shared" ca="1" si="9"/>
        <v>1</v>
      </c>
      <c r="D53" s="22">
        <f t="shared" si="22"/>
        <v>44512</v>
      </c>
      <c r="E53" s="26">
        <f t="shared" si="13"/>
        <v>1</v>
      </c>
      <c r="F53" s="26">
        <f t="shared" si="13"/>
        <v>0</v>
      </c>
      <c r="G53" s="26">
        <f t="shared" si="13"/>
        <v>1</v>
      </c>
      <c r="H53" s="26">
        <f t="shared" si="13"/>
        <v>1</v>
      </c>
      <c r="I53" s="26">
        <f t="shared" si="13"/>
        <v>1</v>
      </c>
      <c r="J53" s="26">
        <f t="shared" si="13"/>
        <v>1</v>
      </c>
      <c r="L53" s="6"/>
      <c r="M53" s="21">
        <f t="shared" si="24"/>
        <v>44512</v>
      </c>
      <c r="N53" s="10" t="s">
        <v>24</v>
      </c>
      <c r="O53" s="25">
        <v>0</v>
      </c>
      <c r="P53" s="25">
        <v>10</v>
      </c>
      <c r="Q53" s="25">
        <v>0</v>
      </c>
      <c r="R53" s="25">
        <v>0</v>
      </c>
      <c r="S53" s="25">
        <v>0</v>
      </c>
      <c r="T53" s="25">
        <v>0</v>
      </c>
      <c r="U53" s="25"/>
      <c r="V53" s="87">
        <f t="shared" si="8"/>
        <v>10</v>
      </c>
    </row>
    <row r="54" spans="1:29" ht="16.5" customHeight="1">
      <c r="B54" s="6"/>
      <c r="C54" s="12">
        <f t="shared" ca="1" si="9"/>
        <v>1</v>
      </c>
      <c r="D54" s="22">
        <f t="shared" si="22"/>
        <v>44519</v>
      </c>
      <c r="E54" s="26">
        <f t="shared" si="13"/>
        <v>1</v>
      </c>
      <c r="F54" s="26">
        <f t="shared" si="13"/>
        <v>0</v>
      </c>
      <c r="G54" s="26">
        <f t="shared" si="13"/>
        <v>1</v>
      </c>
      <c r="H54" s="26">
        <f t="shared" si="13"/>
        <v>1</v>
      </c>
      <c r="I54" s="26">
        <f t="shared" si="13"/>
        <v>1</v>
      </c>
      <c r="J54" s="26">
        <f t="shared" si="13"/>
        <v>1</v>
      </c>
      <c r="L54" s="6"/>
      <c r="M54" s="21">
        <f t="shared" ref="M54:M59" si="26">M53+7</f>
        <v>44519</v>
      </c>
      <c r="N54" s="10" t="s">
        <v>24</v>
      </c>
      <c r="O54" s="25">
        <v>0</v>
      </c>
      <c r="P54" s="25">
        <v>10</v>
      </c>
      <c r="Q54" s="25">
        <v>0</v>
      </c>
      <c r="R54" s="25">
        <v>0</v>
      </c>
      <c r="S54" s="25">
        <v>0</v>
      </c>
      <c r="T54" s="25">
        <v>0</v>
      </c>
      <c r="U54" s="25"/>
      <c r="V54" s="87">
        <f t="shared" si="8"/>
        <v>10</v>
      </c>
    </row>
    <row r="55" spans="1:29" ht="16.5" customHeight="1">
      <c r="B55" s="6"/>
      <c r="C55" s="12">
        <f t="shared" ca="1" si="9"/>
        <v>1</v>
      </c>
      <c r="D55" s="22">
        <f t="shared" ref="D55:D61" si="27">IF(M55="","",M55)</f>
        <v>44526</v>
      </c>
      <c r="E55" s="26">
        <f t="shared" si="13"/>
        <v>0</v>
      </c>
      <c r="F55" s="26">
        <f t="shared" si="13"/>
        <v>0</v>
      </c>
      <c r="G55" s="26">
        <f t="shared" si="13"/>
        <v>1</v>
      </c>
      <c r="H55" s="26">
        <f t="shared" si="13"/>
        <v>0</v>
      </c>
      <c r="I55" s="26">
        <f t="shared" si="13"/>
        <v>1</v>
      </c>
      <c r="J55" s="26">
        <f t="shared" si="13"/>
        <v>1</v>
      </c>
      <c r="L55" s="6"/>
      <c r="M55" s="21">
        <f t="shared" si="26"/>
        <v>44526</v>
      </c>
      <c r="N55" s="10" t="s">
        <v>24</v>
      </c>
      <c r="O55" s="25">
        <v>10</v>
      </c>
      <c r="P55" s="25">
        <v>10</v>
      </c>
      <c r="Q55" s="25">
        <v>0</v>
      </c>
      <c r="R55" s="25">
        <v>10</v>
      </c>
      <c r="S55" s="25">
        <v>0</v>
      </c>
      <c r="T55" s="25">
        <v>0</v>
      </c>
      <c r="U55" s="25"/>
      <c r="V55" s="87">
        <f t="shared" si="8"/>
        <v>30</v>
      </c>
    </row>
    <row r="56" spans="1:29" s="52" customFormat="1" ht="16.5" customHeight="1">
      <c r="A56" s="1"/>
      <c r="B56" s="1"/>
      <c r="C56" s="12">
        <f t="shared" ref="C56:C62" ca="1" si="28">IF(D56&lt;=TODAY(),1,"")</f>
        <v>1</v>
      </c>
      <c r="D56" s="22">
        <f>IF(M56="","",M56)</f>
        <v>44533</v>
      </c>
      <c r="E56" s="26">
        <f t="shared" ref="E56:H60" si="29">IF(O56="","",IF(O56=0,1,0))</f>
        <v>1</v>
      </c>
      <c r="F56" s="26">
        <f t="shared" si="29"/>
        <v>0</v>
      </c>
      <c r="G56" s="26">
        <f t="shared" si="29"/>
        <v>0</v>
      </c>
      <c r="H56" s="26">
        <f t="shared" si="29"/>
        <v>1</v>
      </c>
      <c r="I56" s="26">
        <f t="shared" si="13"/>
        <v>1</v>
      </c>
      <c r="J56" s="26">
        <f t="shared" si="13"/>
        <v>1</v>
      </c>
      <c r="L56" s="51"/>
      <c r="M56" s="21">
        <f t="shared" si="26"/>
        <v>44533</v>
      </c>
      <c r="N56" s="10" t="s">
        <v>24</v>
      </c>
      <c r="O56" s="25">
        <v>0</v>
      </c>
      <c r="P56" s="25">
        <v>10</v>
      </c>
      <c r="Q56" s="25">
        <v>10</v>
      </c>
      <c r="R56" s="25">
        <v>0</v>
      </c>
      <c r="S56" s="25">
        <v>0</v>
      </c>
      <c r="T56" s="25">
        <v>0</v>
      </c>
      <c r="U56" s="25"/>
      <c r="V56" s="87">
        <f t="shared" si="8"/>
        <v>20</v>
      </c>
    </row>
    <row r="57" spans="1:29">
      <c r="C57" s="12">
        <f t="shared" ca="1" si="28"/>
        <v>1</v>
      </c>
      <c r="D57" s="22">
        <f t="shared" si="27"/>
        <v>44540</v>
      </c>
      <c r="E57" s="26">
        <f t="shared" si="29"/>
        <v>1</v>
      </c>
      <c r="F57" s="26">
        <f t="shared" si="29"/>
        <v>1</v>
      </c>
      <c r="G57" s="26">
        <f t="shared" si="29"/>
        <v>1</v>
      </c>
      <c r="H57" s="26">
        <f t="shared" si="29"/>
        <v>1</v>
      </c>
      <c r="I57" s="26">
        <f t="shared" si="13"/>
        <v>1</v>
      </c>
      <c r="J57" s="26">
        <f t="shared" si="13"/>
        <v>1</v>
      </c>
      <c r="M57" s="21">
        <f t="shared" si="26"/>
        <v>44540</v>
      </c>
      <c r="N57" s="10" t="s">
        <v>24</v>
      </c>
      <c r="O57" s="25">
        <v>0</v>
      </c>
      <c r="P57" s="50">
        <v>0</v>
      </c>
      <c r="Q57" s="50">
        <v>0</v>
      </c>
      <c r="R57" s="25">
        <v>0</v>
      </c>
      <c r="S57" s="25">
        <v>0</v>
      </c>
      <c r="T57" s="25">
        <v>0</v>
      </c>
      <c r="U57" s="50"/>
      <c r="V57" s="87">
        <f t="shared" si="8"/>
        <v>0</v>
      </c>
    </row>
    <row r="58" spans="1:29">
      <c r="C58" s="12">
        <f t="shared" ca="1" si="28"/>
        <v>1</v>
      </c>
      <c r="D58" s="22">
        <f t="shared" si="27"/>
        <v>44547</v>
      </c>
      <c r="E58" s="26">
        <f t="shared" si="29"/>
        <v>1</v>
      </c>
      <c r="F58" s="26">
        <f t="shared" si="29"/>
        <v>1</v>
      </c>
      <c r="G58" s="26">
        <f t="shared" si="29"/>
        <v>1</v>
      </c>
      <c r="H58" s="26">
        <f t="shared" si="29"/>
        <v>1</v>
      </c>
      <c r="I58" s="26">
        <f t="shared" si="13"/>
        <v>1</v>
      </c>
      <c r="J58" s="26">
        <f t="shared" si="13"/>
        <v>0</v>
      </c>
      <c r="M58" s="21">
        <f t="shared" si="26"/>
        <v>44547</v>
      </c>
      <c r="N58" s="10" t="s">
        <v>24</v>
      </c>
      <c r="O58" s="25">
        <v>0</v>
      </c>
      <c r="P58" s="25">
        <v>0</v>
      </c>
      <c r="Q58" s="25">
        <v>0</v>
      </c>
      <c r="R58" s="25">
        <v>0</v>
      </c>
      <c r="S58" s="25">
        <v>0</v>
      </c>
      <c r="T58" s="25">
        <v>10</v>
      </c>
      <c r="U58" s="25"/>
      <c r="V58" s="87">
        <f t="shared" si="8"/>
        <v>10</v>
      </c>
      <c r="W58" s="36"/>
      <c r="X58" s="36"/>
      <c r="Y58" s="36"/>
      <c r="Z58" s="36"/>
      <c r="AA58" s="36"/>
      <c r="AB58" s="36"/>
      <c r="AC58" s="36"/>
    </row>
    <row r="59" spans="1:29">
      <c r="C59" s="12">
        <f t="shared" ca="1" si="28"/>
        <v>1</v>
      </c>
      <c r="D59" s="22">
        <f t="shared" si="27"/>
        <v>44554</v>
      </c>
      <c r="E59" s="26">
        <f t="shared" si="29"/>
        <v>1</v>
      </c>
      <c r="F59" s="26">
        <f t="shared" si="29"/>
        <v>1</v>
      </c>
      <c r="G59" s="26">
        <f t="shared" si="29"/>
        <v>1</v>
      </c>
      <c r="H59" s="26">
        <f t="shared" si="29"/>
        <v>1</v>
      </c>
      <c r="I59" s="26">
        <f t="shared" si="13"/>
        <v>1</v>
      </c>
      <c r="J59" s="26">
        <f t="shared" si="13"/>
        <v>1</v>
      </c>
      <c r="M59" s="21">
        <f t="shared" si="26"/>
        <v>44554</v>
      </c>
      <c r="N59" s="10" t="s">
        <v>24</v>
      </c>
      <c r="O59" s="25">
        <v>0</v>
      </c>
      <c r="P59" s="25">
        <v>0</v>
      </c>
      <c r="Q59" s="25">
        <v>0</v>
      </c>
      <c r="R59" s="25">
        <v>0</v>
      </c>
      <c r="S59" s="25">
        <v>0</v>
      </c>
      <c r="T59" s="25">
        <v>0</v>
      </c>
      <c r="U59" s="25"/>
      <c r="V59" s="87">
        <f t="shared" si="8"/>
        <v>0</v>
      </c>
    </row>
    <row r="60" spans="1:29">
      <c r="C60" s="12">
        <f t="shared" ca="1" si="28"/>
        <v>1</v>
      </c>
      <c r="D60" s="22">
        <f t="shared" si="27"/>
        <v>44561</v>
      </c>
      <c r="E60" s="26">
        <f t="shared" si="29"/>
        <v>0</v>
      </c>
      <c r="F60" s="26">
        <f t="shared" si="29"/>
        <v>1</v>
      </c>
      <c r="G60" s="26">
        <f t="shared" si="29"/>
        <v>1</v>
      </c>
      <c r="H60" s="26">
        <f t="shared" si="29"/>
        <v>0</v>
      </c>
      <c r="I60" s="26">
        <f t="shared" si="13"/>
        <v>0</v>
      </c>
      <c r="J60" s="26">
        <f t="shared" si="13"/>
        <v>0</v>
      </c>
      <c r="M60" s="21">
        <f>M59+7</f>
        <v>44561</v>
      </c>
      <c r="N60" s="10" t="s">
        <v>24</v>
      </c>
      <c r="O60" s="25">
        <v>10</v>
      </c>
      <c r="P60" s="25">
        <v>0</v>
      </c>
      <c r="Q60" s="25">
        <v>0</v>
      </c>
      <c r="R60" s="25">
        <v>10</v>
      </c>
      <c r="S60" s="25">
        <v>10</v>
      </c>
      <c r="T60" s="25">
        <v>10</v>
      </c>
      <c r="U60" s="25"/>
      <c r="V60" s="87">
        <f t="shared" si="8"/>
        <v>40</v>
      </c>
    </row>
    <row r="61" spans="1:29">
      <c r="C61" s="12">
        <f t="shared" ca="1" si="28"/>
        <v>1</v>
      </c>
      <c r="D61" s="22">
        <f t="shared" si="27"/>
        <v>44568</v>
      </c>
      <c r="E61" s="26">
        <f t="shared" ref="E61" si="30">IF(O61="","",IF(O61=0,1,0))</f>
        <v>1</v>
      </c>
      <c r="F61" s="26">
        <f t="shared" ref="F61" si="31">IF(P61="","",IF(P61=0,1,0))</f>
        <v>0</v>
      </c>
      <c r="G61" s="26">
        <f t="shared" ref="G61" si="32">IF(Q61="","",IF(Q61=0,1,0))</f>
        <v>0</v>
      </c>
      <c r="H61" s="26">
        <f t="shared" ref="H61" si="33">IF(R61="","",IF(R61=0,1,0))</f>
        <v>1</v>
      </c>
      <c r="I61" s="26">
        <f t="shared" ref="I61" si="34">IF(S61="","",IF(S61=0,1,0))</f>
        <v>0</v>
      </c>
      <c r="J61" s="26">
        <f t="shared" ref="J61" si="35">IF(T61="","",IF(T61=0,1,0))</f>
        <v>1</v>
      </c>
      <c r="M61" s="21">
        <f>M60+7</f>
        <v>44568</v>
      </c>
      <c r="N61" s="10" t="s">
        <v>24</v>
      </c>
      <c r="O61" s="25">
        <v>0</v>
      </c>
      <c r="P61" s="25">
        <v>10</v>
      </c>
      <c r="Q61" s="25">
        <v>10</v>
      </c>
      <c r="R61" s="25">
        <v>0</v>
      </c>
      <c r="S61" s="25">
        <v>10</v>
      </c>
      <c r="T61" s="25">
        <v>0</v>
      </c>
      <c r="U61" s="25"/>
      <c r="V61" s="87">
        <f t="shared" si="8"/>
        <v>30</v>
      </c>
    </row>
    <row r="62" spans="1:29">
      <c r="C62" s="12">
        <f t="shared" ca="1" si="28"/>
        <v>1</v>
      </c>
      <c r="D62" s="22">
        <f t="shared" ref="D62:D93" si="36">IF(M62="","",M62)</f>
        <v>44575</v>
      </c>
      <c r="E62" s="26">
        <f t="shared" ref="E62:H70" si="37">IF(O62="","",IF(O62=0,1,0))</f>
        <v>0</v>
      </c>
      <c r="F62" s="26">
        <f t="shared" si="37"/>
        <v>1</v>
      </c>
      <c r="G62" s="26">
        <f t="shared" si="37"/>
        <v>1</v>
      </c>
      <c r="H62" s="26">
        <f t="shared" si="37"/>
        <v>0</v>
      </c>
      <c r="I62" s="26">
        <f t="shared" si="13"/>
        <v>0</v>
      </c>
      <c r="J62" s="26">
        <f t="shared" si="13"/>
        <v>1</v>
      </c>
      <c r="M62" s="21">
        <f>M61+7</f>
        <v>44575</v>
      </c>
      <c r="N62" s="10" t="s">
        <v>24</v>
      </c>
      <c r="O62" s="25">
        <v>10</v>
      </c>
      <c r="P62" s="25">
        <v>0</v>
      </c>
      <c r="Q62" s="25">
        <v>0</v>
      </c>
      <c r="R62" s="25">
        <v>10</v>
      </c>
      <c r="S62" s="25">
        <v>10</v>
      </c>
      <c r="T62" s="25">
        <v>0</v>
      </c>
      <c r="U62" s="25"/>
      <c r="V62" s="87">
        <f t="shared" si="8"/>
        <v>30</v>
      </c>
    </row>
    <row r="63" spans="1:29">
      <c r="C63" s="12">
        <f t="shared" ref="C63:C78" ca="1" si="38">IF(D63&lt;=TODAY(),1,"")</f>
        <v>1</v>
      </c>
      <c r="D63" s="22">
        <f t="shared" si="36"/>
        <v>44582</v>
      </c>
      <c r="E63" s="26">
        <f t="shared" si="37"/>
        <v>1</v>
      </c>
      <c r="F63" s="26">
        <f t="shared" si="37"/>
        <v>1</v>
      </c>
      <c r="G63" s="26">
        <f t="shared" si="37"/>
        <v>1</v>
      </c>
      <c r="H63" s="26">
        <f t="shared" si="37"/>
        <v>1</v>
      </c>
      <c r="I63" s="26">
        <f t="shared" si="13"/>
        <v>1</v>
      </c>
      <c r="J63" s="26">
        <f t="shared" si="13"/>
        <v>1</v>
      </c>
      <c r="M63" s="21">
        <f>M62+7</f>
        <v>44582</v>
      </c>
      <c r="N63" s="10" t="s">
        <v>24</v>
      </c>
      <c r="O63" s="25">
        <v>0</v>
      </c>
      <c r="P63" s="25">
        <v>0</v>
      </c>
      <c r="Q63" s="25">
        <v>0</v>
      </c>
      <c r="R63" s="25">
        <v>0</v>
      </c>
      <c r="S63" s="25">
        <v>0</v>
      </c>
      <c r="T63" s="25">
        <v>0</v>
      </c>
      <c r="U63" s="25"/>
      <c r="V63" s="87">
        <f t="shared" si="8"/>
        <v>0</v>
      </c>
    </row>
    <row r="64" spans="1:29" ht="16.5" customHeight="1">
      <c r="B64" s="6"/>
      <c r="C64" s="76"/>
      <c r="D64" s="77"/>
      <c r="E64" s="77"/>
      <c r="F64" s="77"/>
      <c r="G64" s="77" t="str">
        <f>IF(Q64="","",IF(Q64=0,1,0))</f>
        <v/>
      </c>
      <c r="H64" s="77"/>
      <c r="I64" s="77" t="str">
        <f t="shared" si="13"/>
        <v/>
      </c>
      <c r="J64" s="2"/>
      <c r="L64" s="6"/>
      <c r="M64" s="21">
        <f t="shared" ref="M64" si="39">M63+7</f>
        <v>44589</v>
      </c>
      <c r="N64" s="10" t="s">
        <v>282</v>
      </c>
      <c r="O64" s="25"/>
      <c r="P64" s="25">
        <v>5</v>
      </c>
      <c r="Q64" s="25"/>
      <c r="R64" s="25"/>
      <c r="S64" s="25"/>
      <c r="T64" s="25"/>
      <c r="U64" s="25"/>
      <c r="V64" s="87">
        <f t="shared" si="8"/>
        <v>5</v>
      </c>
    </row>
    <row r="65" spans="3:22">
      <c r="C65" s="12">
        <f t="shared" ca="1" si="38"/>
        <v>1</v>
      </c>
      <c r="D65" s="22">
        <f t="shared" si="36"/>
        <v>44589</v>
      </c>
      <c r="E65" s="26">
        <f t="shared" si="37"/>
        <v>1</v>
      </c>
      <c r="F65" s="26">
        <f t="shared" si="37"/>
        <v>0</v>
      </c>
      <c r="G65" s="26">
        <f t="shared" si="37"/>
        <v>1</v>
      </c>
      <c r="H65" s="26">
        <f t="shared" si="37"/>
        <v>0</v>
      </c>
      <c r="I65" s="26">
        <f t="shared" si="13"/>
        <v>1</v>
      </c>
      <c r="J65" s="26">
        <f t="shared" si="13"/>
        <v>1</v>
      </c>
      <c r="M65" s="21">
        <f>M64</f>
        <v>44589</v>
      </c>
      <c r="N65" s="10" t="s">
        <v>24</v>
      </c>
      <c r="O65" s="25">
        <v>0</v>
      </c>
      <c r="P65" s="25">
        <v>10</v>
      </c>
      <c r="Q65" s="25">
        <v>0</v>
      </c>
      <c r="R65" s="25">
        <v>10</v>
      </c>
      <c r="S65" s="25">
        <v>0</v>
      </c>
      <c r="T65" s="25">
        <v>0</v>
      </c>
      <c r="U65" s="25"/>
      <c r="V65" s="87">
        <f t="shared" si="8"/>
        <v>20</v>
      </c>
    </row>
    <row r="66" spans="3:22">
      <c r="C66" s="12">
        <f t="shared" ca="1" si="38"/>
        <v>1</v>
      </c>
      <c r="D66" s="22">
        <f t="shared" si="36"/>
        <v>44596</v>
      </c>
      <c r="E66" s="26">
        <f t="shared" si="37"/>
        <v>1</v>
      </c>
      <c r="F66" s="26">
        <f t="shared" si="37"/>
        <v>1</v>
      </c>
      <c r="G66" s="26">
        <f t="shared" si="37"/>
        <v>0</v>
      </c>
      <c r="H66" s="26">
        <f t="shared" si="37"/>
        <v>0</v>
      </c>
      <c r="I66" s="26">
        <f t="shared" si="13"/>
        <v>0</v>
      </c>
      <c r="J66" s="26">
        <f t="shared" si="13"/>
        <v>1</v>
      </c>
      <c r="M66" s="21">
        <f>M65+7</f>
        <v>44596</v>
      </c>
      <c r="N66" s="10" t="s">
        <v>24</v>
      </c>
      <c r="O66" s="25">
        <v>0</v>
      </c>
      <c r="P66" s="25">
        <v>0</v>
      </c>
      <c r="Q66" s="25">
        <v>10</v>
      </c>
      <c r="R66" s="25">
        <v>10</v>
      </c>
      <c r="S66" s="25">
        <v>10</v>
      </c>
      <c r="T66" s="25">
        <v>0</v>
      </c>
      <c r="U66" s="25"/>
      <c r="V66" s="87">
        <f t="shared" si="8"/>
        <v>30</v>
      </c>
    </row>
    <row r="67" spans="3:22">
      <c r="C67" s="12">
        <f t="shared" ca="1" si="38"/>
        <v>1</v>
      </c>
      <c r="D67" s="22">
        <f t="shared" si="36"/>
        <v>44603</v>
      </c>
      <c r="E67" s="26">
        <f t="shared" si="37"/>
        <v>1</v>
      </c>
      <c r="F67" s="26">
        <f t="shared" si="37"/>
        <v>1</v>
      </c>
      <c r="G67" s="26">
        <f t="shared" si="37"/>
        <v>1</v>
      </c>
      <c r="H67" s="26">
        <f t="shared" si="37"/>
        <v>0</v>
      </c>
      <c r="I67" s="26">
        <f t="shared" si="13"/>
        <v>1</v>
      </c>
      <c r="J67" s="26">
        <f t="shared" si="13"/>
        <v>1</v>
      </c>
      <c r="M67" s="21">
        <f>M66+7</f>
        <v>44603</v>
      </c>
      <c r="N67" s="10" t="s">
        <v>24</v>
      </c>
      <c r="O67" s="25">
        <v>0</v>
      </c>
      <c r="P67" s="25">
        <v>0</v>
      </c>
      <c r="Q67" s="25">
        <v>0</v>
      </c>
      <c r="R67" s="25">
        <v>10</v>
      </c>
      <c r="S67" s="25">
        <v>0</v>
      </c>
      <c r="T67" s="25">
        <v>0</v>
      </c>
      <c r="U67" s="25"/>
      <c r="V67" s="87">
        <f t="shared" si="8"/>
        <v>10</v>
      </c>
    </row>
    <row r="68" spans="3:22">
      <c r="C68" s="12">
        <f t="shared" ca="1" si="38"/>
        <v>1</v>
      </c>
      <c r="D68" s="22">
        <f t="shared" si="36"/>
        <v>44610</v>
      </c>
      <c r="E68" s="26">
        <f t="shared" si="37"/>
        <v>1</v>
      </c>
      <c r="F68" s="26">
        <f t="shared" si="37"/>
        <v>0</v>
      </c>
      <c r="G68" s="26">
        <f t="shared" si="37"/>
        <v>1</v>
      </c>
      <c r="H68" s="26">
        <f t="shared" si="37"/>
        <v>0</v>
      </c>
      <c r="I68" s="26">
        <f t="shared" si="13"/>
        <v>1</v>
      </c>
      <c r="J68" s="26">
        <f t="shared" si="13"/>
        <v>1</v>
      </c>
      <c r="M68" s="21">
        <f>M67+7</f>
        <v>44610</v>
      </c>
      <c r="N68" s="10" t="s">
        <v>24</v>
      </c>
      <c r="O68" s="25">
        <v>0</v>
      </c>
      <c r="P68" s="25">
        <v>10</v>
      </c>
      <c r="Q68" s="25">
        <v>0</v>
      </c>
      <c r="R68" s="25">
        <v>10</v>
      </c>
      <c r="S68" s="25">
        <v>0</v>
      </c>
      <c r="T68" s="25">
        <v>0</v>
      </c>
      <c r="U68" s="25"/>
      <c r="V68" s="87">
        <f t="shared" si="8"/>
        <v>20</v>
      </c>
    </row>
    <row r="69" spans="3:22">
      <c r="C69" s="12">
        <f t="shared" ca="1" si="38"/>
        <v>1</v>
      </c>
      <c r="D69" s="22">
        <f t="shared" si="36"/>
        <v>44617</v>
      </c>
      <c r="E69" s="26">
        <f t="shared" si="13"/>
        <v>0</v>
      </c>
      <c r="F69" s="26">
        <f t="shared" si="13"/>
        <v>0</v>
      </c>
      <c r="G69" s="26">
        <f t="shared" si="13"/>
        <v>1</v>
      </c>
      <c r="H69" s="26">
        <f t="shared" si="13"/>
        <v>1</v>
      </c>
      <c r="I69" s="26">
        <f t="shared" si="13"/>
        <v>1</v>
      </c>
      <c r="J69" s="26">
        <f t="shared" si="13"/>
        <v>1</v>
      </c>
      <c r="M69" s="21">
        <f>M68+7</f>
        <v>44617</v>
      </c>
      <c r="N69" s="10" t="s">
        <v>24</v>
      </c>
      <c r="O69" s="25">
        <v>10</v>
      </c>
      <c r="P69" s="25">
        <v>10</v>
      </c>
      <c r="Q69" s="25">
        <v>0</v>
      </c>
      <c r="R69" s="25">
        <v>0</v>
      </c>
      <c r="S69" s="25">
        <v>0</v>
      </c>
      <c r="T69" s="25">
        <v>0</v>
      </c>
      <c r="U69" s="25"/>
      <c r="V69" s="87">
        <f t="shared" si="8"/>
        <v>20</v>
      </c>
    </row>
    <row r="70" spans="3:22">
      <c r="C70" s="12">
        <f t="shared" ca="1" si="38"/>
        <v>1</v>
      </c>
      <c r="D70" s="22">
        <f t="shared" si="36"/>
        <v>44624</v>
      </c>
      <c r="E70" s="26">
        <f t="shared" si="37"/>
        <v>0</v>
      </c>
      <c r="F70" s="26">
        <f t="shared" si="13"/>
        <v>1</v>
      </c>
      <c r="G70" s="26">
        <f t="shared" si="13"/>
        <v>0</v>
      </c>
      <c r="H70" s="26">
        <f t="shared" si="13"/>
        <v>0</v>
      </c>
      <c r="I70" s="26">
        <f t="shared" si="13"/>
        <v>1</v>
      </c>
      <c r="J70" s="26">
        <f t="shared" si="13"/>
        <v>1</v>
      </c>
      <c r="M70" s="21">
        <f t="shared" ref="M70:M71" si="40">M69+7</f>
        <v>44624</v>
      </c>
      <c r="N70" s="10" t="s">
        <v>24</v>
      </c>
      <c r="O70" s="25">
        <v>10</v>
      </c>
      <c r="P70" s="25">
        <v>0</v>
      </c>
      <c r="Q70" s="25">
        <v>10</v>
      </c>
      <c r="R70" s="25">
        <v>10</v>
      </c>
      <c r="S70" s="25">
        <v>0</v>
      </c>
      <c r="T70" s="25">
        <v>0</v>
      </c>
      <c r="U70" s="25"/>
      <c r="V70" s="87">
        <f t="shared" si="8"/>
        <v>30</v>
      </c>
    </row>
    <row r="71" spans="3:22">
      <c r="C71" s="12">
        <f t="shared" ca="1" si="38"/>
        <v>1</v>
      </c>
      <c r="D71" s="22">
        <f t="shared" si="36"/>
        <v>44631</v>
      </c>
      <c r="E71" s="26">
        <f t="shared" si="13"/>
        <v>1</v>
      </c>
      <c r="F71" s="26">
        <f t="shared" si="13"/>
        <v>1</v>
      </c>
      <c r="G71" s="26">
        <f t="shared" si="13"/>
        <v>1</v>
      </c>
      <c r="H71" s="26">
        <f t="shared" si="13"/>
        <v>0</v>
      </c>
      <c r="I71" s="26">
        <f t="shared" si="13"/>
        <v>1</v>
      </c>
      <c r="J71" s="26">
        <f t="shared" si="13"/>
        <v>1</v>
      </c>
      <c r="M71" s="21">
        <f t="shared" si="40"/>
        <v>44631</v>
      </c>
      <c r="N71" s="10" t="s">
        <v>24</v>
      </c>
      <c r="O71" s="25">
        <v>0</v>
      </c>
      <c r="P71" s="25">
        <v>0</v>
      </c>
      <c r="Q71" s="25">
        <v>0</v>
      </c>
      <c r="R71" s="25">
        <v>10</v>
      </c>
      <c r="S71" s="25">
        <v>0</v>
      </c>
      <c r="T71" s="25">
        <v>0</v>
      </c>
      <c r="U71" s="25"/>
      <c r="V71" s="87">
        <f t="shared" si="8"/>
        <v>10</v>
      </c>
    </row>
    <row r="72" spans="3:22">
      <c r="C72" s="12" t="str">
        <f t="shared" ca="1" si="38"/>
        <v/>
      </c>
      <c r="D72" s="22" t="str">
        <f t="shared" si="36"/>
        <v/>
      </c>
      <c r="E72" s="26" t="str">
        <f t="shared" si="13"/>
        <v/>
      </c>
      <c r="F72" s="26" t="str">
        <f t="shared" si="13"/>
        <v/>
      </c>
      <c r="G72" s="26" t="str">
        <f t="shared" si="13"/>
        <v/>
      </c>
      <c r="H72" s="26" t="str">
        <f t="shared" si="13"/>
        <v/>
      </c>
      <c r="I72" s="26" t="str">
        <f t="shared" si="13"/>
        <v/>
      </c>
      <c r="J72" s="26" t="str">
        <f t="shared" si="13"/>
        <v/>
      </c>
      <c r="M72" s="21"/>
      <c r="N72" s="10"/>
      <c r="O72" s="25"/>
      <c r="P72" s="25"/>
      <c r="Q72" s="25"/>
      <c r="R72" s="25"/>
      <c r="S72" s="25"/>
      <c r="T72" s="25"/>
      <c r="U72" s="25"/>
    </row>
    <row r="73" spans="3:22">
      <c r="C73" s="12" t="str">
        <f t="shared" ca="1" si="38"/>
        <v/>
      </c>
      <c r="D73" s="22" t="str">
        <f t="shared" si="36"/>
        <v/>
      </c>
      <c r="E73" s="26" t="str">
        <f t="shared" si="13"/>
        <v/>
      </c>
      <c r="F73" s="26" t="str">
        <f t="shared" si="13"/>
        <v/>
      </c>
      <c r="G73" s="26" t="str">
        <f t="shared" si="13"/>
        <v/>
      </c>
      <c r="H73" s="26" t="str">
        <f t="shared" si="13"/>
        <v/>
      </c>
      <c r="I73" s="26" t="str">
        <f t="shared" si="13"/>
        <v/>
      </c>
      <c r="J73" s="26" t="str">
        <f t="shared" si="13"/>
        <v/>
      </c>
      <c r="M73" s="21"/>
      <c r="N73" s="10"/>
      <c r="O73" s="25"/>
      <c r="P73" s="25"/>
      <c r="Q73" s="25"/>
      <c r="R73" s="25"/>
      <c r="S73" s="25"/>
      <c r="T73" s="25"/>
      <c r="U73" s="25"/>
    </row>
    <row r="74" spans="3:22">
      <c r="C74" s="12" t="str">
        <f ca="1">IF(D74&lt;=TODAY(),1,"")</f>
        <v/>
      </c>
      <c r="D74" s="22" t="str">
        <f t="shared" si="36"/>
        <v/>
      </c>
      <c r="E74" s="26" t="str">
        <f t="shared" si="13"/>
        <v/>
      </c>
      <c r="F74" s="26" t="str">
        <f t="shared" si="13"/>
        <v/>
      </c>
      <c r="G74" s="26" t="str">
        <f t="shared" si="13"/>
        <v/>
      </c>
      <c r="H74" s="26" t="str">
        <f t="shared" si="13"/>
        <v/>
      </c>
      <c r="I74" s="26" t="str">
        <f t="shared" si="13"/>
        <v/>
      </c>
      <c r="J74" s="26" t="str">
        <f t="shared" si="13"/>
        <v/>
      </c>
      <c r="M74" s="21"/>
      <c r="N74" s="10"/>
      <c r="O74" s="25"/>
      <c r="P74" s="25"/>
      <c r="Q74" s="25"/>
      <c r="R74" s="25"/>
      <c r="S74" s="25"/>
      <c r="T74" s="25"/>
      <c r="U74" s="25"/>
    </row>
    <row r="75" spans="3:22">
      <c r="C75" s="12" t="str">
        <f ca="1">IF(D75&lt;=TODAY(),1,"")</f>
        <v/>
      </c>
      <c r="D75" s="22" t="str">
        <f t="shared" si="36"/>
        <v/>
      </c>
      <c r="E75" s="26" t="str">
        <f t="shared" si="13"/>
        <v/>
      </c>
      <c r="F75" s="26" t="str">
        <f t="shared" si="13"/>
        <v/>
      </c>
      <c r="G75" s="26" t="str">
        <f t="shared" si="13"/>
        <v/>
      </c>
      <c r="H75" s="26" t="str">
        <f t="shared" si="13"/>
        <v/>
      </c>
      <c r="I75" s="26" t="str">
        <f t="shared" si="13"/>
        <v/>
      </c>
      <c r="J75" s="26" t="str">
        <f t="shared" si="13"/>
        <v/>
      </c>
      <c r="M75" s="21"/>
      <c r="N75" s="10"/>
      <c r="O75" s="25"/>
      <c r="P75" s="25"/>
      <c r="Q75" s="25"/>
      <c r="R75" s="25"/>
      <c r="S75" s="25"/>
      <c r="T75" s="25"/>
      <c r="U75" s="25"/>
    </row>
    <row r="76" spans="3:22">
      <c r="C76" s="12" t="str">
        <f t="shared" ca="1" si="38"/>
        <v/>
      </c>
      <c r="D76" s="22" t="str">
        <f t="shared" si="36"/>
        <v/>
      </c>
      <c r="E76" s="26" t="str">
        <f t="shared" si="13"/>
        <v/>
      </c>
      <c r="F76" s="26" t="str">
        <f t="shared" si="13"/>
        <v/>
      </c>
      <c r="G76" s="26" t="str">
        <f t="shared" si="13"/>
        <v/>
      </c>
      <c r="H76" s="26" t="str">
        <f t="shared" si="13"/>
        <v/>
      </c>
      <c r="I76" s="26" t="str">
        <f t="shared" si="13"/>
        <v/>
      </c>
      <c r="J76" s="26" t="str">
        <f t="shared" si="13"/>
        <v/>
      </c>
      <c r="M76" s="21"/>
      <c r="N76" s="10"/>
      <c r="O76" s="25"/>
      <c r="P76" s="25"/>
      <c r="Q76" s="25"/>
      <c r="R76" s="25"/>
      <c r="S76" s="25"/>
      <c r="T76" s="134"/>
      <c r="U76" s="25"/>
    </row>
    <row r="77" spans="3:22">
      <c r="C77" s="12" t="str">
        <f t="shared" ca="1" si="38"/>
        <v/>
      </c>
      <c r="D77" s="22" t="str">
        <f t="shared" si="36"/>
        <v/>
      </c>
      <c r="E77" s="26" t="str">
        <f>IF(O77="","",IF(O77=0,1,0))</f>
        <v/>
      </c>
      <c r="F77" s="26" t="str">
        <f t="shared" si="13"/>
        <v/>
      </c>
      <c r="G77" s="26" t="str">
        <f t="shared" si="13"/>
        <v/>
      </c>
      <c r="H77" s="26" t="str">
        <f t="shared" si="13"/>
        <v/>
      </c>
      <c r="I77" s="26" t="str">
        <f t="shared" si="13"/>
        <v/>
      </c>
      <c r="J77" s="26" t="str">
        <f t="shared" si="13"/>
        <v/>
      </c>
      <c r="M77" s="21"/>
      <c r="N77" s="10"/>
      <c r="O77" s="25"/>
      <c r="P77" s="25"/>
      <c r="Q77" s="25"/>
      <c r="R77" s="25"/>
      <c r="S77" s="25"/>
      <c r="T77" s="25"/>
      <c r="U77" s="25"/>
    </row>
    <row r="78" spans="3:22">
      <c r="C78" s="12" t="str">
        <f t="shared" ca="1" si="38"/>
        <v/>
      </c>
      <c r="D78" s="22" t="str">
        <f t="shared" si="36"/>
        <v/>
      </c>
      <c r="E78" s="26" t="str">
        <f t="shared" ref="E78:J92" si="41">IF(O78="","",IF(O78=0,1,0))</f>
        <v/>
      </c>
      <c r="F78" s="26" t="str">
        <f t="shared" si="13"/>
        <v/>
      </c>
      <c r="G78" s="26" t="str">
        <f t="shared" si="13"/>
        <v/>
      </c>
      <c r="H78" s="26" t="str">
        <f t="shared" si="13"/>
        <v/>
      </c>
      <c r="I78" s="26" t="str">
        <f t="shared" si="13"/>
        <v/>
      </c>
      <c r="J78" s="26" t="str">
        <f t="shared" si="13"/>
        <v/>
      </c>
      <c r="M78" s="21"/>
      <c r="N78" s="10"/>
      <c r="O78" s="25"/>
      <c r="P78" s="25"/>
      <c r="Q78" s="25"/>
      <c r="R78" s="25"/>
      <c r="S78" s="25"/>
      <c r="T78" s="25"/>
      <c r="U78" s="25"/>
    </row>
    <row r="79" spans="3:22">
      <c r="C79" s="12" t="str">
        <f t="shared" ref="C79:C92" ca="1" si="42">IF(D79&lt;=TODAY(),1,"")</f>
        <v/>
      </c>
      <c r="D79" s="22" t="str">
        <f t="shared" si="36"/>
        <v/>
      </c>
      <c r="E79" s="26" t="str">
        <f t="shared" si="41"/>
        <v/>
      </c>
      <c r="F79" s="26" t="str">
        <f t="shared" si="13"/>
        <v/>
      </c>
      <c r="G79" s="26" t="str">
        <f t="shared" si="13"/>
        <v/>
      </c>
      <c r="H79" s="26" t="str">
        <f t="shared" si="13"/>
        <v/>
      </c>
      <c r="I79" s="26" t="str">
        <f t="shared" si="13"/>
        <v/>
      </c>
      <c r="J79" s="26" t="str">
        <f t="shared" si="13"/>
        <v/>
      </c>
      <c r="M79" s="21"/>
      <c r="N79" s="10"/>
      <c r="O79" s="25"/>
      <c r="P79" s="25"/>
      <c r="Q79" s="25"/>
      <c r="R79" s="25"/>
      <c r="S79" s="25"/>
      <c r="T79" s="25"/>
      <c r="U79" s="25"/>
    </row>
    <row r="80" spans="3:22">
      <c r="C80" s="12" t="str">
        <f t="shared" ca="1" si="42"/>
        <v/>
      </c>
      <c r="D80" s="22" t="str">
        <f t="shared" si="36"/>
        <v/>
      </c>
      <c r="E80" s="26" t="str">
        <f t="shared" si="41"/>
        <v/>
      </c>
      <c r="F80" s="26" t="str">
        <f t="shared" si="13"/>
        <v/>
      </c>
      <c r="G80" s="26" t="str">
        <f t="shared" si="13"/>
        <v/>
      </c>
      <c r="H80" s="26" t="str">
        <f t="shared" si="13"/>
        <v/>
      </c>
      <c r="I80" s="26" t="str">
        <f t="shared" si="13"/>
        <v/>
      </c>
      <c r="J80" s="26" t="str">
        <f t="shared" si="13"/>
        <v/>
      </c>
      <c r="M80" s="21"/>
      <c r="N80" s="10"/>
      <c r="O80" s="25"/>
      <c r="P80" s="25"/>
      <c r="Q80" s="25"/>
      <c r="R80" s="25"/>
      <c r="S80" s="25"/>
      <c r="T80" s="25"/>
      <c r="U80" s="25"/>
    </row>
    <row r="81" spans="3:21">
      <c r="C81" s="12" t="str">
        <f t="shared" ca="1" si="42"/>
        <v/>
      </c>
      <c r="D81" s="22" t="str">
        <f t="shared" si="36"/>
        <v/>
      </c>
      <c r="E81" s="26" t="str">
        <f t="shared" si="41"/>
        <v/>
      </c>
      <c r="F81" s="26" t="str">
        <f t="shared" si="13"/>
        <v/>
      </c>
      <c r="G81" s="26" t="str">
        <f t="shared" si="13"/>
        <v/>
      </c>
      <c r="H81" s="26" t="str">
        <f t="shared" si="13"/>
        <v/>
      </c>
      <c r="I81" s="26" t="str">
        <f t="shared" si="13"/>
        <v/>
      </c>
      <c r="J81" s="26" t="str">
        <f t="shared" si="13"/>
        <v/>
      </c>
      <c r="M81" s="21"/>
      <c r="N81" s="10"/>
      <c r="O81" s="25"/>
      <c r="P81" s="25"/>
      <c r="Q81" s="25"/>
      <c r="R81" s="25"/>
      <c r="S81" s="25"/>
      <c r="T81" s="25"/>
      <c r="U81" s="25"/>
    </row>
    <row r="82" spans="3:21">
      <c r="C82" s="12" t="str">
        <f t="shared" ca="1" si="42"/>
        <v/>
      </c>
      <c r="D82" s="22" t="str">
        <f t="shared" si="36"/>
        <v/>
      </c>
      <c r="E82" s="26" t="str">
        <f t="shared" si="41"/>
        <v/>
      </c>
      <c r="F82" s="26" t="str">
        <f t="shared" si="13"/>
        <v/>
      </c>
      <c r="G82" s="26" t="str">
        <f t="shared" si="13"/>
        <v/>
      </c>
      <c r="H82" s="26" t="str">
        <f t="shared" si="13"/>
        <v/>
      </c>
      <c r="I82" s="26" t="str">
        <f t="shared" si="13"/>
        <v/>
      </c>
      <c r="J82" s="26" t="str">
        <f t="shared" si="13"/>
        <v/>
      </c>
      <c r="M82" s="21"/>
      <c r="N82" s="10"/>
      <c r="O82" s="25"/>
      <c r="P82" s="25"/>
      <c r="Q82" s="25"/>
      <c r="R82" s="25"/>
      <c r="S82" s="25"/>
      <c r="T82" s="25"/>
      <c r="U82" s="25"/>
    </row>
    <row r="83" spans="3:21">
      <c r="C83" s="12" t="str">
        <f t="shared" ca="1" si="42"/>
        <v/>
      </c>
      <c r="D83" s="22" t="str">
        <f t="shared" si="36"/>
        <v/>
      </c>
      <c r="E83" s="26" t="str">
        <f t="shared" si="41"/>
        <v/>
      </c>
      <c r="F83" s="26" t="str">
        <f t="shared" si="13"/>
        <v/>
      </c>
      <c r="G83" s="26" t="str">
        <f t="shared" si="13"/>
        <v/>
      </c>
      <c r="H83" s="26" t="str">
        <f t="shared" si="13"/>
        <v/>
      </c>
      <c r="I83" s="26" t="str">
        <f t="shared" si="13"/>
        <v/>
      </c>
      <c r="J83" s="26" t="str">
        <f t="shared" si="13"/>
        <v/>
      </c>
      <c r="M83" s="21"/>
      <c r="N83" s="10"/>
      <c r="O83" s="25"/>
      <c r="P83" s="25"/>
      <c r="Q83" s="25"/>
      <c r="R83" s="25"/>
      <c r="S83" s="25"/>
      <c r="T83" s="25"/>
    </row>
    <row r="84" spans="3:21">
      <c r="C84" s="12" t="str">
        <f t="shared" ca="1" si="42"/>
        <v/>
      </c>
      <c r="D84" s="22" t="str">
        <f t="shared" si="36"/>
        <v/>
      </c>
      <c r="E84" s="26" t="str">
        <f t="shared" si="41"/>
        <v/>
      </c>
      <c r="F84" s="26" t="str">
        <f t="shared" si="13"/>
        <v/>
      </c>
      <c r="G84" s="26" t="str">
        <f t="shared" si="13"/>
        <v/>
      </c>
      <c r="H84" s="26" t="str">
        <f t="shared" si="13"/>
        <v/>
      </c>
      <c r="I84" s="26" t="str">
        <f t="shared" si="13"/>
        <v/>
      </c>
      <c r="J84" s="26" t="str">
        <f t="shared" si="13"/>
        <v/>
      </c>
      <c r="M84" s="21"/>
      <c r="N84" s="10"/>
      <c r="O84" s="25"/>
      <c r="P84" s="25"/>
      <c r="Q84" s="25"/>
      <c r="R84" s="25"/>
      <c r="S84" s="25"/>
      <c r="T84" s="25"/>
    </row>
    <row r="85" spans="3:21">
      <c r="C85" s="12" t="str">
        <f t="shared" ca="1" si="42"/>
        <v/>
      </c>
      <c r="D85" s="22" t="str">
        <f t="shared" si="36"/>
        <v/>
      </c>
      <c r="E85" s="26" t="str">
        <f t="shared" si="41"/>
        <v/>
      </c>
      <c r="F85" s="26" t="str">
        <f t="shared" si="13"/>
        <v/>
      </c>
      <c r="G85" s="26" t="str">
        <f t="shared" si="13"/>
        <v/>
      </c>
      <c r="H85" s="26" t="str">
        <f t="shared" si="13"/>
        <v/>
      </c>
      <c r="I85" s="26" t="str">
        <f t="shared" si="13"/>
        <v/>
      </c>
      <c r="J85" s="26" t="str">
        <f t="shared" si="13"/>
        <v/>
      </c>
      <c r="M85" s="21"/>
      <c r="N85" s="10"/>
      <c r="O85" s="25"/>
      <c r="P85" s="25"/>
      <c r="Q85" s="25"/>
      <c r="R85" s="25"/>
      <c r="S85" s="25"/>
      <c r="T85" s="25"/>
    </row>
    <row r="86" spans="3:21">
      <c r="C86" s="12" t="str">
        <f t="shared" ca="1" si="42"/>
        <v/>
      </c>
      <c r="D86" s="22" t="str">
        <f t="shared" si="36"/>
        <v/>
      </c>
      <c r="E86" s="26" t="str">
        <f t="shared" si="41"/>
        <v/>
      </c>
      <c r="F86" s="26" t="str">
        <f t="shared" si="13"/>
        <v/>
      </c>
      <c r="G86" s="26" t="str">
        <f t="shared" si="13"/>
        <v/>
      </c>
      <c r="H86" s="26" t="str">
        <f t="shared" si="13"/>
        <v/>
      </c>
      <c r="I86" s="26" t="str">
        <f t="shared" si="13"/>
        <v/>
      </c>
      <c r="J86" s="26" t="str">
        <f t="shared" si="13"/>
        <v/>
      </c>
      <c r="M86" s="21"/>
      <c r="N86" s="10"/>
      <c r="O86" s="25"/>
      <c r="P86" s="25"/>
      <c r="Q86" s="25"/>
      <c r="R86" s="25"/>
      <c r="S86" s="25"/>
      <c r="T86" s="25"/>
    </row>
    <row r="87" spans="3:21">
      <c r="C87" s="12" t="str">
        <f t="shared" ca="1" si="42"/>
        <v/>
      </c>
      <c r="D87" s="22" t="str">
        <f t="shared" si="36"/>
        <v/>
      </c>
      <c r="E87" s="26" t="str">
        <f t="shared" si="41"/>
        <v/>
      </c>
      <c r="F87" s="26" t="str">
        <f t="shared" si="13"/>
        <v/>
      </c>
      <c r="G87" s="26" t="str">
        <f t="shared" si="13"/>
        <v/>
      </c>
      <c r="H87" s="26" t="str">
        <f t="shared" si="13"/>
        <v/>
      </c>
      <c r="I87" s="26" t="str">
        <f t="shared" si="13"/>
        <v/>
      </c>
      <c r="J87" s="26" t="str">
        <f t="shared" si="13"/>
        <v/>
      </c>
      <c r="M87" s="21"/>
      <c r="N87" s="10"/>
      <c r="O87" s="25"/>
      <c r="P87" s="25"/>
      <c r="Q87" s="25"/>
      <c r="R87" s="25"/>
      <c r="S87" s="25"/>
      <c r="T87" s="25"/>
    </row>
    <row r="88" spans="3:21">
      <c r="C88" s="12" t="str">
        <f t="shared" ca="1" si="42"/>
        <v/>
      </c>
      <c r="D88" s="22" t="str">
        <f t="shared" si="36"/>
        <v/>
      </c>
      <c r="E88" s="26" t="str">
        <f t="shared" si="41"/>
        <v/>
      </c>
      <c r="F88" s="26" t="str">
        <f t="shared" si="13"/>
        <v/>
      </c>
      <c r="G88" s="26" t="str">
        <f t="shared" si="13"/>
        <v/>
      </c>
      <c r="H88" s="26" t="str">
        <f t="shared" si="13"/>
        <v/>
      </c>
      <c r="I88" s="26" t="str">
        <f t="shared" si="13"/>
        <v/>
      </c>
      <c r="J88" s="26" t="str">
        <f t="shared" si="13"/>
        <v/>
      </c>
      <c r="M88" s="21"/>
      <c r="N88" s="10"/>
      <c r="O88" s="25"/>
      <c r="P88" s="25"/>
      <c r="Q88" s="25"/>
      <c r="R88" s="25"/>
      <c r="S88" s="25"/>
      <c r="T88" s="25"/>
    </row>
    <row r="89" spans="3:21">
      <c r="C89" s="12" t="str">
        <f t="shared" ca="1" si="42"/>
        <v/>
      </c>
      <c r="D89" s="22" t="str">
        <f t="shared" si="36"/>
        <v/>
      </c>
      <c r="E89" s="26" t="str">
        <f t="shared" si="41"/>
        <v/>
      </c>
      <c r="F89" s="26" t="str">
        <f t="shared" si="13"/>
        <v/>
      </c>
      <c r="G89" s="26" t="str">
        <f t="shared" si="13"/>
        <v/>
      </c>
      <c r="H89" s="26" t="str">
        <f t="shared" si="13"/>
        <v/>
      </c>
      <c r="I89" s="26" t="str">
        <f t="shared" si="13"/>
        <v/>
      </c>
      <c r="J89" s="26" t="str">
        <f t="shared" si="13"/>
        <v/>
      </c>
      <c r="M89" s="21"/>
      <c r="N89" s="10"/>
      <c r="O89" s="25"/>
      <c r="P89" s="25"/>
      <c r="Q89" s="25"/>
      <c r="R89" s="25"/>
      <c r="S89" s="25"/>
      <c r="T89" s="25"/>
    </row>
    <row r="90" spans="3:21">
      <c r="C90" s="12" t="str">
        <f t="shared" ca="1" si="42"/>
        <v/>
      </c>
      <c r="D90" s="22" t="str">
        <f t="shared" si="36"/>
        <v/>
      </c>
      <c r="E90" s="26" t="str">
        <f t="shared" si="41"/>
        <v/>
      </c>
      <c r="F90" s="26" t="str">
        <f t="shared" si="41"/>
        <v/>
      </c>
      <c r="G90" s="26" t="str">
        <f t="shared" si="41"/>
        <v/>
      </c>
      <c r="H90" s="26" t="str">
        <f t="shared" si="41"/>
        <v/>
      </c>
      <c r="I90" s="26" t="str">
        <f t="shared" si="41"/>
        <v/>
      </c>
      <c r="J90" s="26" t="str">
        <f t="shared" si="41"/>
        <v/>
      </c>
      <c r="M90" s="21"/>
      <c r="N90" s="10"/>
      <c r="O90" s="25"/>
      <c r="P90" s="25"/>
      <c r="Q90" s="25"/>
      <c r="R90" s="25"/>
      <c r="S90" s="25"/>
      <c r="T90" s="25"/>
    </row>
    <row r="91" spans="3:21">
      <c r="C91" s="12" t="str">
        <f t="shared" ca="1" si="42"/>
        <v/>
      </c>
      <c r="D91" s="22" t="str">
        <f t="shared" si="36"/>
        <v/>
      </c>
      <c r="E91" s="26" t="str">
        <f t="shared" si="41"/>
        <v/>
      </c>
      <c r="F91" s="26" t="str">
        <f t="shared" si="41"/>
        <v/>
      </c>
      <c r="G91" s="26" t="str">
        <f t="shared" si="41"/>
        <v/>
      </c>
      <c r="H91" s="26" t="str">
        <f t="shared" si="41"/>
        <v/>
      </c>
      <c r="I91" s="26" t="str">
        <f t="shared" si="41"/>
        <v/>
      </c>
      <c r="J91" s="26" t="str">
        <f t="shared" si="41"/>
        <v/>
      </c>
      <c r="M91" s="21"/>
      <c r="N91" s="10"/>
      <c r="O91" s="25"/>
      <c r="P91" s="25"/>
      <c r="Q91" s="25"/>
      <c r="R91" s="25"/>
      <c r="S91" s="25"/>
      <c r="T91" s="25"/>
    </row>
    <row r="92" spans="3:21">
      <c r="C92" s="12" t="str">
        <f t="shared" ca="1" si="42"/>
        <v/>
      </c>
      <c r="D92" s="22" t="str">
        <f t="shared" si="36"/>
        <v/>
      </c>
      <c r="E92" s="26" t="str">
        <f t="shared" si="41"/>
        <v/>
      </c>
      <c r="F92" s="26"/>
      <c r="G92" s="26" t="str">
        <f t="shared" si="41"/>
        <v/>
      </c>
      <c r="H92" s="26" t="str">
        <f t="shared" si="41"/>
        <v/>
      </c>
      <c r="I92" s="26" t="str">
        <f>IF(S92="","",IF(S92=0,1,0))</f>
        <v/>
      </c>
      <c r="J92" s="26" t="str">
        <f t="shared" si="41"/>
        <v/>
      </c>
      <c r="M92" s="21"/>
      <c r="N92" s="10"/>
      <c r="O92" s="25"/>
      <c r="P92" s="25"/>
      <c r="Q92" s="25"/>
      <c r="R92" s="25"/>
      <c r="S92" s="25"/>
      <c r="T92" s="25"/>
    </row>
    <row r="93" spans="3:21">
      <c r="C93" s="12" t="str">
        <f ca="1">IF(D93&lt;=TODAY(),1,"")</f>
        <v/>
      </c>
      <c r="D93" s="22" t="str">
        <f t="shared" si="36"/>
        <v/>
      </c>
      <c r="E93" s="26" t="str">
        <f>IF(O93="","",IF(O93=0,1,0))</f>
        <v/>
      </c>
      <c r="F93" s="26" t="str">
        <f t="shared" ref="F93:H93" si="43">IF(P93="","",IF(P93=0,1,0))</f>
        <v/>
      </c>
      <c r="G93" s="26" t="str">
        <f>IF(Q93="","",IF(Q93=0,1,0))</f>
        <v/>
      </c>
      <c r="H93" s="26" t="str">
        <f t="shared" si="43"/>
        <v/>
      </c>
      <c r="I93" s="26" t="str">
        <f>IF(S93="","",IF(S93=0,1,0))</f>
        <v/>
      </c>
      <c r="J93" s="26" t="str">
        <f>IF(T93="","",IF(T93=0,1,0))</f>
        <v/>
      </c>
      <c r="M93" s="21"/>
      <c r="N93" s="10"/>
      <c r="O93" s="25"/>
      <c r="P93" s="25"/>
      <c r="Q93" s="25"/>
      <c r="R93" s="25"/>
      <c r="S93" s="25"/>
      <c r="T93" s="25"/>
    </row>
  </sheetData>
  <mergeCells count="42">
    <mergeCell ref="Q16:R16"/>
    <mergeCell ref="V17:V18"/>
    <mergeCell ref="Q12:R12"/>
    <mergeCell ref="S12:T12"/>
    <mergeCell ref="V12:W12"/>
    <mergeCell ref="X12:Y12"/>
    <mergeCell ref="Z12:AA12"/>
    <mergeCell ref="Q13:R13"/>
    <mergeCell ref="S13:T13"/>
    <mergeCell ref="V13:W13"/>
    <mergeCell ref="X13:Y14"/>
    <mergeCell ref="Z13:AA13"/>
    <mergeCell ref="Q14:R14"/>
    <mergeCell ref="S14:T14"/>
    <mergeCell ref="Q10:R10"/>
    <mergeCell ref="S10:T10"/>
    <mergeCell ref="V10:W10"/>
    <mergeCell ref="X10:Y10"/>
    <mergeCell ref="Z10:AA10"/>
    <mergeCell ref="Q11:R11"/>
    <mergeCell ref="S11:T11"/>
    <mergeCell ref="V11:W11"/>
    <mergeCell ref="X11:Y11"/>
    <mergeCell ref="Z11:AA11"/>
    <mergeCell ref="Q8:R8"/>
    <mergeCell ref="S8:T8"/>
    <mergeCell ref="V8:W8"/>
    <mergeCell ref="X8:Y8"/>
    <mergeCell ref="Z8:AA8"/>
    <mergeCell ref="Q9:R9"/>
    <mergeCell ref="S9:T9"/>
    <mergeCell ref="V9:W9"/>
    <mergeCell ref="X9:Y9"/>
    <mergeCell ref="Z9:AA9"/>
    <mergeCell ref="C2:AA2"/>
    <mergeCell ref="O5:S5"/>
    <mergeCell ref="T5:U5"/>
    <mergeCell ref="V5:W7"/>
    <mergeCell ref="X5:Y7"/>
    <mergeCell ref="Z5:AA7"/>
    <mergeCell ref="Q7:R7"/>
    <mergeCell ref="S7:T7"/>
  </mergeCells>
  <conditionalFormatting sqref="E69:E72">
    <cfRule type="cellIs" dxfId="108" priority="1" operator="equal">
      <formula>0</formula>
    </cfRule>
    <cfRule type="cellIs" dxfId="107" priority="2" operator="equal">
      <formula>1</formula>
    </cfRule>
  </conditionalFormatting>
  <conditionalFormatting sqref="E76">
    <cfRule type="cellIs" dxfId="106" priority="75" operator="equal">
      <formula>0</formula>
    </cfRule>
  </conditionalFormatting>
  <conditionalFormatting sqref="E78">
    <cfRule type="cellIs" dxfId="105" priority="73" operator="equal">
      <formula>0</formula>
    </cfRule>
  </conditionalFormatting>
  <conditionalFormatting sqref="E83">
    <cfRule type="cellIs" dxfId="104" priority="65" operator="equal">
      <formula>0</formula>
    </cfRule>
  </conditionalFormatting>
  <conditionalFormatting sqref="E25:J29 E31:J35 E37:J42 G69:J69 F71:G71 F72:J72">
    <cfRule type="cellIs" dxfId="103" priority="206" operator="equal">
      <formula>1</formula>
    </cfRule>
  </conditionalFormatting>
  <conditionalFormatting sqref="E25:J29 E31:J35 E37:J42">
    <cfRule type="cellIs" dxfId="102" priority="205" operator="equal">
      <formula>0</formula>
    </cfRule>
  </conditionalFormatting>
  <conditionalFormatting sqref="E44:J44">
    <cfRule type="cellIs" dxfId="101" priority="145" operator="equal">
      <formula>0</formula>
    </cfRule>
    <cfRule type="cellIs" dxfId="100" priority="146" operator="equal">
      <formula>1</formula>
    </cfRule>
  </conditionalFormatting>
  <conditionalFormatting sqref="E46:J63 E65:J68">
    <cfRule type="cellIs" dxfId="99" priority="129" operator="equal">
      <formula>0</formula>
    </cfRule>
    <cfRule type="cellIs" dxfId="98" priority="130" operator="equal">
      <formula>1</formula>
    </cfRule>
  </conditionalFormatting>
  <conditionalFormatting sqref="E73:J93">
    <cfRule type="cellIs" dxfId="97" priority="38" operator="equal">
      <formula>1</formula>
    </cfRule>
  </conditionalFormatting>
  <conditionalFormatting sqref="F69">
    <cfRule type="cellIs" dxfId="96" priority="11" operator="equal">
      <formula>0</formula>
    </cfRule>
  </conditionalFormatting>
  <conditionalFormatting sqref="F69:F70">
    <cfRule type="cellIs" dxfId="95" priority="12" operator="equal">
      <formula>1</formula>
    </cfRule>
  </conditionalFormatting>
  <conditionalFormatting sqref="G70">
    <cfRule type="cellIs" dxfId="94" priority="7" operator="equal">
      <formula>0</formula>
    </cfRule>
    <cfRule type="cellIs" dxfId="93" priority="8" operator="equal">
      <formula>1</formula>
    </cfRule>
  </conditionalFormatting>
  <conditionalFormatting sqref="G75:G76">
    <cfRule type="cellIs" dxfId="92" priority="77" operator="equal">
      <formula>0</formula>
    </cfRule>
  </conditionalFormatting>
  <conditionalFormatting sqref="G81">
    <cfRule type="cellIs" dxfId="91" priority="69" operator="equal">
      <formula>0</formula>
    </cfRule>
  </conditionalFormatting>
  <conditionalFormatting sqref="G90">
    <cfRule type="cellIs" dxfId="90" priority="59" operator="equal">
      <formula>0</formula>
    </cfRule>
  </conditionalFormatting>
  <conditionalFormatting sqref="G93">
    <cfRule type="cellIs" dxfId="89" priority="37" operator="equal">
      <formula>0</formula>
    </cfRule>
  </conditionalFormatting>
  <conditionalFormatting sqref="G74:I74">
    <cfRule type="cellIs" dxfId="88" priority="81" operator="equal">
      <formula>0</formula>
    </cfRule>
  </conditionalFormatting>
  <conditionalFormatting sqref="H70:H71">
    <cfRule type="cellIs" dxfId="87" priority="5" operator="equal">
      <formula>0</formula>
    </cfRule>
  </conditionalFormatting>
  <conditionalFormatting sqref="H70:J71">
    <cfRule type="cellIs" dxfId="86" priority="6" operator="equal">
      <formula>1</formula>
    </cfRule>
  </conditionalFormatting>
  <conditionalFormatting sqref="I75:I76">
    <cfRule type="cellIs" dxfId="85" priority="79" operator="equal">
      <formula>0</formula>
    </cfRule>
  </conditionalFormatting>
  <conditionalFormatting sqref="I81">
    <cfRule type="cellIs" dxfId="84" priority="67" operator="equal">
      <formula>0</formula>
    </cfRule>
  </conditionalFormatting>
  <conditionalFormatting sqref="I91:I93">
    <cfRule type="cellIs" dxfId="83" priority="40" operator="equal">
      <formula>0</formula>
    </cfRule>
  </conditionalFormatting>
  <conditionalFormatting sqref="J78">
    <cfRule type="cellIs" dxfId="82" priority="71" operator="equal">
      <formula>0</formula>
    </cfRule>
  </conditionalFormatting>
  <conditionalFormatting sqref="J82">
    <cfRule type="cellIs" dxfId="81" priority="63" operator="equal">
      <formula>0</formula>
    </cfRule>
  </conditionalFormatting>
  <conditionalFormatting sqref="J86">
    <cfRule type="cellIs" dxfId="80" priority="61" operator="equal">
      <formula>0</formula>
    </cfRule>
  </conditionalFormatting>
  <conditionalFormatting sqref="O68:T93">
    <cfRule type="cellIs" dxfId="79" priority="217" operator="equal">
      <formula>0</formula>
    </cfRule>
    <cfRule type="cellIs" dxfId="78" priority="218" operator="greaterThan">
      <formula>0</formula>
    </cfRule>
  </conditionalFormatting>
  <conditionalFormatting sqref="O24:U67">
    <cfRule type="cellIs" dxfId="77" priority="13" operator="equal">
      <formula>0</formula>
    </cfRule>
    <cfRule type="cellIs" dxfId="76" priority="14" operator="greaterThan">
      <formula>0</formula>
    </cfRule>
  </conditionalFormatting>
  <conditionalFormatting sqref="U68:U82">
    <cfRule type="cellIs" dxfId="75" priority="491" operator="equal">
      <formula>0</formula>
    </cfRule>
    <cfRule type="cellIs" dxfId="74" priority="492" operator="greaterThan">
      <formula>0</formula>
    </cfRule>
  </conditionalFormatting>
  <pageMargins left="0.7" right="0.7" top="0.78740157499999996" bottom="0.78740157499999996"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AC105"/>
  <sheetViews>
    <sheetView zoomScaleNormal="100" workbookViewId="0">
      <pane xSplit="14" ySplit="23" topLeftCell="O87" activePane="bottomRight" state="frozen"/>
      <selection pane="topRight" activeCell="P1" sqref="P1"/>
      <selection pane="bottomLeft" activeCell="A24" sqref="A24"/>
      <selection pane="bottomRight" activeCell="O21" sqref="O21:T21"/>
    </sheetView>
  </sheetViews>
  <sheetFormatPr defaultColWidth="11.3828125" defaultRowHeight="16.75"/>
  <cols>
    <col min="1" max="1" width="1.69140625" style="1" customWidth="1"/>
    <col min="2" max="2" width="1.3828125" style="1" customWidth="1"/>
    <col min="3" max="3" width="3.84375" style="2" bestFit="1" customWidth="1"/>
    <col min="4" max="4" width="12.53515625" style="1" customWidth="1"/>
    <col min="5" max="10" width="7.15234375" style="1" customWidth="1"/>
    <col min="11" max="12" width="1.3828125" style="1" customWidth="1"/>
    <col min="13" max="13" width="12.53515625" style="29" bestFit="1" customWidth="1"/>
    <col min="14" max="14" width="26.53515625" style="1" customWidth="1"/>
    <col min="15" max="15" width="16.69140625" style="1" customWidth="1"/>
    <col min="16" max="17" width="14.3828125" style="1" customWidth="1"/>
    <col min="18" max="18" width="13.3828125" style="1" customWidth="1"/>
    <col min="19" max="19" width="14.3828125" style="1" customWidth="1"/>
    <col min="20" max="20" width="20.3828125" style="1" customWidth="1"/>
    <col min="21" max="21" width="5.3828125" style="1" hidden="1" customWidth="1"/>
    <col min="22" max="22" width="11.3828125" style="1"/>
    <col min="23" max="23" width="16.69140625" style="1" customWidth="1"/>
    <col min="24" max="24" width="11.69140625" style="1" bestFit="1" customWidth="1"/>
    <col min="25" max="25" width="43.53515625" style="1" customWidth="1"/>
    <col min="26" max="26" width="11.3828125" style="1"/>
    <col min="27" max="27" width="12.15234375" style="1" customWidth="1"/>
    <col min="28" max="16384" width="11.3828125" style="1"/>
  </cols>
  <sheetData>
    <row r="1" spans="2:27" ht="8.25" customHeight="1"/>
    <row r="2" spans="2:27" ht="40.5" customHeight="1">
      <c r="C2" s="3" t="s">
        <v>5</v>
      </c>
      <c r="D2" s="4"/>
      <c r="E2" s="4"/>
      <c r="F2" s="4"/>
      <c r="G2" s="4"/>
      <c r="H2" s="4"/>
      <c r="I2" s="4"/>
      <c r="J2" s="4"/>
      <c r="K2" s="4"/>
      <c r="L2" s="4"/>
      <c r="M2" s="30"/>
      <c r="N2" s="4"/>
      <c r="O2" s="4"/>
      <c r="P2" s="4"/>
      <c r="Q2" s="4"/>
      <c r="R2" s="4"/>
      <c r="S2" s="5"/>
      <c r="T2" s="5"/>
      <c r="U2" s="4"/>
    </row>
    <row r="3" spans="2:27" ht="8.25" customHeight="1"/>
    <row r="4" spans="2:27" ht="9.75" customHeight="1"/>
    <row r="5" spans="2:27" ht="21.75" customHeight="1">
      <c r="B5" s="6"/>
      <c r="C5" s="7" t="s">
        <v>13</v>
      </c>
      <c r="D5" s="8"/>
      <c r="E5" s="8"/>
      <c r="F5" s="8"/>
      <c r="G5" s="8"/>
      <c r="H5" s="8"/>
      <c r="I5" s="9"/>
      <c r="J5" s="9"/>
      <c r="L5" s="6"/>
      <c r="M5" s="31" t="s">
        <v>14</v>
      </c>
      <c r="N5" s="8"/>
      <c r="O5" s="234" t="s">
        <v>31</v>
      </c>
      <c r="P5" s="234"/>
      <c r="Q5" s="234"/>
      <c r="R5" s="234"/>
      <c r="S5" s="235"/>
      <c r="T5" s="236">
        <f>O16+S16-O15</f>
        <v>1326.93</v>
      </c>
      <c r="U5" s="237"/>
      <c r="V5" s="238" t="s">
        <v>52</v>
      </c>
      <c r="W5" s="239"/>
      <c r="X5" s="238" t="s">
        <v>56</v>
      </c>
      <c r="Y5" s="239"/>
      <c r="Z5" s="238" t="s">
        <v>61</v>
      </c>
      <c r="AA5" s="239"/>
    </row>
    <row r="6" spans="2:27" ht="23.25" customHeight="1">
      <c r="B6" s="6"/>
      <c r="L6" s="6"/>
      <c r="V6" s="240"/>
      <c r="W6" s="241"/>
      <c r="X6" s="240"/>
      <c r="Y6" s="241"/>
      <c r="Z6" s="240"/>
      <c r="AA6" s="241"/>
    </row>
    <row r="7" spans="2:27">
      <c r="B7" s="6"/>
      <c r="D7" s="33" t="s">
        <v>6</v>
      </c>
      <c r="E7" s="35" t="s">
        <v>7</v>
      </c>
      <c r="F7" s="35" t="s">
        <v>8</v>
      </c>
      <c r="G7" s="35" t="s">
        <v>9</v>
      </c>
      <c r="H7" s="11"/>
      <c r="I7" s="11"/>
      <c r="J7" s="11"/>
      <c r="L7" s="6"/>
      <c r="N7" s="33" t="s">
        <v>6</v>
      </c>
      <c r="O7" s="68" t="s">
        <v>16</v>
      </c>
      <c r="P7" s="68" t="s">
        <v>17</v>
      </c>
      <c r="Q7" s="244" t="s">
        <v>26</v>
      </c>
      <c r="R7" s="244"/>
      <c r="S7" s="245" t="s">
        <v>27</v>
      </c>
      <c r="T7" s="245"/>
      <c r="U7" s="34"/>
      <c r="V7" s="242"/>
      <c r="W7" s="243"/>
      <c r="X7" s="242"/>
      <c r="Y7" s="243"/>
      <c r="Z7" s="242"/>
      <c r="AA7" s="243"/>
    </row>
    <row r="8" spans="2:27" ht="16.5" customHeight="1">
      <c r="B8" s="6">
        <v>1</v>
      </c>
      <c r="C8" s="12">
        <f t="shared" ref="C8:C13" si="0">B8</f>
        <v>1</v>
      </c>
      <c r="D8" s="10" t="str">
        <f t="shared" ref="D8:D13" si="1">HLOOKUP($B8,$E$17:$J$20,2,FALSE)</f>
        <v>MSO</v>
      </c>
      <c r="E8" s="12">
        <f t="shared" ref="E8:E13" si="2">ROUND(HLOOKUP(D8,$E$18:$J$20,3,FALSE),0)</f>
        <v>60</v>
      </c>
      <c r="F8" s="64">
        <f t="shared" ref="F8:F13" ca="1" si="3">E8/$C$20</f>
        <v>0.90909090909090906</v>
      </c>
      <c r="G8" s="28">
        <f t="shared" ref="G8:G13" ca="1" si="4">1-F8</f>
        <v>9.0909090909090939E-2</v>
      </c>
      <c r="L8" s="6"/>
      <c r="N8" s="10" t="s">
        <v>2</v>
      </c>
      <c r="O8" s="13">
        <f>MAX(O12,O10,O11,O14)+11+16.5+5</f>
        <v>247.5</v>
      </c>
      <c r="P8" s="13">
        <v>50</v>
      </c>
      <c r="Q8" s="231" t="s">
        <v>25</v>
      </c>
      <c r="R8" s="231"/>
      <c r="S8" s="231" t="s">
        <v>29</v>
      </c>
      <c r="T8" s="231"/>
      <c r="V8" s="231" t="s">
        <v>48</v>
      </c>
      <c r="W8" s="231"/>
      <c r="X8" s="231" t="s">
        <v>58</v>
      </c>
      <c r="Y8" s="231"/>
      <c r="Z8" s="231" t="s">
        <v>65</v>
      </c>
      <c r="AA8" s="231"/>
    </row>
    <row r="9" spans="2:27">
      <c r="B9" s="6">
        <v>2</v>
      </c>
      <c r="C9" s="12">
        <f t="shared" si="0"/>
        <v>2</v>
      </c>
      <c r="D9" s="10" t="str">
        <f>HLOOKUP($B9,$E$17:$J$20,2,FALSE)</f>
        <v>JWU</v>
      </c>
      <c r="E9" s="12">
        <f t="shared" si="2"/>
        <v>55</v>
      </c>
      <c r="F9" s="28">
        <f t="shared" ca="1" si="3"/>
        <v>0.83333333333333337</v>
      </c>
      <c r="G9" s="28">
        <f t="shared" ca="1" si="4"/>
        <v>0.16666666666666663</v>
      </c>
      <c r="L9" s="6"/>
      <c r="N9" s="10" t="s">
        <v>4</v>
      </c>
      <c r="O9" s="13">
        <f>O8</f>
        <v>247.5</v>
      </c>
      <c r="P9" s="13">
        <v>50</v>
      </c>
      <c r="Q9" s="231" t="s">
        <v>25</v>
      </c>
      <c r="R9" s="231"/>
      <c r="S9" s="231" t="s">
        <v>29</v>
      </c>
      <c r="T9" s="231"/>
      <c r="V9" s="231" t="s">
        <v>49</v>
      </c>
      <c r="W9" s="231"/>
      <c r="X9" s="231" t="s">
        <v>57</v>
      </c>
      <c r="Y9" s="231"/>
      <c r="Z9" s="231" t="s">
        <v>64</v>
      </c>
      <c r="AA9" s="231"/>
    </row>
    <row r="10" spans="2:27">
      <c r="B10" s="6">
        <v>3</v>
      </c>
      <c r="C10" s="12">
        <f t="shared" si="0"/>
        <v>3</v>
      </c>
      <c r="D10" s="10" t="str">
        <f t="shared" si="1"/>
        <v>SJU</v>
      </c>
      <c r="E10" s="12">
        <f t="shared" si="2"/>
        <v>54</v>
      </c>
      <c r="F10" s="28">
        <f t="shared" ca="1" si="3"/>
        <v>0.81818181818181823</v>
      </c>
      <c r="G10" s="28">
        <f t="shared" ca="1" si="4"/>
        <v>0.18181818181818177</v>
      </c>
      <c r="L10" s="6"/>
      <c r="N10" s="10" t="s">
        <v>3</v>
      </c>
      <c r="O10" s="13">
        <f>HLOOKUP(N10,$S$18:$S$20,3,FALSE)</f>
        <v>187.5</v>
      </c>
      <c r="P10" s="13">
        <v>50</v>
      </c>
      <c r="Q10" s="231" t="s">
        <v>25</v>
      </c>
      <c r="R10" s="231"/>
      <c r="S10" s="231" t="s">
        <v>28</v>
      </c>
      <c r="T10" s="231"/>
      <c r="V10" s="231" t="s">
        <v>48</v>
      </c>
      <c r="W10" s="231"/>
      <c r="X10" s="231" t="s">
        <v>60</v>
      </c>
      <c r="Y10" s="231"/>
      <c r="Z10" s="231" t="s">
        <v>66</v>
      </c>
      <c r="AA10" s="231"/>
    </row>
    <row r="11" spans="2:27">
      <c r="B11" s="6">
        <v>4</v>
      </c>
      <c r="C11" s="12">
        <f t="shared" si="0"/>
        <v>4</v>
      </c>
      <c r="D11" s="10" t="str">
        <f t="shared" si="1"/>
        <v>PKN</v>
      </c>
      <c r="E11" s="12">
        <f t="shared" si="2"/>
        <v>53</v>
      </c>
      <c r="F11" s="28">
        <f t="shared" ca="1" si="3"/>
        <v>0.80303030303030298</v>
      </c>
      <c r="G11" s="28">
        <f t="shared" ca="1" si="4"/>
        <v>0.19696969696969702</v>
      </c>
      <c r="L11" s="6"/>
      <c r="N11" s="10" t="s">
        <v>1</v>
      </c>
      <c r="O11" s="13">
        <f>HLOOKUP(N11,$Q$18:$Q$20,3,FALSE)</f>
        <v>193</v>
      </c>
      <c r="P11" s="13">
        <v>50</v>
      </c>
      <c r="Q11" s="231" t="s">
        <v>25</v>
      </c>
      <c r="R11" s="231"/>
      <c r="S11" s="231" t="s">
        <v>18</v>
      </c>
      <c r="T11" s="231"/>
      <c r="V11" s="231" t="s">
        <v>48</v>
      </c>
      <c r="W11" s="231"/>
      <c r="X11" s="231" t="s">
        <v>59</v>
      </c>
      <c r="Y11" s="231"/>
      <c r="Z11" s="231" t="s">
        <v>67</v>
      </c>
      <c r="AA11" s="231"/>
    </row>
    <row r="12" spans="2:27">
      <c r="B12" s="6">
        <v>5</v>
      </c>
      <c r="C12" s="12">
        <f t="shared" si="0"/>
        <v>5</v>
      </c>
      <c r="D12" s="10" t="str">
        <f t="shared" si="1"/>
        <v>CBO</v>
      </c>
      <c r="E12" s="12">
        <f t="shared" si="2"/>
        <v>26</v>
      </c>
      <c r="F12" s="28">
        <f t="shared" ca="1" si="3"/>
        <v>0.39393939393939392</v>
      </c>
      <c r="G12" s="28">
        <f t="shared" ca="1" si="4"/>
        <v>0.60606060606060608</v>
      </c>
      <c r="L12" s="6"/>
      <c r="N12" s="10" t="s">
        <v>0</v>
      </c>
      <c r="O12" s="47">
        <f>HLOOKUP(N12,$O$18:$O$20,3,FALSE)</f>
        <v>215</v>
      </c>
      <c r="P12" s="13">
        <v>50</v>
      </c>
      <c r="Q12" s="231" t="s">
        <v>25</v>
      </c>
      <c r="R12" s="231"/>
      <c r="S12" s="231" t="s">
        <v>18</v>
      </c>
      <c r="T12" s="231"/>
      <c r="V12" s="231" t="s">
        <v>50</v>
      </c>
      <c r="W12" s="231"/>
      <c r="X12" s="231" t="s">
        <v>81</v>
      </c>
      <c r="Y12" s="231"/>
      <c r="Z12" s="231" t="s">
        <v>63</v>
      </c>
      <c r="AA12" s="231"/>
    </row>
    <row r="13" spans="2:27">
      <c r="B13" s="6">
        <v>6</v>
      </c>
      <c r="C13" s="12">
        <f t="shared" si="0"/>
        <v>6</v>
      </c>
      <c r="D13" s="10" t="str">
        <f t="shared" si="1"/>
        <v>YMI</v>
      </c>
      <c r="E13" s="12">
        <f t="shared" si="2"/>
        <v>25</v>
      </c>
      <c r="F13" s="28">
        <f t="shared" ca="1" si="3"/>
        <v>0.37878787878787878</v>
      </c>
      <c r="G13" s="28">
        <f t="shared" ca="1" si="4"/>
        <v>0.62121212121212122</v>
      </c>
      <c r="H13" s="1" t="s">
        <v>82</v>
      </c>
      <c r="L13" s="6"/>
      <c r="N13" s="10" t="s">
        <v>22</v>
      </c>
      <c r="O13" s="13">
        <f>HLOOKUP(N13,$T$18:$T$20,3,FALSE)</f>
        <v>123.75</v>
      </c>
      <c r="P13" s="13">
        <v>50</v>
      </c>
      <c r="Q13" s="231" t="s">
        <v>25</v>
      </c>
      <c r="R13" s="231"/>
      <c r="S13" s="231" t="s">
        <v>18</v>
      </c>
      <c r="T13" s="231"/>
      <c r="V13" s="231" t="s">
        <v>51</v>
      </c>
      <c r="W13" s="231"/>
      <c r="X13" s="246" t="s">
        <v>118</v>
      </c>
      <c r="Y13" s="246"/>
      <c r="Z13" s="231" t="s">
        <v>62</v>
      </c>
      <c r="AA13" s="231"/>
    </row>
    <row r="14" spans="2:27">
      <c r="B14" s="6"/>
      <c r="F14" s="63"/>
      <c r="L14" s="6"/>
      <c r="N14" s="29"/>
      <c r="O14" s="29"/>
      <c r="P14" s="29"/>
      <c r="Q14" s="248"/>
      <c r="R14" s="248"/>
      <c r="S14" s="248"/>
      <c r="T14" s="248"/>
      <c r="X14" s="247"/>
      <c r="Y14" s="247"/>
    </row>
    <row r="15" spans="2:27" ht="13.5" customHeight="1" thickBot="1">
      <c r="B15" s="6"/>
      <c r="L15" s="6"/>
    </row>
    <row r="16" spans="2:27" ht="17.149999999999999" thickBot="1">
      <c r="B16" s="6"/>
      <c r="L16" s="6"/>
      <c r="N16" s="14" t="s">
        <v>19</v>
      </c>
      <c r="O16" s="15">
        <f>SUM(O8:O13)-SUM(P8:P13)</f>
        <v>914.25</v>
      </c>
      <c r="P16" s="87"/>
      <c r="Q16" s="262" t="s">
        <v>122</v>
      </c>
      <c r="R16" s="263"/>
      <c r="S16" s="15">
        <f>112.68+SUM(P8:P13)</f>
        <v>412.68</v>
      </c>
      <c r="V16" s="137" t="s">
        <v>121</v>
      </c>
      <c r="W16" s="138">
        <f>O16+S16</f>
        <v>1326.93</v>
      </c>
    </row>
    <row r="17" spans="2:27" ht="12" customHeight="1">
      <c r="B17" s="6"/>
      <c r="E17" s="27">
        <f t="shared" ref="E17:J17" si="5">RANK(E20,$E20:$J20)</f>
        <v>2</v>
      </c>
      <c r="F17" s="27">
        <f t="shared" si="5"/>
        <v>5</v>
      </c>
      <c r="G17" s="27">
        <f t="shared" si="5"/>
        <v>4</v>
      </c>
      <c r="H17" s="27">
        <f t="shared" si="5"/>
        <v>6</v>
      </c>
      <c r="I17" s="27">
        <f t="shared" si="5"/>
        <v>3</v>
      </c>
      <c r="J17" s="27">
        <f t="shared" si="5"/>
        <v>1</v>
      </c>
      <c r="L17" s="6"/>
    </row>
    <row r="18" spans="2:27">
      <c r="B18" s="6"/>
      <c r="E18" s="16" t="s">
        <v>0</v>
      </c>
      <c r="F18" s="16" t="s">
        <v>4</v>
      </c>
      <c r="G18" s="16" t="s">
        <v>1</v>
      </c>
      <c r="H18" s="16" t="s">
        <v>2</v>
      </c>
      <c r="I18" s="16" t="s">
        <v>3</v>
      </c>
      <c r="J18" s="16" t="s">
        <v>21</v>
      </c>
      <c r="L18" s="6"/>
      <c r="O18" s="16" t="s">
        <v>0</v>
      </c>
      <c r="P18" s="16" t="s">
        <v>4</v>
      </c>
      <c r="Q18" s="16" t="s">
        <v>1</v>
      </c>
      <c r="R18" s="16" t="s">
        <v>2</v>
      </c>
      <c r="S18" s="16" t="s">
        <v>3</v>
      </c>
      <c r="T18" s="16" t="s">
        <v>22</v>
      </c>
      <c r="U18" s="16"/>
    </row>
    <row r="19" spans="2:27" ht="6" customHeight="1">
      <c r="B19" s="6"/>
      <c r="E19" s="17"/>
      <c r="F19" s="17"/>
      <c r="G19" s="17"/>
      <c r="H19" s="17"/>
      <c r="I19" s="17"/>
      <c r="J19" s="17"/>
      <c r="L19" s="6"/>
      <c r="O19" s="17"/>
      <c r="P19" s="17"/>
      <c r="Q19" s="17"/>
      <c r="R19" s="17"/>
      <c r="S19" s="17"/>
      <c r="T19" s="17"/>
      <c r="U19" s="17"/>
    </row>
    <row r="20" spans="2:27">
      <c r="B20" s="6"/>
      <c r="C20" s="139">
        <f ca="1">COUNT(C23:C107)</f>
        <v>66</v>
      </c>
      <c r="E20" s="24">
        <f>SUM(E25:E105)+0.00007</f>
        <v>55.000070000000001</v>
      </c>
      <c r="F20" s="24">
        <f>SUM(F25:F105)+0.00006</f>
        <v>26.000060000000001</v>
      </c>
      <c r="G20" s="24">
        <f>SUM(G25:G105)+0.00008</f>
        <v>53.000079999999997</v>
      </c>
      <c r="H20" s="24">
        <f>SUM(H25:H105)+0.00005</f>
        <v>25.000050000000002</v>
      </c>
      <c r="I20" s="24">
        <f>SUM(I25:I105)+0.00009</f>
        <v>54.00009</v>
      </c>
      <c r="J20" s="24">
        <f>SUM(J25:J105)+0.0001</f>
        <v>60.000100000000003</v>
      </c>
      <c r="L20" s="6"/>
      <c r="O20" s="19">
        <f>SUM(O24:O105)</f>
        <v>215</v>
      </c>
      <c r="P20" s="19">
        <f>O9</f>
        <v>247.5</v>
      </c>
      <c r="Q20" s="19">
        <f>SUM(Q24:Q105)</f>
        <v>193</v>
      </c>
      <c r="R20" s="19">
        <f>O8</f>
        <v>247.5</v>
      </c>
      <c r="S20" s="19">
        <f>SUM(S24:S105)</f>
        <v>187.5</v>
      </c>
      <c r="T20" s="19">
        <f>SUM(T24:T105)</f>
        <v>123.75</v>
      </c>
      <c r="U20" s="19"/>
    </row>
    <row r="21" spans="2:27">
      <c r="B21" s="6"/>
      <c r="E21" s="2"/>
      <c r="F21" s="2"/>
      <c r="G21" s="2"/>
      <c r="H21" s="2"/>
      <c r="I21" s="2"/>
      <c r="J21" s="2"/>
      <c r="L21" s="6"/>
      <c r="O21" s="20" cm="1">
        <f t="array" ref="O21">SUM(SUMIF($N$24:$N$100,{"LI";"LIFO";"LIFO+"},O24:O100))</f>
        <v>30.25</v>
      </c>
      <c r="P21" s="20" cm="1">
        <f t="array" ref="P21">SUM(SUMIF($N$24:$N$100,{"LI";"LIFO";"LIFO+"},P24:P100))</f>
        <v>0</v>
      </c>
      <c r="Q21" s="20" cm="1">
        <f t="array" ref="Q21">SUM(SUMIF($N$24:$N$100,{"LI";"LIFO";"LIFO+"},Q24:Q100))</f>
        <v>0</v>
      </c>
      <c r="R21" s="20" cm="1">
        <f t="array" ref="R21">SUM(SUMIF($N$24:$N$100,{"LI";"LIFO";"LIFO+"},R24:R100))</f>
        <v>19.25</v>
      </c>
      <c r="S21" s="20" cm="1">
        <f t="array" ref="S21">SUM(SUMIF($N$24:$N$100,{"LI";"LIFO";"LIFO+"},S24:S100))</f>
        <v>5.5</v>
      </c>
      <c r="T21" s="20" cm="1">
        <f t="array" ref="T21">SUM(SUMIF($N$24:$N$100,{"LI";"LIFO";"LIFO+"},T24:T100))</f>
        <v>2.75</v>
      </c>
      <c r="U21" s="20"/>
    </row>
    <row r="22" spans="2:27">
      <c r="B22" s="6"/>
      <c r="E22" s="18">
        <v>3</v>
      </c>
      <c r="F22" s="18">
        <v>5</v>
      </c>
      <c r="G22" s="18">
        <v>6</v>
      </c>
      <c r="H22" s="18">
        <v>7</v>
      </c>
      <c r="I22" s="18">
        <v>8</v>
      </c>
      <c r="J22" s="18">
        <v>1</v>
      </c>
      <c r="L22" s="6"/>
    </row>
    <row r="23" spans="2:27">
      <c r="B23" s="6"/>
      <c r="C23" s="12" t="s">
        <v>10</v>
      </c>
      <c r="D23" s="10" t="s">
        <v>11</v>
      </c>
      <c r="E23" s="12" t="s">
        <v>12</v>
      </c>
      <c r="F23" s="12" t="s">
        <v>12</v>
      </c>
      <c r="G23" s="12" t="s">
        <v>12</v>
      </c>
      <c r="H23" s="12" t="s">
        <v>12</v>
      </c>
      <c r="I23" s="12" t="s">
        <v>12</v>
      </c>
      <c r="J23" s="12" t="s">
        <v>12</v>
      </c>
      <c r="L23" s="6"/>
      <c r="M23" s="67" t="s">
        <v>11</v>
      </c>
      <c r="N23" s="67" t="s">
        <v>15</v>
      </c>
      <c r="O23" s="12" t="s">
        <v>16</v>
      </c>
      <c r="P23" s="12" t="s">
        <v>16</v>
      </c>
      <c r="Q23" s="12" t="s">
        <v>16</v>
      </c>
      <c r="R23" s="12" t="s">
        <v>16</v>
      </c>
      <c r="S23" s="12" t="s">
        <v>16</v>
      </c>
      <c r="T23" s="12" t="s">
        <v>16</v>
      </c>
      <c r="U23" s="12"/>
    </row>
    <row r="24" spans="2:27">
      <c r="B24" s="6"/>
      <c r="C24" s="12"/>
      <c r="D24" s="10"/>
      <c r="E24" s="12"/>
      <c r="F24" s="12"/>
      <c r="G24" s="12"/>
      <c r="H24" s="12"/>
      <c r="I24" s="12"/>
      <c r="J24" s="12"/>
      <c r="L24" s="6"/>
      <c r="M24" s="21">
        <v>43854</v>
      </c>
      <c r="N24" s="67" t="s">
        <v>20</v>
      </c>
      <c r="O24" s="25">
        <v>50</v>
      </c>
      <c r="P24" s="25">
        <v>50</v>
      </c>
      <c r="Q24" s="25">
        <v>50</v>
      </c>
      <c r="R24" s="25">
        <v>50</v>
      </c>
      <c r="S24" s="25">
        <v>50</v>
      </c>
      <c r="T24" s="25">
        <v>50</v>
      </c>
      <c r="U24" s="25"/>
    </row>
    <row r="25" spans="2:27">
      <c r="B25" s="6"/>
      <c r="C25" s="12">
        <v>1</v>
      </c>
      <c r="D25" s="22">
        <f t="shared" ref="D25:D30" si="6">IF(M25="","",M25)</f>
        <v>43854</v>
      </c>
      <c r="E25" s="26">
        <f t="shared" ref="E25:J26" si="7">IF(O25="","",IF(O25=0,1,0))</f>
        <v>1</v>
      </c>
      <c r="F25" s="26" t="str">
        <f t="shared" si="7"/>
        <v/>
      </c>
      <c r="G25" s="26">
        <f t="shared" si="7"/>
        <v>1</v>
      </c>
      <c r="H25" s="26" t="str">
        <f t="shared" si="7"/>
        <v/>
      </c>
      <c r="I25" s="26">
        <f t="shared" si="7"/>
        <v>1</v>
      </c>
      <c r="J25" s="26">
        <f t="shared" si="7"/>
        <v>1</v>
      </c>
      <c r="L25" s="6"/>
      <c r="M25" s="21">
        <f>M24</f>
        <v>43854</v>
      </c>
      <c r="N25" s="10" t="s">
        <v>24</v>
      </c>
      <c r="O25" s="25">
        <v>0</v>
      </c>
      <c r="P25" s="25"/>
      <c r="Q25" s="25">
        <v>0</v>
      </c>
      <c r="R25" s="25"/>
      <c r="S25" s="25">
        <v>0</v>
      </c>
      <c r="T25" s="25">
        <v>0</v>
      </c>
      <c r="U25" s="25"/>
      <c r="Y25" s="58"/>
    </row>
    <row r="26" spans="2:27">
      <c r="B26" s="6"/>
      <c r="C26" s="12">
        <f t="shared" ref="C26:C58" ca="1" si="8">IF(D26&lt;=TODAY(),1,"")</f>
        <v>1</v>
      </c>
      <c r="D26" s="22">
        <f t="shared" si="6"/>
        <v>43861</v>
      </c>
      <c r="E26" s="26">
        <f t="shared" si="7"/>
        <v>1</v>
      </c>
      <c r="F26" s="26" t="str">
        <f t="shared" si="7"/>
        <v/>
      </c>
      <c r="G26" s="26">
        <f t="shared" si="7"/>
        <v>1</v>
      </c>
      <c r="H26" s="26" t="str">
        <f t="shared" si="7"/>
        <v/>
      </c>
      <c r="I26" s="26">
        <f t="shared" si="7"/>
        <v>0</v>
      </c>
      <c r="J26" s="26">
        <f t="shared" si="7"/>
        <v>1</v>
      </c>
      <c r="L26" s="6"/>
      <c r="M26" s="21">
        <f>M25+7</f>
        <v>43861</v>
      </c>
      <c r="N26" s="10" t="s">
        <v>24</v>
      </c>
      <c r="O26" s="25">
        <v>0</v>
      </c>
      <c r="P26" s="25"/>
      <c r="Q26" s="25">
        <v>0</v>
      </c>
      <c r="R26" s="25"/>
      <c r="S26" s="25">
        <v>11</v>
      </c>
      <c r="T26" s="25">
        <v>0</v>
      </c>
      <c r="U26" s="25"/>
    </row>
    <row r="27" spans="2:27">
      <c r="B27" s="6"/>
      <c r="C27" s="12">
        <f t="shared" ca="1" si="8"/>
        <v>1</v>
      </c>
      <c r="D27" s="22">
        <f t="shared" si="6"/>
        <v>43868</v>
      </c>
      <c r="E27" s="26">
        <f t="shared" ref="E27:E86" si="9">IF(O27="","",IF(O27=0,1,0))</f>
        <v>0</v>
      </c>
      <c r="F27" s="26" t="str">
        <f t="shared" ref="F27:F88" si="10">IF(P27="","",IF(P27=0,1,0))</f>
        <v/>
      </c>
      <c r="G27" s="26">
        <f t="shared" ref="G27:G88" si="11">IF(Q27="","",IF(Q27=0,1,0))</f>
        <v>1</v>
      </c>
      <c r="H27" s="26" t="str">
        <f t="shared" ref="H27:H88" si="12">IF(R27="","",IF(R27=0,1,0))</f>
        <v/>
      </c>
      <c r="I27" s="26">
        <f>IF(S27="","",IF(S27=0,1,0))</f>
        <v>0</v>
      </c>
      <c r="J27" s="26">
        <f t="shared" ref="J27:J88" si="13">IF(T27="","",IF(T27=0,1,0))</f>
        <v>1</v>
      </c>
      <c r="L27" s="6"/>
      <c r="M27" s="21">
        <f>M26+7</f>
        <v>43868</v>
      </c>
      <c r="N27" s="10" t="s">
        <v>24</v>
      </c>
      <c r="O27" s="25">
        <v>11</v>
      </c>
      <c r="P27" s="25"/>
      <c r="Q27" s="25">
        <v>0</v>
      </c>
      <c r="R27" s="25"/>
      <c r="S27" s="25">
        <v>11</v>
      </c>
      <c r="T27" s="25">
        <v>0</v>
      </c>
      <c r="U27" s="25"/>
    </row>
    <row r="28" spans="2:27">
      <c r="B28" s="6"/>
      <c r="C28" s="12">
        <f t="shared" ca="1" si="8"/>
        <v>1</v>
      </c>
      <c r="D28" s="22">
        <f t="shared" si="6"/>
        <v>43875</v>
      </c>
      <c r="E28" s="26">
        <f t="shared" si="9"/>
        <v>1</v>
      </c>
      <c r="F28" s="26" t="str">
        <f t="shared" si="10"/>
        <v/>
      </c>
      <c r="G28" s="26">
        <f t="shared" si="11"/>
        <v>1</v>
      </c>
      <c r="H28" s="26" t="str">
        <f t="shared" si="12"/>
        <v/>
      </c>
      <c r="I28" s="26">
        <f>IF(S28="","",IF(S28=0,1,0))</f>
        <v>0</v>
      </c>
      <c r="J28" s="26">
        <f t="shared" si="13"/>
        <v>1</v>
      </c>
      <c r="L28" s="6"/>
      <c r="M28" s="21">
        <f>M27+7</f>
        <v>43875</v>
      </c>
      <c r="N28" s="10" t="s">
        <v>24</v>
      </c>
      <c r="O28" s="25">
        <v>0</v>
      </c>
      <c r="P28" s="25"/>
      <c r="Q28" s="25">
        <v>0</v>
      </c>
      <c r="R28" s="25"/>
      <c r="S28" s="25">
        <v>11</v>
      </c>
      <c r="T28" s="25">
        <v>0</v>
      </c>
      <c r="U28" s="25"/>
      <c r="V28" s="58"/>
    </row>
    <row r="29" spans="2:27">
      <c r="B29" s="6"/>
      <c r="C29" s="12">
        <f ca="1">IF(D29&lt;=TODAY(),1,"")</f>
        <v>1</v>
      </c>
      <c r="D29" s="22">
        <f t="shared" si="6"/>
        <v>43882</v>
      </c>
      <c r="E29" s="26">
        <f>IF(O29="","",IF(O29=0,1,0))</f>
        <v>1</v>
      </c>
      <c r="F29" s="26" t="str">
        <f>IF(P29="","",IF(P29=0,1,0))</f>
        <v/>
      </c>
      <c r="G29" s="26">
        <f>IF(Q29="","",IF(Q29=0,1,0))</f>
        <v>1</v>
      </c>
      <c r="H29" s="26" t="str">
        <f>IF(R29="","",IF(R29=0,1,0))</f>
        <v/>
      </c>
      <c r="I29" s="26">
        <f>IF(S29="","",IF(S29=0,1,0))</f>
        <v>1</v>
      </c>
      <c r="J29" s="26">
        <f>IF(T29="","",IF(T29=0,1,0))</f>
        <v>1</v>
      </c>
      <c r="L29" s="6"/>
      <c r="M29" s="21">
        <f>M28+7</f>
        <v>43882</v>
      </c>
      <c r="N29" s="10" t="s">
        <v>24</v>
      </c>
      <c r="O29" s="25">
        <v>0</v>
      </c>
      <c r="P29" s="25"/>
      <c r="Q29" s="25">
        <v>0</v>
      </c>
      <c r="R29" s="25"/>
      <c r="S29" s="25">
        <v>0</v>
      </c>
      <c r="T29" s="25">
        <v>0</v>
      </c>
      <c r="U29" s="25"/>
    </row>
    <row r="30" spans="2:27">
      <c r="B30" s="6"/>
      <c r="C30" s="12">
        <f t="shared" ca="1" si="8"/>
        <v>1</v>
      </c>
      <c r="D30" s="22">
        <f t="shared" si="6"/>
        <v>43889</v>
      </c>
      <c r="E30" s="26">
        <f t="shared" si="9"/>
        <v>1</v>
      </c>
      <c r="F30" s="26" t="str">
        <f t="shared" si="10"/>
        <v/>
      </c>
      <c r="G30" s="26">
        <f t="shared" si="11"/>
        <v>0</v>
      </c>
      <c r="H30" s="26" t="str">
        <f t="shared" si="12"/>
        <v/>
      </c>
      <c r="I30" s="26">
        <f>IF(S30="","",IF(S30=0,1,0))</f>
        <v>1</v>
      </c>
      <c r="J30" s="26">
        <f t="shared" si="13"/>
        <v>0</v>
      </c>
      <c r="L30" s="6"/>
      <c r="M30" s="21">
        <f>M29+7</f>
        <v>43889</v>
      </c>
      <c r="N30" s="10" t="s">
        <v>24</v>
      </c>
      <c r="O30" s="25">
        <v>0</v>
      </c>
      <c r="P30" s="25"/>
      <c r="Q30" s="25">
        <v>11</v>
      </c>
      <c r="R30" s="25"/>
      <c r="S30" s="25">
        <v>0</v>
      </c>
      <c r="T30" s="25">
        <v>11</v>
      </c>
      <c r="U30" s="25"/>
      <c r="AA30" s="58"/>
    </row>
    <row r="31" spans="2:27">
      <c r="B31" s="6"/>
      <c r="D31" s="76"/>
      <c r="E31" s="77"/>
      <c r="F31" s="77"/>
      <c r="G31" s="77"/>
      <c r="H31" s="77"/>
      <c r="I31" s="77"/>
      <c r="J31" s="77"/>
      <c r="L31" s="6"/>
      <c r="M31" s="21">
        <v>43889</v>
      </c>
      <c r="N31" s="10" t="s">
        <v>46</v>
      </c>
      <c r="O31" s="25">
        <f>11/4</f>
        <v>2.75</v>
      </c>
      <c r="P31" s="25"/>
      <c r="Q31" s="25">
        <v>0</v>
      </c>
      <c r="R31" s="25"/>
      <c r="S31" s="25">
        <f>11/4</f>
        <v>2.75</v>
      </c>
      <c r="T31" s="25">
        <v>0</v>
      </c>
      <c r="U31" s="25"/>
    </row>
    <row r="32" spans="2:27">
      <c r="B32" s="6"/>
      <c r="C32" s="12">
        <f ca="1">IF(D32&lt;=TODAY(),1,"")</f>
        <v>1</v>
      </c>
      <c r="D32" s="22">
        <f>IF(M32="","",M32)</f>
        <v>43896</v>
      </c>
      <c r="E32" s="26">
        <f t="shared" si="9"/>
        <v>1</v>
      </c>
      <c r="F32" s="26" t="str">
        <f t="shared" si="10"/>
        <v/>
      </c>
      <c r="G32" s="26">
        <f t="shared" si="11"/>
        <v>1</v>
      </c>
      <c r="H32" s="26" t="str">
        <f t="shared" si="12"/>
        <v/>
      </c>
      <c r="I32" s="26">
        <f>IF(S32="","",IF(S32=0,1,0))</f>
        <v>1</v>
      </c>
      <c r="J32" s="26">
        <f t="shared" si="13"/>
        <v>1</v>
      </c>
      <c r="L32" s="6"/>
      <c r="M32" s="32">
        <f>M31+7</f>
        <v>43896</v>
      </c>
      <c r="N32" s="10" t="s">
        <v>24</v>
      </c>
      <c r="O32" s="25">
        <v>0</v>
      </c>
      <c r="P32" s="25"/>
      <c r="Q32" s="25">
        <v>0</v>
      </c>
      <c r="R32" s="25"/>
      <c r="S32" s="25">
        <v>0</v>
      </c>
      <c r="T32" s="25">
        <v>0</v>
      </c>
      <c r="U32" s="25"/>
    </row>
    <row r="33" spans="2:28">
      <c r="B33" s="6"/>
      <c r="D33" s="76"/>
      <c r="E33" s="77"/>
      <c r="F33" s="77"/>
      <c r="G33" s="77"/>
      <c r="H33" s="77"/>
      <c r="I33" s="77"/>
      <c r="J33" s="77"/>
      <c r="L33" s="6"/>
      <c r="M33" s="21">
        <f>M32+7</f>
        <v>43903</v>
      </c>
      <c r="N33" s="10" t="s">
        <v>53</v>
      </c>
      <c r="O33" s="25"/>
      <c r="P33" s="25"/>
      <c r="Q33" s="25"/>
      <c r="R33" s="25">
        <v>16.5</v>
      </c>
      <c r="S33" s="25"/>
      <c r="T33" s="25"/>
      <c r="U33" s="25"/>
    </row>
    <row r="34" spans="2:28">
      <c r="B34" s="6"/>
      <c r="C34" s="12">
        <f t="shared" ca="1" si="8"/>
        <v>1</v>
      </c>
      <c r="D34" s="22">
        <f t="shared" ref="D34:D43" si="14">IF(M34="","",M34)</f>
        <v>43903</v>
      </c>
      <c r="E34" s="26">
        <f t="shared" si="9"/>
        <v>1</v>
      </c>
      <c r="F34" s="26" t="str">
        <f>IF(P34="","",IF(P34=0,1,0))</f>
        <v/>
      </c>
      <c r="G34" s="26">
        <f t="shared" si="11"/>
        <v>0</v>
      </c>
      <c r="H34" s="26" t="str">
        <f t="shared" si="12"/>
        <v/>
      </c>
      <c r="I34" s="26">
        <f t="shared" ref="I34:I43" si="15">IF(S34="","",IF(S34=0,1,0))</f>
        <v>1</v>
      </c>
      <c r="J34" s="26">
        <f t="shared" si="13"/>
        <v>1</v>
      </c>
      <c r="L34" s="6"/>
      <c r="M34" s="21">
        <f>M33</f>
        <v>43903</v>
      </c>
      <c r="N34" s="10" t="s">
        <v>24</v>
      </c>
      <c r="O34" s="25">
        <v>0</v>
      </c>
      <c r="P34" s="25"/>
      <c r="Q34" s="25">
        <v>11</v>
      </c>
      <c r="R34" s="25"/>
      <c r="S34" s="25">
        <v>0</v>
      </c>
      <c r="T34" s="25">
        <v>0</v>
      </c>
      <c r="U34" s="25"/>
    </row>
    <row r="35" spans="2:28">
      <c r="B35" s="6"/>
      <c r="C35" s="12">
        <f t="shared" ca="1" si="8"/>
        <v>1</v>
      </c>
      <c r="D35" s="22">
        <f t="shared" si="14"/>
        <v>43910</v>
      </c>
      <c r="E35" s="26">
        <f t="shared" si="9"/>
        <v>1</v>
      </c>
      <c r="F35" s="26" t="str">
        <f t="shared" si="10"/>
        <v/>
      </c>
      <c r="G35" s="26">
        <f t="shared" si="11"/>
        <v>1</v>
      </c>
      <c r="H35" s="26">
        <f t="shared" si="12"/>
        <v>1</v>
      </c>
      <c r="I35" s="26">
        <f t="shared" si="15"/>
        <v>1</v>
      </c>
      <c r="J35" s="26">
        <f t="shared" si="13"/>
        <v>1</v>
      </c>
      <c r="L35" s="6"/>
      <c r="M35" s="21">
        <f>M34+7</f>
        <v>43910</v>
      </c>
      <c r="N35" s="10" t="s">
        <v>24</v>
      </c>
      <c r="O35" s="25">
        <v>0</v>
      </c>
      <c r="P35" s="25"/>
      <c r="Q35" s="25">
        <v>0</v>
      </c>
      <c r="R35" s="25">
        <v>0</v>
      </c>
      <c r="S35" s="25">
        <v>0</v>
      </c>
      <c r="T35" s="25">
        <v>0</v>
      </c>
      <c r="U35" s="25"/>
    </row>
    <row r="36" spans="2:28">
      <c r="B36" s="6"/>
      <c r="C36" s="12">
        <f t="shared" ca="1" si="8"/>
        <v>1</v>
      </c>
      <c r="D36" s="22">
        <f t="shared" si="14"/>
        <v>43917</v>
      </c>
      <c r="E36" s="26">
        <f t="shared" si="9"/>
        <v>1</v>
      </c>
      <c r="F36" s="26">
        <f>IF(P36="","",IF(P36=0,1,0))</f>
        <v>1</v>
      </c>
      <c r="G36" s="26">
        <f t="shared" si="11"/>
        <v>1</v>
      </c>
      <c r="H36" s="26">
        <f t="shared" si="12"/>
        <v>1</v>
      </c>
      <c r="I36" s="26">
        <f t="shared" si="15"/>
        <v>1</v>
      </c>
      <c r="J36" s="26">
        <f t="shared" si="13"/>
        <v>1</v>
      </c>
      <c r="L36" s="6"/>
      <c r="M36" s="21">
        <f>M35+7</f>
        <v>43917</v>
      </c>
      <c r="N36" s="10" t="s">
        <v>24</v>
      </c>
      <c r="O36" s="25">
        <v>0</v>
      </c>
      <c r="P36" s="25">
        <v>0</v>
      </c>
      <c r="Q36" s="25">
        <v>0</v>
      </c>
      <c r="R36" s="25">
        <v>0</v>
      </c>
      <c r="S36" s="25">
        <v>0</v>
      </c>
      <c r="T36" s="25">
        <v>0</v>
      </c>
      <c r="U36" s="25"/>
      <c r="AB36" s="58"/>
    </row>
    <row r="37" spans="2:28">
      <c r="B37" s="6"/>
      <c r="C37" s="12">
        <f t="shared" ca="1" si="8"/>
        <v>1</v>
      </c>
      <c r="D37" s="22">
        <f t="shared" si="14"/>
        <v>43924</v>
      </c>
      <c r="E37" s="26">
        <f t="shared" si="9"/>
        <v>1</v>
      </c>
      <c r="F37" s="26" t="str">
        <f t="shared" si="10"/>
        <v/>
      </c>
      <c r="G37" s="26">
        <f t="shared" si="11"/>
        <v>1</v>
      </c>
      <c r="H37" s="26">
        <f t="shared" si="12"/>
        <v>1</v>
      </c>
      <c r="I37" s="26">
        <f t="shared" si="15"/>
        <v>1</v>
      </c>
      <c r="J37" s="26">
        <f t="shared" si="13"/>
        <v>1</v>
      </c>
      <c r="L37" s="6"/>
      <c r="M37" s="21">
        <f>M36+7</f>
        <v>43924</v>
      </c>
      <c r="N37" s="10" t="s">
        <v>24</v>
      </c>
      <c r="O37" s="25">
        <v>0</v>
      </c>
      <c r="P37" s="25"/>
      <c r="Q37" s="25">
        <v>0</v>
      </c>
      <c r="R37" s="25">
        <v>0</v>
      </c>
      <c r="S37" s="25">
        <v>0</v>
      </c>
      <c r="T37" s="25">
        <v>0</v>
      </c>
      <c r="U37" s="25"/>
    </row>
    <row r="38" spans="2:28">
      <c r="B38" s="6"/>
      <c r="C38" s="12">
        <f t="shared" ca="1" si="8"/>
        <v>1</v>
      </c>
      <c r="D38" s="22">
        <f t="shared" si="14"/>
        <v>43938</v>
      </c>
      <c r="E38" s="26">
        <v>1</v>
      </c>
      <c r="F38" s="26" t="str">
        <f t="shared" si="10"/>
        <v/>
      </c>
      <c r="G38" s="26">
        <f t="shared" si="11"/>
        <v>1</v>
      </c>
      <c r="H38" s="26" t="str">
        <f t="shared" si="12"/>
        <v/>
      </c>
      <c r="I38" s="26">
        <f t="shared" si="15"/>
        <v>1</v>
      </c>
      <c r="J38" s="26">
        <f t="shared" si="13"/>
        <v>1</v>
      </c>
      <c r="L38" s="6"/>
      <c r="M38" s="21">
        <f>M37+14</f>
        <v>43938</v>
      </c>
      <c r="N38" s="10" t="s">
        <v>24</v>
      </c>
      <c r="O38" s="25">
        <v>11</v>
      </c>
      <c r="P38" s="25"/>
      <c r="Q38" s="25">
        <v>0</v>
      </c>
      <c r="R38" s="25"/>
      <c r="S38" s="25">
        <v>0</v>
      </c>
      <c r="T38" s="25">
        <v>0</v>
      </c>
      <c r="U38" s="25"/>
      <c r="AB38" s="58"/>
    </row>
    <row r="39" spans="2:28">
      <c r="B39" s="6"/>
      <c r="C39" s="12">
        <f t="shared" ca="1" si="8"/>
        <v>1</v>
      </c>
      <c r="D39" s="22">
        <f t="shared" si="14"/>
        <v>43945</v>
      </c>
      <c r="E39" s="26">
        <f t="shared" si="9"/>
        <v>1</v>
      </c>
      <c r="F39" s="26" t="str">
        <f t="shared" si="10"/>
        <v/>
      </c>
      <c r="G39" s="26">
        <f t="shared" si="11"/>
        <v>1</v>
      </c>
      <c r="H39" s="26">
        <f t="shared" si="12"/>
        <v>1</v>
      </c>
      <c r="I39" s="26">
        <f t="shared" si="15"/>
        <v>1</v>
      </c>
      <c r="J39" s="26">
        <f t="shared" si="13"/>
        <v>1</v>
      </c>
      <c r="L39" s="6"/>
      <c r="M39" s="21">
        <f t="shared" ref="M39:M44" si="16">M38+7</f>
        <v>43945</v>
      </c>
      <c r="N39" s="10" t="s">
        <v>24</v>
      </c>
      <c r="O39" s="25">
        <v>0</v>
      </c>
      <c r="P39" s="25"/>
      <c r="Q39" s="25">
        <v>0</v>
      </c>
      <c r="R39" s="25">
        <v>0</v>
      </c>
      <c r="S39" s="25">
        <v>0</v>
      </c>
      <c r="T39" s="25">
        <v>0</v>
      </c>
      <c r="U39" s="25"/>
    </row>
    <row r="40" spans="2:28" ht="16.5" customHeight="1">
      <c r="B40" s="6"/>
      <c r="C40" s="12">
        <f ca="1">IF(D40&lt;=TODAY(),1,"")</f>
        <v>1</v>
      </c>
      <c r="D40" s="22">
        <f t="shared" si="14"/>
        <v>43952</v>
      </c>
      <c r="E40" s="26">
        <f t="shared" si="9"/>
        <v>1</v>
      </c>
      <c r="F40" s="26" t="str">
        <f t="shared" si="10"/>
        <v/>
      </c>
      <c r="G40" s="26">
        <f t="shared" si="11"/>
        <v>1</v>
      </c>
      <c r="H40" s="26">
        <f t="shared" si="12"/>
        <v>1</v>
      </c>
      <c r="I40" s="26">
        <f t="shared" si="15"/>
        <v>1</v>
      </c>
      <c r="J40" s="26">
        <f t="shared" si="13"/>
        <v>1</v>
      </c>
      <c r="K40" s="2"/>
      <c r="L40" s="23"/>
      <c r="M40" s="21">
        <f t="shared" si="16"/>
        <v>43952</v>
      </c>
      <c r="N40" s="10" t="s">
        <v>24</v>
      </c>
      <c r="O40" s="25">
        <v>0</v>
      </c>
      <c r="P40" s="25"/>
      <c r="Q40" s="25">
        <v>0</v>
      </c>
      <c r="R40" s="25">
        <v>0</v>
      </c>
      <c r="S40" s="25">
        <v>0</v>
      </c>
      <c r="T40" s="25">
        <v>0</v>
      </c>
      <c r="U40" s="25"/>
    </row>
    <row r="41" spans="2:28" ht="16.5" customHeight="1">
      <c r="B41" s="6"/>
      <c r="C41" s="12">
        <f t="shared" ca="1" si="8"/>
        <v>1</v>
      </c>
      <c r="D41" s="22">
        <f t="shared" si="14"/>
        <v>43959</v>
      </c>
      <c r="E41" s="26">
        <f t="shared" si="9"/>
        <v>1</v>
      </c>
      <c r="F41" s="26" t="str">
        <f t="shared" si="10"/>
        <v/>
      </c>
      <c r="G41" s="26">
        <f t="shared" si="11"/>
        <v>1</v>
      </c>
      <c r="H41" s="26" t="str">
        <f t="shared" si="12"/>
        <v/>
      </c>
      <c r="I41" s="26">
        <f t="shared" si="15"/>
        <v>1</v>
      </c>
      <c r="J41" s="26">
        <f>IF(T41="","",IF(T41=0,1,0))</f>
        <v>1</v>
      </c>
      <c r="K41" s="2"/>
      <c r="L41" s="23"/>
      <c r="M41" s="21">
        <f t="shared" si="16"/>
        <v>43959</v>
      </c>
      <c r="N41" s="10" t="s">
        <v>24</v>
      </c>
      <c r="O41" s="25">
        <v>0</v>
      </c>
      <c r="P41" s="25"/>
      <c r="Q41" s="25">
        <v>0</v>
      </c>
      <c r="R41" s="25"/>
      <c r="S41" s="25">
        <v>0</v>
      </c>
      <c r="T41" s="25">
        <v>0</v>
      </c>
      <c r="U41" s="25"/>
    </row>
    <row r="42" spans="2:28" ht="16.5" customHeight="1">
      <c r="B42" s="6"/>
      <c r="C42" s="12">
        <f t="shared" ca="1" si="8"/>
        <v>1</v>
      </c>
      <c r="D42" s="22">
        <f t="shared" si="14"/>
        <v>43966</v>
      </c>
      <c r="E42" s="26">
        <f t="shared" si="9"/>
        <v>1</v>
      </c>
      <c r="F42" s="26" t="str">
        <f t="shared" si="10"/>
        <v/>
      </c>
      <c r="G42" s="26">
        <f t="shared" si="11"/>
        <v>1</v>
      </c>
      <c r="H42" s="26" t="str">
        <f t="shared" si="12"/>
        <v/>
      </c>
      <c r="I42" s="26">
        <f t="shared" si="15"/>
        <v>1</v>
      </c>
      <c r="J42" s="26">
        <f t="shared" si="13"/>
        <v>1</v>
      </c>
      <c r="L42" s="6"/>
      <c r="M42" s="21">
        <f t="shared" si="16"/>
        <v>43966</v>
      </c>
      <c r="N42" s="10" t="s">
        <v>24</v>
      </c>
      <c r="O42" s="25">
        <v>0</v>
      </c>
      <c r="P42" s="25"/>
      <c r="Q42" s="25">
        <v>0</v>
      </c>
      <c r="R42" s="25"/>
      <c r="S42" s="25">
        <v>0</v>
      </c>
      <c r="T42" s="25">
        <v>0</v>
      </c>
      <c r="U42" s="25"/>
    </row>
    <row r="43" spans="2:28" ht="16.5" customHeight="1">
      <c r="B43" s="6"/>
      <c r="C43" s="12">
        <f t="shared" ca="1" si="8"/>
        <v>1</v>
      </c>
      <c r="D43" s="22">
        <f t="shared" si="14"/>
        <v>43973</v>
      </c>
      <c r="E43" s="26">
        <f>IF(O43="","",IF(O43=0,1,0))</f>
        <v>1</v>
      </c>
      <c r="F43" s="26" t="str">
        <f>IF(P43="","",IF(P43=0,1,0))</f>
        <v/>
      </c>
      <c r="G43" s="26">
        <f>IF(Q43="","",IF(Q43=0,1,0))</f>
        <v>1</v>
      </c>
      <c r="H43" s="26" t="str">
        <f>IF(R43="","",IF(R43=0,1,0))</f>
        <v/>
      </c>
      <c r="I43" s="26">
        <f t="shared" si="15"/>
        <v>1</v>
      </c>
      <c r="J43" s="26">
        <f>IF(T43="","",IF(T43=0,1,0))</f>
        <v>0</v>
      </c>
      <c r="L43" s="6"/>
      <c r="M43" s="21">
        <f t="shared" si="16"/>
        <v>43973</v>
      </c>
      <c r="N43" s="10" t="s">
        <v>24</v>
      </c>
      <c r="O43" s="25">
        <v>0</v>
      </c>
      <c r="P43" s="25"/>
      <c r="Q43" s="25">
        <v>0</v>
      </c>
      <c r="R43" s="25"/>
      <c r="S43" s="25">
        <v>0</v>
      </c>
      <c r="T43" s="25">
        <v>11</v>
      </c>
      <c r="U43" s="25"/>
    </row>
    <row r="44" spans="2:28" ht="16.5" customHeight="1">
      <c r="B44" s="2"/>
      <c r="C44" s="76"/>
      <c r="D44" s="77"/>
      <c r="E44" s="77"/>
      <c r="F44" s="77"/>
      <c r="G44" s="77"/>
      <c r="H44" s="77"/>
      <c r="I44" s="77"/>
      <c r="J44" s="2"/>
      <c r="L44" s="6"/>
      <c r="M44" s="21">
        <f t="shared" si="16"/>
        <v>43980</v>
      </c>
      <c r="N44" s="10" t="s">
        <v>46</v>
      </c>
      <c r="O44" s="25">
        <v>2.75</v>
      </c>
      <c r="P44" s="25"/>
      <c r="Q44" s="25"/>
      <c r="R44" s="25"/>
      <c r="S44" s="25"/>
      <c r="T44" s="25"/>
      <c r="U44" s="25"/>
    </row>
    <row r="45" spans="2:28" ht="16.5" customHeight="1">
      <c r="B45" s="6"/>
      <c r="C45" s="12">
        <f ca="1">IF(D45&lt;=TODAY(),1,"")</f>
        <v>1</v>
      </c>
      <c r="D45" s="22">
        <f>IF(M45="","",M45)</f>
        <v>43980</v>
      </c>
      <c r="E45" s="26">
        <f t="shared" ref="E45:J47" si="17">IF(O45="","",IF(O45=0,1,0))</f>
        <v>1</v>
      </c>
      <c r="F45" s="26" t="str">
        <f t="shared" si="17"/>
        <v/>
      </c>
      <c r="G45" s="26">
        <f t="shared" si="17"/>
        <v>1</v>
      </c>
      <c r="H45" s="26" t="str">
        <f t="shared" si="17"/>
        <v/>
      </c>
      <c r="I45" s="26">
        <f t="shared" si="17"/>
        <v>1</v>
      </c>
      <c r="J45" s="26">
        <f t="shared" si="17"/>
        <v>1</v>
      </c>
      <c r="L45" s="6"/>
      <c r="M45" s="21">
        <f>M44</f>
        <v>43980</v>
      </c>
      <c r="N45" s="10" t="s">
        <v>24</v>
      </c>
      <c r="O45" s="25">
        <v>0</v>
      </c>
      <c r="P45" s="25"/>
      <c r="Q45" s="25">
        <v>0</v>
      </c>
      <c r="R45" s="25"/>
      <c r="S45" s="25">
        <v>0</v>
      </c>
      <c r="T45" s="25">
        <v>0</v>
      </c>
      <c r="U45" s="25"/>
      <c r="W45" s="48"/>
    </row>
    <row r="46" spans="2:28" ht="16.5" customHeight="1">
      <c r="B46" s="6"/>
      <c r="C46" s="12">
        <f ca="1">IF(D46&lt;=TODAY(),1,"")</f>
        <v>1</v>
      </c>
      <c r="D46" s="22">
        <f>IF(M46="","",M46)</f>
        <v>43987</v>
      </c>
      <c r="E46" s="26">
        <f t="shared" si="17"/>
        <v>1</v>
      </c>
      <c r="F46" s="26" t="str">
        <f t="shared" si="17"/>
        <v/>
      </c>
      <c r="G46" s="26">
        <f t="shared" si="17"/>
        <v>1</v>
      </c>
      <c r="H46" s="26" t="str">
        <f t="shared" si="17"/>
        <v/>
      </c>
      <c r="I46" s="26">
        <f t="shared" si="17"/>
        <v>1</v>
      </c>
      <c r="J46" s="26">
        <f t="shared" si="17"/>
        <v>1</v>
      </c>
      <c r="L46" s="6"/>
      <c r="M46" s="21">
        <f>M45+7</f>
        <v>43987</v>
      </c>
      <c r="N46" s="10" t="s">
        <v>24</v>
      </c>
      <c r="O46" s="25">
        <v>0</v>
      </c>
      <c r="P46" s="25"/>
      <c r="Q46" s="25">
        <v>0</v>
      </c>
      <c r="R46" s="25"/>
      <c r="S46" s="25">
        <v>0</v>
      </c>
      <c r="T46" s="25">
        <v>0</v>
      </c>
      <c r="U46" s="25"/>
      <c r="W46" s="48"/>
    </row>
    <row r="47" spans="2:28" ht="16.5" customHeight="1">
      <c r="B47" s="6"/>
      <c r="C47" s="12">
        <f ca="1">IF(D47&lt;=TODAY(),1,"")</f>
        <v>1</v>
      </c>
      <c r="D47" s="22">
        <f>IF(M47="","",M47)</f>
        <v>43994</v>
      </c>
      <c r="E47" s="26">
        <f t="shared" si="17"/>
        <v>1</v>
      </c>
      <c r="F47" s="26" t="str">
        <f t="shared" si="17"/>
        <v/>
      </c>
      <c r="G47" s="26">
        <f t="shared" si="17"/>
        <v>1</v>
      </c>
      <c r="H47" s="26">
        <f t="shared" si="17"/>
        <v>1</v>
      </c>
      <c r="I47" s="26">
        <f t="shared" si="17"/>
        <v>1</v>
      </c>
      <c r="J47" s="26">
        <f t="shared" si="17"/>
        <v>1</v>
      </c>
      <c r="L47" s="6"/>
      <c r="M47" s="21">
        <f>M46+7</f>
        <v>43994</v>
      </c>
      <c r="N47" s="10" t="s">
        <v>24</v>
      </c>
      <c r="O47" s="25">
        <v>0</v>
      </c>
      <c r="P47" s="25"/>
      <c r="Q47" s="25">
        <v>0</v>
      </c>
      <c r="R47" s="25">
        <v>0</v>
      </c>
      <c r="S47" s="25">
        <v>0</v>
      </c>
      <c r="T47" s="25">
        <v>0</v>
      </c>
      <c r="U47" s="25"/>
      <c r="W47" s="48"/>
    </row>
    <row r="48" spans="2:28" ht="16.5" customHeight="1">
      <c r="B48" s="6"/>
      <c r="C48" s="76"/>
      <c r="D48" s="77"/>
      <c r="E48" s="77"/>
      <c r="F48" s="77"/>
      <c r="G48" s="77"/>
      <c r="H48" s="77"/>
      <c r="I48" s="77"/>
      <c r="J48" s="2"/>
      <c r="L48" s="6"/>
      <c r="M48" s="21">
        <v>44001</v>
      </c>
      <c r="N48" s="10" t="s">
        <v>46</v>
      </c>
      <c r="O48" s="25"/>
      <c r="P48" s="25"/>
      <c r="Q48" s="25"/>
      <c r="R48" s="25"/>
      <c r="S48" s="25">
        <v>2.75</v>
      </c>
      <c r="T48" s="25">
        <v>2.75</v>
      </c>
      <c r="U48" s="25"/>
      <c r="W48" s="48"/>
    </row>
    <row r="49" spans="1:29" ht="16.5" customHeight="1">
      <c r="B49" s="6"/>
      <c r="C49" s="12">
        <f ca="1">IF(D49&lt;=TODAY(),1,"")</f>
        <v>1</v>
      </c>
      <c r="D49" s="22">
        <f>IF(M49="","",M49)</f>
        <v>44001</v>
      </c>
      <c r="E49" s="26">
        <f t="shared" ref="E49:J50" si="18">IF(O49="","",IF(O49=0,1,0))</f>
        <v>0</v>
      </c>
      <c r="F49" s="26" t="str">
        <f t="shared" si="18"/>
        <v/>
      </c>
      <c r="G49" s="26">
        <f t="shared" si="18"/>
        <v>1</v>
      </c>
      <c r="H49" s="26">
        <f t="shared" si="18"/>
        <v>1</v>
      </c>
      <c r="I49" s="26">
        <f t="shared" si="18"/>
        <v>1</v>
      </c>
      <c r="J49" s="26">
        <f t="shared" si="18"/>
        <v>1</v>
      </c>
      <c r="L49" s="6"/>
      <c r="M49" s="21">
        <f>M47+7</f>
        <v>44001</v>
      </c>
      <c r="N49" s="10" t="s">
        <v>24</v>
      </c>
      <c r="O49" s="25">
        <v>11</v>
      </c>
      <c r="P49" s="25"/>
      <c r="Q49" s="25">
        <v>0</v>
      </c>
      <c r="R49" s="25">
        <v>0</v>
      </c>
      <c r="S49" s="25">
        <v>0</v>
      </c>
      <c r="T49" s="25">
        <v>0</v>
      </c>
      <c r="U49" s="25"/>
      <c r="W49" s="48"/>
    </row>
    <row r="50" spans="1:29" ht="16.5" customHeight="1">
      <c r="B50" s="6"/>
      <c r="C50" s="12">
        <f ca="1">IF(D50&lt;=TODAY(),1,"")</f>
        <v>1</v>
      </c>
      <c r="D50" s="22">
        <f>IF(M50="","",M50)</f>
        <v>44008</v>
      </c>
      <c r="E50" s="26">
        <f t="shared" si="18"/>
        <v>0</v>
      </c>
      <c r="F50" s="26" t="str">
        <f t="shared" si="18"/>
        <v/>
      </c>
      <c r="G50" s="26">
        <f t="shared" si="18"/>
        <v>1</v>
      </c>
      <c r="H50" s="26" t="str">
        <f t="shared" si="18"/>
        <v/>
      </c>
      <c r="I50" s="26">
        <f t="shared" si="18"/>
        <v>1</v>
      </c>
      <c r="J50" s="26">
        <f t="shared" si="18"/>
        <v>1</v>
      </c>
      <c r="L50" s="6"/>
      <c r="M50" s="21">
        <f>M49+7</f>
        <v>44008</v>
      </c>
      <c r="N50" s="10" t="s">
        <v>24</v>
      </c>
      <c r="O50" s="25">
        <v>11</v>
      </c>
      <c r="P50" s="25"/>
      <c r="Q50" s="25">
        <v>0</v>
      </c>
      <c r="R50" s="25"/>
      <c r="S50" s="25">
        <v>0</v>
      </c>
      <c r="T50" s="25">
        <v>0</v>
      </c>
      <c r="U50" s="25"/>
      <c r="W50" s="48"/>
    </row>
    <row r="51" spans="1:29" ht="16.5" customHeight="1">
      <c r="B51" s="6"/>
      <c r="C51" s="76"/>
      <c r="D51" s="77"/>
      <c r="E51" s="77"/>
      <c r="F51" s="77"/>
      <c r="G51" s="77"/>
      <c r="H51" s="77"/>
      <c r="I51" s="77"/>
      <c r="J51" s="2"/>
      <c r="L51" s="6"/>
      <c r="M51" s="21">
        <f>M50+7</f>
        <v>44015</v>
      </c>
      <c r="N51" s="10" t="s">
        <v>46</v>
      </c>
      <c r="O51" s="25">
        <v>2.75</v>
      </c>
      <c r="P51" s="25"/>
      <c r="Q51" s="25"/>
      <c r="R51" s="25"/>
      <c r="S51" s="25"/>
      <c r="T51" s="25"/>
      <c r="U51" s="25"/>
      <c r="W51" s="48"/>
    </row>
    <row r="52" spans="1:29" ht="16.5" customHeight="1">
      <c r="B52" s="6"/>
      <c r="C52" s="12">
        <f ca="1">IF(D52&lt;=TODAY(),1,"")</f>
        <v>1</v>
      </c>
      <c r="D52" s="22">
        <f>IF(M52="","",M52)</f>
        <v>44015</v>
      </c>
      <c r="E52" s="26">
        <f t="shared" si="9"/>
        <v>1</v>
      </c>
      <c r="F52" s="26" t="str">
        <f t="shared" si="10"/>
        <v/>
      </c>
      <c r="G52" s="26">
        <f t="shared" si="11"/>
        <v>1</v>
      </c>
      <c r="H52" s="26" t="str">
        <f t="shared" si="12"/>
        <v/>
      </c>
      <c r="I52" s="26">
        <f t="shared" ref="I52:I59" si="19">IF(S52="","",IF(S52=0,1,0))</f>
        <v>1</v>
      </c>
      <c r="J52" s="26">
        <f t="shared" si="13"/>
        <v>1</v>
      </c>
      <c r="L52" s="6"/>
      <c r="M52" s="21">
        <f>M51</f>
        <v>44015</v>
      </c>
      <c r="N52" s="10" t="s">
        <v>24</v>
      </c>
      <c r="O52" s="25">
        <v>0</v>
      </c>
      <c r="P52" s="25"/>
      <c r="Q52" s="25">
        <v>0</v>
      </c>
      <c r="R52" s="25"/>
      <c r="S52" s="25">
        <v>0</v>
      </c>
      <c r="T52" s="25">
        <v>0</v>
      </c>
      <c r="U52" s="25"/>
      <c r="W52" s="48"/>
    </row>
    <row r="53" spans="1:29" ht="16.5" customHeight="1">
      <c r="B53" s="6"/>
      <c r="C53" s="76"/>
      <c r="D53" s="77"/>
      <c r="E53" s="77"/>
      <c r="F53" s="77" t="str">
        <f t="shared" si="10"/>
        <v/>
      </c>
      <c r="G53" s="77" t="str">
        <f t="shared" si="11"/>
        <v/>
      </c>
      <c r="H53" s="77" t="str">
        <f t="shared" si="12"/>
        <v/>
      </c>
      <c r="I53" s="77" t="str">
        <f t="shared" si="19"/>
        <v/>
      </c>
      <c r="J53" s="2" t="str">
        <f t="shared" si="13"/>
        <v/>
      </c>
      <c r="L53" s="6"/>
      <c r="M53" s="21">
        <v>44022</v>
      </c>
      <c r="N53" s="10" t="s">
        <v>46</v>
      </c>
      <c r="O53" s="25">
        <v>2.75</v>
      </c>
      <c r="P53" s="25"/>
      <c r="Q53" s="25"/>
      <c r="R53" s="25"/>
      <c r="S53" s="25"/>
      <c r="T53" s="25"/>
      <c r="U53" s="25"/>
      <c r="W53" s="48"/>
    </row>
    <row r="54" spans="1:29" ht="16.5" customHeight="1">
      <c r="B54" s="6"/>
      <c r="C54" s="12">
        <f t="shared" ca="1" si="8"/>
        <v>1</v>
      </c>
      <c r="D54" s="22">
        <f>IF(M54="","",M54)</f>
        <v>44022</v>
      </c>
      <c r="E54" s="26">
        <f t="shared" si="9"/>
        <v>1</v>
      </c>
      <c r="F54" s="26" t="str">
        <f t="shared" si="10"/>
        <v/>
      </c>
      <c r="G54" s="26">
        <f t="shared" si="11"/>
        <v>1</v>
      </c>
      <c r="H54" s="26" t="str">
        <f t="shared" si="12"/>
        <v/>
      </c>
      <c r="I54" s="26">
        <f t="shared" si="19"/>
        <v>0</v>
      </c>
      <c r="J54" s="26">
        <f t="shared" si="13"/>
        <v>1</v>
      </c>
      <c r="L54" s="6"/>
      <c r="M54" s="21">
        <f>M53</f>
        <v>44022</v>
      </c>
      <c r="N54" s="10" t="s">
        <v>24</v>
      </c>
      <c r="O54" s="25">
        <v>0</v>
      </c>
      <c r="P54" s="25"/>
      <c r="Q54" s="25">
        <v>0</v>
      </c>
      <c r="R54" s="25"/>
      <c r="S54" s="25">
        <v>11</v>
      </c>
      <c r="T54" s="25">
        <v>0</v>
      </c>
      <c r="U54" s="25"/>
      <c r="W54" s="48"/>
    </row>
    <row r="55" spans="1:29" ht="16.5" customHeight="1">
      <c r="B55" s="6"/>
      <c r="C55" s="12">
        <f t="shared" ca="1" si="8"/>
        <v>1</v>
      </c>
      <c r="D55" s="22">
        <f>IF(M55="","",M55)</f>
        <v>44029</v>
      </c>
      <c r="E55" s="26">
        <f t="shared" si="9"/>
        <v>0</v>
      </c>
      <c r="F55" s="26" t="str">
        <f t="shared" si="10"/>
        <v/>
      </c>
      <c r="G55" s="26">
        <f t="shared" si="11"/>
        <v>0</v>
      </c>
      <c r="H55" s="26" t="str">
        <f t="shared" si="12"/>
        <v/>
      </c>
      <c r="I55" s="26">
        <f t="shared" si="19"/>
        <v>1</v>
      </c>
      <c r="J55" s="26">
        <f t="shared" si="13"/>
        <v>1</v>
      </c>
      <c r="L55" s="6"/>
      <c r="M55" s="21">
        <f>M54+7</f>
        <v>44029</v>
      </c>
      <c r="N55" s="10" t="s">
        <v>24</v>
      </c>
      <c r="O55" s="25">
        <v>11</v>
      </c>
      <c r="P55" s="25"/>
      <c r="Q55" s="25">
        <v>11</v>
      </c>
      <c r="R55" s="25"/>
      <c r="S55" s="25">
        <v>0</v>
      </c>
      <c r="T55" s="25">
        <v>0</v>
      </c>
      <c r="U55" s="25"/>
      <c r="W55" s="48"/>
    </row>
    <row r="56" spans="1:29" ht="16.5" customHeight="1">
      <c r="B56" s="6"/>
      <c r="C56" s="12">
        <f t="shared" ca="1" si="8"/>
        <v>1</v>
      </c>
      <c r="D56" s="22">
        <f>IF(M56="","",M56)</f>
        <v>44036</v>
      </c>
      <c r="E56" s="26">
        <f t="shared" si="9"/>
        <v>1</v>
      </c>
      <c r="F56" s="26">
        <f t="shared" si="10"/>
        <v>1</v>
      </c>
      <c r="G56" s="26">
        <f t="shared" si="11"/>
        <v>1</v>
      </c>
      <c r="H56" s="26">
        <f t="shared" si="12"/>
        <v>1</v>
      </c>
      <c r="I56" s="26">
        <f t="shared" si="19"/>
        <v>1</v>
      </c>
      <c r="J56" s="26">
        <f t="shared" si="13"/>
        <v>0</v>
      </c>
      <c r="L56" s="6"/>
      <c r="M56" s="21">
        <f>M55+7</f>
        <v>44036</v>
      </c>
      <c r="N56" s="10" t="s">
        <v>24</v>
      </c>
      <c r="O56" s="25">
        <v>0</v>
      </c>
      <c r="P56" s="25">
        <v>0</v>
      </c>
      <c r="Q56" s="25">
        <v>0</v>
      </c>
      <c r="R56" s="25">
        <v>0</v>
      </c>
      <c r="S56" s="25">
        <v>0</v>
      </c>
      <c r="T56" s="25">
        <v>11</v>
      </c>
      <c r="U56" s="25"/>
    </row>
    <row r="57" spans="1:29" ht="16.5" customHeight="1">
      <c r="B57" s="6"/>
      <c r="C57" s="12">
        <f t="shared" ca="1" si="8"/>
        <v>1</v>
      </c>
      <c r="D57" s="22">
        <f>IF(M57="","",M57)</f>
        <v>44043</v>
      </c>
      <c r="E57" s="26">
        <f t="shared" si="9"/>
        <v>0</v>
      </c>
      <c r="F57" s="26" t="str">
        <f t="shared" si="10"/>
        <v/>
      </c>
      <c r="G57" s="26">
        <f t="shared" si="11"/>
        <v>1</v>
      </c>
      <c r="H57" s="26" t="str">
        <f t="shared" si="12"/>
        <v/>
      </c>
      <c r="I57" s="26">
        <f t="shared" si="19"/>
        <v>1</v>
      </c>
      <c r="J57" s="26">
        <f t="shared" si="13"/>
        <v>1</v>
      </c>
      <c r="L57" s="6"/>
      <c r="M57" s="21">
        <f>M56+7</f>
        <v>44043</v>
      </c>
      <c r="N57" s="10" t="s">
        <v>24</v>
      </c>
      <c r="O57" s="25">
        <v>11</v>
      </c>
      <c r="P57" s="25"/>
      <c r="Q57" s="25">
        <v>0</v>
      </c>
      <c r="R57" s="25"/>
      <c r="S57" s="25">
        <v>0</v>
      </c>
      <c r="T57" s="25">
        <v>0</v>
      </c>
      <c r="U57" s="25"/>
    </row>
    <row r="58" spans="1:29" ht="16.5" customHeight="1">
      <c r="B58" s="6"/>
      <c r="C58" s="12">
        <f t="shared" ca="1" si="8"/>
        <v>1</v>
      </c>
      <c r="D58" s="22">
        <f t="shared" ref="D58:D66" si="20">IF(M58="","",M58)</f>
        <v>44050</v>
      </c>
      <c r="E58" s="26">
        <f t="shared" si="9"/>
        <v>1</v>
      </c>
      <c r="F58" s="26" t="str">
        <f t="shared" si="10"/>
        <v/>
      </c>
      <c r="G58" s="26">
        <f t="shared" si="11"/>
        <v>1</v>
      </c>
      <c r="H58" s="26" t="str">
        <f t="shared" si="12"/>
        <v/>
      </c>
      <c r="I58" s="26">
        <f t="shared" si="19"/>
        <v>1</v>
      </c>
      <c r="J58" s="26">
        <f t="shared" si="13"/>
        <v>1</v>
      </c>
      <c r="L58" s="6"/>
      <c r="M58" s="21">
        <f>M57+7</f>
        <v>44050</v>
      </c>
      <c r="N58" s="10" t="s">
        <v>24</v>
      </c>
      <c r="O58" s="25">
        <v>0</v>
      </c>
      <c r="P58" s="25"/>
      <c r="Q58" s="25">
        <v>0</v>
      </c>
      <c r="R58" s="25"/>
      <c r="S58" s="25">
        <v>0</v>
      </c>
      <c r="T58" s="25">
        <v>0</v>
      </c>
      <c r="U58" s="25"/>
    </row>
    <row r="59" spans="1:29" ht="16.5" customHeight="1">
      <c r="B59" s="6"/>
      <c r="C59" s="76"/>
      <c r="D59" s="77"/>
      <c r="E59" s="77"/>
      <c r="F59" s="77" t="str">
        <f>IF(P59="","",IF(P59=0,1,0))</f>
        <v/>
      </c>
      <c r="G59" s="77" t="str">
        <f>IF(Q59="","",IF(Q59=0,1,0))</f>
        <v/>
      </c>
      <c r="H59" s="77" t="str">
        <f>IF(R59="","",IF(R59=0,1,0))</f>
        <v/>
      </c>
      <c r="I59" s="77" t="str">
        <f t="shared" si="19"/>
        <v/>
      </c>
      <c r="J59" s="2" t="str">
        <f>IF(T59="","",IF(T59=0,1,0))</f>
        <v/>
      </c>
      <c r="L59" s="6"/>
      <c r="M59" s="21">
        <f>M58+7</f>
        <v>44057</v>
      </c>
      <c r="N59" s="10" t="s">
        <v>46</v>
      </c>
      <c r="O59" s="25">
        <v>2.75</v>
      </c>
      <c r="P59" s="25"/>
      <c r="Q59" s="25"/>
      <c r="R59" s="25"/>
      <c r="S59" s="25"/>
      <c r="T59" s="25"/>
      <c r="U59" s="25"/>
    </row>
    <row r="60" spans="1:29" s="52" customFormat="1" ht="16.5" customHeight="1">
      <c r="A60" s="1"/>
      <c r="B60" s="1"/>
      <c r="C60" s="12">
        <f t="shared" ref="C60:C66" ca="1" si="21">IF(D60&lt;=TODAY(),1,"")</f>
        <v>1</v>
      </c>
      <c r="D60" s="22">
        <f t="shared" si="20"/>
        <v>44057</v>
      </c>
      <c r="E60" s="26">
        <f t="shared" ref="E60:E66" si="22">IF(O60="","",IF(O60=0,1,0))</f>
        <v>1</v>
      </c>
      <c r="F60" s="26">
        <f t="shared" ref="F60:F66" si="23">IF(P60="","",IF(P60=0,1,0))</f>
        <v>1</v>
      </c>
      <c r="G60" s="26">
        <f t="shared" ref="G60:G66" si="24">IF(Q60="","",IF(Q60=0,1,0))</f>
        <v>1</v>
      </c>
      <c r="H60" s="26" t="str">
        <f t="shared" ref="H60:H66" si="25">IF(R60="","",IF(R60=0,1,0))</f>
        <v/>
      </c>
      <c r="I60" s="26">
        <f t="shared" ref="I60:I66" si="26">IF(S60="","",IF(S60=0,1,0))</f>
        <v>1</v>
      </c>
      <c r="J60" s="26">
        <f t="shared" ref="J60:J66" si="27">IF(T60="","",IF(T60=0,1,0))</f>
        <v>1</v>
      </c>
      <c r="L60" s="51"/>
      <c r="M60" s="21">
        <v>44057</v>
      </c>
      <c r="N60" s="10" t="s">
        <v>24</v>
      </c>
      <c r="O60" s="25">
        <v>0</v>
      </c>
      <c r="P60" s="25">
        <v>0</v>
      </c>
      <c r="Q60" s="25">
        <v>0</v>
      </c>
      <c r="R60" s="25"/>
      <c r="S60" s="25">
        <v>0</v>
      </c>
      <c r="T60" s="25">
        <v>0</v>
      </c>
      <c r="U60" s="25"/>
    </row>
    <row r="61" spans="1:29">
      <c r="C61" s="12">
        <f t="shared" ca="1" si="21"/>
        <v>1</v>
      </c>
      <c r="D61" s="22">
        <f t="shared" si="20"/>
        <v>44064</v>
      </c>
      <c r="E61" s="26">
        <f t="shared" si="22"/>
        <v>1</v>
      </c>
      <c r="F61" s="26" t="str">
        <f t="shared" si="23"/>
        <v/>
      </c>
      <c r="G61" s="26">
        <f t="shared" si="24"/>
        <v>0</v>
      </c>
      <c r="H61" s="26">
        <f t="shared" si="25"/>
        <v>1</v>
      </c>
      <c r="I61" s="26">
        <f t="shared" si="26"/>
        <v>1</v>
      </c>
      <c r="J61" s="26">
        <f t="shared" si="27"/>
        <v>1</v>
      </c>
      <c r="M61" s="21">
        <f>M60+7</f>
        <v>44064</v>
      </c>
      <c r="N61" s="49" t="s">
        <v>24</v>
      </c>
      <c r="O61" s="50">
        <v>0</v>
      </c>
      <c r="P61" s="50"/>
      <c r="Q61" s="50">
        <v>11</v>
      </c>
      <c r="R61" s="50">
        <v>0</v>
      </c>
      <c r="S61" s="50">
        <v>0</v>
      </c>
      <c r="T61" s="50">
        <v>0</v>
      </c>
      <c r="U61" s="50"/>
    </row>
    <row r="62" spans="1:29">
      <c r="C62" s="12">
        <f t="shared" ca="1" si="21"/>
        <v>1</v>
      </c>
      <c r="D62" s="22">
        <f t="shared" si="20"/>
        <v>44071</v>
      </c>
      <c r="E62" s="26">
        <f t="shared" si="22"/>
        <v>0</v>
      </c>
      <c r="F62" s="26" t="str">
        <f t="shared" si="23"/>
        <v/>
      </c>
      <c r="G62" s="26">
        <f t="shared" si="24"/>
        <v>1</v>
      </c>
      <c r="H62" s="26">
        <f t="shared" si="25"/>
        <v>1</v>
      </c>
      <c r="I62" s="26">
        <f t="shared" si="26"/>
        <v>0</v>
      </c>
      <c r="J62" s="26">
        <f t="shared" si="27"/>
        <v>1</v>
      </c>
      <c r="M62" s="21">
        <f>M61+7</f>
        <v>44071</v>
      </c>
      <c r="N62" s="10" t="s">
        <v>24</v>
      </c>
      <c r="O62" s="25">
        <v>11</v>
      </c>
      <c r="P62" s="25"/>
      <c r="Q62" s="25">
        <v>0</v>
      </c>
      <c r="R62" s="25">
        <v>0</v>
      </c>
      <c r="S62" s="25">
        <v>11</v>
      </c>
      <c r="T62" s="25">
        <v>0</v>
      </c>
      <c r="U62" s="25"/>
      <c r="W62" s="36"/>
      <c r="X62" s="36"/>
      <c r="Y62" s="36"/>
      <c r="Z62" s="36"/>
      <c r="AA62" s="36"/>
      <c r="AB62" s="36"/>
      <c r="AC62" s="36"/>
    </row>
    <row r="63" spans="1:29">
      <c r="C63" s="76"/>
      <c r="D63" s="77"/>
      <c r="E63" s="77"/>
      <c r="F63" s="77" t="str">
        <f>IF(P63="","",IF(P63=0,1,0))</f>
        <v/>
      </c>
      <c r="G63" s="77" t="str">
        <f>IF(Q63="","",IF(Q63=0,1,0))</f>
        <v/>
      </c>
      <c r="H63" s="77" t="str">
        <f>IF(R63="","",IF(R63=0,1,0))</f>
        <v/>
      </c>
      <c r="I63" s="77" t="str">
        <f t="shared" si="26"/>
        <v/>
      </c>
      <c r="J63" s="2" t="str">
        <f>IF(T63="","",IF(T63=0,1,0))</f>
        <v/>
      </c>
      <c r="L63" s="6"/>
      <c r="M63" s="21">
        <f>M62+7</f>
        <v>44078</v>
      </c>
      <c r="N63" s="10" t="s">
        <v>46</v>
      </c>
      <c r="O63" s="25">
        <v>2.75</v>
      </c>
      <c r="P63" s="25"/>
      <c r="Q63" s="25"/>
      <c r="R63" s="25"/>
      <c r="S63" s="25"/>
      <c r="T63" s="25"/>
      <c r="U63" s="25"/>
      <c r="W63" s="36"/>
      <c r="X63" s="36"/>
      <c r="Y63" s="36"/>
      <c r="Z63" s="36"/>
      <c r="AA63" s="36"/>
      <c r="AB63" s="36"/>
      <c r="AC63" s="36"/>
    </row>
    <row r="64" spans="1:29">
      <c r="C64" s="12">
        <f t="shared" ca="1" si="21"/>
        <v>1</v>
      </c>
      <c r="D64" s="22">
        <f t="shared" si="20"/>
        <v>44078</v>
      </c>
      <c r="E64" s="26">
        <f t="shared" si="22"/>
        <v>1</v>
      </c>
      <c r="F64" s="26" t="str">
        <f t="shared" si="23"/>
        <v/>
      </c>
      <c r="G64" s="26">
        <f t="shared" si="24"/>
        <v>1</v>
      </c>
      <c r="H64" s="26">
        <f t="shared" si="25"/>
        <v>1</v>
      </c>
      <c r="I64" s="26">
        <f t="shared" si="26"/>
        <v>1</v>
      </c>
      <c r="J64" s="26">
        <f t="shared" si="27"/>
        <v>1</v>
      </c>
      <c r="M64" s="21">
        <f>M62+7</f>
        <v>44078</v>
      </c>
      <c r="N64" s="10" t="s">
        <v>24</v>
      </c>
      <c r="O64" s="25">
        <v>0</v>
      </c>
      <c r="P64" s="25"/>
      <c r="Q64" s="25">
        <v>0</v>
      </c>
      <c r="R64" s="25">
        <v>0</v>
      </c>
      <c r="S64" s="25">
        <v>0</v>
      </c>
      <c r="T64" s="25">
        <v>0</v>
      </c>
      <c r="U64" s="25"/>
    </row>
    <row r="65" spans="2:29">
      <c r="C65" s="12">
        <f t="shared" ca="1" si="21"/>
        <v>1</v>
      </c>
      <c r="D65" s="22">
        <f t="shared" si="20"/>
        <v>44085</v>
      </c>
      <c r="E65" s="26">
        <f t="shared" si="22"/>
        <v>1</v>
      </c>
      <c r="F65" s="26" t="str">
        <f t="shared" si="23"/>
        <v/>
      </c>
      <c r="G65" s="26">
        <f t="shared" si="24"/>
        <v>1</v>
      </c>
      <c r="H65" s="26" t="str">
        <f t="shared" si="25"/>
        <v/>
      </c>
      <c r="I65" s="26">
        <f t="shared" si="26"/>
        <v>1</v>
      </c>
      <c r="J65" s="26">
        <f t="shared" si="27"/>
        <v>1</v>
      </c>
      <c r="M65" s="21">
        <f>M64+7</f>
        <v>44085</v>
      </c>
      <c r="N65" s="10" t="s">
        <v>24</v>
      </c>
      <c r="O65" s="25">
        <v>0</v>
      </c>
      <c r="P65" s="25"/>
      <c r="Q65" s="25">
        <v>0</v>
      </c>
      <c r="R65" s="25"/>
      <c r="S65" s="25">
        <v>0</v>
      </c>
      <c r="T65" s="25">
        <v>0</v>
      </c>
      <c r="U65" s="25"/>
    </row>
    <row r="66" spans="2:29">
      <c r="C66" s="12">
        <f t="shared" ca="1" si="21"/>
        <v>1</v>
      </c>
      <c r="D66" s="22">
        <f t="shared" si="20"/>
        <v>44092</v>
      </c>
      <c r="E66" s="26">
        <f t="shared" si="22"/>
        <v>1</v>
      </c>
      <c r="F66" s="26" t="str">
        <f t="shared" si="23"/>
        <v/>
      </c>
      <c r="G66" s="26">
        <f t="shared" si="24"/>
        <v>1</v>
      </c>
      <c r="H66" s="26">
        <f t="shared" si="25"/>
        <v>1</v>
      </c>
      <c r="I66" s="26">
        <f t="shared" si="26"/>
        <v>0</v>
      </c>
      <c r="J66" s="26">
        <f t="shared" si="27"/>
        <v>1</v>
      </c>
      <c r="M66" s="21">
        <f>M65+7</f>
        <v>44092</v>
      </c>
      <c r="N66" s="10" t="s">
        <v>24</v>
      </c>
      <c r="O66" s="25">
        <v>0</v>
      </c>
      <c r="P66" s="25"/>
      <c r="Q66" s="25">
        <v>0</v>
      </c>
      <c r="R66" s="25">
        <v>0</v>
      </c>
      <c r="S66" s="25">
        <v>11</v>
      </c>
      <c r="T66" s="25">
        <v>0</v>
      </c>
      <c r="U66" s="25"/>
    </row>
    <row r="67" spans="2:29">
      <c r="C67" s="76"/>
      <c r="D67" s="77"/>
      <c r="E67" s="77"/>
      <c r="F67" s="77" t="str">
        <f>IF(P67="","",IF(P67=0,1,0))</f>
        <v/>
      </c>
      <c r="G67" s="77" t="str">
        <f>IF(Q67="","",IF(Q67=0,1,0))</f>
        <v/>
      </c>
      <c r="H67" s="77" t="str">
        <f>IF(R67="","",IF(R67=0,1,0))</f>
        <v/>
      </c>
      <c r="I67" s="77" t="str">
        <f t="shared" ref="I67" si="28">IF(S67="","",IF(S67=0,1,0))</f>
        <v/>
      </c>
      <c r="J67" s="2" t="str">
        <f>IF(T67="","",IF(T67=0,1,0))</f>
        <v/>
      </c>
      <c r="L67" s="6"/>
      <c r="M67" s="21">
        <f>M66+7</f>
        <v>44099</v>
      </c>
      <c r="N67" s="10" t="s">
        <v>46</v>
      </c>
      <c r="O67" s="25">
        <v>2.75</v>
      </c>
      <c r="P67" s="25"/>
      <c r="Q67" s="25"/>
      <c r="R67" s="25"/>
      <c r="S67" s="25"/>
      <c r="T67" s="25"/>
      <c r="U67" s="25"/>
      <c r="W67" s="36"/>
      <c r="X67" s="36"/>
      <c r="Y67" s="36"/>
      <c r="Z67" s="36"/>
      <c r="AA67" s="36"/>
      <c r="AB67" s="36"/>
      <c r="AC67" s="36"/>
    </row>
    <row r="68" spans="2:29">
      <c r="C68" s="12">
        <v>1</v>
      </c>
      <c r="D68" s="22">
        <f t="shared" ref="D68:D76" si="29">IF(M68="","",M68)</f>
        <v>44099</v>
      </c>
      <c r="E68" s="26">
        <f t="shared" ref="E68:E76" si="30">IF(O68="","",IF(O68=0,1,0))</f>
        <v>1</v>
      </c>
      <c r="F68" s="26" t="str">
        <f t="shared" ref="F68:F76" si="31">IF(P68="","",IF(P68=0,1,0))</f>
        <v/>
      </c>
      <c r="G68" s="26">
        <f t="shared" ref="G68:G76" si="32">IF(Q68="","",IF(Q68=0,1,0))</f>
        <v>1</v>
      </c>
      <c r="H68" s="26" t="str">
        <f t="shared" ref="H68:H76" si="33">IF(R68="","",IF(R68=0,1,0))</f>
        <v/>
      </c>
      <c r="I68" s="26">
        <f t="shared" ref="I68:I76" si="34">IF(S68="","",IF(S68=0,1,0))</f>
        <v>1</v>
      </c>
      <c r="J68" s="26">
        <f t="shared" ref="J68:J76" si="35">IF(T68="","",IF(T68=0,1,0))</f>
        <v>1</v>
      </c>
      <c r="M68" s="21">
        <f>M67</f>
        <v>44099</v>
      </c>
      <c r="N68" s="10" t="s">
        <v>24</v>
      </c>
      <c r="O68" s="25">
        <v>0</v>
      </c>
      <c r="P68" s="25"/>
      <c r="Q68" s="25">
        <v>0</v>
      </c>
      <c r="R68" s="25"/>
      <c r="S68" s="25">
        <v>0</v>
      </c>
      <c r="T68" s="25">
        <v>0</v>
      </c>
      <c r="U68" s="25"/>
    </row>
    <row r="69" spans="2:29">
      <c r="C69" s="12">
        <f t="shared" ref="C69:C76" ca="1" si="36">IF(D69&lt;=TODAY(),1,"")</f>
        <v>1</v>
      </c>
      <c r="D69" s="22">
        <f t="shared" si="29"/>
        <v>44106</v>
      </c>
      <c r="E69" s="26">
        <f t="shared" si="30"/>
        <v>1</v>
      </c>
      <c r="F69" s="26" t="str">
        <f t="shared" si="31"/>
        <v/>
      </c>
      <c r="G69" s="26">
        <f t="shared" si="32"/>
        <v>1</v>
      </c>
      <c r="H69" s="26" t="str">
        <f t="shared" si="33"/>
        <v/>
      </c>
      <c r="I69" s="26">
        <f t="shared" si="34"/>
        <v>1</v>
      </c>
      <c r="J69" s="26">
        <f t="shared" si="35"/>
        <v>1</v>
      </c>
      <c r="M69" s="21">
        <f>M68+7</f>
        <v>44106</v>
      </c>
      <c r="N69" s="10" t="s">
        <v>24</v>
      </c>
      <c r="O69" s="25">
        <v>0</v>
      </c>
      <c r="P69" s="25"/>
      <c r="Q69" s="25">
        <v>0</v>
      </c>
      <c r="R69" s="25"/>
      <c r="S69" s="25">
        <v>0</v>
      </c>
      <c r="T69" s="25">
        <v>0</v>
      </c>
      <c r="U69" s="25"/>
    </row>
    <row r="70" spans="2:29">
      <c r="C70" s="76"/>
      <c r="D70" s="77"/>
      <c r="E70" s="77"/>
      <c r="F70" s="77" t="str">
        <f>IF(P70="","",IF(P70=0,1,0))</f>
        <v/>
      </c>
      <c r="G70" s="77" t="str">
        <f>IF(Q70="","",IF(Q70=0,1,0))</f>
        <v/>
      </c>
      <c r="H70" s="77" t="str">
        <f>IF(R70="","",IF(R70=0,1,0))</f>
        <v/>
      </c>
      <c r="I70" s="77" t="str">
        <f t="shared" si="34"/>
        <v/>
      </c>
      <c r="J70" s="2" t="str">
        <f>IF(T70="","",IF(T70=0,1,0))</f>
        <v/>
      </c>
      <c r="M70" s="21">
        <f>M71</f>
        <v>44113</v>
      </c>
      <c r="N70" s="10" t="s">
        <v>46</v>
      </c>
      <c r="O70" s="25">
        <v>2.75</v>
      </c>
      <c r="P70" s="25"/>
      <c r="Q70" s="25"/>
      <c r="R70" s="25"/>
      <c r="S70" s="25"/>
      <c r="T70" s="25"/>
      <c r="U70" s="25"/>
    </row>
    <row r="71" spans="2:29" ht="16.5" customHeight="1">
      <c r="B71" s="6"/>
      <c r="C71" s="12">
        <f t="shared" ca="1" si="36"/>
        <v>1</v>
      </c>
      <c r="D71" s="22">
        <f t="shared" si="29"/>
        <v>44113</v>
      </c>
      <c r="E71" s="26">
        <f t="shared" si="30"/>
        <v>1</v>
      </c>
      <c r="F71" s="26" t="str">
        <f t="shared" si="31"/>
        <v/>
      </c>
      <c r="G71" s="26">
        <f t="shared" si="32"/>
        <v>0</v>
      </c>
      <c r="H71" s="26" t="str">
        <f t="shared" si="33"/>
        <v/>
      </c>
      <c r="I71" s="26">
        <f t="shared" si="34"/>
        <v>1</v>
      </c>
      <c r="J71" s="26">
        <f t="shared" si="35"/>
        <v>1</v>
      </c>
      <c r="L71" s="6"/>
      <c r="M71" s="21">
        <f>M69+7</f>
        <v>44113</v>
      </c>
      <c r="N71" s="10" t="s">
        <v>24</v>
      </c>
      <c r="O71" s="25">
        <v>0</v>
      </c>
      <c r="P71" s="25"/>
      <c r="Q71" s="25">
        <v>11</v>
      </c>
      <c r="R71" s="25"/>
      <c r="S71" s="25">
        <v>0</v>
      </c>
      <c r="T71" s="25">
        <v>0</v>
      </c>
      <c r="U71" s="25"/>
    </row>
    <row r="72" spans="2:29">
      <c r="C72" s="12">
        <f t="shared" ca="1" si="36"/>
        <v>1</v>
      </c>
      <c r="D72" s="22">
        <f t="shared" si="29"/>
        <v>44120</v>
      </c>
      <c r="E72" s="26">
        <f t="shared" si="30"/>
        <v>1</v>
      </c>
      <c r="F72" s="26" t="str">
        <f t="shared" si="31"/>
        <v/>
      </c>
      <c r="G72" s="26">
        <f t="shared" si="32"/>
        <v>1</v>
      </c>
      <c r="H72" s="26" t="str">
        <f t="shared" si="33"/>
        <v/>
      </c>
      <c r="I72" s="26">
        <f t="shared" si="34"/>
        <v>1</v>
      </c>
      <c r="J72" s="26">
        <f t="shared" si="35"/>
        <v>1</v>
      </c>
      <c r="M72" s="21">
        <f>M71+7</f>
        <v>44120</v>
      </c>
      <c r="N72" s="10" t="s">
        <v>24</v>
      </c>
      <c r="O72" s="25">
        <v>0</v>
      </c>
      <c r="P72" s="25"/>
      <c r="Q72" s="25">
        <v>0</v>
      </c>
      <c r="R72" s="25"/>
      <c r="S72" s="25">
        <v>0</v>
      </c>
      <c r="T72" s="25">
        <v>0</v>
      </c>
      <c r="U72" s="25"/>
    </row>
    <row r="73" spans="2:29">
      <c r="C73" s="76"/>
      <c r="D73" s="77"/>
      <c r="E73" s="77"/>
      <c r="F73" s="77" t="str">
        <f>IF(P73="","",IF(P73=0,1,0))</f>
        <v/>
      </c>
      <c r="G73" s="77" t="str">
        <f>IF(Q73="","",IF(Q73=0,1,0))</f>
        <v/>
      </c>
      <c r="H73" s="77" t="str">
        <f>IF(R73="","",IF(R73=0,1,0))</f>
        <v/>
      </c>
      <c r="I73" s="77" t="str">
        <f t="shared" ref="I73" si="37">IF(S73="","",IF(S73=0,1,0))</f>
        <v/>
      </c>
      <c r="J73" s="2" t="str">
        <f>IF(T73="","",IF(T73=0,1,0))</f>
        <v/>
      </c>
      <c r="M73" s="21">
        <f>M74</f>
        <v>44127</v>
      </c>
      <c r="N73" s="10" t="s">
        <v>43</v>
      </c>
      <c r="O73" s="25">
        <v>5.5</v>
      </c>
      <c r="P73" s="25"/>
      <c r="Q73" s="25"/>
      <c r="R73" s="25"/>
      <c r="S73" s="25"/>
      <c r="T73" s="25"/>
      <c r="U73" s="25"/>
    </row>
    <row r="74" spans="2:29">
      <c r="C74" s="12">
        <f t="shared" ca="1" si="36"/>
        <v>1</v>
      </c>
      <c r="D74" s="22">
        <f t="shared" si="29"/>
        <v>44127</v>
      </c>
      <c r="E74" s="26">
        <f t="shared" si="30"/>
        <v>1</v>
      </c>
      <c r="F74" s="26">
        <f t="shared" si="31"/>
        <v>1</v>
      </c>
      <c r="G74" s="26">
        <f t="shared" si="32"/>
        <v>0</v>
      </c>
      <c r="H74" s="26" t="str">
        <f t="shared" si="33"/>
        <v/>
      </c>
      <c r="I74" s="26">
        <f t="shared" si="34"/>
        <v>0</v>
      </c>
      <c r="J74" s="26">
        <f t="shared" si="35"/>
        <v>1</v>
      </c>
      <c r="M74" s="21">
        <f>M72+7</f>
        <v>44127</v>
      </c>
      <c r="N74" s="10" t="s">
        <v>24</v>
      </c>
      <c r="O74" s="25">
        <v>0</v>
      </c>
      <c r="P74" s="25">
        <v>0</v>
      </c>
      <c r="Q74" s="25">
        <v>11</v>
      </c>
      <c r="R74" s="25"/>
      <c r="S74" s="25">
        <v>11</v>
      </c>
      <c r="T74" s="25">
        <v>0</v>
      </c>
      <c r="U74" s="25"/>
    </row>
    <row r="75" spans="2:29">
      <c r="C75" s="12">
        <f t="shared" ca="1" si="36"/>
        <v>1</v>
      </c>
      <c r="D75" s="22">
        <f t="shared" si="29"/>
        <v>44134</v>
      </c>
      <c r="E75" s="26">
        <f t="shared" si="30"/>
        <v>1</v>
      </c>
      <c r="F75" s="26">
        <f t="shared" si="31"/>
        <v>1</v>
      </c>
      <c r="G75" s="26">
        <f t="shared" si="32"/>
        <v>1</v>
      </c>
      <c r="H75" s="26">
        <f t="shared" si="33"/>
        <v>1</v>
      </c>
      <c r="I75" s="26">
        <f t="shared" si="34"/>
        <v>1</v>
      </c>
      <c r="J75" s="26">
        <f t="shared" si="35"/>
        <v>1</v>
      </c>
      <c r="M75" s="21">
        <f t="shared" ref="M75:M80" si="38">M74+7</f>
        <v>44134</v>
      </c>
      <c r="N75" s="10" t="s">
        <v>24</v>
      </c>
      <c r="O75" s="25">
        <v>0</v>
      </c>
      <c r="P75" s="25">
        <v>0</v>
      </c>
      <c r="Q75" s="25">
        <v>0</v>
      </c>
      <c r="R75" s="25">
        <v>0</v>
      </c>
      <c r="S75" s="25">
        <v>0</v>
      </c>
      <c r="T75" s="25">
        <v>0</v>
      </c>
      <c r="U75" s="25"/>
    </row>
    <row r="76" spans="2:29">
      <c r="C76" s="12">
        <f t="shared" ca="1" si="36"/>
        <v>1</v>
      </c>
      <c r="D76" s="22">
        <f t="shared" si="29"/>
        <v>44141</v>
      </c>
      <c r="E76" s="26">
        <f t="shared" si="30"/>
        <v>1</v>
      </c>
      <c r="F76" s="26">
        <f t="shared" si="31"/>
        <v>1</v>
      </c>
      <c r="G76" s="26">
        <f t="shared" si="32"/>
        <v>0</v>
      </c>
      <c r="H76" s="26" t="str">
        <f t="shared" si="33"/>
        <v/>
      </c>
      <c r="I76" s="26">
        <f t="shared" si="34"/>
        <v>1</v>
      </c>
      <c r="J76" s="26">
        <f t="shared" si="35"/>
        <v>1</v>
      </c>
      <c r="M76" s="21">
        <f t="shared" si="38"/>
        <v>44141</v>
      </c>
      <c r="N76" s="10" t="s">
        <v>24</v>
      </c>
      <c r="O76" s="25">
        <v>0</v>
      </c>
      <c r="P76" s="25">
        <v>0</v>
      </c>
      <c r="Q76" s="25">
        <v>11</v>
      </c>
      <c r="R76" s="25"/>
      <c r="S76" s="25">
        <v>0</v>
      </c>
      <c r="T76" s="25">
        <v>0</v>
      </c>
      <c r="U76" s="25"/>
    </row>
    <row r="77" spans="2:29">
      <c r="C77" s="12">
        <f t="shared" ref="C77:C88" ca="1" si="39">IF(D77&lt;=TODAY(),1,"")</f>
        <v>1</v>
      </c>
      <c r="D77" s="22">
        <f t="shared" ref="D77:D88" si="40">IF(M77="","",M77)</f>
        <v>44148</v>
      </c>
      <c r="E77" s="26">
        <f t="shared" si="9"/>
        <v>0</v>
      </c>
      <c r="F77" s="26">
        <f t="shared" si="10"/>
        <v>1</v>
      </c>
      <c r="G77" s="26">
        <f t="shared" si="11"/>
        <v>1</v>
      </c>
      <c r="H77" s="26" t="str">
        <f t="shared" si="12"/>
        <v/>
      </c>
      <c r="I77" s="26">
        <f t="shared" ref="I77:I88" si="41">IF(S77="","",IF(S77=0,1,0))</f>
        <v>1</v>
      </c>
      <c r="J77" s="26">
        <f t="shared" si="13"/>
        <v>1</v>
      </c>
      <c r="M77" s="21">
        <f t="shared" si="38"/>
        <v>44148</v>
      </c>
      <c r="N77" s="10" t="s">
        <v>24</v>
      </c>
      <c r="O77" s="25">
        <v>11</v>
      </c>
      <c r="P77" s="25">
        <v>0</v>
      </c>
      <c r="Q77" s="25">
        <v>0</v>
      </c>
      <c r="R77" s="25"/>
      <c r="S77" s="25">
        <v>0</v>
      </c>
      <c r="T77" s="25">
        <v>0</v>
      </c>
      <c r="U77" s="25"/>
    </row>
    <row r="78" spans="2:29">
      <c r="C78" s="12">
        <f t="shared" ca="1" si="39"/>
        <v>1</v>
      </c>
      <c r="D78" s="22">
        <f t="shared" si="40"/>
        <v>44155</v>
      </c>
      <c r="E78" s="26">
        <f t="shared" si="9"/>
        <v>1</v>
      </c>
      <c r="F78" s="26">
        <f t="shared" si="10"/>
        <v>1</v>
      </c>
      <c r="G78" s="26">
        <f t="shared" si="11"/>
        <v>1</v>
      </c>
      <c r="H78" s="26">
        <f t="shared" si="12"/>
        <v>1</v>
      </c>
      <c r="I78" s="26">
        <f t="shared" si="41"/>
        <v>1</v>
      </c>
      <c r="J78" s="26">
        <f t="shared" si="13"/>
        <v>1</v>
      </c>
      <c r="M78" s="21">
        <f t="shared" si="38"/>
        <v>44155</v>
      </c>
      <c r="N78" s="10" t="s">
        <v>24</v>
      </c>
      <c r="O78" s="25">
        <v>0</v>
      </c>
      <c r="P78" s="25">
        <v>0</v>
      </c>
      <c r="Q78" s="25">
        <v>0</v>
      </c>
      <c r="R78" s="25">
        <v>0</v>
      </c>
      <c r="S78" s="25">
        <v>0</v>
      </c>
      <c r="T78" s="25">
        <v>0</v>
      </c>
      <c r="U78" s="25"/>
    </row>
    <row r="79" spans="2:29">
      <c r="C79" s="12">
        <f t="shared" ca="1" si="39"/>
        <v>1</v>
      </c>
      <c r="D79" s="22">
        <f t="shared" si="40"/>
        <v>44162</v>
      </c>
      <c r="E79" s="26">
        <f t="shared" si="9"/>
        <v>1</v>
      </c>
      <c r="F79" s="26" t="str">
        <f t="shared" si="10"/>
        <v/>
      </c>
      <c r="G79" s="26">
        <f t="shared" si="11"/>
        <v>1</v>
      </c>
      <c r="H79" s="26">
        <f t="shared" si="12"/>
        <v>1</v>
      </c>
      <c r="I79" s="26">
        <f t="shared" si="41"/>
        <v>1</v>
      </c>
      <c r="J79" s="26">
        <f t="shared" si="13"/>
        <v>1</v>
      </c>
      <c r="M79" s="21">
        <f t="shared" si="38"/>
        <v>44162</v>
      </c>
      <c r="N79" s="10" t="s">
        <v>24</v>
      </c>
      <c r="O79" s="25">
        <v>0</v>
      </c>
      <c r="P79" s="25"/>
      <c r="Q79" s="25">
        <v>0</v>
      </c>
      <c r="R79" s="25">
        <v>0</v>
      </c>
      <c r="S79" s="25">
        <v>0</v>
      </c>
      <c r="T79" s="25">
        <v>0</v>
      </c>
      <c r="U79" s="25"/>
    </row>
    <row r="80" spans="2:29">
      <c r="C80" s="12">
        <f t="shared" ca="1" si="39"/>
        <v>1</v>
      </c>
      <c r="D80" s="22">
        <f t="shared" si="40"/>
        <v>44169</v>
      </c>
      <c r="E80" s="26">
        <f t="shared" si="9"/>
        <v>0</v>
      </c>
      <c r="F80" s="26">
        <f t="shared" si="10"/>
        <v>1</v>
      </c>
      <c r="G80" s="26">
        <f t="shared" si="11"/>
        <v>1</v>
      </c>
      <c r="H80" s="26" t="str">
        <f t="shared" si="12"/>
        <v/>
      </c>
      <c r="I80" s="26">
        <f t="shared" si="41"/>
        <v>1</v>
      </c>
      <c r="J80" s="26">
        <f t="shared" si="13"/>
        <v>1</v>
      </c>
      <c r="M80" s="21">
        <f t="shared" si="38"/>
        <v>44169</v>
      </c>
      <c r="N80" s="10" t="s">
        <v>24</v>
      </c>
      <c r="O80" s="25">
        <v>11</v>
      </c>
      <c r="P80" s="25">
        <v>0</v>
      </c>
      <c r="Q80" s="25">
        <v>0</v>
      </c>
      <c r="R80" s="25"/>
      <c r="S80" s="25">
        <v>0</v>
      </c>
      <c r="T80" s="25">
        <v>0</v>
      </c>
      <c r="U80" s="25"/>
    </row>
    <row r="81" spans="3:21">
      <c r="C81" s="76"/>
      <c r="D81" s="77"/>
      <c r="E81" s="77"/>
      <c r="F81" s="77" t="str">
        <f>IF(P81="","",IF(P81=0,1,0))</f>
        <v/>
      </c>
      <c r="G81" s="77" t="str">
        <f>IF(Q81="","",IF(Q81=0,1,0))</f>
        <v/>
      </c>
      <c r="H81" s="77" t="str">
        <f>IF(R81="","",IF(R81=0,1,0))</f>
        <v/>
      </c>
      <c r="I81" s="77" t="str">
        <f t="shared" si="41"/>
        <v/>
      </c>
      <c r="J81" s="2" t="str">
        <f>IF(T81="","",IF(T81=0,1,0))</f>
        <v/>
      </c>
      <c r="M81" s="21">
        <f>M80+7</f>
        <v>44176</v>
      </c>
      <c r="N81" s="10" t="s">
        <v>46</v>
      </c>
      <c r="O81" s="25">
        <v>2.75</v>
      </c>
      <c r="P81" s="25"/>
      <c r="Q81" s="25"/>
      <c r="R81" s="25"/>
      <c r="S81" s="25"/>
      <c r="T81" s="25"/>
      <c r="U81" s="25"/>
    </row>
    <row r="82" spans="3:21">
      <c r="C82" s="12">
        <f t="shared" ca="1" si="39"/>
        <v>1</v>
      </c>
      <c r="D82" s="22">
        <f t="shared" si="40"/>
        <v>44176</v>
      </c>
      <c r="E82" s="26">
        <f t="shared" si="9"/>
        <v>1</v>
      </c>
      <c r="F82" s="26">
        <f t="shared" si="10"/>
        <v>1</v>
      </c>
      <c r="G82" s="26">
        <f t="shared" si="11"/>
        <v>1</v>
      </c>
      <c r="H82" s="26" t="str">
        <f t="shared" si="12"/>
        <v/>
      </c>
      <c r="I82" s="26">
        <f t="shared" si="41"/>
        <v>1</v>
      </c>
      <c r="J82" s="26">
        <f t="shared" si="13"/>
        <v>1</v>
      </c>
      <c r="M82" s="21">
        <f>M81</f>
        <v>44176</v>
      </c>
      <c r="N82" s="10" t="s">
        <v>24</v>
      </c>
      <c r="O82" s="25">
        <v>0</v>
      </c>
      <c r="P82" s="25">
        <v>0</v>
      </c>
      <c r="Q82" s="25">
        <v>0</v>
      </c>
      <c r="R82" s="25"/>
      <c r="S82" s="25">
        <v>0</v>
      </c>
      <c r="T82" s="25">
        <v>0</v>
      </c>
      <c r="U82" s="25"/>
    </row>
    <row r="83" spans="3:21">
      <c r="C83" s="76"/>
      <c r="D83" s="77"/>
      <c r="E83" s="77"/>
      <c r="F83" s="77" t="str">
        <f>IF(P83="","",IF(P83=0,1,0))</f>
        <v/>
      </c>
      <c r="G83" s="77" t="str">
        <f>IF(Q83="","",IF(Q83=0,1,0))</f>
        <v/>
      </c>
      <c r="H83" s="77"/>
      <c r="I83" s="77" t="str">
        <f t="shared" ref="I83" si="42">IF(S83="","",IF(S83=0,1,0))</f>
        <v/>
      </c>
      <c r="J83" s="2" t="str">
        <f>IF(T83="","",IF(T83=0,1,0))</f>
        <v/>
      </c>
      <c r="M83" s="21">
        <f>M82+7</f>
        <v>44183</v>
      </c>
      <c r="N83" s="10" t="s">
        <v>46</v>
      </c>
      <c r="O83" s="25"/>
      <c r="P83" s="25"/>
      <c r="Q83" s="25"/>
      <c r="R83" s="25">
        <v>2.75</v>
      </c>
      <c r="S83" s="25"/>
      <c r="T83" s="25"/>
      <c r="U83" s="25"/>
    </row>
    <row r="84" spans="3:21">
      <c r="C84" s="12">
        <f ca="1">IF(D84&lt;=TODAY(),1,"")</f>
        <v>1</v>
      </c>
      <c r="D84" s="22">
        <f t="shared" si="40"/>
        <v>44183</v>
      </c>
      <c r="E84" s="26">
        <f t="shared" si="9"/>
        <v>1</v>
      </c>
      <c r="F84" s="26">
        <f t="shared" si="10"/>
        <v>1</v>
      </c>
      <c r="G84" s="26">
        <f t="shared" si="11"/>
        <v>0</v>
      </c>
      <c r="H84" s="26">
        <f t="shared" si="12"/>
        <v>1</v>
      </c>
      <c r="I84" s="26">
        <f t="shared" si="41"/>
        <v>0</v>
      </c>
      <c r="J84" s="26">
        <f t="shared" si="13"/>
        <v>1</v>
      </c>
      <c r="M84" s="21">
        <f>M83</f>
        <v>44183</v>
      </c>
      <c r="N84" s="10" t="s">
        <v>24</v>
      </c>
      <c r="O84" s="25">
        <v>0</v>
      </c>
      <c r="P84" s="25">
        <v>0</v>
      </c>
      <c r="Q84" s="25">
        <v>11</v>
      </c>
      <c r="R84" s="25">
        <v>0</v>
      </c>
      <c r="S84" s="25">
        <v>11</v>
      </c>
      <c r="T84" s="25">
        <v>0</v>
      </c>
      <c r="U84" s="25"/>
    </row>
    <row r="85" spans="3:21">
      <c r="C85" s="12">
        <f ca="1">IF(D85&lt;=TODAY(),1,"")</f>
        <v>1</v>
      </c>
      <c r="D85" s="22">
        <f t="shared" si="40"/>
        <v>44204</v>
      </c>
      <c r="E85" s="26">
        <f t="shared" si="9"/>
        <v>1</v>
      </c>
      <c r="F85" s="26" t="str">
        <f t="shared" si="10"/>
        <v/>
      </c>
      <c r="G85" s="26">
        <f t="shared" si="11"/>
        <v>0</v>
      </c>
      <c r="H85" s="26" t="str">
        <f t="shared" si="12"/>
        <v/>
      </c>
      <c r="I85" s="26">
        <f t="shared" si="41"/>
        <v>0</v>
      </c>
      <c r="J85" s="26">
        <f t="shared" si="13"/>
        <v>1</v>
      </c>
      <c r="M85" s="21">
        <v>44204</v>
      </c>
      <c r="N85" s="10" t="s">
        <v>24</v>
      </c>
      <c r="O85" s="25">
        <v>0</v>
      </c>
      <c r="P85" s="25"/>
      <c r="Q85" s="25">
        <v>11</v>
      </c>
      <c r="R85" s="25"/>
      <c r="S85" s="25">
        <v>11</v>
      </c>
      <c r="T85" s="25">
        <v>0</v>
      </c>
      <c r="U85" s="25"/>
    </row>
    <row r="86" spans="3:21">
      <c r="C86" s="12">
        <f t="shared" ca="1" si="39"/>
        <v>1</v>
      </c>
      <c r="D86" s="22">
        <f t="shared" si="40"/>
        <v>44211</v>
      </c>
      <c r="E86" s="26">
        <f t="shared" si="9"/>
        <v>0</v>
      </c>
      <c r="F86" s="26">
        <f t="shared" si="10"/>
        <v>1</v>
      </c>
      <c r="G86" s="26">
        <f t="shared" si="11"/>
        <v>0</v>
      </c>
      <c r="H86" s="26">
        <f t="shared" si="12"/>
        <v>1</v>
      </c>
      <c r="I86" s="26">
        <f t="shared" si="41"/>
        <v>0</v>
      </c>
      <c r="J86" s="26">
        <f t="shared" si="13"/>
        <v>1</v>
      </c>
      <c r="M86" s="21">
        <f>M85+7</f>
        <v>44211</v>
      </c>
      <c r="N86" s="10" t="s">
        <v>24</v>
      </c>
      <c r="O86" s="25">
        <v>11</v>
      </c>
      <c r="P86" s="25">
        <v>0</v>
      </c>
      <c r="Q86" s="25">
        <v>11</v>
      </c>
      <c r="R86" s="25">
        <v>0</v>
      </c>
      <c r="S86" s="25">
        <v>11</v>
      </c>
      <c r="T86" s="134">
        <v>0</v>
      </c>
      <c r="U86" s="25"/>
    </row>
    <row r="87" spans="3:21">
      <c r="C87" s="76"/>
      <c r="D87" s="77"/>
      <c r="E87" s="77"/>
      <c r="F87" s="77"/>
      <c r="G87" s="77" t="str">
        <f>IF(Q87="","",IF(Q87=0,1,0))</f>
        <v/>
      </c>
      <c r="H87" s="77"/>
      <c r="I87" s="77" t="str">
        <f t="shared" si="41"/>
        <v/>
      </c>
      <c r="J87" s="2"/>
      <c r="M87" s="21">
        <f>M86</f>
        <v>44211</v>
      </c>
      <c r="N87" s="10" t="s">
        <v>120</v>
      </c>
      <c r="O87" s="25"/>
      <c r="P87" s="25">
        <v>5</v>
      </c>
      <c r="Q87" s="25"/>
      <c r="R87" s="25">
        <v>5</v>
      </c>
      <c r="S87" s="25"/>
      <c r="T87" s="25">
        <v>5</v>
      </c>
      <c r="U87" s="25"/>
    </row>
    <row r="88" spans="3:21">
      <c r="C88" s="12">
        <f t="shared" ca="1" si="39"/>
        <v>1</v>
      </c>
      <c r="D88" s="22">
        <f t="shared" si="40"/>
        <v>44218</v>
      </c>
      <c r="E88" s="26">
        <f>IF(O88="","",IF(O88=0,1,0))</f>
        <v>1</v>
      </c>
      <c r="F88" s="26">
        <f t="shared" si="10"/>
        <v>1</v>
      </c>
      <c r="G88" s="26">
        <f t="shared" si="11"/>
        <v>1</v>
      </c>
      <c r="H88" s="26">
        <f t="shared" si="12"/>
        <v>1</v>
      </c>
      <c r="I88" s="26">
        <f t="shared" si="41"/>
        <v>1</v>
      </c>
      <c r="J88" s="26">
        <f t="shared" si="13"/>
        <v>1</v>
      </c>
      <c r="M88" s="21">
        <f t="shared" ref="M88:M93" si="43">M87+7</f>
        <v>44218</v>
      </c>
      <c r="N88" s="10" t="s">
        <v>24</v>
      </c>
      <c r="O88" s="25">
        <v>0</v>
      </c>
      <c r="P88" s="25">
        <v>0</v>
      </c>
      <c r="Q88" s="25">
        <v>0</v>
      </c>
      <c r="R88" s="25">
        <v>0</v>
      </c>
      <c r="S88" s="25">
        <v>0</v>
      </c>
      <c r="T88" s="25">
        <v>0</v>
      </c>
      <c r="U88" s="25"/>
    </row>
    <row r="89" spans="3:21">
      <c r="C89" s="12">
        <v>1</v>
      </c>
      <c r="D89" s="22">
        <f t="shared" ref="D89" si="44">IF(M89="","",M89)</f>
        <v>44225</v>
      </c>
      <c r="E89" s="26">
        <f t="shared" ref="E89" si="45">IF(O89="","",IF(O89=0,1,0))</f>
        <v>0</v>
      </c>
      <c r="F89" s="26" t="str">
        <f t="shared" ref="F89" si="46">IF(P89="","",IF(P89=0,1,0))</f>
        <v/>
      </c>
      <c r="G89" s="26">
        <f t="shared" ref="G89" si="47">IF(Q89="","",IF(Q89=0,1,0))</f>
        <v>1</v>
      </c>
      <c r="H89" s="26" t="str">
        <f t="shared" ref="H89" si="48">IF(R89="","",IF(R89=0,1,0))</f>
        <v/>
      </c>
      <c r="I89" s="26">
        <f t="shared" ref="I89" si="49">IF(S89="","",IF(S89=0,1,0))</f>
        <v>1</v>
      </c>
      <c r="J89" s="26">
        <f t="shared" ref="J89" si="50">IF(T89="","",IF(T89=0,1,0))</f>
        <v>0</v>
      </c>
      <c r="M89" s="21">
        <f t="shared" si="43"/>
        <v>44225</v>
      </c>
      <c r="N89" s="10" t="s">
        <v>24</v>
      </c>
      <c r="O89" s="25">
        <v>11</v>
      </c>
      <c r="P89" s="25"/>
      <c r="Q89" s="25">
        <v>0</v>
      </c>
      <c r="R89" s="25"/>
      <c r="S89" s="25">
        <v>0</v>
      </c>
      <c r="T89" s="25">
        <v>11</v>
      </c>
      <c r="U89" s="25"/>
    </row>
    <row r="90" spans="3:21">
      <c r="C90" s="12">
        <f t="shared" ref="C90:C92" ca="1" si="51">IF(D90&lt;=TODAY(),1,"")</f>
        <v>1</v>
      </c>
      <c r="D90" s="22">
        <f t="shared" ref="D90:D92" si="52">IF(M90="","",M90)</f>
        <v>44232</v>
      </c>
      <c r="E90" s="26">
        <f t="shared" ref="E90:E92" si="53">IF(O90="","",IF(O90=0,1,0))</f>
        <v>1</v>
      </c>
      <c r="F90" s="26">
        <f t="shared" ref="F90:F92" si="54">IF(P90="","",IF(P90=0,1,0))</f>
        <v>1</v>
      </c>
      <c r="G90" s="26">
        <f t="shared" ref="G90:G92" si="55">IF(Q90="","",IF(Q90=0,1,0))</f>
        <v>1</v>
      </c>
      <c r="H90" s="26">
        <f t="shared" ref="H90:H92" si="56">IF(R90="","",IF(R90=0,1,0))</f>
        <v>1</v>
      </c>
      <c r="I90" s="26">
        <f t="shared" ref="I90:I92" si="57">IF(S90="","",IF(S90=0,1,0))</f>
        <v>1</v>
      </c>
      <c r="J90" s="26">
        <f t="shared" ref="J90:J92" si="58">IF(T90="","",IF(T90=0,1,0))</f>
        <v>1</v>
      </c>
      <c r="M90" s="21">
        <f t="shared" si="43"/>
        <v>44232</v>
      </c>
      <c r="N90" s="10" t="s">
        <v>24</v>
      </c>
      <c r="O90" s="25">
        <v>0</v>
      </c>
      <c r="P90" s="25">
        <v>0</v>
      </c>
      <c r="Q90" s="25">
        <v>0</v>
      </c>
      <c r="R90" s="25">
        <v>0</v>
      </c>
      <c r="S90" s="25">
        <v>0</v>
      </c>
      <c r="T90" s="25">
        <v>0</v>
      </c>
      <c r="U90" s="25"/>
    </row>
    <row r="91" spans="3:21">
      <c r="C91" s="12">
        <f t="shared" ca="1" si="51"/>
        <v>1</v>
      </c>
      <c r="D91" s="22">
        <f t="shared" si="52"/>
        <v>44239</v>
      </c>
      <c r="E91" s="26">
        <f t="shared" si="53"/>
        <v>1</v>
      </c>
      <c r="F91" s="26">
        <f t="shared" si="54"/>
        <v>1</v>
      </c>
      <c r="G91" s="26">
        <f t="shared" si="55"/>
        <v>1</v>
      </c>
      <c r="H91" s="26" t="str">
        <f t="shared" si="56"/>
        <v/>
      </c>
      <c r="I91" s="26">
        <f t="shared" si="57"/>
        <v>1</v>
      </c>
      <c r="J91" s="26">
        <f t="shared" si="58"/>
        <v>1</v>
      </c>
      <c r="M91" s="21">
        <f t="shared" si="43"/>
        <v>44239</v>
      </c>
      <c r="N91" s="10" t="s">
        <v>24</v>
      </c>
      <c r="O91" s="25">
        <v>0</v>
      </c>
      <c r="P91" s="25">
        <v>0</v>
      </c>
      <c r="Q91" s="25">
        <v>0</v>
      </c>
      <c r="R91" s="25"/>
      <c r="S91" s="25">
        <v>0</v>
      </c>
      <c r="T91" s="25">
        <v>0</v>
      </c>
      <c r="U91" s="25"/>
    </row>
    <row r="92" spans="3:21">
      <c r="C92" s="12">
        <f t="shared" ca="1" si="51"/>
        <v>1</v>
      </c>
      <c r="D92" s="22">
        <f t="shared" si="52"/>
        <v>44246</v>
      </c>
      <c r="E92" s="26">
        <f t="shared" si="53"/>
        <v>1</v>
      </c>
      <c r="F92" s="26">
        <f t="shared" si="54"/>
        <v>1</v>
      </c>
      <c r="G92" s="26">
        <f t="shared" si="55"/>
        <v>0</v>
      </c>
      <c r="H92" s="26" t="str">
        <f t="shared" si="56"/>
        <v/>
      </c>
      <c r="I92" s="26">
        <f t="shared" si="57"/>
        <v>0</v>
      </c>
      <c r="J92" s="26">
        <f t="shared" si="58"/>
        <v>1</v>
      </c>
      <c r="M92" s="21">
        <f t="shared" si="43"/>
        <v>44246</v>
      </c>
      <c r="N92" s="10" t="s">
        <v>24</v>
      </c>
      <c r="O92" s="25">
        <v>0</v>
      </c>
      <c r="P92" s="25">
        <v>0</v>
      </c>
      <c r="Q92" s="25">
        <v>11</v>
      </c>
      <c r="R92" s="25"/>
      <c r="S92" s="25">
        <v>11</v>
      </c>
      <c r="T92" s="25">
        <v>0</v>
      </c>
      <c r="U92" s="25"/>
    </row>
    <row r="93" spans="3:21">
      <c r="C93" s="12">
        <f t="shared" ref="C93" ca="1" si="59">IF(D93&lt;=TODAY(),1,"")</f>
        <v>1</v>
      </c>
      <c r="D93" s="22">
        <f t="shared" ref="D93" si="60">IF(M93="","",M93)</f>
        <v>44253</v>
      </c>
      <c r="E93" s="26">
        <f t="shared" ref="E93" si="61">IF(O93="","",IF(O93=0,1,0))</f>
        <v>1</v>
      </c>
      <c r="F93" s="26">
        <f t="shared" ref="F93" si="62">IF(P93="","",IF(P93=0,1,0))</f>
        <v>1</v>
      </c>
      <c r="G93" s="26">
        <f t="shared" ref="G93" si="63">IF(Q93="","",IF(Q93=0,1,0))</f>
        <v>1</v>
      </c>
      <c r="H93" s="26">
        <f t="shared" ref="H93" si="64">IF(R93="","",IF(R93=0,1,0))</f>
        <v>1</v>
      </c>
      <c r="I93" s="26">
        <f t="shared" ref="I93" si="65">IF(S93="","",IF(S93=0,1,0))</f>
        <v>1</v>
      </c>
      <c r="J93" s="26">
        <f t="shared" ref="J93" si="66">IF(T93="","",IF(T93=0,1,0))</f>
        <v>0</v>
      </c>
      <c r="M93" s="21">
        <f t="shared" si="43"/>
        <v>44253</v>
      </c>
      <c r="N93" s="10" t="s">
        <v>24</v>
      </c>
      <c r="O93" s="25">
        <v>0</v>
      </c>
      <c r="P93" s="25">
        <v>0</v>
      </c>
      <c r="Q93" s="25">
        <v>0</v>
      </c>
      <c r="R93" s="25">
        <v>0</v>
      </c>
      <c r="S93" s="25">
        <v>0</v>
      </c>
      <c r="T93" s="25">
        <v>11</v>
      </c>
      <c r="U93" s="25"/>
    </row>
    <row r="94" spans="3:21">
      <c r="C94" s="12">
        <f t="shared" ref="C94:C98" ca="1" si="67">IF(D94&lt;=TODAY(),1,"")</f>
        <v>1</v>
      </c>
      <c r="D94" s="22">
        <f t="shared" ref="D94:D95" si="68">IF(M94="","",M94)</f>
        <v>44260</v>
      </c>
      <c r="E94" s="26">
        <f t="shared" ref="E94:E98" si="69">IF(O94="","",IF(O94=0,1,0))</f>
        <v>0</v>
      </c>
      <c r="F94" s="26">
        <f t="shared" ref="F94:F98" si="70">IF(P94="","",IF(P94=0,1,0))</f>
        <v>1</v>
      </c>
      <c r="G94" s="26">
        <f t="shared" ref="G94:G98" si="71">IF(Q94="","",IF(Q94=0,1,0))</f>
        <v>1</v>
      </c>
      <c r="H94" s="26" t="str">
        <f t="shared" ref="H94:H98" si="72">IF(R94="","",IF(R94=0,1,0))</f>
        <v/>
      </c>
      <c r="I94" s="26">
        <f t="shared" ref="I94:I98" si="73">IF(S94="","",IF(S94=0,1,0))</f>
        <v>1</v>
      </c>
      <c r="J94" s="26">
        <f t="shared" ref="J94:J98" si="74">IF(T94="","",IF(T94=0,1,0))</f>
        <v>1</v>
      </c>
      <c r="M94" s="21">
        <f>M93+7</f>
        <v>44260</v>
      </c>
      <c r="N94" s="10" t="s">
        <v>24</v>
      </c>
      <c r="O94" s="25">
        <v>11</v>
      </c>
      <c r="P94" s="25">
        <v>0</v>
      </c>
      <c r="Q94" s="25">
        <v>0</v>
      </c>
      <c r="R94" s="25"/>
      <c r="S94" s="25">
        <v>0</v>
      </c>
      <c r="T94" s="25">
        <v>0</v>
      </c>
    </row>
    <row r="95" spans="3:21">
      <c r="C95" s="12">
        <f t="shared" ca="1" si="67"/>
        <v>1</v>
      </c>
      <c r="D95" s="22">
        <f t="shared" si="68"/>
        <v>44267</v>
      </c>
      <c r="E95" s="26">
        <f t="shared" si="69"/>
        <v>1</v>
      </c>
      <c r="F95" s="26">
        <f t="shared" si="70"/>
        <v>1</v>
      </c>
      <c r="G95" s="26">
        <f t="shared" si="71"/>
        <v>1</v>
      </c>
      <c r="H95" s="26">
        <f t="shared" si="72"/>
        <v>1</v>
      </c>
      <c r="I95" s="26">
        <f t="shared" si="73"/>
        <v>1</v>
      </c>
      <c r="J95" s="26">
        <f t="shared" si="74"/>
        <v>1</v>
      </c>
      <c r="M95" s="21">
        <f>M94+7</f>
        <v>44267</v>
      </c>
      <c r="N95" s="10" t="s">
        <v>24</v>
      </c>
      <c r="O95" s="25">
        <v>0</v>
      </c>
      <c r="P95" s="25">
        <v>0</v>
      </c>
      <c r="Q95" s="25">
        <v>0</v>
      </c>
      <c r="R95" s="25">
        <v>0</v>
      </c>
      <c r="S95" s="25">
        <v>0</v>
      </c>
      <c r="T95" s="25">
        <v>0</v>
      </c>
    </row>
    <row r="96" spans="3:21">
      <c r="C96" s="12">
        <f t="shared" ref="C96:C97" ca="1" si="75">IF(D96&lt;=TODAY(),1,"")</f>
        <v>1</v>
      </c>
      <c r="D96" s="22">
        <f t="shared" ref="D96:D98" si="76">IF(M96="","",M96)</f>
        <v>44274</v>
      </c>
      <c r="E96" s="26">
        <f t="shared" ref="E96:E97" si="77">IF(O96="","",IF(O96=0,1,0))</f>
        <v>1</v>
      </c>
      <c r="F96" s="26" t="str">
        <f t="shared" ref="F96:F97" si="78">IF(P96="","",IF(P96=0,1,0))</f>
        <v/>
      </c>
      <c r="G96" s="26">
        <f t="shared" ref="G96:G97" si="79">IF(Q96="","",IF(Q96=0,1,0))</f>
        <v>1</v>
      </c>
      <c r="H96" s="26">
        <f t="shared" ref="H96:H97" si="80">IF(R96="","",IF(R96=0,1,0))</f>
        <v>1</v>
      </c>
      <c r="I96" s="26">
        <f t="shared" ref="I96:I97" si="81">IF(S96="","",IF(S96=0,1,0))</f>
        <v>1</v>
      </c>
      <c r="J96" s="26">
        <f t="shared" ref="J96:J97" si="82">IF(T96="","",IF(T96=0,1,0))</f>
        <v>1</v>
      </c>
      <c r="M96" s="21">
        <f>M95+7</f>
        <v>44274</v>
      </c>
      <c r="N96" s="10" t="s">
        <v>24</v>
      </c>
      <c r="O96" s="25">
        <v>0</v>
      </c>
      <c r="P96" s="25"/>
      <c r="Q96" s="25">
        <v>0</v>
      </c>
      <c r="R96" s="25">
        <v>0</v>
      </c>
      <c r="S96" s="25">
        <v>0</v>
      </c>
      <c r="T96" s="25">
        <v>0</v>
      </c>
    </row>
    <row r="97" spans="3:20">
      <c r="C97" s="12">
        <f t="shared" ca="1" si="75"/>
        <v>1</v>
      </c>
      <c r="D97" s="22">
        <f t="shared" si="76"/>
        <v>44281</v>
      </c>
      <c r="E97" s="26">
        <f t="shared" si="77"/>
        <v>1</v>
      </c>
      <c r="F97" s="26">
        <f t="shared" si="78"/>
        <v>1</v>
      </c>
      <c r="G97" s="26">
        <f t="shared" si="79"/>
        <v>1</v>
      </c>
      <c r="H97" s="26" t="str">
        <f t="shared" si="80"/>
        <v/>
      </c>
      <c r="I97" s="26">
        <f t="shared" si="81"/>
        <v>1</v>
      </c>
      <c r="J97" s="26">
        <f t="shared" si="82"/>
        <v>0</v>
      </c>
      <c r="M97" s="21">
        <f t="shared" ref="M97" si="83">M96+7</f>
        <v>44281</v>
      </c>
      <c r="N97" s="10" t="s">
        <v>24</v>
      </c>
      <c r="O97" s="25">
        <v>0</v>
      </c>
      <c r="P97" s="25">
        <v>0</v>
      </c>
      <c r="Q97" s="25">
        <v>0</v>
      </c>
      <c r="R97" s="25"/>
      <c r="S97" s="25">
        <v>0</v>
      </c>
      <c r="T97" s="25">
        <v>11</v>
      </c>
    </row>
    <row r="98" spans="3:20">
      <c r="C98" s="12">
        <f t="shared" ca="1" si="67"/>
        <v>1</v>
      </c>
      <c r="D98" s="22">
        <f t="shared" si="76"/>
        <v>44295</v>
      </c>
      <c r="E98" s="26">
        <f t="shared" si="69"/>
        <v>1</v>
      </c>
      <c r="F98" s="26">
        <f t="shared" si="70"/>
        <v>1</v>
      </c>
      <c r="G98" s="26">
        <f t="shared" si="71"/>
        <v>1</v>
      </c>
      <c r="H98" s="26">
        <f t="shared" si="72"/>
        <v>1</v>
      </c>
      <c r="I98" s="26">
        <f t="shared" si="73"/>
        <v>1</v>
      </c>
      <c r="J98" s="26">
        <f t="shared" si="74"/>
        <v>1</v>
      </c>
      <c r="M98" s="21">
        <f>M97+14</f>
        <v>44295</v>
      </c>
      <c r="N98" s="10" t="s">
        <v>24</v>
      </c>
      <c r="O98" s="25">
        <v>0</v>
      </c>
      <c r="P98" s="25">
        <v>0</v>
      </c>
      <c r="Q98" s="25">
        <v>0</v>
      </c>
      <c r="R98" s="25">
        <v>0</v>
      </c>
      <c r="S98" s="25">
        <v>0</v>
      </c>
      <c r="T98" s="25">
        <v>0</v>
      </c>
    </row>
    <row r="99" spans="3:20">
      <c r="C99" s="12">
        <f t="shared" ref="C99:C103" ca="1" si="84">IF(D99&lt;=TODAY(),1,"")</f>
        <v>1</v>
      </c>
      <c r="D99" s="22">
        <f t="shared" ref="D99:D105" si="85">IF(M99="","",M99)</f>
        <v>44302</v>
      </c>
      <c r="E99" s="26">
        <f t="shared" ref="E99:E102" si="86">IF(O99="","",IF(O99=0,1,0))</f>
        <v>1</v>
      </c>
      <c r="F99" s="26">
        <f t="shared" ref="F99:F102" si="87">IF(P99="","",IF(P99=0,1,0))</f>
        <v>1</v>
      </c>
      <c r="G99" s="26">
        <f t="shared" ref="G99:G102" si="88">IF(Q99="","",IF(Q99=0,1,0))</f>
        <v>1</v>
      </c>
      <c r="H99" s="26">
        <f t="shared" ref="H99:H102" si="89">IF(R99="","",IF(R99=0,1,0))</f>
        <v>1</v>
      </c>
      <c r="I99" s="26">
        <f t="shared" ref="I99:I104" si="90">IF(S99="","",IF(S99=0,1,0))</f>
        <v>1</v>
      </c>
      <c r="J99" s="26">
        <f t="shared" ref="J99:J102" si="91">IF(T99="","",IF(T99=0,1,0))</f>
        <v>1</v>
      </c>
      <c r="M99" s="21">
        <f>M98+7</f>
        <v>44302</v>
      </c>
      <c r="N99" s="10" t="s">
        <v>24</v>
      </c>
      <c r="O99" s="25">
        <v>0</v>
      </c>
      <c r="P99" s="25">
        <v>0</v>
      </c>
      <c r="Q99" s="25">
        <v>0</v>
      </c>
      <c r="R99" s="25">
        <v>0</v>
      </c>
      <c r="S99" s="25">
        <v>0</v>
      </c>
      <c r="T99" s="25">
        <v>0</v>
      </c>
    </row>
    <row r="100" spans="3:20">
      <c r="C100" s="12">
        <f t="shared" ca="1" si="84"/>
        <v>1</v>
      </c>
      <c r="D100" s="22">
        <f t="shared" si="85"/>
        <v>44309</v>
      </c>
      <c r="E100" s="26">
        <f t="shared" si="86"/>
        <v>1</v>
      </c>
      <c r="F100" s="26">
        <f t="shared" si="87"/>
        <v>1</v>
      </c>
      <c r="G100" s="26">
        <f t="shared" si="88"/>
        <v>1</v>
      </c>
      <c r="H100" s="26" t="str">
        <f t="shared" si="89"/>
        <v/>
      </c>
      <c r="I100" s="26">
        <f t="shared" si="90"/>
        <v>1</v>
      </c>
      <c r="J100" s="26">
        <f t="shared" si="91"/>
        <v>1</v>
      </c>
      <c r="M100" s="21">
        <f>M99+7</f>
        <v>44309</v>
      </c>
      <c r="N100" s="10" t="s">
        <v>24</v>
      </c>
      <c r="O100" s="25">
        <v>0</v>
      </c>
      <c r="P100" s="25">
        <v>0</v>
      </c>
      <c r="Q100" s="25">
        <v>0</v>
      </c>
      <c r="R100" s="25"/>
      <c r="S100" s="25">
        <v>0</v>
      </c>
      <c r="T100" s="25">
        <v>0</v>
      </c>
    </row>
    <row r="101" spans="3:20">
      <c r="C101" s="12">
        <f t="shared" ca="1" si="84"/>
        <v>1</v>
      </c>
      <c r="D101" s="22">
        <f t="shared" si="85"/>
        <v>44316</v>
      </c>
      <c r="E101" s="26">
        <f t="shared" si="86"/>
        <v>1</v>
      </c>
      <c r="F101" s="26">
        <f t="shared" si="87"/>
        <v>1</v>
      </c>
      <c r="G101" s="26">
        <f t="shared" si="88"/>
        <v>0</v>
      </c>
      <c r="H101" s="26" t="str">
        <f t="shared" si="89"/>
        <v/>
      </c>
      <c r="I101" s="26">
        <f t="shared" si="90"/>
        <v>1</v>
      </c>
      <c r="J101" s="26">
        <f t="shared" si="91"/>
        <v>1</v>
      </c>
      <c r="M101" s="21">
        <f>M100+7</f>
        <v>44316</v>
      </c>
      <c r="N101" s="10" t="s">
        <v>24</v>
      </c>
      <c r="O101" s="25">
        <v>0</v>
      </c>
      <c r="P101" s="25">
        <v>0</v>
      </c>
      <c r="Q101" s="25">
        <v>11</v>
      </c>
      <c r="R101" s="25"/>
      <c r="S101" s="25">
        <v>0</v>
      </c>
      <c r="T101" s="25">
        <v>0</v>
      </c>
    </row>
    <row r="102" spans="3:20">
      <c r="C102" s="12">
        <f t="shared" ca="1" si="84"/>
        <v>1</v>
      </c>
      <c r="D102" s="22">
        <f t="shared" si="85"/>
        <v>44323</v>
      </c>
      <c r="E102" s="26">
        <f t="shared" si="86"/>
        <v>1</v>
      </c>
      <c r="F102" s="26">
        <f t="shared" si="87"/>
        <v>1</v>
      </c>
      <c r="G102" s="26">
        <f t="shared" si="88"/>
        <v>1</v>
      </c>
      <c r="H102" s="26" t="str">
        <f t="shared" si="89"/>
        <v/>
      </c>
      <c r="I102" s="26">
        <f t="shared" si="90"/>
        <v>0</v>
      </c>
      <c r="J102" s="26">
        <f t="shared" si="91"/>
        <v>1</v>
      </c>
      <c r="M102" s="21">
        <f>M101+7</f>
        <v>44323</v>
      </c>
      <c r="N102" s="10" t="s">
        <v>24</v>
      </c>
      <c r="O102" s="25">
        <v>0</v>
      </c>
      <c r="P102" s="25">
        <v>0</v>
      </c>
      <c r="Q102" s="25">
        <v>0</v>
      </c>
      <c r="R102" s="25"/>
      <c r="S102" s="25">
        <v>11</v>
      </c>
      <c r="T102" s="25">
        <v>0</v>
      </c>
    </row>
    <row r="103" spans="3:20">
      <c r="C103" s="12">
        <f t="shared" ca="1" si="84"/>
        <v>1</v>
      </c>
      <c r="D103" s="22">
        <f t="shared" si="85"/>
        <v>44330</v>
      </c>
      <c r="E103" s="26">
        <f t="shared" ref="E103" si="92">IF(O103="","",IF(O103=0,1,0))</f>
        <v>1</v>
      </c>
      <c r="F103" s="26"/>
      <c r="G103" s="26">
        <f t="shared" ref="G103" si="93">IF(Q103="","",IF(Q103=0,1,0))</f>
        <v>1</v>
      </c>
      <c r="H103" s="26" t="str">
        <f t="shared" ref="H103" si="94">IF(R103="","",IF(R103=0,1,0))</f>
        <v/>
      </c>
      <c r="I103" s="26">
        <f>IF(S103="","",IF(S103=0,1,0))</f>
        <v>1</v>
      </c>
      <c r="J103" s="26">
        <f t="shared" ref="J103" si="95">IF(T103="","",IF(T103=0,1,0))</f>
        <v>1</v>
      </c>
      <c r="M103" s="21">
        <f>M102+7</f>
        <v>44330</v>
      </c>
      <c r="N103" s="10" t="s">
        <v>24</v>
      </c>
      <c r="O103" s="25">
        <v>0</v>
      </c>
      <c r="P103" s="25"/>
      <c r="Q103" s="25">
        <v>0</v>
      </c>
      <c r="R103" s="25"/>
      <c r="S103" s="25">
        <v>0</v>
      </c>
      <c r="T103" s="25">
        <v>0</v>
      </c>
    </row>
    <row r="104" spans="3:20">
      <c r="C104" s="76"/>
      <c r="D104" s="77"/>
      <c r="E104" s="77"/>
      <c r="F104" s="77" t="str">
        <f>IF(P104="","",IF(P104=0,1,0))</f>
        <v/>
      </c>
      <c r="G104" s="77" t="str">
        <f>IF(Q104="","",IF(Q104=0,1,0))</f>
        <v/>
      </c>
      <c r="H104" s="77"/>
      <c r="I104" s="77" t="str">
        <f t="shared" si="90"/>
        <v/>
      </c>
      <c r="J104" s="2" t="str">
        <f>IF(T104="","",IF(T104=0,1,0))</f>
        <v/>
      </c>
      <c r="M104" s="21">
        <f>M103</f>
        <v>44330</v>
      </c>
      <c r="N104" s="10" t="s">
        <v>46</v>
      </c>
      <c r="O104" s="25">
        <v>2.75</v>
      </c>
      <c r="P104" s="25"/>
      <c r="Q104" s="25"/>
      <c r="R104" s="25"/>
      <c r="S104" s="25"/>
      <c r="T104" s="25"/>
    </row>
    <row r="105" spans="3:20">
      <c r="C105" s="12">
        <f ca="1">IF(D105&lt;=TODAY(),1,"")</f>
        <v>1</v>
      </c>
      <c r="D105" s="22">
        <f t="shared" si="85"/>
        <v>44337</v>
      </c>
      <c r="E105" s="26">
        <f>IF(O105="","",IF(O105=0,1,0))</f>
        <v>1</v>
      </c>
      <c r="F105" s="26">
        <f t="shared" ref="F105:H105" si="96">IF(P105="","",IF(P105=0,1,0))</f>
        <v>1</v>
      </c>
      <c r="G105" s="26">
        <f>IF(Q105="","",IF(Q105=0,1,0))</f>
        <v>0</v>
      </c>
      <c r="H105" s="26">
        <f t="shared" si="96"/>
        <v>1</v>
      </c>
      <c r="I105" s="26">
        <f>IF(S105="","",IF(S105=0,1,0))</f>
        <v>1</v>
      </c>
      <c r="J105" s="26">
        <f>IF(T105="","",IF(T105=0,1,0))</f>
        <v>1</v>
      </c>
      <c r="M105" s="21">
        <f>M103+7</f>
        <v>44337</v>
      </c>
      <c r="N105" s="10" t="s">
        <v>24</v>
      </c>
      <c r="O105" s="25">
        <v>0</v>
      </c>
      <c r="P105" s="25">
        <v>0</v>
      </c>
      <c r="Q105" s="25">
        <v>11</v>
      </c>
      <c r="R105" s="25">
        <v>0</v>
      </c>
      <c r="S105" s="25">
        <v>0</v>
      </c>
      <c r="T105" s="25">
        <v>0</v>
      </c>
    </row>
  </sheetData>
  <sortState xmlns:xlrd2="http://schemas.microsoft.com/office/spreadsheetml/2017/richdata2" ref="D8:G14">
    <sortCondition descending="1" ref="E8:E14"/>
    <sortCondition ref="D8:D14"/>
  </sortState>
  <mergeCells count="40">
    <mergeCell ref="V5:W7"/>
    <mergeCell ref="V8:W8"/>
    <mergeCell ref="V9:W9"/>
    <mergeCell ref="V10:W10"/>
    <mergeCell ref="V11:W11"/>
    <mergeCell ref="Q10:R10"/>
    <mergeCell ref="Q11:R11"/>
    <mergeCell ref="V12:W12"/>
    <mergeCell ref="V13:W13"/>
    <mergeCell ref="Q12:R12"/>
    <mergeCell ref="T5:U5"/>
    <mergeCell ref="Q13:R13"/>
    <mergeCell ref="Q16:R16"/>
    <mergeCell ref="O5:S5"/>
    <mergeCell ref="S14:T14"/>
    <mergeCell ref="Q14:R14"/>
    <mergeCell ref="S12:T12"/>
    <mergeCell ref="S13:T13"/>
    <mergeCell ref="S7:T7"/>
    <mergeCell ref="S8:T8"/>
    <mergeCell ref="S9:T9"/>
    <mergeCell ref="S10:T10"/>
    <mergeCell ref="S11:T11"/>
    <mergeCell ref="Q7:R7"/>
    <mergeCell ref="Q8:R8"/>
    <mergeCell ref="Q9:R9"/>
    <mergeCell ref="X9:Y9"/>
    <mergeCell ref="Z5:AA7"/>
    <mergeCell ref="Z13:AA13"/>
    <mergeCell ref="Z12:AA12"/>
    <mergeCell ref="Z10:AA10"/>
    <mergeCell ref="Z11:AA11"/>
    <mergeCell ref="Z8:AA8"/>
    <mergeCell ref="Z9:AA9"/>
    <mergeCell ref="X5:Y7"/>
    <mergeCell ref="X8:Y8"/>
    <mergeCell ref="X12:Y12"/>
    <mergeCell ref="X11:Y11"/>
    <mergeCell ref="X10:Y10"/>
    <mergeCell ref="X13:Y14"/>
  </mergeCells>
  <conditionalFormatting sqref="E77">
    <cfRule type="cellIs" dxfId="73" priority="64" operator="equal">
      <formula>0</formula>
    </cfRule>
  </conditionalFormatting>
  <conditionalFormatting sqref="E79:E80">
    <cfRule type="cellIs" dxfId="72" priority="60" operator="equal">
      <formula>0</formula>
    </cfRule>
  </conditionalFormatting>
  <conditionalFormatting sqref="E86">
    <cfRule type="cellIs" dxfId="71" priority="50" operator="equal">
      <formula>0</formula>
    </cfRule>
  </conditionalFormatting>
  <conditionalFormatting sqref="E89">
    <cfRule type="cellIs" dxfId="70" priority="48" operator="equal">
      <formula>0</formula>
    </cfRule>
  </conditionalFormatting>
  <conditionalFormatting sqref="E94">
    <cfRule type="cellIs" dxfId="69" priority="40" operator="equal">
      <formula>0</formula>
    </cfRule>
  </conditionalFormatting>
  <conditionalFormatting sqref="E25:J30 E32:J32 E34:J43 E49:J50 E52:J52 E54:J58 E82:J82">
    <cfRule type="cellIs" dxfId="68" priority="207" operator="equal">
      <formula>1</formula>
    </cfRule>
  </conditionalFormatting>
  <conditionalFormatting sqref="E25:J30 E32:J32 E34:J43 E49:J50 E52:J52 E54:J58">
    <cfRule type="cellIs" dxfId="67" priority="206" operator="equal">
      <formula>0</formula>
    </cfRule>
  </conditionalFormatting>
  <conditionalFormatting sqref="E45:J47">
    <cfRule type="cellIs" dxfId="66" priority="124" operator="equal">
      <formula>0</formula>
    </cfRule>
    <cfRule type="cellIs" dxfId="65" priority="125" operator="equal">
      <formula>1</formula>
    </cfRule>
  </conditionalFormatting>
  <conditionalFormatting sqref="E60:J62 E64:J66 E68:J69 E71:J72 E74:J76">
    <cfRule type="cellIs" dxfId="64" priority="104" operator="equal">
      <formula>0</formula>
    </cfRule>
  </conditionalFormatting>
  <conditionalFormatting sqref="E60:J62 E64:J66 E68:J69 E71:J72">
    <cfRule type="cellIs" dxfId="63" priority="105" operator="equal">
      <formula>1</formula>
    </cfRule>
  </conditionalFormatting>
  <conditionalFormatting sqref="E74:J80">
    <cfRule type="cellIs" dxfId="62" priority="61" operator="equal">
      <formula>1</formula>
    </cfRule>
  </conditionalFormatting>
  <conditionalFormatting sqref="E84:J86">
    <cfRule type="cellIs" dxfId="61" priority="51" operator="equal">
      <formula>1</formula>
    </cfRule>
  </conditionalFormatting>
  <conditionalFormatting sqref="E88:J103">
    <cfRule type="cellIs" dxfId="60" priority="33" operator="equal">
      <formula>1</formula>
    </cfRule>
  </conditionalFormatting>
  <conditionalFormatting sqref="E105:J105">
    <cfRule type="cellIs" dxfId="59" priority="2" operator="equal">
      <formula>1</formula>
    </cfRule>
  </conditionalFormatting>
  <conditionalFormatting sqref="G85:G86">
    <cfRule type="cellIs" dxfId="58" priority="52" operator="equal">
      <formula>0</formula>
    </cfRule>
  </conditionalFormatting>
  <conditionalFormatting sqref="G92">
    <cfRule type="cellIs" dxfId="57" priority="44" operator="equal">
      <formula>0</formula>
    </cfRule>
  </conditionalFormatting>
  <conditionalFormatting sqref="G101">
    <cfRule type="cellIs" dxfId="56" priority="34" operator="equal">
      <formula>0</formula>
    </cfRule>
  </conditionalFormatting>
  <conditionalFormatting sqref="G105">
    <cfRule type="cellIs" dxfId="55" priority="1" operator="equal">
      <formula>0</formula>
    </cfRule>
  </conditionalFormatting>
  <conditionalFormatting sqref="G84:I84">
    <cfRule type="cellIs" dxfId="54" priority="56" operator="equal">
      <formula>0</formula>
    </cfRule>
  </conditionalFormatting>
  <conditionalFormatting sqref="I85:I86">
    <cfRule type="cellIs" dxfId="53" priority="54" operator="equal">
      <formula>0</formula>
    </cfRule>
  </conditionalFormatting>
  <conditionalFormatting sqref="I92">
    <cfRule type="cellIs" dxfId="52" priority="42" operator="equal">
      <formula>0</formula>
    </cfRule>
  </conditionalFormatting>
  <conditionalFormatting sqref="I102:I103">
    <cfRule type="cellIs" dxfId="51" priority="32" operator="equal">
      <formula>0</formula>
    </cfRule>
  </conditionalFormatting>
  <conditionalFormatting sqref="I105">
    <cfRule type="cellIs" dxfId="50" priority="5" operator="equal">
      <formula>0</formula>
    </cfRule>
  </conditionalFormatting>
  <conditionalFormatting sqref="J89">
    <cfRule type="cellIs" dxfId="49" priority="46" operator="equal">
      <formula>0</formula>
    </cfRule>
  </conditionalFormatting>
  <conditionalFormatting sqref="J93">
    <cfRule type="cellIs" dxfId="48" priority="38" operator="equal">
      <formula>0</formula>
    </cfRule>
  </conditionalFormatting>
  <conditionalFormatting sqref="J97">
    <cfRule type="cellIs" dxfId="47" priority="36" operator="equal">
      <formula>0</formula>
    </cfRule>
  </conditionalFormatting>
  <conditionalFormatting sqref="O76:T105">
    <cfRule type="cellIs" dxfId="46" priority="20" operator="equal">
      <formula>0</formula>
    </cfRule>
    <cfRule type="cellIs" dxfId="45" priority="21" operator="greaterThan">
      <formula>0</formula>
    </cfRule>
  </conditionalFormatting>
  <conditionalFormatting sqref="O24:U75">
    <cfRule type="cellIs" dxfId="44" priority="66" operator="equal">
      <formula>0</formula>
    </cfRule>
    <cfRule type="cellIs" dxfId="43" priority="67" operator="greaterThan">
      <formula>0</formula>
    </cfRule>
  </conditionalFormatting>
  <conditionalFormatting sqref="U76:U93">
    <cfRule type="cellIs" dxfId="42" priority="292" operator="equal">
      <formula>0</formula>
    </cfRule>
    <cfRule type="cellIs" dxfId="41" priority="293" operator="greaterThan">
      <formula>0</formula>
    </cfRule>
  </conditionalFormatting>
  <pageMargins left="0.7" right="0.7" top="0.78740157499999996" bottom="0.78740157499999996" header="0.3" footer="0.3"/>
  <pageSetup paperSize="9" orientation="portrait" r:id="rId1"/>
  <ignoredErrors>
    <ignoredError sqref="G25 M34:M38 M45" formula="1"/>
  </ignoredError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A1:AC76"/>
  <sheetViews>
    <sheetView zoomScale="85" zoomScaleNormal="85" workbookViewId="0">
      <pane xSplit="14" ySplit="23" topLeftCell="O24" activePane="bottomRight" state="frozen"/>
      <selection pane="topRight" activeCell="P1" sqref="P1"/>
      <selection pane="bottomLeft" activeCell="A24" sqref="A24"/>
      <selection pane="bottomRight" activeCell="O21" sqref="O21:T21"/>
    </sheetView>
  </sheetViews>
  <sheetFormatPr defaultColWidth="11.3828125" defaultRowHeight="16.75"/>
  <cols>
    <col min="1" max="1" width="1.69140625" style="1" customWidth="1"/>
    <col min="2" max="2" width="1.3828125" style="1" customWidth="1"/>
    <col min="3" max="3" width="3.84375" style="2" bestFit="1" customWidth="1"/>
    <col min="4" max="4" width="12.15234375" style="1" bestFit="1" customWidth="1"/>
    <col min="5" max="10" width="7.15234375" style="1" customWidth="1"/>
    <col min="11" max="12" width="1.3828125" style="1" customWidth="1"/>
    <col min="13" max="13" width="12.15234375" style="29" bestFit="1" customWidth="1"/>
    <col min="14" max="14" width="26.53515625" style="1" customWidth="1"/>
    <col min="15" max="15" width="16.69140625" style="1" customWidth="1"/>
    <col min="16" max="17" width="14.3828125" style="1" customWidth="1"/>
    <col min="18" max="18" width="13.3828125" style="1" customWidth="1"/>
    <col min="19" max="19" width="14.3828125" style="1" customWidth="1"/>
    <col min="20" max="20" width="20.3828125" style="1" customWidth="1"/>
    <col min="21" max="21" width="5.3828125" style="1" hidden="1" customWidth="1"/>
    <col min="22" max="22" width="11.3828125" style="1"/>
    <col min="23" max="24" width="11.69140625" style="1" bestFit="1" customWidth="1"/>
    <col min="25" max="16384" width="11.3828125" style="1"/>
  </cols>
  <sheetData>
    <row r="1" spans="2:21" ht="8.25" customHeight="1"/>
    <row r="2" spans="2:21" ht="40.5" customHeight="1">
      <c r="C2" s="3" t="s">
        <v>5</v>
      </c>
      <c r="D2" s="4"/>
      <c r="E2" s="4"/>
      <c r="F2" s="4"/>
      <c r="G2" s="4"/>
      <c r="H2" s="4"/>
      <c r="I2" s="4"/>
      <c r="J2" s="4"/>
      <c r="K2" s="4"/>
      <c r="L2" s="4"/>
      <c r="M2" s="30"/>
      <c r="N2" s="4"/>
      <c r="O2" s="4"/>
      <c r="P2" s="4"/>
      <c r="Q2" s="4"/>
      <c r="R2" s="4"/>
      <c r="S2" s="5"/>
      <c r="T2" s="5"/>
      <c r="U2" s="4"/>
    </row>
    <row r="3" spans="2:21" ht="8.25" customHeight="1"/>
    <row r="4" spans="2:21" ht="9.75" customHeight="1"/>
    <row r="5" spans="2:21" ht="21.75" customHeight="1">
      <c r="B5" s="6"/>
      <c r="C5" s="7" t="s">
        <v>13</v>
      </c>
      <c r="D5" s="8"/>
      <c r="E5" s="8"/>
      <c r="F5" s="8"/>
      <c r="G5" s="8"/>
      <c r="H5" s="8"/>
      <c r="I5" s="9"/>
      <c r="J5" s="9"/>
      <c r="L5" s="6"/>
      <c r="M5" s="31" t="s">
        <v>14</v>
      </c>
      <c r="N5" s="8"/>
      <c r="O5" s="234" t="s">
        <v>31</v>
      </c>
      <c r="P5" s="234"/>
      <c r="Q5" s="234"/>
      <c r="R5" s="234"/>
      <c r="S5" s="235"/>
      <c r="T5" s="236">
        <f>O16+S16</f>
        <v>1395.45</v>
      </c>
      <c r="U5" s="237"/>
    </row>
    <row r="6" spans="2:21" ht="23.25" customHeight="1">
      <c r="B6" s="6"/>
      <c r="L6" s="6"/>
    </row>
    <row r="7" spans="2:21">
      <c r="B7" s="6"/>
      <c r="D7" s="33" t="s">
        <v>6</v>
      </c>
      <c r="E7" s="35" t="s">
        <v>7</v>
      </c>
      <c r="F7" s="35" t="s">
        <v>8</v>
      </c>
      <c r="G7" s="35" t="s">
        <v>9</v>
      </c>
      <c r="H7" s="11"/>
      <c r="I7" s="11"/>
      <c r="J7" s="11"/>
      <c r="L7" s="6"/>
      <c r="N7" s="33" t="s">
        <v>6</v>
      </c>
      <c r="O7" s="68" t="s">
        <v>16</v>
      </c>
      <c r="P7" s="68" t="s">
        <v>17</v>
      </c>
      <c r="Q7" s="244" t="s">
        <v>26</v>
      </c>
      <c r="R7" s="244"/>
      <c r="S7" s="245" t="s">
        <v>27</v>
      </c>
      <c r="T7" s="245"/>
      <c r="U7" s="34"/>
    </row>
    <row r="8" spans="2:21">
      <c r="B8" s="6">
        <v>1</v>
      </c>
      <c r="C8" s="12">
        <f>B8</f>
        <v>1</v>
      </c>
      <c r="D8" s="10" t="str">
        <f t="shared" ref="D8:D13" si="0">HLOOKUP($B8,$E$17:$J$20,2,FALSE)</f>
        <v>PKN</v>
      </c>
      <c r="E8" s="12">
        <f t="shared" ref="E8:E13" si="1">ROUND(HLOOKUP(D8,$E$18:$J$20,3,FALSE),0)</f>
        <v>40</v>
      </c>
      <c r="F8" s="64">
        <f t="shared" ref="F8:F13" ca="1" si="2">E8/$C$20</f>
        <v>0.85106382978723405</v>
      </c>
      <c r="G8" s="28">
        <f t="shared" ref="G8:G13" ca="1" si="3">1-F8</f>
        <v>0.14893617021276595</v>
      </c>
      <c r="L8" s="6"/>
      <c r="N8" s="10" t="s">
        <v>2</v>
      </c>
      <c r="O8" s="13">
        <f>O9</f>
        <v>201.5</v>
      </c>
      <c r="P8" s="67" t="s">
        <v>18</v>
      </c>
      <c r="Q8" s="231" t="s">
        <v>25</v>
      </c>
      <c r="R8" s="231"/>
      <c r="S8" s="231" t="s">
        <v>29</v>
      </c>
      <c r="T8" s="231"/>
    </row>
    <row r="9" spans="2:21">
      <c r="B9" s="6">
        <v>2</v>
      </c>
      <c r="C9" s="12">
        <f>IF(E9=E8,C8,B9)</f>
        <v>2</v>
      </c>
      <c r="D9" s="10" t="str">
        <f>HLOOKUP($B9,$E$17:$J$20,2,FALSE)</f>
        <v>SJU</v>
      </c>
      <c r="E9" s="12">
        <f t="shared" si="1"/>
        <v>39</v>
      </c>
      <c r="F9" s="28">
        <f t="shared" ca="1" si="2"/>
        <v>0.82978723404255317</v>
      </c>
      <c r="G9" s="28">
        <f t="shared" ca="1" si="3"/>
        <v>0.17021276595744683</v>
      </c>
      <c r="L9" s="6"/>
      <c r="N9" s="10" t="s">
        <v>4</v>
      </c>
      <c r="O9" s="13">
        <f>MAX(O12,O10,O11,O13,O14)+11</f>
        <v>201.5</v>
      </c>
      <c r="P9" s="67" t="s">
        <v>18</v>
      </c>
      <c r="Q9" s="231" t="s">
        <v>25</v>
      </c>
      <c r="R9" s="231"/>
      <c r="S9" s="231" t="s">
        <v>29</v>
      </c>
      <c r="T9" s="231"/>
    </row>
    <row r="10" spans="2:21">
      <c r="B10" s="6">
        <v>3</v>
      </c>
      <c r="C10" s="12">
        <f>IF(E10=E9,C9,B10)</f>
        <v>3</v>
      </c>
      <c r="D10" s="10" t="str">
        <f t="shared" si="0"/>
        <v>MSO</v>
      </c>
      <c r="E10" s="12">
        <f t="shared" si="1"/>
        <v>36</v>
      </c>
      <c r="F10" s="28">
        <f t="shared" ca="1" si="2"/>
        <v>0.76595744680851063</v>
      </c>
      <c r="G10" s="28">
        <f ca="1">1-F10</f>
        <v>0.23404255319148937</v>
      </c>
      <c r="L10" s="6"/>
      <c r="N10" s="10" t="s">
        <v>3</v>
      </c>
      <c r="O10" s="13">
        <f>HLOOKUP(N10,$S$18:$S$20,3,FALSE)</f>
        <v>116.25</v>
      </c>
      <c r="P10" s="67" t="s">
        <v>18</v>
      </c>
      <c r="Q10" s="231" t="s">
        <v>25</v>
      </c>
      <c r="R10" s="231"/>
      <c r="S10" s="231" t="s">
        <v>28</v>
      </c>
      <c r="T10" s="231"/>
    </row>
    <row r="11" spans="2:21">
      <c r="B11" s="6">
        <v>4</v>
      </c>
      <c r="C11" s="12">
        <f>IF(E11=E10,C10,B11)</f>
        <v>4</v>
      </c>
      <c r="D11" s="10" t="str">
        <f t="shared" si="0"/>
        <v>JWU</v>
      </c>
      <c r="E11" s="12">
        <f t="shared" si="1"/>
        <v>33</v>
      </c>
      <c r="F11" s="28">
        <f t="shared" ca="1" si="2"/>
        <v>0.7021276595744681</v>
      </c>
      <c r="G11" s="28">
        <f ca="1">1-F11</f>
        <v>0.2978723404255319</v>
      </c>
      <c r="L11" s="6"/>
      <c r="N11" s="10" t="s">
        <v>1</v>
      </c>
      <c r="O11" s="13">
        <f>HLOOKUP(N11,$Q$18:$Q$20,3,FALSE)</f>
        <v>97</v>
      </c>
      <c r="P11" s="67" t="s">
        <v>23</v>
      </c>
      <c r="Q11" s="231" t="s">
        <v>25</v>
      </c>
      <c r="R11" s="231"/>
      <c r="S11" s="231" t="s">
        <v>18</v>
      </c>
      <c r="T11" s="231"/>
    </row>
    <row r="12" spans="2:21">
      <c r="B12" s="6">
        <v>5</v>
      </c>
      <c r="C12" s="12">
        <f>IF(E12=E11,C11,B12)</f>
        <v>5</v>
      </c>
      <c r="D12" s="10" t="str">
        <f t="shared" si="0"/>
        <v>YMI</v>
      </c>
      <c r="E12" s="12">
        <f>ROUND(HLOOKUP(D12,$E$18:$J$20,3,FALSE),0)</f>
        <v>10</v>
      </c>
      <c r="F12" s="28">
        <f t="shared" ca="1" si="2"/>
        <v>0.21276595744680851</v>
      </c>
      <c r="G12" s="28">
        <f t="shared" ca="1" si="3"/>
        <v>0.78723404255319152</v>
      </c>
      <c r="L12" s="6"/>
      <c r="N12" s="10" t="s">
        <v>0</v>
      </c>
      <c r="O12" s="47">
        <f>HLOOKUP(N12,$O$18:$O$20,3,FALSE)</f>
        <v>190.5</v>
      </c>
      <c r="P12" s="67" t="s">
        <v>18</v>
      </c>
      <c r="Q12" s="231" t="s">
        <v>25</v>
      </c>
      <c r="R12" s="231"/>
      <c r="S12" s="231" t="s">
        <v>18</v>
      </c>
      <c r="T12" s="231"/>
    </row>
    <row r="13" spans="2:21">
      <c r="B13" s="6">
        <v>6</v>
      </c>
      <c r="C13" s="12">
        <f>IF(E13=E12,C12,B13)</f>
        <v>6</v>
      </c>
      <c r="D13" s="10" t="str">
        <f t="shared" si="0"/>
        <v>CBO</v>
      </c>
      <c r="E13" s="12">
        <f t="shared" si="1"/>
        <v>2</v>
      </c>
      <c r="F13" s="28">
        <f t="shared" ca="1" si="2"/>
        <v>4.2553191489361701E-2</v>
      </c>
      <c r="G13" s="28">
        <f t="shared" ca="1" si="3"/>
        <v>0.95744680851063835</v>
      </c>
      <c r="L13" s="6"/>
      <c r="N13" s="10" t="s">
        <v>22</v>
      </c>
      <c r="O13" s="13">
        <f>HLOOKUP(N13,$T$18:$T$20,3,FALSE)</f>
        <v>141</v>
      </c>
      <c r="P13" s="67" t="s">
        <v>18</v>
      </c>
      <c r="Q13" s="231" t="s">
        <v>25</v>
      </c>
      <c r="R13" s="231"/>
      <c r="S13" s="231" t="s">
        <v>18</v>
      </c>
      <c r="T13" s="231"/>
    </row>
    <row r="14" spans="2:21">
      <c r="B14" s="6"/>
      <c r="F14" s="63"/>
      <c r="L14" s="6"/>
      <c r="N14" s="29"/>
      <c r="O14" s="29"/>
      <c r="P14" s="29"/>
      <c r="Q14" s="248"/>
      <c r="R14" s="248"/>
      <c r="S14" s="248"/>
      <c r="T14" s="248"/>
    </row>
    <row r="15" spans="2:21" ht="8.25" customHeight="1">
      <c r="B15" s="6"/>
      <c r="L15" s="6"/>
    </row>
    <row r="16" spans="2:21">
      <c r="B16" s="6"/>
      <c r="L16" s="6"/>
      <c r="N16" s="14" t="s">
        <v>19</v>
      </c>
      <c r="O16" s="15">
        <f>SUM(O8:O14)</f>
        <v>947.75</v>
      </c>
      <c r="Q16" s="262" t="s">
        <v>30</v>
      </c>
      <c r="R16" s="263"/>
      <c r="S16" s="15">
        <v>447.7</v>
      </c>
    </row>
    <row r="17" spans="2:27" ht="12" customHeight="1">
      <c r="B17" s="6"/>
      <c r="E17" s="27">
        <f t="shared" ref="E17:J17" si="4">RANK(E20,$E20:$J20)</f>
        <v>4</v>
      </c>
      <c r="F17" s="27">
        <f t="shared" si="4"/>
        <v>6</v>
      </c>
      <c r="G17" s="27">
        <f t="shared" si="4"/>
        <v>1</v>
      </c>
      <c r="H17" s="27">
        <f t="shared" si="4"/>
        <v>5</v>
      </c>
      <c r="I17" s="27">
        <f t="shared" si="4"/>
        <v>2</v>
      </c>
      <c r="J17" s="27">
        <f t="shared" si="4"/>
        <v>3</v>
      </c>
      <c r="L17" s="6"/>
    </row>
    <row r="18" spans="2:27">
      <c r="B18" s="6"/>
      <c r="E18" s="16" t="s">
        <v>0</v>
      </c>
      <c r="F18" s="16" t="s">
        <v>4</v>
      </c>
      <c r="G18" s="16" t="s">
        <v>1</v>
      </c>
      <c r="H18" s="16" t="s">
        <v>2</v>
      </c>
      <c r="I18" s="16" t="s">
        <v>3</v>
      </c>
      <c r="J18" s="16" t="s">
        <v>21</v>
      </c>
      <c r="L18" s="6"/>
      <c r="O18" s="16" t="s">
        <v>0</v>
      </c>
      <c r="P18" s="16" t="s">
        <v>4</v>
      </c>
      <c r="Q18" s="16" t="s">
        <v>1</v>
      </c>
      <c r="R18" s="16" t="s">
        <v>2</v>
      </c>
      <c r="S18" s="16" t="s">
        <v>3</v>
      </c>
      <c r="T18" s="16" t="s">
        <v>22</v>
      </c>
      <c r="U18" s="16"/>
    </row>
    <row r="19" spans="2:27" ht="6" customHeight="1">
      <c r="B19" s="6"/>
      <c r="E19" s="17"/>
      <c r="F19" s="17"/>
      <c r="G19" s="17"/>
      <c r="H19" s="17"/>
      <c r="I19" s="17"/>
      <c r="J19" s="17"/>
      <c r="L19" s="6"/>
      <c r="O19" s="17"/>
      <c r="P19" s="17"/>
      <c r="Q19" s="17"/>
      <c r="R19" s="17"/>
      <c r="S19" s="17"/>
      <c r="T19" s="17"/>
      <c r="U19" s="17"/>
    </row>
    <row r="20" spans="2:27">
      <c r="B20" s="6"/>
      <c r="C20" s="18">
        <f ca="1">COUNT(C23:C76)</f>
        <v>47</v>
      </c>
      <c r="E20" s="24">
        <f>SUM(E25:E79)+0.00007</f>
        <v>33.000070000000001</v>
      </c>
      <c r="F20" s="24">
        <f>SUM(F25:F79)+0.00006</f>
        <v>2.0000599999999999</v>
      </c>
      <c r="G20" s="24">
        <f>SUM(G25:G79)+0.00008</f>
        <v>40.000079999999997</v>
      </c>
      <c r="H20" s="24">
        <f>SUM(H25:H79)+0.00005</f>
        <v>10.00005</v>
      </c>
      <c r="I20" s="24">
        <f>SUM(I25:I79)+0.00009</f>
        <v>39.00009</v>
      </c>
      <c r="J20" s="24">
        <f>SUM(J25:J79)+0.0001</f>
        <v>36.000100000000003</v>
      </c>
      <c r="L20" s="6"/>
      <c r="O20" s="19">
        <f>SUM(O24:O78)</f>
        <v>190.5</v>
      </c>
      <c r="P20" s="19">
        <f>O9</f>
        <v>201.5</v>
      </c>
      <c r="Q20" s="19">
        <f>SUM(Q24:Q78)</f>
        <v>97</v>
      </c>
      <c r="R20" s="19">
        <f>O8</f>
        <v>201.5</v>
      </c>
      <c r="S20" s="19">
        <f>SUM(S24:S78)</f>
        <v>116.25</v>
      </c>
      <c r="T20" s="19">
        <f>SUM(T24:T78)</f>
        <v>141</v>
      </c>
      <c r="U20" s="19"/>
    </row>
    <row r="21" spans="2:27">
      <c r="B21" s="6"/>
      <c r="E21" s="2"/>
      <c r="F21" s="2"/>
      <c r="G21" s="2"/>
      <c r="H21" s="2"/>
      <c r="I21" s="2"/>
      <c r="J21" s="2"/>
      <c r="L21" s="6"/>
      <c r="O21" s="20" cm="1">
        <f t="array" ref="O21">SUM(SUMIF($N$24:$N$100,{"LI";"LIFO";"LIFO+"},O24:O100))</f>
        <v>11</v>
      </c>
      <c r="P21" s="20" cm="1">
        <f t="array" ref="P21">SUM(SUMIF($N$24:$N$100,{"LI";"LIFO";"LIFO+"},P24:P100))</f>
        <v>0</v>
      </c>
      <c r="Q21" s="20" cm="1">
        <f t="array" ref="Q21">SUM(SUMIF($N$24:$N$100,{"LI";"LIFO";"LIFO+"},Q24:Q100))</f>
        <v>0</v>
      </c>
      <c r="R21" s="20" cm="1">
        <f t="array" ref="R21">SUM(SUMIF($N$24:$N$100,{"LI";"LIFO";"LIFO+"},R24:R100))</f>
        <v>0</v>
      </c>
      <c r="S21" s="20" cm="1">
        <f t="array" ref="S21">SUM(SUMIF($N$24:$N$100,{"LI";"LIFO";"LIFO+"},S24:S100))</f>
        <v>8.25</v>
      </c>
      <c r="T21" s="20" cm="1">
        <f t="array" ref="T21">SUM(SUMIF($N$24:$N$100,{"LI";"LIFO";"LIFO+"},T24:T100))</f>
        <v>0</v>
      </c>
      <c r="U21" s="20"/>
    </row>
    <row r="22" spans="2:27">
      <c r="B22" s="6"/>
      <c r="E22" s="18">
        <v>3</v>
      </c>
      <c r="F22" s="18">
        <v>5</v>
      </c>
      <c r="G22" s="18">
        <v>6</v>
      </c>
      <c r="H22" s="18">
        <v>7</v>
      </c>
      <c r="I22" s="18">
        <v>8</v>
      </c>
      <c r="J22" s="18">
        <v>1</v>
      </c>
      <c r="L22" s="6"/>
    </row>
    <row r="23" spans="2:27">
      <c r="B23" s="6"/>
      <c r="C23" s="12" t="s">
        <v>10</v>
      </c>
      <c r="D23" s="10" t="s">
        <v>11</v>
      </c>
      <c r="E23" s="12" t="s">
        <v>12</v>
      </c>
      <c r="F23" s="12" t="s">
        <v>12</v>
      </c>
      <c r="G23" s="12" t="s">
        <v>12</v>
      </c>
      <c r="H23" s="12" t="s">
        <v>12</v>
      </c>
      <c r="I23" s="12" t="s">
        <v>12</v>
      </c>
      <c r="J23" s="12" t="s">
        <v>12</v>
      </c>
      <c r="L23" s="6"/>
      <c r="M23" s="67" t="s">
        <v>11</v>
      </c>
      <c r="N23" s="67" t="s">
        <v>15</v>
      </c>
      <c r="O23" s="12" t="s">
        <v>16</v>
      </c>
      <c r="P23" s="12" t="s">
        <v>16</v>
      </c>
      <c r="Q23" s="12" t="s">
        <v>16</v>
      </c>
      <c r="R23" s="12" t="s">
        <v>16</v>
      </c>
      <c r="S23" s="12" t="s">
        <v>16</v>
      </c>
      <c r="T23" s="12" t="s">
        <v>16</v>
      </c>
      <c r="U23" s="12"/>
    </row>
    <row r="24" spans="2:27">
      <c r="B24" s="6"/>
      <c r="C24" s="12"/>
      <c r="D24" s="10"/>
      <c r="E24" s="12"/>
      <c r="F24" s="12"/>
      <c r="G24" s="12"/>
      <c r="H24" s="12"/>
      <c r="I24" s="12"/>
      <c r="J24" s="12"/>
      <c r="L24" s="6"/>
      <c r="M24" s="21">
        <v>43511</v>
      </c>
      <c r="N24" s="67" t="s">
        <v>20</v>
      </c>
      <c r="O24" s="25">
        <v>20</v>
      </c>
      <c r="P24" s="25">
        <v>20</v>
      </c>
      <c r="Q24" s="25">
        <v>20</v>
      </c>
      <c r="R24" s="25">
        <v>20</v>
      </c>
      <c r="S24" s="25">
        <v>20</v>
      </c>
      <c r="T24" s="25">
        <v>20</v>
      </c>
      <c r="U24" s="25"/>
    </row>
    <row r="25" spans="2:27">
      <c r="B25" s="6"/>
      <c r="C25" s="12">
        <v>1</v>
      </c>
      <c r="D25" s="22">
        <v>43511</v>
      </c>
      <c r="E25" s="26">
        <v>1</v>
      </c>
      <c r="F25" s="26" t="s">
        <v>111</v>
      </c>
      <c r="G25" s="26">
        <v>1</v>
      </c>
      <c r="H25" s="26" t="s">
        <v>111</v>
      </c>
      <c r="I25" s="26">
        <v>1</v>
      </c>
      <c r="J25" s="26">
        <v>1</v>
      </c>
      <c r="L25" s="6"/>
      <c r="M25" s="21">
        <v>43511</v>
      </c>
      <c r="N25" s="10" t="s">
        <v>24</v>
      </c>
      <c r="O25" s="25">
        <v>0</v>
      </c>
      <c r="P25" s="25"/>
      <c r="Q25" s="25">
        <v>0</v>
      </c>
      <c r="R25" s="25"/>
      <c r="S25" s="25">
        <v>0</v>
      </c>
      <c r="T25" s="25">
        <v>0</v>
      </c>
      <c r="U25" s="25"/>
      <c r="Y25"/>
    </row>
    <row r="26" spans="2:27">
      <c r="B26" s="6"/>
      <c r="C26" s="12">
        <f t="shared" ref="C26:C76" ca="1" si="5">IF(D26&lt;=TODAY(),1,"")</f>
        <v>1</v>
      </c>
      <c r="D26" s="22">
        <v>43518</v>
      </c>
      <c r="E26" s="26">
        <v>1</v>
      </c>
      <c r="F26" s="26" t="s">
        <v>111</v>
      </c>
      <c r="G26" s="26">
        <v>1</v>
      </c>
      <c r="H26" s="26" t="s">
        <v>111</v>
      </c>
      <c r="I26" s="26">
        <v>0</v>
      </c>
      <c r="J26" s="26">
        <v>1</v>
      </c>
      <c r="L26" s="6"/>
      <c r="M26" s="21">
        <v>43518</v>
      </c>
      <c r="N26" s="10" t="s">
        <v>24</v>
      </c>
      <c r="O26" s="25">
        <v>0</v>
      </c>
      <c r="P26" s="25"/>
      <c r="Q26" s="25">
        <v>0</v>
      </c>
      <c r="R26" s="25"/>
      <c r="S26" s="25">
        <v>11</v>
      </c>
      <c r="T26" s="25">
        <v>0</v>
      </c>
      <c r="U26" s="25"/>
    </row>
    <row r="27" spans="2:27">
      <c r="B27" s="6"/>
      <c r="C27" s="12">
        <f t="shared" ca="1" si="5"/>
        <v>1</v>
      </c>
      <c r="D27" s="22">
        <v>43525</v>
      </c>
      <c r="E27" s="26">
        <v>0</v>
      </c>
      <c r="F27" s="26" t="s">
        <v>111</v>
      </c>
      <c r="G27" s="26">
        <v>1</v>
      </c>
      <c r="H27" s="26" t="s">
        <v>111</v>
      </c>
      <c r="I27" s="26">
        <v>1</v>
      </c>
      <c r="J27" s="26">
        <v>1</v>
      </c>
      <c r="L27" s="6"/>
      <c r="M27" s="21">
        <v>43525</v>
      </c>
      <c r="N27" s="10" t="s">
        <v>24</v>
      </c>
      <c r="O27" s="25">
        <v>11</v>
      </c>
      <c r="P27" s="25"/>
      <c r="Q27" s="25">
        <v>0</v>
      </c>
      <c r="R27" s="25"/>
      <c r="S27" s="25">
        <v>0</v>
      </c>
      <c r="T27" s="25">
        <v>0</v>
      </c>
      <c r="U27" s="25"/>
    </row>
    <row r="28" spans="2:27">
      <c r="B28" s="6"/>
      <c r="C28" s="12">
        <f t="shared" ca="1" si="5"/>
        <v>1</v>
      </c>
      <c r="D28" s="22">
        <v>43532</v>
      </c>
      <c r="E28" s="26">
        <v>1</v>
      </c>
      <c r="F28" s="26">
        <v>1</v>
      </c>
      <c r="G28" s="26">
        <v>1</v>
      </c>
      <c r="H28" s="26" t="s">
        <v>111</v>
      </c>
      <c r="I28" s="26">
        <v>1</v>
      </c>
      <c r="J28" s="26">
        <v>1</v>
      </c>
      <c r="L28" s="6"/>
      <c r="M28" s="32">
        <f t="shared" ref="M28:M33" si="6">M27+7</f>
        <v>43532</v>
      </c>
      <c r="N28" s="10" t="s">
        <v>24</v>
      </c>
      <c r="O28" s="25">
        <v>0</v>
      </c>
      <c r="P28" s="25">
        <v>0</v>
      </c>
      <c r="Q28" s="25">
        <v>0</v>
      </c>
      <c r="R28" s="25"/>
      <c r="S28" s="25">
        <v>0</v>
      </c>
      <c r="T28" s="25">
        <v>0</v>
      </c>
      <c r="U28" s="25"/>
      <c r="V28"/>
    </row>
    <row r="29" spans="2:27">
      <c r="B29" s="6"/>
      <c r="C29" s="12">
        <f t="shared" ca="1" si="5"/>
        <v>1</v>
      </c>
      <c r="D29" s="22">
        <v>43539</v>
      </c>
      <c r="E29" s="26">
        <v>0</v>
      </c>
      <c r="F29" s="26" t="s">
        <v>111</v>
      </c>
      <c r="G29" s="26">
        <v>1</v>
      </c>
      <c r="H29" s="26" t="s">
        <v>111</v>
      </c>
      <c r="I29" s="26">
        <v>1</v>
      </c>
      <c r="J29" s="26">
        <v>1</v>
      </c>
      <c r="L29" s="6"/>
      <c r="M29" s="32">
        <f t="shared" si="6"/>
        <v>43539</v>
      </c>
      <c r="N29" s="10" t="s">
        <v>24</v>
      </c>
      <c r="O29" s="25">
        <v>11</v>
      </c>
      <c r="P29" s="25"/>
      <c r="Q29" s="25">
        <v>0</v>
      </c>
      <c r="R29" s="25"/>
      <c r="S29" s="25">
        <v>0</v>
      </c>
      <c r="T29" s="25">
        <v>0</v>
      </c>
      <c r="U29" s="25"/>
    </row>
    <row r="30" spans="2:27">
      <c r="B30" s="6"/>
      <c r="C30" s="12">
        <f t="shared" ca="1" si="5"/>
        <v>1</v>
      </c>
      <c r="D30" s="22">
        <v>43546</v>
      </c>
      <c r="E30" s="26">
        <v>1</v>
      </c>
      <c r="F30" s="26" t="s">
        <v>111</v>
      </c>
      <c r="G30" s="26">
        <v>1</v>
      </c>
      <c r="H30" s="26" t="s">
        <v>111</v>
      </c>
      <c r="I30" s="26">
        <v>1</v>
      </c>
      <c r="J30" s="26">
        <v>0</v>
      </c>
      <c r="L30" s="6"/>
      <c r="M30" s="32">
        <f t="shared" si="6"/>
        <v>43546</v>
      </c>
      <c r="N30" s="10" t="s">
        <v>24</v>
      </c>
      <c r="O30" s="25">
        <v>0</v>
      </c>
      <c r="P30" s="25"/>
      <c r="Q30" s="25">
        <v>0</v>
      </c>
      <c r="R30" s="25"/>
      <c r="S30" s="25">
        <v>0</v>
      </c>
      <c r="T30" s="25">
        <v>11</v>
      </c>
      <c r="U30" s="25"/>
      <c r="AA30"/>
    </row>
    <row r="31" spans="2:27">
      <c r="B31" s="6"/>
      <c r="C31" s="12">
        <f t="shared" ca="1" si="5"/>
        <v>1</v>
      </c>
      <c r="D31" s="22">
        <v>43553</v>
      </c>
      <c r="E31" s="26">
        <v>0</v>
      </c>
      <c r="F31" s="26" t="s">
        <v>111</v>
      </c>
      <c r="G31" s="26">
        <v>1</v>
      </c>
      <c r="H31" s="26" t="s">
        <v>111</v>
      </c>
      <c r="I31" s="26">
        <v>1</v>
      </c>
      <c r="J31" s="26">
        <v>1</v>
      </c>
      <c r="L31" s="6"/>
      <c r="M31" s="32">
        <f t="shared" si="6"/>
        <v>43553</v>
      </c>
      <c r="N31" s="10" t="s">
        <v>24</v>
      </c>
      <c r="O31" s="25">
        <v>11</v>
      </c>
      <c r="P31" s="25"/>
      <c r="Q31" s="25">
        <v>0</v>
      </c>
      <c r="R31" s="25"/>
      <c r="S31" s="25">
        <v>0</v>
      </c>
      <c r="T31" s="25">
        <v>0</v>
      </c>
      <c r="U31" s="25"/>
    </row>
    <row r="32" spans="2:27">
      <c r="B32" s="6"/>
      <c r="C32" s="12">
        <f t="shared" ca="1" si="5"/>
        <v>1</v>
      </c>
      <c r="D32" s="22">
        <v>43560</v>
      </c>
      <c r="E32" s="26">
        <v>1</v>
      </c>
      <c r="F32" s="26" t="s">
        <v>111</v>
      </c>
      <c r="G32" s="26">
        <v>1</v>
      </c>
      <c r="H32" s="26">
        <v>1</v>
      </c>
      <c r="I32" s="26">
        <v>1</v>
      </c>
      <c r="J32" s="26">
        <v>1</v>
      </c>
      <c r="L32" s="6"/>
      <c r="M32" s="21">
        <f t="shared" si="6"/>
        <v>43560</v>
      </c>
      <c r="N32" s="10" t="s">
        <v>24</v>
      </c>
      <c r="O32" s="25">
        <v>0</v>
      </c>
      <c r="P32" s="25"/>
      <c r="Q32" s="25">
        <v>0</v>
      </c>
      <c r="R32" s="25">
        <v>0</v>
      </c>
      <c r="S32" s="25">
        <v>0</v>
      </c>
      <c r="T32" s="25">
        <v>0</v>
      </c>
      <c r="U32" s="25"/>
    </row>
    <row r="33" spans="2:28">
      <c r="B33" s="6"/>
      <c r="C33" s="12">
        <f t="shared" ca="1" si="5"/>
        <v>1</v>
      </c>
      <c r="D33" s="22">
        <v>43567</v>
      </c>
      <c r="E33" s="26">
        <v>0</v>
      </c>
      <c r="F33" s="26" t="s">
        <v>111</v>
      </c>
      <c r="G33" s="26">
        <v>1</v>
      </c>
      <c r="H33" s="26" t="s">
        <v>111</v>
      </c>
      <c r="I33" s="26">
        <v>1</v>
      </c>
      <c r="J33" s="26">
        <v>1</v>
      </c>
      <c r="L33" s="6"/>
      <c r="M33" s="21">
        <f t="shared" si="6"/>
        <v>43567</v>
      </c>
      <c r="N33" s="10" t="s">
        <v>24</v>
      </c>
      <c r="O33" s="25">
        <v>11</v>
      </c>
      <c r="P33" s="25"/>
      <c r="Q33" s="25">
        <v>0</v>
      </c>
      <c r="R33" s="25"/>
      <c r="S33" s="25">
        <v>0</v>
      </c>
      <c r="T33" s="25">
        <v>0</v>
      </c>
      <c r="U33" s="25"/>
    </row>
    <row r="34" spans="2:28">
      <c r="B34" s="6"/>
      <c r="C34" s="12">
        <f t="shared" ca="1" si="5"/>
        <v>1</v>
      </c>
      <c r="D34" s="22">
        <v>43581</v>
      </c>
      <c r="E34" s="26">
        <v>1</v>
      </c>
      <c r="F34" s="26" t="s">
        <v>111</v>
      </c>
      <c r="G34" s="26">
        <v>1</v>
      </c>
      <c r="H34" s="26" t="s">
        <v>111</v>
      </c>
      <c r="I34" s="26">
        <v>1</v>
      </c>
      <c r="J34" s="26">
        <v>1</v>
      </c>
      <c r="L34" s="6"/>
      <c r="M34" s="21">
        <v>43581</v>
      </c>
      <c r="N34" s="10" t="s">
        <v>24</v>
      </c>
      <c r="O34" s="25">
        <v>0</v>
      </c>
      <c r="P34" s="25"/>
      <c r="Q34" s="25">
        <v>0</v>
      </c>
      <c r="R34" s="25"/>
      <c r="S34" s="25">
        <v>0</v>
      </c>
      <c r="T34" s="25">
        <v>0</v>
      </c>
      <c r="U34" s="25"/>
    </row>
    <row r="35" spans="2:28">
      <c r="B35" s="6"/>
      <c r="C35" s="12">
        <f t="shared" ca="1" si="5"/>
        <v>1</v>
      </c>
      <c r="D35" s="22">
        <v>43588</v>
      </c>
      <c r="E35" s="26">
        <v>1</v>
      </c>
      <c r="F35" s="26" t="s">
        <v>111</v>
      </c>
      <c r="G35" s="26">
        <v>1</v>
      </c>
      <c r="H35" s="26" t="s">
        <v>111</v>
      </c>
      <c r="I35" s="26">
        <v>1</v>
      </c>
      <c r="J35" s="26">
        <v>1</v>
      </c>
      <c r="L35" s="6"/>
      <c r="M35" s="21">
        <v>43588</v>
      </c>
      <c r="N35" s="10" t="s">
        <v>24</v>
      </c>
      <c r="O35" s="25">
        <v>0</v>
      </c>
      <c r="P35" s="25"/>
      <c r="Q35" s="25">
        <v>0</v>
      </c>
      <c r="R35" s="25"/>
      <c r="S35" s="25">
        <v>0</v>
      </c>
      <c r="T35" s="25">
        <v>0</v>
      </c>
      <c r="U35" s="25"/>
      <c r="AB35"/>
    </row>
    <row r="36" spans="2:28">
      <c r="B36" s="6"/>
      <c r="C36" s="12">
        <f t="shared" ca="1" si="5"/>
        <v>1</v>
      </c>
      <c r="D36" s="22">
        <v>43595</v>
      </c>
      <c r="E36" s="26">
        <v>0</v>
      </c>
      <c r="F36" s="26" t="s">
        <v>111</v>
      </c>
      <c r="G36" s="26">
        <v>1</v>
      </c>
      <c r="H36" s="26" t="s">
        <v>111</v>
      </c>
      <c r="I36" s="26">
        <v>0</v>
      </c>
      <c r="J36" s="26">
        <v>1</v>
      </c>
      <c r="L36" s="6"/>
      <c r="M36" s="21">
        <f t="shared" ref="M36:M41" si="7">M35+7</f>
        <v>43595</v>
      </c>
      <c r="N36" s="10" t="s">
        <v>24</v>
      </c>
      <c r="O36" s="25">
        <v>11</v>
      </c>
      <c r="P36" s="25"/>
      <c r="Q36" s="25">
        <v>0</v>
      </c>
      <c r="R36" s="25"/>
      <c r="S36" s="25">
        <v>11</v>
      </c>
      <c r="T36" s="25">
        <v>0</v>
      </c>
      <c r="U36" s="25"/>
    </row>
    <row r="37" spans="2:28">
      <c r="B37" s="6"/>
      <c r="C37" s="12">
        <f t="shared" ca="1" si="5"/>
        <v>1</v>
      </c>
      <c r="D37" s="22">
        <v>43602</v>
      </c>
      <c r="E37" s="26">
        <v>0</v>
      </c>
      <c r="F37" s="26" t="s">
        <v>111</v>
      </c>
      <c r="G37" s="26">
        <v>0</v>
      </c>
      <c r="H37" s="26" t="s">
        <v>111</v>
      </c>
      <c r="I37" s="26">
        <v>0</v>
      </c>
      <c r="J37" s="26">
        <v>0</v>
      </c>
      <c r="L37" s="6"/>
      <c r="M37" s="21">
        <f t="shared" si="7"/>
        <v>43602</v>
      </c>
      <c r="N37" s="10" t="s">
        <v>24</v>
      </c>
      <c r="O37" s="25">
        <v>11</v>
      </c>
      <c r="P37" s="25"/>
      <c r="Q37" s="25">
        <v>11</v>
      </c>
      <c r="R37" s="25"/>
      <c r="S37" s="25">
        <v>11</v>
      </c>
      <c r="T37" s="25">
        <v>11</v>
      </c>
      <c r="U37" s="25"/>
      <c r="AB37"/>
    </row>
    <row r="38" spans="2:28">
      <c r="B38" s="6"/>
      <c r="C38" s="12">
        <f t="shared" ca="1" si="5"/>
        <v>1</v>
      </c>
      <c r="D38" s="22">
        <v>43609</v>
      </c>
      <c r="E38" s="26">
        <v>1</v>
      </c>
      <c r="F38" s="26" t="s">
        <v>111</v>
      </c>
      <c r="G38" s="26">
        <v>1</v>
      </c>
      <c r="H38" s="26">
        <v>1</v>
      </c>
      <c r="I38" s="26">
        <v>1</v>
      </c>
      <c r="J38" s="26">
        <v>1</v>
      </c>
      <c r="L38" s="6"/>
      <c r="M38" s="21">
        <f t="shared" si="7"/>
        <v>43609</v>
      </c>
      <c r="N38" s="10" t="s">
        <v>24</v>
      </c>
      <c r="O38" s="25">
        <v>0</v>
      </c>
      <c r="P38" s="25"/>
      <c r="Q38" s="25">
        <v>0</v>
      </c>
      <c r="R38" s="25">
        <v>0</v>
      </c>
      <c r="S38" s="25">
        <v>0</v>
      </c>
      <c r="T38" s="25">
        <v>0</v>
      </c>
      <c r="U38" s="25"/>
    </row>
    <row r="39" spans="2:28" ht="16.5" customHeight="1">
      <c r="B39" s="6"/>
      <c r="C39" s="12">
        <f ca="1">IF(D39&lt;=TODAY(),1,"")</f>
        <v>1</v>
      </c>
      <c r="D39" s="22">
        <v>43616</v>
      </c>
      <c r="E39" s="26">
        <v>0</v>
      </c>
      <c r="F39" s="26" t="s">
        <v>111</v>
      </c>
      <c r="G39" s="26">
        <v>1</v>
      </c>
      <c r="H39" s="26" t="s">
        <v>111</v>
      </c>
      <c r="I39" s="26">
        <v>1</v>
      </c>
      <c r="J39" s="26">
        <v>0</v>
      </c>
      <c r="K39" s="2"/>
      <c r="L39" s="23"/>
      <c r="M39" s="21">
        <f t="shared" si="7"/>
        <v>43616</v>
      </c>
      <c r="N39" s="10" t="s">
        <v>24</v>
      </c>
      <c r="O39" s="25">
        <v>11</v>
      </c>
      <c r="P39" s="25"/>
      <c r="Q39" s="25">
        <v>0</v>
      </c>
      <c r="R39" s="25"/>
      <c r="S39" s="25">
        <v>0</v>
      </c>
      <c r="T39" s="25">
        <v>11</v>
      </c>
      <c r="U39" s="25"/>
    </row>
    <row r="40" spans="2:28" ht="16.5" customHeight="1">
      <c r="B40" s="6"/>
      <c r="C40" s="12">
        <f t="shared" ca="1" si="5"/>
        <v>1</v>
      </c>
      <c r="D40" s="22">
        <v>43623</v>
      </c>
      <c r="E40" s="26">
        <v>1</v>
      </c>
      <c r="F40" s="26">
        <v>1</v>
      </c>
      <c r="G40" s="26">
        <v>1</v>
      </c>
      <c r="H40" s="26" t="s">
        <v>111</v>
      </c>
      <c r="I40" s="26">
        <v>1</v>
      </c>
      <c r="J40" s="26">
        <v>1</v>
      </c>
      <c r="K40" s="2"/>
      <c r="L40" s="23"/>
      <c r="M40" s="21">
        <f t="shared" si="7"/>
        <v>43623</v>
      </c>
      <c r="N40" s="10" t="s">
        <v>24</v>
      </c>
      <c r="O40" s="25">
        <v>0</v>
      </c>
      <c r="P40" s="25">
        <v>0</v>
      </c>
      <c r="Q40" s="25">
        <v>0</v>
      </c>
      <c r="R40" s="25"/>
      <c r="S40" s="25">
        <v>0</v>
      </c>
      <c r="T40" s="25">
        <v>0</v>
      </c>
      <c r="U40" s="25"/>
    </row>
    <row r="41" spans="2:28" ht="16.5" customHeight="1">
      <c r="B41" s="6"/>
      <c r="C41" s="12">
        <f t="shared" ca="1" si="5"/>
        <v>1</v>
      </c>
      <c r="D41" s="22">
        <v>43630</v>
      </c>
      <c r="E41" s="26">
        <v>1</v>
      </c>
      <c r="F41" s="26" t="s">
        <v>111</v>
      </c>
      <c r="G41" s="26">
        <v>1</v>
      </c>
      <c r="H41" s="26" t="s">
        <v>111</v>
      </c>
      <c r="I41" s="26">
        <v>0</v>
      </c>
      <c r="J41" s="26">
        <v>1</v>
      </c>
      <c r="L41" s="6"/>
      <c r="M41" s="21">
        <f t="shared" si="7"/>
        <v>43630</v>
      </c>
      <c r="N41" s="10" t="s">
        <v>24</v>
      </c>
      <c r="O41" s="25">
        <v>0</v>
      </c>
      <c r="P41" s="25"/>
      <c r="Q41" s="25">
        <v>0</v>
      </c>
      <c r="R41" s="25"/>
      <c r="S41" s="25">
        <v>11</v>
      </c>
      <c r="T41" s="25">
        <v>0</v>
      </c>
      <c r="U41" s="25"/>
    </row>
    <row r="42" spans="2:28" ht="16.5" customHeight="1">
      <c r="B42" s="6"/>
      <c r="C42" s="12">
        <f t="shared" ca="1" si="5"/>
        <v>1</v>
      </c>
      <c r="D42" s="22">
        <v>43637</v>
      </c>
      <c r="E42" s="26">
        <v>1</v>
      </c>
      <c r="F42" s="26" t="s">
        <v>111</v>
      </c>
      <c r="G42" s="26">
        <v>1</v>
      </c>
      <c r="H42" s="26" t="s">
        <v>111</v>
      </c>
      <c r="I42" s="26">
        <v>0</v>
      </c>
      <c r="J42" s="26">
        <v>1</v>
      </c>
      <c r="L42" s="6"/>
      <c r="M42" s="21">
        <f>M41+7</f>
        <v>43637</v>
      </c>
      <c r="N42" s="10" t="s">
        <v>24</v>
      </c>
      <c r="O42" s="25">
        <v>0</v>
      </c>
      <c r="P42" s="25"/>
      <c r="Q42" s="25">
        <v>0</v>
      </c>
      <c r="R42" s="25"/>
      <c r="S42" s="25">
        <v>11</v>
      </c>
      <c r="T42" s="25">
        <v>0</v>
      </c>
      <c r="U42" s="25"/>
    </row>
    <row r="43" spans="2:28" ht="16.5" customHeight="1">
      <c r="B43" s="6"/>
      <c r="C43" s="12">
        <f t="shared" ca="1" si="5"/>
        <v>1</v>
      </c>
      <c r="D43" s="22">
        <v>43644</v>
      </c>
      <c r="E43" s="26">
        <v>1</v>
      </c>
      <c r="F43" s="26" t="s">
        <v>111</v>
      </c>
      <c r="G43" s="26">
        <v>1</v>
      </c>
      <c r="H43" s="26">
        <v>1</v>
      </c>
      <c r="I43" s="26">
        <v>1</v>
      </c>
      <c r="J43" s="26">
        <v>1</v>
      </c>
      <c r="L43" s="6"/>
      <c r="M43" s="21">
        <f>M42+7</f>
        <v>43644</v>
      </c>
      <c r="N43" s="10" t="s">
        <v>24</v>
      </c>
      <c r="O43" s="25">
        <v>0</v>
      </c>
      <c r="P43" s="25"/>
      <c r="Q43" s="25">
        <v>0</v>
      </c>
      <c r="R43" s="25">
        <v>0</v>
      </c>
      <c r="S43" s="25">
        <v>0</v>
      </c>
      <c r="T43" s="25">
        <v>0</v>
      </c>
      <c r="U43" s="25"/>
    </row>
    <row r="44" spans="2:28" ht="16.5" customHeight="1">
      <c r="B44" s="6"/>
      <c r="C44" s="12">
        <f t="shared" ca="1" si="5"/>
        <v>1</v>
      </c>
      <c r="D44" s="22">
        <v>43651</v>
      </c>
      <c r="E44" s="26">
        <v>1</v>
      </c>
      <c r="F44" s="26" t="s">
        <v>111</v>
      </c>
      <c r="G44" s="26">
        <v>0</v>
      </c>
      <c r="H44" s="26" t="s">
        <v>111</v>
      </c>
      <c r="I44" s="26">
        <v>1</v>
      </c>
      <c r="J44" s="26">
        <v>0</v>
      </c>
      <c r="L44" s="6"/>
      <c r="M44" s="21">
        <f>M43+7</f>
        <v>43651</v>
      </c>
      <c r="N44" s="10" t="s">
        <v>24</v>
      </c>
      <c r="O44" s="25">
        <v>0</v>
      </c>
      <c r="P44" s="25"/>
      <c r="Q44" s="25">
        <v>11</v>
      </c>
      <c r="R44" s="25"/>
      <c r="S44" s="25">
        <v>0</v>
      </c>
      <c r="T44" s="25">
        <v>11</v>
      </c>
      <c r="U44" s="25"/>
      <c r="W44" s="48"/>
    </row>
    <row r="45" spans="2:28" ht="16.5" customHeight="1">
      <c r="B45" s="6"/>
      <c r="L45" s="6"/>
      <c r="M45" s="21">
        <f>M44+7</f>
        <v>43658</v>
      </c>
      <c r="N45" s="10" t="s">
        <v>44</v>
      </c>
      <c r="O45" s="25">
        <v>5.5</v>
      </c>
      <c r="P45" s="25"/>
      <c r="Q45" s="25">
        <v>0</v>
      </c>
      <c r="R45" s="25"/>
      <c r="S45" s="25">
        <v>0</v>
      </c>
      <c r="T45" s="25">
        <v>0</v>
      </c>
      <c r="U45" s="25"/>
      <c r="W45" s="48"/>
    </row>
    <row r="46" spans="2:28" ht="16.5" customHeight="1">
      <c r="B46" s="6"/>
      <c r="L46" s="6"/>
      <c r="M46" s="21">
        <v>43658</v>
      </c>
      <c r="N46" s="10" t="s">
        <v>43</v>
      </c>
      <c r="O46" s="25">
        <v>0</v>
      </c>
      <c r="P46" s="25"/>
      <c r="Q46" s="25">
        <v>0</v>
      </c>
      <c r="R46" s="25"/>
      <c r="S46" s="25">
        <v>5.5</v>
      </c>
      <c r="T46" s="25">
        <v>0</v>
      </c>
      <c r="U46" s="25"/>
      <c r="W46" s="48"/>
    </row>
    <row r="47" spans="2:28" ht="16.5" customHeight="1">
      <c r="B47" s="6"/>
      <c r="C47" s="12">
        <f ca="1">IF(D47&lt;=TODAY(),1,"")</f>
        <v>1</v>
      </c>
      <c r="D47" s="22">
        <v>43658</v>
      </c>
      <c r="E47" s="26">
        <v>0</v>
      </c>
      <c r="F47" s="26" t="s">
        <v>111</v>
      </c>
      <c r="G47" s="26">
        <v>0</v>
      </c>
      <c r="H47" s="26" t="s">
        <v>111</v>
      </c>
      <c r="I47" s="26">
        <v>1</v>
      </c>
      <c r="J47" s="26">
        <v>0</v>
      </c>
      <c r="L47" s="6"/>
      <c r="M47" s="21">
        <v>43658</v>
      </c>
      <c r="N47" s="10" t="s">
        <v>24</v>
      </c>
      <c r="O47" s="25">
        <v>11</v>
      </c>
      <c r="P47" s="25"/>
      <c r="Q47" s="25">
        <v>11</v>
      </c>
      <c r="R47" s="25"/>
      <c r="S47" s="25">
        <v>0</v>
      </c>
      <c r="T47" s="25">
        <v>11</v>
      </c>
      <c r="U47" s="25"/>
      <c r="W47" s="48"/>
    </row>
    <row r="48" spans="2:28" ht="16.5" customHeight="1">
      <c r="B48" s="6"/>
      <c r="C48" s="12">
        <f ca="1">IF(D48&lt;=TODAY(),1,"")</f>
        <v>1</v>
      </c>
      <c r="D48" s="22">
        <v>43665</v>
      </c>
      <c r="E48" s="26">
        <v>1</v>
      </c>
      <c r="F48" s="26" t="s">
        <v>111</v>
      </c>
      <c r="G48" s="26">
        <v>0</v>
      </c>
      <c r="H48" s="26" t="s">
        <v>111</v>
      </c>
      <c r="I48" s="26">
        <v>1</v>
      </c>
      <c r="J48" s="26">
        <v>1</v>
      </c>
      <c r="L48" s="6"/>
      <c r="M48" s="21">
        <v>43665</v>
      </c>
      <c r="N48" s="10" t="s">
        <v>24</v>
      </c>
      <c r="O48" s="25">
        <v>0</v>
      </c>
      <c r="P48" s="25"/>
      <c r="Q48" s="25">
        <v>11</v>
      </c>
      <c r="R48" s="25"/>
      <c r="S48" s="25">
        <v>0</v>
      </c>
      <c r="T48" s="25">
        <v>0</v>
      </c>
      <c r="U48" s="25"/>
      <c r="W48" s="48"/>
    </row>
    <row r="49" spans="1:29" ht="16.5" customHeight="1">
      <c r="B49" s="6"/>
      <c r="C49" s="12">
        <f ca="1">IF(D49&lt;=TODAY(),1,"")</f>
        <v>1</v>
      </c>
      <c r="D49" s="22">
        <v>43672</v>
      </c>
      <c r="E49" s="26">
        <v>1</v>
      </c>
      <c r="F49" s="26" t="s">
        <v>111</v>
      </c>
      <c r="G49" s="26">
        <v>1</v>
      </c>
      <c r="H49" s="26">
        <v>1</v>
      </c>
      <c r="I49" s="26">
        <v>1</v>
      </c>
      <c r="J49" s="26">
        <v>0</v>
      </c>
      <c r="L49" s="6"/>
      <c r="M49" s="21">
        <v>43672</v>
      </c>
      <c r="N49" s="10" t="s">
        <v>24</v>
      </c>
      <c r="O49" s="25">
        <v>0</v>
      </c>
      <c r="P49" s="25"/>
      <c r="Q49" s="25">
        <v>0</v>
      </c>
      <c r="R49" s="25">
        <v>0</v>
      </c>
      <c r="S49" s="25">
        <v>0</v>
      </c>
      <c r="T49" s="25">
        <v>11</v>
      </c>
      <c r="U49" s="25"/>
      <c r="W49" s="48"/>
    </row>
    <row r="50" spans="1:29" ht="16.5" customHeight="1">
      <c r="B50" s="6"/>
      <c r="C50" s="12">
        <f ca="1">IF(D50&lt;=TODAY(),1,"")</f>
        <v>1</v>
      </c>
      <c r="D50" s="22">
        <v>43679</v>
      </c>
      <c r="E50" s="26">
        <v>1</v>
      </c>
      <c r="F50" s="26" t="s">
        <v>111</v>
      </c>
      <c r="G50" s="26">
        <v>1</v>
      </c>
      <c r="H50" s="26" t="s">
        <v>111</v>
      </c>
      <c r="I50" s="26">
        <v>0</v>
      </c>
      <c r="J50" s="26">
        <v>1</v>
      </c>
      <c r="L50" s="6"/>
      <c r="M50" s="21">
        <f t="shared" ref="M50:M59" si="8">M49+7</f>
        <v>43679</v>
      </c>
      <c r="N50" s="10" t="s">
        <v>24</v>
      </c>
      <c r="O50" s="25">
        <v>0</v>
      </c>
      <c r="P50" s="25"/>
      <c r="Q50" s="25">
        <v>0</v>
      </c>
      <c r="R50" s="25"/>
      <c r="S50" s="25">
        <v>11</v>
      </c>
      <c r="T50" s="25">
        <v>0</v>
      </c>
      <c r="U50" s="25"/>
      <c r="W50" s="48"/>
    </row>
    <row r="51" spans="1:29" ht="16.5" customHeight="1">
      <c r="B51" s="6"/>
      <c r="C51" s="12">
        <f t="shared" ca="1" si="5"/>
        <v>1</v>
      </c>
      <c r="D51" s="22">
        <v>43686</v>
      </c>
      <c r="E51" s="26">
        <v>1</v>
      </c>
      <c r="F51" s="26" t="s">
        <v>111</v>
      </c>
      <c r="G51" s="26">
        <v>1</v>
      </c>
      <c r="H51" s="26">
        <v>1</v>
      </c>
      <c r="I51" s="26">
        <v>1</v>
      </c>
      <c r="J51" s="26">
        <v>1</v>
      </c>
      <c r="L51" s="6"/>
      <c r="M51" s="21">
        <f t="shared" si="8"/>
        <v>43686</v>
      </c>
      <c r="N51" s="10" t="s">
        <v>24</v>
      </c>
      <c r="O51" s="25">
        <v>0</v>
      </c>
      <c r="P51" s="25"/>
      <c r="Q51" s="25">
        <v>0</v>
      </c>
      <c r="R51" s="25">
        <v>0</v>
      </c>
      <c r="S51" s="25">
        <v>0</v>
      </c>
      <c r="T51" s="25">
        <v>0</v>
      </c>
      <c r="U51" s="25"/>
      <c r="W51" s="48"/>
    </row>
    <row r="52" spans="1:29" ht="16.5" customHeight="1">
      <c r="B52" s="6"/>
      <c r="C52" s="12">
        <f t="shared" ca="1" si="5"/>
        <v>1</v>
      </c>
      <c r="D52" s="22">
        <v>43693</v>
      </c>
      <c r="E52" s="26">
        <v>1</v>
      </c>
      <c r="F52" s="26" t="s">
        <v>111</v>
      </c>
      <c r="G52" s="26">
        <v>1</v>
      </c>
      <c r="H52" s="26" t="s">
        <v>111</v>
      </c>
      <c r="I52" s="26">
        <v>1</v>
      </c>
      <c r="J52" s="26">
        <v>1</v>
      </c>
      <c r="L52" s="6"/>
      <c r="M52" s="21">
        <f t="shared" si="8"/>
        <v>43693</v>
      </c>
      <c r="N52" s="10" t="s">
        <v>24</v>
      </c>
      <c r="O52" s="25">
        <v>0</v>
      </c>
      <c r="P52" s="25"/>
      <c r="Q52" s="25">
        <v>0</v>
      </c>
      <c r="R52" s="25"/>
      <c r="S52" s="25">
        <v>0</v>
      </c>
      <c r="T52" s="25">
        <v>0</v>
      </c>
      <c r="U52" s="25"/>
      <c r="W52" s="48"/>
    </row>
    <row r="53" spans="1:29" ht="16.5" customHeight="1">
      <c r="B53" s="6"/>
      <c r="C53" s="12">
        <f t="shared" ca="1" si="5"/>
        <v>1</v>
      </c>
      <c r="D53" s="22">
        <v>43700</v>
      </c>
      <c r="E53" s="26">
        <v>1</v>
      </c>
      <c r="F53" s="26" t="s">
        <v>111</v>
      </c>
      <c r="G53" s="26">
        <v>1</v>
      </c>
      <c r="H53" s="26" t="s">
        <v>111</v>
      </c>
      <c r="I53" s="26">
        <v>1</v>
      </c>
      <c r="J53" s="26">
        <v>1</v>
      </c>
      <c r="L53" s="6"/>
      <c r="M53" s="21">
        <f t="shared" si="8"/>
        <v>43700</v>
      </c>
      <c r="N53" s="10" t="s">
        <v>24</v>
      </c>
      <c r="O53" s="25">
        <v>0</v>
      </c>
      <c r="P53" s="25"/>
      <c r="Q53" s="25">
        <v>0</v>
      </c>
      <c r="R53" s="25"/>
      <c r="S53" s="25">
        <v>0</v>
      </c>
      <c r="T53" s="25">
        <v>0</v>
      </c>
      <c r="U53" s="25"/>
      <c r="W53" s="48"/>
    </row>
    <row r="54" spans="1:29" ht="16.5" customHeight="1">
      <c r="B54" s="6"/>
      <c r="C54" s="12">
        <f t="shared" ca="1" si="5"/>
        <v>1</v>
      </c>
      <c r="D54" s="22">
        <v>43707</v>
      </c>
      <c r="E54" s="26">
        <v>0</v>
      </c>
      <c r="F54" s="26" t="s">
        <v>111</v>
      </c>
      <c r="G54" s="26">
        <v>1</v>
      </c>
      <c r="H54" s="26">
        <v>1</v>
      </c>
      <c r="I54" s="26">
        <v>1</v>
      </c>
      <c r="J54" s="26">
        <v>1</v>
      </c>
      <c r="L54" s="6"/>
      <c r="M54" s="21">
        <f t="shared" si="8"/>
        <v>43707</v>
      </c>
      <c r="N54" s="10" t="s">
        <v>24</v>
      </c>
      <c r="O54" s="25">
        <v>11</v>
      </c>
      <c r="P54" s="25"/>
      <c r="Q54" s="25">
        <v>0</v>
      </c>
      <c r="R54" s="25">
        <v>0</v>
      </c>
      <c r="S54" s="25">
        <v>0</v>
      </c>
      <c r="T54" s="25">
        <v>0</v>
      </c>
      <c r="U54" s="25"/>
    </row>
    <row r="55" spans="1:29" ht="16.5" customHeight="1">
      <c r="B55" s="6"/>
      <c r="C55" s="12">
        <f t="shared" ca="1" si="5"/>
        <v>1</v>
      </c>
      <c r="D55" s="22">
        <v>43714</v>
      </c>
      <c r="E55" s="26">
        <v>0</v>
      </c>
      <c r="F55" s="26" t="s">
        <v>111</v>
      </c>
      <c r="G55" s="26">
        <v>1</v>
      </c>
      <c r="H55" s="26" t="s">
        <v>111</v>
      </c>
      <c r="I55" s="26">
        <v>0</v>
      </c>
      <c r="J55" s="26">
        <v>1</v>
      </c>
      <c r="L55" s="6"/>
      <c r="M55" s="21">
        <f t="shared" si="8"/>
        <v>43714</v>
      </c>
      <c r="N55" s="10" t="s">
        <v>24</v>
      </c>
      <c r="O55" s="25">
        <v>11</v>
      </c>
      <c r="P55" s="25"/>
      <c r="Q55" s="25">
        <v>0</v>
      </c>
      <c r="R55" s="25"/>
      <c r="S55" s="25">
        <v>11</v>
      </c>
      <c r="T55" s="25">
        <v>0</v>
      </c>
      <c r="U55" s="25"/>
    </row>
    <row r="56" spans="1:29" ht="16.5" customHeight="1">
      <c r="B56" s="6"/>
      <c r="C56" s="12">
        <f t="shared" ca="1" si="5"/>
        <v>1</v>
      </c>
      <c r="D56" s="22">
        <v>43721</v>
      </c>
      <c r="E56" s="26">
        <v>1</v>
      </c>
      <c r="F56" s="26" t="s">
        <v>111</v>
      </c>
      <c r="G56" s="26">
        <v>1</v>
      </c>
      <c r="H56" s="26" t="s">
        <v>111</v>
      </c>
      <c r="I56" s="26">
        <v>1</v>
      </c>
      <c r="J56" s="26">
        <v>0</v>
      </c>
      <c r="L56" s="6"/>
      <c r="M56" s="21">
        <f t="shared" si="8"/>
        <v>43721</v>
      </c>
      <c r="N56" s="10" t="s">
        <v>24</v>
      </c>
      <c r="O56" s="25">
        <v>0</v>
      </c>
      <c r="P56" s="25"/>
      <c r="Q56" s="25">
        <v>0</v>
      </c>
      <c r="R56" s="25"/>
      <c r="S56" s="25">
        <v>0</v>
      </c>
      <c r="T56" s="25">
        <v>11</v>
      </c>
      <c r="U56" s="25"/>
    </row>
    <row r="57" spans="1:29" ht="16.5" customHeight="1">
      <c r="B57" s="6"/>
      <c r="L57" s="6"/>
      <c r="M57" s="21">
        <f t="shared" si="8"/>
        <v>43728</v>
      </c>
      <c r="N57" s="10" t="s">
        <v>43</v>
      </c>
      <c r="O57" s="25">
        <v>5.5</v>
      </c>
      <c r="P57" s="25"/>
      <c r="Q57" s="25">
        <v>0</v>
      </c>
      <c r="R57" s="25"/>
      <c r="S57" s="25">
        <v>0</v>
      </c>
      <c r="T57" s="25">
        <v>0</v>
      </c>
      <c r="U57" s="25"/>
    </row>
    <row r="58" spans="1:29" s="52" customFormat="1" ht="16.5" customHeight="1">
      <c r="A58" s="1"/>
      <c r="B58" s="1"/>
      <c r="C58" s="12">
        <f ca="1">IF(D58&lt;=TODAY(),1,"")</f>
        <v>1</v>
      </c>
      <c r="D58" s="22">
        <v>43728</v>
      </c>
      <c r="E58" s="26">
        <v>1</v>
      </c>
      <c r="F58" s="26" t="s">
        <v>111</v>
      </c>
      <c r="G58" s="26">
        <v>0</v>
      </c>
      <c r="H58" s="26" t="s">
        <v>111</v>
      </c>
      <c r="I58" s="26">
        <v>1</v>
      </c>
      <c r="J58" s="26">
        <v>1</v>
      </c>
      <c r="L58" s="51"/>
      <c r="M58" s="21">
        <v>43728</v>
      </c>
      <c r="N58" s="10" t="s">
        <v>24</v>
      </c>
      <c r="O58" s="25">
        <v>0</v>
      </c>
      <c r="P58" s="25"/>
      <c r="Q58" s="25">
        <v>11</v>
      </c>
      <c r="R58" s="25"/>
      <c r="S58" s="25">
        <v>0</v>
      </c>
      <c r="T58" s="25">
        <v>0</v>
      </c>
      <c r="U58" s="25"/>
    </row>
    <row r="59" spans="1:29">
      <c r="C59" s="12">
        <f t="shared" ca="1" si="5"/>
        <v>1</v>
      </c>
      <c r="D59" s="22">
        <v>43735</v>
      </c>
      <c r="E59" s="26">
        <v>1</v>
      </c>
      <c r="F59" s="26" t="s">
        <v>111</v>
      </c>
      <c r="G59" s="26">
        <v>1</v>
      </c>
      <c r="H59" s="26">
        <v>1</v>
      </c>
      <c r="I59" s="26">
        <v>1</v>
      </c>
      <c r="J59" s="26">
        <v>1</v>
      </c>
      <c r="M59" s="21">
        <f t="shared" si="8"/>
        <v>43735</v>
      </c>
      <c r="N59" s="49" t="s">
        <v>24</v>
      </c>
      <c r="O59" s="50">
        <v>0</v>
      </c>
      <c r="P59" s="50"/>
      <c r="Q59" s="50">
        <v>0</v>
      </c>
      <c r="R59" s="50">
        <v>0</v>
      </c>
      <c r="S59" s="50">
        <v>0</v>
      </c>
      <c r="T59" s="50">
        <v>0</v>
      </c>
      <c r="U59" s="50"/>
    </row>
    <row r="60" spans="1:29">
      <c r="C60" s="12">
        <f t="shared" ca="1" si="5"/>
        <v>1</v>
      </c>
      <c r="D60" s="22">
        <v>43742</v>
      </c>
      <c r="E60" s="26">
        <v>1</v>
      </c>
      <c r="F60" s="26" t="s">
        <v>111</v>
      </c>
      <c r="G60" s="26">
        <v>1</v>
      </c>
      <c r="H60" s="26" t="s">
        <v>111</v>
      </c>
      <c r="I60" s="26">
        <v>1</v>
      </c>
      <c r="J60" s="26">
        <v>1</v>
      </c>
      <c r="M60" s="21">
        <f>M59+7</f>
        <v>43742</v>
      </c>
      <c r="N60" s="10" t="s">
        <v>24</v>
      </c>
      <c r="O60" s="25">
        <v>0</v>
      </c>
      <c r="P60" s="25"/>
      <c r="Q60" s="25">
        <v>0</v>
      </c>
      <c r="R60" s="25"/>
      <c r="S60" s="25">
        <v>0</v>
      </c>
      <c r="T60" s="25">
        <v>0</v>
      </c>
      <c r="U60" s="25"/>
      <c r="W60" s="36"/>
      <c r="X60" s="36"/>
      <c r="Y60" s="36"/>
      <c r="Z60" s="36"/>
      <c r="AA60" s="36"/>
      <c r="AB60" s="36"/>
      <c r="AC60" s="36"/>
    </row>
    <row r="61" spans="1:29">
      <c r="C61" s="12">
        <f t="shared" ca="1" si="5"/>
        <v>1</v>
      </c>
      <c r="D61" s="22">
        <v>43749</v>
      </c>
      <c r="E61" s="26">
        <v>1</v>
      </c>
      <c r="F61" s="26" t="s">
        <v>111</v>
      </c>
      <c r="G61" s="26">
        <v>1</v>
      </c>
      <c r="H61" s="26">
        <v>1</v>
      </c>
      <c r="I61" s="26">
        <v>0</v>
      </c>
      <c r="J61" s="26">
        <v>1</v>
      </c>
      <c r="M61" s="21">
        <f>M60+7</f>
        <v>43749</v>
      </c>
      <c r="N61" s="10" t="s">
        <v>24</v>
      </c>
      <c r="O61" s="25">
        <v>0</v>
      </c>
      <c r="P61" s="25"/>
      <c r="Q61" s="25">
        <v>0</v>
      </c>
      <c r="R61" s="25">
        <v>0</v>
      </c>
      <c r="S61" s="25">
        <v>11</v>
      </c>
      <c r="T61" s="25">
        <v>0</v>
      </c>
      <c r="U61" s="25"/>
    </row>
    <row r="62" spans="1:29">
      <c r="C62" s="12">
        <f ca="1">IF(D62&lt;=TODAY(),1,"")</f>
        <v>1</v>
      </c>
      <c r="D62" s="22">
        <v>43756</v>
      </c>
      <c r="E62" s="26">
        <v>0</v>
      </c>
      <c r="F62" s="26" t="s">
        <v>111</v>
      </c>
      <c r="G62" s="26">
        <v>1</v>
      </c>
      <c r="H62" s="26" t="s">
        <v>111</v>
      </c>
      <c r="I62" s="26">
        <v>1</v>
      </c>
      <c r="J62" s="26">
        <v>1</v>
      </c>
      <c r="M62" s="21">
        <f>M61+7</f>
        <v>43756</v>
      </c>
      <c r="N62" s="10" t="s">
        <v>24</v>
      </c>
      <c r="O62" s="25">
        <v>11</v>
      </c>
      <c r="P62" s="25"/>
      <c r="Q62" s="25">
        <v>0</v>
      </c>
      <c r="R62" s="25"/>
      <c r="S62" s="25">
        <v>0</v>
      </c>
      <c r="T62" s="25">
        <v>0</v>
      </c>
      <c r="U62" s="25"/>
    </row>
    <row r="63" spans="1:29">
      <c r="C63" s="12">
        <f t="shared" ca="1" si="5"/>
        <v>1</v>
      </c>
      <c r="D63" s="22">
        <v>43763</v>
      </c>
      <c r="E63" s="26">
        <v>1</v>
      </c>
      <c r="F63" s="26" t="s">
        <v>111</v>
      </c>
      <c r="G63" s="26">
        <v>1</v>
      </c>
      <c r="H63" s="26" t="s">
        <v>111</v>
      </c>
      <c r="I63" s="26">
        <v>1</v>
      </c>
      <c r="J63" s="26">
        <v>0</v>
      </c>
      <c r="M63" s="21">
        <v>43763</v>
      </c>
      <c r="N63" s="10" t="s">
        <v>24</v>
      </c>
      <c r="O63" s="25">
        <v>0</v>
      </c>
      <c r="P63" s="25"/>
      <c r="Q63" s="25">
        <v>0</v>
      </c>
      <c r="R63" s="25"/>
      <c r="S63" s="25">
        <v>0</v>
      </c>
      <c r="T63" s="25">
        <v>11</v>
      </c>
      <c r="U63" s="25"/>
    </row>
    <row r="64" spans="1:29" ht="16.5" customHeight="1">
      <c r="B64" s="6"/>
      <c r="L64" s="6"/>
      <c r="M64" s="21">
        <f>M63+7</f>
        <v>43770</v>
      </c>
      <c r="N64" s="10" t="s">
        <v>46</v>
      </c>
      <c r="O64" s="25">
        <v>2.75</v>
      </c>
      <c r="P64" s="25"/>
      <c r="Q64" s="25">
        <v>0</v>
      </c>
      <c r="R64" s="25"/>
      <c r="S64" s="25">
        <v>0</v>
      </c>
      <c r="T64" s="25">
        <v>0</v>
      </c>
      <c r="U64" s="25"/>
    </row>
    <row r="65" spans="2:21">
      <c r="C65" s="12">
        <f t="shared" ca="1" si="5"/>
        <v>1</v>
      </c>
      <c r="D65" s="22">
        <v>43770</v>
      </c>
      <c r="E65" s="26">
        <v>1</v>
      </c>
      <c r="F65" s="26" t="s">
        <v>111</v>
      </c>
      <c r="G65" s="26">
        <v>1</v>
      </c>
      <c r="H65" s="26" t="s">
        <v>111</v>
      </c>
      <c r="I65" s="26">
        <v>1</v>
      </c>
      <c r="J65" s="26">
        <v>1</v>
      </c>
      <c r="M65" s="21">
        <f>M63+7</f>
        <v>43770</v>
      </c>
      <c r="N65" s="10" t="s">
        <v>24</v>
      </c>
      <c r="O65" s="25">
        <v>0</v>
      </c>
      <c r="P65" s="25"/>
      <c r="Q65" s="25">
        <v>0</v>
      </c>
      <c r="R65" s="25"/>
      <c r="S65" s="25">
        <v>0</v>
      </c>
      <c r="T65" s="25">
        <v>0</v>
      </c>
      <c r="U65" s="25"/>
    </row>
    <row r="66" spans="2:21">
      <c r="C66" s="12">
        <f t="shared" ca="1" si="5"/>
        <v>1</v>
      </c>
      <c r="D66" s="22">
        <v>43777</v>
      </c>
      <c r="E66" s="26">
        <v>0</v>
      </c>
      <c r="F66" s="26" t="s">
        <v>111</v>
      </c>
      <c r="G66" s="26">
        <v>1</v>
      </c>
      <c r="H66" s="26" t="s">
        <v>111</v>
      </c>
      <c r="I66" s="26">
        <v>1</v>
      </c>
      <c r="J66" s="26">
        <v>1</v>
      </c>
      <c r="M66" s="21">
        <f>M64+7</f>
        <v>43777</v>
      </c>
      <c r="N66" s="10" t="s">
        <v>24</v>
      </c>
      <c r="O66" s="25">
        <v>11</v>
      </c>
      <c r="P66" s="25"/>
      <c r="Q66" s="25">
        <v>0</v>
      </c>
      <c r="R66" s="25"/>
      <c r="S66" s="25">
        <v>0</v>
      </c>
      <c r="T66" s="25">
        <v>0</v>
      </c>
      <c r="U66" s="25"/>
    </row>
    <row r="67" spans="2:21" ht="16.5" customHeight="1">
      <c r="B67" s="6"/>
      <c r="L67" s="6"/>
      <c r="M67" s="21">
        <f>M66+7</f>
        <v>43784</v>
      </c>
      <c r="N67" s="10" t="s">
        <v>46</v>
      </c>
      <c r="O67" s="25">
        <v>2.75</v>
      </c>
      <c r="P67" s="25"/>
      <c r="Q67" s="25">
        <v>0</v>
      </c>
      <c r="R67" s="25"/>
      <c r="S67" s="25">
        <v>2.75</v>
      </c>
      <c r="T67" s="25">
        <v>0</v>
      </c>
      <c r="U67" s="25"/>
    </row>
    <row r="68" spans="2:21">
      <c r="C68" s="12">
        <f t="shared" ca="1" si="5"/>
        <v>1</v>
      </c>
      <c r="D68" s="22">
        <v>43784</v>
      </c>
      <c r="E68" s="26">
        <v>1</v>
      </c>
      <c r="F68" s="26" t="s">
        <v>111</v>
      </c>
      <c r="G68" s="26">
        <v>0</v>
      </c>
      <c r="H68" s="26">
        <v>1</v>
      </c>
      <c r="I68" s="26">
        <v>1</v>
      </c>
      <c r="J68" s="26">
        <v>1</v>
      </c>
      <c r="M68" s="21">
        <v>43784</v>
      </c>
      <c r="N68" s="10" t="s">
        <v>24</v>
      </c>
      <c r="O68" s="25">
        <v>0</v>
      </c>
      <c r="P68" s="25"/>
      <c r="Q68" s="25">
        <v>11</v>
      </c>
      <c r="R68" s="25">
        <v>0</v>
      </c>
      <c r="S68" s="25">
        <v>0</v>
      </c>
      <c r="T68" s="25">
        <v>0</v>
      </c>
      <c r="U68" s="25"/>
    </row>
    <row r="69" spans="2:21">
      <c r="C69" s="12">
        <f t="shared" ca="1" si="5"/>
        <v>1</v>
      </c>
      <c r="D69" s="22">
        <v>43791</v>
      </c>
      <c r="E69" s="26">
        <v>1</v>
      </c>
      <c r="F69" s="26" t="s">
        <v>111</v>
      </c>
      <c r="G69" s="26">
        <v>1</v>
      </c>
      <c r="H69" s="26" t="s">
        <v>111</v>
      </c>
      <c r="I69" s="26">
        <v>1</v>
      </c>
      <c r="J69" s="26">
        <v>1</v>
      </c>
      <c r="M69" s="21">
        <f>M68+7</f>
        <v>43791</v>
      </c>
      <c r="N69" s="10" t="s">
        <v>24</v>
      </c>
      <c r="O69" s="25">
        <v>0</v>
      </c>
      <c r="P69" s="25"/>
      <c r="Q69" s="25">
        <v>0</v>
      </c>
      <c r="R69" s="25"/>
      <c r="S69" s="25">
        <v>0</v>
      </c>
      <c r="T69" s="25">
        <v>0</v>
      </c>
      <c r="U69" s="25"/>
    </row>
    <row r="70" spans="2:21">
      <c r="C70" s="12">
        <f t="shared" ca="1" si="5"/>
        <v>1</v>
      </c>
      <c r="D70" s="22">
        <v>43798</v>
      </c>
      <c r="E70" s="26">
        <v>1</v>
      </c>
      <c r="F70" s="26" t="s">
        <v>111</v>
      </c>
      <c r="G70" s="26">
        <v>1</v>
      </c>
      <c r="H70" s="26" t="s">
        <v>111</v>
      </c>
      <c r="I70" s="26">
        <v>1</v>
      </c>
      <c r="J70" s="26">
        <v>1</v>
      </c>
      <c r="M70" s="21">
        <v>43798</v>
      </c>
      <c r="N70" s="10" t="s">
        <v>24</v>
      </c>
      <c r="O70" s="25">
        <v>0</v>
      </c>
      <c r="P70" s="25"/>
      <c r="Q70" s="25">
        <v>0</v>
      </c>
      <c r="R70" s="25"/>
      <c r="S70" s="25">
        <v>0</v>
      </c>
      <c r="T70" s="25">
        <v>0</v>
      </c>
      <c r="U70" s="25"/>
    </row>
    <row r="71" spans="2:21">
      <c r="C71" s="12">
        <f t="shared" ca="1" si="5"/>
        <v>1</v>
      </c>
      <c r="D71" s="22">
        <v>43805</v>
      </c>
      <c r="E71" s="26">
        <v>1</v>
      </c>
      <c r="F71" s="26" t="s">
        <v>111</v>
      </c>
      <c r="G71" s="26">
        <v>1</v>
      </c>
      <c r="H71" s="26" t="s">
        <v>111</v>
      </c>
      <c r="I71" s="26">
        <v>1</v>
      </c>
      <c r="J71" s="26">
        <v>1</v>
      </c>
      <c r="M71" s="21">
        <f>M70+7</f>
        <v>43805</v>
      </c>
      <c r="N71" s="10" t="s">
        <v>24</v>
      </c>
      <c r="O71" s="25">
        <v>0</v>
      </c>
      <c r="P71" s="25"/>
      <c r="Q71" s="25">
        <v>0</v>
      </c>
      <c r="R71" s="25"/>
      <c r="S71" s="25">
        <v>0</v>
      </c>
      <c r="T71" s="25">
        <v>0</v>
      </c>
      <c r="U71" s="25"/>
    </row>
    <row r="72" spans="2:21">
      <c r="C72" s="12">
        <f t="shared" ca="1" si="5"/>
        <v>1</v>
      </c>
      <c r="D72" s="22">
        <v>43812</v>
      </c>
      <c r="E72" s="26">
        <v>1</v>
      </c>
      <c r="F72" s="26" t="s">
        <v>111</v>
      </c>
      <c r="G72" s="26">
        <v>1</v>
      </c>
      <c r="H72" s="26" t="s">
        <v>111</v>
      </c>
      <c r="I72" s="26">
        <v>1</v>
      </c>
      <c r="J72" s="26">
        <v>0</v>
      </c>
      <c r="M72" s="21">
        <f>M71+7</f>
        <v>43812</v>
      </c>
      <c r="N72" s="10" t="s">
        <v>24</v>
      </c>
      <c r="O72" s="25">
        <v>0</v>
      </c>
      <c r="P72" s="25"/>
      <c r="Q72" s="25">
        <v>0</v>
      </c>
      <c r="R72" s="25"/>
      <c r="S72" s="25">
        <v>0</v>
      </c>
      <c r="T72" s="25">
        <v>11</v>
      </c>
      <c r="U72" s="25"/>
    </row>
    <row r="73" spans="2:21">
      <c r="C73" s="12">
        <f t="shared" ca="1" si="5"/>
        <v>1</v>
      </c>
      <c r="D73" s="22">
        <v>43819</v>
      </c>
      <c r="E73" s="26">
        <v>1</v>
      </c>
      <c r="F73" s="26" t="s">
        <v>111</v>
      </c>
      <c r="G73" s="26">
        <v>0</v>
      </c>
      <c r="H73" s="26">
        <v>1</v>
      </c>
      <c r="I73" s="26">
        <v>1</v>
      </c>
      <c r="J73" s="26">
        <v>0</v>
      </c>
      <c r="M73" s="21">
        <f>M72+7</f>
        <v>43819</v>
      </c>
      <c r="N73" s="10" t="s">
        <v>24</v>
      </c>
      <c r="O73" s="25">
        <v>0</v>
      </c>
      <c r="P73" s="25"/>
      <c r="Q73" s="25">
        <v>11</v>
      </c>
      <c r="R73" s="25">
        <v>0</v>
      </c>
      <c r="S73" s="25">
        <v>0</v>
      </c>
      <c r="T73" s="25">
        <v>11</v>
      </c>
      <c r="U73" s="25"/>
    </row>
    <row r="74" spans="2:21">
      <c r="C74" s="12">
        <f t="shared" ca="1" si="5"/>
        <v>1</v>
      </c>
      <c r="D74" s="22">
        <v>43826</v>
      </c>
      <c r="E74" s="26">
        <v>0</v>
      </c>
      <c r="F74" s="26" t="s">
        <v>111</v>
      </c>
      <c r="G74" s="26">
        <v>1</v>
      </c>
      <c r="H74" s="26" t="s">
        <v>111</v>
      </c>
      <c r="I74" s="26">
        <v>1</v>
      </c>
      <c r="J74" s="26">
        <v>0</v>
      </c>
      <c r="M74" s="21">
        <f>M73+7</f>
        <v>43826</v>
      </c>
      <c r="N74" s="10" t="s">
        <v>24</v>
      </c>
      <c r="O74" s="25">
        <v>11</v>
      </c>
      <c r="P74" s="25"/>
      <c r="Q74" s="25">
        <v>0</v>
      </c>
      <c r="R74" s="25"/>
      <c r="S74" s="25">
        <v>0</v>
      </c>
      <c r="T74" s="25">
        <v>11</v>
      </c>
      <c r="U74" s="25"/>
    </row>
    <row r="75" spans="2:21">
      <c r="C75" s="12">
        <f t="shared" ca="1" si="5"/>
        <v>1</v>
      </c>
      <c r="D75" s="22">
        <v>43833</v>
      </c>
      <c r="E75" s="26">
        <v>1</v>
      </c>
      <c r="F75" s="26" t="s">
        <v>111</v>
      </c>
      <c r="G75" s="26">
        <v>1</v>
      </c>
      <c r="H75" s="26" t="s">
        <v>111</v>
      </c>
      <c r="I75" s="26">
        <v>1</v>
      </c>
      <c r="J75" s="26">
        <v>1</v>
      </c>
      <c r="M75" s="21">
        <v>43833</v>
      </c>
      <c r="N75" s="10" t="s">
        <v>24</v>
      </c>
      <c r="O75" s="25">
        <v>0</v>
      </c>
      <c r="P75" s="25"/>
      <c r="Q75" s="25">
        <v>0</v>
      </c>
      <c r="R75" s="25"/>
      <c r="S75" s="25">
        <v>0</v>
      </c>
      <c r="T75" s="25">
        <v>0</v>
      </c>
      <c r="U75" s="25"/>
    </row>
    <row r="76" spans="2:21">
      <c r="C76" s="12">
        <f t="shared" ca="1" si="5"/>
        <v>1</v>
      </c>
      <c r="D76" s="22">
        <v>43840</v>
      </c>
      <c r="E76" s="26">
        <v>0</v>
      </c>
      <c r="F76" s="26" t="s">
        <v>111</v>
      </c>
      <c r="G76" s="26">
        <v>1</v>
      </c>
      <c r="H76" s="26" t="s">
        <v>111</v>
      </c>
      <c r="I76" s="26">
        <v>1</v>
      </c>
      <c r="J76" s="26">
        <v>1</v>
      </c>
      <c r="M76" s="21">
        <f>M75+7</f>
        <v>43840</v>
      </c>
      <c r="N76" s="10" t="s">
        <v>24</v>
      </c>
      <c r="O76" s="25">
        <v>11</v>
      </c>
      <c r="P76" s="25"/>
      <c r="Q76" s="25">
        <v>0</v>
      </c>
      <c r="R76" s="25"/>
      <c r="S76" s="25">
        <v>0</v>
      </c>
      <c r="T76" s="25">
        <v>0</v>
      </c>
      <c r="U76" s="25"/>
    </row>
  </sheetData>
  <mergeCells count="19">
    <mergeCell ref="Q16:R16"/>
    <mergeCell ref="Q12:R12"/>
    <mergeCell ref="S12:T12"/>
    <mergeCell ref="Q13:R13"/>
    <mergeCell ref="S13:T13"/>
    <mergeCell ref="Q14:R14"/>
    <mergeCell ref="S14:T14"/>
    <mergeCell ref="Q9:R9"/>
    <mergeCell ref="S9:T9"/>
    <mergeCell ref="Q10:R10"/>
    <mergeCell ref="S10:T10"/>
    <mergeCell ref="Q11:R11"/>
    <mergeCell ref="S11:T11"/>
    <mergeCell ref="O5:S5"/>
    <mergeCell ref="T5:U5"/>
    <mergeCell ref="Q7:R7"/>
    <mergeCell ref="S7:T7"/>
    <mergeCell ref="Q8:R8"/>
    <mergeCell ref="S8:T8"/>
  </mergeCells>
  <conditionalFormatting sqref="E61:E62">
    <cfRule type="cellIs" dxfId="40" priority="36" operator="equal">
      <formula>0</formula>
    </cfRule>
  </conditionalFormatting>
  <conditionalFormatting sqref="E66">
    <cfRule type="cellIs" dxfId="39" priority="7" operator="equal">
      <formula>0</formula>
    </cfRule>
  </conditionalFormatting>
  <conditionalFormatting sqref="E74">
    <cfRule type="cellIs" dxfId="38" priority="2" operator="equal">
      <formula>0</formula>
    </cfRule>
  </conditionalFormatting>
  <conditionalFormatting sqref="E76">
    <cfRule type="cellIs" dxfId="37" priority="1" operator="equal">
      <formula>0</formula>
    </cfRule>
  </conditionalFormatting>
  <conditionalFormatting sqref="E25:J44 E47:J56 E58:J58">
    <cfRule type="cellIs" dxfId="36" priority="54" operator="equal">
      <formula>0</formula>
    </cfRule>
  </conditionalFormatting>
  <conditionalFormatting sqref="E25:J44 E47:J56 E58:J63 E65:J66 E68:J84">
    <cfRule type="cellIs" dxfId="35" priority="55" operator="equal">
      <formula>1</formula>
    </cfRule>
  </conditionalFormatting>
  <conditionalFormatting sqref="G68">
    <cfRule type="cellIs" dxfId="34" priority="6" operator="equal">
      <formula>0</formula>
    </cfRule>
  </conditionalFormatting>
  <conditionalFormatting sqref="G73">
    <cfRule type="cellIs" dxfId="33" priority="3" operator="equal">
      <formula>0</formula>
    </cfRule>
  </conditionalFormatting>
  <conditionalFormatting sqref="I61">
    <cfRule type="cellIs" dxfId="32" priority="37" operator="equal">
      <formula>0</formula>
    </cfRule>
  </conditionalFormatting>
  <conditionalFormatting sqref="J63">
    <cfRule type="cellIs" dxfId="31" priority="5" operator="equal">
      <formula>0</formula>
    </cfRule>
  </conditionalFormatting>
  <conditionalFormatting sqref="J72:J74">
    <cfRule type="cellIs" dxfId="30" priority="4" operator="equal">
      <formula>0</formula>
    </cfRule>
  </conditionalFormatting>
  <conditionalFormatting sqref="O24:U76">
    <cfRule type="cellIs" dxfId="29" priority="8" operator="equal">
      <formula>0</formula>
    </cfRule>
    <cfRule type="cellIs" dxfId="28" priority="9" operator="greaterThan">
      <formula>0</formula>
    </cfRule>
  </conditionalFormatting>
  <pageMargins left="0.7" right="0.7" top="0.78740157499999996" bottom="0.78740157499999996"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dimension ref="B1:AF90"/>
  <sheetViews>
    <sheetView zoomScaleNormal="100" workbookViewId="0">
      <pane xSplit="14" ySplit="23" topLeftCell="O24" activePane="bottomRight" state="frozen"/>
      <selection pane="topRight" activeCell="P1" sqref="P1"/>
      <selection pane="bottomLeft" activeCell="A24" sqref="A24"/>
      <selection pane="bottomRight" activeCell="N14" sqref="N14"/>
    </sheetView>
  </sheetViews>
  <sheetFormatPr defaultColWidth="11.3828125" defaultRowHeight="16.75"/>
  <cols>
    <col min="1" max="1" width="1.69140625" style="1" customWidth="1"/>
    <col min="2" max="2" width="1.3828125" style="1" customWidth="1"/>
    <col min="3" max="3" width="3.84375" style="2" bestFit="1" customWidth="1"/>
    <col min="4" max="4" width="12.15234375" style="1" bestFit="1" customWidth="1"/>
    <col min="5" max="10" width="7.15234375" style="1" customWidth="1"/>
    <col min="11" max="12" width="1.3828125" style="1" customWidth="1"/>
    <col min="13" max="13" width="12.15234375" style="29" bestFit="1" customWidth="1"/>
    <col min="14" max="14" width="26.53515625" style="1" customWidth="1"/>
    <col min="15" max="15" width="16.69140625" style="1" customWidth="1"/>
    <col min="16" max="16" width="14.3828125" style="1" hidden="1" customWidth="1"/>
    <col min="17" max="18" width="14.3828125" style="1" customWidth="1"/>
    <col min="19" max="19" width="13.3828125" style="1" customWidth="1"/>
    <col min="20" max="20" width="14.3828125" style="1" customWidth="1"/>
    <col min="21" max="21" width="17" style="1" customWidth="1"/>
    <col min="22" max="22" width="20.53515625" style="1" customWidth="1"/>
    <col min="23" max="23" width="53.3046875" style="1" customWidth="1"/>
    <col min="24" max="24" width="11.69140625" style="1" bestFit="1" customWidth="1"/>
    <col min="25" max="25" width="11.3828125" style="1"/>
    <col min="26" max="27" width="11.69140625" style="1" bestFit="1" customWidth="1"/>
    <col min="28" max="16384" width="11.3828125" style="1"/>
  </cols>
  <sheetData>
    <row r="1" spans="2:23" ht="8.25" customHeight="1"/>
    <row r="2" spans="2:23" ht="40.5" customHeight="1">
      <c r="C2" s="3" t="s">
        <v>5</v>
      </c>
      <c r="D2" s="4"/>
      <c r="E2" s="4"/>
      <c r="F2" s="4"/>
      <c r="G2" s="4"/>
      <c r="H2" s="4"/>
      <c r="I2" s="4"/>
      <c r="J2" s="4"/>
      <c r="K2" s="4"/>
      <c r="L2" s="4"/>
      <c r="M2" s="30"/>
      <c r="N2" s="4"/>
      <c r="O2" s="4"/>
      <c r="P2" s="4"/>
      <c r="Q2" s="4"/>
      <c r="R2" s="4"/>
      <c r="S2" s="4"/>
      <c r="T2" s="5"/>
      <c r="U2" s="5"/>
    </row>
    <row r="3" spans="2:23" ht="8.25" customHeight="1"/>
    <row r="4" spans="2:23" ht="9.75" customHeight="1"/>
    <row r="5" spans="2:23" ht="21.75" customHeight="1">
      <c r="B5" s="6"/>
      <c r="C5" s="7" t="s">
        <v>13</v>
      </c>
      <c r="D5" s="8"/>
      <c r="E5" s="8"/>
      <c r="F5" s="8"/>
      <c r="G5" s="8"/>
      <c r="H5" s="8"/>
      <c r="I5" s="9"/>
      <c r="J5" s="9"/>
      <c r="L5" s="6"/>
      <c r="M5" s="31" t="s">
        <v>14</v>
      </c>
      <c r="N5" s="8"/>
      <c r="O5" s="8"/>
      <c r="P5" s="8"/>
      <c r="Q5" s="8"/>
      <c r="R5" s="8"/>
      <c r="S5" s="8"/>
      <c r="T5" s="9"/>
      <c r="U5" s="9"/>
      <c r="W5" s="6"/>
    </row>
    <row r="6" spans="2:23" ht="23.25" customHeight="1">
      <c r="B6" s="6"/>
      <c r="L6" s="6"/>
      <c r="W6" s="6"/>
    </row>
    <row r="7" spans="2:23">
      <c r="B7" s="6"/>
      <c r="D7" s="33" t="s">
        <v>6</v>
      </c>
      <c r="E7" s="35" t="s">
        <v>7</v>
      </c>
      <c r="F7" s="35" t="s">
        <v>8</v>
      </c>
      <c r="G7" s="35" t="s">
        <v>9</v>
      </c>
      <c r="H7" s="11"/>
      <c r="I7" s="11"/>
      <c r="J7" s="11"/>
      <c r="L7" s="6"/>
      <c r="N7" s="33" t="s">
        <v>6</v>
      </c>
      <c r="O7" s="68" t="s">
        <v>16</v>
      </c>
      <c r="P7" s="34"/>
      <c r="Q7" s="68" t="s">
        <v>17</v>
      </c>
      <c r="R7" s="244" t="s">
        <v>26</v>
      </c>
      <c r="S7" s="244"/>
      <c r="T7" s="245" t="s">
        <v>27</v>
      </c>
      <c r="U7" s="245"/>
      <c r="V7" s="82" t="s">
        <v>83</v>
      </c>
      <c r="W7" s="82" t="s">
        <v>84</v>
      </c>
    </row>
    <row r="8" spans="2:23">
      <c r="B8" s="6">
        <v>1</v>
      </c>
      <c r="C8" s="12">
        <f>B8</f>
        <v>1</v>
      </c>
      <c r="D8" s="10" t="str">
        <f t="shared" ref="D8:D13" si="0">HLOOKUP($B8,$E$17:$J$20,2,FALSE)</f>
        <v>MSO</v>
      </c>
      <c r="E8" s="12">
        <f t="shared" ref="E8:E13" si="1">ROUND(HLOOKUP(D8,$E$18:$J$20,3,FALSE),0)</f>
        <v>51</v>
      </c>
      <c r="F8" s="28">
        <f t="shared" ref="F8:F13" ca="1" si="2">E8/$C$20</f>
        <v>0.82258064516129037</v>
      </c>
      <c r="G8" s="28">
        <f t="shared" ref="G8:G13" ca="1" si="3">1-F8</f>
        <v>0.17741935483870963</v>
      </c>
      <c r="L8" s="6"/>
      <c r="N8" s="10" t="s">
        <v>2</v>
      </c>
      <c r="O8" s="13">
        <f>O9</f>
        <v>273</v>
      </c>
      <c r="Q8" s="67" t="s">
        <v>18</v>
      </c>
      <c r="R8" s="231" t="s">
        <v>25</v>
      </c>
      <c r="S8" s="231"/>
      <c r="T8" s="231" t="s">
        <v>25</v>
      </c>
      <c r="U8" s="231"/>
      <c r="V8" s="13">
        <v>-5</v>
      </c>
      <c r="W8" s="83"/>
    </row>
    <row r="9" spans="2:23">
      <c r="B9" s="6">
        <v>2</v>
      </c>
      <c r="C9" s="12">
        <f>IF(E9=E8,C8,B9)</f>
        <v>2</v>
      </c>
      <c r="D9" s="10" t="str">
        <f t="shared" si="0"/>
        <v>JWU</v>
      </c>
      <c r="E9" s="12">
        <f t="shared" si="1"/>
        <v>45</v>
      </c>
      <c r="F9" s="28">
        <f t="shared" ca="1" si="2"/>
        <v>0.72580645161290325</v>
      </c>
      <c r="G9" s="28">
        <f t="shared" ca="1" si="3"/>
        <v>0.27419354838709675</v>
      </c>
      <c r="L9" s="6"/>
      <c r="N9" s="10" t="s">
        <v>4</v>
      </c>
      <c r="O9" s="13">
        <f>MAX(O12,O10,O11,O13,O14, 160)+11</f>
        <v>273</v>
      </c>
      <c r="Q9" s="67" t="s">
        <v>18</v>
      </c>
      <c r="R9" s="231" t="s">
        <v>25</v>
      </c>
      <c r="S9" s="231"/>
      <c r="T9" s="231" t="s">
        <v>25</v>
      </c>
      <c r="U9" s="231"/>
      <c r="V9" s="12" t="s">
        <v>85</v>
      </c>
      <c r="W9" s="83"/>
    </row>
    <row r="10" spans="2:23">
      <c r="B10" s="6">
        <v>3</v>
      </c>
      <c r="C10" s="12">
        <f>IF(E10=E9,C9,B10)</f>
        <v>3</v>
      </c>
      <c r="D10" s="10" t="str">
        <f t="shared" si="0"/>
        <v>PKN</v>
      </c>
      <c r="E10" s="12">
        <f t="shared" si="1"/>
        <v>44</v>
      </c>
      <c r="F10" s="28">
        <f t="shared" ca="1" si="2"/>
        <v>0.70967741935483875</v>
      </c>
      <c r="G10" s="28">
        <f t="shared" ca="1" si="3"/>
        <v>0.29032258064516125</v>
      </c>
      <c r="L10" s="6"/>
      <c r="N10" s="10" t="s">
        <v>3</v>
      </c>
      <c r="O10" s="13">
        <f>HLOOKUP(N10,$T$18:$T$20,3,FALSE)</f>
        <v>262</v>
      </c>
      <c r="Q10" s="67" t="s">
        <v>18</v>
      </c>
      <c r="R10" s="231" t="s">
        <v>25</v>
      </c>
      <c r="S10" s="231"/>
      <c r="T10" s="266" t="s">
        <v>28</v>
      </c>
      <c r="U10" s="266"/>
      <c r="V10" s="12" t="s">
        <v>85</v>
      </c>
      <c r="W10" s="83"/>
    </row>
    <row r="11" spans="2:23">
      <c r="B11" s="6">
        <v>4</v>
      </c>
      <c r="C11" s="12">
        <f>IF(E11=E10,C10,B11)</f>
        <v>4</v>
      </c>
      <c r="D11" s="10" t="str">
        <f t="shared" si="0"/>
        <v>SJU</v>
      </c>
      <c r="E11" s="12">
        <f t="shared" si="1"/>
        <v>40</v>
      </c>
      <c r="F11" s="28">
        <f t="shared" ca="1" si="2"/>
        <v>0.64516129032258063</v>
      </c>
      <c r="G11" s="28">
        <f ca="1">1-F11</f>
        <v>0.35483870967741937</v>
      </c>
      <c r="L11" s="6"/>
      <c r="N11" s="10" t="s">
        <v>1</v>
      </c>
      <c r="O11" s="13">
        <f>HLOOKUP(N11,$R$18:$R$20,3,FALSE)</f>
        <v>215</v>
      </c>
      <c r="Q11" s="67" t="s">
        <v>23</v>
      </c>
      <c r="R11" s="231" t="s">
        <v>25</v>
      </c>
      <c r="S11" s="231"/>
      <c r="T11" s="231" t="s">
        <v>18</v>
      </c>
      <c r="U11" s="231"/>
      <c r="V11" s="12" t="s">
        <v>85</v>
      </c>
      <c r="W11" s="83"/>
    </row>
    <row r="12" spans="2:23">
      <c r="B12" s="6">
        <v>5</v>
      </c>
      <c r="C12" s="12">
        <f>IF(E12=E11,C11,B12)</f>
        <v>5</v>
      </c>
      <c r="D12" s="10" t="str">
        <f t="shared" si="0"/>
        <v>YMI</v>
      </c>
      <c r="E12" s="12">
        <f>ROUND(HLOOKUP(D12,$E$18:$J$20,3,FALSE),0)</f>
        <v>19</v>
      </c>
      <c r="F12" s="28">
        <f t="shared" ca="1" si="2"/>
        <v>0.30645161290322581</v>
      </c>
      <c r="G12" s="28">
        <f t="shared" ca="1" si="3"/>
        <v>0.69354838709677424</v>
      </c>
      <c r="L12" s="6"/>
      <c r="N12" s="10" t="s">
        <v>0</v>
      </c>
      <c r="O12" s="13">
        <f>HLOOKUP(N12,$O$18:$O$20,3,FALSE)</f>
        <v>216.5</v>
      </c>
      <c r="Q12" s="67" t="s">
        <v>18</v>
      </c>
      <c r="R12" s="231" t="s">
        <v>25</v>
      </c>
      <c r="S12" s="231"/>
      <c r="T12" s="231" t="s">
        <v>18</v>
      </c>
      <c r="U12" s="231"/>
      <c r="V12" s="13">
        <v>999960</v>
      </c>
      <c r="W12" s="12">
        <v>1</v>
      </c>
    </row>
    <row r="13" spans="2:23">
      <c r="B13" s="6">
        <v>6</v>
      </c>
      <c r="C13" s="12">
        <f>IF(E13=E12,C12,B13)</f>
        <v>6</v>
      </c>
      <c r="D13" s="10" t="str">
        <f t="shared" si="0"/>
        <v>CBO</v>
      </c>
      <c r="E13" s="12">
        <f t="shared" si="1"/>
        <v>2</v>
      </c>
      <c r="F13" s="28">
        <f t="shared" ca="1" si="2"/>
        <v>3.2258064516129031E-2</v>
      </c>
      <c r="G13" s="28">
        <f t="shared" ca="1" si="3"/>
        <v>0.967741935483871</v>
      </c>
      <c r="L13" s="6"/>
      <c r="N13" s="10" t="s">
        <v>22</v>
      </c>
      <c r="O13" s="13">
        <f>HLOOKUP(N13,$U$18:$U$20,3,FALSE)</f>
        <v>149</v>
      </c>
      <c r="Q13" s="67" t="s">
        <v>18</v>
      </c>
      <c r="R13" s="231" t="s">
        <v>25</v>
      </c>
      <c r="S13" s="231"/>
      <c r="T13" s="231" t="s">
        <v>18</v>
      </c>
      <c r="U13" s="231"/>
      <c r="V13" s="13">
        <v>-45</v>
      </c>
      <c r="W13" s="12">
        <v>2</v>
      </c>
    </row>
    <row r="14" spans="2:23" ht="33.450000000000003">
      <c r="B14" s="6"/>
      <c r="L14" s="6"/>
      <c r="N14" s="84" t="s">
        <v>86</v>
      </c>
      <c r="O14" s="13">
        <v>53</v>
      </c>
      <c r="Q14" s="67" t="s">
        <v>18</v>
      </c>
      <c r="R14" s="265" t="s">
        <v>87</v>
      </c>
      <c r="S14" s="265"/>
      <c r="T14" s="265" t="s">
        <v>88</v>
      </c>
      <c r="U14" s="265"/>
      <c r="V14" s="85" t="s">
        <v>89</v>
      </c>
      <c r="W14" s="85" t="s">
        <v>90</v>
      </c>
    </row>
    <row r="15" spans="2:23" ht="8.25" customHeight="1">
      <c r="B15" s="6"/>
      <c r="L15" s="6"/>
    </row>
    <row r="16" spans="2:23">
      <c r="B16" s="6"/>
      <c r="L16" s="6"/>
      <c r="N16" s="14" t="s">
        <v>19</v>
      </c>
      <c r="O16" s="15">
        <f>SUM(O8:O14)</f>
        <v>1441.5</v>
      </c>
    </row>
    <row r="17" spans="2:24" ht="12" customHeight="1">
      <c r="B17" s="6"/>
      <c r="E17" s="27">
        <f t="shared" ref="E17:J17" si="4">RANK(E20,$E20:$J20)</f>
        <v>2</v>
      </c>
      <c r="F17" s="27">
        <f t="shared" si="4"/>
        <v>6</v>
      </c>
      <c r="G17" s="27">
        <f t="shared" si="4"/>
        <v>3</v>
      </c>
      <c r="H17" s="27">
        <f t="shared" si="4"/>
        <v>5</v>
      </c>
      <c r="I17" s="27">
        <f t="shared" si="4"/>
        <v>4</v>
      </c>
      <c r="J17" s="27">
        <f t="shared" si="4"/>
        <v>1</v>
      </c>
      <c r="L17" s="6"/>
    </row>
    <row r="18" spans="2:24">
      <c r="B18" s="6"/>
      <c r="E18" s="16" t="s">
        <v>0</v>
      </c>
      <c r="F18" s="16" t="s">
        <v>4</v>
      </c>
      <c r="G18" s="16" t="s">
        <v>1</v>
      </c>
      <c r="H18" s="16" t="s">
        <v>2</v>
      </c>
      <c r="I18" s="16" t="s">
        <v>3</v>
      </c>
      <c r="J18" s="16" t="s">
        <v>21</v>
      </c>
      <c r="L18" s="6"/>
      <c r="O18" s="16" t="s">
        <v>0</v>
      </c>
      <c r="P18" s="16"/>
      <c r="Q18" s="16" t="s">
        <v>4</v>
      </c>
      <c r="R18" s="16" t="s">
        <v>1</v>
      </c>
      <c r="S18" s="16" t="s">
        <v>2</v>
      </c>
      <c r="T18" s="16" t="s">
        <v>3</v>
      </c>
      <c r="U18" s="16" t="s">
        <v>22</v>
      </c>
      <c r="W18" s="6"/>
    </row>
    <row r="19" spans="2:24" ht="6" customHeight="1">
      <c r="B19" s="6"/>
      <c r="E19" s="17"/>
      <c r="F19" s="17"/>
      <c r="G19" s="17"/>
      <c r="H19" s="17"/>
      <c r="I19" s="17"/>
      <c r="J19" s="17"/>
      <c r="L19" s="6"/>
      <c r="O19" s="17"/>
      <c r="P19" s="17"/>
      <c r="Q19" s="17"/>
      <c r="R19" s="17"/>
      <c r="S19" s="17"/>
      <c r="T19" s="17"/>
      <c r="U19" s="17"/>
      <c r="W19" s="6"/>
    </row>
    <row r="20" spans="2:24">
      <c r="B20" s="6"/>
      <c r="C20" s="18">
        <f ca="1">COUNT(C23:C90)</f>
        <v>62</v>
      </c>
      <c r="E20" s="24">
        <f t="shared" ref="E20:J20" si="5">SUM(E25:E95)</f>
        <v>45.019999999999996</v>
      </c>
      <c r="F20" s="24">
        <f t="shared" si="5"/>
        <v>2</v>
      </c>
      <c r="G20" s="24">
        <f t="shared" si="5"/>
        <v>44.04</v>
      </c>
      <c r="H20" s="24">
        <f t="shared" si="5"/>
        <v>19.03</v>
      </c>
      <c r="I20" s="24">
        <f t="shared" si="5"/>
        <v>40.08</v>
      </c>
      <c r="J20" s="24">
        <f t="shared" si="5"/>
        <v>51.09</v>
      </c>
      <c r="L20" s="6"/>
      <c r="O20" s="19">
        <f>SUM(O24:O95)</f>
        <v>216.5</v>
      </c>
      <c r="P20" s="19"/>
      <c r="Q20" s="19">
        <f>O9</f>
        <v>273</v>
      </c>
      <c r="R20" s="19">
        <f>SUM(R24:R95)</f>
        <v>215</v>
      </c>
      <c r="S20" s="19">
        <f>O8</f>
        <v>273</v>
      </c>
      <c r="T20" s="19">
        <f>SUM(T24:T95)</f>
        <v>262</v>
      </c>
      <c r="U20" s="19">
        <f>SUM(U24:U95)</f>
        <v>149</v>
      </c>
      <c r="V20" s="87"/>
      <c r="W20" s="6"/>
    </row>
    <row r="21" spans="2:24">
      <c r="B21" s="6"/>
      <c r="E21" s="2"/>
      <c r="F21" s="2"/>
      <c r="G21" s="2"/>
      <c r="H21" s="2"/>
      <c r="I21" s="2"/>
      <c r="J21" s="2"/>
      <c r="L21" s="6"/>
      <c r="O21" s="20" cm="1">
        <f t="array" ref="O21">SUM(SUMIF($N$24:$N$100,{"LI";"LIFO";"LIFO+"},O24:O100))</f>
        <v>10.5</v>
      </c>
      <c r="P21" s="20" cm="1">
        <f t="array" ref="P21">SUM(SUMIF($N$24:$N$100,{"LI";"LIFO";"LIFO+"},P24:P100))</f>
        <v>0</v>
      </c>
      <c r="Q21" s="20" cm="1">
        <f t="array" ref="Q21">SUM(SUMIF($N$24:$N$100,{"LI";"LIFO";"LIFO+"},Q24:Q100))</f>
        <v>0</v>
      </c>
      <c r="R21" s="20" cm="1">
        <f t="array" ref="R21">SUM(SUMIF($N$24:$N$100,{"LI";"LIFO";"LIFO+"},R24:R100))</f>
        <v>0</v>
      </c>
      <c r="S21" s="20" cm="1">
        <f t="array" ref="S21">SUM(SUMIF($N$24:$N$100,{"LI";"LIFO";"LIFO+"},S24:S100))</f>
        <v>0</v>
      </c>
      <c r="T21" s="20" cm="1">
        <f t="array" ref="T21">SUM(SUMIF($N$24:$N$100,{"LI";"LIFO";"LIFO+"},T24:T100))</f>
        <v>0</v>
      </c>
      <c r="U21" s="20" cm="1">
        <f t="array" ref="U21">SUM(SUMIF($N$24:$N$100,{"LI";"LIFO";"LIFO+"},U24:U100))</f>
        <v>11</v>
      </c>
      <c r="W21" s="6"/>
    </row>
    <row r="22" spans="2:24">
      <c r="B22" s="6"/>
      <c r="E22" s="18">
        <v>3</v>
      </c>
      <c r="F22" s="18">
        <v>5</v>
      </c>
      <c r="G22" s="18">
        <v>6</v>
      </c>
      <c r="H22" s="18">
        <v>7</v>
      </c>
      <c r="I22" s="18">
        <v>8</v>
      </c>
      <c r="J22" s="18">
        <v>1</v>
      </c>
      <c r="L22" s="6"/>
      <c r="W22" s="6"/>
    </row>
    <row r="23" spans="2:24">
      <c r="B23" s="6"/>
      <c r="C23" s="12" t="s">
        <v>10</v>
      </c>
      <c r="D23" s="10" t="s">
        <v>11</v>
      </c>
      <c r="E23" s="12" t="s">
        <v>12</v>
      </c>
      <c r="F23" s="12" t="s">
        <v>12</v>
      </c>
      <c r="G23" s="12" t="s">
        <v>12</v>
      </c>
      <c r="H23" s="12" t="s">
        <v>12</v>
      </c>
      <c r="I23" s="12" t="s">
        <v>12</v>
      </c>
      <c r="J23" s="12" t="s">
        <v>12</v>
      </c>
      <c r="L23" s="6"/>
      <c r="M23" s="67" t="s">
        <v>11</v>
      </c>
      <c r="N23" s="67" t="s">
        <v>15</v>
      </c>
      <c r="O23" s="12" t="s">
        <v>16</v>
      </c>
      <c r="P23" s="12" t="s">
        <v>91</v>
      </c>
      <c r="Q23" s="12" t="s">
        <v>16</v>
      </c>
      <c r="R23" s="12" t="s">
        <v>16</v>
      </c>
      <c r="S23" s="12" t="s">
        <v>16</v>
      </c>
      <c r="T23" s="12" t="s">
        <v>16</v>
      </c>
      <c r="U23" s="12" t="s">
        <v>16</v>
      </c>
      <c r="W23" s="6"/>
    </row>
    <row r="24" spans="2:24">
      <c r="B24" s="6"/>
      <c r="L24" s="6"/>
      <c r="M24" s="21">
        <v>43070</v>
      </c>
      <c r="N24" s="67" t="s">
        <v>20</v>
      </c>
      <c r="O24" s="25">
        <v>20</v>
      </c>
      <c r="P24" s="25">
        <v>20</v>
      </c>
      <c r="Q24" s="25">
        <v>20</v>
      </c>
      <c r="R24" s="25">
        <v>20</v>
      </c>
      <c r="S24" s="25">
        <v>20</v>
      </c>
      <c r="T24" s="25">
        <v>20</v>
      </c>
      <c r="U24" s="25">
        <v>20</v>
      </c>
      <c r="V24" s="36"/>
      <c r="W24" s="6"/>
      <c r="X24" s="86"/>
    </row>
    <row r="25" spans="2:24">
      <c r="B25" s="6"/>
      <c r="C25" s="12">
        <f ca="1">IF(D25&lt;=TODAY(),1,"")</f>
        <v>1</v>
      </c>
      <c r="D25" s="22">
        <v>43070</v>
      </c>
      <c r="E25" s="26">
        <v>1.02</v>
      </c>
      <c r="F25" s="26">
        <v>0</v>
      </c>
      <c r="G25" s="26">
        <v>1.04</v>
      </c>
      <c r="H25" s="26">
        <v>1.03</v>
      </c>
      <c r="I25" s="26">
        <v>1.08</v>
      </c>
      <c r="J25" s="26">
        <v>1.0900000000000001</v>
      </c>
      <c r="L25" s="6"/>
      <c r="M25" s="21">
        <v>43070</v>
      </c>
      <c r="N25" s="10" t="s">
        <v>24</v>
      </c>
      <c r="O25" s="25">
        <v>0</v>
      </c>
      <c r="P25" s="25">
        <v>0</v>
      </c>
      <c r="Q25" s="25"/>
      <c r="R25" s="25">
        <v>0</v>
      </c>
      <c r="S25" s="25">
        <v>0</v>
      </c>
      <c r="T25" s="25">
        <v>0</v>
      </c>
      <c r="U25" s="25">
        <v>0</v>
      </c>
      <c r="V25" s="36"/>
      <c r="W25" s="6"/>
      <c r="X25" s="86"/>
    </row>
    <row r="26" spans="2:24">
      <c r="B26" s="6"/>
      <c r="C26" s="12">
        <f ca="1">IF(D26&lt;=TODAY(),1,"")</f>
        <v>1</v>
      </c>
      <c r="D26" s="22">
        <v>43077</v>
      </c>
      <c r="E26" s="26">
        <v>1</v>
      </c>
      <c r="F26" s="26" t="s">
        <v>111</v>
      </c>
      <c r="G26" s="26">
        <v>1</v>
      </c>
      <c r="H26" s="26">
        <v>1</v>
      </c>
      <c r="I26" s="26">
        <v>1</v>
      </c>
      <c r="J26" s="26">
        <v>1</v>
      </c>
      <c r="L26" s="6"/>
      <c r="M26" s="21">
        <v>43077</v>
      </c>
      <c r="N26" s="10" t="s">
        <v>24</v>
      </c>
      <c r="O26" s="25">
        <v>0</v>
      </c>
      <c r="P26" s="25">
        <v>0</v>
      </c>
      <c r="Q26" s="25"/>
      <c r="R26" s="25">
        <v>0</v>
      </c>
      <c r="S26" s="25">
        <v>0</v>
      </c>
      <c r="T26" s="25">
        <v>0</v>
      </c>
      <c r="U26" s="25">
        <v>0</v>
      </c>
      <c r="V26" s="36"/>
      <c r="W26" s="6"/>
    </row>
    <row r="27" spans="2:24">
      <c r="B27" s="6"/>
      <c r="C27" s="12">
        <f ca="1">IF(D27&lt;=TODAY(),1,"")</f>
        <v>1</v>
      </c>
      <c r="D27" s="22">
        <v>43084</v>
      </c>
      <c r="E27" s="26">
        <v>1</v>
      </c>
      <c r="F27" s="26" t="s">
        <v>111</v>
      </c>
      <c r="G27" s="26">
        <v>1</v>
      </c>
      <c r="H27" s="26">
        <v>1</v>
      </c>
      <c r="I27" s="26">
        <v>1</v>
      </c>
      <c r="J27" s="26">
        <v>1</v>
      </c>
      <c r="L27" s="6"/>
      <c r="M27" s="21">
        <v>43084</v>
      </c>
      <c r="N27" s="10" t="s">
        <v>24</v>
      </c>
      <c r="O27" s="25">
        <v>0</v>
      </c>
      <c r="P27" s="25">
        <v>0</v>
      </c>
      <c r="Q27" s="25"/>
      <c r="R27" s="25">
        <v>0</v>
      </c>
      <c r="S27" s="25">
        <v>0</v>
      </c>
      <c r="T27" s="25">
        <v>0</v>
      </c>
      <c r="U27" s="25">
        <v>0</v>
      </c>
      <c r="V27" s="36"/>
      <c r="W27" s="6"/>
    </row>
    <row r="28" spans="2:24">
      <c r="B28" s="6"/>
      <c r="L28" s="6"/>
      <c r="M28" s="32" t="s">
        <v>92</v>
      </c>
      <c r="N28" s="10" t="s">
        <v>43</v>
      </c>
      <c r="O28" s="25">
        <v>5</v>
      </c>
      <c r="P28" s="25"/>
      <c r="Q28" s="25"/>
      <c r="R28" s="25"/>
      <c r="S28" s="25"/>
      <c r="T28" s="25"/>
      <c r="U28" s="25"/>
      <c r="V28" s="36"/>
      <c r="W28" s="6"/>
    </row>
    <row r="29" spans="2:24">
      <c r="B29" s="6"/>
      <c r="C29" s="12">
        <f t="shared" ref="C29:C34" ca="1" si="6">IF(D29&lt;=TODAY(),1,"")</f>
        <v>1</v>
      </c>
      <c r="D29" s="22">
        <v>43091</v>
      </c>
      <c r="E29" s="26">
        <v>1</v>
      </c>
      <c r="F29" s="26" t="s">
        <v>111</v>
      </c>
      <c r="G29" s="26">
        <v>1</v>
      </c>
      <c r="H29" s="26">
        <v>1</v>
      </c>
      <c r="I29" s="26">
        <v>1</v>
      </c>
      <c r="J29" s="26">
        <v>1</v>
      </c>
      <c r="L29" s="6"/>
      <c r="M29" s="21">
        <v>43091</v>
      </c>
      <c r="N29" s="10" t="s">
        <v>24</v>
      </c>
      <c r="O29" s="25">
        <v>0</v>
      </c>
      <c r="P29" s="25">
        <v>0</v>
      </c>
      <c r="Q29" s="25"/>
      <c r="R29" s="25">
        <v>0</v>
      </c>
      <c r="S29" s="25">
        <v>0</v>
      </c>
      <c r="T29" s="25">
        <v>0</v>
      </c>
      <c r="U29" s="25">
        <v>0</v>
      </c>
      <c r="W29" s="6"/>
    </row>
    <row r="30" spans="2:24">
      <c r="B30" s="6"/>
      <c r="C30" s="12">
        <f t="shared" ca="1" si="6"/>
        <v>1</v>
      </c>
      <c r="D30" s="22">
        <v>43098</v>
      </c>
      <c r="E30" s="26">
        <v>1</v>
      </c>
      <c r="F30" s="26" t="s">
        <v>111</v>
      </c>
      <c r="G30" s="26">
        <v>0</v>
      </c>
      <c r="H30" s="26">
        <v>0</v>
      </c>
      <c r="I30" s="26">
        <v>1</v>
      </c>
      <c r="J30" s="26">
        <v>0</v>
      </c>
      <c r="L30" s="6"/>
      <c r="M30" s="21">
        <v>43098</v>
      </c>
      <c r="N30" s="10" t="s">
        <v>24</v>
      </c>
      <c r="O30" s="25">
        <v>0</v>
      </c>
      <c r="P30" s="25">
        <v>0</v>
      </c>
      <c r="Q30" s="25"/>
      <c r="R30" s="25">
        <v>10</v>
      </c>
      <c r="S30" s="25">
        <v>10</v>
      </c>
      <c r="T30" s="25">
        <v>0</v>
      </c>
      <c r="U30" s="25">
        <v>10</v>
      </c>
      <c r="W30" s="6"/>
    </row>
    <row r="31" spans="2:24">
      <c r="B31" s="6"/>
      <c r="C31" s="12">
        <f t="shared" ca="1" si="6"/>
        <v>1</v>
      </c>
      <c r="D31" s="22">
        <v>43105</v>
      </c>
      <c r="E31" s="26">
        <v>1</v>
      </c>
      <c r="F31" s="26" t="s">
        <v>111</v>
      </c>
      <c r="G31" s="26">
        <v>0</v>
      </c>
      <c r="H31" s="26">
        <v>1</v>
      </c>
      <c r="I31" s="26">
        <v>1</v>
      </c>
      <c r="J31" s="26">
        <v>0</v>
      </c>
      <c r="L31" s="6"/>
      <c r="M31" s="21">
        <v>43105</v>
      </c>
      <c r="N31" s="10" t="s">
        <v>24</v>
      </c>
      <c r="O31" s="25">
        <v>0</v>
      </c>
      <c r="P31" s="25">
        <v>0</v>
      </c>
      <c r="Q31" s="25"/>
      <c r="R31" s="25">
        <v>10</v>
      </c>
      <c r="S31" s="25">
        <v>0</v>
      </c>
      <c r="T31" s="25">
        <v>0</v>
      </c>
      <c r="U31" s="25">
        <v>10</v>
      </c>
      <c r="W31" s="6"/>
    </row>
    <row r="32" spans="2:24">
      <c r="B32" s="6"/>
      <c r="C32" s="12">
        <f t="shared" ca="1" si="6"/>
        <v>1</v>
      </c>
      <c r="D32" s="22">
        <v>43112</v>
      </c>
      <c r="E32" s="26">
        <v>1</v>
      </c>
      <c r="F32" s="26" t="s">
        <v>111</v>
      </c>
      <c r="G32" s="26">
        <v>0</v>
      </c>
      <c r="H32" s="26">
        <v>0</v>
      </c>
      <c r="I32" s="26">
        <v>1</v>
      </c>
      <c r="J32" s="26">
        <v>1</v>
      </c>
      <c r="L32" s="6"/>
      <c r="M32" s="21">
        <v>43112</v>
      </c>
      <c r="N32" s="10" t="s">
        <v>24</v>
      </c>
      <c r="O32" s="25">
        <v>0</v>
      </c>
      <c r="P32" s="25">
        <v>0</v>
      </c>
      <c r="Q32" s="25"/>
      <c r="R32" s="25">
        <v>10</v>
      </c>
      <c r="S32" s="25">
        <v>10</v>
      </c>
      <c r="T32" s="25">
        <v>0</v>
      </c>
      <c r="U32" s="25">
        <v>0</v>
      </c>
      <c r="W32" s="6"/>
    </row>
    <row r="33" spans="2:23">
      <c r="B33" s="6"/>
      <c r="C33" s="12">
        <f t="shared" ca="1" si="6"/>
        <v>1</v>
      </c>
      <c r="D33" s="22">
        <v>43119</v>
      </c>
      <c r="E33" s="26">
        <v>0</v>
      </c>
      <c r="F33" s="26" t="s">
        <v>111</v>
      </c>
      <c r="G33" s="26">
        <v>1</v>
      </c>
      <c r="H33" s="26">
        <v>1</v>
      </c>
      <c r="I33" s="26">
        <v>1</v>
      </c>
      <c r="J33" s="26">
        <v>1</v>
      </c>
      <c r="L33" s="6"/>
      <c r="M33" s="21">
        <v>43119</v>
      </c>
      <c r="N33" s="10" t="s">
        <v>24</v>
      </c>
      <c r="O33" s="25">
        <v>10</v>
      </c>
      <c r="P33" s="25">
        <v>0</v>
      </c>
      <c r="Q33" s="25"/>
      <c r="R33" s="25">
        <v>0</v>
      </c>
      <c r="S33" s="25">
        <v>0</v>
      </c>
      <c r="T33" s="25">
        <v>0</v>
      </c>
      <c r="U33" s="25">
        <v>0</v>
      </c>
      <c r="W33" s="6"/>
    </row>
    <row r="34" spans="2:23">
      <c r="B34" s="6"/>
      <c r="C34" s="12">
        <f t="shared" ca="1" si="6"/>
        <v>1</v>
      </c>
      <c r="D34" s="22">
        <v>43126</v>
      </c>
      <c r="E34" s="26">
        <v>1</v>
      </c>
      <c r="F34" s="26" t="s">
        <v>111</v>
      </c>
      <c r="G34" s="26">
        <v>1</v>
      </c>
      <c r="H34" s="26">
        <v>0</v>
      </c>
      <c r="I34" s="26">
        <v>1</v>
      </c>
      <c r="J34" s="26">
        <v>0</v>
      </c>
      <c r="L34" s="6"/>
      <c r="M34" s="21">
        <v>43126</v>
      </c>
      <c r="N34" s="10" t="s">
        <v>24</v>
      </c>
      <c r="O34" s="25">
        <v>0</v>
      </c>
      <c r="P34" s="25">
        <v>0</v>
      </c>
      <c r="Q34" s="25"/>
      <c r="R34" s="25">
        <v>0</v>
      </c>
      <c r="S34" s="25">
        <v>10</v>
      </c>
      <c r="T34" s="25">
        <v>0</v>
      </c>
      <c r="U34" s="25">
        <v>10</v>
      </c>
      <c r="W34" s="6"/>
    </row>
    <row r="35" spans="2:23">
      <c r="B35" s="6"/>
      <c r="L35" s="6"/>
      <c r="M35" s="21">
        <v>43133</v>
      </c>
      <c r="N35" s="10" t="s">
        <v>43</v>
      </c>
      <c r="O35" s="25"/>
      <c r="P35" s="25"/>
      <c r="Q35" s="25"/>
      <c r="R35" s="88"/>
      <c r="S35" s="25"/>
      <c r="T35" s="25"/>
      <c r="U35" s="25">
        <v>5.5</v>
      </c>
      <c r="W35" s="6"/>
    </row>
    <row r="36" spans="2:23">
      <c r="B36" s="6"/>
      <c r="C36" s="12">
        <f t="shared" ref="C36:C63" ca="1" si="7">IF(D36&lt;=TODAY(),1,"")</f>
        <v>1</v>
      </c>
      <c r="D36" s="22">
        <v>43133</v>
      </c>
      <c r="E36" s="26">
        <v>0</v>
      </c>
      <c r="F36" s="26" t="s">
        <v>111</v>
      </c>
      <c r="G36" s="26">
        <v>0</v>
      </c>
      <c r="H36" s="26">
        <v>0</v>
      </c>
      <c r="I36" s="26">
        <v>0</v>
      </c>
      <c r="J36" s="26">
        <v>1</v>
      </c>
      <c r="L36" s="6"/>
      <c r="M36" s="21">
        <v>43133</v>
      </c>
      <c r="N36" s="10" t="s">
        <v>24</v>
      </c>
      <c r="O36" s="25">
        <v>11</v>
      </c>
      <c r="P36" s="25">
        <v>11</v>
      </c>
      <c r="Q36" s="25"/>
      <c r="R36" s="25">
        <v>11</v>
      </c>
      <c r="S36" s="25">
        <v>11</v>
      </c>
      <c r="T36" s="25">
        <v>11</v>
      </c>
      <c r="U36" s="25">
        <v>0</v>
      </c>
      <c r="W36" s="6"/>
    </row>
    <row r="37" spans="2:23">
      <c r="B37" s="6"/>
      <c r="C37" s="12">
        <f t="shared" ca="1" si="7"/>
        <v>1</v>
      </c>
      <c r="D37" s="22">
        <v>43140</v>
      </c>
      <c r="E37" s="26">
        <v>1</v>
      </c>
      <c r="F37" s="26" t="s">
        <v>111</v>
      </c>
      <c r="G37" s="26">
        <v>1</v>
      </c>
      <c r="H37" s="26">
        <v>1</v>
      </c>
      <c r="I37" s="26">
        <v>0</v>
      </c>
      <c r="J37" s="26">
        <v>1</v>
      </c>
      <c r="L37" s="6"/>
      <c r="M37" s="21">
        <v>43140</v>
      </c>
      <c r="N37" s="10" t="s">
        <v>24</v>
      </c>
      <c r="O37" s="25">
        <v>0</v>
      </c>
      <c r="P37" s="25">
        <v>0</v>
      </c>
      <c r="Q37" s="25"/>
      <c r="R37" s="25">
        <v>0</v>
      </c>
      <c r="S37" s="25">
        <v>0</v>
      </c>
      <c r="T37" s="25">
        <v>11</v>
      </c>
      <c r="U37" s="25">
        <v>0</v>
      </c>
      <c r="W37" s="6"/>
    </row>
    <row r="38" spans="2:23">
      <c r="B38" s="6"/>
      <c r="C38" s="12">
        <f t="shared" ca="1" si="7"/>
        <v>1</v>
      </c>
      <c r="D38" s="22">
        <v>43147</v>
      </c>
      <c r="E38" s="26">
        <v>1</v>
      </c>
      <c r="F38" s="26" t="s">
        <v>111</v>
      </c>
      <c r="G38" s="26">
        <v>1</v>
      </c>
      <c r="H38" s="26">
        <v>0</v>
      </c>
      <c r="I38" s="26">
        <v>1</v>
      </c>
      <c r="J38" s="26">
        <v>1</v>
      </c>
      <c r="L38" s="6"/>
      <c r="M38" s="21">
        <v>43147</v>
      </c>
      <c r="N38" s="10" t="s">
        <v>24</v>
      </c>
      <c r="O38" s="25">
        <v>0</v>
      </c>
      <c r="P38" s="25">
        <v>0</v>
      </c>
      <c r="Q38" s="25"/>
      <c r="R38" s="25">
        <v>0</v>
      </c>
      <c r="S38" s="25">
        <v>11</v>
      </c>
      <c r="T38" s="25">
        <v>0</v>
      </c>
      <c r="U38" s="25">
        <v>0</v>
      </c>
      <c r="W38" s="6"/>
    </row>
    <row r="39" spans="2:23" ht="16.5" customHeight="1">
      <c r="B39" s="6"/>
      <c r="C39" s="12">
        <f t="shared" ca="1" si="7"/>
        <v>1</v>
      </c>
      <c r="D39" s="22">
        <v>43154</v>
      </c>
      <c r="E39" s="26">
        <v>1</v>
      </c>
      <c r="F39" s="26" t="s">
        <v>111</v>
      </c>
      <c r="G39" s="26">
        <v>1</v>
      </c>
      <c r="H39" s="26">
        <v>1</v>
      </c>
      <c r="I39" s="26">
        <v>0</v>
      </c>
      <c r="J39" s="26">
        <v>1</v>
      </c>
      <c r="K39" s="2"/>
      <c r="L39" s="23"/>
      <c r="M39" s="21">
        <v>43154</v>
      </c>
      <c r="N39" s="10" t="s">
        <v>24</v>
      </c>
      <c r="O39" s="25">
        <v>0</v>
      </c>
      <c r="P39" s="25">
        <v>0</v>
      </c>
      <c r="Q39" s="25"/>
      <c r="R39" s="25">
        <v>0</v>
      </c>
      <c r="S39" s="25">
        <v>0</v>
      </c>
      <c r="T39" s="25">
        <v>11</v>
      </c>
      <c r="U39" s="25">
        <v>0</v>
      </c>
      <c r="V39" s="2"/>
      <c r="W39" s="23"/>
    </row>
    <row r="40" spans="2:23" ht="16.5" customHeight="1">
      <c r="B40" s="6"/>
      <c r="C40" s="12">
        <f t="shared" ca="1" si="7"/>
        <v>1</v>
      </c>
      <c r="D40" s="22">
        <v>43161</v>
      </c>
      <c r="E40" s="26">
        <v>1</v>
      </c>
      <c r="F40" s="26" t="s">
        <v>111</v>
      </c>
      <c r="G40" s="26">
        <v>1</v>
      </c>
      <c r="H40" s="26">
        <v>1</v>
      </c>
      <c r="I40" s="26">
        <v>1</v>
      </c>
      <c r="J40" s="26">
        <v>1</v>
      </c>
      <c r="K40" s="2"/>
      <c r="L40" s="23"/>
      <c r="M40" s="21">
        <v>43161</v>
      </c>
      <c r="N40" s="10" t="s">
        <v>24</v>
      </c>
      <c r="O40" s="25">
        <v>0</v>
      </c>
      <c r="P40" s="25">
        <v>0</v>
      </c>
      <c r="Q40" s="25"/>
      <c r="R40" s="25">
        <v>0</v>
      </c>
      <c r="S40" s="25">
        <v>0</v>
      </c>
      <c r="T40" s="25">
        <v>0</v>
      </c>
      <c r="U40" s="25">
        <v>0</v>
      </c>
      <c r="V40" s="2"/>
      <c r="W40" s="23"/>
    </row>
    <row r="41" spans="2:23" ht="16.5" customHeight="1">
      <c r="B41" s="6"/>
      <c r="C41" s="12">
        <f t="shared" ca="1" si="7"/>
        <v>1</v>
      </c>
      <c r="D41" s="22">
        <v>43168</v>
      </c>
      <c r="E41" s="26">
        <v>0</v>
      </c>
      <c r="F41" s="26" t="s">
        <v>111</v>
      </c>
      <c r="G41" s="26">
        <v>1</v>
      </c>
      <c r="H41" s="26">
        <v>1</v>
      </c>
      <c r="I41" s="26">
        <v>1</v>
      </c>
      <c r="J41" s="26">
        <v>0</v>
      </c>
      <c r="L41" s="6"/>
      <c r="M41" s="21">
        <v>43168</v>
      </c>
      <c r="N41" s="10" t="s">
        <v>24</v>
      </c>
      <c r="O41" s="25">
        <v>11</v>
      </c>
      <c r="P41" s="25">
        <v>0</v>
      </c>
      <c r="Q41" s="25"/>
      <c r="R41" s="25">
        <v>0</v>
      </c>
      <c r="S41" s="25">
        <v>0</v>
      </c>
      <c r="T41" s="25">
        <v>0</v>
      </c>
      <c r="U41" s="25">
        <v>11</v>
      </c>
      <c r="W41" s="6"/>
    </row>
    <row r="42" spans="2:23" ht="16.5" customHeight="1">
      <c r="B42" s="6"/>
      <c r="C42" s="12">
        <f t="shared" ca="1" si="7"/>
        <v>1</v>
      </c>
      <c r="D42" s="22">
        <v>43175</v>
      </c>
      <c r="E42" s="26">
        <v>1</v>
      </c>
      <c r="F42" s="26" t="s">
        <v>111</v>
      </c>
      <c r="G42" s="26">
        <v>1</v>
      </c>
      <c r="H42" s="26">
        <v>1</v>
      </c>
      <c r="I42" s="26">
        <v>1</v>
      </c>
      <c r="J42" s="26">
        <v>0</v>
      </c>
      <c r="L42" s="6"/>
      <c r="M42" s="21">
        <v>43175</v>
      </c>
      <c r="N42" s="10" t="s">
        <v>24</v>
      </c>
      <c r="O42" s="25">
        <v>0</v>
      </c>
      <c r="P42" s="25">
        <v>0</v>
      </c>
      <c r="Q42" s="25"/>
      <c r="R42" s="25">
        <v>0</v>
      </c>
      <c r="S42" s="25">
        <v>0</v>
      </c>
      <c r="T42" s="25">
        <v>0</v>
      </c>
      <c r="U42" s="25">
        <v>11</v>
      </c>
      <c r="W42" s="6"/>
    </row>
    <row r="43" spans="2:23" ht="16.5" customHeight="1">
      <c r="B43" s="6"/>
      <c r="C43" s="12">
        <f t="shared" ca="1" si="7"/>
        <v>1</v>
      </c>
      <c r="D43" s="22">
        <v>43182</v>
      </c>
      <c r="E43" s="26">
        <v>1</v>
      </c>
      <c r="F43" s="26" t="s">
        <v>111</v>
      </c>
      <c r="G43" s="26">
        <v>1</v>
      </c>
      <c r="H43" s="26">
        <v>0</v>
      </c>
      <c r="I43" s="26">
        <v>1</v>
      </c>
      <c r="J43" s="26">
        <v>1</v>
      </c>
      <c r="L43" s="6"/>
      <c r="M43" s="21">
        <v>43182</v>
      </c>
      <c r="N43" s="10" t="s">
        <v>24</v>
      </c>
      <c r="O43" s="25">
        <v>0</v>
      </c>
      <c r="P43" s="25">
        <v>0</v>
      </c>
      <c r="Q43" s="25"/>
      <c r="R43" s="25">
        <v>0</v>
      </c>
      <c r="S43" s="25">
        <v>11</v>
      </c>
      <c r="T43" s="25">
        <v>0</v>
      </c>
      <c r="U43" s="25">
        <v>0</v>
      </c>
      <c r="W43" s="6"/>
    </row>
    <row r="44" spans="2:23" ht="16.5" customHeight="1">
      <c r="B44" s="6"/>
      <c r="C44" s="12">
        <f t="shared" ca="1" si="7"/>
        <v>1</v>
      </c>
      <c r="D44" s="22">
        <v>43196</v>
      </c>
      <c r="E44" s="26">
        <v>0</v>
      </c>
      <c r="F44" s="26" t="s">
        <v>111</v>
      </c>
      <c r="G44" s="26">
        <v>1</v>
      </c>
      <c r="H44" s="26">
        <v>1</v>
      </c>
      <c r="I44" s="26">
        <v>1</v>
      </c>
      <c r="J44" s="26">
        <v>1</v>
      </c>
      <c r="L44" s="6"/>
      <c r="M44" s="21">
        <v>43196</v>
      </c>
      <c r="N44" s="10" t="s">
        <v>24</v>
      </c>
      <c r="O44" s="25">
        <v>11</v>
      </c>
      <c r="P44" s="25">
        <v>0</v>
      </c>
      <c r="Q44" s="25"/>
      <c r="R44" s="25">
        <v>0</v>
      </c>
      <c r="S44" s="25">
        <v>0</v>
      </c>
      <c r="T44" s="25">
        <v>0</v>
      </c>
      <c r="U44" s="25">
        <v>0</v>
      </c>
      <c r="W44" s="6"/>
    </row>
    <row r="45" spans="2:23" ht="16.5" customHeight="1">
      <c r="B45" s="6"/>
      <c r="C45" s="12">
        <f t="shared" ca="1" si="7"/>
        <v>1</v>
      </c>
      <c r="D45" s="22">
        <v>43203</v>
      </c>
      <c r="E45" s="26">
        <v>1</v>
      </c>
      <c r="F45" s="26" t="s">
        <v>111</v>
      </c>
      <c r="G45" s="26">
        <v>1</v>
      </c>
      <c r="H45" s="26">
        <v>1</v>
      </c>
      <c r="I45" s="26">
        <v>1</v>
      </c>
      <c r="J45" s="26">
        <v>1</v>
      </c>
      <c r="L45" s="6"/>
      <c r="M45" s="21">
        <v>43203</v>
      </c>
      <c r="N45" s="10" t="s">
        <v>24</v>
      </c>
      <c r="O45" s="25">
        <v>0</v>
      </c>
      <c r="P45" s="25">
        <v>11</v>
      </c>
      <c r="Q45" s="25"/>
      <c r="R45" s="25">
        <v>0</v>
      </c>
      <c r="S45" s="25">
        <v>0</v>
      </c>
      <c r="T45" s="25">
        <v>0</v>
      </c>
      <c r="U45" s="25">
        <v>0</v>
      </c>
      <c r="W45" s="6"/>
    </row>
    <row r="46" spans="2:23" ht="16.5" customHeight="1">
      <c r="B46" s="6"/>
      <c r="C46" s="12">
        <f t="shared" ca="1" si="7"/>
        <v>1</v>
      </c>
      <c r="D46" s="22">
        <v>43210</v>
      </c>
      <c r="E46" s="26">
        <v>1</v>
      </c>
      <c r="F46" s="26" t="s">
        <v>111</v>
      </c>
      <c r="G46" s="26">
        <v>1</v>
      </c>
      <c r="H46" s="26">
        <v>1</v>
      </c>
      <c r="I46" s="26">
        <v>0</v>
      </c>
      <c r="J46" s="26">
        <v>1</v>
      </c>
      <c r="L46" s="6"/>
      <c r="M46" s="21">
        <v>43210</v>
      </c>
      <c r="N46" s="10" t="s">
        <v>24</v>
      </c>
      <c r="O46" s="25">
        <v>0</v>
      </c>
      <c r="P46" s="25">
        <v>0</v>
      </c>
      <c r="Q46" s="25"/>
      <c r="R46" s="25">
        <v>0</v>
      </c>
      <c r="S46" s="25">
        <v>0</v>
      </c>
      <c r="T46" s="25">
        <v>11</v>
      </c>
      <c r="U46" s="25">
        <v>0</v>
      </c>
      <c r="V46" s="27">
        <v>0</v>
      </c>
      <c r="W46" s="6"/>
    </row>
    <row r="47" spans="2:23" ht="16.5" customHeight="1">
      <c r="B47" s="6"/>
      <c r="C47" s="12">
        <f t="shared" ca="1" si="7"/>
        <v>1</v>
      </c>
      <c r="D47" s="22">
        <v>43217</v>
      </c>
      <c r="E47" s="26">
        <v>1</v>
      </c>
      <c r="F47" s="26">
        <v>1</v>
      </c>
      <c r="G47" s="26">
        <v>0</v>
      </c>
      <c r="H47" s="26">
        <v>1</v>
      </c>
      <c r="I47" s="26">
        <v>1</v>
      </c>
      <c r="J47" s="26">
        <v>1</v>
      </c>
      <c r="L47" s="6"/>
      <c r="M47" s="21">
        <v>43217</v>
      </c>
      <c r="N47" s="10" t="s">
        <v>24</v>
      </c>
      <c r="O47" s="25">
        <v>0</v>
      </c>
      <c r="P47" s="25">
        <v>0</v>
      </c>
      <c r="Q47" s="25">
        <v>0</v>
      </c>
      <c r="R47" s="25">
        <v>11</v>
      </c>
      <c r="S47" s="25">
        <v>0</v>
      </c>
      <c r="T47" s="25">
        <v>0</v>
      </c>
      <c r="U47" s="25">
        <v>0</v>
      </c>
      <c r="W47" s="6"/>
    </row>
    <row r="48" spans="2:23" ht="16.5" customHeight="1">
      <c r="B48" s="6"/>
      <c r="C48" s="12">
        <f t="shared" ca="1" si="7"/>
        <v>1</v>
      </c>
      <c r="D48" s="22">
        <v>43224</v>
      </c>
      <c r="E48" s="26">
        <v>0</v>
      </c>
      <c r="F48" s="26" t="s">
        <v>111</v>
      </c>
      <c r="G48" s="26">
        <v>0</v>
      </c>
      <c r="H48" s="26">
        <v>0</v>
      </c>
      <c r="I48" s="26">
        <v>0</v>
      </c>
      <c r="J48" s="26">
        <v>0</v>
      </c>
      <c r="L48" s="6"/>
      <c r="M48" s="21">
        <v>43224</v>
      </c>
      <c r="N48" s="10" t="s">
        <v>24</v>
      </c>
      <c r="O48" s="25">
        <v>11</v>
      </c>
      <c r="P48" s="25">
        <v>11</v>
      </c>
      <c r="Q48" s="25"/>
      <c r="R48" s="25">
        <v>11</v>
      </c>
      <c r="S48" s="25">
        <v>11</v>
      </c>
      <c r="T48" s="25">
        <v>11</v>
      </c>
      <c r="U48" s="25">
        <v>11</v>
      </c>
      <c r="W48" s="6"/>
    </row>
    <row r="49" spans="2:32" ht="16.5" customHeight="1">
      <c r="B49" s="6"/>
      <c r="C49" s="12">
        <f t="shared" ca="1" si="7"/>
        <v>1</v>
      </c>
      <c r="D49" s="22">
        <v>43231</v>
      </c>
      <c r="E49" s="26">
        <v>0</v>
      </c>
      <c r="F49" s="26" t="s">
        <v>111</v>
      </c>
      <c r="G49" s="26">
        <v>1</v>
      </c>
      <c r="H49" s="26">
        <v>1</v>
      </c>
      <c r="I49" s="26">
        <v>0</v>
      </c>
      <c r="J49" s="26">
        <v>1</v>
      </c>
      <c r="L49" s="6"/>
      <c r="M49" s="21">
        <v>43231</v>
      </c>
      <c r="N49" s="10" t="s">
        <v>24</v>
      </c>
      <c r="O49" s="25">
        <v>11</v>
      </c>
      <c r="P49" s="25">
        <v>0</v>
      </c>
      <c r="Q49" s="25"/>
      <c r="R49" s="25">
        <v>0</v>
      </c>
      <c r="S49" s="25">
        <v>0</v>
      </c>
      <c r="T49" s="25">
        <v>11</v>
      </c>
      <c r="U49" s="25">
        <v>0</v>
      </c>
      <c r="W49" s="6"/>
    </row>
    <row r="50" spans="2:32" ht="16.5" customHeight="1">
      <c r="B50" s="6"/>
      <c r="C50" s="12">
        <f t="shared" ca="1" si="7"/>
        <v>1</v>
      </c>
      <c r="D50" s="22">
        <v>43238</v>
      </c>
      <c r="E50" s="26">
        <v>1</v>
      </c>
      <c r="F50" s="26" t="s">
        <v>111</v>
      </c>
      <c r="G50" s="26">
        <v>0</v>
      </c>
      <c r="H50" s="26">
        <v>0</v>
      </c>
      <c r="I50" s="26">
        <v>0</v>
      </c>
      <c r="J50" s="26">
        <v>1</v>
      </c>
      <c r="L50" s="6"/>
      <c r="M50" s="21">
        <v>43238</v>
      </c>
      <c r="N50" s="10" t="s">
        <v>24</v>
      </c>
      <c r="O50" s="25">
        <v>0</v>
      </c>
      <c r="P50" s="25">
        <v>0</v>
      </c>
      <c r="Q50" s="25"/>
      <c r="R50" s="25">
        <v>11</v>
      </c>
      <c r="S50" s="25">
        <v>11</v>
      </c>
      <c r="T50" s="25">
        <v>11</v>
      </c>
      <c r="U50" s="25">
        <v>0</v>
      </c>
      <c r="W50" s="6"/>
    </row>
    <row r="51" spans="2:32" ht="16.5" customHeight="1">
      <c r="B51" s="6"/>
      <c r="C51" s="12">
        <f t="shared" ca="1" si="7"/>
        <v>1</v>
      </c>
      <c r="D51" s="22">
        <v>43245</v>
      </c>
      <c r="E51" s="26">
        <v>0</v>
      </c>
      <c r="F51" s="26" t="s">
        <v>111</v>
      </c>
      <c r="G51" s="26">
        <v>0</v>
      </c>
      <c r="H51" s="26">
        <v>0</v>
      </c>
      <c r="I51" s="26">
        <v>1</v>
      </c>
      <c r="J51" s="26">
        <v>1</v>
      </c>
      <c r="L51" s="6"/>
      <c r="M51" s="21">
        <v>43245</v>
      </c>
      <c r="N51" s="10" t="s">
        <v>24</v>
      </c>
      <c r="O51" s="25">
        <v>11</v>
      </c>
      <c r="P51" s="25">
        <v>0</v>
      </c>
      <c r="Q51" s="25"/>
      <c r="R51" s="25">
        <v>11</v>
      </c>
      <c r="S51" s="25">
        <v>11</v>
      </c>
      <c r="T51" s="25">
        <v>0</v>
      </c>
      <c r="U51" s="25">
        <v>0</v>
      </c>
      <c r="W51" s="6"/>
    </row>
    <row r="52" spans="2:32" ht="16.5" customHeight="1">
      <c r="B52" s="6"/>
      <c r="C52" s="12">
        <f t="shared" ca="1" si="7"/>
        <v>1</v>
      </c>
      <c r="D52" s="22">
        <v>43252</v>
      </c>
      <c r="E52" s="26">
        <v>1</v>
      </c>
      <c r="F52" s="26" t="s">
        <v>111</v>
      </c>
      <c r="G52" s="26">
        <v>0</v>
      </c>
      <c r="H52" s="26">
        <v>0</v>
      </c>
      <c r="I52" s="26">
        <v>1</v>
      </c>
      <c r="J52" s="26">
        <v>1</v>
      </c>
      <c r="L52" s="6"/>
      <c r="M52" s="21">
        <v>43252</v>
      </c>
      <c r="N52" s="10" t="s">
        <v>24</v>
      </c>
      <c r="O52" s="25">
        <v>0</v>
      </c>
      <c r="P52" s="25"/>
      <c r="Q52" s="25"/>
      <c r="R52" s="25">
        <v>11</v>
      </c>
      <c r="S52" s="25">
        <v>11</v>
      </c>
      <c r="T52" s="25">
        <v>0</v>
      </c>
      <c r="U52" s="25">
        <v>0</v>
      </c>
      <c r="W52" s="6"/>
    </row>
    <row r="53" spans="2:32" ht="16.5" customHeight="1">
      <c r="B53" s="6"/>
      <c r="C53" s="12">
        <f t="shared" ca="1" si="7"/>
        <v>1</v>
      </c>
      <c r="D53" s="22">
        <v>43259</v>
      </c>
      <c r="E53" s="26">
        <v>1</v>
      </c>
      <c r="F53" s="26" t="s">
        <v>111</v>
      </c>
      <c r="G53" s="26">
        <v>1</v>
      </c>
      <c r="H53" s="26">
        <v>0</v>
      </c>
      <c r="I53" s="26">
        <v>0</v>
      </c>
      <c r="J53" s="26">
        <v>1</v>
      </c>
      <c r="L53" s="6"/>
      <c r="M53" s="21">
        <v>43259</v>
      </c>
      <c r="N53" s="10" t="s">
        <v>24</v>
      </c>
      <c r="O53" s="25">
        <v>0</v>
      </c>
      <c r="P53" s="25"/>
      <c r="Q53" s="25"/>
      <c r="R53" s="25">
        <v>0</v>
      </c>
      <c r="S53" s="25">
        <v>11</v>
      </c>
      <c r="T53" s="25">
        <v>11</v>
      </c>
      <c r="U53" s="25">
        <v>0</v>
      </c>
      <c r="W53" s="6"/>
    </row>
    <row r="54" spans="2:32" ht="16.5" customHeight="1">
      <c r="B54" s="6"/>
      <c r="C54" s="12">
        <f t="shared" ca="1" si="7"/>
        <v>1</v>
      </c>
      <c r="D54" s="22">
        <v>43266</v>
      </c>
      <c r="E54" s="26">
        <v>0</v>
      </c>
      <c r="F54" s="26" t="s">
        <v>111</v>
      </c>
      <c r="G54" s="26">
        <v>1</v>
      </c>
      <c r="H54" s="26">
        <v>0</v>
      </c>
      <c r="I54" s="26">
        <v>1</v>
      </c>
      <c r="J54" s="26">
        <v>1</v>
      </c>
      <c r="L54" s="6"/>
      <c r="M54" s="21">
        <v>43266</v>
      </c>
      <c r="N54" s="10" t="s">
        <v>24</v>
      </c>
      <c r="O54" s="25">
        <v>11</v>
      </c>
      <c r="P54" s="25"/>
      <c r="Q54" s="25"/>
      <c r="R54" s="25">
        <v>0</v>
      </c>
      <c r="S54" s="25">
        <v>11</v>
      </c>
      <c r="T54" s="25">
        <v>0</v>
      </c>
      <c r="U54" s="25">
        <v>0</v>
      </c>
      <c r="W54" s="6"/>
    </row>
    <row r="55" spans="2:32" ht="16.5" customHeight="1">
      <c r="B55" s="6"/>
      <c r="C55" s="12">
        <f t="shared" ca="1" si="7"/>
        <v>1</v>
      </c>
      <c r="D55" s="22">
        <v>43273</v>
      </c>
      <c r="E55" s="26">
        <v>1</v>
      </c>
      <c r="F55" s="26" t="s">
        <v>111</v>
      </c>
      <c r="G55" s="26">
        <v>1</v>
      </c>
      <c r="H55" s="26">
        <v>0</v>
      </c>
      <c r="I55" s="26">
        <v>1</v>
      </c>
      <c r="J55" s="26">
        <v>1</v>
      </c>
      <c r="L55" s="6"/>
      <c r="M55" s="21">
        <v>43273</v>
      </c>
      <c r="N55" s="10" t="s">
        <v>24</v>
      </c>
      <c r="O55" s="25">
        <v>0</v>
      </c>
      <c r="P55" s="25"/>
      <c r="Q55" s="25"/>
      <c r="R55" s="25">
        <v>0</v>
      </c>
      <c r="S55" s="25">
        <v>11</v>
      </c>
      <c r="T55" s="25">
        <v>0</v>
      </c>
      <c r="U55" s="25">
        <v>0</v>
      </c>
      <c r="W55" s="6"/>
    </row>
    <row r="56" spans="2:32" ht="16.5" customHeight="1">
      <c r="B56" s="6"/>
      <c r="C56" s="12">
        <f t="shared" ca="1" si="7"/>
        <v>1</v>
      </c>
      <c r="D56" s="22">
        <v>43280</v>
      </c>
      <c r="E56" s="26">
        <v>1</v>
      </c>
      <c r="F56" s="26" t="s">
        <v>111</v>
      </c>
      <c r="G56" s="26">
        <v>1</v>
      </c>
      <c r="H56" s="26" t="s">
        <v>111</v>
      </c>
      <c r="I56" s="26">
        <v>0</v>
      </c>
      <c r="J56" s="26">
        <v>1</v>
      </c>
      <c r="L56" s="6"/>
      <c r="M56" s="21">
        <v>43280</v>
      </c>
      <c r="N56" s="10" t="s">
        <v>24</v>
      </c>
      <c r="O56" s="25">
        <v>0</v>
      </c>
      <c r="P56" s="25"/>
      <c r="Q56" s="25"/>
      <c r="R56" s="25">
        <v>0</v>
      </c>
      <c r="S56" s="25"/>
      <c r="T56" s="25">
        <v>11</v>
      </c>
      <c r="U56" s="25">
        <v>0</v>
      </c>
      <c r="W56" s="6"/>
    </row>
    <row r="57" spans="2:32" ht="16.5" customHeight="1">
      <c r="B57" s="6"/>
      <c r="C57" s="12">
        <f t="shared" ca="1" si="7"/>
        <v>1</v>
      </c>
      <c r="D57" s="22">
        <v>43287</v>
      </c>
      <c r="E57" s="26">
        <v>1</v>
      </c>
      <c r="F57" s="26" t="s">
        <v>111</v>
      </c>
      <c r="G57" s="26">
        <v>0</v>
      </c>
      <c r="H57" s="26" t="s">
        <v>111</v>
      </c>
      <c r="I57" s="26">
        <v>0</v>
      </c>
      <c r="J57" s="26">
        <v>1</v>
      </c>
      <c r="L57" s="6"/>
      <c r="M57" s="21">
        <v>43287</v>
      </c>
      <c r="N57" s="10" t="s">
        <v>24</v>
      </c>
      <c r="O57" s="25">
        <v>0</v>
      </c>
      <c r="P57" s="25"/>
      <c r="Q57" s="25"/>
      <c r="R57" s="25">
        <v>11</v>
      </c>
      <c r="S57" s="25"/>
      <c r="T57" s="25">
        <v>11</v>
      </c>
      <c r="U57" s="25">
        <v>0</v>
      </c>
      <c r="W57" s="6"/>
    </row>
    <row r="58" spans="2:32" ht="16.5" customHeight="1">
      <c r="B58" s="6"/>
      <c r="C58" s="12">
        <f t="shared" ca="1" si="7"/>
        <v>1</v>
      </c>
      <c r="D58" s="22">
        <v>43294</v>
      </c>
      <c r="E58" s="26">
        <v>1</v>
      </c>
      <c r="F58" s="26" t="s">
        <v>111</v>
      </c>
      <c r="G58" s="26">
        <v>1</v>
      </c>
      <c r="H58" s="26" t="s">
        <v>111</v>
      </c>
      <c r="I58" s="26">
        <v>0</v>
      </c>
      <c r="J58" s="26">
        <v>1</v>
      </c>
      <c r="L58" s="6"/>
      <c r="M58" s="21">
        <v>43294</v>
      </c>
      <c r="N58" s="10" t="s">
        <v>93</v>
      </c>
      <c r="O58" s="25">
        <v>0</v>
      </c>
      <c r="P58" s="25"/>
      <c r="Q58" s="25"/>
      <c r="R58" s="25">
        <v>0</v>
      </c>
      <c r="S58" s="25"/>
      <c r="T58" s="25">
        <v>11</v>
      </c>
      <c r="U58" s="25">
        <v>0</v>
      </c>
      <c r="W58" s="6"/>
    </row>
    <row r="59" spans="2:32" ht="16.5" customHeight="1">
      <c r="B59" s="6"/>
      <c r="C59" s="12">
        <f t="shared" ca="1" si="7"/>
        <v>1</v>
      </c>
      <c r="D59" s="22">
        <v>43301</v>
      </c>
      <c r="E59" s="26">
        <v>1</v>
      </c>
      <c r="F59" s="26" t="s">
        <v>111</v>
      </c>
      <c r="G59" s="26">
        <v>1</v>
      </c>
      <c r="H59" s="26" t="s">
        <v>111</v>
      </c>
      <c r="I59" s="26">
        <v>0</v>
      </c>
      <c r="J59" s="26">
        <v>1</v>
      </c>
      <c r="L59" s="6"/>
      <c r="M59" s="21">
        <v>43301</v>
      </c>
      <c r="N59" s="10" t="s">
        <v>93</v>
      </c>
      <c r="O59" s="25">
        <v>0</v>
      </c>
      <c r="P59" s="25"/>
      <c r="Q59" s="25"/>
      <c r="R59" s="25">
        <v>0</v>
      </c>
      <c r="S59" s="25"/>
      <c r="T59" s="25">
        <v>11</v>
      </c>
      <c r="U59" s="25">
        <v>0</v>
      </c>
      <c r="W59" s="6"/>
    </row>
    <row r="60" spans="2:32">
      <c r="C60" s="12">
        <f t="shared" ca="1" si="7"/>
        <v>1</v>
      </c>
      <c r="D60" s="22">
        <v>43308</v>
      </c>
      <c r="E60" s="26">
        <v>1</v>
      </c>
      <c r="F60" s="26" t="s">
        <v>111</v>
      </c>
      <c r="G60" s="26">
        <v>1</v>
      </c>
      <c r="H60" s="26">
        <v>1</v>
      </c>
      <c r="I60" s="26">
        <v>0</v>
      </c>
      <c r="J60" s="26">
        <v>1</v>
      </c>
      <c r="M60" s="21">
        <v>43308</v>
      </c>
      <c r="N60" s="10" t="s">
        <v>24</v>
      </c>
      <c r="O60" s="25">
        <v>0</v>
      </c>
      <c r="P60" s="25"/>
      <c r="Q60" s="25"/>
      <c r="R60" s="25">
        <v>0</v>
      </c>
      <c r="S60" s="25">
        <v>0</v>
      </c>
      <c r="T60" s="25">
        <v>11</v>
      </c>
      <c r="U60" s="25">
        <v>0</v>
      </c>
      <c r="W60" s="6"/>
    </row>
    <row r="61" spans="2:32">
      <c r="C61" s="12">
        <f t="shared" ca="1" si="7"/>
        <v>1</v>
      </c>
      <c r="D61" s="22">
        <v>43315</v>
      </c>
      <c r="E61" s="26">
        <v>1</v>
      </c>
      <c r="F61" s="26" t="s">
        <v>111</v>
      </c>
      <c r="G61" s="26">
        <v>1</v>
      </c>
      <c r="H61" s="26" t="s">
        <v>111</v>
      </c>
      <c r="I61" s="26">
        <v>0</v>
      </c>
      <c r="J61" s="26">
        <v>1</v>
      </c>
      <c r="M61" s="21">
        <v>43315</v>
      </c>
      <c r="N61" s="10" t="s">
        <v>24</v>
      </c>
      <c r="O61" s="25">
        <v>0</v>
      </c>
      <c r="P61" s="25"/>
      <c r="Q61" s="25"/>
      <c r="R61" s="25">
        <v>0</v>
      </c>
      <c r="S61" s="25"/>
      <c r="T61" s="25">
        <v>11</v>
      </c>
      <c r="U61" s="25">
        <v>0</v>
      </c>
      <c r="W61" s="6"/>
      <c r="Z61" s="36"/>
      <c r="AA61" s="36"/>
      <c r="AB61" s="36"/>
      <c r="AC61" s="36"/>
      <c r="AD61" s="36"/>
      <c r="AE61" s="36"/>
      <c r="AF61" s="36"/>
    </row>
    <row r="62" spans="2:32">
      <c r="C62" s="12">
        <f t="shared" ca="1" si="7"/>
        <v>1</v>
      </c>
      <c r="D62" s="22">
        <v>43322</v>
      </c>
      <c r="E62" s="26">
        <v>1</v>
      </c>
      <c r="F62" s="26" t="s">
        <v>111</v>
      </c>
      <c r="G62" s="26">
        <v>1</v>
      </c>
      <c r="H62" s="26" t="s">
        <v>111</v>
      </c>
      <c r="I62" s="26">
        <v>0</v>
      </c>
      <c r="J62" s="26">
        <v>1</v>
      </c>
      <c r="M62" s="21">
        <v>43322</v>
      </c>
      <c r="N62" s="10" t="s">
        <v>24</v>
      </c>
      <c r="O62" s="25">
        <v>0</v>
      </c>
      <c r="P62" s="25"/>
      <c r="Q62" s="25"/>
      <c r="R62" s="25">
        <v>0</v>
      </c>
      <c r="S62" s="25"/>
      <c r="T62" s="25">
        <v>11</v>
      </c>
      <c r="U62" s="25">
        <v>0</v>
      </c>
      <c r="W62" s="6"/>
    </row>
    <row r="63" spans="2:32">
      <c r="C63" s="12">
        <f t="shared" ca="1" si="7"/>
        <v>1</v>
      </c>
      <c r="D63" s="22">
        <v>43329</v>
      </c>
      <c r="E63" s="26">
        <v>1</v>
      </c>
      <c r="F63" s="26" t="s">
        <v>111</v>
      </c>
      <c r="G63" s="26">
        <v>1</v>
      </c>
      <c r="H63" s="26" t="s">
        <v>111</v>
      </c>
      <c r="I63" s="26">
        <v>0</v>
      </c>
      <c r="J63" s="26">
        <v>1</v>
      </c>
      <c r="M63" s="21">
        <v>43329</v>
      </c>
      <c r="N63" s="10" t="s">
        <v>24</v>
      </c>
      <c r="O63" s="25">
        <v>0</v>
      </c>
      <c r="P63" s="25"/>
      <c r="Q63" s="25"/>
      <c r="R63" s="25">
        <v>0</v>
      </c>
      <c r="S63" s="25"/>
      <c r="T63" s="25">
        <v>11</v>
      </c>
      <c r="U63" s="25">
        <v>0</v>
      </c>
      <c r="W63" s="6"/>
    </row>
    <row r="64" spans="2:32">
      <c r="M64" s="21">
        <v>43336</v>
      </c>
      <c r="N64" s="10" t="s">
        <v>43</v>
      </c>
      <c r="O64" s="25"/>
      <c r="P64" s="25"/>
      <c r="Q64" s="25"/>
      <c r="R64" s="25"/>
      <c r="S64" s="25"/>
      <c r="T64" s="25"/>
      <c r="U64" s="25">
        <v>5.5</v>
      </c>
      <c r="W64" s="6"/>
    </row>
    <row r="65" spans="3:23">
      <c r="C65" s="12">
        <f t="shared" ref="C65:C82" ca="1" si="8">IF(D65&lt;=TODAY(),1,"")</f>
        <v>1</v>
      </c>
      <c r="D65" s="22">
        <v>43336</v>
      </c>
      <c r="E65" s="26">
        <v>0</v>
      </c>
      <c r="F65" s="26" t="s">
        <v>111</v>
      </c>
      <c r="G65" s="26">
        <v>0</v>
      </c>
      <c r="H65" s="26" t="s">
        <v>111</v>
      </c>
      <c r="I65" s="26">
        <v>0</v>
      </c>
      <c r="J65" s="26">
        <v>1</v>
      </c>
      <c r="M65" s="21">
        <v>43336</v>
      </c>
      <c r="N65" s="10" t="s">
        <v>24</v>
      </c>
      <c r="O65" s="25">
        <v>11</v>
      </c>
      <c r="P65" s="25"/>
      <c r="Q65" s="25"/>
      <c r="R65" s="25">
        <v>11</v>
      </c>
      <c r="S65" s="25"/>
      <c r="T65" s="25">
        <v>11</v>
      </c>
      <c r="U65" s="25">
        <v>0</v>
      </c>
      <c r="W65" s="6"/>
    </row>
    <row r="66" spans="3:23">
      <c r="C66" s="12">
        <f t="shared" ca="1" si="8"/>
        <v>1</v>
      </c>
      <c r="D66" s="22">
        <v>43343</v>
      </c>
      <c r="E66" s="26">
        <v>1</v>
      </c>
      <c r="F66" s="26" t="s">
        <v>111</v>
      </c>
      <c r="G66" s="26">
        <v>0</v>
      </c>
      <c r="H66" s="26">
        <v>1</v>
      </c>
      <c r="I66" s="26">
        <v>1</v>
      </c>
      <c r="J66" s="26">
        <v>1</v>
      </c>
      <c r="M66" s="21">
        <v>43343</v>
      </c>
      <c r="N66" s="10" t="s">
        <v>24</v>
      </c>
      <c r="O66" s="25">
        <v>0</v>
      </c>
      <c r="P66" s="25"/>
      <c r="Q66" s="25"/>
      <c r="R66" s="25">
        <v>11</v>
      </c>
      <c r="S66" s="25">
        <v>0</v>
      </c>
      <c r="T66" s="25">
        <v>0</v>
      </c>
      <c r="U66" s="25">
        <v>0</v>
      </c>
      <c r="W66" s="6"/>
    </row>
    <row r="67" spans="3:23">
      <c r="C67" s="12">
        <f t="shared" ca="1" si="8"/>
        <v>1</v>
      </c>
      <c r="D67" s="22">
        <v>43350</v>
      </c>
      <c r="E67" s="26">
        <v>0</v>
      </c>
      <c r="F67" s="26" t="s">
        <v>111</v>
      </c>
      <c r="G67" s="26">
        <v>1</v>
      </c>
      <c r="H67" s="26" t="s">
        <v>111</v>
      </c>
      <c r="I67" s="26">
        <v>1</v>
      </c>
      <c r="J67" s="26">
        <v>1</v>
      </c>
      <c r="M67" s="21">
        <v>43350</v>
      </c>
      <c r="N67" s="10" t="s">
        <v>24</v>
      </c>
      <c r="O67" s="25">
        <v>11</v>
      </c>
      <c r="P67" s="25"/>
      <c r="Q67" s="25"/>
      <c r="R67" s="25">
        <v>0</v>
      </c>
      <c r="S67" s="25"/>
      <c r="T67" s="25">
        <v>0</v>
      </c>
      <c r="U67" s="25">
        <v>0</v>
      </c>
      <c r="W67" s="6"/>
    </row>
    <row r="68" spans="3:23">
      <c r="C68" s="12">
        <f t="shared" ca="1" si="8"/>
        <v>1</v>
      </c>
      <c r="D68" s="22">
        <v>43357</v>
      </c>
      <c r="E68" s="26">
        <v>0</v>
      </c>
      <c r="F68" s="26" t="s">
        <v>111</v>
      </c>
      <c r="G68" s="26">
        <v>1</v>
      </c>
      <c r="H68" s="26">
        <v>1</v>
      </c>
      <c r="I68" s="26">
        <v>1</v>
      </c>
      <c r="J68" s="26">
        <v>1</v>
      </c>
      <c r="M68" s="21">
        <v>43357</v>
      </c>
      <c r="N68" s="10" t="s">
        <v>24</v>
      </c>
      <c r="O68" s="25">
        <v>11</v>
      </c>
      <c r="P68" s="25"/>
      <c r="Q68" s="25"/>
      <c r="R68" s="25">
        <v>0</v>
      </c>
      <c r="S68" s="25">
        <v>0</v>
      </c>
      <c r="T68" s="25">
        <v>0</v>
      </c>
      <c r="U68" s="25">
        <v>0</v>
      </c>
      <c r="W68" s="6"/>
    </row>
    <row r="69" spans="3:23">
      <c r="C69" s="12">
        <f t="shared" ca="1" si="8"/>
        <v>1</v>
      </c>
      <c r="D69" s="22">
        <v>43364</v>
      </c>
      <c r="E69" s="26">
        <v>1</v>
      </c>
      <c r="F69" s="26" t="s">
        <v>111</v>
      </c>
      <c r="G69" s="26">
        <v>1</v>
      </c>
      <c r="H69" s="26" t="s">
        <v>111</v>
      </c>
      <c r="I69" s="26">
        <v>1</v>
      </c>
      <c r="J69" s="26">
        <v>1</v>
      </c>
      <c r="M69" s="21">
        <v>43364</v>
      </c>
      <c r="N69" s="10" t="s">
        <v>24</v>
      </c>
      <c r="O69" s="25">
        <v>0</v>
      </c>
      <c r="P69" s="25"/>
      <c r="Q69" s="25"/>
      <c r="R69" s="25">
        <v>0</v>
      </c>
      <c r="S69" s="25"/>
      <c r="T69" s="25">
        <v>0</v>
      </c>
      <c r="U69" s="25">
        <v>0</v>
      </c>
      <c r="W69" s="6"/>
    </row>
    <row r="70" spans="3:23">
      <c r="C70" s="12">
        <f t="shared" ca="1" si="8"/>
        <v>1</v>
      </c>
      <c r="D70" s="22">
        <v>43371</v>
      </c>
      <c r="E70" s="26">
        <v>1</v>
      </c>
      <c r="F70" s="26" t="s">
        <v>111</v>
      </c>
      <c r="G70" s="26">
        <v>0</v>
      </c>
      <c r="H70" s="26" t="s">
        <v>111</v>
      </c>
      <c r="I70" s="26">
        <v>1</v>
      </c>
      <c r="J70" s="26">
        <v>0</v>
      </c>
      <c r="M70" s="21">
        <v>43371</v>
      </c>
      <c r="N70" s="10" t="s">
        <v>24</v>
      </c>
      <c r="O70" s="25">
        <v>0</v>
      </c>
      <c r="P70" s="25"/>
      <c r="Q70" s="25"/>
      <c r="R70" s="25">
        <v>11</v>
      </c>
      <c r="S70" s="25"/>
      <c r="T70" s="25">
        <v>0</v>
      </c>
      <c r="U70" s="25">
        <v>11</v>
      </c>
      <c r="W70" s="6"/>
    </row>
    <row r="71" spans="3:23">
      <c r="C71" s="12">
        <f t="shared" ca="1" si="8"/>
        <v>1</v>
      </c>
      <c r="D71" s="22">
        <v>43378</v>
      </c>
      <c r="E71" s="26">
        <v>1</v>
      </c>
      <c r="F71" s="26" t="s">
        <v>111</v>
      </c>
      <c r="G71" s="26">
        <v>1</v>
      </c>
      <c r="H71" s="26" t="s">
        <v>111</v>
      </c>
      <c r="I71" s="26">
        <v>1</v>
      </c>
      <c r="J71" s="26">
        <v>1</v>
      </c>
      <c r="M71" s="21">
        <v>43378</v>
      </c>
      <c r="N71" s="10" t="s">
        <v>24</v>
      </c>
      <c r="O71" s="25">
        <v>0</v>
      </c>
      <c r="P71" s="25"/>
      <c r="Q71" s="25"/>
      <c r="R71" s="25">
        <v>0</v>
      </c>
      <c r="S71" s="25"/>
      <c r="T71" s="25">
        <v>0</v>
      </c>
      <c r="U71" s="25">
        <v>0</v>
      </c>
      <c r="W71" s="6"/>
    </row>
    <row r="72" spans="3:23">
      <c r="C72" s="12">
        <f t="shared" ca="1" si="8"/>
        <v>1</v>
      </c>
      <c r="D72" s="22">
        <v>43385</v>
      </c>
      <c r="E72" s="26">
        <v>1</v>
      </c>
      <c r="F72" s="26" t="s">
        <v>111</v>
      </c>
      <c r="G72" s="26">
        <v>1</v>
      </c>
      <c r="H72" s="26" t="s">
        <v>111</v>
      </c>
      <c r="I72" s="26">
        <v>1</v>
      </c>
      <c r="J72" s="26">
        <v>1</v>
      </c>
      <c r="M72" s="21">
        <v>43385</v>
      </c>
      <c r="N72" s="10" t="s">
        <v>24</v>
      </c>
      <c r="O72" s="25">
        <v>0</v>
      </c>
      <c r="P72" s="25"/>
      <c r="Q72" s="25"/>
      <c r="R72" s="25">
        <v>0</v>
      </c>
      <c r="S72" s="25"/>
      <c r="T72" s="25">
        <v>0</v>
      </c>
      <c r="U72" s="25">
        <v>0</v>
      </c>
      <c r="W72" s="6"/>
    </row>
    <row r="73" spans="3:23">
      <c r="C73" s="12">
        <f t="shared" ca="1" si="8"/>
        <v>1</v>
      </c>
      <c r="D73" s="22">
        <v>43392</v>
      </c>
      <c r="E73" s="26">
        <v>1</v>
      </c>
      <c r="F73" s="26" t="s">
        <v>111</v>
      </c>
      <c r="G73" s="26">
        <v>1</v>
      </c>
      <c r="H73" s="26" t="s">
        <v>111</v>
      </c>
      <c r="I73" s="26">
        <v>1</v>
      </c>
      <c r="J73" s="26">
        <v>1</v>
      </c>
      <c r="M73" s="21">
        <v>43392</v>
      </c>
      <c r="N73" s="10" t="s">
        <v>24</v>
      </c>
      <c r="O73" s="25">
        <v>0</v>
      </c>
      <c r="P73" s="25"/>
      <c r="Q73" s="25"/>
      <c r="R73" s="25">
        <v>0</v>
      </c>
      <c r="S73" s="25"/>
      <c r="T73" s="25">
        <v>0</v>
      </c>
      <c r="U73" s="25">
        <v>0</v>
      </c>
      <c r="W73" s="6"/>
    </row>
    <row r="74" spans="3:23">
      <c r="C74" s="12">
        <f t="shared" ca="1" si="8"/>
        <v>1</v>
      </c>
      <c r="D74" s="22">
        <v>43399</v>
      </c>
      <c r="E74" s="26">
        <v>1</v>
      </c>
      <c r="F74" s="26" t="s">
        <v>111</v>
      </c>
      <c r="G74" s="26">
        <v>1</v>
      </c>
      <c r="H74" s="26" t="s">
        <v>111</v>
      </c>
      <c r="I74" s="26">
        <v>1</v>
      </c>
      <c r="J74" s="26">
        <v>1</v>
      </c>
      <c r="M74" s="21">
        <v>43399</v>
      </c>
      <c r="N74" s="10" t="s">
        <v>24</v>
      </c>
      <c r="O74" s="25">
        <v>0</v>
      </c>
      <c r="P74" s="25"/>
      <c r="Q74" s="25"/>
      <c r="R74" s="25">
        <v>0</v>
      </c>
      <c r="S74" s="25"/>
      <c r="T74" s="25">
        <v>0</v>
      </c>
      <c r="U74" s="25">
        <v>0</v>
      </c>
    </row>
    <row r="75" spans="3:23">
      <c r="C75" s="12">
        <f t="shared" ca="1" si="8"/>
        <v>1</v>
      </c>
      <c r="D75" s="22">
        <v>43406</v>
      </c>
      <c r="E75" s="26">
        <v>1</v>
      </c>
      <c r="F75" s="26" t="s">
        <v>111</v>
      </c>
      <c r="G75" s="26">
        <v>1</v>
      </c>
      <c r="H75" s="26" t="s">
        <v>111</v>
      </c>
      <c r="I75" s="26">
        <v>1</v>
      </c>
      <c r="J75" s="26">
        <v>1</v>
      </c>
      <c r="M75" s="21">
        <v>43406</v>
      </c>
      <c r="N75" s="10" t="s">
        <v>24</v>
      </c>
      <c r="O75" s="25">
        <v>0</v>
      </c>
      <c r="P75" s="25"/>
      <c r="Q75" s="25"/>
      <c r="R75" s="25">
        <v>0</v>
      </c>
      <c r="S75" s="25"/>
      <c r="T75" s="25">
        <v>0</v>
      </c>
      <c r="U75" s="25">
        <v>0</v>
      </c>
    </row>
    <row r="76" spans="3:23">
      <c r="C76" s="12">
        <f t="shared" ca="1" si="8"/>
        <v>1</v>
      </c>
      <c r="D76" s="22">
        <v>43413</v>
      </c>
      <c r="E76" s="26">
        <v>1</v>
      </c>
      <c r="F76" s="26" t="s">
        <v>111</v>
      </c>
      <c r="G76" s="26">
        <v>1</v>
      </c>
      <c r="H76" s="26" t="s">
        <v>111</v>
      </c>
      <c r="I76" s="26">
        <v>1</v>
      </c>
      <c r="J76" s="26">
        <v>0</v>
      </c>
      <c r="M76" s="21">
        <v>43413</v>
      </c>
      <c r="N76" s="10" t="s">
        <v>24</v>
      </c>
      <c r="O76" s="25">
        <v>0</v>
      </c>
      <c r="P76" s="25"/>
      <c r="Q76" s="25"/>
      <c r="R76" s="25">
        <v>0</v>
      </c>
      <c r="S76" s="25"/>
      <c r="T76" s="25">
        <v>0</v>
      </c>
      <c r="U76" s="25">
        <v>11</v>
      </c>
    </row>
    <row r="77" spans="3:23">
      <c r="C77" s="12">
        <f t="shared" ca="1" si="8"/>
        <v>1</v>
      </c>
      <c r="D77" s="22">
        <v>43420</v>
      </c>
      <c r="E77" s="26">
        <v>1</v>
      </c>
      <c r="F77" s="26" t="s">
        <v>111</v>
      </c>
      <c r="G77" s="26">
        <v>0</v>
      </c>
      <c r="H77" s="26" t="s">
        <v>111</v>
      </c>
      <c r="I77" s="26">
        <v>1</v>
      </c>
      <c r="J77" s="26">
        <v>1</v>
      </c>
      <c r="M77" s="21">
        <v>43420</v>
      </c>
      <c r="N77" s="10" t="s">
        <v>24</v>
      </c>
      <c r="O77" s="25">
        <v>0</v>
      </c>
      <c r="P77" s="25"/>
      <c r="Q77" s="25"/>
      <c r="R77" s="25">
        <v>11</v>
      </c>
      <c r="S77" s="25"/>
      <c r="T77" s="25">
        <v>0</v>
      </c>
      <c r="U77" s="25">
        <v>0</v>
      </c>
    </row>
    <row r="78" spans="3:23">
      <c r="C78" s="12">
        <f t="shared" ca="1" si="8"/>
        <v>1</v>
      </c>
      <c r="D78" s="22">
        <v>43427</v>
      </c>
      <c r="E78" s="26">
        <v>1</v>
      </c>
      <c r="F78" s="26" t="s">
        <v>111</v>
      </c>
      <c r="G78" s="26">
        <v>1</v>
      </c>
      <c r="H78" s="26" t="s">
        <v>111</v>
      </c>
      <c r="I78" s="26">
        <v>1</v>
      </c>
      <c r="J78" s="26">
        <v>1</v>
      </c>
      <c r="M78" s="21">
        <v>43427</v>
      </c>
      <c r="N78" s="10" t="s">
        <v>24</v>
      </c>
      <c r="O78" s="25">
        <v>0</v>
      </c>
      <c r="P78" s="25"/>
      <c r="Q78" s="25"/>
      <c r="R78" s="25">
        <v>0</v>
      </c>
      <c r="S78" s="25"/>
      <c r="T78" s="25">
        <v>0</v>
      </c>
      <c r="U78" s="25">
        <v>0</v>
      </c>
    </row>
    <row r="79" spans="3:23">
      <c r="C79" s="12">
        <f t="shared" ca="1" si="8"/>
        <v>1</v>
      </c>
      <c r="D79" s="22">
        <v>43434</v>
      </c>
      <c r="E79" s="26">
        <v>1</v>
      </c>
      <c r="F79" s="26" t="s">
        <v>111</v>
      </c>
      <c r="G79" s="26">
        <v>1</v>
      </c>
      <c r="H79" s="26" t="s">
        <v>111</v>
      </c>
      <c r="I79" s="26">
        <v>0</v>
      </c>
      <c r="J79" s="26">
        <v>1</v>
      </c>
      <c r="M79" s="21">
        <v>43434</v>
      </c>
      <c r="N79" s="10" t="s">
        <v>24</v>
      </c>
      <c r="O79" s="25">
        <v>0</v>
      </c>
      <c r="P79" s="25"/>
      <c r="Q79" s="25"/>
      <c r="R79" s="25">
        <v>0</v>
      </c>
      <c r="S79" s="25"/>
      <c r="T79" s="25">
        <v>11</v>
      </c>
      <c r="U79" s="25">
        <v>0</v>
      </c>
    </row>
    <row r="80" spans="3:23">
      <c r="C80" s="12">
        <f t="shared" ca="1" si="8"/>
        <v>1</v>
      </c>
      <c r="D80" s="22">
        <v>43441</v>
      </c>
      <c r="E80" s="26">
        <v>1</v>
      </c>
      <c r="F80" s="26" t="s">
        <v>111</v>
      </c>
      <c r="G80" s="26">
        <v>0</v>
      </c>
      <c r="H80" s="26" t="s">
        <v>111</v>
      </c>
      <c r="I80" s="26">
        <v>1</v>
      </c>
      <c r="J80" s="26">
        <v>1</v>
      </c>
      <c r="M80" s="21">
        <v>43441</v>
      </c>
      <c r="N80" s="10" t="s">
        <v>24</v>
      </c>
      <c r="O80" s="25">
        <v>0</v>
      </c>
      <c r="P80" s="25"/>
      <c r="Q80" s="25"/>
      <c r="R80" s="25">
        <v>11</v>
      </c>
      <c r="S80" s="25"/>
      <c r="T80" s="25">
        <v>0</v>
      </c>
      <c r="U80" s="25">
        <v>0</v>
      </c>
    </row>
    <row r="81" spans="3:21">
      <c r="C81" s="12">
        <f t="shared" ca="1" si="8"/>
        <v>1</v>
      </c>
      <c r="D81" s="22">
        <v>43448</v>
      </c>
      <c r="E81" s="26">
        <v>0</v>
      </c>
      <c r="F81" s="26">
        <v>1</v>
      </c>
      <c r="G81" s="26">
        <v>1</v>
      </c>
      <c r="H81" s="26" t="s">
        <v>111</v>
      </c>
      <c r="I81" s="26">
        <v>1</v>
      </c>
      <c r="J81" s="26">
        <v>1</v>
      </c>
      <c r="M81" s="21">
        <v>43448</v>
      </c>
      <c r="N81" s="10" t="s">
        <v>24</v>
      </c>
      <c r="O81" s="25">
        <v>11</v>
      </c>
      <c r="P81" s="25"/>
      <c r="Q81" s="25">
        <v>0</v>
      </c>
      <c r="R81" s="25">
        <v>0</v>
      </c>
      <c r="S81" s="25"/>
      <c r="T81" s="25">
        <v>0</v>
      </c>
      <c r="U81" s="25">
        <v>0</v>
      </c>
    </row>
    <row r="82" spans="3:21">
      <c r="C82" s="12">
        <f t="shared" ca="1" si="8"/>
        <v>1</v>
      </c>
      <c r="D82" s="22">
        <v>43455</v>
      </c>
      <c r="E82" s="26">
        <v>1</v>
      </c>
      <c r="F82" s="26" t="s">
        <v>111</v>
      </c>
      <c r="G82" s="26">
        <v>1</v>
      </c>
      <c r="H82" s="26" t="s">
        <v>111</v>
      </c>
      <c r="I82" s="26">
        <v>1</v>
      </c>
      <c r="J82" s="26">
        <v>1</v>
      </c>
      <c r="M82" s="21">
        <v>43455</v>
      </c>
      <c r="N82" s="10" t="s">
        <v>24</v>
      </c>
      <c r="O82" s="25">
        <v>0</v>
      </c>
      <c r="P82" s="25"/>
      <c r="Q82" s="25"/>
      <c r="R82" s="25">
        <v>0</v>
      </c>
      <c r="S82" s="25"/>
      <c r="T82" s="25">
        <v>0</v>
      </c>
      <c r="U82" s="25">
        <v>0</v>
      </c>
    </row>
    <row r="83" spans="3:21">
      <c r="M83" s="21">
        <v>43462</v>
      </c>
      <c r="N83" s="10" t="s">
        <v>43</v>
      </c>
      <c r="O83" s="25">
        <v>5.5</v>
      </c>
      <c r="P83" s="25"/>
      <c r="Q83" s="25"/>
      <c r="R83" s="25"/>
      <c r="S83" s="25"/>
      <c r="T83" s="25"/>
      <c r="U83" s="25"/>
    </row>
    <row r="84" spans="3:21">
      <c r="C84" s="12">
        <f t="shared" ref="C84:C90" ca="1" si="9">IF(D84&lt;=TODAY(),1,"")</f>
        <v>1</v>
      </c>
      <c r="D84" s="22">
        <v>43462</v>
      </c>
      <c r="E84" s="26">
        <v>1</v>
      </c>
      <c r="F84" s="26" t="s">
        <v>111</v>
      </c>
      <c r="G84" s="26">
        <v>0</v>
      </c>
      <c r="H84" s="26" t="s">
        <v>111</v>
      </c>
      <c r="I84" s="26">
        <v>1</v>
      </c>
      <c r="J84" s="26">
        <v>0</v>
      </c>
      <c r="M84" s="21">
        <v>43462</v>
      </c>
      <c r="N84" s="10" t="s">
        <v>24</v>
      </c>
      <c r="O84" s="25">
        <v>0</v>
      </c>
      <c r="P84" s="25"/>
      <c r="Q84" s="25"/>
      <c r="R84" s="25">
        <v>11</v>
      </c>
      <c r="S84" s="25"/>
      <c r="T84" s="25">
        <v>11</v>
      </c>
      <c r="U84" s="25">
        <v>11</v>
      </c>
    </row>
    <row r="85" spans="3:21">
      <c r="C85" s="12">
        <f t="shared" ca="1" si="9"/>
        <v>1</v>
      </c>
      <c r="D85" s="22">
        <v>43469</v>
      </c>
      <c r="E85" s="26">
        <v>0</v>
      </c>
      <c r="F85" s="26" t="s">
        <v>111</v>
      </c>
      <c r="G85" s="26">
        <v>1</v>
      </c>
      <c r="H85" s="26" t="s">
        <v>111</v>
      </c>
      <c r="I85" s="26">
        <v>0</v>
      </c>
      <c r="J85" s="26">
        <v>0</v>
      </c>
      <c r="M85" s="21">
        <v>43469</v>
      </c>
      <c r="N85" s="10" t="s">
        <v>24</v>
      </c>
      <c r="O85" s="25">
        <v>11</v>
      </c>
      <c r="P85" s="25"/>
      <c r="Q85" s="25"/>
      <c r="R85" s="25">
        <v>0</v>
      </c>
      <c r="S85" s="25"/>
      <c r="T85" s="25">
        <v>0</v>
      </c>
      <c r="U85" s="25">
        <v>11</v>
      </c>
    </row>
    <row r="86" spans="3:21">
      <c r="C86" s="12">
        <f t="shared" ca="1" si="9"/>
        <v>1</v>
      </c>
      <c r="D86" s="22">
        <v>43476</v>
      </c>
      <c r="E86" s="26">
        <v>0</v>
      </c>
      <c r="F86" s="26" t="s">
        <v>111</v>
      </c>
      <c r="G86" s="26">
        <v>1</v>
      </c>
      <c r="H86" s="26" t="s">
        <v>111</v>
      </c>
      <c r="I86" s="26">
        <v>1</v>
      </c>
      <c r="J86" s="26">
        <v>1</v>
      </c>
      <c r="M86" s="21">
        <v>43476</v>
      </c>
      <c r="N86" s="10" t="s">
        <v>24</v>
      </c>
      <c r="O86" s="25">
        <v>11</v>
      </c>
      <c r="P86" s="25"/>
      <c r="Q86" s="25"/>
      <c r="R86" s="25">
        <v>0</v>
      </c>
      <c r="S86" s="25"/>
      <c r="T86" s="25">
        <v>0</v>
      </c>
      <c r="U86" s="25">
        <v>0</v>
      </c>
    </row>
    <row r="87" spans="3:21">
      <c r="C87" s="12">
        <f t="shared" ca="1" si="9"/>
        <v>1</v>
      </c>
      <c r="D87" s="22">
        <v>43483</v>
      </c>
      <c r="E87" s="26">
        <v>0</v>
      </c>
      <c r="F87" s="26" t="s">
        <v>111</v>
      </c>
      <c r="G87" s="26">
        <v>1</v>
      </c>
      <c r="H87" s="26" t="s">
        <v>111</v>
      </c>
      <c r="I87" s="26">
        <v>0</v>
      </c>
      <c r="J87" s="26">
        <v>1</v>
      </c>
      <c r="M87" s="21">
        <v>43483</v>
      </c>
      <c r="N87" s="10" t="s">
        <v>24</v>
      </c>
      <c r="O87" s="25">
        <v>11</v>
      </c>
      <c r="P87" s="25"/>
      <c r="Q87" s="25"/>
      <c r="R87" s="25">
        <v>0</v>
      </c>
      <c r="S87" s="25"/>
      <c r="T87" s="25">
        <v>11</v>
      </c>
      <c r="U87" s="25">
        <v>0</v>
      </c>
    </row>
    <row r="88" spans="3:21">
      <c r="C88" s="12">
        <f t="shared" ca="1" si="9"/>
        <v>1</v>
      </c>
      <c r="D88" s="22">
        <v>43490</v>
      </c>
      <c r="E88" s="26">
        <v>0</v>
      </c>
      <c r="F88" s="26" t="s">
        <v>111</v>
      </c>
      <c r="G88" s="26">
        <v>1</v>
      </c>
      <c r="H88" s="26" t="s">
        <v>111</v>
      </c>
      <c r="I88" s="26">
        <v>0</v>
      </c>
      <c r="J88" s="26">
        <v>1</v>
      </c>
      <c r="M88" s="21">
        <v>43490</v>
      </c>
      <c r="N88" s="10" t="s">
        <v>24</v>
      </c>
      <c r="O88" s="25">
        <v>11</v>
      </c>
      <c r="P88" s="25"/>
      <c r="Q88" s="25"/>
      <c r="R88" s="25">
        <v>0</v>
      </c>
      <c r="S88" s="25"/>
      <c r="T88" s="25">
        <v>11</v>
      </c>
      <c r="U88" s="25">
        <v>0</v>
      </c>
    </row>
    <row r="89" spans="3:21">
      <c r="C89" s="12">
        <f t="shared" ca="1" si="9"/>
        <v>1</v>
      </c>
      <c r="D89" s="22">
        <v>43497</v>
      </c>
      <c r="E89" s="26">
        <v>0</v>
      </c>
      <c r="F89" s="26" t="s">
        <v>111</v>
      </c>
      <c r="G89" s="26">
        <v>0</v>
      </c>
      <c r="H89" s="26" t="s">
        <v>111</v>
      </c>
      <c r="I89" s="26">
        <v>0</v>
      </c>
      <c r="J89" s="26">
        <v>0</v>
      </c>
      <c r="M89" s="21">
        <v>43497</v>
      </c>
      <c r="N89" s="10" t="s">
        <v>24</v>
      </c>
      <c r="O89" s="25">
        <v>11</v>
      </c>
      <c r="P89" s="25"/>
      <c r="Q89" s="25"/>
      <c r="R89" s="25">
        <v>11</v>
      </c>
      <c r="S89" s="25"/>
      <c r="T89" s="25">
        <v>11</v>
      </c>
      <c r="U89" s="25">
        <v>11</v>
      </c>
    </row>
    <row r="90" spans="3:21">
      <c r="C90" s="12">
        <f t="shared" ca="1" si="9"/>
        <v>1</v>
      </c>
      <c r="D90" s="22">
        <v>43504</v>
      </c>
      <c r="E90" s="26">
        <v>1</v>
      </c>
      <c r="F90" s="26" t="s">
        <v>111</v>
      </c>
      <c r="G90" s="26">
        <v>0</v>
      </c>
      <c r="H90" s="26" t="s">
        <v>111</v>
      </c>
      <c r="I90" s="26">
        <v>1</v>
      </c>
      <c r="J90" s="26">
        <v>1</v>
      </c>
      <c r="M90" s="21">
        <v>43504</v>
      </c>
      <c r="N90" s="10" t="s">
        <v>24</v>
      </c>
      <c r="O90" s="25">
        <v>0</v>
      </c>
      <c r="P90" s="25"/>
      <c r="Q90" s="25"/>
      <c r="R90" s="25">
        <v>11</v>
      </c>
      <c r="S90" s="25"/>
      <c r="T90" s="25">
        <v>0</v>
      </c>
      <c r="U90" s="25">
        <v>0</v>
      </c>
    </row>
  </sheetData>
  <mergeCells count="16">
    <mergeCell ref="R13:S13"/>
    <mergeCell ref="T13:U13"/>
    <mergeCell ref="R14:S14"/>
    <mergeCell ref="T14:U14"/>
    <mergeCell ref="R10:S10"/>
    <mergeCell ref="T10:U10"/>
    <mergeCell ref="R11:S11"/>
    <mergeCell ref="T11:U11"/>
    <mergeCell ref="R12:S12"/>
    <mergeCell ref="T12:U12"/>
    <mergeCell ref="R7:S7"/>
    <mergeCell ref="T7:U7"/>
    <mergeCell ref="R8:S8"/>
    <mergeCell ref="T8:U8"/>
    <mergeCell ref="R9:S9"/>
    <mergeCell ref="T9:U9"/>
  </mergeCells>
  <conditionalFormatting sqref="E25:J25">
    <cfRule type="cellIs" dxfId="27" priority="90" operator="greaterThan">
      <formula>1</formula>
    </cfRule>
  </conditionalFormatting>
  <conditionalFormatting sqref="E25:J27">
    <cfRule type="cellIs" dxfId="26" priority="67" operator="equal">
      <formula>0</formula>
    </cfRule>
  </conditionalFormatting>
  <conditionalFormatting sqref="E26:J27">
    <cfRule type="cellIs" dxfId="25" priority="68" operator="equal">
      <formula>1</formula>
    </cfRule>
  </conditionalFormatting>
  <conditionalFormatting sqref="E29:J34 E36:J43 E44:E46 E47:F63 E65:J82 E84:J90">
    <cfRule type="cellIs" dxfId="24" priority="87" operator="equal">
      <formula>0</formula>
    </cfRule>
    <cfRule type="cellIs" dxfId="23" priority="88" operator="equal">
      <formula>1</formula>
    </cfRule>
  </conditionalFormatting>
  <conditionalFormatting sqref="F44:J63">
    <cfRule type="cellIs" dxfId="22" priority="65" operator="equal">
      <formula>0</formula>
    </cfRule>
    <cfRule type="cellIs" dxfId="21" priority="66" operator="equal">
      <formula>1</formula>
    </cfRule>
  </conditionalFormatting>
  <conditionalFormatting sqref="O24:Q90">
    <cfRule type="cellIs" dxfId="20" priority="1" operator="equal">
      <formula>0</formula>
    </cfRule>
    <cfRule type="cellIs" dxfId="19" priority="2" operator="greaterThan">
      <formula>0</formula>
    </cfRule>
  </conditionalFormatting>
  <conditionalFormatting sqref="R24:R34">
    <cfRule type="cellIs" dxfId="18" priority="223" operator="equal">
      <formula>0</formula>
    </cfRule>
    <cfRule type="cellIs" dxfId="17" priority="224" operator="greaterThan">
      <formula>0</formula>
    </cfRule>
  </conditionalFormatting>
  <conditionalFormatting sqref="R36:R90">
    <cfRule type="cellIs" dxfId="16" priority="53" operator="equal">
      <formula>0</formula>
    </cfRule>
    <cfRule type="cellIs" dxfId="15" priority="54" operator="greaterThan">
      <formula>0</formula>
    </cfRule>
  </conditionalFormatting>
  <conditionalFormatting sqref="S24:U90">
    <cfRule type="cellIs" dxfId="14" priority="47" operator="equal">
      <formula>0</formula>
    </cfRule>
    <cfRule type="cellIs" dxfId="13" priority="48" operator="greaterThan">
      <formula>0</formula>
    </cfRule>
  </conditionalFormatting>
  <pageMargins left="0.7" right="0.7" top="0.78740157499999996" bottom="0.78740157499999996"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6"/>
  <dimension ref="B1:W73"/>
  <sheetViews>
    <sheetView zoomScaleNormal="100" workbookViewId="0">
      <pane xSplit="15" ySplit="23" topLeftCell="P48" activePane="bottomRight" state="frozen"/>
      <selection pane="topRight" activeCell="P1" sqref="P1"/>
      <selection pane="bottomLeft" activeCell="A24" sqref="A24"/>
      <selection pane="bottomRight" activeCell="H12" sqref="H12"/>
    </sheetView>
  </sheetViews>
  <sheetFormatPr defaultColWidth="11.3828125" defaultRowHeight="16.75"/>
  <cols>
    <col min="1" max="1" width="1.69140625" style="1" customWidth="1"/>
    <col min="2" max="2" width="1.3828125" style="1" customWidth="1"/>
    <col min="3" max="3" width="6.69140625" style="2" bestFit="1" customWidth="1"/>
    <col min="4" max="4" width="12.15234375" style="1" bestFit="1" customWidth="1"/>
    <col min="5" max="11" width="7.15234375" style="1" customWidth="1"/>
    <col min="12" max="13" width="1.3828125" style="1" customWidth="1"/>
    <col min="14" max="14" width="12.15234375" style="1" bestFit="1" customWidth="1"/>
    <col min="15" max="15" width="22.15234375" style="1" bestFit="1" customWidth="1"/>
    <col min="16" max="16" width="14" style="1" bestFit="1" customWidth="1"/>
    <col min="17" max="17" width="11.69140625" style="1" bestFit="1" customWidth="1"/>
    <col min="18" max="19" width="12.69140625" style="1" bestFit="1" customWidth="1"/>
    <col min="20" max="20" width="12.15234375" style="1" customWidth="1"/>
    <col min="21" max="21" width="11.69140625" style="1" bestFit="1" customWidth="1"/>
    <col min="22" max="22" width="1.3828125" style="1" customWidth="1"/>
    <col min="23" max="23" width="4.15234375" style="1" customWidth="1"/>
    <col min="24" max="24" width="11.69140625" style="1" bestFit="1" customWidth="1"/>
    <col min="25" max="16384" width="11.3828125" style="1"/>
  </cols>
  <sheetData>
    <row r="1" spans="2:23" ht="8.25" customHeight="1"/>
    <row r="2" spans="2:23" ht="40.5" customHeight="1">
      <c r="C2" s="3" t="s">
        <v>5</v>
      </c>
      <c r="D2" s="4"/>
      <c r="E2" s="4"/>
      <c r="F2" s="4"/>
      <c r="G2" s="4"/>
      <c r="H2" s="4"/>
      <c r="I2" s="4"/>
      <c r="J2" s="4"/>
      <c r="K2" s="4"/>
      <c r="L2" s="4"/>
      <c r="M2" s="4"/>
      <c r="N2" s="4"/>
      <c r="O2" s="4"/>
      <c r="P2" s="4"/>
      <c r="Q2" s="4"/>
      <c r="R2" s="4"/>
      <c r="S2" s="4"/>
      <c r="T2" s="4"/>
      <c r="U2" s="5"/>
    </row>
    <row r="3" spans="2:23" ht="8.25" customHeight="1"/>
    <row r="4" spans="2:23" ht="9.75" customHeight="1"/>
    <row r="5" spans="2:23" ht="21.75" customHeight="1">
      <c r="B5" s="6"/>
      <c r="C5" s="7" t="s">
        <v>13</v>
      </c>
      <c r="D5" s="8"/>
      <c r="E5" s="8"/>
      <c r="F5" s="8"/>
      <c r="G5" s="8"/>
      <c r="H5" s="8"/>
      <c r="I5" s="8"/>
      <c r="J5" s="9"/>
      <c r="K5" s="9"/>
      <c r="M5" s="6"/>
      <c r="N5" s="7" t="s">
        <v>14</v>
      </c>
      <c r="O5" s="8"/>
      <c r="P5" s="8"/>
      <c r="Q5" s="8"/>
      <c r="R5" s="8"/>
      <c r="S5" s="8"/>
      <c r="T5" s="8"/>
      <c r="U5" s="9"/>
      <c r="W5" s="6"/>
    </row>
    <row r="6" spans="2:23" ht="23.25" customHeight="1">
      <c r="B6" s="6"/>
      <c r="M6" s="6"/>
      <c r="W6" s="6"/>
    </row>
    <row r="7" spans="2:23">
      <c r="B7" s="6"/>
      <c r="D7" s="10" t="s">
        <v>6</v>
      </c>
      <c r="E7" s="122" t="s">
        <v>7</v>
      </c>
      <c r="F7" s="122" t="s">
        <v>8</v>
      </c>
      <c r="G7" s="122" t="s">
        <v>9</v>
      </c>
      <c r="H7" s="11"/>
      <c r="I7" s="11"/>
      <c r="J7" s="11"/>
      <c r="K7" s="11"/>
      <c r="M7" s="6"/>
      <c r="O7" s="10" t="s">
        <v>6</v>
      </c>
      <c r="P7" s="67" t="s">
        <v>16</v>
      </c>
      <c r="Q7" s="67" t="s">
        <v>17</v>
      </c>
      <c r="W7" s="6"/>
    </row>
    <row r="8" spans="2:23">
      <c r="B8" s="6">
        <v>1</v>
      </c>
      <c r="C8" s="12">
        <v>1</v>
      </c>
      <c r="D8" s="10" t="s">
        <v>21</v>
      </c>
      <c r="E8" s="12">
        <v>41</v>
      </c>
      <c r="F8" s="123">
        <v>0.85416666666666663</v>
      </c>
      <c r="G8" s="123">
        <v>0.14583333333333337</v>
      </c>
      <c r="M8" s="6"/>
      <c r="O8" s="10" t="s">
        <v>2</v>
      </c>
      <c r="P8" s="13">
        <f>HLOOKUP(O8,$R$18:$R$20,3,FALSE)</f>
        <v>140</v>
      </c>
      <c r="Q8" s="67" t="s">
        <v>18</v>
      </c>
    </row>
    <row r="9" spans="2:23">
      <c r="B9" s="6">
        <v>2</v>
      </c>
      <c r="C9" s="12">
        <v>2</v>
      </c>
      <c r="D9" s="10" t="s">
        <v>0</v>
      </c>
      <c r="E9" s="12">
        <v>38</v>
      </c>
      <c r="F9" s="123">
        <v>0.79166666666666663</v>
      </c>
      <c r="G9" s="123">
        <v>0.20833333333333337</v>
      </c>
      <c r="M9" s="6"/>
      <c r="O9" s="10" t="s">
        <v>0</v>
      </c>
      <c r="P9" s="13">
        <f>HLOOKUP(O9,$O$18:$O$20,3,FALSE)</f>
        <v>125</v>
      </c>
      <c r="Q9" s="67" t="s">
        <v>18</v>
      </c>
    </row>
    <row r="10" spans="2:23">
      <c r="B10" s="6">
        <v>3</v>
      </c>
      <c r="C10" s="12">
        <v>3</v>
      </c>
      <c r="D10" s="10" t="s">
        <v>3</v>
      </c>
      <c r="E10" s="12">
        <v>36</v>
      </c>
      <c r="F10" s="123">
        <v>0.75</v>
      </c>
      <c r="G10" s="123">
        <v>0.25</v>
      </c>
      <c r="M10" s="6"/>
      <c r="O10" s="10" t="s">
        <v>4</v>
      </c>
      <c r="P10" s="13">
        <f>HLOOKUP(O10,$P$18:$P$20,3,FALSE)</f>
        <v>190</v>
      </c>
      <c r="Q10" s="67" t="s">
        <v>18</v>
      </c>
    </row>
    <row r="11" spans="2:23">
      <c r="B11" s="6">
        <v>4</v>
      </c>
      <c r="C11" s="12">
        <v>4</v>
      </c>
      <c r="D11" s="10" t="s">
        <v>2</v>
      </c>
      <c r="E11" s="12">
        <v>36</v>
      </c>
      <c r="F11" s="123">
        <v>0.75</v>
      </c>
      <c r="G11" s="123">
        <v>0.25</v>
      </c>
      <c r="M11" s="6"/>
      <c r="O11" s="10" t="s">
        <v>3</v>
      </c>
      <c r="P11" s="13">
        <f>HLOOKUP(O11,$S$18:$S$20,3,FALSE)</f>
        <v>140</v>
      </c>
      <c r="Q11" s="67" t="s">
        <v>23</v>
      </c>
    </row>
    <row r="12" spans="2:23">
      <c r="B12" s="6">
        <v>5</v>
      </c>
      <c r="C12" s="12">
        <v>5</v>
      </c>
      <c r="D12" s="10" t="s">
        <v>1</v>
      </c>
      <c r="E12" s="12">
        <v>34</v>
      </c>
      <c r="F12" s="123">
        <v>0.70833333333333337</v>
      </c>
      <c r="G12" s="123">
        <v>0.29166666666666663</v>
      </c>
      <c r="M12" s="6"/>
      <c r="O12" s="10" t="s">
        <v>1</v>
      </c>
      <c r="P12" s="13">
        <f>HLOOKUP(O12,$Q$18:$Q$20,3,FALSE)</f>
        <v>160</v>
      </c>
      <c r="Q12" s="67" t="s">
        <v>18</v>
      </c>
    </row>
    <row r="13" spans="2:23">
      <c r="B13" s="6">
        <v>6</v>
      </c>
      <c r="C13" s="12">
        <v>6</v>
      </c>
      <c r="D13" s="10" t="s">
        <v>4</v>
      </c>
      <c r="E13" s="12">
        <v>14</v>
      </c>
      <c r="F13" s="123">
        <v>0.29166666666666669</v>
      </c>
      <c r="G13" s="123">
        <v>0.70833333333333326</v>
      </c>
      <c r="M13" s="6"/>
      <c r="O13" s="10" t="s">
        <v>22</v>
      </c>
      <c r="P13" s="13">
        <f>HLOOKUP(O13,$T$18:$T$20,3,FALSE)</f>
        <v>90</v>
      </c>
      <c r="Q13" s="67" t="s">
        <v>18</v>
      </c>
    </row>
    <row r="14" spans="2:23">
      <c r="B14" s="6"/>
      <c r="C14" s="12"/>
      <c r="D14" s="10"/>
      <c r="E14" s="12"/>
      <c r="F14" s="123"/>
      <c r="G14" s="123"/>
      <c r="M14" s="6"/>
      <c r="O14" s="10"/>
      <c r="P14" s="13"/>
      <c r="Q14" s="67"/>
    </row>
    <row r="15" spans="2:23" ht="8.25" customHeight="1">
      <c r="B15" s="6"/>
      <c r="M15" s="6"/>
    </row>
    <row r="16" spans="2:23">
      <c r="B16" s="6"/>
      <c r="M16" s="6"/>
      <c r="O16" s="14" t="s">
        <v>19</v>
      </c>
      <c r="P16" s="15">
        <f>SUM(P8:P14)+130</f>
        <v>975</v>
      </c>
    </row>
    <row r="17" spans="2:22" ht="12" customHeight="1">
      <c r="B17" s="6"/>
      <c r="E17" s="27">
        <f>RANK(E20,$E20:$J20)</f>
        <v>2</v>
      </c>
      <c r="F17" s="27" t="e">
        <f>RANK(#REF!,$E20:$J20)</f>
        <v>#REF!</v>
      </c>
      <c r="G17" s="27">
        <f>RANK(F20,$E20:$J20)</f>
        <v>6</v>
      </c>
      <c r="H17" s="27">
        <f>RANK(G20,$E20:$J20)</f>
        <v>5</v>
      </c>
      <c r="I17" s="27">
        <f>RANK(H20,$E20:$J20)</f>
        <v>3</v>
      </c>
      <c r="J17" s="27">
        <f>RANK(I20,$E20:$J20)</f>
        <v>3</v>
      </c>
      <c r="K17" s="27">
        <f>RANK(J20,$E20:$J20)</f>
        <v>1</v>
      </c>
      <c r="M17" s="6"/>
    </row>
    <row r="18" spans="2:22">
      <c r="B18" s="6"/>
      <c r="E18" s="16" t="s">
        <v>0</v>
      </c>
      <c r="F18" s="16" t="s">
        <v>4</v>
      </c>
      <c r="G18" s="16" t="s">
        <v>1</v>
      </c>
      <c r="H18" s="16" t="s">
        <v>2</v>
      </c>
      <c r="I18" s="16" t="s">
        <v>3</v>
      </c>
      <c r="J18" s="16" t="s">
        <v>21</v>
      </c>
      <c r="L18" s="6"/>
      <c r="O18" s="16" t="s">
        <v>0</v>
      </c>
      <c r="P18" s="16" t="s">
        <v>4</v>
      </c>
      <c r="Q18" s="16" t="s">
        <v>1</v>
      </c>
      <c r="R18" s="16" t="s">
        <v>2</v>
      </c>
      <c r="S18" s="16" t="s">
        <v>3</v>
      </c>
      <c r="T18" s="16" t="s">
        <v>22</v>
      </c>
      <c r="V18" s="6"/>
    </row>
    <row r="19" spans="2:22" ht="6" customHeight="1">
      <c r="B19" s="6"/>
      <c r="E19" s="17"/>
      <c r="F19" s="17"/>
      <c r="G19" s="17"/>
      <c r="H19" s="17"/>
      <c r="I19" s="17"/>
      <c r="J19" s="17"/>
      <c r="L19" s="6"/>
      <c r="O19" s="17"/>
      <c r="P19" s="17"/>
      <c r="Q19" s="17"/>
      <c r="R19" s="17"/>
      <c r="S19" s="17"/>
      <c r="T19" s="17"/>
      <c r="V19" s="6"/>
    </row>
    <row r="20" spans="2:22">
      <c r="B20" s="6"/>
      <c r="C20" s="18">
        <f ca="1">COUNT(C23:C73)</f>
        <v>48</v>
      </c>
      <c r="E20" s="24">
        <f t="shared" ref="E20:J20" si="0">SUM(E25:E94)</f>
        <v>38</v>
      </c>
      <c r="F20" s="24">
        <f t="shared" si="0"/>
        <v>14</v>
      </c>
      <c r="G20" s="24">
        <f t="shared" si="0"/>
        <v>34</v>
      </c>
      <c r="H20" s="24">
        <f t="shared" si="0"/>
        <v>36</v>
      </c>
      <c r="I20" s="24">
        <f t="shared" si="0"/>
        <v>36</v>
      </c>
      <c r="J20" s="24">
        <f>SUM(J25:J94)</f>
        <v>41</v>
      </c>
      <c r="L20" s="6"/>
      <c r="O20" s="19">
        <f t="shared" ref="O20:S20" si="1">SUM(O24:O96)</f>
        <v>125</v>
      </c>
      <c r="P20" s="19">
        <f t="shared" si="1"/>
        <v>190</v>
      </c>
      <c r="Q20" s="19">
        <f t="shared" si="1"/>
        <v>160</v>
      </c>
      <c r="R20" s="19">
        <f t="shared" si="1"/>
        <v>140</v>
      </c>
      <c r="S20" s="19">
        <f t="shared" si="1"/>
        <v>140</v>
      </c>
      <c r="T20" s="19">
        <f>SUM(T24:T96)</f>
        <v>90</v>
      </c>
      <c r="V20" s="6"/>
    </row>
    <row r="21" spans="2:22" ht="6" customHeight="1">
      <c r="B21" s="6"/>
      <c r="E21" s="2"/>
      <c r="F21" s="2"/>
      <c r="G21" s="2"/>
      <c r="H21" s="2"/>
      <c r="I21" s="2"/>
      <c r="J21" s="2"/>
      <c r="L21" s="6"/>
      <c r="O21" s="20"/>
      <c r="P21" s="20"/>
      <c r="Q21" s="20"/>
      <c r="R21" s="20"/>
      <c r="S21" s="20"/>
      <c r="T21" s="20"/>
      <c r="V21" s="6"/>
    </row>
    <row r="22" spans="2:22">
      <c r="B22" s="6"/>
      <c r="E22" s="18">
        <v>3</v>
      </c>
      <c r="F22" s="18">
        <v>5</v>
      </c>
      <c r="G22" s="18">
        <v>6</v>
      </c>
      <c r="H22" s="18">
        <v>7</v>
      </c>
      <c r="I22" s="18">
        <v>8</v>
      </c>
      <c r="J22" s="18">
        <v>9</v>
      </c>
      <c r="L22" s="6"/>
      <c r="V22" s="6"/>
    </row>
    <row r="23" spans="2:22">
      <c r="B23" s="6"/>
      <c r="C23" s="12" t="s">
        <v>10</v>
      </c>
      <c r="D23" s="10" t="s">
        <v>11</v>
      </c>
      <c r="E23" s="12" t="s">
        <v>12</v>
      </c>
      <c r="F23" s="12" t="s">
        <v>12</v>
      </c>
      <c r="G23" s="12" t="s">
        <v>12</v>
      </c>
      <c r="H23" s="12" t="s">
        <v>12</v>
      </c>
      <c r="I23" s="12" t="s">
        <v>12</v>
      </c>
      <c r="J23" s="12" t="s">
        <v>12</v>
      </c>
      <c r="L23" s="6"/>
      <c r="M23" s="67" t="s">
        <v>11</v>
      </c>
      <c r="N23" s="67" t="s">
        <v>15</v>
      </c>
      <c r="O23" s="12" t="s">
        <v>16</v>
      </c>
      <c r="P23" s="12"/>
      <c r="Q23" s="12" t="s">
        <v>16</v>
      </c>
      <c r="R23" s="12" t="s">
        <v>16</v>
      </c>
      <c r="S23" s="12" t="s">
        <v>16</v>
      </c>
      <c r="T23" s="12" t="s">
        <v>16</v>
      </c>
      <c r="V23" s="6"/>
    </row>
    <row r="24" spans="2:22">
      <c r="B24" s="6"/>
      <c r="L24" s="6"/>
      <c r="M24" s="21">
        <v>42727</v>
      </c>
      <c r="N24" s="67" t="s">
        <v>20</v>
      </c>
      <c r="O24" s="25">
        <v>20</v>
      </c>
      <c r="P24" s="25">
        <v>20</v>
      </c>
      <c r="Q24" s="25">
        <v>20</v>
      </c>
      <c r="R24" s="25">
        <v>20</v>
      </c>
      <c r="S24" s="25">
        <v>20</v>
      </c>
      <c r="T24" s="25">
        <v>20</v>
      </c>
      <c r="V24" s="6"/>
    </row>
    <row r="25" spans="2:22">
      <c r="B25" s="6"/>
      <c r="C25" s="12">
        <f t="shared" ref="C25:C40" ca="1" si="2">IF(D25&lt;=TODAY(),1,"")</f>
        <v>1</v>
      </c>
      <c r="D25" s="22">
        <v>42727</v>
      </c>
      <c r="E25" s="26">
        <f t="shared" ref="E25:E40" si="3">IF(O25="","",IF(O25=0,1,0))</f>
        <v>1</v>
      </c>
      <c r="F25" s="26">
        <f t="shared" ref="F25:F40" si="4">IF(P25="","",IF(P25=0,1,0))</f>
        <v>1</v>
      </c>
      <c r="G25" s="26">
        <f t="shared" ref="G25:G40" si="5">IF(Q25="","",IF(Q25=0,1,0))</f>
        <v>1</v>
      </c>
      <c r="H25" s="26">
        <f t="shared" ref="H25:H40" si="6">IF(R25="","",IF(R25=0,1,0))</f>
        <v>1</v>
      </c>
      <c r="I25" s="26">
        <f t="shared" ref="I25:I40" si="7">IF(S25="","",IF(S25=0,1,0))</f>
        <v>1</v>
      </c>
      <c r="J25" s="26">
        <f t="shared" ref="J25:J39" si="8">IF(T25="","",IF(T25=0,1,0))</f>
        <v>1</v>
      </c>
      <c r="L25" s="6"/>
      <c r="M25" s="21">
        <v>42727</v>
      </c>
      <c r="N25" s="10" t="s">
        <v>24</v>
      </c>
      <c r="O25" s="25">
        <v>0</v>
      </c>
      <c r="P25" s="25">
        <v>0</v>
      </c>
      <c r="Q25" s="25">
        <v>0</v>
      </c>
      <c r="R25" s="25">
        <v>0</v>
      </c>
      <c r="S25" s="25">
        <v>0</v>
      </c>
      <c r="T25" s="25">
        <v>0</v>
      </c>
      <c r="V25" s="6"/>
    </row>
    <row r="26" spans="2:22">
      <c r="B26" s="6"/>
      <c r="C26" s="12">
        <f t="shared" ca="1" si="2"/>
        <v>1</v>
      </c>
      <c r="D26" s="22">
        <f>D25+7</f>
        <v>42734</v>
      </c>
      <c r="E26" s="26">
        <f t="shared" si="3"/>
        <v>1</v>
      </c>
      <c r="F26" s="26">
        <f t="shared" si="4"/>
        <v>0</v>
      </c>
      <c r="G26" s="26">
        <f t="shared" si="5"/>
        <v>1</v>
      </c>
      <c r="H26" s="26">
        <f t="shared" si="6"/>
        <v>1</v>
      </c>
      <c r="I26" s="26">
        <f t="shared" si="7"/>
        <v>1</v>
      </c>
      <c r="J26" s="26">
        <f t="shared" si="8"/>
        <v>0</v>
      </c>
      <c r="L26" s="6"/>
      <c r="M26" s="22">
        <f>M25+7</f>
        <v>42734</v>
      </c>
      <c r="N26" s="10" t="s">
        <v>24</v>
      </c>
      <c r="O26" s="25">
        <v>0</v>
      </c>
      <c r="P26" s="25">
        <v>10</v>
      </c>
      <c r="Q26" s="25">
        <v>0</v>
      </c>
      <c r="R26" s="25">
        <v>0</v>
      </c>
      <c r="S26" s="25">
        <v>0</v>
      </c>
      <c r="T26" s="25">
        <v>10</v>
      </c>
      <c r="V26" s="6"/>
    </row>
    <row r="27" spans="2:22">
      <c r="B27" s="6"/>
      <c r="C27" s="12">
        <f t="shared" ca="1" si="2"/>
        <v>1</v>
      </c>
      <c r="D27" s="22">
        <f t="shared" ref="D27:D40" si="9">D26+7</f>
        <v>42741</v>
      </c>
      <c r="E27" s="26">
        <f t="shared" si="3"/>
        <v>1</v>
      </c>
      <c r="F27" s="26">
        <f t="shared" si="4"/>
        <v>1</v>
      </c>
      <c r="G27" s="26">
        <f t="shared" si="5"/>
        <v>1</v>
      </c>
      <c r="H27" s="26">
        <f t="shared" si="6"/>
        <v>1</v>
      </c>
      <c r="I27" s="26">
        <f t="shared" si="7"/>
        <v>1</v>
      </c>
      <c r="J27" s="26">
        <f t="shared" si="8"/>
        <v>1</v>
      </c>
      <c r="L27" s="6"/>
      <c r="M27" s="22">
        <f t="shared" ref="M27:M40" si="10">M26+7</f>
        <v>42741</v>
      </c>
      <c r="N27" s="10" t="s">
        <v>24</v>
      </c>
      <c r="O27" s="25">
        <v>0</v>
      </c>
      <c r="P27" s="25">
        <v>0</v>
      </c>
      <c r="Q27" s="25">
        <v>0</v>
      </c>
      <c r="R27" s="25">
        <v>0</v>
      </c>
      <c r="S27" s="25">
        <v>0</v>
      </c>
      <c r="T27" s="25">
        <v>0</v>
      </c>
      <c r="V27" s="6"/>
    </row>
    <row r="28" spans="2:22">
      <c r="B28" s="6"/>
      <c r="C28" s="12">
        <f t="shared" ca="1" si="2"/>
        <v>1</v>
      </c>
      <c r="D28" s="22">
        <f t="shared" si="9"/>
        <v>42748</v>
      </c>
      <c r="E28" s="26">
        <f t="shared" si="3"/>
        <v>0</v>
      </c>
      <c r="F28" s="26">
        <f t="shared" si="4"/>
        <v>1</v>
      </c>
      <c r="G28" s="26">
        <f t="shared" si="5"/>
        <v>1</v>
      </c>
      <c r="H28" s="26">
        <f t="shared" si="6"/>
        <v>1</v>
      </c>
      <c r="I28" s="26">
        <f t="shared" si="7"/>
        <v>1</v>
      </c>
      <c r="J28" s="26">
        <f t="shared" si="8"/>
        <v>1</v>
      </c>
      <c r="L28" s="6"/>
      <c r="M28" s="22">
        <f t="shared" si="10"/>
        <v>42748</v>
      </c>
      <c r="N28" s="10" t="s">
        <v>24</v>
      </c>
      <c r="O28" s="25">
        <v>10</v>
      </c>
      <c r="P28" s="25">
        <v>0</v>
      </c>
      <c r="Q28" s="25">
        <v>0</v>
      </c>
      <c r="R28" s="25">
        <v>0</v>
      </c>
      <c r="S28" s="25">
        <v>0</v>
      </c>
      <c r="T28" s="25">
        <v>0</v>
      </c>
      <c r="V28" s="6"/>
    </row>
    <row r="29" spans="2:22">
      <c r="B29" s="6"/>
      <c r="C29" s="12">
        <f t="shared" ca="1" si="2"/>
        <v>1</v>
      </c>
      <c r="D29" s="22">
        <f t="shared" si="9"/>
        <v>42755</v>
      </c>
      <c r="E29" s="26">
        <f t="shared" si="3"/>
        <v>1</v>
      </c>
      <c r="F29" s="26">
        <f t="shared" si="4"/>
        <v>1</v>
      </c>
      <c r="G29" s="26">
        <f t="shared" si="5"/>
        <v>1</v>
      </c>
      <c r="H29" s="26">
        <f t="shared" si="6"/>
        <v>0</v>
      </c>
      <c r="I29" s="26">
        <f t="shared" si="7"/>
        <v>1</v>
      </c>
      <c r="J29" s="26">
        <f t="shared" si="8"/>
        <v>0</v>
      </c>
      <c r="L29" s="6"/>
      <c r="M29" s="22">
        <f t="shared" si="10"/>
        <v>42755</v>
      </c>
      <c r="N29" s="10" t="s">
        <v>24</v>
      </c>
      <c r="O29" s="25">
        <v>0</v>
      </c>
      <c r="P29" s="25">
        <v>0</v>
      </c>
      <c r="Q29" s="25">
        <v>0</v>
      </c>
      <c r="R29" s="25">
        <v>10</v>
      </c>
      <c r="S29" s="25">
        <v>0</v>
      </c>
      <c r="T29" s="25">
        <v>10</v>
      </c>
      <c r="V29" s="6"/>
    </row>
    <row r="30" spans="2:22">
      <c r="B30" s="6"/>
      <c r="C30" s="12">
        <f t="shared" ca="1" si="2"/>
        <v>1</v>
      </c>
      <c r="D30" s="22">
        <f t="shared" si="9"/>
        <v>42762</v>
      </c>
      <c r="E30" s="26">
        <f t="shared" si="3"/>
        <v>1</v>
      </c>
      <c r="F30" s="26">
        <f t="shared" si="4"/>
        <v>1</v>
      </c>
      <c r="G30" s="26">
        <f t="shared" si="5"/>
        <v>1</v>
      </c>
      <c r="H30" s="26">
        <f t="shared" si="6"/>
        <v>1</v>
      </c>
      <c r="I30" s="26">
        <f t="shared" si="7"/>
        <v>1</v>
      </c>
      <c r="J30" s="26">
        <f t="shared" si="8"/>
        <v>1</v>
      </c>
      <c r="L30" s="6"/>
      <c r="M30" s="22">
        <f t="shared" si="10"/>
        <v>42762</v>
      </c>
      <c r="N30" s="10" t="s">
        <v>24</v>
      </c>
      <c r="O30" s="25">
        <v>0</v>
      </c>
      <c r="P30" s="25">
        <v>0</v>
      </c>
      <c r="Q30" s="25">
        <v>0</v>
      </c>
      <c r="R30" s="25">
        <v>0</v>
      </c>
      <c r="S30" s="25">
        <v>0</v>
      </c>
      <c r="T30" s="25">
        <v>0</v>
      </c>
      <c r="V30" s="6"/>
    </row>
    <row r="31" spans="2:22">
      <c r="B31" s="6"/>
      <c r="C31" s="12">
        <f t="shared" ca="1" si="2"/>
        <v>1</v>
      </c>
      <c r="D31" s="22">
        <f t="shared" si="9"/>
        <v>42769</v>
      </c>
      <c r="E31" s="26">
        <f t="shared" si="3"/>
        <v>1</v>
      </c>
      <c r="F31" s="26">
        <f t="shared" si="4"/>
        <v>0</v>
      </c>
      <c r="G31" s="26">
        <f t="shared" si="5"/>
        <v>1</v>
      </c>
      <c r="H31" s="26">
        <f t="shared" si="6"/>
        <v>0</v>
      </c>
      <c r="I31" s="26">
        <f t="shared" si="7"/>
        <v>0</v>
      </c>
      <c r="J31" s="26">
        <f t="shared" si="8"/>
        <v>1</v>
      </c>
      <c r="L31" s="6"/>
      <c r="M31" s="22">
        <f t="shared" si="10"/>
        <v>42769</v>
      </c>
      <c r="N31" s="10" t="s">
        <v>24</v>
      </c>
      <c r="O31" s="25">
        <v>0</v>
      </c>
      <c r="P31" s="25">
        <v>10</v>
      </c>
      <c r="Q31" s="25">
        <v>0</v>
      </c>
      <c r="R31" s="25">
        <v>10</v>
      </c>
      <c r="S31" s="25">
        <v>10</v>
      </c>
      <c r="T31" s="25">
        <v>0</v>
      </c>
      <c r="V31" s="6"/>
    </row>
    <row r="32" spans="2:22">
      <c r="B32" s="6"/>
      <c r="C32" s="12">
        <f t="shared" ca="1" si="2"/>
        <v>1</v>
      </c>
      <c r="D32" s="22">
        <f t="shared" si="9"/>
        <v>42776</v>
      </c>
      <c r="E32" s="26">
        <f t="shared" si="3"/>
        <v>1</v>
      </c>
      <c r="F32" s="26">
        <f t="shared" si="4"/>
        <v>1</v>
      </c>
      <c r="G32" s="26">
        <f t="shared" si="5"/>
        <v>0</v>
      </c>
      <c r="H32" s="26">
        <f t="shared" si="6"/>
        <v>1</v>
      </c>
      <c r="I32" s="26">
        <f t="shared" si="7"/>
        <v>1</v>
      </c>
      <c r="J32" s="26">
        <f t="shared" si="8"/>
        <v>1</v>
      </c>
      <c r="L32" s="6"/>
      <c r="M32" s="22">
        <f t="shared" si="10"/>
        <v>42776</v>
      </c>
      <c r="N32" s="10" t="s">
        <v>24</v>
      </c>
      <c r="O32" s="25">
        <v>0</v>
      </c>
      <c r="P32" s="25">
        <v>0</v>
      </c>
      <c r="Q32" s="25">
        <v>10</v>
      </c>
      <c r="R32" s="25">
        <v>0</v>
      </c>
      <c r="S32" s="25">
        <v>0</v>
      </c>
      <c r="T32" s="25">
        <v>0</v>
      </c>
      <c r="V32" s="6"/>
    </row>
    <row r="33" spans="2:22">
      <c r="B33" s="6"/>
      <c r="C33" s="12">
        <f t="shared" ca="1" si="2"/>
        <v>1</v>
      </c>
      <c r="D33" s="22">
        <f t="shared" si="9"/>
        <v>42783</v>
      </c>
      <c r="E33" s="26">
        <f t="shared" si="3"/>
        <v>1</v>
      </c>
      <c r="F33" s="26">
        <f t="shared" si="4"/>
        <v>1</v>
      </c>
      <c r="G33" s="26">
        <f t="shared" si="5"/>
        <v>0</v>
      </c>
      <c r="H33" s="26">
        <f t="shared" si="6"/>
        <v>1</v>
      </c>
      <c r="I33" s="26">
        <f t="shared" si="7"/>
        <v>1</v>
      </c>
      <c r="J33" s="26">
        <f t="shared" si="8"/>
        <v>1</v>
      </c>
      <c r="L33" s="6"/>
      <c r="M33" s="22">
        <f t="shared" si="10"/>
        <v>42783</v>
      </c>
      <c r="N33" s="10" t="s">
        <v>24</v>
      </c>
      <c r="O33" s="25">
        <v>0</v>
      </c>
      <c r="P33" s="25">
        <v>0</v>
      </c>
      <c r="Q33" s="25">
        <v>10</v>
      </c>
      <c r="R33" s="25">
        <v>0</v>
      </c>
      <c r="S33" s="25">
        <v>0</v>
      </c>
      <c r="T33" s="25">
        <v>0</v>
      </c>
      <c r="V33" s="6"/>
    </row>
    <row r="34" spans="2:22">
      <c r="B34" s="6"/>
      <c r="C34" s="12">
        <f t="shared" ca="1" si="2"/>
        <v>1</v>
      </c>
      <c r="D34" s="22">
        <f t="shared" si="9"/>
        <v>42790</v>
      </c>
      <c r="E34" s="26">
        <f t="shared" si="3"/>
        <v>1</v>
      </c>
      <c r="F34" s="26">
        <f t="shared" si="4"/>
        <v>1</v>
      </c>
      <c r="G34" s="26">
        <f t="shared" si="5"/>
        <v>1</v>
      </c>
      <c r="H34" s="26">
        <f t="shared" si="6"/>
        <v>1</v>
      </c>
      <c r="I34" s="26">
        <f t="shared" si="7"/>
        <v>0</v>
      </c>
      <c r="J34" s="26">
        <f t="shared" si="8"/>
        <v>1</v>
      </c>
      <c r="L34" s="6"/>
      <c r="M34" s="22">
        <f t="shared" si="10"/>
        <v>42790</v>
      </c>
      <c r="N34" s="10" t="s">
        <v>24</v>
      </c>
      <c r="O34" s="25">
        <v>0</v>
      </c>
      <c r="P34" s="25">
        <v>0</v>
      </c>
      <c r="Q34" s="25">
        <v>0</v>
      </c>
      <c r="R34" s="25">
        <v>0</v>
      </c>
      <c r="S34" s="25">
        <v>10</v>
      </c>
      <c r="T34" s="25">
        <v>0</v>
      </c>
      <c r="V34" s="6"/>
    </row>
    <row r="35" spans="2:22">
      <c r="B35" s="6"/>
      <c r="C35" s="12">
        <f t="shared" ca="1" si="2"/>
        <v>1</v>
      </c>
      <c r="D35" s="22">
        <f t="shared" si="9"/>
        <v>42797</v>
      </c>
      <c r="E35" s="26">
        <f t="shared" si="3"/>
        <v>1</v>
      </c>
      <c r="F35" s="26">
        <f t="shared" si="4"/>
        <v>1</v>
      </c>
      <c r="G35" s="26">
        <f t="shared" si="5"/>
        <v>1</v>
      </c>
      <c r="H35" s="26">
        <f t="shared" si="6"/>
        <v>1</v>
      </c>
      <c r="I35" s="26">
        <f t="shared" si="7"/>
        <v>0</v>
      </c>
      <c r="J35" s="26">
        <f t="shared" si="8"/>
        <v>1</v>
      </c>
      <c r="L35" s="6"/>
      <c r="M35" s="22">
        <f t="shared" si="10"/>
        <v>42797</v>
      </c>
      <c r="N35" s="10" t="s">
        <v>24</v>
      </c>
      <c r="O35" s="25">
        <v>0</v>
      </c>
      <c r="P35" s="25">
        <v>0</v>
      </c>
      <c r="Q35" s="25">
        <v>0</v>
      </c>
      <c r="R35" s="25">
        <v>0</v>
      </c>
      <c r="S35" s="25">
        <v>10</v>
      </c>
      <c r="T35" s="25">
        <v>0</v>
      </c>
      <c r="V35" s="6"/>
    </row>
    <row r="36" spans="2:22">
      <c r="B36" s="6"/>
      <c r="C36" s="12">
        <f t="shared" ca="1" si="2"/>
        <v>1</v>
      </c>
      <c r="D36" s="22">
        <f t="shared" si="9"/>
        <v>42804</v>
      </c>
      <c r="E36" s="26">
        <f t="shared" si="3"/>
        <v>1</v>
      </c>
      <c r="F36" s="26">
        <f t="shared" si="4"/>
        <v>1</v>
      </c>
      <c r="G36" s="26">
        <f t="shared" si="5"/>
        <v>0</v>
      </c>
      <c r="H36" s="26">
        <f t="shared" si="6"/>
        <v>1</v>
      </c>
      <c r="I36" s="26">
        <f t="shared" si="7"/>
        <v>1</v>
      </c>
      <c r="J36" s="26">
        <f t="shared" si="8"/>
        <v>1</v>
      </c>
      <c r="L36" s="6"/>
      <c r="M36" s="22">
        <f t="shared" si="10"/>
        <v>42804</v>
      </c>
      <c r="N36" s="10" t="s">
        <v>24</v>
      </c>
      <c r="O36" s="25">
        <v>0</v>
      </c>
      <c r="P36" s="25">
        <v>0</v>
      </c>
      <c r="Q36" s="25">
        <v>10</v>
      </c>
      <c r="R36" s="25">
        <v>0</v>
      </c>
      <c r="S36" s="25">
        <v>0</v>
      </c>
      <c r="T36" s="25">
        <v>0</v>
      </c>
      <c r="V36" s="6"/>
    </row>
    <row r="37" spans="2:22">
      <c r="B37" s="6"/>
      <c r="C37" s="12">
        <f t="shared" ca="1" si="2"/>
        <v>1</v>
      </c>
      <c r="D37" s="22">
        <f t="shared" si="9"/>
        <v>42811</v>
      </c>
      <c r="E37" s="26">
        <f t="shared" si="3"/>
        <v>1</v>
      </c>
      <c r="F37" s="26">
        <f t="shared" si="4"/>
        <v>1</v>
      </c>
      <c r="G37" s="26">
        <f t="shared" si="5"/>
        <v>1</v>
      </c>
      <c r="H37" s="26">
        <f t="shared" si="6"/>
        <v>1</v>
      </c>
      <c r="I37" s="26">
        <f t="shared" si="7"/>
        <v>1</v>
      </c>
      <c r="J37" s="26">
        <f t="shared" si="8"/>
        <v>1</v>
      </c>
      <c r="L37" s="6"/>
      <c r="M37" s="22">
        <f t="shared" si="10"/>
        <v>42811</v>
      </c>
      <c r="N37" s="10" t="s">
        <v>24</v>
      </c>
      <c r="O37" s="25">
        <v>0</v>
      </c>
      <c r="P37" s="25">
        <v>0</v>
      </c>
      <c r="Q37" s="25">
        <v>0</v>
      </c>
      <c r="R37" s="25">
        <v>0</v>
      </c>
      <c r="S37" s="25">
        <v>0</v>
      </c>
      <c r="T37" s="25">
        <v>0</v>
      </c>
      <c r="V37" s="6"/>
    </row>
    <row r="38" spans="2:22">
      <c r="B38" s="6"/>
      <c r="C38" s="12">
        <f t="shared" ca="1" si="2"/>
        <v>1</v>
      </c>
      <c r="D38" s="22">
        <f t="shared" si="9"/>
        <v>42818</v>
      </c>
      <c r="E38" s="26">
        <f t="shared" si="3"/>
        <v>1</v>
      </c>
      <c r="F38" s="26">
        <f t="shared" si="4"/>
        <v>1</v>
      </c>
      <c r="G38" s="26">
        <f t="shared" si="5"/>
        <v>0</v>
      </c>
      <c r="H38" s="26">
        <f t="shared" si="6"/>
        <v>1</v>
      </c>
      <c r="I38" s="26">
        <f t="shared" si="7"/>
        <v>1</v>
      </c>
      <c r="J38" s="26">
        <f t="shared" si="8"/>
        <v>1</v>
      </c>
      <c r="L38" s="6"/>
      <c r="M38" s="22">
        <f t="shared" si="10"/>
        <v>42818</v>
      </c>
      <c r="N38" s="10" t="s">
        <v>24</v>
      </c>
      <c r="O38" s="25">
        <v>0</v>
      </c>
      <c r="P38" s="25">
        <v>0</v>
      </c>
      <c r="Q38" s="25">
        <v>10</v>
      </c>
      <c r="R38" s="25">
        <v>0</v>
      </c>
      <c r="S38" s="25">
        <v>0</v>
      </c>
      <c r="T38" s="25">
        <v>0</v>
      </c>
      <c r="V38" s="6"/>
    </row>
    <row r="39" spans="2:22" ht="16.5" customHeight="1">
      <c r="B39" s="6"/>
      <c r="C39" s="12">
        <f t="shared" ca="1" si="2"/>
        <v>1</v>
      </c>
      <c r="D39" s="22">
        <f t="shared" si="9"/>
        <v>42825</v>
      </c>
      <c r="E39" s="26">
        <f t="shared" si="3"/>
        <v>1</v>
      </c>
      <c r="F39" s="26">
        <f t="shared" si="4"/>
        <v>0</v>
      </c>
      <c r="G39" s="26">
        <f t="shared" si="5"/>
        <v>0</v>
      </c>
      <c r="H39" s="26">
        <f t="shared" si="6"/>
        <v>0</v>
      </c>
      <c r="I39" s="26">
        <f t="shared" si="7"/>
        <v>1</v>
      </c>
      <c r="J39" s="26">
        <f t="shared" si="8"/>
        <v>1</v>
      </c>
      <c r="K39" s="2"/>
      <c r="L39" s="23"/>
      <c r="M39" s="22">
        <f t="shared" si="10"/>
        <v>42825</v>
      </c>
      <c r="N39" s="10" t="s">
        <v>24</v>
      </c>
      <c r="O39" s="25">
        <v>0</v>
      </c>
      <c r="P39" s="25">
        <v>10</v>
      </c>
      <c r="Q39" s="25">
        <v>10</v>
      </c>
      <c r="R39" s="25">
        <v>10</v>
      </c>
      <c r="S39" s="25">
        <v>0</v>
      </c>
      <c r="T39" s="25">
        <v>0</v>
      </c>
      <c r="U39" s="2"/>
      <c r="V39" s="23"/>
    </row>
    <row r="40" spans="2:22" ht="16.5" customHeight="1">
      <c r="B40" s="6"/>
      <c r="C40" s="12">
        <f t="shared" ca="1" si="2"/>
        <v>1</v>
      </c>
      <c r="D40" s="22">
        <f t="shared" si="9"/>
        <v>42832</v>
      </c>
      <c r="E40" s="26">
        <f t="shared" si="3"/>
        <v>0</v>
      </c>
      <c r="F40" s="26">
        <f t="shared" si="4"/>
        <v>0</v>
      </c>
      <c r="G40" s="26">
        <f t="shared" si="5"/>
        <v>1</v>
      </c>
      <c r="H40" s="26">
        <f t="shared" si="6"/>
        <v>1</v>
      </c>
      <c r="I40" s="26">
        <f t="shared" si="7"/>
        <v>1</v>
      </c>
      <c r="J40" s="26">
        <f t="shared" ref="J40:J42" si="11">IF(T40="","",IF(T40=0,1,0))</f>
        <v>1</v>
      </c>
      <c r="K40" s="2"/>
      <c r="L40" s="23"/>
      <c r="M40" s="22">
        <f t="shared" si="10"/>
        <v>42832</v>
      </c>
      <c r="N40" s="10" t="s">
        <v>24</v>
      </c>
      <c r="O40" s="25">
        <v>10</v>
      </c>
      <c r="P40" s="25">
        <v>10</v>
      </c>
      <c r="Q40" s="25">
        <v>0</v>
      </c>
      <c r="R40" s="25">
        <v>0</v>
      </c>
      <c r="S40" s="25">
        <v>0</v>
      </c>
      <c r="T40" s="25">
        <v>0</v>
      </c>
      <c r="U40" s="2"/>
      <c r="V40" s="23"/>
    </row>
    <row r="41" spans="2:22" ht="16.5" customHeight="1">
      <c r="B41" s="6"/>
      <c r="L41" s="6"/>
      <c r="M41" s="22">
        <v>42846</v>
      </c>
      <c r="N41" s="10" t="s">
        <v>110</v>
      </c>
      <c r="O41" s="25">
        <v>5</v>
      </c>
      <c r="P41" s="25">
        <v>0</v>
      </c>
      <c r="Q41" s="25">
        <v>0</v>
      </c>
      <c r="R41" s="25">
        <v>0</v>
      </c>
      <c r="S41" s="25">
        <v>0</v>
      </c>
      <c r="T41" s="25">
        <v>0</v>
      </c>
      <c r="V41" s="6"/>
    </row>
    <row r="42" spans="2:22" ht="16.5" customHeight="1">
      <c r="B42" s="6"/>
      <c r="C42" s="12">
        <f t="shared" ref="C42:C49" ca="1" si="12">IF(D42&lt;=TODAY(),1,"")</f>
        <v>1</v>
      </c>
      <c r="D42" s="22">
        <f>D40+14</f>
        <v>42846</v>
      </c>
      <c r="E42" s="26">
        <f t="shared" ref="E42" si="13">IF(O42="","",IF(O42=0,1,0))</f>
        <v>1</v>
      </c>
      <c r="F42" s="26">
        <f t="shared" ref="F42" si="14">IF(P42="","",IF(P42=0,1,0))</f>
        <v>0</v>
      </c>
      <c r="G42" s="26">
        <f t="shared" ref="G42" si="15">IF(Q42="","",IF(Q42=0,1,0))</f>
        <v>1</v>
      </c>
      <c r="H42" s="26">
        <f t="shared" ref="H42" si="16">IF(R42="","",IF(R42=0,1,0))</f>
        <v>1</v>
      </c>
      <c r="I42" s="26">
        <f t="shared" ref="I42" si="17">IF(S42="","",IF(S42=0,1,0))</f>
        <v>1</v>
      </c>
      <c r="J42" s="26">
        <f t="shared" si="11"/>
        <v>1</v>
      </c>
      <c r="L42" s="6"/>
      <c r="M42" s="22">
        <f>M40+14</f>
        <v>42846</v>
      </c>
      <c r="N42" s="10" t="s">
        <v>24</v>
      </c>
      <c r="O42" s="25">
        <v>0</v>
      </c>
      <c r="P42" s="25">
        <v>10</v>
      </c>
      <c r="Q42" s="25">
        <v>0</v>
      </c>
      <c r="R42" s="25">
        <v>0</v>
      </c>
      <c r="S42" s="25">
        <v>0</v>
      </c>
      <c r="T42" s="25">
        <v>0</v>
      </c>
      <c r="V42" s="6"/>
    </row>
    <row r="43" spans="2:22" ht="16.5" customHeight="1">
      <c r="B43" s="6"/>
      <c r="C43" s="12">
        <f t="shared" ca="1" si="12"/>
        <v>1</v>
      </c>
      <c r="D43" s="22">
        <f ca="1">IF(D42="","",IF(TODAY()&gt;=D42+7,D42+7,""))</f>
        <v>42853</v>
      </c>
      <c r="E43" s="26">
        <f t="shared" ref="E43:E73" si="18">IF(O43="","",IF(O43=0,1,0))</f>
        <v>1</v>
      </c>
      <c r="F43" s="26">
        <f t="shared" ref="F43:F73" si="19">IF(P43="","",IF(P43=0,1,0))</f>
        <v>0</v>
      </c>
      <c r="G43" s="26">
        <f t="shared" ref="G43:G73" si="20">IF(Q43="","",IF(Q43=0,1,0))</f>
        <v>1</v>
      </c>
      <c r="H43" s="26">
        <f t="shared" ref="H43:H73" si="21">IF(R43="","",IF(R43=0,1,0))</f>
        <v>1</v>
      </c>
      <c r="I43" s="26">
        <f t="shared" ref="I43:I73" si="22">IF(S43="","",IF(S43=0,1,0))</f>
        <v>1</v>
      </c>
      <c r="J43" s="26">
        <f t="shared" ref="J43:J73" si="23">IF(T43="","",IF(T43=0,1,0))</f>
        <v>1</v>
      </c>
      <c r="L43" s="6"/>
      <c r="M43" s="22">
        <f ca="1">IF(M42="","",IF(TODAY()&gt;=M42+7,M42+7,""))</f>
        <v>42853</v>
      </c>
      <c r="N43" s="10" t="str">
        <f ca="1">IF(M43="","","Missing Penalty")</f>
        <v>Missing Penalty</v>
      </c>
      <c r="O43" s="25">
        <v>0</v>
      </c>
      <c r="P43" s="25">
        <v>10</v>
      </c>
      <c r="Q43" s="25">
        <v>0</v>
      </c>
      <c r="R43" s="25">
        <v>0</v>
      </c>
      <c r="S43" s="25">
        <v>0</v>
      </c>
      <c r="T43" s="25">
        <v>0</v>
      </c>
      <c r="V43" s="6"/>
    </row>
    <row r="44" spans="2:22" ht="16.5" customHeight="1">
      <c r="B44" s="6"/>
      <c r="C44" s="12">
        <f t="shared" ca="1" si="12"/>
        <v>1</v>
      </c>
      <c r="D44" s="22">
        <f t="shared" ref="D44:D49" ca="1" si="24">IF(D43="","",IF(TODAY()&gt;=D43+7,D43+7,""))</f>
        <v>42860</v>
      </c>
      <c r="E44" s="26">
        <f t="shared" si="18"/>
        <v>1</v>
      </c>
      <c r="F44" s="26">
        <f t="shared" si="19"/>
        <v>0</v>
      </c>
      <c r="G44" s="26">
        <f t="shared" si="20"/>
        <v>1</v>
      </c>
      <c r="H44" s="26">
        <f t="shared" si="21"/>
        <v>1</v>
      </c>
      <c r="I44" s="26">
        <f t="shared" si="22"/>
        <v>1</v>
      </c>
      <c r="J44" s="26">
        <f t="shared" si="23"/>
        <v>1</v>
      </c>
      <c r="L44" s="6"/>
      <c r="M44" s="22">
        <f t="shared" ref="M44:M49" ca="1" si="25">IF(M43="","",IF(TODAY()&gt;=M43+7,M43+7,""))</f>
        <v>42860</v>
      </c>
      <c r="N44" s="10" t="str">
        <f t="shared" ref="N44:N73" ca="1" si="26">IF(M44="","","Missing Penalty")</f>
        <v>Missing Penalty</v>
      </c>
      <c r="O44" s="25">
        <v>0</v>
      </c>
      <c r="P44" s="25">
        <v>10</v>
      </c>
      <c r="Q44" s="25">
        <v>0</v>
      </c>
      <c r="R44" s="25">
        <v>0</v>
      </c>
      <c r="S44" s="25">
        <v>0</v>
      </c>
      <c r="T44" s="25">
        <v>0</v>
      </c>
      <c r="V44" s="6"/>
    </row>
    <row r="45" spans="2:22" ht="16.5" customHeight="1">
      <c r="B45" s="6"/>
      <c r="C45" s="12">
        <f t="shared" ca="1" si="12"/>
        <v>1</v>
      </c>
      <c r="D45" s="22">
        <f t="shared" ca="1" si="24"/>
        <v>42867</v>
      </c>
      <c r="E45" s="26">
        <f t="shared" si="18"/>
        <v>1</v>
      </c>
      <c r="F45" s="26">
        <f t="shared" si="19"/>
        <v>0</v>
      </c>
      <c r="G45" s="26">
        <f t="shared" si="20"/>
        <v>1</v>
      </c>
      <c r="H45" s="26">
        <f t="shared" si="21"/>
        <v>1</v>
      </c>
      <c r="I45" s="26">
        <f t="shared" si="22"/>
        <v>1</v>
      </c>
      <c r="J45" s="26">
        <f t="shared" si="23"/>
        <v>1</v>
      </c>
      <c r="L45" s="6"/>
      <c r="M45" s="22">
        <f t="shared" ca="1" si="25"/>
        <v>42867</v>
      </c>
      <c r="N45" s="10" t="str">
        <f ca="1">IF(M45="","","Missing Penalty")</f>
        <v>Missing Penalty</v>
      </c>
      <c r="O45" s="25">
        <v>0</v>
      </c>
      <c r="P45" s="25">
        <v>10</v>
      </c>
      <c r="Q45" s="25">
        <v>0</v>
      </c>
      <c r="R45" s="25">
        <v>0</v>
      </c>
      <c r="S45" s="25">
        <v>0</v>
      </c>
      <c r="T45" s="25">
        <v>0</v>
      </c>
      <c r="V45" s="6"/>
    </row>
    <row r="46" spans="2:22" ht="16.5" customHeight="1">
      <c r="B46" s="6"/>
      <c r="C46" s="12">
        <f t="shared" ca="1" si="12"/>
        <v>1</v>
      </c>
      <c r="D46" s="22">
        <f ca="1">IF(D45="","",IF(TODAY()&gt;=D45+7,D45+7,""))</f>
        <v>42874</v>
      </c>
      <c r="E46" s="26">
        <f t="shared" si="18"/>
        <v>1</v>
      </c>
      <c r="F46" s="26">
        <f t="shared" si="19"/>
        <v>0</v>
      </c>
      <c r="G46" s="26">
        <f t="shared" si="20"/>
        <v>0</v>
      </c>
      <c r="H46" s="26">
        <f t="shared" si="21"/>
        <v>1</v>
      </c>
      <c r="I46" s="26">
        <f t="shared" si="22"/>
        <v>1</v>
      </c>
      <c r="J46" s="26">
        <f t="shared" si="23"/>
        <v>1</v>
      </c>
      <c r="L46" s="6"/>
      <c r="M46" s="22">
        <f t="shared" ca="1" si="25"/>
        <v>42874</v>
      </c>
      <c r="N46" s="10" t="str">
        <f ca="1">IF(M46="","","Missing Penalty")</f>
        <v>Missing Penalty</v>
      </c>
      <c r="O46" s="25">
        <v>0</v>
      </c>
      <c r="P46" s="25">
        <v>10</v>
      </c>
      <c r="Q46" s="25">
        <v>10</v>
      </c>
      <c r="R46" s="25">
        <v>0</v>
      </c>
      <c r="S46" s="25">
        <v>0</v>
      </c>
      <c r="T46" s="25">
        <v>0</v>
      </c>
      <c r="V46" s="6"/>
    </row>
    <row r="47" spans="2:22" ht="16.5" customHeight="1">
      <c r="B47" s="6"/>
      <c r="C47" s="12">
        <f t="shared" ca="1" si="12"/>
        <v>1</v>
      </c>
      <c r="D47" s="22">
        <f t="shared" ca="1" si="24"/>
        <v>42881</v>
      </c>
      <c r="E47" s="26">
        <f t="shared" si="18"/>
        <v>1</v>
      </c>
      <c r="F47" s="26">
        <f t="shared" si="19"/>
        <v>0</v>
      </c>
      <c r="G47" s="26">
        <f t="shared" si="20"/>
        <v>0</v>
      </c>
      <c r="H47" s="26">
        <f t="shared" si="21"/>
        <v>1</v>
      </c>
      <c r="I47" s="26">
        <f t="shared" si="22"/>
        <v>0</v>
      </c>
      <c r="J47" s="26">
        <f t="shared" si="23"/>
        <v>1</v>
      </c>
      <c r="L47" s="6"/>
      <c r="M47" s="22">
        <f t="shared" ca="1" si="25"/>
        <v>42881</v>
      </c>
      <c r="N47" s="10" t="str">
        <f t="shared" ref="N47:N56" ca="1" si="27">IF(M47="","","Missing Penalty")</f>
        <v>Missing Penalty</v>
      </c>
      <c r="O47" s="25">
        <v>0</v>
      </c>
      <c r="P47" s="25">
        <v>10</v>
      </c>
      <c r="Q47" s="25">
        <v>10</v>
      </c>
      <c r="R47" s="25">
        <v>0</v>
      </c>
      <c r="S47" s="25">
        <v>10</v>
      </c>
      <c r="T47" s="25">
        <v>0</v>
      </c>
      <c r="V47" s="6"/>
    </row>
    <row r="48" spans="2:22" ht="16.5" customHeight="1">
      <c r="B48" s="6"/>
      <c r="C48" s="12">
        <f t="shared" ca="1" si="12"/>
        <v>1</v>
      </c>
      <c r="D48" s="22">
        <f t="shared" ca="1" si="24"/>
        <v>42888</v>
      </c>
      <c r="E48" s="26">
        <f t="shared" si="18"/>
        <v>1</v>
      </c>
      <c r="F48" s="26">
        <f t="shared" si="19"/>
        <v>0</v>
      </c>
      <c r="G48" s="26">
        <f t="shared" si="20"/>
        <v>0</v>
      </c>
      <c r="H48" s="26">
        <f t="shared" si="21"/>
        <v>1</v>
      </c>
      <c r="I48" s="26">
        <f t="shared" si="22"/>
        <v>0</v>
      </c>
      <c r="J48" s="26">
        <f t="shared" si="23"/>
        <v>1</v>
      </c>
      <c r="L48" s="6"/>
      <c r="M48" s="22">
        <f t="shared" ca="1" si="25"/>
        <v>42888</v>
      </c>
      <c r="N48" s="10" t="str">
        <f t="shared" ca="1" si="27"/>
        <v>Missing Penalty</v>
      </c>
      <c r="O48" s="25">
        <v>0</v>
      </c>
      <c r="P48" s="25">
        <v>10</v>
      </c>
      <c r="Q48" s="25">
        <v>10</v>
      </c>
      <c r="R48" s="25">
        <v>0</v>
      </c>
      <c r="S48" s="25">
        <v>10</v>
      </c>
      <c r="T48" s="25">
        <v>0</v>
      </c>
      <c r="V48" s="6"/>
    </row>
    <row r="49" spans="2:22" ht="16.5" customHeight="1">
      <c r="B49" s="6"/>
      <c r="C49" s="12">
        <f t="shared" ca="1" si="12"/>
        <v>1</v>
      </c>
      <c r="D49" s="22">
        <f t="shared" ca="1" si="24"/>
        <v>42895</v>
      </c>
      <c r="E49" s="26">
        <f t="shared" si="18"/>
        <v>1</v>
      </c>
      <c r="F49" s="26">
        <f t="shared" si="19"/>
        <v>0</v>
      </c>
      <c r="G49" s="26">
        <f t="shared" si="20"/>
        <v>0</v>
      </c>
      <c r="H49" s="26">
        <f t="shared" si="21"/>
        <v>1</v>
      </c>
      <c r="I49" s="26">
        <f t="shared" si="22"/>
        <v>0</v>
      </c>
      <c r="J49" s="26">
        <f t="shared" si="23"/>
        <v>1</v>
      </c>
      <c r="L49" s="6"/>
      <c r="M49" s="22">
        <f t="shared" ca="1" si="25"/>
        <v>42895</v>
      </c>
      <c r="N49" s="10" t="str">
        <f t="shared" ca="1" si="27"/>
        <v>Missing Penalty</v>
      </c>
      <c r="O49" s="25">
        <v>0</v>
      </c>
      <c r="P49" s="25">
        <v>10</v>
      </c>
      <c r="Q49" s="25">
        <v>10</v>
      </c>
      <c r="R49" s="25">
        <v>0</v>
      </c>
      <c r="S49" s="25">
        <v>10</v>
      </c>
      <c r="T49" s="25">
        <v>0</v>
      </c>
      <c r="V49" s="6"/>
    </row>
    <row r="50" spans="2:22" ht="16.5" customHeight="1">
      <c r="B50" s="6"/>
      <c r="C50" s="12">
        <v>1</v>
      </c>
      <c r="D50" s="22">
        <f ca="1">D49+7</f>
        <v>42902</v>
      </c>
      <c r="E50" s="26">
        <f t="shared" si="18"/>
        <v>1</v>
      </c>
      <c r="F50" s="26">
        <f t="shared" si="19"/>
        <v>0</v>
      </c>
      <c r="G50" s="26">
        <f t="shared" si="20"/>
        <v>1</v>
      </c>
      <c r="H50" s="26">
        <f t="shared" si="21"/>
        <v>0</v>
      </c>
      <c r="I50" s="26">
        <f t="shared" si="22"/>
        <v>0</v>
      </c>
      <c r="J50" s="26">
        <f t="shared" si="23"/>
        <v>1</v>
      </c>
      <c r="L50" s="6"/>
      <c r="M50" s="22">
        <f ca="1">M49+7</f>
        <v>42902</v>
      </c>
      <c r="N50" s="10" t="str">
        <f t="shared" ca="1" si="27"/>
        <v>Missing Penalty</v>
      </c>
      <c r="O50" s="25">
        <v>0</v>
      </c>
      <c r="P50" s="25">
        <v>10</v>
      </c>
      <c r="Q50" s="25">
        <v>0</v>
      </c>
      <c r="R50" s="25">
        <v>10</v>
      </c>
      <c r="S50" s="25">
        <v>10</v>
      </c>
      <c r="T50" s="25">
        <v>0</v>
      </c>
      <c r="V50" s="6"/>
    </row>
    <row r="51" spans="2:22" ht="16.5" customHeight="1">
      <c r="B51" s="6"/>
      <c r="C51" s="12">
        <f t="shared" ref="C51:C73" ca="1" si="28">IF(D51&lt;=TODAY(),1,"")</f>
        <v>1</v>
      </c>
      <c r="D51" s="22">
        <f t="shared" ref="D51:D73" ca="1" si="29">D50+7</f>
        <v>42909</v>
      </c>
      <c r="E51" s="26">
        <f t="shared" si="18"/>
        <v>1</v>
      </c>
      <c r="F51" s="26">
        <f t="shared" si="19"/>
        <v>0</v>
      </c>
      <c r="G51" s="26">
        <f t="shared" si="20"/>
        <v>1</v>
      </c>
      <c r="H51" s="26">
        <f t="shared" si="21"/>
        <v>1</v>
      </c>
      <c r="I51" s="26">
        <f t="shared" si="22"/>
        <v>0</v>
      </c>
      <c r="J51" s="26">
        <f t="shared" si="23"/>
        <v>0</v>
      </c>
      <c r="L51" s="6"/>
      <c r="M51" s="22">
        <f t="shared" ref="M51:M73" ca="1" si="30">M50+7</f>
        <v>42909</v>
      </c>
      <c r="N51" s="10" t="str">
        <f t="shared" ca="1" si="27"/>
        <v>Missing Penalty</v>
      </c>
      <c r="O51" s="25">
        <v>0</v>
      </c>
      <c r="P51" s="25">
        <v>10</v>
      </c>
      <c r="Q51" s="25">
        <v>0</v>
      </c>
      <c r="R51" s="25">
        <v>0</v>
      </c>
      <c r="S51" s="25">
        <v>10</v>
      </c>
      <c r="T51" s="25">
        <v>10</v>
      </c>
      <c r="V51" s="6"/>
    </row>
    <row r="52" spans="2:22" ht="16.5" customHeight="1">
      <c r="B52" s="6"/>
      <c r="C52" s="12">
        <f t="shared" ca="1" si="28"/>
        <v>1</v>
      </c>
      <c r="D52" s="22">
        <f t="shared" ca="1" si="29"/>
        <v>42916</v>
      </c>
      <c r="E52" s="26">
        <f t="shared" si="18"/>
        <v>1</v>
      </c>
      <c r="F52" s="26">
        <f t="shared" si="19"/>
        <v>0</v>
      </c>
      <c r="G52" s="26">
        <f t="shared" si="20"/>
        <v>1</v>
      </c>
      <c r="H52" s="26">
        <f t="shared" si="21"/>
        <v>1</v>
      </c>
      <c r="I52" s="26">
        <f t="shared" si="22"/>
        <v>1</v>
      </c>
      <c r="J52" s="26">
        <f t="shared" si="23"/>
        <v>0</v>
      </c>
      <c r="L52" s="6"/>
      <c r="M52" s="22">
        <f t="shared" ca="1" si="30"/>
        <v>42916</v>
      </c>
      <c r="N52" s="10" t="str">
        <f t="shared" ca="1" si="27"/>
        <v>Missing Penalty</v>
      </c>
      <c r="O52" s="25">
        <v>0</v>
      </c>
      <c r="P52" s="25">
        <v>10</v>
      </c>
      <c r="Q52" s="25">
        <v>0</v>
      </c>
      <c r="R52" s="25">
        <v>0</v>
      </c>
      <c r="S52" s="25">
        <v>0</v>
      </c>
      <c r="T52" s="25">
        <v>10</v>
      </c>
      <c r="V52" s="6"/>
    </row>
    <row r="53" spans="2:22" ht="16.5" customHeight="1">
      <c r="B53" s="6"/>
      <c r="C53" s="12">
        <f t="shared" ca="1" si="28"/>
        <v>1</v>
      </c>
      <c r="D53" s="22">
        <f t="shared" ca="1" si="29"/>
        <v>42923</v>
      </c>
      <c r="E53" s="26">
        <f t="shared" si="18"/>
        <v>1</v>
      </c>
      <c r="F53" s="26">
        <f t="shared" si="19"/>
        <v>0</v>
      </c>
      <c r="G53" s="26">
        <f t="shared" si="20"/>
        <v>1</v>
      </c>
      <c r="H53" s="26">
        <f t="shared" si="21"/>
        <v>1</v>
      </c>
      <c r="I53" s="26">
        <f t="shared" si="22"/>
        <v>1</v>
      </c>
      <c r="J53" s="26">
        <f t="shared" si="23"/>
        <v>0</v>
      </c>
      <c r="L53" s="6"/>
      <c r="M53" s="22">
        <f t="shared" ca="1" si="30"/>
        <v>42923</v>
      </c>
      <c r="N53" s="10" t="str">
        <f t="shared" ca="1" si="27"/>
        <v>Missing Penalty</v>
      </c>
      <c r="O53" s="25">
        <v>0</v>
      </c>
      <c r="P53" s="25">
        <v>10</v>
      </c>
      <c r="Q53" s="25">
        <v>0</v>
      </c>
      <c r="R53" s="25">
        <v>0</v>
      </c>
      <c r="S53" s="25">
        <v>0</v>
      </c>
      <c r="T53" s="25">
        <v>10</v>
      </c>
      <c r="V53" s="6"/>
    </row>
    <row r="54" spans="2:22" ht="16.5" customHeight="1">
      <c r="B54" s="6"/>
      <c r="C54" s="12">
        <f t="shared" ca="1" si="28"/>
        <v>1</v>
      </c>
      <c r="D54" s="22">
        <f t="shared" ca="1" si="29"/>
        <v>42930</v>
      </c>
      <c r="E54" s="26">
        <f t="shared" si="18"/>
        <v>1</v>
      </c>
      <c r="F54" s="26">
        <f t="shared" si="19"/>
        <v>0</v>
      </c>
      <c r="G54" s="26">
        <f t="shared" si="20"/>
        <v>1</v>
      </c>
      <c r="H54" s="26">
        <f t="shared" si="21"/>
        <v>1</v>
      </c>
      <c r="I54" s="26">
        <f t="shared" si="22"/>
        <v>1</v>
      </c>
      <c r="J54" s="26">
        <f t="shared" si="23"/>
        <v>1</v>
      </c>
      <c r="L54" s="6"/>
      <c r="M54" s="22">
        <f t="shared" ca="1" si="30"/>
        <v>42930</v>
      </c>
      <c r="N54" s="10" t="str">
        <f t="shared" ca="1" si="27"/>
        <v>Missing Penalty</v>
      </c>
      <c r="O54" s="25">
        <v>0</v>
      </c>
      <c r="P54" s="25">
        <v>10</v>
      </c>
      <c r="Q54" s="25">
        <v>0</v>
      </c>
      <c r="R54" s="25">
        <v>0</v>
      </c>
      <c r="S54" s="25">
        <v>0</v>
      </c>
      <c r="T54" s="25">
        <v>0</v>
      </c>
      <c r="V54" s="6"/>
    </row>
    <row r="55" spans="2:22" ht="16.5" customHeight="1">
      <c r="B55" s="6"/>
      <c r="C55" s="12">
        <f t="shared" ca="1" si="28"/>
        <v>1</v>
      </c>
      <c r="D55" s="22">
        <f t="shared" ca="1" si="29"/>
        <v>42937</v>
      </c>
      <c r="E55" s="26">
        <f t="shared" si="18"/>
        <v>0</v>
      </c>
      <c r="F55" s="26" t="str">
        <f t="shared" si="19"/>
        <v/>
      </c>
      <c r="G55" s="26">
        <f t="shared" si="20"/>
        <v>1</v>
      </c>
      <c r="H55" s="26">
        <f t="shared" si="21"/>
        <v>0</v>
      </c>
      <c r="I55" s="26">
        <f t="shared" si="22"/>
        <v>1</v>
      </c>
      <c r="J55" s="26">
        <f t="shared" si="23"/>
        <v>1</v>
      </c>
      <c r="L55" s="6"/>
      <c r="M55" s="22">
        <f t="shared" ca="1" si="30"/>
        <v>42937</v>
      </c>
      <c r="N55" s="10" t="str">
        <f t="shared" ca="1" si="27"/>
        <v>Missing Penalty</v>
      </c>
      <c r="O55" s="25">
        <v>10</v>
      </c>
      <c r="P55" s="25"/>
      <c r="Q55" s="25">
        <v>0</v>
      </c>
      <c r="R55" s="25">
        <v>10</v>
      </c>
      <c r="S55" s="25">
        <v>0</v>
      </c>
      <c r="T55" s="25">
        <v>0</v>
      </c>
      <c r="V55" s="6"/>
    </row>
    <row r="56" spans="2:22" ht="16.5" customHeight="1">
      <c r="B56" s="6"/>
      <c r="C56" s="12">
        <f t="shared" ca="1" si="28"/>
        <v>1</v>
      </c>
      <c r="D56" s="22">
        <f t="shared" ca="1" si="29"/>
        <v>42944</v>
      </c>
      <c r="E56" s="26">
        <f t="shared" si="18"/>
        <v>0</v>
      </c>
      <c r="F56" s="26" t="str">
        <f t="shared" si="19"/>
        <v/>
      </c>
      <c r="G56" s="26">
        <f t="shared" si="20"/>
        <v>1</v>
      </c>
      <c r="H56" s="26">
        <f t="shared" si="21"/>
        <v>0</v>
      </c>
      <c r="I56" s="26">
        <f t="shared" si="22"/>
        <v>1</v>
      </c>
      <c r="J56" s="26">
        <f t="shared" si="23"/>
        <v>1</v>
      </c>
      <c r="L56" s="6"/>
      <c r="M56" s="22">
        <f t="shared" ca="1" si="30"/>
        <v>42944</v>
      </c>
      <c r="N56" s="10" t="str">
        <f t="shared" ca="1" si="27"/>
        <v>Missing Penalty</v>
      </c>
      <c r="O56" s="25">
        <v>10</v>
      </c>
      <c r="P56" s="25"/>
      <c r="Q56" s="25">
        <v>0</v>
      </c>
      <c r="R56" s="25">
        <v>10</v>
      </c>
      <c r="S56" s="25">
        <v>0</v>
      </c>
      <c r="T56" s="25">
        <v>0</v>
      </c>
      <c r="V56" s="6"/>
    </row>
    <row r="57" spans="2:22" ht="16.5" customHeight="1">
      <c r="B57" s="6"/>
      <c r="C57" s="12">
        <f t="shared" ca="1" si="28"/>
        <v>1</v>
      </c>
      <c r="D57" s="22">
        <f t="shared" ca="1" si="29"/>
        <v>42951</v>
      </c>
      <c r="E57" s="26">
        <f t="shared" si="18"/>
        <v>0</v>
      </c>
      <c r="F57" s="26" t="str">
        <f t="shared" si="19"/>
        <v/>
      </c>
      <c r="G57" s="26">
        <f t="shared" si="20"/>
        <v>1</v>
      </c>
      <c r="H57" s="26">
        <f t="shared" si="21"/>
        <v>0</v>
      </c>
      <c r="I57" s="26">
        <f t="shared" si="22"/>
        <v>1</v>
      </c>
      <c r="J57" s="26">
        <f t="shared" si="23"/>
        <v>1</v>
      </c>
      <c r="L57" s="6"/>
      <c r="M57" s="22">
        <f t="shared" ca="1" si="30"/>
        <v>42951</v>
      </c>
      <c r="N57" s="10" t="str">
        <f t="shared" ca="1" si="26"/>
        <v>Missing Penalty</v>
      </c>
      <c r="O57" s="25">
        <v>10</v>
      </c>
      <c r="P57" s="25"/>
      <c r="Q57" s="25">
        <v>0</v>
      </c>
      <c r="R57" s="25">
        <v>10</v>
      </c>
      <c r="S57" s="25">
        <v>0</v>
      </c>
      <c r="T57" s="25">
        <v>0</v>
      </c>
      <c r="V57" s="6"/>
    </row>
    <row r="58" spans="2:22" ht="16.5" customHeight="1">
      <c r="B58" s="6"/>
      <c r="C58" s="12">
        <f t="shared" ca="1" si="28"/>
        <v>1</v>
      </c>
      <c r="D58" s="22">
        <f t="shared" ca="1" si="29"/>
        <v>42958</v>
      </c>
      <c r="E58" s="26">
        <f t="shared" si="18"/>
        <v>0</v>
      </c>
      <c r="F58" s="26">
        <f t="shared" si="19"/>
        <v>1</v>
      </c>
      <c r="G58" s="26">
        <f t="shared" si="20"/>
        <v>1</v>
      </c>
      <c r="H58" s="26">
        <f t="shared" si="21"/>
        <v>0</v>
      </c>
      <c r="I58" s="26">
        <f t="shared" si="22"/>
        <v>1</v>
      </c>
      <c r="J58" s="26">
        <f t="shared" si="23"/>
        <v>1</v>
      </c>
      <c r="L58" s="6"/>
      <c r="M58" s="22">
        <f t="shared" ca="1" si="30"/>
        <v>42958</v>
      </c>
      <c r="N58" s="10" t="str">
        <f t="shared" ca="1" si="26"/>
        <v>Missing Penalty</v>
      </c>
      <c r="O58" s="25">
        <v>10</v>
      </c>
      <c r="P58" s="25">
        <v>0</v>
      </c>
      <c r="Q58" s="25">
        <v>0</v>
      </c>
      <c r="R58" s="25">
        <v>10</v>
      </c>
      <c r="S58" s="25">
        <v>0</v>
      </c>
      <c r="T58" s="25">
        <v>0</v>
      </c>
      <c r="V58" s="6"/>
    </row>
    <row r="59" spans="2:22" ht="16.5" customHeight="1">
      <c r="B59" s="6"/>
      <c r="C59" s="12">
        <f t="shared" ca="1" si="28"/>
        <v>1</v>
      </c>
      <c r="D59" s="22">
        <f t="shared" ca="1" si="29"/>
        <v>42965</v>
      </c>
      <c r="E59" s="26">
        <f t="shared" si="18"/>
        <v>0</v>
      </c>
      <c r="F59" s="26" t="str">
        <f t="shared" si="19"/>
        <v/>
      </c>
      <c r="G59" s="26">
        <f t="shared" si="20"/>
        <v>0</v>
      </c>
      <c r="H59" s="26">
        <f t="shared" si="21"/>
        <v>0</v>
      </c>
      <c r="I59" s="26">
        <f t="shared" si="22"/>
        <v>1</v>
      </c>
      <c r="J59" s="26">
        <f t="shared" si="23"/>
        <v>1</v>
      </c>
      <c r="L59" s="6"/>
      <c r="M59" s="22">
        <f t="shared" ca="1" si="30"/>
        <v>42965</v>
      </c>
      <c r="N59" s="10" t="str">
        <f t="shared" ca="1" si="26"/>
        <v>Missing Penalty</v>
      </c>
      <c r="O59" s="25">
        <v>10</v>
      </c>
      <c r="P59" s="25"/>
      <c r="Q59" s="25">
        <v>10</v>
      </c>
      <c r="R59" s="25">
        <v>10</v>
      </c>
      <c r="S59" s="25">
        <v>0</v>
      </c>
      <c r="T59" s="25">
        <v>0</v>
      </c>
      <c r="V59" s="6"/>
    </row>
    <row r="60" spans="2:22">
      <c r="C60" s="12">
        <f t="shared" ca="1" si="28"/>
        <v>1</v>
      </c>
      <c r="D60" s="22">
        <f t="shared" ca="1" si="29"/>
        <v>42972</v>
      </c>
      <c r="E60" s="26">
        <f t="shared" si="18"/>
        <v>1</v>
      </c>
      <c r="F60" s="26" t="str">
        <f t="shared" si="19"/>
        <v/>
      </c>
      <c r="G60" s="26">
        <f t="shared" si="20"/>
        <v>1</v>
      </c>
      <c r="H60" s="26">
        <f t="shared" si="21"/>
        <v>1</v>
      </c>
      <c r="I60" s="26">
        <f t="shared" si="22"/>
        <v>1</v>
      </c>
      <c r="J60" s="26">
        <f t="shared" si="23"/>
        <v>1</v>
      </c>
      <c r="M60" s="22">
        <f t="shared" ca="1" si="30"/>
        <v>42972</v>
      </c>
      <c r="N60" s="10" t="str">
        <f t="shared" ca="1" si="26"/>
        <v>Missing Penalty</v>
      </c>
      <c r="O60" s="25">
        <v>0</v>
      </c>
      <c r="P60" s="25"/>
      <c r="Q60" s="25">
        <v>0</v>
      </c>
      <c r="R60" s="25">
        <v>0</v>
      </c>
      <c r="S60" s="25">
        <v>0</v>
      </c>
      <c r="T60" s="25">
        <v>0</v>
      </c>
      <c r="V60" s="6"/>
    </row>
    <row r="61" spans="2:22">
      <c r="C61" s="12">
        <f t="shared" ca="1" si="28"/>
        <v>1</v>
      </c>
      <c r="D61" s="22">
        <f t="shared" ca="1" si="29"/>
        <v>42979</v>
      </c>
      <c r="E61" s="26">
        <f t="shared" si="18"/>
        <v>1</v>
      </c>
      <c r="F61" s="26" t="str">
        <f t="shared" si="19"/>
        <v/>
      </c>
      <c r="G61" s="26">
        <f t="shared" si="20"/>
        <v>1</v>
      </c>
      <c r="H61" s="26">
        <f t="shared" si="21"/>
        <v>1</v>
      </c>
      <c r="I61" s="26">
        <f t="shared" si="22"/>
        <v>0</v>
      </c>
      <c r="J61" s="26">
        <f t="shared" si="23"/>
        <v>1</v>
      </c>
      <c r="M61" s="22">
        <f t="shared" ca="1" si="30"/>
        <v>42979</v>
      </c>
      <c r="N61" s="10" t="str">
        <f t="shared" ca="1" si="26"/>
        <v>Missing Penalty</v>
      </c>
      <c r="O61" s="25">
        <v>0</v>
      </c>
      <c r="P61" s="25"/>
      <c r="Q61" s="25">
        <v>0</v>
      </c>
      <c r="R61" s="25">
        <v>0</v>
      </c>
      <c r="S61" s="25">
        <v>10</v>
      </c>
      <c r="T61" s="25">
        <v>0</v>
      </c>
      <c r="V61" s="6"/>
    </row>
    <row r="62" spans="2:22">
      <c r="C62" s="12">
        <f t="shared" ca="1" si="28"/>
        <v>1</v>
      </c>
      <c r="D62" s="22">
        <f t="shared" ca="1" si="29"/>
        <v>42986</v>
      </c>
      <c r="E62" s="26">
        <f t="shared" si="18"/>
        <v>1</v>
      </c>
      <c r="F62" s="26" t="str">
        <f t="shared" si="19"/>
        <v/>
      </c>
      <c r="G62" s="26">
        <f t="shared" si="20"/>
        <v>0</v>
      </c>
      <c r="H62" s="26">
        <f t="shared" si="21"/>
        <v>1</v>
      </c>
      <c r="I62" s="26">
        <f t="shared" si="22"/>
        <v>1</v>
      </c>
      <c r="J62" s="26">
        <f t="shared" si="23"/>
        <v>1</v>
      </c>
      <c r="M62" s="22">
        <f t="shared" ca="1" si="30"/>
        <v>42986</v>
      </c>
      <c r="N62" s="10" t="str">
        <f t="shared" ca="1" si="26"/>
        <v>Missing Penalty</v>
      </c>
      <c r="O62" s="25">
        <v>0</v>
      </c>
      <c r="P62" s="25"/>
      <c r="Q62" s="25">
        <v>10</v>
      </c>
      <c r="R62" s="25">
        <v>0</v>
      </c>
      <c r="S62" s="25">
        <v>0</v>
      </c>
      <c r="T62" s="25">
        <v>0</v>
      </c>
      <c r="V62" s="6"/>
    </row>
    <row r="63" spans="2:22">
      <c r="C63" s="12">
        <f t="shared" ca="1" si="28"/>
        <v>1</v>
      </c>
      <c r="D63" s="22">
        <f t="shared" ca="1" si="29"/>
        <v>42993</v>
      </c>
      <c r="E63" s="26">
        <f t="shared" si="18"/>
        <v>1</v>
      </c>
      <c r="F63" s="26" t="str">
        <f t="shared" si="19"/>
        <v/>
      </c>
      <c r="G63" s="26">
        <f t="shared" si="20"/>
        <v>1</v>
      </c>
      <c r="H63" s="26">
        <f t="shared" si="21"/>
        <v>1</v>
      </c>
      <c r="I63" s="26">
        <f t="shared" si="22"/>
        <v>0</v>
      </c>
      <c r="J63" s="26">
        <f t="shared" si="23"/>
        <v>1</v>
      </c>
      <c r="M63" s="22">
        <f t="shared" ca="1" si="30"/>
        <v>42993</v>
      </c>
      <c r="N63" s="10" t="str">
        <f t="shared" ca="1" si="26"/>
        <v>Missing Penalty</v>
      </c>
      <c r="O63" s="25">
        <v>0</v>
      </c>
      <c r="P63" s="25"/>
      <c r="Q63" s="25">
        <v>0</v>
      </c>
      <c r="R63" s="25">
        <v>0</v>
      </c>
      <c r="S63" s="25">
        <v>10</v>
      </c>
      <c r="T63" s="25">
        <v>0</v>
      </c>
      <c r="V63" s="6"/>
    </row>
    <row r="64" spans="2:22">
      <c r="C64" s="12">
        <f t="shared" ca="1" si="28"/>
        <v>1</v>
      </c>
      <c r="D64" s="22">
        <f t="shared" ca="1" si="29"/>
        <v>43000</v>
      </c>
      <c r="E64" s="26">
        <f t="shared" si="18"/>
        <v>1</v>
      </c>
      <c r="F64" s="26" t="str">
        <f t="shared" si="19"/>
        <v/>
      </c>
      <c r="G64" s="26">
        <f t="shared" si="20"/>
        <v>1</v>
      </c>
      <c r="H64" s="26">
        <f t="shared" si="21"/>
        <v>1</v>
      </c>
      <c r="I64" s="26">
        <f t="shared" si="22"/>
        <v>1</v>
      </c>
      <c r="J64" s="26">
        <f t="shared" si="23"/>
        <v>1</v>
      </c>
      <c r="M64" s="22">
        <f t="shared" ca="1" si="30"/>
        <v>43000</v>
      </c>
      <c r="N64" s="10" t="str">
        <f t="shared" ca="1" si="26"/>
        <v>Missing Penalty</v>
      </c>
      <c r="O64" s="25">
        <v>0</v>
      </c>
      <c r="P64" s="25"/>
      <c r="Q64" s="25">
        <v>0</v>
      </c>
      <c r="R64" s="25">
        <v>0</v>
      </c>
      <c r="S64" s="25">
        <v>0</v>
      </c>
      <c r="T64" s="25">
        <v>0</v>
      </c>
      <c r="V64" s="6"/>
    </row>
    <row r="65" spans="3:22">
      <c r="C65" s="12">
        <f t="shared" ca="1" si="28"/>
        <v>1</v>
      </c>
      <c r="D65" s="22">
        <f t="shared" ca="1" si="29"/>
        <v>43007</v>
      </c>
      <c r="E65" s="26">
        <f t="shared" si="18"/>
        <v>1</v>
      </c>
      <c r="F65" s="26" t="str">
        <f t="shared" si="19"/>
        <v/>
      </c>
      <c r="G65" s="26">
        <f t="shared" si="20"/>
        <v>0</v>
      </c>
      <c r="H65" s="26">
        <f t="shared" si="21"/>
        <v>1</v>
      </c>
      <c r="I65" s="26">
        <f t="shared" si="22"/>
        <v>1</v>
      </c>
      <c r="J65" s="26">
        <f t="shared" si="23"/>
        <v>1</v>
      </c>
      <c r="M65" s="22">
        <f t="shared" ca="1" si="30"/>
        <v>43007</v>
      </c>
      <c r="N65" s="10" t="str">
        <f t="shared" ca="1" si="26"/>
        <v>Missing Penalty</v>
      </c>
      <c r="O65" s="25">
        <v>0</v>
      </c>
      <c r="P65" s="25"/>
      <c r="Q65" s="25">
        <v>10</v>
      </c>
      <c r="R65" s="25">
        <v>0</v>
      </c>
      <c r="S65" s="25">
        <v>0</v>
      </c>
      <c r="T65" s="25">
        <v>0</v>
      </c>
      <c r="V65" s="6"/>
    </row>
    <row r="66" spans="3:22">
      <c r="C66" s="12">
        <f t="shared" ca="1" si="28"/>
        <v>1</v>
      </c>
      <c r="D66" s="22">
        <f t="shared" ca="1" si="29"/>
        <v>43014</v>
      </c>
      <c r="E66" s="26">
        <f t="shared" si="18"/>
        <v>1</v>
      </c>
      <c r="F66" s="26" t="str">
        <f t="shared" si="19"/>
        <v/>
      </c>
      <c r="G66" s="26">
        <f t="shared" si="20"/>
        <v>1</v>
      </c>
      <c r="H66" s="26">
        <f t="shared" si="21"/>
        <v>1</v>
      </c>
      <c r="I66" s="26">
        <f t="shared" si="22"/>
        <v>0</v>
      </c>
      <c r="J66" s="26">
        <f t="shared" si="23"/>
        <v>1</v>
      </c>
      <c r="M66" s="22">
        <f t="shared" ca="1" si="30"/>
        <v>43014</v>
      </c>
      <c r="N66" s="10" t="str">
        <f t="shared" ca="1" si="26"/>
        <v>Missing Penalty</v>
      </c>
      <c r="O66" s="25">
        <v>0</v>
      </c>
      <c r="P66" s="25"/>
      <c r="Q66" s="25">
        <v>0</v>
      </c>
      <c r="R66" s="25">
        <v>0</v>
      </c>
      <c r="S66" s="25">
        <v>10</v>
      </c>
      <c r="T66" s="25">
        <v>0</v>
      </c>
      <c r="V66" s="6"/>
    </row>
    <row r="67" spans="3:22">
      <c r="C67" s="12">
        <f t="shared" ca="1" si="28"/>
        <v>1</v>
      </c>
      <c r="D67" s="22">
        <f t="shared" ca="1" si="29"/>
        <v>43021</v>
      </c>
      <c r="E67" s="26">
        <f t="shared" si="18"/>
        <v>1</v>
      </c>
      <c r="F67" s="26" t="str">
        <f t="shared" si="19"/>
        <v/>
      </c>
      <c r="G67" s="26">
        <f t="shared" si="20"/>
        <v>0</v>
      </c>
      <c r="H67" s="26">
        <f t="shared" si="21"/>
        <v>0</v>
      </c>
      <c r="I67" s="26">
        <f t="shared" si="22"/>
        <v>1</v>
      </c>
      <c r="J67" s="26">
        <f t="shared" si="23"/>
        <v>1</v>
      </c>
      <c r="M67" s="22">
        <f t="shared" ca="1" si="30"/>
        <v>43021</v>
      </c>
      <c r="N67" s="10" t="str">
        <f t="shared" ca="1" si="26"/>
        <v>Missing Penalty</v>
      </c>
      <c r="O67" s="25">
        <v>0</v>
      </c>
      <c r="P67" s="25"/>
      <c r="Q67" s="25">
        <v>10</v>
      </c>
      <c r="R67" s="25">
        <v>10</v>
      </c>
      <c r="S67" s="25">
        <v>0</v>
      </c>
      <c r="T67" s="25">
        <v>0</v>
      </c>
      <c r="V67" s="6"/>
    </row>
    <row r="68" spans="3:22">
      <c r="C68" s="12">
        <f t="shared" ca="1" si="28"/>
        <v>1</v>
      </c>
      <c r="D68" s="22">
        <f t="shared" ca="1" si="29"/>
        <v>43028</v>
      </c>
      <c r="E68" s="26">
        <f t="shared" si="18"/>
        <v>1</v>
      </c>
      <c r="F68" s="26" t="str">
        <f t="shared" si="19"/>
        <v/>
      </c>
      <c r="G68" s="26">
        <f t="shared" si="20"/>
        <v>1</v>
      </c>
      <c r="H68" s="26">
        <f t="shared" si="21"/>
        <v>1</v>
      </c>
      <c r="I68" s="26">
        <f t="shared" si="22"/>
        <v>1</v>
      </c>
      <c r="J68" s="26">
        <f t="shared" si="23"/>
        <v>1</v>
      </c>
      <c r="M68" s="22">
        <f t="shared" ca="1" si="30"/>
        <v>43028</v>
      </c>
      <c r="N68" s="10" t="str">
        <f t="shared" ca="1" si="26"/>
        <v>Missing Penalty</v>
      </c>
      <c r="O68" s="25">
        <v>0</v>
      </c>
      <c r="P68" s="25"/>
      <c r="Q68" s="25">
        <v>0</v>
      </c>
      <c r="R68" s="25">
        <v>0</v>
      </c>
      <c r="S68" s="25">
        <v>0</v>
      </c>
      <c r="T68" s="25">
        <v>0</v>
      </c>
      <c r="V68" s="6"/>
    </row>
    <row r="69" spans="3:22">
      <c r="C69" s="12">
        <f t="shared" ca="1" si="28"/>
        <v>1</v>
      </c>
      <c r="D69" s="22">
        <f t="shared" ca="1" si="29"/>
        <v>43035</v>
      </c>
      <c r="E69" s="26">
        <f t="shared" si="18"/>
        <v>0</v>
      </c>
      <c r="F69" s="26" t="str">
        <f t="shared" si="19"/>
        <v/>
      </c>
      <c r="G69" s="26">
        <f t="shared" si="20"/>
        <v>1</v>
      </c>
      <c r="H69" s="26">
        <f t="shared" si="21"/>
        <v>1</v>
      </c>
      <c r="I69" s="26">
        <f t="shared" si="22"/>
        <v>1</v>
      </c>
      <c r="J69" s="26">
        <f t="shared" si="23"/>
        <v>0</v>
      </c>
      <c r="M69" s="22">
        <f t="shared" ca="1" si="30"/>
        <v>43035</v>
      </c>
      <c r="N69" s="10" t="str">
        <f t="shared" ca="1" si="26"/>
        <v>Missing Penalty</v>
      </c>
      <c r="O69" s="25">
        <v>10</v>
      </c>
      <c r="P69" s="25"/>
      <c r="Q69" s="25">
        <v>0</v>
      </c>
      <c r="R69" s="25">
        <v>0</v>
      </c>
      <c r="S69" s="25">
        <v>0</v>
      </c>
      <c r="T69" s="25">
        <v>10</v>
      </c>
      <c r="V69" s="6"/>
    </row>
    <row r="70" spans="3:22">
      <c r="C70" s="12">
        <f t="shared" ca="1" si="28"/>
        <v>1</v>
      </c>
      <c r="D70" s="22">
        <f t="shared" ca="1" si="29"/>
        <v>43042</v>
      </c>
      <c r="E70" s="26">
        <f t="shared" si="18"/>
        <v>1</v>
      </c>
      <c r="F70" s="26" t="str">
        <f t="shared" si="19"/>
        <v/>
      </c>
      <c r="G70" s="26">
        <f t="shared" si="20"/>
        <v>1</v>
      </c>
      <c r="H70" s="26">
        <f t="shared" si="21"/>
        <v>0</v>
      </c>
      <c r="I70" s="26">
        <f t="shared" si="22"/>
        <v>1</v>
      </c>
      <c r="J70" s="26">
        <f t="shared" si="23"/>
        <v>1</v>
      </c>
      <c r="M70" s="22">
        <f t="shared" ca="1" si="30"/>
        <v>43042</v>
      </c>
      <c r="N70" s="10" t="str">
        <f t="shared" ca="1" si="26"/>
        <v>Missing Penalty</v>
      </c>
      <c r="O70" s="25">
        <v>0</v>
      </c>
      <c r="P70" s="25"/>
      <c r="Q70" s="25">
        <v>0</v>
      </c>
      <c r="R70" s="25">
        <v>10</v>
      </c>
      <c r="S70" s="25">
        <v>0</v>
      </c>
      <c r="T70" s="25">
        <v>0</v>
      </c>
      <c r="V70" s="6"/>
    </row>
    <row r="71" spans="3:22">
      <c r="C71" s="12">
        <f t="shared" ca="1" si="28"/>
        <v>1</v>
      </c>
      <c r="D71" s="22">
        <f t="shared" ca="1" si="29"/>
        <v>43049</v>
      </c>
      <c r="E71" s="26">
        <f t="shared" si="18"/>
        <v>0</v>
      </c>
      <c r="F71" s="26" t="str">
        <f t="shared" si="19"/>
        <v/>
      </c>
      <c r="G71" s="26">
        <f t="shared" si="20"/>
        <v>1</v>
      </c>
      <c r="H71" s="26">
        <f t="shared" si="21"/>
        <v>1</v>
      </c>
      <c r="I71" s="26">
        <f t="shared" si="22"/>
        <v>1</v>
      </c>
      <c r="J71" s="26">
        <f t="shared" si="23"/>
        <v>1</v>
      </c>
      <c r="M71" s="22">
        <f t="shared" ca="1" si="30"/>
        <v>43049</v>
      </c>
      <c r="N71" s="10" t="str">
        <f t="shared" ca="1" si="26"/>
        <v>Missing Penalty</v>
      </c>
      <c r="O71" s="25">
        <v>10</v>
      </c>
      <c r="P71" s="25"/>
      <c r="Q71" s="25">
        <v>0</v>
      </c>
      <c r="R71" s="25">
        <v>0</v>
      </c>
      <c r="S71" s="25">
        <v>0</v>
      </c>
      <c r="T71" s="25">
        <v>0</v>
      </c>
      <c r="V71" s="6"/>
    </row>
    <row r="72" spans="3:22">
      <c r="C72" s="12">
        <f t="shared" ca="1" si="28"/>
        <v>1</v>
      </c>
      <c r="D72" s="22">
        <f t="shared" ca="1" si="29"/>
        <v>43056</v>
      </c>
      <c r="E72" s="26">
        <f t="shared" si="18"/>
        <v>0</v>
      </c>
      <c r="F72" s="26" t="str">
        <f t="shared" si="19"/>
        <v/>
      </c>
      <c r="G72" s="26">
        <f t="shared" si="20"/>
        <v>0</v>
      </c>
      <c r="H72" s="26">
        <f t="shared" si="21"/>
        <v>0</v>
      </c>
      <c r="I72" s="26">
        <f t="shared" si="22"/>
        <v>0</v>
      </c>
      <c r="J72" s="26">
        <f t="shared" si="23"/>
        <v>0</v>
      </c>
      <c r="M72" s="22">
        <f t="shared" ca="1" si="30"/>
        <v>43056</v>
      </c>
      <c r="N72" s="10" t="str">
        <f t="shared" ca="1" si="26"/>
        <v>Missing Penalty</v>
      </c>
      <c r="O72" s="25">
        <v>10</v>
      </c>
      <c r="P72" s="25"/>
      <c r="Q72" s="25">
        <v>10</v>
      </c>
      <c r="R72" s="25">
        <v>10</v>
      </c>
      <c r="S72" s="25">
        <v>10</v>
      </c>
      <c r="T72" s="25">
        <v>10</v>
      </c>
      <c r="V72" s="6"/>
    </row>
    <row r="73" spans="3:22">
      <c r="C73" s="12">
        <f t="shared" ca="1" si="28"/>
        <v>1</v>
      </c>
      <c r="D73" s="22">
        <f t="shared" ca="1" si="29"/>
        <v>43063</v>
      </c>
      <c r="E73" s="26">
        <f t="shared" si="18"/>
        <v>1</v>
      </c>
      <c r="F73" s="26">
        <f t="shared" si="19"/>
        <v>1</v>
      </c>
      <c r="G73" s="26">
        <f t="shared" si="20"/>
        <v>1</v>
      </c>
      <c r="H73" s="26">
        <f t="shared" si="21"/>
        <v>1</v>
      </c>
      <c r="I73" s="26">
        <f t="shared" si="22"/>
        <v>1</v>
      </c>
      <c r="J73" s="26">
        <f t="shared" si="23"/>
        <v>1</v>
      </c>
      <c r="M73" s="22">
        <f t="shared" ca="1" si="30"/>
        <v>43063</v>
      </c>
      <c r="N73" s="10" t="str">
        <f t="shared" ca="1" si="26"/>
        <v>Missing Penalty</v>
      </c>
      <c r="O73" s="25">
        <v>0</v>
      </c>
      <c r="P73" s="25">
        <v>0</v>
      </c>
      <c r="Q73" s="25">
        <v>0</v>
      </c>
      <c r="R73" s="25">
        <v>0</v>
      </c>
      <c r="S73" s="25">
        <v>0</v>
      </c>
      <c r="T73" s="25">
        <v>0</v>
      </c>
      <c r="V73" s="6"/>
    </row>
  </sheetData>
  <conditionalFormatting sqref="O24:T73">
    <cfRule type="cellIs" dxfId="7" priority="7" operator="equal">
      <formula>0</formula>
    </cfRule>
    <cfRule type="cellIs" dxfId="6" priority="8" operator="greaterThan">
      <formula>0</formula>
    </cfRule>
  </conditionalFormatting>
  <conditionalFormatting sqref="E42:J73">
    <cfRule type="cellIs" dxfId="3" priority="3" operator="equal">
      <formula>0</formula>
    </cfRule>
  </conditionalFormatting>
  <conditionalFormatting sqref="E42:J73">
    <cfRule type="cellIs" dxfId="2" priority="4" operator="equal">
      <formula>1</formula>
    </cfRule>
  </conditionalFormatting>
  <conditionalFormatting sqref="E25:J40">
    <cfRule type="cellIs" dxfId="1" priority="1" operator="equal">
      <formula>0</formula>
    </cfRule>
  </conditionalFormatting>
  <conditionalFormatting sqref="E25:J40">
    <cfRule type="cellIs" dxfId="0" priority="2" operator="equal">
      <formula>1</formula>
    </cfRule>
  </conditionalFormatting>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80765981B40D49A7A5CDAD68E19309" ma:contentTypeVersion="12" ma:contentTypeDescription="Create a new document." ma:contentTypeScope="" ma:versionID="03a23787cbab1c364b4a6febfaaf79b9">
  <xsd:schema xmlns:xsd="http://www.w3.org/2001/XMLSchema" xmlns:xs="http://www.w3.org/2001/XMLSchema" xmlns:p="http://schemas.microsoft.com/office/2006/metadata/properties" xmlns:ns3="c16ae34b-78ae-47ec-a8be-856f1f85e6de" xmlns:ns4="5dba4941-8b86-4e5a-8b12-62b8720636f8" targetNamespace="http://schemas.microsoft.com/office/2006/metadata/properties" ma:root="true" ma:fieldsID="3fc98b2f877bbb76983453a61d0cc806" ns3:_="" ns4:_="">
    <xsd:import namespace="c16ae34b-78ae-47ec-a8be-856f1f85e6de"/>
    <xsd:import namespace="5dba4941-8b86-4e5a-8b12-62b8720636f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_activity" minOccurs="0"/>
                <xsd:element ref="ns4:MediaServiceDateTake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6ae34b-78ae-47ec-a8be-856f1f85e6d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dba4941-8b86-4e5a-8b12-62b8720636f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5dba4941-8b86-4e5a-8b12-62b8720636f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DF21B1-6A58-4BA8-B755-95785E8984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6ae34b-78ae-47ec-a8be-856f1f85e6de"/>
    <ds:schemaRef ds:uri="5dba4941-8b86-4e5a-8b12-62b8720636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FF3EAF-130C-499E-8A00-F2AD978009EE}">
  <ds:schemaRefs>
    <ds:schemaRef ds:uri="5dba4941-8b86-4e5a-8b12-62b8720636f8"/>
    <ds:schemaRef ds:uri="http://schemas.microsoft.com/office/2006/documentManagement/types"/>
    <ds:schemaRef ds:uri="http://purl.org/dc/elements/1.1/"/>
    <ds:schemaRef ds:uri="http://www.w3.org/XML/1998/namespace"/>
    <ds:schemaRef ds:uri="http://purl.org/dc/terms/"/>
    <ds:schemaRef ds:uri="http://schemas.microsoft.com/office/infopath/2007/PartnerControls"/>
    <ds:schemaRef ds:uri="http://schemas.openxmlformats.org/package/2006/metadata/core-properties"/>
    <ds:schemaRef ds:uri="c16ae34b-78ae-47ec-a8be-856f1f85e6de"/>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6A87608E-47B1-4D93-8093-56F867166C7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Graphs</vt:lpstr>
      <vt:lpstr>Stats 2026</vt:lpstr>
      <vt:lpstr>All-time DF Stats</vt:lpstr>
      <vt:lpstr>Executive Summary für dä JWU</vt:lpstr>
      <vt:lpstr>Participation</vt:lpstr>
      <vt:lpstr>CBO Behauptet</vt:lpstr>
      <vt:lpstr>Wär isch dä Bescht</vt:lpstr>
      <vt:lpstr>Stats 2025</vt:lpstr>
      <vt:lpstr>Stats 2024</vt:lpstr>
      <vt:lpstr>Stats 2023</vt:lpstr>
      <vt:lpstr>Stats 2022</vt:lpstr>
      <vt:lpstr>Stats 2021</vt:lpstr>
      <vt:lpstr>Stats 2020</vt:lpstr>
      <vt:lpstr>Stats 2019</vt:lpstr>
      <vt:lpstr>Stats 2018</vt:lpstr>
      <vt:lpstr>Stats 2017</vt:lpstr>
    </vt:vector>
  </TitlesOfParts>
  <Company>mediait.ch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Wuillemin Joel</dc:creator>
  <cp:lastModifiedBy>Matthias Storz</cp:lastModifiedBy>
  <dcterms:created xsi:type="dcterms:W3CDTF">2016-04-19T12:52:17Z</dcterms:created>
  <dcterms:modified xsi:type="dcterms:W3CDTF">2026-10-24T07:58:27Z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IQPDocumentId">
    <vt:lpwstr>f68c3597-7415-4db4-b965-892b89c8a563</vt:lpwstr>
  </property>
  <property fmtid="{D5CDD505-2E9C-101B-9397-08002B2CF9AE}" pid="3" name="_NewReviewCycle">
    <vt:lpwstr/>
  </property>
  <property fmtid="{D5CDD505-2E9C-101B-9397-08002B2CF9AE}" pid="4" name="_SIProp12DataClass+304a34c9-5b17-4e2a-bdc3-dec6a43f35e7">
    <vt:lpwstr>v=1.2&gt;I=304a34c9-5b17-4e2a-bdc3-dec6a43f35e7&amp;N=Unrestricted&amp;V=1.3&amp;U=S-1-5-21-3718294971-3193642644-4012788348-593487&amp;D=Storz%2c+Matthias+(WJPA+9)&amp;A=Associated&amp;H=False</vt:lpwstr>
  </property>
  <property fmtid="{D5CDD505-2E9C-101B-9397-08002B2CF9AE}" pid="5" name="Classification">
    <vt:lpwstr>Unrestricted</vt:lpwstr>
  </property>
  <property fmtid="{D5CDD505-2E9C-101B-9397-08002B2CF9AE}" pid="6" name="ContentTypeId">
    <vt:lpwstr>0x010100A480765981B40D49A7A5CDAD68E19309</vt:lpwstr>
  </property>
  <property fmtid="{D5CDD505-2E9C-101B-9397-08002B2CF9AE}" pid="7" name="MSIP_Label_f2e75c35-086a-43e5-9d36-8395f0217eb6_Enabled">
    <vt:lpwstr>true</vt:lpwstr>
  </property>
  <property fmtid="{D5CDD505-2E9C-101B-9397-08002B2CF9AE}" pid="8" name="MSIP_Label_f2e75c35-086a-43e5-9d36-8395f0217eb6_SetDate">
    <vt:lpwstr>2026-07-20T14:17:17Z</vt:lpwstr>
  </property>
  <property fmtid="{D5CDD505-2E9C-101B-9397-08002B2CF9AE}" pid="9" name="MSIP_Label_f2e75c35-086a-43e5-9d36-8395f0217eb6_Method">
    <vt:lpwstr>Privileged</vt:lpwstr>
  </property>
  <property fmtid="{D5CDD505-2E9C-101B-9397-08002B2CF9AE}" pid="10" name="MSIP_Label_f2e75c35-086a-43e5-9d36-8395f0217eb6_Name">
    <vt:lpwstr>f2e75c35-086a-43e5-9d36-8395f0217eb6</vt:lpwstr>
  </property>
  <property fmtid="{D5CDD505-2E9C-101B-9397-08002B2CF9AE}" pid="11" name="MSIP_Label_f2e75c35-086a-43e5-9d36-8395f0217eb6_SiteId">
    <vt:lpwstr>ce44b3bf-8688-466f-b7fe-45d4fca206fe</vt:lpwstr>
  </property>
  <property fmtid="{D5CDD505-2E9C-101B-9397-08002B2CF9AE}" pid="12" name="MSIP_Label_f2e75c35-086a-43e5-9d36-8395f0217eb6_ActionId">
    <vt:lpwstr>9e22b7b3-692f-402d-813c-ca5757094536</vt:lpwstr>
  </property>
  <property fmtid="{D5CDD505-2E9C-101B-9397-08002B2CF9AE}" pid="13" name="MSIP_Label_f2e75c35-086a-43e5-9d36-8395f0217eb6_ContentBits">
    <vt:lpwstr>0</vt:lpwstr>
  </property>
  <property fmtid="{D5CDD505-2E9C-101B-9397-08002B2CF9AE}" pid="14" name="MSIP_Label_f2e75c35-086a-43e5-9d36-8395f0217eb6_Tag">
    <vt:lpwstr>10, 0, 1, 1</vt:lpwstr>
  </property>
</Properties>
</file>