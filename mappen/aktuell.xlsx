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C:\Users\Matth\Desktop\"/>
    </mc:Choice>
  </mc:AlternateContent>
  <xr:revisionPtr revIDLastSave="0" documentId="13_ncr:1_{3EC0CF8D-D6B9-4425-844E-D5D9FF4EED47}" xr6:coauthVersionLast="47" xr6:coauthVersionMax="47" xr10:uidLastSave="{00000000-0000-0000-0000-000000000000}"/>
  <bookViews>
    <workbookView xWindow="-103" yWindow="-103" windowWidth="27977" windowHeight="18274"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Participation!$A$1:$G$402</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71" i="18" l="1"/>
  <c r="M70" i="18"/>
  <c r="M69" i="18"/>
  <c r="M68" i="18"/>
  <c r="M67" i="18"/>
  <c r="M66" i="18"/>
  <c r="E63" i="18"/>
  <c r="M63" i="18"/>
  <c r="M62" i="18"/>
  <c r="M59" i="18" l="1"/>
  <c r="M60" i="18" s="1"/>
  <c r="M61" i="18" s="1"/>
  <c r="D61" i="18" s="1"/>
  <c r="C61" i="18" s="1"/>
  <c r="M56" i="18"/>
  <c r="M54" i="18"/>
  <c r="M55" i="18" s="1"/>
  <c r="D55" i="18" s="1"/>
  <c r="C55" i="18" s="1"/>
  <c r="M53" i="18"/>
  <c r="O20" i="18"/>
  <c r="P35" i="18"/>
  <c r="M52" i="18"/>
  <c r="D52" i="18"/>
  <c r="C52" i="18" s="1"/>
  <c r="S49" i="18"/>
  <c r="T51" i="18"/>
  <c r="T38" i="18"/>
  <c r="T25" i="18"/>
  <c r="P27" i="18"/>
  <c r="S32" i="18"/>
  <c r="M51" i="18"/>
  <c r="P4" i="4"/>
  <c r="P5" i="4" s="1"/>
  <c r="P6" i="4" s="1"/>
  <c r="P7" i="4" s="1"/>
  <c r="Q2" i="4"/>
  <c r="M50" i="18"/>
  <c r="M49" i="18"/>
  <c r="BU8" i="3"/>
  <c r="BT8" i="3"/>
  <c r="BP8" i="3"/>
  <c r="M48" i="18"/>
  <c r="M47" i="18"/>
  <c r="M46" i="18"/>
  <c r="D46" i="18" s="1"/>
  <c r="C46" i="18" s="1"/>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D47" i="18"/>
  <c r="C47" i="18" s="1"/>
  <c r="E47" i="18"/>
  <c r="F47" i="18"/>
  <c r="G47" i="18"/>
  <c r="H47" i="18"/>
  <c r="I47" i="18"/>
  <c r="J47" i="18"/>
  <c r="D48" i="18"/>
  <c r="C48" i="18" s="1"/>
  <c r="E48" i="18"/>
  <c r="F48" i="18"/>
  <c r="G48" i="18"/>
  <c r="H48" i="18"/>
  <c r="I48" i="18"/>
  <c r="J48" i="18"/>
  <c r="D50" i="18"/>
  <c r="C50" i="18" s="1"/>
  <c r="E50" i="18"/>
  <c r="F50" i="18"/>
  <c r="G50" i="18"/>
  <c r="H50" i="18"/>
  <c r="I50" i="18"/>
  <c r="J50" i="18"/>
  <c r="E52" i="18"/>
  <c r="F52" i="18"/>
  <c r="G52" i="18"/>
  <c r="H52" i="18"/>
  <c r="I52" i="18"/>
  <c r="J52" i="18"/>
  <c r="D53" i="18"/>
  <c r="C53" i="18" s="1"/>
  <c r="E53" i="18"/>
  <c r="F53" i="18"/>
  <c r="G53" i="18"/>
  <c r="H53" i="18"/>
  <c r="I53" i="18"/>
  <c r="J53" i="18"/>
  <c r="D54" i="18"/>
  <c r="C54" i="18" s="1"/>
  <c r="E54" i="18"/>
  <c r="F54" i="18"/>
  <c r="G54" i="18"/>
  <c r="H54" i="18"/>
  <c r="I54" i="18"/>
  <c r="J54" i="18"/>
  <c r="E55" i="18"/>
  <c r="F55" i="18"/>
  <c r="G55" i="18"/>
  <c r="H55" i="18"/>
  <c r="I55" i="18"/>
  <c r="J55" i="18"/>
  <c r="D56" i="18"/>
  <c r="C56" i="18" s="1"/>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D62" i="18"/>
  <c r="C62" i="18" s="1"/>
  <c r="E62" i="18"/>
  <c r="F62" i="18"/>
  <c r="G62" i="18"/>
  <c r="H62" i="18"/>
  <c r="I62" i="18"/>
  <c r="J62" i="18"/>
  <c r="D63" i="18"/>
  <c r="C63" i="18" s="1"/>
  <c r="F63" i="18"/>
  <c r="G63" i="18"/>
  <c r="H63" i="18"/>
  <c r="I63" i="18"/>
  <c r="J63" i="18"/>
  <c r="D64" i="18"/>
  <c r="C64" i="18" s="1"/>
  <c r="E64" i="18"/>
  <c r="F64" i="18"/>
  <c r="G64" i="18"/>
  <c r="H64" i="18"/>
  <c r="I64" i="18"/>
  <c r="J64"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D77" i="18"/>
  <c r="C77" i="18" s="1"/>
  <c r="E77" i="18"/>
  <c r="F77" i="18"/>
  <c r="G77" i="18"/>
  <c r="H77" i="18"/>
  <c r="I77" i="18"/>
  <c r="J77" i="18"/>
  <c r="D78" i="18"/>
  <c r="C78" i="18" s="1"/>
  <c r="E78" i="18"/>
  <c r="F78" i="18"/>
  <c r="G78" i="18"/>
  <c r="H78" i="18"/>
  <c r="I78" i="18"/>
  <c r="J78" i="18"/>
  <c r="D79" i="18"/>
  <c r="C79" i="18" s="1"/>
  <c r="E79" i="18"/>
  <c r="F79" i="18"/>
  <c r="G79" i="18"/>
  <c r="H79" i="18"/>
  <c r="I79" i="18"/>
  <c r="J79" i="18"/>
  <c r="D80" i="18"/>
  <c r="C80" i="18" s="1"/>
  <c r="E80" i="18"/>
  <c r="F80" i="18"/>
  <c r="G80" i="18"/>
  <c r="H80" i="18"/>
  <c r="I80" i="18"/>
  <c r="J80" i="18"/>
  <c r="D81" i="18"/>
  <c r="C81" i="18" s="1"/>
  <c r="E81" i="18"/>
  <c r="F81" i="18"/>
  <c r="G81" i="18"/>
  <c r="H81" i="18"/>
  <c r="I81" i="18"/>
  <c r="J81" i="18"/>
  <c r="D82" i="18"/>
  <c r="C82" i="18" s="1"/>
  <c r="E82" i="18"/>
  <c r="F82" i="18"/>
  <c r="G82" i="18"/>
  <c r="H82" i="18"/>
  <c r="I82" i="18"/>
  <c r="J82" i="18"/>
  <c r="D83" i="18"/>
  <c r="C83" i="18" s="1"/>
  <c r="E83" i="18"/>
  <c r="F83" i="18"/>
  <c r="G83" i="18"/>
  <c r="H83" i="18"/>
  <c r="I83" i="18"/>
  <c r="J83" i="18"/>
  <c r="D84" i="18"/>
  <c r="C84" i="18" s="1"/>
  <c r="E84" i="18"/>
  <c r="F84" i="18"/>
  <c r="G84" i="18"/>
  <c r="H84" i="18"/>
  <c r="I84" i="18"/>
  <c r="J84" i="18"/>
  <c r="D85" i="18"/>
  <c r="C85" i="18" s="1"/>
  <c r="E85" i="18"/>
  <c r="F85" i="18"/>
  <c r="G85" i="18"/>
  <c r="H85" i="18"/>
  <c r="I85" i="18"/>
  <c r="J85" i="18"/>
  <c r="D86" i="18"/>
  <c r="C86" i="18" s="1"/>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T20" i="18"/>
  <c r="O13" i="18" s="1"/>
  <c r="M28" i="18"/>
  <c r="AX7" i="3"/>
  <c r="AX6" i="3"/>
  <c r="AX5" i="3"/>
  <c r="AX4" i="3"/>
  <c r="AX3" i="3"/>
  <c r="AX2" i="3"/>
  <c r="P8" i="3"/>
  <c r="J26" i="18"/>
  <c r="E8" i="17"/>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P20" i="18"/>
  <c r="O9" i="18" s="1"/>
  <c r="AY4" i="3"/>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J73" i="17"/>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I20" i="18" l="1"/>
  <c r="S20" i="18"/>
  <c r="O10" i="18" s="1"/>
  <c r="R2" i="4"/>
  <c r="D44" i="18"/>
  <c r="C44" i="18" s="1"/>
  <c r="D41" i="18"/>
  <c r="C41" i="18" s="1"/>
  <c r="D43" i="18"/>
  <c r="C43" i="18" s="1"/>
  <c r="D42" i="18"/>
  <c r="C42" i="18" s="1"/>
  <c r="O12" i="18"/>
  <c r="AY2" i="3"/>
  <c r="E20" i="18"/>
  <c r="D8"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D58" i="18" l="1"/>
  <c r="C58" i="18" s="1"/>
  <c r="AY3" i="3"/>
  <c r="AY9" i="3" s="1"/>
  <c r="O16" i="18"/>
  <c r="W16" i="18" s="1"/>
  <c r="T5" i="18" s="1"/>
  <c r="BT5" i="3"/>
  <c r="BO5" i="3"/>
  <c r="BU5" i="3"/>
  <c r="BP5" i="3"/>
  <c r="BV5" i="3"/>
  <c r="BQ5" i="3"/>
  <c r="BR5" i="3"/>
  <c r="BN5" i="3"/>
  <c r="BS5" i="3"/>
  <c r="D12" i="18"/>
  <c r="AB3" i="3"/>
  <c r="D10" i="18"/>
  <c r="AB2" i="3"/>
  <c r="AB7" i="3"/>
  <c r="D11" i="18"/>
  <c r="AB6" i="3"/>
  <c r="D9" i="18"/>
  <c r="AB4" i="3"/>
  <c r="D13" i="18"/>
  <c r="E17"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9" i="9"/>
  <c r="F400" i="9"/>
  <c r="AD25" i="14"/>
  <c r="AE26" i="14"/>
  <c r="AE27" i="14"/>
  <c r="AE28" i="14"/>
  <c r="AE29" i="14"/>
  <c r="AE30" i="14"/>
  <c r="AE25" i="14"/>
  <c r="AD27" i="14"/>
  <c r="AB26" i="14"/>
  <c r="AB27" i="14" s="1"/>
  <c r="AB28" i="14" s="1"/>
  <c r="AB29" i="14" s="1"/>
  <c r="AB30" i="14" s="1"/>
  <c r="C388" i="9"/>
  <c r="A380" i="9"/>
  <c r="B380" i="9"/>
  <c r="C380" i="9"/>
  <c r="D380" i="9"/>
  <c r="E380" i="9"/>
  <c r="F380" i="9"/>
  <c r="G380" i="9"/>
  <c r="E82" i="14"/>
  <c r="B394" i="9" s="1"/>
  <c r="F82" i="14"/>
  <c r="C394" i="9" s="1"/>
  <c r="G82" i="14"/>
  <c r="D394" i="9" s="1"/>
  <c r="H82" i="14"/>
  <c r="E394" i="9" s="1"/>
  <c r="I82" i="14"/>
  <c r="F394" i="9" s="1"/>
  <c r="J82" i="14"/>
  <c r="G394" i="9" s="1"/>
  <c r="B395" i="9"/>
  <c r="F83" i="14"/>
  <c r="C395" i="9" s="1"/>
  <c r="G83" i="14"/>
  <c r="D395" i="9" s="1"/>
  <c r="H83" i="14"/>
  <c r="E395" i="9" s="1"/>
  <c r="I83" i="14"/>
  <c r="F395" i="9" s="1"/>
  <c r="J83" i="14"/>
  <c r="G395" i="9" s="1"/>
  <c r="E84" i="14"/>
  <c r="B396" i="9" s="1"/>
  <c r="F84" i="14"/>
  <c r="C396" i="9" s="1"/>
  <c r="G84" i="14"/>
  <c r="D396" i="9" s="1"/>
  <c r="H84" i="14"/>
  <c r="E396" i="9" s="1"/>
  <c r="I84" i="14"/>
  <c r="F396" i="9" s="1"/>
  <c r="J84" i="14"/>
  <c r="G396" i="9" s="1"/>
  <c r="E85" i="14"/>
  <c r="B397" i="9" s="1"/>
  <c r="F85" i="14"/>
  <c r="C397" i="9" s="1"/>
  <c r="G85" i="14"/>
  <c r="D397" i="9" s="1"/>
  <c r="H85" i="14"/>
  <c r="E397" i="9" s="1"/>
  <c r="I85" i="14"/>
  <c r="F397" i="9" s="1"/>
  <c r="J85" i="14"/>
  <c r="G397" i="9" s="1"/>
  <c r="B398" i="9"/>
  <c r="C398" i="9"/>
  <c r="D398" i="9"/>
  <c r="E398" i="9"/>
  <c r="F398" i="9"/>
  <c r="G398" i="9"/>
  <c r="F87" i="14"/>
  <c r="G87" i="14"/>
  <c r="H87" i="14"/>
  <c r="I87" i="14"/>
  <c r="J87" i="14"/>
  <c r="B400" i="9"/>
  <c r="F88" i="14"/>
  <c r="C400" i="9" s="1"/>
  <c r="G88" i="14"/>
  <c r="D400" i="9" s="1"/>
  <c r="H88" i="14"/>
  <c r="E400" i="9" s="1"/>
  <c r="I88" i="14"/>
  <c r="J88" i="14"/>
  <c r="G400" i="9" s="1"/>
  <c r="C89" i="14"/>
  <c r="B401" i="9"/>
  <c r="F89" i="14"/>
  <c r="C401" i="9" s="1"/>
  <c r="G89" i="14"/>
  <c r="D401" i="9" s="1"/>
  <c r="H89" i="14"/>
  <c r="E401" i="9" s="1"/>
  <c r="I89" i="14"/>
  <c r="F401" i="9" s="1"/>
  <c r="J89" i="14"/>
  <c r="G401" i="9" s="1"/>
  <c r="C90" i="14"/>
  <c r="E90" i="14"/>
  <c r="F90" i="14"/>
  <c r="C402" i="9" s="1"/>
  <c r="G90" i="14"/>
  <c r="D402" i="9" s="1"/>
  <c r="H90" i="14"/>
  <c r="E402" i="9" s="1"/>
  <c r="I90" i="14"/>
  <c r="F402" i="9" s="1"/>
  <c r="J90" i="14"/>
  <c r="G402"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K349" i="9"/>
  <c r="K350" i="9"/>
  <c r="K351" i="9"/>
  <c r="K352" i="9"/>
  <c r="K353" i="9"/>
  <c r="K354" i="9"/>
  <c r="K355" i="9"/>
  <c r="K356" i="9"/>
  <c r="K357" i="9"/>
  <c r="K358" i="9"/>
  <c r="K359" i="9"/>
  <c r="K360" i="9"/>
  <c r="K361" i="9"/>
  <c r="M38" i="14"/>
  <c r="M39" i="14" s="1"/>
  <c r="AD26" i="14"/>
  <c r="AD28" i="14"/>
  <c r="AD29" i="14"/>
  <c r="AD30" i="14"/>
  <c r="E74" i="14"/>
  <c r="B388" i="9" s="1"/>
  <c r="F74" i="14"/>
  <c r="G74" i="14"/>
  <c r="D388" i="9" s="1"/>
  <c r="H74" i="14"/>
  <c r="E388" i="9" s="1"/>
  <c r="I74" i="14"/>
  <c r="F388" i="9" s="1"/>
  <c r="J74" i="14"/>
  <c r="G388" i="9" s="1"/>
  <c r="E75" i="14"/>
  <c r="B389" i="9" s="1"/>
  <c r="F75" i="14"/>
  <c r="C389" i="9" s="1"/>
  <c r="G75" i="14"/>
  <c r="D389" i="9" s="1"/>
  <c r="H75" i="14"/>
  <c r="E389" i="9" s="1"/>
  <c r="I75" i="14"/>
  <c r="F389" i="9" s="1"/>
  <c r="J75" i="14"/>
  <c r="G389" i="9" s="1"/>
  <c r="E76" i="14"/>
  <c r="B390" i="9" s="1"/>
  <c r="F76" i="14"/>
  <c r="C390" i="9" s="1"/>
  <c r="G76" i="14"/>
  <c r="D390" i="9" s="1"/>
  <c r="H76" i="14"/>
  <c r="E390" i="9" s="1"/>
  <c r="I76" i="14"/>
  <c r="F390" i="9" s="1"/>
  <c r="J76" i="14"/>
  <c r="G390" i="9" s="1"/>
  <c r="E78" i="14"/>
  <c r="B391" i="9" s="1"/>
  <c r="F78" i="14"/>
  <c r="C391" i="9" s="1"/>
  <c r="G78" i="14"/>
  <c r="D391" i="9" s="1"/>
  <c r="H78" i="14"/>
  <c r="E391" i="9" s="1"/>
  <c r="I78" i="14"/>
  <c r="F391" i="9" s="1"/>
  <c r="J78" i="14"/>
  <c r="G391" i="9" s="1"/>
  <c r="E79" i="14"/>
  <c r="B392" i="9" s="1"/>
  <c r="F79" i="14"/>
  <c r="C392" i="9" s="1"/>
  <c r="G79" i="14"/>
  <c r="D392" i="9" s="1"/>
  <c r="H79" i="14"/>
  <c r="E392" i="9" s="1"/>
  <c r="I79" i="14"/>
  <c r="F392" i="9" s="1"/>
  <c r="J79" i="14"/>
  <c r="G392" i="9" s="1"/>
  <c r="E80" i="14"/>
  <c r="B393" i="9" s="1"/>
  <c r="F80" i="14"/>
  <c r="C393" i="9" s="1"/>
  <c r="G80" i="14"/>
  <c r="D393" i="9" s="1"/>
  <c r="H80" i="14"/>
  <c r="E393" i="9" s="1"/>
  <c r="I80" i="14"/>
  <c r="F393" i="9" s="1"/>
  <c r="J80" i="14"/>
  <c r="G393"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1" i="9" s="1"/>
  <c r="F64" i="14"/>
  <c r="C381" i="9" s="1"/>
  <c r="G64" i="14"/>
  <c r="D381" i="9" s="1"/>
  <c r="H64" i="14"/>
  <c r="E381" i="9" s="1"/>
  <c r="I64" i="14"/>
  <c r="F381" i="9" s="1"/>
  <c r="J64" i="14"/>
  <c r="G381" i="9" s="1"/>
  <c r="E66" i="14"/>
  <c r="B382" i="9" s="1"/>
  <c r="F66" i="14"/>
  <c r="C382" i="9" s="1"/>
  <c r="G66" i="14"/>
  <c r="D382" i="9" s="1"/>
  <c r="H66" i="14"/>
  <c r="E382" i="9" s="1"/>
  <c r="I66" i="14"/>
  <c r="F382" i="9" s="1"/>
  <c r="J66" i="14"/>
  <c r="G382" i="9" s="1"/>
  <c r="E67" i="14"/>
  <c r="B383" i="9" s="1"/>
  <c r="F67" i="14"/>
  <c r="C383" i="9" s="1"/>
  <c r="G67" i="14"/>
  <c r="D383" i="9" s="1"/>
  <c r="H67" i="14"/>
  <c r="E383" i="9" s="1"/>
  <c r="I67" i="14"/>
  <c r="F383" i="9" s="1"/>
  <c r="J67" i="14"/>
  <c r="G383" i="9" s="1"/>
  <c r="E68" i="14"/>
  <c r="B384" i="9" s="1"/>
  <c r="F68" i="14"/>
  <c r="C384" i="9" s="1"/>
  <c r="G68" i="14"/>
  <c r="D384" i="9" s="1"/>
  <c r="H68" i="14"/>
  <c r="E384" i="9" s="1"/>
  <c r="I68" i="14"/>
  <c r="F384" i="9" s="1"/>
  <c r="J68" i="14"/>
  <c r="G384" i="9" s="1"/>
  <c r="E69" i="14"/>
  <c r="B385" i="9" s="1"/>
  <c r="F69" i="14"/>
  <c r="C385" i="9" s="1"/>
  <c r="G69" i="14"/>
  <c r="D385" i="9" s="1"/>
  <c r="H69" i="14"/>
  <c r="E385" i="9" s="1"/>
  <c r="I69" i="14"/>
  <c r="F385" i="9" s="1"/>
  <c r="J69" i="14"/>
  <c r="G385" i="9" s="1"/>
  <c r="E70" i="14"/>
  <c r="B386" i="9" s="1"/>
  <c r="F70" i="14"/>
  <c r="C386" i="9" s="1"/>
  <c r="G70" i="14"/>
  <c r="D386" i="9" s="1"/>
  <c r="H70" i="14"/>
  <c r="E386" i="9" s="1"/>
  <c r="I70" i="14"/>
  <c r="F386" i="9" s="1"/>
  <c r="J70" i="14"/>
  <c r="G386" i="9" s="1"/>
  <c r="D72" i="14"/>
  <c r="C72" i="14" s="1"/>
  <c r="E72" i="14"/>
  <c r="B387" i="9" s="1"/>
  <c r="F72" i="14"/>
  <c r="C387" i="9" s="1"/>
  <c r="G72" i="14"/>
  <c r="D387" i="9" s="1"/>
  <c r="H72" i="14"/>
  <c r="E387" i="9" s="1"/>
  <c r="I72" i="14"/>
  <c r="F387" i="9" s="1"/>
  <c r="J72" i="14"/>
  <c r="G387" i="9" s="1"/>
  <c r="J26" i="14"/>
  <c r="I26" i="14"/>
  <c r="H26" i="14"/>
  <c r="G26" i="14"/>
  <c r="F26" i="14"/>
  <c r="E26" i="14"/>
  <c r="M25" i="14"/>
  <c r="M26" i="14" s="1"/>
  <c r="D26" i="14" s="1"/>
  <c r="C26" i="14" s="1"/>
  <c r="J25" i="14"/>
  <c r="I25" i="14"/>
  <c r="H25" i="14"/>
  <c r="G25" i="14"/>
  <c r="F25" i="14"/>
  <c r="E25" i="14"/>
  <c r="C13" i="14"/>
  <c r="C12" i="14"/>
  <c r="C11" i="14"/>
  <c r="C10" i="14"/>
  <c r="C9" i="14"/>
  <c r="C8" i="14"/>
  <c r="A347" i="9"/>
  <c r="K347" i="9" s="1"/>
  <c r="B347" i="9"/>
  <c r="C347" i="9"/>
  <c r="D347" i="9"/>
  <c r="F347" i="9"/>
  <c r="G347" i="9"/>
  <c r="A348" i="9"/>
  <c r="K348" i="9" s="1"/>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D60" i="18" l="1"/>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AB10" i="3"/>
  <c r="G8" i="18"/>
  <c r="G10" i="18"/>
  <c r="G11" i="18"/>
  <c r="G12" i="18"/>
  <c r="G13" i="18"/>
  <c r="D30" i="17"/>
  <c r="M31" i="17"/>
  <c r="D10" i="17"/>
  <c r="E10" i="17" s="1"/>
  <c r="D13" i="17"/>
  <c r="E13" i="17" s="1"/>
  <c r="D9" i="17"/>
  <c r="E9" i="17" s="1"/>
  <c r="D11" i="17"/>
  <c r="E11" i="17" s="1"/>
  <c r="D8" i="17"/>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402" i="9"/>
  <c r="E20" i="14"/>
  <c r="G399" i="9"/>
  <c r="J20" i="14"/>
  <c r="Y2" i="3" s="1"/>
  <c r="F399" i="9"/>
  <c r="I20" i="14"/>
  <c r="Y3" i="3" s="1"/>
  <c r="E399" i="9"/>
  <c r="H20" i="14"/>
  <c r="Y7" i="3" s="1"/>
  <c r="D399" i="9"/>
  <c r="G20" i="14"/>
  <c r="C399" i="9"/>
  <c r="F20" i="14"/>
  <c r="Y6" i="3" s="1"/>
  <c r="A375" i="9"/>
  <c r="M74" i="14"/>
  <c r="M75" i="14" s="1"/>
  <c r="D75" i="14" s="1"/>
  <c r="C75" i="14" s="1"/>
  <c r="A401" i="9"/>
  <c r="A402" i="9"/>
  <c r="Y4" i="3"/>
  <c r="A387" i="9"/>
  <c r="D38" i="14"/>
  <c r="C38" i="14" s="1"/>
  <c r="M40" i="14"/>
  <c r="M41" i="14" s="1"/>
  <c r="D39" i="14"/>
  <c r="C39" i="14" s="1"/>
  <c r="A362" i="9"/>
  <c r="K362" i="9" s="1"/>
  <c r="M59" i="14"/>
  <c r="M60" i="14" s="1"/>
  <c r="M61" i="14" s="1"/>
  <c r="M62" i="14" s="1"/>
  <c r="M63" i="14" s="1"/>
  <c r="M64" i="14" s="1"/>
  <c r="C44" i="14"/>
  <c r="A363" i="9"/>
  <c r="K363" i="9" s="1"/>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D31" i="18" l="1"/>
  <c r="C31" i="18" s="1"/>
  <c r="M32" i="17"/>
  <c r="D31" i="17"/>
  <c r="C31" i="17" s="1"/>
  <c r="D52" i="17"/>
  <c r="C52" i="17" s="1"/>
  <c r="D55" i="16"/>
  <c r="C55" i="16" s="1"/>
  <c r="M56" i="16"/>
  <c r="D36" i="16"/>
  <c r="C36" i="16" s="1"/>
  <c r="M37" i="16"/>
  <c r="D37" i="16" s="1"/>
  <c r="C37" i="16" s="1"/>
  <c r="M30" i="16"/>
  <c r="D29" i="16"/>
  <c r="C29" i="16" s="1"/>
  <c r="M76" i="14"/>
  <c r="D74" i="14"/>
  <c r="A389" i="9"/>
  <c r="AE31" i="14"/>
  <c r="D40" i="14"/>
  <c r="C40" i="14" s="1"/>
  <c r="C74" i="14"/>
  <c r="A388"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K332" i="9" s="1"/>
  <c r="D60" i="11"/>
  <c r="A333" i="9" s="1"/>
  <c r="K333" i="9" s="1"/>
  <c r="D62" i="11"/>
  <c r="A334" i="9" s="1"/>
  <c r="K334" i="9" s="1"/>
  <c r="D63" i="11"/>
  <c r="A335" i="9" s="1"/>
  <c r="K335" i="9" s="1"/>
  <c r="D64" i="11"/>
  <c r="A336" i="9" s="1"/>
  <c r="K336" i="9" s="1"/>
  <c r="D65" i="11"/>
  <c r="A337" i="9" s="1"/>
  <c r="K337" i="9" s="1"/>
  <c r="D67" i="11"/>
  <c r="A338" i="9" s="1"/>
  <c r="K338" i="9" s="1"/>
  <c r="D69" i="11"/>
  <c r="A339" i="9" s="1"/>
  <c r="K339" i="9" s="1"/>
  <c r="D70" i="11"/>
  <c r="A340" i="9" s="1"/>
  <c r="K340" i="9" s="1"/>
  <c r="D71" i="11"/>
  <c r="A341" i="9" s="1"/>
  <c r="K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K301" i="9" s="1"/>
  <c r="B301" i="9"/>
  <c r="C301" i="9"/>
  <c r="D301" i="9"/>
  <c r="E301" i="9"/>
  <c r="F301" i="9"/>
  <c r="G301" i="9"/>
  <c r="A302" i="9"/>
  <c r="K302" i="9" s="1"/>
  <c r="B302" i="9"/>
  <c r="C302" i="9"/>
  <c r="D302" i="9"/>
  <c r="E302" i="9"/>
  <c r="F302" i="9"/>
  <c r="G302" i="9"/>
  <c r="E70" i="10"/>
  <c r="M70" i="10"/>
  <c r="M71" i="10" s="1"/>
  <c r="A300" i="9"/>
  <c r="K300" i="9" s="1"/>
  <c r="B300" i="9"/>
  <c r="C300" i="9"/>
  <c r="D300" i="9"/>
  <c r="E300" i="9"/>
  <c r="F300" i="9"/>
  <c r="G300" i="9"/>
  <c r="M69" i="10"/>
  <c r="A299" i="9"/>
  <c r="K299" i="9" s="1"/>
  <c r="B299" i="9"/>
  <c r="C299" i="9"/>
  <c r="D299" i="9"/>
  <c r="E299" i="9"/>
  <c r="F299" i="9"/>
  <c r="G299" i="9"/>
  <c r="M68" i="10"/>
  <c r="A298" i="9"/>
  <c r="K298" i="9" s="1"/>
  <c r="B298" i="9"/>
  <c r="C298" i="9"/>
  <c r="D298" i="9"/>
  <c r="E298" i="9"/>
  <c r="F298" i="9"/>
  <c r="G298" i="9"/>
  <c r="M67" i="10"/>
  <c r="A297" i="9"/>
  <c r="K297" i="9" s="1"/>
  <c r="B297" i="9"/>
  <c r="C297" i="9"/>
  <c r="D297" i="9"/>
  <c r="E297" i="9"/>
  <c r="F297" i="9"/>
  <c r="G297" i="9"/>
  <c r="M66" i="10"/>
  <c r="A294" i="9"/>
  <c r="K294" i="9" s="1"/>
  <c r="B294" i="9"/>
  <c r="C294" i="9"/>
  <c r="D294" i="9"/>
  <c r="E294" i="9"/>
  <c r="F294" i="9"/>
  <c r="G294" i="9"/>
  <c r="A295" i="9"/>
  <c r="K295" i="9" s="1"/>
  <c r="B295" i="9"/>
  <c r="C295" i="9"/>
  <c r="D295" i="9"/>
  <c r="E295" i="9"/>
  <c r="F295" i="9"/>
  <c r="G295" i="9"/>
  <c r="A296" i="9"/>
  <c r="K296" i="9" s="1"/>
  <c r="B296" i="9"/>
  <c r="C296" i="9"/>
  <c r="D296" i="9"/>
  <c r="E296" i="9"/>
  <c r="F296" i="9"/>
  <c r="G296" i="9"/>
  <c r="M65" i="10"/>
  <c r="M64" i="10"/>
  <c r="I64" i="10"/>
  <c r="G64" i="10"/>
  <c r="M63" i="10"/>
  <c r="M62" i="10"/>
  <c r="E61" i="10"/>
  <c r="F61" i="10"/>
  <c r="G61" i="10"/>
  <c r="H61" i="10"/>
  <c r="I61" i="10"/>
  <c r="J61" i="10"/>
  <c r="M61" i="10"/>
  <c r="M60" i="10"/>
  <c r="M59" i="10"/>
  <c r="M58" i="10"/>
  <c r="M57" i="10"/>
  <c r="D32" i="17" l="1"/>
  <c r="C32" i="17" s="1"/>
  <c r="M33" i="17"/>
  <c r="D53" i="17"/>
  <c r="C53" i="17" s="1"/>
  <c r="C30" i="17"/>
  <c r="M57" i="16"/>
  <c r="D56" i="16"/>
  <c r="C56" i="16" s="1"/>
  <c r="Y10" i="3"/>
  <c r="D31" i="16"/>
  <c r="C31" i="16" s="1"/>
  <c r="D30" i="16"/>
  <c r="C30" i="16" s="1"/>
  <c r="C60" i="14"/>
  <c r="A377" i="9"/>
  <c r="C64" i="14"/>
  <c r="A381" i="9"/>
  <c r="C59" i="14"/>
  <c r="A376" i="9"/>
  <c r="C61" i="14"/>
  <c r="A378" i="9"/>
  <c r="C62" i="14"/>
  <c r="A379" i="9"/>
  <c r="C76" i="14"/>
  <c r="A390" i="9"/>
  <c r="M79" i="14"/>
  <c r="D78" i="14"/>
  <c r="D66" i="14"/>
  <c r="M67" i="14"/>
  <c r="C45" i="14"/>
  <c r="A364" i="9"/>
  <c r="K364" i="9" s="1"/>
  <c r="M47" i="14"/>
  <c r="D46" i="14"/>
  <c r="M29" i="14"/>
  <c r="D28" i="14"/>
  <c r="C28" i="14" s="1"/>
  <c r="T5" i="14"/>
  <c r="D11" i="14"/>
  <c r="E11" i="14" s="1"/>
  <c r="D13" i="14"/>
  <c r="E13" i="14" s="1"/>
  <c r="D10" i="14"/>
  <c r="E10" i="14" s="1"/>
  <c r="D9" i="14"/>
  <c r="E9" i="14" s="1"/>
  <c r="D8" i="14"/>
  <c r="E8" i="14" s="1"/>
  <c r="D12" i="14"/>
  <c r="E12" i="14" s="1"/>
  <c r="A346" i="9"/>
  <c r="K346" i="9" s="1"/>
  <c r="C76" i="11"/>
  <c r="A345" i="9"/>
  <c r="K345" i="9" s="1"/>
  <c r="C75" i="11"/>
  <c r="A344" i="9"/>
  <c r="K344" i="9" s="1"/>
  <c r="A343" i="9"/>
  <c r="K343" i="9" s="1"/>
  <c r="C72" i="11"/>
  <c r="A342" i="9"/>
  <c r="K342" i="9" s="1"/>
  <c r="C56" i="11"/>
  <c r="A331" i="9"/>
  <c r="K331" i="9" s="1"/>
  <c r="C65" i="11"/>
  <c r="C54" i="11"/>
  <c r="A329" i="9"/>
  <c r="K329" i="9" s="1"/>
  <c r="C46" i="11"/>
  <c r="A321" i="9"/>
  <c r="K321" i="9" s="1"/>
  <c r="C64" i="11"/>
  <c r="C53" i="11"/>
  <c r="A328" i="9"/>
  <c r="K328" i="9" s="1"/>
  <c r="C45" i="11"/>
  <c r="A320" i="9"/>
  <c r="K320" i="9" s="1"/>
  <c r="C63" i="11"/>
  <c r="C52" i="11"/>
  <c r="A327" i="9"/>
  <c r="K327" i="9" s="1"/>
  <c r="C43" i="11"/>
  <c r="A319" i="9"/>
  <c r="K319" i="9" s="1"/>
  <c r="C62" i="11"/>
  <c r="C51" i="11"/>
  <c r="A326" i="9"/>
  <c r="K326" i="9" s="1"/>
  <c r="C42" i="11"/>
  <c r="A318" i="9"/>
  <c r="K318" i="9" s="1"/>
  <c r="C71" i="11"/>
  <c r="C60" i="11"/>
  <c r="C50" i="11"/>
  <c r="A325" i="9"/>
  <c r="K325" i="9" s="1"/>
  <c r="C70" i="11"/>
  <c r="C58" i="11"/>
  <c r="C49" i="11"/>
  <c r="A324" i="9"/>
  <c r="K324" i="9" s="1"/>
  <c r="C69" i="11"/>
  <c r="C48" i="11"/>
  <c r="A323" i="9"/>
  <c r="K323" i="9" s="1"/>
  <c r="C67" i="11"/>
  <c r="C55" i="11"/>
  <c r="A330" i="9"/>
  <c r="K330" i="9" s="1"/>
  <c r="C47" i="11"/>
  <c r="A322" i="9"/>
  <c r="K322" i="9" s="1"/>
  <c r="R20" i="11"/>
  <c r="O8" i="11" s="1"/>
  <c r="O9" i="11"/>
  <c r="D25" i="11"/>
  <c r="A303" i="9" s="1"/>
  <c r="K303" i="9" s="1"/>
  <c r="M29" i="11"/>
  <c r="M30" i="11" s="1"/>
  <c r="D27" i="11"/>
  <c r="D26" i="11"/>
  <c r="AU5" i="3"/>
  <c r="AU2" i="3"/>
  <c r="AU3" i="3"/>
  <c r="AU4" i="3"/>
  <c r="H20" i="11"/>
  <c r="X7" i="3" s="1"/>
  <c r="I20" i="11"/>
  <c r="X3" i="3" s="1"/>
  <c r="E20" i="11"/>
  <c r="X4" i="3" s="1"/>
  <c r="G20" i="11"/>
  <c r="X5" i="3" s="1"/>
  <c r="J20" i="11"/>
  <c r="X2" i="3" s="1"/>
  <c r="F20" i="11"/>
  <c r="X6" i="3" s="1"/>
  <c r="R20" i="10"/>
  <c r="I45" i="10"/>
  <c r="G45" i="10"/>
  <c r="D33" i="18" l="1"/>
  <c r="C33" i="18" s="1"/>
  <c r="M34" i="17"/>
  <c r="D33" i="17"/>
  <c r="C33" i="17" s="1"/>
  <c r="D54" i="17"/>
  <c r="C54" i="17" s="1"/>
  <c r="M58" i="16"/>
  <c r="D57" i="16"/>
  <c r="C57" i="16" s="1"/>
  <c r="X10" i="3"/>
  <c r="C78" i="14"/>
  <c r="A391" i="9"/>
  <c r="C66" i="14"/>
  <c r="A382" i="9"/>
  <c r="D79" i="14"/>
  <c r="M80" i="14"/>
  <c r="M68" i="14"/>
  <c r="D67" i="14"/>
  <c r="C46" i="14"/>
  <c r="A365" i="9"/>
  <c r="K365" i="9" s="1"/>
  <c r="D47" i="14"/>
  <c r="M48" i="14"/>
  <c r="D29" i="14"/>
  <c r="C29" i="14" s="1"/>
  <c r="M30" i="14"/>
  <c r="O16" i="11"/>
  <c r="W16" i="11" s="1"/>
  <c r="T5" i="11" s="1"/>
  <c r="C26" i="11"/>
  <c r="A304" i="9"/>
  <c r="K304" i="9" s="1"/>
  <c r="C27" i="11"/>
  <c r="A305" i="9"/>
  <c r="K305" i="9" s="1"/>
  <c r="X9" i="3"/>
  <c r="AU7" i="3"/>
  <c r="AU9" i="3" s="1"/>
  <c r="M31" i="11"/>
  <c r="D30" i="11"/>
  <c r="D29" i="11"/>
  <c r="M28" i="11"/>
  <c r="J17" i="11"/>
  <c r="H17" i="11"/>
  <c r="G17" i="11"/>
  <c r="F17" i="11"/>
  <c r="I17" i="11"/>
  <c r="E17" i="11"/>
  <c r="I43" i="10"/>
  <c r="G43" i="10"/>
  <c r="F43" i="10"/>
  <c r="D34" i="18" l="1"/>
  <c r="C34" i="18" s="1"/>
  <c r="M35" i="17"/>
  <c r="M36" i="17" s="1"/>
  <c r="D34" i="17"/>
  <c r="C34" i="17" s="1"/>
  <c r="D55" i="17"/>
  <c r="C55" i="17" s="1"/>
  <c r="M59" i="16"/>
  <c r="D58" i="16"/>
  <c r="C58" i="16" s="1"/>
  <c r="C67" i="14"/>
  <c r="A383" i="9"/>
  <c r="C79" i="14"/>
  <c r="A392" i="9"/>
  <c r="M82" i="14"/>
  <c r="D80" i="14"/>
  <c r="M69" i="14"/>
  <c r="D68" i="14"/>
  <c r="C47" i="14"/>
  <c r="A366" i="9"/>
  <c r="K366" i="9" s="1"/>
  <c r="M49" i="14"/>
  <c r="D48" i="14"/>
  <c r="C30" i="11"/>
  <c r="A307" i="9"/>
  <c r="K307" i="9" s="1"/>
  <c r="C29" i="11"/>
  <c r="A306" i="9"/>
  <c r="K306" i="9" s="1"/>
  <c r="D31" i="11"/>
  <c r="M32" i="11"/>
  <c r="D11" i="11"/>
  <c r="E11" i="11" s="1"/>
  <c r="D13" i="11"/>
  <c r="E13" i="11" s="1"/>
  <c r="D12" i="11"/>
  <c r="E12" i="11" s="1"/>
  <c r="D8" i="11"/>
  <c r="E8" i="11" s="1"/>
  <c r="D10" i="11"/>
  <c r="E10" i="11" s="1"/>
  <c r="D9" i="11"/>
  <c r="E9" i="11" s="1"/>
  <c r="E42" i="10"/>
  <c r="F42" i="10"/>
  <c r="G42" i="10"/>
  <c r="H42" i="10"/>
  <c r="I42" i="10"/>
  <c r="J42" i="10"/>
  <c r="D36" i="18" l="1"/>
  <c r="C36" i="18" s="1"/>
  <c r="M37" i="17"/>
  <c r="D36" i="17"/>
  <c r="C36" i="17" s="1"/>
  <c r="D56" i="17"/>
  <c r="C56" i="17" s="1"/>
  <c r="M60" i="16"/>
  <c r="M61" i="16" s="1"/>
  <c r="D59" i="16"/>
  <c r="C59" i="16" s="1"/>
  <c r="C80" i="14"/>
  <c r="A393" i="9"/>
  <c r="C68" i="14"/>
  <c r="A384" i="9"/>
  <c r="D82" i="14"/>
  <c r="M83" i="14"/>
  <c r="D69" i="14"/>
  <c r="M70" i="14"/>
  <c r="D70" i="14" s="1"/>
  <c r="M50" i="14"/>
  <c r="D49" i="14"/>
  <c r="A367" i="9"/>
  <c r="K367" i="9" s="1"/>
  <c r="C48" i="14"/>
  <c r="C31" i="11"/>
  <c r="A308" i="9"/>
  <c r="K308" i="9" s="1"/>
  <c r="M33" i="11"/>
  <c r="D32" i="11"/>
  <c r="E37" i="10"/>
  <c r="I36" i="10"/>
  <c r="G36" i="10"/>
  <c r="F36" i="10"/>
  <c r="D37" i="18" l="1"/>
  <c r="C37" i="18" s="1"/>
  <c r="M38" i="17"/>
  <c r="D37" i="17"/>
  <c r="C37" i="17" s="1"/>
  <c r="D57" i="17"/>
  <c r="C57" i="17" s="1"/>
  <c r="D61" i="16"/>
  <c r="C61" i="16" s="1"/>
  <c r="M62" i="16"/>
  <c r="C69" i="14"/>
  <c r="A385" i="9"/>
  <c r="C82" i="14"/>
  <c r="A394" i="9"/>
  <c r="C70" i="14"/>
  <c r="A386" i="9"/>
  <c r="M84" i="14"/>
  <c r="D83" i="14"/>
  <c r="C49" i="14"/>
  <c r="A368" i="9"/>
  <c r="K368" i="9" s="1"/>
  <c r="D50" i="14"/>
  <c r="M51" i="14"/>
  <c r="C32" i="11"/>
  <c r="A309" i="9"/>
  <c r="K309" i="9" s="1"/>
  <c r="M34" i="11"/>
  <c r="D33" i="11"/>
  <c r="E33" i="10"/>
  <c r="F33" i="10"/>
  <c r="M39" i="17" l="1"/>
  <c r="D38" i="17"/>
  <c r="C38" i="17" s="1"/>
  <c r="D58" i="17"/>
  <c r="C58" i="17" s="1"/>
  <c r="M63" i="16"/>
  <c r="D62" i="16"/>
  <c r="C62" i="16" s="1"/>
  <c r="C83" i="14"/>
  <c r="A395" i="9"/>
  <c r="D84" i="14"/>
  <c r="M85" i="14"/>
  <c r="D51" i="14"/>
  <c r="M52" i="14"/>
  <c r="C50" i="14"/>
  <c r="A369" i="9"/>
  <c r="K369" i="9" s="1"/>
  <c r="C33" i="11"/>
  <c r="A310" i="9"/>
  <c r="K310" i="9" s="1"/>
  <c r="M35" i="11"/>
  <c r="D34" i="11"/>
  <c r="J30" i="10"/>
  <c r="I30" i="10"/>
  <c r="G30" i="10"/>
  <c r="F30" i="10"/>
  <c r="D40" i="18" l="1"/>
  <c r="C40" i="18" s="1"/>
  <c r="C20" i="18" s="1"/>
  <c r="E12" i="18" s="1"/>
  <c r="M40" i="17"/>
  <c r="D40" i="17" s="1"/>
  <c r="C40" i="17" s="1"/>
  <c r="D39" i="17"/>
  <c r="C39" i="17" s="1"/>
  <c r="D63" i="16"/>
  <c r="C63" i="16" s="1"/>
  <c r="M64" i="16"/>
  <c r="C84" i="14"/>
  <c r="A396" i="9"/>
  <c r="D85" i="14"/>
  <c r="D52" i="14"/>
  <c r="M53" i="14"/>
  <c r="C51" i="14"/>
  <c r="A370" i="9"/>
  <c r="K370" i="9" s="1"/>
  <c r="C34" i="11"/>
  <c r="A311" i="9"/>
  <c r="K311" i="9" s="1"/>
  <c r="M36" i="11"/>
  <c r="D35" i="11"/>
  <c r="AA243" i="9"/>
  <c r="AB243" i="9" s="1"/>
  <c r="E22" i="18" l="1"/>
  <c r="J22" i="18"/>
  <c r="C60" i="17"/>
  <c r="M65" i="16"/>
  <c r="D64" i="16"/>
  <c r="C64" i="16" s="1"/>
  <c r="C85" i="14"/>
  <c r="A397" i="9"/>
  <c r="D53" i="14"/>
  <c r="M54" i="14"/>
  <c r="C52" i="14"/>
  <c r="A371" i="9"/>
  <c r="K371" i="9" s="1"/>
  <c r="C35" i="11"/>
  <c r="A312" i="9"/>
  <c r="K312" i="9" s="1"/>
  <c r="M37" i="11"/>
  <c r="D36" i="11"/>
  <c r="S16" i="1"/>
  <c r="I22" i="18" l="1"/>
  <c r="G22" i="18"/>
  <c r="F22" i="18"/>
  <c r="H22" i="18"/>
  <c r="AM2" i="3"/>
  <c r="E13" i="18"/>
  <c r="F13" i="18" s="1"/>
  <c r="E9" i="18"/>
  <c r="E11" i="18"/>
  <c r="E8" i="18"/>
  <c r="E10" i="18"/>
  <c r="D61" i="17"/>
  <c r="C61" i="17" s="1"/>
  <c r="D65" i="16"/>
  <c r="C65" i="16" s="1"/>
  <c r="M66" i="16"/>
  <c r="A398" i="9"/>
  <c r="C53" i="14"/>
  <c r="A372" i="9"/>
  <c r="M55" i="14"/>
  <c r="D55" i="14" s="1"/>
  <c r="D54" i="14"/>
  <c r="C36" i="11"/>
  <c r="A313" i="9"/>
  <c r="K313" i="9" s="1"/>
  <c r="M38" i="11"/>
  <c r="D37" i="11"/>
  <c r="A261" i="9"/>
  <c r="K261" i="9" s="1"/>
  <c r="B23" i="3"/>
  <c r="D23" i="3" s="1"/>
  <c r="B24" i="3"/>
  <c r="D24" i="3" s="1"/>
  <c r="B20" i="3"/>
  <c r="D20" i="3" s="1"/>
  <c r="B21" i="3"/>
  <c r="D21" i="3" s="1"/>
  <c r="B22" i="3"/>
  <c r="D22" i="3" s="1"/>
  <c r="B19" i="3"/>
  <c r="D19" i="3" s="1"/>
  <c r="P2" i="3" l="1"/>
  <c r="BK2" i="3"/>
  <c r="H9" i="18"/>
  <c r="H13" i="18"/>
  <c r="AM3" i="3"/>
  <c r="H12" i="18"/>
  <c r="H11" i="18"/>
  <c r="H10" i="18"/>
  <c r="H8" i="18"/>
  <c r="F12" i="18"/>
  <c r="F10" i="18"/>
  <c r="F11" i="18"/>
  <c r="F8" i="18"/>
  <c r="F9" i="18"/>
  <c r="D62" i="17"/>
  <c r="C62" i="17" s="1"/>
  <c r="M67" i="16"/>
  <c r="D66" i="16"/>
  <c r="C66" i="16" s="1"/>
  <c r="C88" i="14"/>
  <c r="A400" i="9"/>
  <c r="C87" i="14"/>
  <c r="A399" i="9"/>
  <c r="C54" i="14"/>
  <c r="A373" i="9"/>
  <c r="C55" i="14"/>
  <c r="A374" i="9"/>
  <c r="C37" i="11"/>
  <c r="A314" i="9"/>
  <c r="K314" i="9" s="1"/>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AM4" i="3"/>
  <c r="BK4" i="3" s="1"/>
  <c r="BK3" i="3"/>
  <c r="B9" i="18"/>
  <c r="B13" i="18"/>
  <c r="P3" i="3"/>
  <c r="B10" i="18"/>
  <c r="B11" i="18"/>
  <c r="B12" i="18"/>
  <c r="D67" i="16"/>
  <c r="C67" i="16" s="1"/>
  <c r="M68" i="16"/>
  <c r="C20" i="14"/>
  <c r="C38" i="11"/>
  <c r="A315" i="9"/>
  <c r="K315" i="9" s="1"/>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K317" i="9" s="1"/>
  <c r="C39" i="11"/>
  <c r="A316" i="9"/>
  <c r="K316" i="9" s="1"/>
  <c r="W9" i="3"/>
  <c r="D32" i="10"/>
  <c r="M33" i="10"/>
  <c r="O11" i="1"/>
  <c r="G260" i="9"/>
  <c r="D260" i="9"/>
  <c r="B260" i="9"/>
  <c r="C57" i="10"/>
  <c r="A289" i="9"/>
  <c r="K289" i="9" s="1"/>
  <c r="C260" i="9"/>
  <c r="C28" i="10"/>
  <c r="A264" i="9"/>
  <c r="K264" i="9" s="1"/>
  <c r="C27" i="10"/>
  <c r="A263" i="9"/>
  <c r="K263" i="9" s="1"/>
  <c r="AT9" i="3"/>
  <c r="C26" i="10"/>
  <c r="A262" i="9"/>
  <c r="K262" i="9" s="1"/>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K267" i="9" s="1"/>
  <c r="C58" i="10"/>
  <c r="A290" i="9"/>
  <c r="K290" i="9" s="1"/>
  <c r="A266" i="9"/>
  <c r="K266" i="9" s="1"/>
  <c r="C29" i="10"/>
  <c r="A265" i="9"/>
  <c r="K265" i="9" s="1"/>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K268" i="9" s="1"/>
  <c r="C33" i="10"/>
  <c r="M35" i="10"/>
  <c r="D35" i="10" s="1"/>
  <c r="A270" i="9" s="1"/>
  <c r="K270" i="9" s="1"/>
  <c r="D34" i="10"/>
  <c r="C59" i="10"/>
  <c r="A291" i="9"/>
  <c r="K291" i="9" s="1"/>
  <c r="D60" i="10"/>
  <c r="D80" i="10"/>
  <c r="C80" i="10" s="1"/>
  <c r="T5" i="10"/>
  <c r="AM9" i="3" l="1"/>
  <c r="P9" i="3" s="1"/>
  <c r="P7" i="3"/>
  <c r="D67" i="17"/>
  <c r="C67" i="17" s="1"/>
  <c r="M72" i="16"/>
  <c r="D71" i="16"/>
  <c r="C71" i="16" s="1"/>
  <c r="C35" i="10"/>
  <c r="C34" i="10"/>
  <c r="A269" i="9"/>
  <c r="K269" i="9" s="1"/>
  <c r="C60" i="10"/>
  <c r="A292" i="9"/>
  <c r="K292" i="9" s="1"/>
  <c r="D81" i="10"/>
  <c r="C81" i="10" s="1"/>
  <c r="D61" i="10"/>
  <c r="D68" i="17" l="1"/>
  <c r="C68" i="17" s="1"/>
  <c r="M74" i="16"/>
  <c r="D72" i="16"/>
  <c r="C72" i="16" s="1"/>
  <c r="C61" i="10"/>
  <c r="A293" i="9"/>
  <c r="K293" i="9" s="1"/>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K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K246" i="9" s="1"/>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K247" i="9" s="1"/>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K248" i="9" s="1"/>
  <c r="M94" i="1"/>
  <c r="D93" i="1"/>
  <c r="BA5" i="3"/>
  <c r="BB5" i="3"/>
  <c r="BA4" i="3"/>
  <c r="BB4" i="3"/>
  <c r="BA3" i="3"/>
  <c r="BB3" i="3"/>
  <c r="BA7" i="3"/>
  <c r="BB7" i="3"/>
  <c r="BA6" i="3"/>
  <c r="BB6" i="3"/>
  <c r="BB2" i="3"/>
  <c r="BB9" i="3" l="1"/>
  <c r="AJ7" i="3"/>
  <c r="BH7" i="3" s="1"/>
  <c r="M4" i="3"/>
  <c r="C93" i="1"/>
  <c r="A249" i="9"/>
  <c r="K249" i="9" s="1"/>
  <c r="M95" i="1"/>
  <c r="D94" i="1"/>
  <c r="J63" i="1"/>
  <c r="I63" i="1"/>
  <c r="H63" i="1"/>
  <c r="G63" i="1"/>
  <c r="F63" i="1"/>
  <c r="AJ6" i="3" l="1"/>
  <c r="M7" i="3"/>
  <c r="C94" i="1"/>
  <c r="A250" i="9"/>
  <c r="K250" i="9" s="1"/>
  <c r="D95" i="1"/>
  <c r="M96" i="1"/>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B206" i="9"/>
  <c r="M6" i="3" l="1"/>
  <c r="BH6" i="3"/>
  <c r="BH9" i="3" s="1"/>
  <c r="AJ9" i="3"/>
  <c r="M9" i="3" s="1"/>
  <c r="C20" i="11"/>
  <c r="F12" i="11" s="1"/>
  <c r="M97" i="1"/>
  <c r="D96" i="1"/>
  <c r="C95" i="1"/>
  <c r="A251" i="9"/>
  <c r="K251" i="9" s="1"/>
  <c r="M2" i="9"/>
  <c r="O2" i="9"/>
  <c r="P2" i="9"/>
  <c r="Q2" i="9"/>
  <c r="W2" i="9" s="1"/>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X2" i="9" l="1"/>
  <c r="F9" i="11"/>
  <c r="G9" i="11" s="1"/>
  <c r="F10" i="11"/>
  <c r="G10" i="11" s="1"/>
  <c r="F8" i="11"/>
  <c r="G8" i="11" s="1"/>
  <c r="Q3" i="9"/>
  <c r="W3" i="9" s="1"/>
  <c r="AI2" i="3"/>
  <c r="BG2" i="3" s="1"/>
  <c r="F13" i="11"/>
  <c r="G13" i="11" s="1"/>
  <c r="G12" i="11"/>
  <c r="F11" i="11"/>
  <c r="G11" i="11" s="1"/>
  <c r="C96" i="1"/>
  <c r="A252" i="9"/>
  <c r="K252" i="9" s="1"/>
  <c r="D97" i="1"/>
  <c r="M98" i="1"/>
  <c r="D5" i="9"/>
  <c r="D6" i="9" s="1"/>
  <c r="D7" i="9" s="1"/>
  <c r="D8" i="9" s="1"/>
  <c r="E5" i="9"/>
  <c r="C5" i="9"/>
  <c r="B5" i="9"/>
  <c r="B6" i="9" s="1"/>
  <c r="A36" i="9"/>
  <c r="K37"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F40" i="7"/>
  <c r="E40" i="7"/>
  <c r="K39" i="7"/>
  <c r="J39" i="7"/>
  <c r="I39" i="7"/>
  <c r="H39" i="7"/>
  <c r="G39" i="7"/>
  <c r="F39" i="7"/>
  <c r="E39" i="7"/>
  <c r="K38" i="7"/>
  <c r="J38" i="7"/>
  <c r="I38" i="7"/>
  <c r="H38" i="7"/>
  <c r="G38" i="7"/>
  <c r="F38" i="7"/>
  <c r="E38" i="7"/>
  <c r="K37" i="7"/>
  <c r="J37" i="7"/>
  <c r="I37" i="7"/>
  <c r="H37" i="7"/>
  <c r="G37" i="7"/>
  <c r="F37" i="7"/>
  <c r="E37" i="7"/>
  <c r="K36" i="7"/>
  <c r="J36" i="7"/>
  <c r="I36" i="7"/>
  <c r="H36" i="7"/>
  <c r="G36" i="7"/>
  <c r="F36" i="7"/>
  <c r="E36" i="7"/>
  <c r="K35" i="7"/>
  <c r="J35" i="7"/>
  <c r="I35" i="7"/>
  <c r="H35" i="7"/>
  <c r="G35" i="7"/>
  <c r="F35" i="7"/>
  <c r="E35" i="7"/>
  <c r="K34" i="7"/>
  <c r="J34" i="7"/>
  <c r="I34" i="7"/>
  <c r="H34" i="7"/>
  <c r="G34" i="7"/>
  <c r="F34" i="7"/>
  <c r="E34" i="7"/>
  <c r="K33" i="7"/>
  <c r="J33" i="7"/>
  <c r="I33" i="7"/>
  <c r="H33" i="7"/>
  <c r="G33" i="7"/>
  <c r="F33" i="7"/>
  <c r="E33" i="7"/>
  <c r="K32" i="7"/>
  <c r="J32" i="7"/>
  <c r="I32" i="7"/>
  <c r="H32" i="7"/>
  <c r="G32" i="7"/>
  <c r="F32" i="7"/>
  <c r="E32" i="7"/>
  <c r="K31" i="7"/>
  <c r="J31" i="7"/>
  <c r="I31" i="7"/>
  <c r="H31" i="7"/>
  <c r="G31" i="7"/>
  <c r="F31" i="7"/>
  <c r="E31" i="7"/>
  <c r="K30" i="7"/>
  <c r="J30" i="7"/>
  <c r="I30" i="7"/>
  <c r="H30" i="7"/>
  <c r="G30" i="7"/>
  <c r="F30" i="7"/>
  <c r="E30" i="7"/>
  <c r="K29" i="7"/>
  <c r="J29" i="7"/>
  <c r="I29" i="7"/>
  <c r="H29" i="7"/>
  <c r="G29" i="7"/>
  <c r="F29" i="7"/>
  <c r="E29" i="7"/>
  <c r="K28" i="7"/>
  <c r="J28" i="7"/>
  <c r="I28" i="7"/>
  <c r="H28" i="7"/>
  <c r="G28" i="7"/>
  <c r="F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F27" i="7"/>
  <c r="E27" i="7"/>
  <c r="K26" i="7"/>
  <c r="J26" i="7"/>
  <c r="I26" i="7"/>
  <c r="H26" i="7"/>
  <c r="G26" i="7"/>
  <c r="F26" i="7"/>
  <c r="E26" i="7"/>
  <c r="D26" i="7"/>
  <c r="D27" i="7" s="1"/>
  <c r="C27" i="7" s="1"/>
  <c r="C25" i="7"/>
  <c r="V20" i="7"/>
  <c r="U20" i="7"/>
  <c r="T20" i="7"/>
  <c r="P8" i="7" s="1"/>
  <c r="S20" i="7"/>
  <c r="P12" i="7" s="1"/>
  <c r="R20" i="7"/>
  <c r="P10" i="7" s="1"/>
  <c r="Q20" i="7"/>
  <c r="P14" i="7" s="1"/>
  <c r="P20" i="7"/>
  <c r="P9" i="7" s="1"/>
  <c r="V17" i="7"/>
  <c r="P13" i="7"/>
  <c r="P11" i="7"/>
  <c r="C8" i="7"/>
  <c r="M4" i="9" l="1"/>
  <c r="X4" i="9" s="1"/>
  <c r="X3" i="9"/>
  <c r="R2" i="9"/>
  <c r="Q4" i="9"/>
  <c r="W4" i="9" s="1"/>
  <c r="R3" i="9"/>
  <c r="L2" i="3"/>
  <c r="AI5" i="3"/>
  <c r="L4" i="9"/>
  <c r="L5" i="9" s="1"/>
  <c r="U3" i="9"/>
  <c r="U2" i="9"/>
  <c r="M99" i="1"/>
  <c r="D98" i="1"/>
  <c r="P5" i="9"/>
  <c r="P6" i="9" s="1"/>
  <c r="C97" i="1"/>
  <c r="A253" i="9"/>
  <c r="K253" i="9" s="1"/>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K36"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P16" i="7"/>
  <c r="D28" i="7"/>
  <c r="O43" i="7"/>
  <c r="N44" i="7"/>
  <c r="M5" i="9" l="1"/>
  <c r="M6" i="9" s="1"/>
  <c r="AI4" i="3"/>
  <c r="BG4" i="3" s="1"/>
  <c r="BG5" i="3"/>
  <c r="U4" i="9"/>
  <c r="Q5" i="9"/>
  <c r="R4" i="9"/>
  <c r="L5" i="3"/>
  <c r="L6" i="9"/>
  <c r="L7" i="9" s="1"/>
  <c r="A254" i="9"/>
  <c r="K254" i="9" s="1"/>
  <c r="C98" i="1"/>
  <c r="M100" i="1"/>
  <c r="D99" i="1"/>
  <c r="E10" i="9"/>
  <c r="E11" i="9" s="1"/>
  <c r="E12" i="9" s="1"/>
  <c r="E13" i="9" s="1"/>
  <c r="N9" i="9"/>
  <c r="N10" i="9" s="1"/>
  <c r="N11" i="9" s="1"/>
  <c r="N12" i="9" s="1"/>
  <c r="D13" i="9"/>
  <c r="D14" i="9" s="1"/>
  <c r="D15" i="9" s="1"/>
  <c r="D16" i="9" s="1"/>
  <c r="A34" i="9"/>
  <c r="K35"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R5" i="9"/>
  <c r="L8" i="9"/>
  <c r="C99" i="1"/>
  <c r="A255" i="9"/>
  <c r="K255" i="9" s="1"/>
  <c r="M101" i="1"/>
  <c r="D100" i="1"/>
  <c r="N13" i="9"/>
  <c r="N14" i="9" s="1"/>
  <c r="N15" i="9" s="1"/>
  <c r="N16" i="9" s="1"/>
  <c r="B15" i="9"/>
  <c r="B16" i="9" s="1"/>
  <c r="B17" i="9" s="1"/>
  <c r="B18" i="9" s="1"/>
  <c r="D17" i="9"/>
  <c r="D18" i="9" s="1"/>
  <c r="D19" i="9" s="1"/>
  <c r="D20" i="9" s="1"/>
  <c r="E14" i="9"/>
  <c r="E15" i="9" s="1"/>
  <c r="E16" i="9" s="1"/>
  <c r="E17" i="9" s="1"/>
  <c r="A33" i="9"/>
  <c r="K34" i="9"/>
  <c r="N46" i="7"/>
  <c r="O45" i="7"/>
  <c r="C29" i="7"/>
  <c r="D30" i="7"/>
  <c r="BG3" i="3" l="1"/>
  <c r="M8" i="9"/>
  <c r="X7" i="9"/>
  <c r="U6" i="9"/>
  <c r="W6" i="9"/>
  <c r="L3" i="3"/>
  <c r="AI7" i="3"/>
  <c r="AI6" i="3" s="1"/>
  <c r="BG6" i="3" s="1"/>
  <c r="Q7" i="9"/>
  <c r="W7" i="9" s="1"/>
  <c r="R6" i="9"/>
  <c r="L9" i="9"/>
  <c r="C100" i="1"/>
  <c r="A256" i="9"/>
  <c r="K256" i="9" s="1"/>
  <c r="M102" i="1"/>
  <c r="D101" i="1"/>
  <c r="O14" i="9"/>
  <c r="O15" i="9" s="1"/>
  <c r="O16" i="9" s="1"/>
  <c r="O17" i="9" s="1"/>
  <c r="N17" i="9"/>
  <c r="N18" i="9" s="1"/>
  <c r="N19" i="9" s="1"/>
  <c r="N20" i="9" s="1"/>
  <c r="A32" i="9"/>
  <c r="K33" i="9"/>
  <c r="D21" i="9"/>
  <c r="D22" i="9" s="1"/>
  <c r="D23" i="9" s="1"/>
  <c r="D24" i="9" s="1"/>
  <c r="E18" i="9"/>
  <c r="E19" i="9" s="1"/>
  <c r="E20" i="9" s="1"/>
  <c r="E21" i="9" s="1"/>
  <c r="B19" i="9"/>
  <c r="B20" i="9" s="1"/>
  <c r="B21" i="9" s="1"/>
  <c r="B22" i="9" s="1"/>
  <c r="C30" i="7"/>
  <c r="D31" i="7"/>
  <c r="N47" i="7"/>
  <c r="O46" i="7"/>
  <c r="M9" i="9" l="1"/>
  <c r="X8" i="9"/>
  <c r="L7" i="3"/>
  <c r="BG7" i="3"/>
  <c r="BG9" i="3" s="1"/>
  <c r="L6" i="3"/>
  <c r="AI9" i="3"/>
  <c r="L9" i="3" s="1"/>
  <c r="Q8" i="9"/>
  <c r="W8" i="9" s="1"/>
  <c r="R7" i="9"/>
  <c r="U7" i="9"/>
  <c r="L10" i="9"/>
  <c r="M103" i="1"/>
  <c r="D102" i="1"/>
  <c r="C101" i="1"/>
  <c r="A257" i="9"/>
  <c r="K257" i="9" s="1"/>
  <c r="O18" i="9"/>
  <c r="O19" i="9" s="1"/>
  <c r="O20" i="9" s="1"/>
  <c r="O21" i="9" s="1"/>
  <c r="B23" i="9"/>
  <c r="B24" i="9" s="1"/>
  <c r="B25" i="9" s="1"/>
  <c r="B26" i="9" s="1"/>
  <c r="N21" i="9"/>
  <c r="N22" i="9" s="1"/>
  <c r="N23" i="9" s="1"/>
  <c r="N24" i="9" s="1"/>
  <c r="D25" i="9"/>
  <c r="D26" i="9" s="1"/>
  <c r="D27" i="9" s="1"/>
  <c r="D28" i="9" s="1"/>
  <c r="E22" i="9"/>
  <c r="E23" i="9" s="1"/>
  <c r="E24" i="9" s="1"/>
  <c r="E25" i="9" s="1"/>
  <c r="A31" i="9"/>
  <c r="K32" i="9"/>
  <c r="O47" i="7"/>
  <c r="N48" i="7"/>
  <c r="D32" i="7"/>
  <c r="C31" i="7"/>
  <c r="M10" i="9" l="1"/>
  <c r="X9" i="9"/>
  <c r="R8" i="9"/>
  <c r="Q9" i="9"/>
  <c r="W9" i="9" s="1"/>
  <c r="U8" i="9"/>
  <c r="L11" i="9"/>
  <c r="C102" i="1"/>
  <c r="A258" i="9"/>
  <c r="K258" i="9" s="1"/>
  <c r="M105" i="1"/>
  <c r="D105" i="1" s="1"/>
  <c r="M104" i="1"/>
  <c r="D103" i="1"/>
  <c r="E26" i="9"/>
  <c r="E27" i="9" s="1"/>
  <c r="E28" i="9" s="1"/>
  <c r="E29" i="9" s="1"/>
  <c r="A30" i="9"/>
  <c r="K31" i="9"/>
  <c r="D29" i="9"/>
  <c r="D30" i="9" s="1"/>
  <c r="D31" i="9" s="1"/>
  <c r="D32" i="9" s="1"/>
  <c r="B27" i="9"/>
  <c r="B28" i="9" s="1"/>
  <c r="B29" i="9" s="1"/>
  <c r="B30" i="9" s="1"/>
  <c r="O22" i="9"/>
  <c r="O23" i="9" s="1"/>
  <c r="O24" i="9" s="1"/>
  <c r="O25" i="9" s="1"/>
  <c r="N25" i="9"/>
  <c r="N26" i="9" s="1"/>
  <c r="N27" i="9" s="1"/>
  <c r="N28" i="9" s="1"/>
  <c r="C32" i="7"/>
  <c r="D33" i="7"/>
  <c r="N49" i="7"/>
  <c r="O48" i="7"/>
  <c r="M11" i="9" l="1"/>
  <c r="X10" i="9"/>
  <c r="Q10" i="9"/>
  <c r="W10" i="9" s="1"/>
  <c r="R9" i="9"/>
  <c r="U9" i="9"/>
  <c r="L12" i="9"/>
  <c r="A260" i="9"/>
  <c r="K260" i="9" s="1"/>
  <c r="C105" i="1"/>
  <c r="C103" i="1"/>
  <c r="A259" i="9"/>
  <c r="K259" i="9" s="1"/>
  <c r="N29" i="9"/>
  <c r="N30" i="9" s="1"/>
  <c r="N31" i="9" s="1"/>
  <c r="N32" i="9" s="1"/>
  <c r="O26" i="9"/>
  <c r="O27" i="9" s="1"/>
  <c r="O28" i="9" s="1"/>
  <c r="O29" i="9" s="1"/>
  <c r="D33" i="9"/>
  <c r="D34" i="9" s="1"/>
  <c r="D35" i="9" s="1"/>
  <c r="D36" i="9" s="1"/>
  <c r="B31" i="9"/>
  <c r="B32" i="9" s="1"/>
  <c r="B33" i="9" s="1"/>
  <c r="B34" i="9" s="1"/>
  <c r="A29" i="9"/>
  <c r="K30" i="9"/>
  <c r="E30" i="9"/>
  <c r="E31" i="9" s="1"/>
  <c r="E32" i="9" s="1"/>
  <c r="E33" i="9" s="1"/>
  <c r="N50" i="7"/>
  <c r="O49" i="7"/>
  <c r="D34" i="7"/>
  <c r="C33" i="7"/>
  <c r="M12" i="9" l="1"/>
  <c r="X11" i="9"/>
  <c r="Q11" i="9"/>
  <c r="W11" i="9" s="1"/>
  <c r="R10" i="9"/>
  <c r="U10" i="9"/>
  <c r="L13" i="9"/>
  <c r="N33" i="9"/>
  <c r="N34" i="9" s="1"/>
  <c r="N35" i="9" s="1"/>
  <c r="N36" i="9" s="1"/>
  <c r="O30" i="9"/>
  <c r="O31" i="9" s="1"/>
  <c r="O32" i="9" s="1"/>
  <c r="O33" i="9" s="1"/>
  <c r="D37" i="9"/>
  <c r="E34" i="9"/>
  <c r="E35" i="9" s="1"/>
  <c r="E36" i="9" s="1"/>
  <c r="E37" i="9" s="1"/>
  <c r="B35" i="9"/>
  <c r="B36" i="9" s="1"/>
  <c r="B37" i="9" s="1"/>
  <c r="A28" i="9"/>
  <c r="K29" i="9"/>
  <c r="C34" i="7"/>
  <c r="D35" i="7"/>
  <c r="O50" i="7"/>
  <c r="N51" i="7"/>
  <c r="M13" i="9" l="1"/>
  <c r="X12" i="9"/>
  <c r="Q12" i="9"/>
  <c r="W12" i="9" s="1"/>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K28" i="9"/>
  <c r="O51" i="7"/>
  <c r="N52" i="7"/>
  <c r="C35" i="7"/>
  <c r="D36" i="7"/>
  <c r="M14" i="9" l="1"/>
  <c r="X13" i="9"/>
  <c r="Q13" i="9"/>
  <c r="W13" i="9" s="1"/>
  <c r="R12" i="9"/>
  <c r="U12" i="9"/>
  <c r="L15" i="9"/>
  <c r="A26" i="9"/>
  <c r="K27" i="9"/>
  <c r="N53" i="7"/>
  <c r="O52" i="7"/>
  <c r="C36" i="7"/>
  <c r="D37" i="7"/>
  <c r="M15" i="9" l="1"/>
  <c r="X14" i="9"/>
  <c r="Q14" i="9"/>
  <c r="W14" i="9" s="1"/>
  <c r="R13" i="9"/>
  <c r="U13" i="9"/>
  <c r="L16" i="9"/>
  <c r="A25" i="9"/>
  <c r="K26" i="9"/>
  <c r="D38" i="7"/>
  <c r="C37" i="7"/>
  <c r="N54" i="7"/>
  <c r="O53" i="7"/>
  <c r="M16" i="9" l="1"/>
  <c r="X15" i="9"/>
  <c r="Q15" i="9"/>
  <c r="W15" i="9" s="1"/>
  <c r="R14" i="9"/>
  <c r="U14" i="9"/>
  <c r="L17" i="9"/>
  <c r="A24" i="9"/>
  <c r="K25" i="9"/>
  <c r="C38" i="7"/>
  <c r="D39" i="7"/>
  <c r="O54" i="7"/>
  <c r="N55" i="7"/>
  <c r="M17" i="9" l="1"/>
  <c r="X16" i="9"/>
  <c r="Q16" i="9"/>
  <c r="W16" i="9" s="1"/>
  <c r="R15" i="9"/>
  <c r="U15" i="9"/>
  <c r="L18" i="9"/>
  <c r="A23" i="9"/>
  <c r="K24" i="9"/>
  <c r="O55" i="7"/>
  <c r="N56" i="7"/>
  <c r="D40" i="7"/>
  <c r="C39" i="7"/>
  <c r="M18" i="9" l="1"/>
  <c r="X17" i="9"/>
  <c r="Q17" i="9"/>
  <c r="W17" i="9" s="1"/>
  <c r="R16" i="9"/>
  <c r="U16" i="9"/>
  <c r="L19" i="9"/>
  <c r="A22" i="9"/>
  <c r="K23" i="9"/>
  <c r="D42" i="7"/>
  <c r="C40" i="7"/>
  <c r="N57" i="7"/>
  <c r="O56" i="7"/>
  <c r="M19" i="9" l="1"/>
  <c r="X18" i="9"/>
  <c r="Q18" i="9"/>
  <c r="W18" i="9" s="1"/>
  <c r="R17" i="9"/>
  <c r="U17" i="9"/>
  <c r="L20" i="9"/>
  <c r="A21" i="9"/>
  <c r="K22" i="9"/>
  <c r="N58" i="7"/>
  <c r="O57" i="7"/>
  <c r="D43" i="7"/>
  <c r="C42" i="7"/>
  <c r="M20" i="9" l="1"/>
  <c r="X19" i="9"/>
  <c r="Q19" i="9"/>
  <c r="W19" i="9" s="1"/>
  <c r="R18" i="9"/>
  <c r="U18" i="9"/>
  <c r="L21" i="9"/>
  <c r="A20" i="9"/>
  <c r="K21" i="9"/>
  <c r="D44" i="7"/>
  <c r="C43" i="7"/>
  <c r="O58" i="7"/>
  <c r="N59" i="7"/>
  <c r="M21" i="9" l="1"/>
  <c r="X20" i="9"/>
  <c r="Q20" i="9"/>
  <c r="W20" i="9" s="1"/>
  <c r="R19" i="9"/>
  <c r="U19" i="9"/>
  <c r="L22" i="9"/>
  <c r="A19" i="9"/>
  <c r="K20" i="9"/>
  <c r="O59" i="7"/>
  <c r="N60" i="7"/>
  <c r="C44" i="7"/>
  <c r="D45" i="7"/>
  <c r="M22" i="9" l="1"/>
  <c r="X21" i="9"/>
  <c r="Q21" i="9"/>
  <c r="W21" i="9" s="1"/>
  <c r="R20" i="9"/>
  <c r="U20" i="9"/>
  <c r="L23" i="9"/>
  <c r="A18" i="9"/>
  <c r="K19" i="9"/>
  <c r="N61" i="7"/>
  <c r="O60" i="7"/>
  <c r="C45" i="7"/>
  <c r="D46" i="7"/>
  <c r="M23" i="9" l="1"/>
  <c r="X22" i="9"/>
  <c r="Q22" i="9"/>
  <c r="W22" i="9" s="1"/>
  <c r="R21" i="9"/>
  <c r="U21" i="9"/>
  <c r="L24" i="9"/>
  <c r="A17" i="9"/>
  <c r="K18" i="9"/>
  <c r="D47" i="7"/>
  <c r="C46" i="7"/>
  <c r="N62" i="7"/>
  <c r="O61" i="7"/>
  <c r="M24" i="9" l="1"/>
  <c r="X23" i="9"/>
  <c r="Q23" i="9"/>
  <c r="W23" i="9" s="1"/>
  <c r="R22" i="9"/>
  <c r="U22" i="9"/>
  <c r="L25" i="9"/>
  <c r="A16" i="9"/>
  <c r="K17" i="9"/>
  <c r="O62" i="7"/>
  <c r="N63" i="7"/>
  <c r="D48" i="7"/>
  <c r="C47" i="7"/>
  <c r="M25" i="9" l="1"/>
  <c r="X24" i="9"/>
  <c r="Q24" i="9"/>
  <c r="W24" i="9" s="1"/>
  <c r="R23" i="9"/>
  <c r="U23" i="9"/>
  <c r="L26" i="9"/>
  <c r="A15" i="9"/>
  <c r="K16" i="9"/>
  <c r="D49" i="7"/>
  <c r="C48" i="7"/>
  <c r="O63" i="7"/>
  <c r="N64" i="7"/>
  <c r="E48" i="7" s="1"/>
  <c r="M26" i="9" l="1"/>
  <c r="X25" i="9"/>
  <c r="Q25" i="9"/>
  <c r="W25" i="9" s="1"/>
  <c r="R24" i="9"/>
  <c r="U24" i="9"/>
  <c r="L27" i="9"/>
  <c r="A14" i="9"/>
  <c r="K15" i="9"/>
  <c r="G48" i="7"/>
  <c r="F48" i="7"/>
  <c r="J48" i="7"/>
  <c r="N65" i="7"/>
  <c r="O64" i="7"/>
  <c r="F42" i="7"/>
  <c r="G42" i="7"/>
  <c r="I42" i="7"/>
  <c r="K42" i="7"/>
  <c r="H42" i="7"/>
  <c r="E42" i="7"/>
  <c r="J42" i="7"/>
  <c r="E43" i="7"/>
  <c r="I43" i="7"/>
  <c r="F43" i="7"/>
  <c r="J43" i="7"/>
  <c r="G43" i="7"/>
  <c r="H43" i="7"/>
  <c r="K43" i="7"/>
  <c r="G44" i="7"/>
  <c r="J44" i="7"/>
  <c r="F44" i="7"/>
  <c r="H44" i="7"/>
  <c r="E44" i="7"/>
  <c r="I44" i="7"/>
  <c r="K44" i="7"/>
  <c r="I45" i="7"/>
  <c r="G45" i="7"/>
  <c r="E45" i="7"/>
  <c r="J45" i="7"/>
  <c r="H45" i="7"/>
  <c r="K45" i="7"/>
  <c r="F45" i="7"/>
  <c r="J46" i="7"/>
  <c r="H46" i="7"/>
  <c r="K46" i="7"/>
  <c r="F46" i="7"/>
  <c r="G46" i="7"/>
  <c r="E46" i="7"/>
  <c r="I46" i="7"/>
  <c r="I48" i="7"/>
  <c r="K48" i="7"/>
  <c r="I49" i="7"/>
  <c r="E49" i="7"/>
  <c r="H49" i="7"/>
  <c r="K49" i="7"/>
  <c r="C49" i="7"/>
  <c r="J49" i="7"/>
  <c r="G49" i="7"/>
  <c r="D50" i="7"/>
  <c r="F49" i="7"/>
  <c r="H48" i="7"/>
  <c r="M27" i="9" l="1"/>
  <c r="X26" i="9"/>
  <c r="Q26" i="9"/>
  <c r="W26" i="9" s="1"/>
  <c r="R25" i="9"/>
  <c r="U25" i="9"/>
  <c r="L28" i="9"/>
  <c r="A13" i="9"/>
  <c r="K14" i="9"/>
  <c r="D51" i="7"/>
  <c r="K50" i="7"/>
  <c r="G50" i="7"/>
  <c r="J50" i="7"/>
  <c r="F50" i="7"/>
  <c r="I50" i="7"/>
  <c r="H50" i="7"/>
  <c r="E50" i="7"/>
  <c r="N66" i="7"/>
  <c r="O65" i="7"/>
  <c r="M28" i="9" l="1"/>
  <c r="X27" i="9"/>
  <c r="Q27" i="9"/>
  <c r="W27" i="9" s="1"/>
  <c r="R26" i="9"/>
  <c r="U26" i="9"/>
  <c r="L29" i="9"/>
  <c r="A12" i="9"/>
  <c r="K13" i="9"/>
  <c r="O66" i="7"/>
  <c r="N67" i="7"/>
  <c r="H51" i="7"/>
  <c r="D52" i="7"/>
  <c r="K51" i="7"/>
  <c r="G51" i="7"/>
  <c r="C51" i="7"/>
  <c r="F51" i="7"/>
  <c r="I51" i="7"/>
  <c r="E51" i="7"/>
  <c r="J51" i="7"/>
  <c r="M29" i="9" l="1"/>
  <c r="X28" i="9"/>
  <c r="Q28" i="9"/>
  <c r="W28" i="9" s="1"/>
  <c r="R27" i="9"/>
  <c r="U27" i="9"/>
  <c r="L30" i="9"/>
  <c r="A11" i="9"/>
  <c r="K12" i="9"/>
  <c r="I52" i="7"/>
  <c r="E52" i="7"/>
  <c r="H52" i="7"/>
  <c r="K52" i="7"/>
  <c r="C52" i="7"/>
  <c r="J52" i="7"/>
  <c r="D53" i="7"/>
  <c r="G52" i="7"/>
  <c r="F52" i="7"/>
  <c r="O67" i="7"/>
  <c r="N68" i="7"/>
  <c r="M30" i="9" l="1"/>
  <c r="X29" i="9"/>
  <c r="Q29" i="9"/>
  <c r="W29" i="9" s="1"/>
  <c r="R28" i="9"/>
  <c r="U28" i="9"/>
  <c r="L31" i="9"/>
  <c r="A10" i="9"/>
  <c r="K11" i="9"/>
  <c r="N69" i="7"/>
  <c r="O68" i="7"/>
  <c r="J53" i="7"/>
  <c r="F53" i="7"/>
  <c r="I53" i="7"/>
  <c r="E53" i="7"/>
  <c r="H53" i="7"/>
  <c r="K53" i="7"/>
  <c r="D54" i="7"/>
  <c r="G53" i="7"/>
  <c r="C53" i="7"/>
  <c r="M31" i="9" l="1"/>
  <c r="X30" i="9"/>
  <c r="Q30" i="9"/>
  <c r="W30" i="9" s="1"/>
  <c r="R29" i="9"/>
  <c r="U29" i="9"/>
  <c r="L32" i="9"/>
  <c r="A9" i="9"/>
  <c r="K10" i="9"/>
  <c r="D55" i="7"/>
  <c r="K54" i="7"/>
  <c r="G54" i="7"/>
  <c r="C54" i="7"/>
  <c r="J54" i="7"/>
  <c r="F54" i="7"/>
  <c r="E54" i="7"/>
  <c r="I54" i="7"/>
  <c r="H54" i="7"/>
  <c r="N70" i="7"/>
  <c r="O69" i="7"/>
  <c r="M32" i="9" l="1"/>
  <c r="X31" i="9"/>
  <c r="Q31" i="9"/>
  <c r="W31" i="9" s="1"/>
  <c r="R30" i="9"/>
  <c r="U30" i="9"/>
  <c r="L33" i="9"/>
  <c r="A8" i="9"/>
  <c r="K9" i="9"/>
  <c r="O70" i="7"/>
  <c r="N71" i="7"/>
  <c r="H55" i="7"/>
  <c r="D56" i="7"/>
  <c r="K55" i="7"/>
  <c r="C55" i="7"/>
  <c r="I55" i="7"/>
  <c r="F55" i="7"/>
  <c r="J55" i="7"/>
  <c r="E55" i="7"/>
  <c r="M33" i="9" l="1"/>
  <c r="X32" i="9"/>
  <c r="Q32" i="9"/>
  <c r="W32" i="9" s="1"/>
  <c r="R31" i="9"/>
  <c r="U31" i="9"/>
  <c r="L34" i="9"/>
  <c r="A7" i="9"/>
  <c r="K8" i="9"/>
  <c r="I56" i="7"/>
  <c r="E56" i="7"/>
  <c r="H56" i="7"/>
  <c r="F56" i="7"/>
  <c r="K56" i="7"/>
  <c r="C56" i="7"/>
  <c r="J56" i="7"/>
  <c r="D57" i="7"/>
  <c r="O71" i="7"/>
  <c r="N72" i="7"/>
  <c r="M34" i="9" l="1"/>
  <c r="X33" i="9"/>
  <c r="Q33" i="9"/>
  <c r="W33" i="9" s="1"/>
  <c r="R32" i="9"/>
  <c r="U32" i="9"/>
  <c r="L35" i="9"/>
  <c r="A6" i="9"/>
  <c r="K7" i="9"/>
  <c r="J57" i="7"/>
  <c r="F57" i="7"/>
  <c r="I57" i="7"/>
  <c r="E57" i="7"/>
  <c r="K57" i="7"/>
  <c r="C57" i="7"/>
  <c r="H57" i="7"/>
  <c r="D58" i="7"/>
  <c r="N73" i="7"/>
  <c r="O72" i="7"/>
  <c r="M35" i="9" l="1"/>
  <c r="X34" i="9"/>
  <c r="Q34" i="9"/>
  <c r="W34" i="9" s="1"/>
  <c r="R33" i="9"/>
  <c r="U33" i="9"/>
  <c r="L36" i="9"/>
  <c r="A5" i="9"/>
  <c r="K6" i="9"/>
  <c r="D59" i="7"/>
  <c r="K58" i="7"/>
  <c r="G58" i="7"/>
  <c r="C58" i="7"/>
  <c r="J58" i="7"/>
  <c r="F58" i="7"/>
  <c r="H58" i="7"/>
  <c r="E58" i="7"/>
  <c r="I58" i="7"/>
  <c r="O73" i="7"/>
  <c r="M36" i="9" l="1"/>
  <c r="X35" i="9"/>
  <c r="Q35" i="9"/>
  <c r="W35" i="9" s="1"/>
  <c r="R34" i="9"/>
  <c r="U34" i="9"/>
  <c r="L37" i="9"/>
  <c r="A4" i="9"/>
  <c r="K5" i="9"/>
  <c r="H59" i="7"/>
  <c r="D60" i="7"/>
  <c r="K59" i="7"/>
  <c r="C59" i="7"/>
  <c r="J59" i="7"/>
  <c r="E59" i="7"/>
  <c r="I59" i="7"/>
  <c r="F59" i="7"/>
  <c r="M37" i="9" l="1"/>
  <c r="X36" i="9"/>
  <c r="Q36" i="9"/>
  <c r="W36" i="9" s="1"/>
  <c r="R35" i="9"/>
  <c r="U35" i="9"/>
  <c r="L38" i="9"/>
  <c r="T38" i="9" s="1"/>
  <c r="A3" i="9"/>
  <c r="K4" i="9"/>
  <c r="I60" i="7"/>
  <c r="E60" i="7"/>
  <c r="H60" i="7"/>
  <c r="D61" i="7"/>
  <c r="F60" i="7"/>
  <c r="K60" i="7"/>
  <c r="C60" i="7"/>
  <c r="J60" i="7"/>
  <c r="M38" i="9" l="1"/>
  <c r="X37" i="9"/>
  <c r="Q37" i="9"/>
  <c r="W37" i="9" s="1"/>
  <c r="R36" i="9"/>
  <c r="U36" i="9"/>
  <c r="L39" i="9"/>
  <c r="T39" i="9" s="1"/>
  <c r="A2" i="9"/>
  <c r="K2" i="9" s="1"/>
  <c r="K3" i="9"/>
  <c r="J61" i="7"/>
  <c r="F61" i="7"/>
  <c r="I61" i="7"/>
  <c r="E61" i="7"/>
  <c r="K61" i="7"/>
  <c r="C61" i="7"/>
  <c r="H61" i="7"/>
  <c r="D62" i="7"/>
  <c r="M39" i="9" l="1"/>
  <c r="X38" i="9"/>
  <c r="Q38" i="9"/>
  <c r="W38" i="9" s="1"/>
  <c r="R37" i="9"/>
  <c r="U37" i="9"/>
  <c r="L40" i="9"/>
  <c r="T40" i="9" s="1"/>
  <c r="D63" i="7"/>
  <c r="K62" i="7"/>
  <c r="C62" i="7"/>
  <c r="J62" i="7"/>
  <c r="F62" i="7"/>
  <c r="H62" i="7"/>
  <c r="I62" i="7"/>
  <c r="E62" i="7"/>
  <c r="M40" i="9" l="1"/>
  <c r="X39" i="9"/>
  <c r="Q39" i="9"/>
  <c r="W39" i="9" s="1"/>
  <c r="R38" i="9"/>
  <c r="U38" i="9"/>
  <c r="L41" i="9"/>
  <c r="T41" i="9" s="1"/>
  <c r="H63" i="7"/>
  <c r="D64" i="7"/>
  <c r="K63" i="7"/>
  <c r="C63" i="7"/>
  <c r="J63" i="7"/>
  <c r="E63" i="7"/>
  <c r="I63" i="7"/>
  <c r="F63" i="7"/>
  <c r="M41" i="9" l="1"/>
  <c r="X40" i="9"/>
  <c r="Q40" i="9"/>
  <c r="W40" i="9" s="1"/>
  <c r="R39" i="9"/>
  <c r="U39" i="9"/>
  <c r="L42" i="9"/>
  <c r="T42" i="9" s="1"/>
  <c r="I64" i="7"/>
  <c r="E64" i="7"/>
  <c r="H64" i="7"/>
  <c r="D65" i="7"/>
  <c r="J64" i="7"/>
  <c r="F64" i="7"/>
  <c r="K64" i="7"/>
  <c r="C64" i="7"/>
  <c r="M42" i="9" l="1"/>
  <c r="X41" i="9"/>
  <c r="Q41" i="9"/>
  <c r="W41" i="9" s="1"/>
  <c r="R40" i="9"/>
  <c r="U40" i="9"/>
  <c r="L43" i="9"/>
  <c r="T43" i="9" s="1"/>
  <c r="J65" i="7"/>
  <c r="F65" i="7"/>
  <c r="I65" i="7"/>
  <c r="E65" i="7"/>
  <c r="K65" i="7"/>
  <c r="C65" i="7"/>
  <c r="H65" i="7"/>
  <c r="D66" i="7"/>
  <c r="M43" i="9" l="1"/>
  <c r="X42" i="9"/>
  <c r="Q42" i="9"/>
  <c r="W42" i="9" s="1"/>
  <c r="R41" i="9"/>
  <c r="U41" i="9"/>
  <c r="L44" i="9"/>
  <c r="T44" i="9" s="1"/>
  <c r="D67" i="7"/>
  <c r="K66" i="7"/>
  <c r="C66" i="7"/>
  <c r="J66" i="7"/>
  <c r="F66" i="7"/>
  <c r="H66" i="7"/>
  <c r="I66" i="7"/>
  <c r="E66" i="7"/>
  <c r="M44" i="9" l="1"/>
  <c r="X43" i="9"/>
  <c r="Q43" i="9"/>
  <c r="W43" i="9" s="1"/>
  <c r="R42" i="9"/>
  <c r="U42" i="9"/>
  <c r="L45" i="9"/>
  <c r="T45" i="9" s="1"/>
  <c r="H67" i="7"/>
  <c r="D68" i="7"/>
  <c r="K67" i="7"/>
  <c r="C67" i="7"/>
  <c r="J67" i="7"/>
  <c r="E67" i="7"/>
  <c r="I67" i="7"/>
  <c r="F67" i="7"/>
  <c r="M45" i="9" l="1"/>
  <c r="X44" i="9"/>
  <c r="Q44" i="9"/>
  <c r="W44" i="9" s="1"/>
  <c r="R43" i="9"/>
  <c r="U43" i="9"/>
  <c r="L46" i="9"/>
  <c r="T46" i="9" s="1"/>
  <c r="I68" i="7"/>
  <c r="E68" i="7"/>
  <c r="H68" i="7"/>
  <c r="D69" i="7"/>
  <c r="J68" i="7"/>
  <c r="F68" i="7"/>
  <c r="K68" i="7"/>
  <c r="C68" i="7"/>
  <c r="M46" i="9" l="1"/>
  <c r="X45" i="9"/>
  <c r="Q45" i="9"/>
  <c r="W45" i="9" s="1"/>
  <c r="R44" i="9"/>
  <c r="U44" i="9"/>
  <c r="L47" i="9"/>
  <c r="T47" i="9" s="1"/>
  <c r="J69" i="7"/>
  <c r="F69" i="7"/>
  <c r="I69" i="7"/>
  <c r="E69" i="7"/>
  <c r="D70" i="7"/>
  <c r="K69" i="7"/>
  <c r="C69" i="7"/>
  <c r="H69" i="7"/>
  <c r="M47" i="9" l="1"/>
  <c r="X46" i="9"/>
  <c r="Q46" i="9"/>
  <c r="W46" i="9" s="1"/>
  <c r="R45" i="9"/>
  <c r="U45" i="9"/>
  <c r="L48" i="9"/>
  <c r="T48" i="9" s="1"/>
  <c r="D71" i="7"/>
  <c r="K70" i="7"/>
  <c r="C70" i="7"/>
  <c r="J70" i="7"/>
  <c r="F70" i="7"/>
  <c r="H70" i="7"/>
  <c r="E70" i="7"/>
  <c r="I70" i="7"/>
  <c r="M48" i="9" l="1"/>
  <c r="X47" i="9"/>
  <c r="Q47" i="9"/>
  <c r="W47" i="9" s="1"/>
  <c r="R46" i="9"/>
  <c r="U46" i="9"/>
  <c r="L49" i="9"/>
  <c r="T49" i="9" s="1"/>
  <c r="H71" i="7"/>
  <c r="D72" i="7"/>
  <c r="K71" i="7"/>
  <c r="C71" i="7"/>
  <c r="J71" i="7"/>
  <c r="E71" i="7"/>
  <c r="I71" i="7"/>
  <c r="F71" i="7"/>
  <c r="M49" i="9" l="1"/>
  <c r="X48" i="9"/>
  <c r="Q48" i="9"/>
  <c r="W48" i="9" s="1"/>
  <c r="R47" i="9"/>
  <c r="U47" i="9"/>
  <c r="L50" i="9"/>
  <c r="T50" i="9" s="1"/>
  <c r="I72" i="7"/>
  <c r="E72" i="7"/>
  <c r="H72" i="7"/>
  <c r="D73" i="7"/>
  <c r="G73" i="7" s="1"/>
  <c r="G20" i="7" s="1"/>
  <c r="F72" i="7"/>
  <c r="K72" i="7"/>
  <c r="C72" i="7"/>
  <c r="J72" i="7"/>
  <c r="M50" i="9" l="1"/>
  <c r="X49" i="9"/>
  <c r="Q49" i="9"/>
  <c r="W49" i="9" s="1"/>
  <c r="R48" i="9"/>
  <c r="U48" i="9"/>
  <c r="L51" i="9"/>
  <c r="T51" i="9" s="1"/>
  <c r="J73" i="7"/>
  <c r="J20" i="7" s="1"/>
  <c r="K73" i="7"/>
  <c r="K20" i="7" s="1"/>
  <c r="H73" i="7"/>
  <c r="H20" i="7" s="1"/>
  <c r="I73" i="7"/>
  <c r="I20" i="7" s="1"/>
  <c r="E73" i="7"/>
  <c r="E20" i="7" s="1"/>
  <c r="F73" i="7"/>
  <c r="F20" i="7" s="1"/>
  <c r="C73" i="7"/>
  <c r="M51" i="9" l="1"/>
  <c r="X50" i="9"/>
  <c r="Q50" i="9"/>
  <c r="W50" i="9" s="1"/>
  <c r="R49" i="9"/>
  <c r="U49" i="9"/>
  <c r="L52" i="9"/>
  <c r="T52" i="9" s="1"/>
  <c r="F17" i="7"/>
  <c r="H17" i="7"/>
  <c r="I17" i="7"/>
  <c r="K17" i="7"/>
  <c r="E17" i="7"/>
  <c r="J17" i="7"/>
  <c r="G17" i="7"/>
  <c r="M52" i="9" l="1"/>
  <c r="X51" i="9"/>
  <c r="Q51" i="9"/>
  <c r="W51" i="9" s="1"/>
  <c r="R50" i="9"/>
  <c r="U50" i="9"/>
  <c r="L53" i="9"/>
  <c r="T53" i="9" s="1"/>
  <c r="D14" i="7"/>
  <c r="E14" i="7" s="1"/>
  <c r="D10" i="7"/>
  <c r="E10" i="7" s="1"/>
  <c r="D13" i="7"/>
  <c r="E13" i="7" s="1"/>
  <c r="D11" i="7"/>
  <c r="E11" i="7" s="1"/>
  <c r="D9" i="7"/>
  <c r="E9" i="7" s="1"/>
  <c r="D8" i="7"/>
  <c r="E8" i="7" s="1"/>
  <c r="D12" i="7"/>
  <c r="E12" i="7" s="1"/>
  <c r="M53" i="9" l="1"/>
  <c r="X52" i="9"/>
  <c r="Q52" i="9"/>
  <c r="W52" i="9" s="1"/>
  <c r="R51" i="9"/>
  <c r="U51" i="9"/>
  <c r="L54" i="9"/>
  <c r="T54" i="9" s="1"/>
  <c r="C13" i="7"/>
  <c r="C11" i="7"/>
  <c r="C12" i="7" s="1"/>
  <c r="C14" i="7"/>
  <c r="C10" i="7"/>
  <c r="C9" i="7"/>
  <c r="C20" i="7"/>
  <c r="F8" i="7" s="1"/>
  <c r="G8" i="7" s="1"/>
  <c r="M54" i="9" l="1"/>
  <c r="X53" i="9"/>
  <c r="Q53" i="9"/>
  <c r="W53" i="9" s="1"/>
  <c r="R52" i="9"/>
  <c r="U52" i="9"/>
  <c r="L55" i="9"/>
  <c r="T55" i="9" s="1"/>
  <c r="F11" i="7"/>
  <c r="G11" i="7" s="1"/>
  <c r="F12" i="7"/>
  <c r="G12" i="7" s="1"/>
  <c r="F13" i="7"/>
  <c r="G13" i="7" s="1"/>
  <c r="F10" i="7"/>
  <c r="G10" i="7" s="1"/>
  <c r="F14" i="7"/>
  <c r="G14" i="7" s="1"/>
  <c r="F9" i="7"/>
  <c r="G9" i="7" s="1"/>
  <c r="M55" i="9" l="1"/>
  <c r="X54" i="9"/>
  <c r="Q54" i="9"/>
  <c r="W54" i="9" s="1"/>
  <c r="R53" i="9"/>
  <c r="U53" i="9"/>
  <c r="L56" i="9"/>
  <c r="T56" i="9" s="1"/>
  <c r="F1" i="2"/>
  <c r="G1" i="2"/>
  <c r="C1" i="2"/>
  <c r="D1" i="2"/>
  <c r="M56" i="9" l="1"/>
  <c r="X55" i="9"/>
  <c r="Q55" i="9"/>
  <c r="W55" i="9" s="1"/>
  <c r="R54" i="9"/>
  <c r="U54" i="9"/>
  <c r="L57" i="9"/>
  <c r="T57" i="9" s="1"/>
  <c r="E64" i="1"/>
  <c r="B226" i="9" s="1"/>
  <c r="G64" i="1"/>
  <c r="D226" i="9" s="1"/>
  <c r="I64" i="1"/>
  <c r="F226" i="9" s="1"/>
  <c r="J64" i="1"/>
  <c r="G226" i="9" s="1"/>
  <c r="M57" i="9" l="1"/>
  <c r="X56" i="9"/>
  <c r="Q56" i="9"/>
  <c r="W56" i="9" s="1"/>
  <c r="R55" i="9"/>
  <c r="U55" i="9"/>
  <c r="L58" i="9"/>
  <c r="T58" i="9" s="1"/>
  <c r="M61" i="1"/>
  <c r="M62" i="1" s="1"/>
  <c r="M58" i="9" l="1"/>
  <c r="X57" i="9"/>
  <c r="Q57" i="9"/>
  <c r="W57" i="9" s="1"/>
  <c r="R56" i="9"/>
  <c r="U56" i="9"/>
  <c r="L59" i="9"/>
  <c r="T59" i="9" s="1"/>
  <c r="M63" i="1"/>
  <c r="M64" i="1"/>
  <c r="M65" i="1" s="1"/>
  <c r="M66" i="1" s="1"/>
  <c r="M67" i="1" s="1"/>
  <c r="M68" i="1" s="1"/>
  <c r="J59" i="1"/>
  <c r="I59" i="1"/>
  <c r="H59" i="1"/>
  <c r="G59" i="1"/>
  <c r="F59" i="1"/>
  <c r="M59" i="9" l="1"/>
  <c r="X58" i="9"/>
  <c r="Q58" i="9"/>
  <c r="W58" i="9" s="1"/>
  <c r="R57" i="9"/>
  <c r="U57" i="9"/>
  <c r="L60" i="9"/>
  <c r="T60" i="9" s="1"/>
  <c r="D68" i="1"/>
  <c r="M69" i="1"/>
  <c r="M71" i="1" s="1"/>
  <c r="D66" i="1"/>
  <c r="A228" i="9" s="1"/>
  <c r="K228" i="9" s="1"/>
  <c r="D65" i="1"/>
  <c r="D64" i="1"/>
  <c r="D62" i="1"/>
  <c r="D61" i="1"/>
  <c r="A224" i="9" s="1"/>
  <c r="K224" i="9" s="1"/>
  <c r="D60" i="1"/>
  <c r="A223" i="9" s="1"/>
  <c r="K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M60" i="9" l="1"/>
  <c r="X59" i="9"/>
  <c r="Q59" i="9"/>
  <c r="W59" i="9" s="1"/>
  <c r="R58" i="9"/>
  <c r="U58" i="9"/>
  <c r="C66" i="1"/>
  <c r="L61" i="9"/>
  <c r="T61" i="9" s="1"/>
  <c r="D69" i="1"/>
  <c r="A230" i="9" s="1"/>
  <c r="K230" i="9" s="1"/>
  <c r="M72" i="1"/>
  <c r="M70" i="1"/>
  <c r="A227" i="9"/>
  <c r="K227" i="9" s="1"/>
  <c r="C65" i="1"/>
  <c r="C62" i="1"/>
  <c r="A225" i="9"/>
  <c r="K225" i="9" s="1"/>
  <c r="A226" i="9"/>
  <c r="K226" i="9" s="1"/>
  <c r="C64" i="1"/>
  <c r="C71" i="1"/>
  <c r="A231" i="9"/>
  <c r="K231" i="9" s="1"/>
  <c r="A229" i="9"/>
  <c r="K229" i="9" s="1"/>
  <c r="C69" i="1"/>
  <c r="M54" i="1"/>
  <c r="M55" i="1" s="1"/>
  <c r="M56" i="1" s="1"/>
  <c r="M57" i="1" s="1"/>
  <c r="M58" i="1" s="1"/>
  <c r="M61" i="9" l="1"/>
  <c r="X60" i="9"/>
  <c r="Q60" i="9"/>
  <c r="W60" i="9" s="1"/>
  <c r="R59" i="9"/>
  <c r="U59" i="9"/>
  <c r="L62" i="9"/>
  <c r="T62" i="9" s="1"/>
  <c r="M74" i="1"/>
  <c r="M75" i="1" s="1"/>
  <c r="D72" i="1"/>
  <c r="M59" i="1"/>
  <c r="D58" i="1"/>
  <c r="A222" i="9" s="1"/>
  <c r="K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M62" i="9" l="1"/>
  <c r="X61" i="9"/>
  <c r="Q61" i="9"/>
  <c r="W61" i="9" s="1"/>
  <c r="R60" i="9"/>
  <c r="U60" i="9"/>
  <c r="L63" i="9"/>
  <c r="T63" i="9" s="1"/>
  <c r="A232" i="9"/>
  <c r="K232" i="9" s="1"/>
  <c r="C72" i="1"/>
  <c r="M76" i="1"/>
  <c r="D75" i="1"/>
  <c r="O9" i="6"/>
  <c r="Q20" i="6" s="1"/>
  <c r="H17" i="6"/>
  <c r="I17" i="6"/>
  <c r="C20" i="6"/>
  <c r="F17" i="6"/>
  <c r="G17" i="6"/>
  <c r="J17" i="6"/>
  <c r="E17" i="6"/>
  <c r="M63" i="9" l="1"/>
  <c r="X62" i="9"/>
  <c r="Q62" i="9"/>
  <c r="W62" i="9" s="1"/>
  <c r="R61" i="9"/>
  <c r="U61" i="9"/>
  <c r="L64" i="9"/>
  <c r="T64" i="9" s="1"/>
  <c r="A234" i="9"/>
  <c r="K234" i="9" s="1"/>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M64" i="9" l="1"/>
  <c r="X63" i="9"/>
  <c r="Q63" i="9"/>
  <c r="W63" i="9" s="1"/>
  <c r="R62" i="9"/>
  <c r="U62" i="9"/>
  <c r="AQ6" i="3"/>
  <c r="L65" i="9"/>
  <c r="T65" i="9" s="1"/>
  <c r="S20" i="6"/>
  <c r="F22" i="3"/>
  <c r="F23" i="3"/>
  <c r="F21" i="3"/>
  <c r="F24" i="3"/>
  <c r="BC6" i="3"/>
  <c r="A235" i="9"/>
  <c r="K235" i="9" s="1"/>
  <c r="C76" i="1"/>
  <c r="BC5" i="3"/>
  <c r="M83" i="1"/>
  <c r="M84" i="1" s="1"/>
  <c r="D82" i="1"/>
  <c r="A240" i="9" s="1"/>
  <c r="K240" i="9" s="1"/>
  <c r="BC7" i="3"/>
  <c r="BC4" i="3"/>
  <c r="F8" i="6"/>
  <c r="G8" i="6" s="1"/>
  <c r="T2" i="3"/>
  <c r="F11" i="6"/>
  <c r="G11" i="6" s="1"/>
  <c r="C11" i="6"/>
  <c r="C10" i="6"/>
  <c r="F10" i="6"/>
  <c r="G10" i="6" s="1"/>
  <c r="F13" i="6"/>
  <c r="G13" i="6" s="1"/>
  <c r="C13" i="6"/>
  <c r="F9" i="6"/>
  <c r="G9" i="6" s="1"/>
  <c r="C9" i="6"/>
  <c r="C12" i="6"/>
  <c r="F12" i="6"/>
  <c r="G12" i="6" s="1"/>
  <c r="M65" i="9" l="1"/>
  <c r="X64" i="9"/>
  <c r="Q64" i="9"/>
  <c r="W64" i="9" s="1"/>
  <c r="R63" i="9"/>
  <c r="U63" i="9"/>
  <c r="L66" i="9"/>
  <c r="T66" i="9" s="1"/>
  <c r="F19" i="3"/>
  <c r="BC2" i="3"/>
  <c r="J45" i="1"/>
  <c r="G212" i="9" s="1"/>
  <c r="I45" i="1"/>
  <c r="F212" i="9" s="1"/>
  <c r="H45" i="1"/>
  <c r="G45" i="1"/>
  <c r="D212" i="9" s="1"/>
  <c r="F45" i="1"/>
  <c r="E45" i="1"/>
  <c r="B212" i="9" s="1"/>
  <c r="M66" i="9" l="1"/>
  <c r="X65" i="9"/>
  <c r="Q65" i="9"/>
  <c r="W65" i="9" s="1"/>
  <c r="R64" i="9"/>
  <c r="U64" i="9"/>
  <c r="L67" i="9"/>
  <c r="T67" i="9" s="1"/>
  <c r="E43" i="1"/>
  <c r="B211" i="9" s="1"/>
  <c r="F43" i="1"/>
  <c r="G43" i="1"/>
  <c r="D211" i="9" s="1"/>
  <c r="H43" i="1"/>
  <c r="I43" i="1"/>
  <c r="F211" i="9" s="1"/>
  <c r="J43" i="1"/>
  <c r="G211" i="9" s="1"/>
  <c r="M67" i="9" l="1"/>
  <c r="X66" i="9"/>
  <c r="Q66" i="9"/>
  <c r="W66" i="9" s="1"/>
  <c r="R65" i="9"/>
  <c r="U65" i="9"/>
  <c r="L68" i="9"/>
  <c r="T68" i="9" s="1"/>
  <c r="E46" i="1"/>
  <c r="B213" i="9" s="1"/>
  <c r="F46" i="1"/>
  <c r="G46" i="1"/>
  <c r="D213" i="9" s="1"/>
  <c r="H46" i="1"/>
  <c r="I46" i="1"/>
  <c r="F213" i="9" s="1"/>
  <c r="J46" i="1"/>
  <c r="G213" i="9" s="1"/>
  <c r="E47" i="1"/>
  <c r="B214" i="9" s="1"/>
  <c r="F47" i="1"/>
  <c r="G47" i="1"/>
  <c r="D214" i="9" s="1"/>
  <c r="H47" i="1"/>
  <c r="E214" i="9" s="1"/>
  <c r="I47" i="1"/>
  <c r="F214" i="9" s="1"/>
  <c r="J47" i="1"/>
  <c r="G214" i="9" s="1"/>
  <c r="M68" i="9" l="1"/>
  <c r="X67" i="9"/>
  <c r="Q67" i="9"/>
  <c r="W67" i="9" s="1"/>
  <c r="R66" i="9"/>
  <c r="U66" i="9"/>
  <c r="L69" i="9"/>
  <c r="T69" i="9" s="1"/>
  <c r="H1" i="2"/>
  <c r="M69" i="9" l="1"/>
  <c r="X68" i="9"/>
  <c r="Q68" i="9"/>
  <c r="W68" i="9" s="1"/>
  <c r="R67" i="9"/>
  <c r="U67" i="9"/>
  <c r="L70" i="9"/>
  <c r="T70" i="9" s="1"/>
  <c r="C9" i="1"/>
  <c r="C10" i="1"/>
  <c r="C11" i="1"/>
  <c r="C12" i="1"/>
  <c r="C13" i="1"/>
  <c r="M70" i="9" l="1"/>
  <c r="X69" i="9"/>
  <c r="Q69" i="9"/>
  <c r="W69" i="9" s="1"/>
  <c r="R68" i="9"/>
  <c r="U68" i="9"/>
  <c r="L71" i="9"/>
  <c r="T71" i="9" s="1"/>
  <c r="F36" i="1"/>
  <c r="C204" i="9" s="1"/>
  <c r="M71" i="9" l="1"/>
  <c r="X70" i="9"/>
  <c r="Q70" i="9"/>
  <c r="W70" i="9" s="1"/>
  <c r="R69" i="9"/>
  <c r="U69" i="9"/>
  <c r="L72" i="9"/>
  <c r="T72" i="9" s="1"/>
  <c r="M32" i="1"/>
  <c r="M33" i="1" s="1"/>
  <c r="M34" i="1" s="1"/>
  <c r="M35" i="1" s="1"/>
  <c r="M36" i="1" s="1"/>
  <c r="M37" i="1" s="1"/>
  <c r="M38" i="1" s="1"/>
  <c r="M39" i="1" s="1"/>
  <c r="S31" i="1"/>
  <c r="S20" i="1" s="1"/>
  <c r="O31" i="1"/>
  <c r="O20" i="1" s="1"/>
  <c r="M72" i="9" l="1"/>
  <c r="X71" i="9"/>
  <c r="Q71" i="9"/>
  <c r="W71" i="9" s="1"/>
  <c r="R70" i="9"/>
  <c r="U70" i="9"/>
  <c r="L73" i="9"/>
  <c r="T73" i="9" s="1"/>
  <c r="O10" i="1"/>
  <c r="AS3" i="3"/>
  <c r="AS4" i="3"/>
  <c r="O12" i="1"/>
  <c r="O8" i="1" s="1"/>
  <c r="M40" i="1"/>
  <c r="M41" i="1" s="1"/>
  <c r="M42" i="1" s="1"/>
  <c r="M43" i="1" s="1"/>
  <c r="M44" i="1" s="1"/>
  <c r="M45" i="1" s="1"/>
  <c r="M46" i="1" s="1"/>
  <c r="I30" i="1"/>
  <c r="F200" i="9" s="1"/>
  <c r="E30" i="1"/>
  <c r="B200" i="9" s="1"/>
  <c r="M73" i="9" l="1"/>
  <c r="X72" i="9"/>
  <c r="Q72" i="9"/>
  <c r="W72" i="9" s="1"/>
  <c r="R71" i="9"/>
  <c r="U71" i="9"/>
  <c r="L74" i="9"/>
  <c r="T74" i="9" s="1"/>
  <c r="O9" i="1"/>
  <c r="P20" i="1" s="1"/>
  <c r="AS6" i="3" s="1"/>
  <c r="R20" i="1"/>
  <c r="AS7" i="3" s="1"/>
  <c r="D45" i="1"/>
  <c r="C45" i="1" s="1"/>
  <c r="M47" i="1"/>
  <c r="D46" i="1"/>
  <c r="AL1" i="2"/>
  <c r="X2" i="2"/>
  <c r="A2" i="2"/>
  <c r="F29" i="1"/>
  <c r="E29" i="1"/>
  <c r="B199" i="9" s="1"/>
  <c r="G29" i="1"/>
  <c r="D199" i="9" s="1"/>
  <c r="H29" i="1"/>
  <c r="I29" i="1"/>
  <c r="F199" i="9" s="1"/>
  <c r="J29" i="1"/>
  <c r="G199" i="9" s="1"/>
  <c r="M74" i="9" l="1"/>
  <c r="X73" i="9"/>
  <c r="Q73" i="9"/>
  <c r="W73" i="9" s="1"/>
  <c r="R72" i="9"/>
  <c r="U72" i="9"/>
  <c r="L75" i="9"/>
  <c r="T75" i="9" s="1"/>
  <c r="O16" i="1"/>
  <c r="W16" i="1" s="1"/>
  <c r="A212" i="9"/>
  <c r="K212" i="9" s="1"/>
  <c r="C46" i="1"/>
  <c r="A213" i="9"/>
  <c r="K213" i="9" s="1"/>
  <c r="M49" i="1"/>
  <c r="D47" i="1"/>
  <c r="A1" i="4"/>
  <c r="P2" i="2"/>
  <c r="M75" i="9" l="1"/>
  <c r="X74" i="9"/>
  <c r="Q74" i="9"/>
  <c r="W74" i="9" s="1"/>
  <c r="R73" i="9"/>
  <c r="U73" i="9"/>
  <c r="L76" i="9"/>
  <c r="T76" i="9" s="1"/>
  <c r="M50" i="1"/>
  <c r="C47" i="1"/>
  <c r="A214" i="9"/>
  <c r="K214" i="9" s="1"/>
  <c r="E26" i="1"/>
  <c r="B196" i="9" s="1"/>
  <c r="G26" i="1"/>
  <c r="D196" i="9" s="1"/>
  <c r="I26" i="1"/>
  <c r="F196" i="9" s="1"/>
  <c r="M76" i="9" l="1"/>
  <c r="X75" i="9"/>
  <c r="Q75" i="9"/>
  <c r="W75" i="9" s="1"/>
  <c r="R74" i="9"/>
  <c r="U74" i="9"/>
  <c r="L77" i="9"/>
  <c r="T77" i="9" s="1"/>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Q2" i="3" l="1"/>
  <c r="Q3" i="3"/>
  <c r="Q4" i="3"/>
  <c r="M77" i="9"/>
  <c r="X76" i="9"/>
  <c r="Q76" i="9"/>
  <c r="W76" i="9" s="1"/>
  <c r="R75" i="9"/>
  <c r="U75" i="9"/>
  <c r="L78" i="9"/>
  <c r="T78" i="9" s="1"/>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Q5" i="3" l="1"/>
  <c r="E5" i="4" s="1"/>
  <c r="M78" i="9"/>
  <c r="X77" i="9"/>
  <c r="Q77" i="9"/>
  <c r="W77" i="9" s="1"/>
  <c r="R76" i="9"/>
  <c r="U76" i="9"/>
  <c r="E2" i="4"/>
  <c r="L79" i="9"/>
  <c r="T79" i="9" s="1"/>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Q6" i="3" l="1"/>
  <c r="U10" i="3"/>
  <c r="Q7" i="3"/>
  <c r="U9" i="3"/>
  <c r="M79" i="9"/>
  <c r="X78" i="9"/>
  <c r="Q78" i="9"/>
  <c r="W78" i="9" s="1"/>
  <c r="R77" i="9"/>
  <c r="U77" i="9"/>
  <c r="AR9" i="3"/>
  <c r="L80" i="9"/>
  <c r="T80" i="9" s="1"/>
  <c r="H22" i="3"/>
  <c r="C29" i="1"/>
  <c r="A199" i="9"/>
  <c r="K199" i="9" s="1"/>
  <c r="D8" i="5"/>
  <c r="E8" i="5" s="1"/>
  <c r="D10" i="5"/>
  <c r="E10" i="5" s="1"/>
  <c r="D13" i="5"/>
  <c r="E13" i="5" s="1"/>
  <c r="D11" i="5"/>
  <c r="E11" i="5" s="1"/>
  <c r="D12" i="5"/>
  <c r="E12" i="5" s="1"/>
  <c r="D9" i="5"/>
  <c r="E9" i="5" s="1"/>
  <c r="T3" i="3" s="1"/>
  <c r="C39" i="5"/>
  <c r="M40" i="5"/>
  <c r="M54" i="5"/>
  <c r="C53" i="5"/>
  <c r="B3" i="4"/>
  <c r="B4" i="4"/>
  <c r="J1" i="2"/>
  <c r="E1" i="2"/>
  <c r="K1" i="2" s="1"/>
  <c r="L1" i="2"/>
  <c r="M1" i="2"/>
  <c r="N1" i="2"/>
  <c r="I1" i="2"/>
  <c r="AZ9" i="3" l="1"/>
  <c r="T10" i="3"/>
  <c r="M80" i="9"/>
  <c r="X79" i="9"/>
  <c r="T9" i="3"/>
  <c r="H9" i="3" s="1"/>
  <c r="Q79" i="9"/>
  <c r="W79" i="9" s="1"/>
  <c r="R78" i="9"/>
  <c r="U78" i="9"/>
  <c r="L81" i="9"/>
  <c r="T81" i="9" s="1"/>
  <c r="F20" i="3"/>
  <c r="H20" i="3" s="1"/>
  <c r="BC3" i="3"/>
  <c r="BC9" i="3" s="1"/>
  <c r="C12" i="5"/>
  <c r="C9" i="5"/>
  <c r="C11" i="5"/>
  <c r="J2" i="2"/>
  <c r="L2" i="2"/>
  <c r="N2" i="2"/>
  <c r="M2" i="2"/>
  <c r="I2" i="2"/>
  <c r="K2" i="2"/>
  <c r="C10" i="5"/>
  <c r="C13" i="5"/>
  <c r="M55" i="5"/>
  <c r="C54" i="5"/>
  <c r="M41" i="5"/>
  <c r="C40" i="5"/>
  <c r="R1" i="2"/>
  <c r="U1" i="2"/>
  <c r="T1" i="2"/>
  <c r="Q1" i="2"/>
  <c r="S1" i="2"/>
  <c r="M81" i="9" l="1"/>
  <c r="X80" i="9"/>
  <c r="Q80" i="9"/>
  <c r="W80" i="9" s="1"/>
  <c r="R79" i="9"/>
  <c r="U79" i="9"/>
  <c r="L82" i="9"/>
  <c r="T82" i="9" s="1"/>
  <c r="Z1" i="2"/>
  <c r="AG1" i="2" s="1"/>
  <c r="AC1" i="2"/>
  <c r="AJ1" i="2" s="1"/>
  <c r="AA1" i="2"/>
  <c r="AH1" i="2" s="1"/>
  <c r="Y1" i="2"/>
  <c r="AD1" i="2"/>
  <c r="AK1" i="2" s="1"/>
  <c r="AB1" i="2"/>
  <c r="AI1" i="2" s="1"/>
  <c r="M42" i="5"/>
  <c r="C41" i="5"/>
  <c r="C55" i="5"/>
  <c r="M56" i="5"/>
  <c r="M82" i="9" l="1"/>
  <c r="X81" i="9"/>
  <c r="Q81" i="9"/>
  <c r="W81" i="9" s="1"/>
  <c r="R80" i="9"/>
  <c r="U80" i="9"/>
  <c r="L83" i="9"/>
  <c r="T83" i="9" s="1"/>
  <c r="AL2" i="2"/>
  <c r="AK2" i="2"/>
  <c r="AJ2" i="2"/>
  <c r="AI2" i="2"/>
  <c r="AH2" i="2"/>
  <c r="AG2" i="2"/>
  <c r="AF1" i="2"/>
  <c r="AF2" i="2" s="1"/>
  <c r="M57" i="5"/>
  <c r="C58" i="5" s="1"/>
  <c r="C56" i="5"/>
  <c r="M43" i="5"/>
  <c r="C42" i="5"/>
  <c r="M83" i="9" l="1"/>
  <c r="X82" i="9"/>
  <c r="Q82" i="9"/>
  <c r="W82" i="9" s="1"/>
  <c r="R81" i="9"/>
  <c r="U81" i="9"/>
  <c r="L84" i="9"/>
  <c r="T84" i="9" s="1"/>
  <c r="M44" i="5"/>
  <c r="C43" i="5"/>
  <c r="M84" i="9" l="1"/>
  <c r="X83" i="9"/>
  <c r="Q83" i="9"/>
  <c r="W83" i="9" s="1"/>
  <c r="R82" i="9"/>
  <c r="U82" i="9"/>
  <c r="L85" i="9"/>
  <c r="T85" i="9" s="1"/>
  <c r="M45" i="5"/>
  <c r="C44" i="5"/>
  <c r="C20" i="5" s="1"/>
  <c r="AF2" i="3" s="1"/>
  <c r="M85" i="9" l="1"/>
  <c r="X84" i="9"/>
  <c r="Q84" i="9"/>
  <c r="W84" i="9" s="1"/>
  <c r="R83" i="9"/>
  <c r="U83" i="9"/>
  <c r="L86" i="9"/>
  <c r="T86" i="9" s="1"/>
  <c r="I2" i="3"/>
  <c r="F11" i="5"/>
  <c r="G11" i="5" s="1"/>
  <c r="F12" i="5"/>
  <c r="G12" i="5" s="1"/>
  <c r="F13" i="5"/>
  <c r="G13" i="5" s="1"/>
  <c r="F8" i="5"/>
  <c r="G8" i="5" s="1"/>
  <c r="F9" i="5"/>
  <c r="G9" i="5" s="1"/>
  <c r="F10" i="5"/>
  <c r="G10" i="5" s="1"/>
  <c r="B2" i="4"/>
  <c r="B7" i="4"/>
  <c r="B6" i="4"/>
  <c r="B8" i="4"/>
  <c r="B1" i="4"/>
  <c r="D1" i="4"/>
  <c r="M86" i="9" l="1"/>
  <c r="X85" i="9"/>
  <c r="Q85" i="9"/>
  <c r="W85" i="9" s="1"/>
  <c r="R84" i="9"/>
  <c r="U84" i="9"/>
  <c r="L87" i="9"/>
  <c r="T87" i="9" s="1"/>
  <c r="D52" i="1"/>
  <c r="F34" i="1"/>
  <c r="M87" i="9" l="1"/>
  <c r="X86" i="9"/>
  <c r="Q86" i="9"/>
  <c r="W86" i="9" s="1"/>
  <c r="R85" i="9"/>
  <c r="U85" i="9"/>
  <c r="L88" i="9"/>
  <c r="T88" i="9" s="1"/>
  <c r="C52" i="1"/>
  <c r="A217" i="9"/>
  <c r="K217" i="9" s="1"/>
  <c r="J41" i="1"/>
  <c r="G209" i="9" s="1"/>
  <c r="M88" i="9" l="1"/>
  <c r="X87" i="9"/>
  <c r="Q87" i="9"/>
  <c r="W87" i="9" s="1"/>
  <c r="R86" i="9"/>
  <c r="U86" i="9"/>
  <c r="L89" i="9"/>
  <c r="T89" i="9" s="1"/>
  <c r="D43" i="1"/>
  <c r="A211" i="9" s="1"/>
  <c r="K211" i="9" s="1"/>
  <c r="M89" i="9" l="1"/>
  <c r="X88" i="9"/>
  <c r="Q88" i="9"/>
  <c r="W88" i="9" s="1"/>
  <c r="R87" i="9"/>
  <c r="U87" i="9"/>
  <c r="L90" i="9"/>
  <c r="T90" i="9" s="1"/>
  <c r="AP9" i="3"/>
  <c r="M90" i="9" l="1"/>
  <c r="X89" i="9"/>
  <c r="Q89" i="9"/>
  <c r="W89" i="9" s="1"/>
  <c r="R88" i="9"/>
  <c r="U88" i="9"/>
  <c r="L91" i="9"/>
  <c r="T91" i="9" s="1"/>
  <c r="AQ9" i="3"/>
  <c r="M91" i="9" l="1"/>
  <c r="X90" i="9"/>
  <c r="Q90" i="9"/>
  <c r="W90" i="9" s="1"/>
  <c r="R89" i="9"/>
  <c r="U89" i="9"/>
  <c r="L92" i="9"/>
  <c r="T92" i="9" s="1"/>
  <c r="AC2" i="3"/>
  <c r="M92" i="9" l="1"/>
  <c r="X91" i="9"/>
  <c r="Q91" i="9"/>
  <c r="W91" i="9" s="1"/>
  <c r="R90" i="9"/>
  <c r="U90" i="9"/>
  <c r="BA2" i="3"/>
  <c r="BA9" i="3" s="1"/>
  <c r="AC9" i="3"/>
  <c r="F9" i="3" s="1"/>
  <c r="L93" i="9"/>
  <c r="T93" i="9" s="1"/>
  <c r="AO9" i="3"/>
  <c r="C8" i="3"/>
  <c r="M93" i="9" l="1"/>
  <c r="X92" i="9"/>
  <c r="Q92" i="9"/>
  <c r="W92" i="9" s="1"/>
  <c r="R91" i="9"/>
  <c r="U91" i="9"/>
  <c r="L94" i="9"/>
  <c r="T94" i="9" s="1"/>
  <c r="F7" i="3"/>
  <c r="Q8" i="3"/>
  <c r="Q9" i="3" s="1"/>
  <c r="M94" i="9" l="1"/>
  <c r="X93" i="9"/>
  <c r="Q93" i="9"/>
  <c r="W93" i="9" s="1"/>
  <c r="R92" i="9"/>
  <c r="U92" i="9"/>
  <c r="L95" i="9"/>
  <c r="T95" i="9" s="1"/>
  <c r="F2" i="3"/>
  <c r="F4" i="3"/>
  <c r="F3" i="3"/>
  <c r="D28" i="1"/>
  <c r="A198" i="9" s="1"/>
  <c r="K198" i="9" s="1"/>
  <c r="M95" i="9" l="1"/>
  <c r="X94" i="9"/>
  <c r="Q94" i="9"/>
  <c r="W94" i="9" s="1"/>
  <c r="R93" i="9"/>
  <c r="U93" i="9"/>
  <c r="L96" i="9"/>
  <c r="T96" i="9" s="1"/>
  <c r="F5" i="3"/>
  <c r="F6" i="3"/>
  <c r="M96" i="9" l="1"/>
  <c r="X95" i="9"/>
  <c r="Q95" i="9"/>
  <c r="W95" i="9" s="1"/>
  <c r="R94" i="9"/>
  <c r="U94" i="9"/>
  <c r="L97" i="9"/>
  <c r="T97" i="9" s="1"/>
  <c r="B3" i="2"/>
  <c r="F26" i="1"/>
  <c r="H26" i="1"/>
  <c r="J26" i="1"/>
  <c r="G196" i="9" s="1"/>
  <c r="C8" i="1"/>
  <c r="M97" i="9" l="1"/>
  <c r="X96" i="9"/>
  <c r="Q96" i="9"/>
  <c r="W96" i="9" s="1"/>
  <c r="R95" i="9"/>
  <c r="U95" i="9"/>
  <c r="L98" i="9"/>
  <c r="T98" i="9" s="1"/>
  <c r="P3" i="2"/>
  <c r="A3" i="2"/>
  <c r="AK3" i="2" s="1"/>
  <c r="X3" i="2"/>
  <c r="B4" i="2"/>
  <c r="M98" i="9" l="1"/>
  <c r="X97" i="9"/>
  <c r="Q97" i="9"/>
  <c r="W97" i="9" s="1"/>
  <c r="R96" i="9"/>
  <c r="U96" i="9"/>
  <c r="L99" i="9"/>
  <c r="T99" i="9" s="1"/>
  <c r="P4" i="2"/>
  <c r="AI3" i="2"/>
  <c r="AG3" i="2"/>
  <c r="L3" i="2"/>
  <c r="AJ3" i="2"/>
  <c r="M3" i="2"/>
  <c r="N3" i="2"/>
  <c r="AL3" i="2"/>
  <c r="AF3" i="2"/>
  <c r="J3" i="2"/>
  <c r="AH3" i="2"/>
  <c r="K3" i="2"/>
  <c r="I3" i="2"/>
  <c r="A4" i="2"/>
  <c r="AG4" i="2" s="1"/>
  <c r="X4" i="2"/>
  <c r="B5" i="2"/>
  <c r="M99" i="9" l="1"/>
  <c r="X98" i="9"/>
  <c r="Q98" i="9"/>
  <c r="W98" i="9" s="1"/>
  <c r="R97" i="9"/>
  <c r="U97" i="9"/>
  <c r="L100" i="9"/>
  <c r="T100" i="9" s="1"/>
  <c r="P5" i="2"/>
  <c r="AJ4" i="2"/>
  <c r="J4" i="2"/>
  <c r="AL4" i="2"/>
  <c r="K4" i="2"/>
  <c r="M4" i="2"/>
  <c r="AH4" i="2"/>
  <c r="I4" i="2"/>
  <c r="AF4" i="2"/>
  <c r="AK4" i="2"/>
  <c r="A5" i="2"/>
  <c r="AH5" i="2" s="1"/>
  <c r="X5" i="2"/>
  <c r="N4" i="2"/>
  <c r="L4" i="2"/>
  <c r="AI4" i="2"/>
  <c r="B6" i="2"/>
  <c r="M100" i="9" l="1"/>
  <c r="X99" i="9"/>
  <c r="Q99" i="9"/>
  <c r="W99" i="9" s="1"/>
  <c r="R98" i="9"/>
  <c r="U98" i="9"/>
  <c r="L101" i="9"/>
  <c r="T101" i="9" s="1"/>
  <c r="P6" i="2"/>
  <c r="M5" i="2"/>
  <c r="AJ5" i="2"/>
  <c r="L5" i="2"/>
  <c r="N5" i="2"/>
  <c r="AG5" i="2"/>
  <c r="AI5" i="2"/>
  <c r="K5" i="2"/>
  <c r="I5" i="2"/>
  <c r="AF5" i="2"/>
  <c r="J5" i="2"/>
  <c r="AK5" i="2"/>
  <c r="AL5" i="2"/>
  <c r="A6" i="2"/>
  <c r="AG6" i="2" s="1"/>
  <c r="X6" i="2"/>
  <c r="B7" i="2"/>
  <c r="M101" i="9" l="1"/>
  <c r="X100" i="9"/>
  <c r="Q100" i="9"/>
  <c r="W100" i="9" s="1"/>
  <c r="R99" i="9"/>
  <c r="U99" i="9"/>
  <c r="L102" i="9"/>
  <c r="T102" i="9" s="1"/>
  <c r="P7" i="2"/>
  <c r="M6" i="2"/>
  <c r="K6" i="2"/>
  <c r="AF6" i="2"/>
  <c r="N6" i="2"/>
  <c r="AH6" i="2"/>
  <c r="I6" i="2"/>
  <c r="AJ6" i="2"/>
  <c r="AL6" i="2"/>
  <c r="AK6" i="2"/>
  <c r="AI6" i="2"/>
  <c r="A7" i="2"/>
  <c r="X7" i="2"/>
  <c r="L6" i="2"/>
  <c r="J6" i="2"/>
  <c r="B8" i="2"/>
  <c r="M102" i="9" l="1"/>
  <c r="X101" i="9"/>
  <c r="Q101" i="9"/>
  <c r="W101" i="9" s="1"/>
  <c r="R100" i="9"/>
  <c r="U100" i="9"/>
  <c r="L103" i="9"/>
  <c r="T103" i="9" s="1"/>
  <c r="P8" i="2"/>
  <c r="M7" i="2"/>
  <c r="K7" i="2"/>
  <c r="N7" i="2"/>
  <c r="I7" i="2"/>
  <c r="A8" i="2"/>
  <c r="X8" i="2"/>
  <c r="L7" i="2"/>
  <c r="J7" i="2"/>
  <c r="B9" i="2"/>
  <c r="M103" i="9" l="1"/>
  <c r="X102" i="9"/>
  <c r="Q102" i="9"/>
  <c r="W102" i="9" s="1"/>
  <c r="R101" i="9"/>
  <c r="U101" i="9"/>
  <c r="L104" i="9"/>
  <c r="T104" i="9" s="1"/>
  <c r="P9" i="2"/>
  <c r="K8" i="2"/>
  <c r="M8" i="2"/>
  <c r="I8" i="2"/>
  <c r="A9" i="2"/>
  <c r="X9" i="2"/>
  <c r="J8" i="2"/>
  <c r="N8" i="2"/>
  <c r="L8" i="2"/>
  <c r="B10" i="2"/>
  <c r="M104" i="9" l="1"/>
  <c r="X103" i="9"/>
  <c r="Q103" i="9"/>
  <c r="W103" i="9" s="1"/>
  <c r="R102" i="9"/>
  <c r="U102" i="9"/>
  <c r="L105" i="9"/>
  <c r="T105" i="9" s="1"/>
  <c r="B11" i="2"/>
  <c r="P10" i="2"/>
  <c r="K9" i="2"/>
  <c r="N9" i="2"/>
  <c r="A10" i="2"/>
  <c r="X10" i="2"/>
  <c r="I9" i="2"/>
  <c r="B12" i="2"/>
  <c r="M105" i="9" l="1"/>
  <c r="X104" i="9"/>
  <c r="Q104" i="9"/>
  <c r="W104" i="9" s="1"/>
  <c r="R103" i="9"/>
  <c r="U103" i="9"/>
  <c r="L106" i="9"/>
  <c r="T106" i="9" s="1"/>
  <c r="X11" i="2"/>
  <c r="A11" i="2"/>
  <c r="AI11" i="2" s="1"/>
  <c r="P12" i="2"/>
  <c r="P11" i="2"/>
  <c r="N10" i="2"/>
  <c r="K10" i="2"/>
  <c r="M10" i="2"/>
  <c r="B13" i="2"/>
  <c r="P13" i="2" s="1"/>
  <c r="A12" i="2"/>
  <c r="X12" i="2"/>
  <c r="L10" i="2"/>
  <c r="J10" i="2"/>
  <c r="I10" i="2"/>
  <c r="M106" i="9" l="1"/>
  <c r="X105" i="9"/>
  <c r="Q105" i="9"/>
  <c r="W105" i="9" s="1"/>
  <c r="R104" i="9"/>
  <c r="U104" i="9"/>
  <c r="L107" i="9"/>
  <c r="T107" i="9" s="1"/>
  <c r="I11" i="2"/>
  <c r="J11" i="2"/>
  <c r="AL11" i="2"/>
  <c r="AG11" i="2"/>
  <c r="AJ11" i="2"/>
  <c r="AF11" i="2"/>
  <c r="M11" i="2"/>
  <c r="N11" i="2"/>
  <c r="K11" i="2"/>
  <c r="AH11" i="2"/>
  <c r="L11" i="2"/>
  <c r="AK11" i="2"/>
  <c r="I12" i="2"/>
  <c r="X13" i="2"/>
  <c r="A13" i="2"/>
  <c r="M12" i="2"/>
  <c r="N12" i="2"/>
  <c r="K12" i="2"/>
  <c r="L12" i="2"/>
  <c r="J12" i="2"/>
  <c r="B14" i="2"/>
  <c r="M107" i="9" l="1"/>
  <c r="X106" i="9"/>
  <c r="Q106" i="9"/>
  <c r="W106" i="9" s="1"/>
  <c r="R105" i="9"/>
  <c r="U105" i="9"/>
  <c r="L108" i="9"/>
  <c r="T108" i="9" s="1"/>
  <c r="P14" i="2"/>
  <c r="J13" i="2"/>
  <c r="N13" i="2"/>
  <c r="AF13" i="2"/>
  <c r="AJ13" i="2"/>
  <c r="L13" i="2"/>
  <c r="AH13" i="2"/>
  <c r="K13" i="2"/>
  <c r="AG13" i="2"/>
  <c r="AK13" i="2"/>
  <c r="AL13" i="2"/>
  <c r="I13" i="2"/>
  <c r="M13" i="2"/>
  <c r="AI13" i="2"/>
  <c r="A14" i="2"/>
  <c r="X14" i="2"/>
  <c r="B15" i="2"/>
  <c r="M108" i="9" l="1"/>
  <c r="X107" i="9"/>
  <c r="Q107" i="9"/>
  <c r="W107" i="9" s="1"/>
  <c r="R106" i="9"/>
  <c r="U106" i="9"/>
  <c r="L109" i="9"/>
  <c r="T109" i="9" s="1"/>
  <c r="P15" i="2"/>
  <c r="K14" i="2"/>
  <c r="B16" i="2"/>
  <c r="A15" i="2"/>
  <c r="M14" i="2"/>
  <c r="N14" i="2"/>
  <c r="X15" i="2"/>
  <c r="J14" i="2"/>
  <c r="L14" i="2"/>
  <c r="I14" i="2"/>
  <c r="M109" i="9" l="1"/>
  <c r="X108" i="9"/>
  <c r="Q108" i="9"/>
  <c r="W108" i="9" s="1"/>
  <c r="R107" i="9"/>
  <c r="U107" i="9"/>
  <c r="L110" i="9"/>
  <c r="T110" i="9" s="1"/>
  <c r="P16" i="2"/>
  <c r="N15" i="2"/>
  <c r="B17" i="2"/>
  <c r="A16" i="2"/>
  <c r="K15" i="2"/>
  <c r="M15" i="2"/>
  <c r="L15" i="2"/>
  <c r="J15" i="2"/>
  <c r="I15" i="2"/>
  <c r="M110" i="9" l="1"/>
  <c r="X109" i="9"/>
  <c r="Q109" i="9"/>
  <c r="W109" i="9" s="1"/>
  <c r="R108" i="9"/>
  <c r="U108" i="9"/>
  <c r="L111" i="9"/>
  <c r="T111" i="9" s="1"/>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K196" i="9" s="1"/>
  <c r="D27" i="1"/>
  <c r="A197" i="9" s="1"/>
  <c r="K197" i="9" s="1"/>
  <c r="D30" i="1"/>
  <c r="A200" i="9" s="1"/>
  <c r="K200" i="9" s="1"/>
  <c r="D32" i="1"/>
  <c r="D34" i="1"/>
  <c r="A202" i="9" s="1"/>
  <c r="K202" i="9" s="1"/>
  <c r="D35" i="1"/>
  <c r="A203" i="9" s="1"/>
  <c r="K203" i="9" s="1"/>
  <c r="D36" i="1"/>
  <c r="A204" i="9" s="1"/>
  <c r="K204" i="9" s="1"/>
  <c r="D37" i="1"/>
  <c r="A205" i="9" s="1"/>
  <c r="K205" i="9" s="1"/>
  <c r="D38" i="1"/>
  <c r="A206" i="9" s="1"/>
  <c r="K206" i="9" s="1"/>
  <c r="D39" i="1"/>
  <c r="A207" i="9" s="1"/>
  <c r="K207" i="9" s="1"/>
  <c r="D40" i="1"/>
  <c r="D41" i="1"/>
  <c r="A209" i="9" s="1"/>
  <c r="K209" i="9" s="1"/>
  <c r="D42" i="1"/>
  <c r="A210" i="9" s="1"/>
  <c r="K210" i="9" s="1"/>
  <c r="D49" i="1"/>
  <c r="A215" i="9" s="1"/>
  <c r="K215" i="9" s="1"/>
  <c r="D50" i="1"/>
  <c r="A216" i="9" s="1"/>
  <c r="K216" i="9" s="1"/>
  <c r="D54" i="1"/>
  <c r="A218" i="9" s="1"/>
  <c r="K218" i="9" s="1"/>
  <c r="D55" i="1"/>
  <c r="A219" i="9" s="1"/>
  <c r="K219" i="9" s="1"/>
  <c r="D56" i="1"/>
  <c r="D57" i="1"/>
  <c r="A221" i="9" s="1"/>
  <c r="K221" i="9" s="1"/>
  <c r="D77" i="1"/>
  <c r="A236" i="9" s="1"/>
  <c r="K236" i="9" s="1"/>
  <c r="D78" i="1"/>
  <c r="A237" i="9" s="1"/>
  <c r="K237" i="9" s="1"/>
  <c r="D79" i="1"/>
  <c r="A238" i="9" s="1"/>
  <c r="K238" i="9" s="1"/>
  <c r="D80" i="1"/>
  <c r="A239" i="9" s="1"/>
  <c r="K239" i="9" s="1"/>
  <c r="D84" i="1"/>
  <c r="D85" i="1"/>
  <c r="A242" i="9" s="1"/>
  <c r="K242" i="9" s="1"/>
  <c r="D86" i="1"/>
  <c r="A243" i="9" s="1"/>
  <c r="K243" i="9" s="1"/>
  <c r="D88" i="1"/>
  <c r="A244" i="9" s="1"/>
  <c r="K244" i="9" s="1"/>
  <c r="D25" i="1"/>
  <c r="E25" i="1"/>
  <c r="J25" i="1"/>
  <c r="I25" i="1"/>
  <c r="G25" i="1"/>
  <c r="M111" i="9" l="1"/>
  <c r="X110" i="9"/>
  <c r="Q110" i="9"/>
  <c r="W110" i="9" s="1"/>
  <c r="R109" i="9"/>
  <c r="U109" i="9"/>
  <c r="L112" i="9"/>
  <c r="T112" i="9" s="1"/>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K241" i="9" s="1"/>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K195" i="9" s="1"/>
  <c r="V2" i="2"/>
  <c r="T2" i="2"/>
  <c r="Q2" i="2"/>
  <c r="R2" i="2"/>
  <c r="S2" i="2"/>
  <c r="U2" i="2"/>
  <c r="C56" i="1"/>
  <c r="A220" i="9"/>
  <c r="K220" i="9" s="1"/>
  <c r="C32" i="1"/>
  <c r="A201" i="9"/>
  <c r="K201" i="9" s="1"/>
  <c r="C40" i="1"/>
  <c r="A208" i="9"/>
  <c r="K208" i="9" s="1"/>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B19" i="2"/>
  <c r="A18" i="2"/>
  <c r="C2" i="3" l="1"/>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R110" i="9"/>
  <c r="Q111" i="9"/>
  <c r="W111" i="9" s="1"/>
  <c r="U110" i="9"/>
  <c r="S110" i="9"/>
  <c r="J22" i="3"/>
  <c r="L22" i="3" s="1"/>
  <c r="N22" i="3" s="1"/>
  <c r="P22" i="3" s="1"/>
  <c r="R22" i="3" s="1"/>
  <c r="T22" i="3" s="1"/>
  <c r="V9" i="3"/>
  <c r="J19" i="3"/>
  <c r="L19" i="3" s="1"/>
  <c r="N19" i="3" s="1"/>
  <c r="P19" i="3" s="1"/>
  <c r="R19" i="3" s="1"/>
  <c r="N283" i="9"/>
  <c r="N284" i="9" s="1"/>
  <c r="L113" i="9"/>
  <c r="T113" i="9" s="1"/>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T19" i="3" l="1"/>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W112" i="9" s="1"/>
  <c r="U111" i="9"/>
  <c r="A5" i="3"/>
  <c r="A5" i="4" s="1"/>
  <c r="A4" i="3"/>
  <c r="A4" i="4" s="1"/>
  <c r="A8" i="3"/>
  <c r="A3" i="3"/>
  <c r="A3" i="4" s="1"/>
  <c r="A7" i="3"/>
  <c r="A7" i="4" s="1"/>
  <c r="A6" i="3"/>
  <c r="A6" i="4" s="1"/>
  <c r="A2" i="3"/>
  <c r="A2" i="4" s="1"/>
  <c r="N285" i="9"/>
  <c r="N286" i="9" s="1"/>
  <c r="N287" i="9" s="1"/>
  <c r="N288" i="9" s="1"/>
  <c r="N289" i="9" s="1"/>
  <c r="L114" i="9"/>
  <c r="T114" i="9" s="1"/>
  <c r="AE18" i="2"/>
  <c r="AE17" i="2"/>
  <c r="AE16" i="2"/>
  <c r="AC19" i="2"/>
  <c r="AE14" i="2"/>
  <c r="Z19" i="2"/>
  <c r="AA19" i="2"/>
  <c r="AB19" i="2"/>
  <c r="AD19" i="2"/>
  <c r="AE15" i="2"/>
  <c r="AE11" i="2"/>
  <c r="AE13" i="2"/>
  <c r="AM69" i="3" l="1"/>
  <c r="V20" i="3"/>
  <c r="AN69" i="3" s="1"/>
  <c r="AM70" i="3"/>
  <c r="V24" i="3"/>
  <c r="AN70" i="3" s="1"/>
  <c r="AM66" i="3"/>
  <c r="J4" i="4"/>
  <c r="K5" i="4"/>
  <c r="S5" i="4" s="1"/>
  <c r="I2" i="4"/>
  <c r="J5" i="4"/>
  <c r="K7" i="4"/>
  <c r="S7" i="4" s="1"/>
  <c r="J6" i="4"/>
  <c r="J7" i="4"/>
  <c r="J3" i="4"/>
  <c r="M114" i="9"/>
  <c r="X113" i="9"/>
  <c r="F5" i="12"/>
  <c r="I5" i="12" s="1"/>
  <c r="R112" i="9"/>
  <c r="Q113" i="9"/>
  <c r="W113" i="9" s="1"/>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T115" i="9" s="1"/>
  <c r="AE19" i="2"/>
  <c r="K3" i="4"/>
  <c r="S3" i="4" s="1"/>
  <c r="K6" i="4"/>
  <c r="S6" i="4" s="1"/>
  <c r="K4" i="4"/>
  <c r="S4" i="4" s="1"/>
  <c r="C77" i="1"/>
  <c r="C78" i="1"/>
  <c r="C79" i="1"/>
  <c r="C80" i="1"/>
  <c r="C82" i="1"/>
  <c r="C86" i="1"/>
  <c r="C88" i="1"/>
  <c r="M5" i="4" l="1"/>
  <c r="M115" i="9"/>
  <c r="X114" i="9"/>
  <c r="M6" i="4"/>
  <c r="M3" i="4"/>
  <c r="N307" i="9"/>
  <c r="N308" i="9" s="1"/>
  <c r="N309" i="9" s="1"/>
  <c r="N310" i="9" s="1"/>
  <c r="N311" i="9" s="1"/>
  <c r="N312" i="9" s="1"/>
  <c r="N313" i="9" s="1"/>
  <c r="R113" i="9"/>
  <c r="Q114" i="9"/>
  <c r="W114" i="9" s="1"/>
  <c r="S113" i="9"/>
  <c r="U113" i="9"/>
  <c r="M7" i="4"/>
  <c r="M4" i="4"/>
  <c r="L116" i="9"/>
  <c r="T116" i="9" s="1"/>
  <c r="C54" i="1"/>
  <c r="C55" i="1"/>
  <c r="C57" i="1"/>
  <c r="C58" i="1"/>
  <c r="C35" i="1"/>
  <c r="M116" i="9" l="1"/>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W115" i="9" s="1"/>
  <c r="U114" i="9"/>
  <c r="S114" i="9"/>
  <c r="L117" i="9"/>
  <c r="T117" i="9" s="1"/>
  <c r="C28" i="1"/>
  <c r="M117" i="9" l="1"/>
  <c r="X116" i="9"/>
  <c r="N332" i="9"/>
  <c r="N333" i="9" s="1"/>
  <c r="R115" i="9"/>
  <c r="Q116" i="9"/>
  <c r="W116" i="9" s="1"/>
  <c r="U115" i="9"/>
  <c r="S115" i="9"/>
  <c r="L118" i="9"/>
  <c r="T118" i="9" s="1"/>
  <c r="M118" i="9" l="1"/>
  <c r="X117" i="9"/>
  <c r="N334" i="9"/>
  <c r="N335" i="9" s="1"/>
  <c r="N336" i="9" s="1"/>
  <c r="N337" i="9" s="1"/>
  <c r="N338" i="9" s="1"/>
  <c r="N339" i="9" s="1"/>
  <c r="R116" i="9"/>
  <c r="Q117" i="9"/>
  <c r="W117" i="9" s="1"/>
  <c r="S116" i="9"/>
  <c r="U116" i="9"/>
  <c r="L119" i="9"/>
  <c r="T119" i="9" s="1"/>
  <c r="E4" i="4"/>
  <c r="M119" i="9" l="1"/>
  <c r="X118" i="9"/>
  <c r="N340" i="9"/>
  <c r="R117" i="9"/>
  <c r="Q118" i="9"/>
  <c r="W118" i="9" s="1"/>
  <c r="U117" i="9"/>
  <c r="S117" i="9"/>
  <c r="L120" i="9"/>
  <c r="T120" i="9" s="1"/>
  <c r="E3" i="4"/>
  <c r="M120" i="9" l="1"/>
  <c r="X119" i="9"/>
  <c r="N341" i="9"/>
  <c r="R118" i="9"/>
  <c r="Q119" i="9"/>
  <c r="W119" i="9" s="1"/>
  <c r="S118" i="9"/>
  <c r="U118" i="9"/>
  <c r="L121" i="9"/>
  <c r="T121" i="9" s="1"/>
  <c r="M121" i="9" l="1"/>
  <c r="X120" i="9"/>
  <c r="N342" i="9"/>
  <c r="R119" i="9"/>
  <c r="Q120" i="9"/>
  <c r="W120" i="9" s="1"/>
  <c r="U119" i="9"/>
  <c r="S119" i="9"/>
  <c r="L122" i="9"/>
  <c r="T122" i="9" s="1"/>
  <c r="C27" i="1"/>
  <c r="C26" i="1"/>
  <c r="M122" i="9" l="1"/>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W121" i="9" s="1"/>
  <c r="S120" i="9"/>
  <c r="U120" i="9"/>
  <c r="L123" i="9"/>
  <c r="T123" i="9" s="1"/>
  <c r="C30" i="1"/>
  <c r="N366" i="9" l="1"/>
  <c r="N367" i="9" s="1"/>
  <c r="N368" i="9" s="1"/>
  <c r="N369" i="9" s="1"/>
  <c r="N370" i="9" s="1"/>
  <c r="N371" i="9" s="1"/>
  <c r="M123" i="9"/>
  <c r="X122" i="9"/>
  <c r="R121" i="9"/>
  <c r="Q122" i="9"/>
  <c r="W122" i="9" s="1"/>
  <c r="S121" i="9"/>
  <c r="U121" i="9"/>
  <c r="L124" i="9"/>
  <c r="T124" i="9" s="1"/>
  <c r="C34" i="1"/>
  <c r="M124" i="9" l="1"/>
  <c r="X123" i="9"/>
  <c r="R122" i="9"/>
  <c r="Q123" i="9"/>
  <c r="W123" i="9" s="1"/>
  <c r="S122" i="9"/>
  <c r="U122" i="9"/>
  <c r="L125" i="9"/>
  <c r="T125" i="9" s="1"/>
  <c r="T5" i="1"/>
  <c r="C36" i="1"/>
  <c r="M125" i="9" l="1"/>
  <c r="X124" i="9"/>
  <c r="R123" i="9"/>
  <c r="Q124" i="9"/>
  <c r="W124" i="9" s="1"/>
  <c r="U123" i="9"/>
  <c r="S123" i="9"/>
  <c r="L126" i="9"/>
  <c r="T126" i="9" s="1"/>
  <c r="C37" i="1"/>
  <c r="M126" i="9" l="1"/>
  <c r="X125" i="9"/>
  <c r="R124" i="9"/>
  <c r="Q125" i="9"/>
  <c r="W125" i="9" s="1"/>
  <c r="S124" i="9"/>
  <c r="U124" i="9"/>
  <c r="L127" i="9"/>
  <c r="T127" i="9" s="1"/>
  <c r="C38" i="1"/>
  <c r="M127" i="9" l="1"/>
  <c r="X126" i="9"/>
  <c r="R125" i="9"/>
  <c r="Q126" i="9"/>
  <c r="W126" i="9" s="1"/>
  <c r="S125" i="9"/>
  <c r="U125" i="9"/>
  <c r="L128" i="9"/>
  <c r="T128" i="9" s="1"/>
  <c r="C39" i="1"/>
  <c r="M128" i="9" l="1"/>
  <c r="X127" i="9"/>
  <c r="R126" i="9"/>
  <c r="Q127" i="9"/>
  <c r="W127" i="9" s="1"/>
  <c r="S126" i="9"/>
  <c r="U126" i="9"/>
  <c r="L129" i="9"/>
  <c r="T129" i="9" s="1"/>
  <c r="C42" i="1"/>
  <c r="C41" i="1"/>
  <c r="M129" i="9" l="1"/>
  <c r="X128" i="9"/>
  <c r="R127" i="9"/>
  <c r="Q128" i="9"/>
  <c r="W128" i="9" s="1"/>
  <c r="U127" i="9"/>
  <c r="S127" i="9"/>
  <c r="L130" i="9"/>
  <c r="T130" i="9" s="1"/>
  <c r="C43" i="1"/>
  <c r="M130" i="9" l="1"/>
  <c r="X129" i="9"/>
  <c r="R128" i="9"/>
  <c r="Q129" i="9"/>
  <c r="W129" i="9" s="1"/>
  <c r="S128" i="9"/>
  <c r="U128" i="9"/>
  <c r="L131" i="9"/>
  <c r="T131" i="9" s="1"/>
  <c r="C49" i="1"/>
  <c r="M131" i="9" l="1"/>
  <c r="X130" i="9"/>
  <c r="R129" i="9"/>
  <c r="Q130" i="9"/>
  <c r="W130" i="9" s="1"/>
  <c r="U129" i="9"/>
  <c r="S129" i="9"/>
  <c r="L132" i="9"/>
  <c r="T132" i="9" s="1"/>
  <c r="C50" i="1"/>
  <c r="M132" i="9" l="1"/>
  <c r="X131" i="9"/>
  <c r="R130" i="9"/>
  <c r="Q131" i="9"/>
  <c r="W131" i="9" s="1"/>
  <c r="S130" i="9"/>
  <c r="U130" i="9"/>
  <c r="L133" i="9"/>
  <c r="T133" i="9" s="1"/>
  <c r="AE2" i="2"/>
  <c r="Y6" i="2"/>
  <c r="Y10" i="2"/>
  <c r="F17" i="1"/>
  <c r="H17" i="1"/>
  <c r="G17" i="1"/>
  <c r="J17" i="1"/>
  <c r="I17" i="1"/>
  <c r="M133" i="9" l="1"/>
  <c r="X132" i="9"/>
  <c r="R131" i="9"/>
  <c r="Q132" i="9"/>
  <c r="W132" i="9" s="1"/>
  <c r="U131" i="9"/>
  <c r="S131" i="9"/>
  <c r="L134" i="9"/>
  <c r="T134" i="9" s="1"/>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M134" i="9" l="1"/>
  <c r="X133" i="9"/>
  <c r="R132" i="9"/>
  <c r="Q133" i="9"/>
  <c r="W133" i="9" s="1"/>
  <c r="S132" i="9"/>
  <c r="U132" i="9"/>
  <c r="L135" i="9"/>
  <c r="T135" i="9" s="1"/>
  <c r="AL14" i="2"/>
  <c r="AF14" i="2"/>
  <c r="AE12" i="2"/>
  <c r="AL12" i="2" s="1"/>
  <c r="AF12" i="2"/>
  <c r="AE9" i="2"/>
  <c r="AL9" i="2" s="1"/>
  <c r="AF9" i="2"/>
  <c r="AE8" i="2"/>
  <c r="AL8" i="2" s="1"/>
  <c r="AF8" i="2"/>
  <c r="AE7" i="2"/>
  <c r="AL7" i="2" s="1"/>
  <c r="AF7" i="2"/>
  <c r="AF5" i="3"/>
  <c r="BD9" i="3" s="1"/>
  <c r="M135" i="9" l="1"/>
  <c r="X134" i="9"/>
  <c r="R133" i="9"/>
  <c r="Q134" i="9"/>
  <c r="W134" i="9" s="1"/>
  <c r="U133" i="9"/>
  <c r="S133" i="9"/>
  <c r="L136" i="9"/>
  <c r="T136" i="9" s="1"/>
  <c r="AF4" i="3"/>
  <c r="I5" i="3"/>
  <c r="M136" i="9" l="1"/>
  <c r="X135" i="9"/>
  <c r="R134" i="9"/>
  <c r="Q135" i="9"/>
  <c r="W135" i="9" s="1"/>
  <c r="S134" i="9"/>
  <c r="U134" i="9"/>
  <c r="L137" i="9"/>
  <c r="T137" i="9" s="1"/>
  <c r="AF3" i="3"/>
  <c r="I4" i="3"/>
  <c r="M137" i="9" l="1"/>
  <c r="X136" i="9"/>
  <c r="R135" i="9"/>
  <c r="Q136" i="9"/>
  <c r="W136" i="9" s="1"/>
  <c r="U135" i="9"/>
  <c r="S135" i="9"/>
  <c r="AF7" i="3"/>
  <c r="L138" i="9"/>
  <c r="T138" i="9" s="1"/>
  <c r="I3" i="3"/>
  <c r="AF6" i="3" l="1"/>
  <c r="M138" i="9"/>
  <c r="X137" i="9"/>
  <c r="R136" i="9"/>
  <c r="Q137" i="9"/>
  <c r="W137" i="9" s="1"/>
  <c r="S136" i="9"/>
  <c r="U136" i="9"/>
  <c r="L139" i="9"/>
  <c r="T139" i="9" s="1"/>
  <c r="I7" i="3"/>
  <c r="AF9" i="3" l="1"/>
  <c r="I9" i="3" s="1"/>
  <c r="M139" i="9"/>
  <c r="X138" i="9"/>
  <c r="R137" i="9"/>
  <c r="Q138" i="9"/>
  <c r="W138" i="9" s="1"/>
  <c r="S137" i="9"/>
  <c r="U137" i="9"/>
  <c r="L140" i="9"/>
  <c r="T140" i="9" s="1"/>
  <c r="AF8" i="3"/>
  <c r="E8" i="3" s="1"/>
  <c r="I6" i="3"/>
  <c r="M140" i="9" l="1"/>
  <c r="X139" i="9"/>
  <c r="R138" i="9"/>
  <c r="Q139" i="9"/>
  <c r="W139" i="9" s="1"/>
  <c r="S138" i="9"/>
  <c r="U138" i="9"/>
  <c r="L141" i="9"/>
  <c r="T141" i="9" s="1"/>
  <c r="E6" i="4"/>
  <c r="M141" i="9" l="1"/>
  <c r="X140" i="9"/>
  <c r="R139" i="9"/>
  <c r="Q140" i="9"/>
  <c r="W140" i="9" s="1"/>
  <c r="U139" i="9"/>
  <c r="S139" i="9"/>
  <c r="L142" i="9"/>
  <c r="T142" i="9" s="1"/>
  <c r="E7" i="4"/>
  <c r="AS9" i="3"/>
  <c r="M142" i="9" l="1"/>
  <c r="X141" i="9"/>
  <c r="R140" i="9"/>
  <c r="Q141" i="9"/>
  <c r="W141" i="9" s="1"/>
  <c r="U140" i="9"/>
  <c r="S140" i="9"/>
  <c r="L143" i="9"/>
  <c r="T143" i="9" s="1"/>
  <c r="M143" i="9" l="1"/>
  <c r="X142" i="9"/>
  <c r="R141" i="9"/>
  <c r="Q142" i="9"/>
  <c r="W142" i="9" s="1"/>
  <c r="U141" i="9"/>
  <c r="S141" i="9"/>
  <c r="L144" i="9"/>
  <c r="T144" i="9" s="1"/>
  <c r="J9" i="2"/>
  <c r="L9" i="2"/>
  <c r="M9" i="2"/>
  <c r="M144" i="9" l="1"/>
  <c r="X143" i="9"/>
  <c r="R142" i="9"/>
  <c r="Q143" i="9"/>
  <c r="W143" i="9" s="1"/>
  <c r="U142" i="9"/>
  <c r="S142" i="9"/>
  <c r="L145" i="9"/>
  <c r="T145" i="9" s="1"/>
  <c r="I16" i="2"/>
  <c r="X16" i="2"/>
  <c r="M16" i="2"/>
  <c r="M145" i="9" l="1"/>
  <c r="X144" i="9"/>
  <c r="R143" i="9"/>
  <c r="Q144" i="9"/>
  <c r="W144" i="9" s="1"/>
  <c r="S143" i="9"/>
  <c r="U143" i="9"/>
  <c r="L146" i="9"/>
  <c r="T146" i="9" s="1"/>
  <c r="K16" i="2"/>
  <c r="J16" i="2"/>
  <c r="L16" i="2"/>
  <c r="AF16" i="2"/>
  <c r="AH16" i="2"/>
  <c r="AJ16" i="2"/>
  <c r="AI16" i="2"/>
  <c r="AK16" i="2"/>
  <c r="X17" i="2"/>
  <c r="AG16" i="2"/>
  <c r="M146" i="9" l="1"/>
  <c r="X145" i="9"/>
  <c r="R144" i="9"/>
  <c r="Q145" i="9"/>
  <c r="W145" i="9" s="1"/>
  <c r="U144" i="9"/>
  <c r="S144" i="9"/>
  <c r="L147" i="9"/>
  <c r="T147" i="9" s="1"/>
  <c r="M17" i="2"/>
  <c r="I17" i="2"/>
  <c r="L17" i="2"/>
  <c r="N17" i="2"/>
  <c r="J17" i="2"/>
  <c r="K17" i="2"/>
  <c r="AH17" i="2"/>
  <c r="AL16" i="2"/>
  <c r="AI17" i="2"/>
  <c r="AK17" i="2"/>
  <c r="AF17" i="2"/>
  <c r="X18" i="2"/>
  <c r="AG17" i="2"/>
  <c r="AJ17" i="2"/>
  <c r="M147" i="9" l="1"/>
  <c r="X146" i="9"/>
  <c r="R145" i="9"/>
  <c r="Q146" i="9"/>
  <c r="W146" i="9" s="1"/>
  <c r="U145" i="9"/>
  <c r="S145" i="9"/>
  <c r="L148" i="9"/>
  <c r="T148" i="9" s="1"/>
  <c r="L18" i="2"/>
  <c r="AK18" i="2"/>
  <c r="AL17" i="2"/>
  <c r="M18" i="2"/>
  <c r="AJ18" i="2"/>
  <c r="N18" i="2"/>
  <c r="I18" i="2"/>
  <c r="J18" i="2"/>
  <c r="K18" i="2"/>
  <c r="AI18" i="2"/>
  <c r="X19" i="2"/>
  <c r="B20" i="2"/>
  <c r="AH18" i="2"/>
  <c r="AF18" i="2"/>
  <c r="AG18" i="2"/>
  <c r="M148" i="9" l="1"/>
  <c r="X147" i="9"/>
  <c r="R146" i="9"/>
  <c r="Q147" i="9"/>
  <c r="W147" i="9" s="1"/>
  <c r="S146" i="9"/>
  <c r="U146" i="9"/>
  <c r="L149" i="9"/>
  <c r="T149" i="9" s="1"/>
  <c r="S20" i="2"/>
  <c r="T20" i="2"/>
  <c r="U20" i="2"/>
  <c r="R20" i="2"/>
  <c r="V20" i="2"/>
  <c r="Q20" i="2"/>
  <c r="P20" i="2"/>
  <c r="A20" i="2"/>
  <c r="J19" i="2"/>
  <c r="L19" i="2"/>
  <c r="AG19" i="2"/>
  <c r="AL18" i="2"/>
  <c r="AK19" i="2"/>
  <c r="AJ19" i="2"/>
  <c r="N19" i="2"/>
  <c r="I19" i="2"/>
  <c r="AH19" i="2"/>
  <c r="M19" i="2"/>
  <c r="K19" i="2"/>
  <c r="AI19" i="2"/>
  <c r="X20" i="2"/>
  <c r="B21" i="2"/>
  <c r="M149" i="9" l="1"/>
  <c r="X148" i="9"/>
  <c r="R147" i="9"/>
  <c r="Q148" i="9"/>
  <c r="W148" i="9" s="1"/>
  <c r="U147" i="9"/>
  <c r="S147" i="9"/>
  <c r="L150" i="9"/>
  <c r="T150" i="9" s="1"/>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M150" i="9" l="1"/>
  <c r="X149" i="9"/>
  <c r="R148" i="9"/>
  <c r="Q149" i="9"/>
  <c r="W149" i="9" s="1"/>
  <c r="S148" i="9"/>
  <c r="U148" i="9"/>
  <c r="L151" i="9"/>
  <c r="T151" i="9" s="1"/>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M151" i="9" l="1"/>
  <c r="X150" i="9"/>
  <c r="R149" i="9"/>
  <c r="Q150" i="9"/>
  <c r="W150" i="9" s="1"/>
  <c r="U149" i="9"/>
  <c r="S149" i="9"/>
  <c r="L152" i="9"/>
  <c r="T152" i="9" s="1"/>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M152" i="9" l="1"/>
  <c r="X151" i="9"/>
  <c r="R150" i="9"/>
  <c r="Q151" i="9"/>
  <c r="W151" i="9" s="1"/>
  <c r="S150" i="9"/>
  <c r="U150" i="9"/>
  <c r="L153" i="9"/>
  <c r="T153" i="9" s="1"/>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M153" i="9" l="1"/>
  <c r="X152" i="9"/>
  <c r="R151" i="9"/>
  <c r="Q152" i="9"/>
  <c r="W152" i="9" s="1"/>
  <c r="S151" i="9"/>
  <c r="U151" i="9"/>
  <c r="AD24" i="2"/>
  <c r="AB24" i="2"/>
  <c r="L154" i="9"/>
  <c r="T154" i="9" s="1"/>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M154" i="9" l="1"/>
  <c r="X153" i="9"/>
  <c r="R152" i="9"/>
  <c r="Q153" i="9"/>
  <c r="W153" i="9" s="1"/>
  <c r="U152" i="9"/>
  <c r="S152" i="9"/>
  <c r="L155" i="9"/>
  <c r="T155" i="9" s="1"/>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M155" i="9" l="1"/>
  <c r="X154" i="9"/>
  <c r="R153" i="9"/>
  <c r="Q154" i="9"/>
  <c r="W154" i="9" s="1"/>
  <c r="U153" i="9"/>
  <c r="S153" i="9"/>
  <c r="L156" i="9"/>
  <c r="T156" i="9" s="1"/>
  <c r="Q27" i="2"/>
  <c r="R27" i="2"/>
  <c r="S27" i="2"/>
  <c r="T27" i="2"/>
  <c r="U27" i="2"/>
  <c r="V27" i="2"/>
  <c r="Z26" i="2"/>
  <c r="AC26" i="2"/>
  <c r="Y26" i="2"/>
  <c r="A27" i="2"/>
  <c r="P27" i="2"/>
  <c r="AC27" i="2"/>
  <c r="J26" i="2"/>
  <c r="L26" i="2"/>
  <c r="AL25" i="2"/>
  <c r="X27" i="2"/>
  <c r="B28" i="2"/>
  <c r="I26" i="2"/>
  <c r="K26" i="2"/>
  <c r="M26" i="2"/>
  <c r="N26" i="2"/>
  <c r="AK26" i="2"/>
  <c r="AJ26" i="2"/>
  <c r="AG26" i="2"/>
  <c r="AH26" i="2"/>
  <c r="AI26" i="2"/>
  <c r="M156" i="9" l="1"/>
  <c r="X155" i="9"/>
  <c r="R154" i="9"/>
  <c r="Q155" i="9"/>
  <c r="W155" i="9" s="1"/>
  <c r="U154" i="9"/>
  <c r="S154" i="9"/>
  <c r="AD27" i="2"/>
  <c r="AB27" i="2"/>
  <c r="Y27" i="2"/>
  <c r="L157" i="9"/>
  <c r="T157" i="9" s="1"/>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M157" i="9" l="1"/>
  <c r="X156" i="9"/>
  <c r="R155" i="9"/>
  <c r="Q156" i="9"/>
  <c r="W156" i="9" s="1"/>
  <c r="U155" i="9"/>
  <c r="S155" i="9"/>
  <c r="Z28" i="2"/>
  <c r="AB28" i="2"/>
  <c r="Y28" i="2"/>
  <c r="L158" i="9"/>
  <c r="T158" i="9" s="1"/>
  <c r="AA28" i="2"/>
  <c r="U29" i="2"/>
  <c r="V29" i="2"/>
  <c r="T29" i="2"/>
  <c r="Q29" i="2"/>
  <c r="R29" i="2"/>
  <c r="S29" i="2"/>
  <c r="AE28" i="2"/>
  <c r="A29" i="2"/>
  <c r="P29" i="2"/>
  <c r="AC29" i="2"/>
  <c r="AL27" i="2"/>
  <c r="X29" i="2"/>
  <c r="B30" i="2"/>
  <c r="L28" i="2"/>
  <c r="I28" i="2"/>
  <c r="J28" i="2"/>
  <c r="M28" i="2"/>
  <c r="N28" i="2"/>
  <c r="K28" i="2"/>
  <c r="AK28" i="2"/>
  <c r="AJ28" i="2"/>
  <c r="AI28" i="2"/>
  <c r="AH28" i="2"/>
  <c r="AG28" i="2"/>
  <c r="M158" i="9" l="1"/>
  <c r="X157" i="9"/>
  <c r="R156" i="9"/>
  <c r="Q157" i="9"/>
  <c r="W157" i="9" s="1"/>
  <c r="U156" i="9"/>
  <c r="S156" i="9"/>
  <c r="L159" i="9"/>
  <c r="T159" i="9" s="1"/>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M159" i="9" l="1"/>
  <c r="X158" i="9"/>
  <c r="R157" i="9"/>
  <c r="Q158" i="9"/>
  <c r="W158" i="9" s="1"/>
  <c r="U157" i="9"/>
  <c r="S157" i="9"/>
  <c r="AB30" i="2"/>
  <c r="L160" i="9"/>
  <c r="T160" i="9" s="1"/>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M160" i="9" l="1"/>
  <c r="X159" i="9"/>
  <c r="R158" i="9"/>
  <c r="Q159" i="9"/>
  <c r="W159" i="9" s="1"/>
  <c r="U158" i="9"/>
  <c r="S158" i="9"/>
  <c r="AA31" i="2"/>
  <c r="AD31" i="2"/>
  <c r="L161" i="9"/>
  <c r="T161" i="9" s="1"/>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M161" i="9" l="1"/>
  <c r="X160" i="9"/>
  <c r="R159" i="9"/>
  <c r="Q160" i="9"/>
  <c r="W160" i="9" s="1"/>
  <c r="S159" i="9"/>
  <c r="U159" i="9"/>
  <c r="L162" i="9"/>
  <c r="T162" i="9" s="1"/>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M162" i="9" l="1"/>
  <c r="X161" i="9"/>
  <c r="R160" i="9"/>
  <c r="Q161" i="9"/>
  <c r="W161" i="9" s="1"/>
  <c r="S160" i="9"/>
  <c r="U160" i="9"/>
  <c r="AC33" i="2"/>
  <c r="L163" i="9"/>
  <c r="T163" i="9" s="1"/>
  <c r="AA33" i="2"/>
  <c r="Y33" i="2"/>
  <c r="AB33" i="2"/>
  <c r="Q34" i="2"/>
  <c r="V34" i="2"/>
  <c r="R34" i="2"/>
  <c r="S34" i="2"/>
  <c r="T34" i="2"/>
  <c r="U34" i="2"/>
  <c r="A34" i="2"/>
  <c r="P34" i="2"/>
  <c r="AE33" i="2"/>
  <c r="AL32" i="2"/>
  <c r="AF32" i="2"/>
  <c r="AJ33" i="2"/>
  <c r="AK33" i="2"/>
  <c r="AG33" i="2"/>
  <c r="X34" i="2"/>
  <c r="B35" i="2"/>
  <c r="AH33" i="2"/>
  <c r="N33" i="2"/>
  <c r="K33" i="2"/>
  <c r="AI33" i="2"/>
  <c r="M33" i="2"/>
  <c r="I33" i="2"/>
  <c r="M163" i="9" l="1"/>
  <c r="X162" i="9"/>
  <c r="R161" i="9"/>
  <c r="Q162" i="9"/>
  <c r="W162" i="9" s="1"/>
  <c r="U161" i="9"/>
  <c r="S161" i="9"/>
  <c r="AD34" i="2"/>
  <c r="L164" i="9"/>
  <c r="T164" i="9" s="1"/>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M164" i="9" l="1"/>
  <c r="X163" i="9"/>
  <c r="R162" i="9"/>
  <c r="Q163" i="9"/>
  <c r="W163" i="9" s="1"/>
  <c r="U162" i="9"/>
  <c r="S162" i="9"/>
  <c r="L165" i="9"/>
  <c r="T165" i="9" s="1"/>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M165" i="9" l="1"/>
  <c r="X164" i="9"/>
  <c r="R163" i="9"/>
  <c r="Q164" i="9"/>
  <c r="W164" i="9" s="1"/>
  <c r="S163" i="9"/>
  <c r="U163" i="9"/>
  <c r="AE35" i="2"/>
  <c r="L166" i="9"/>
  <c r="T166" i="9" s="1"/>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M166" i="9" l="1"/>
  <c r="X165" i="9"/>
  <c r="R164" i="9"/>
  <c r="Q165" i="9"/>
  <c r="W165" i="9" s="1"/>
  <c r="U164" i="9"/>
  <c r="S164" i="9"/>
  <c r="L167" i="9"/>
  <c r="T167" i="9" s="1"/>
  <c r="V38" i="2"/>
  <c r="Q38" i="2"/>
  <c r="R38" i="2"/>
  <c r="S38" i="2"/>
  <c r="T38" i="2"/>
  <c r="U38" i="2"/>
  <c r="A38" i="2"/>
  <c r="P38" i="2"/>
  <c r="AE36" i="2"/>
  <c r="AE37" i="2"/>
  <c r="AL36" i="2"/>
  <c r="X38" i="2"/>
  <c r="B39" i="2"/>
  <c r="N37" i="2"/>
  <c r="M37" i="2"/>
  <c r="I37" i="2"/>
  <c r="K37" i="2"/>
  <c r="J37" i="2"/>
  <c r="AF37" i="2"/>
  <c r="AJ37" i="2"/>
  <c r="AI37" i="2"/>
  <c r="AK37" i="2"/>
  <c r="AH37" i="2"/>
  <c r="AG37" i="2"/>
  <c r="M167" i="9" l="1"/>
  <c r="X166" i="9"/>
  <c r="R165" i="9"/>
  <c r="Q166" i="9"/>
  <c r="W166" i="9" s="1"/>
  <c r="S165" i="9"/>
  <c r="U165" i="9"/>
  <c r="AB38" i="2"/>
  <c r="L168" i="9"/>
  <c r="T168" i="9" s="1"/>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M168" i="9" l="1"/>
  <c r="X167" i="9"/>
  <c r="R166" i="9"/>
  <c r="Q167" i="9"/>
  <c r="W167" i="9" s="1"/>
  <c r="S166" i="9"/>
  <c r="U166" i="9"/>
  <c r="AD39" i="2"/>
  <c r="AB39" i="2"/>
  <c r="AC39" i="2"/>
  <c r="L169" i="9"/>
  <c r="T169" i="9" s="1"/>
  <c r="S40" i="2"/>
  <c r="T40" i="2"/>
  <c r="AB40" i="2" s="1"/>
  <c r="U40" i="2"/>
  <c r="R40" i="2"/>
  <c r="V40" i="2"/>
  <c r="Q40" i="2"/>
  <c r="AE39" i="2"/>
  <c r="A40" i="2"/>
  <c r="P40" i="2"/>
  <c r="AE38" i="2"/>
  <c r="AL38" i="2"/>
  <c r="X40" i="2"/>
  <c r="B41" i="2"/>
  <c r="K39" i="2"/>
  <c r="L39" i="2"/>
  <c r="I39" i="2"/>
  <c r="J39" i="2"/>
  <c r="M39" i="2"/>
  <c r="N39" i="2"/>
  <c r="AH39" i="2"/>
  <c r="AI39" i="2"/>
  <c r="AK39" i="2"/>
  <c r="AJ39" i="2"/>
  <c r="AF39" i="2"/>
  <c r="AG39" i="2"/>
  <c r="M169" i="9" l="1"/>
  <c r="X168" i="9"/>
  <c r="R167" i="9"/>
  <c r="Q168" i="9"/>
  <c r="W168" i="9" s="1"/>
  <c r="U167" i="9"/>
  <c r="S167" i="9"/>
  <c r="AC40" i="2"/>
  <c r="AD40" i="2"/>
  <c r="L170" i="9"/>
  <c r="T170" i="9" s="1"/>
  <c r="Z40" i="2"/>
  <c r="Y40" i="2"/>
  <c r="AE40" i="2" s="1"/>
  <c r="AA40" i="2"/>
  <c r="A41" i="2"/>
  <c r="P41" i="2"/>
  <c r="AL39" i="2"/>
  <c r="X41" i="2"/>
  <c r="B42" i="2"/>
  <c r="N40" i="2"/>
  <c r="I40" i="2"/>
  <c r="L40" i="2"/>
  <c r="M40" i="2"/>
  <c r="K40" i="2"/>
  <c r="AH40" i="2"/>
  <c r="AK40" i="2"/>
  <c r="AG40" i="2"/>
  <c r="AF40" i="2"/>
  <c r="AI40" i="2"/>
  <c r="AJ40" i="2"/>
  <c r="M170" i="9" l="1"/>
  <c r="X169" i="9"/>
  <c r="R168" i="9"/>
  <c r="Q169" i="9"/>
  <c r="W169" i="9" s="1"/>
  <c r="S168" i="9"/>
  <c r="U168" i="9"/>
  <c r="L171" i="9"/>
  <c r="T171" i="9" s="1"/>
  <c r="P42" i="2"/>
  <c r="A42" i="2"/>
  <c r="AL40" i="2"/>
  <c r="X42" i="2"/>
  <c r="B43" i="2"/>
  <c r="M171" i="9" l="1"/>
  <c r="X170" i="9"/>
  <c r="R169" i="9"/>
  <c r="Q170" i="9"/>
  <c r="W170" i="9" s="1"/>
  <c r="U169" i="9"/>
  <c r="S169" i="9"/>
  <c r="L172" i="9"/>
  <c r="T172" i="9" s="1"/>
  <c r="P43" i="2"/>
  <c r="A43" i="2"/>
  <c r="X43" i="2"/>
  <c r="B44" i="2"/>
  <c r="N42" i="2"/>
  <c r="M42" i="2"/>
  <c r="I42" i="2"/>
  <c r="K42" i="2"/>
  <c r="M172" i="9" l="1"/>
  <c r="X171" i="9"/>
  <c r="R170" i="9"/>
  <c r="Q171" i="9"/>
  <c r="W171" i="9" s="1"/>
  <c r="S170" i="9"/>
  <c r="U170" i="9"/>
  <c r="L173" i="9"/>
  <c r="T173" i="9" s="1"/>
  <c r="P44" i="2"/>
  <c r="A44" i="2"/>
  <c r="M43" i="2"/>
  <c r="I43" i="2"/>
  <c r="K43" i="2"/>
  <c r="N43" i="2"/>
  <c r="L43" i="2"/>
  <c r="X44" i="2"/>
  <c r="B45" i="2"/>
  <c r="M173" i="9" l="1"/>
  <c r="X172" i="9"/>
  <c r="R171" i="9"/>
  <c r="Q172" i="9"/>
  <c r="W172" i="9" s="1"/>
  <c r="U171" i="9"/>
  <c r="S171" i="9"/>
  <c r="L174" i="9"/>
  <c r="T174" i="9" s="1"/>
  <c r="P45" i="2"/>
  <c r="A45" i="2"/>
  <c r="X45" i="2"/>
  <c r="B46" i="2"/>
  <c r="J44" i="2"/>
  <c r="I44" i="2"/>
  <c r="K44" i="2"/>
  <c r="N44" i="2"/>
  <c r="L44" i="2"/>
  <c r="M44" i="2"/>
  <c r="M174" i="9" l="1"/>
  <c r="X173" i="9"/>
  <c r="R172" i="9"/>
  <c r="Q173" i="9"/>
  <c r="W173" i="9" s="1"/>
  <c r="S172" i="9"/>
  <c r="U172" i="9"/>
  <c r="L175" i="9"/>
  <c r="T175" i="9" s="1"/>
  <c r="P46" i="2"/>
  <c r="A46" i="2"/>
  <c r="X46" i="2"/>
  <c r="B47" i="2"/>
  <c r="K45" i="2"/>
  <c r="N45" i="2"/>
  <c r="I45" i="2"/>
  <c r="M45" i="2"/>
  <c r="M175" i="9" l="1"/>
  <c r="X174" i="9"/>
  <c r="R173" i="9"/>
  <c r="Q174" i="9"/>
  <c r="W174" i="9" s="1"/>
  <c r="U173" i="9"/>
  <c r="S173" i="9"/>
  <c r="L176" i="9"/>
  <c r="T176" i="9" s="1"/>
  <c r="P47" i="2"/>
  <c r="A47" i="2"/>
  <c r="N46" i="2"/>
  <c r="K46" i="2"/>
  <c r="M46" i="2"/>
  <c r="J46" i="2"/>
  <c r="I46" i="2"/>
  <c r="X47" i="2"/>
  <c r="B48" i="2"/>
  <c r="M176" i="9" l="1"/>
  <c r="X175" i="9"/>
  <c r="R174" i="9"/>
  <c r="Q175" i="9"/>
  <c r="W175" i="9" s="1"/>
  <c r="U174" i="9"/>
  <c r="S174" i="9"/>
  <c r="L177" i="9"/>
  <c r="T177" i="9" s="1"/>
  <c r="P48" i="2"/>
  <c r="A48" i="2"/>
  <c r="X48" i="2"/>
  <c r="B49" i="2"/>
  <c r="N47" i="2"/>
  <c r="I47" i="2"/>
  <c r="K47" i="2"/>
  <c r="M47" i="2"/>
  <c r="M177" i="9" l="1"/>
  <c r="X176" i="9"/>
  <c r="R175" i="9"/>
  <c r="Q176" i="9"/>
  <c r="W176" i="9" s="1"/>
  <c r="U175" i="9"/>
  <c r="S175" i="9"/>
  <c r="L178" i="9"/>
  <c r="T178" i="9" s="1"/>
  <c r="P49" i="2"/>
  <c r="A49" i="2"/>
  <c r="X49" i="2"/>
  <c r="B50" i="2"/>
  <c r="P50" i="2" s="1"/>
  <c r="J48" i="2"/>
  <c r="K48" i="2"/>
  <c r="I48" i="2"/>
  <c r="N48" i="2"/>
  <c r="M48" i="2"/>
  <c r="M178" i="9" l="1"/>
  <c r="X177" i="9"/>
  <c r="R176" i="9"/>
  <c r="Q177" i="9"/>
  <c r="W177" i="9" s="1"/>
  <c r="U176" i="9"/>
  <c r="S176" i="9"/>
  <c r="L179" i="9"/>
  <c r="T179" i="9" s="1"/>
  <c r="K49" i="2"/>
  <c r="I49" i="2"/>
  <c r="N49" i="2"/>
  <c r="M49" i="2"/>
  <c r="X50" i="2"/>
  <c r="A50" i="2"/>
  <c r="B51" i="2"/>
  <c r="P51" i="2" s="1"/>
  <c r="M179" i="9" l="1"/>
  <c r="X178" i="9"/>
  <c r="R177" i="9"/>
  <c r="Q178" i="9"/>
  <c r="W178" i="9" s="1"/>
  <c r="S177" i="9"/>
  <c r="U177" i="9"/>
  <c r="L180" i="9"/>
  <c r="T180" i="9" s="1"/>
  <c r="X51" i="2"/>
  <c r="A51" i="2"/>
  <c r="B52" i="2"/>
  <c r="AK50" i="2"/>
  <c r="AF50" i="2"/>
  <c r="AG50" i="2"/>
  <c r="L50" i="2"/>
  <c r="AJ50" i="2"/>
  <c r="I50" i="2"/>
  <c r="J50" i="2"/>
  <c r="N50" i="2"/>
  <c r="AI50" i="2"/>
  <c r="AL50" i="2"/>
  <c r="M50" i="2"/>
  <c r="AH50" i="2"/>
  <c r="K50" i="2"/>
  <c r="M180" i="9" l="1"/>
  <c r="X179" i="9"/>
  <c r="R178" i="9"/>
  <c r="Q179" i="9"/>
  <c r="W179" i="9" s="1"/>
  <c r="U178" i="9"/>
  <c r="S178" i="9"/>
  <c r="L181" i="9"/>
  <c r="T181" i="9" s="1"/>
  <c r="P52" i="2"/>
  <c r="X52" i="2"/>
  <c r="A52" i="2"/>
  <c r="B53" i="2"/>
  <c r="AG51" i="2"/>
  <c r="AK51" i="2"/>
  <c r="AH51" i="2"/>
  <c r="N51" i="2"/>
  <c r="AL51" i="2"/>
  <c r="AI51" i="2"/>
  <c r="M51" i="2"/>
  <c r="I51" i="2"/>
  <c r="AF51" i="2"/>
  <c r="AJ51" i="2"/>
  <c r="K51" i="2"/>
  <c r="J51" i="2"/>
  <c r="L51" i="2"/>
  <c r="M181" i="9" l="1"/>
  <c r="X180" i="9"/>
  <c r="R179" i="9"/>
  <c r="Q180" i="9"/>
  <c r="W180" i="9" s="1"/>
  <c r="U179" i="9"/>
  <c r="S179" i="9"/>
  <c r="L182" i="9"/>
  <c r="T182" i="9" s="1"/>
  <c r="P53" i="2"/>
  <c r="X53" i="2"/>
  <c r="A53" i="2"/>
  <c r="B54" i="2"/>
  <c r="AJ52" i="2"/>
  <c r="AG52" i="2"/>
  <c r="AI52" i="2"/>
  <c r="K52" i="2"/>
  <c r="N52" i="2"/>
  <c r="J52" i="2"/>
  <c r="L52" i="2"/>
  <c r="M52" i="2"/>
  <c r="AK52" i="2"/>
  <c r="AH52" i="2"/>
  <c r="AL52" i="2"/>
  <c r="I52" i="2"/>
  <c r="AF52" i="2"/>
  <c r="M182" i="9" l="1"/>
  <c r="X181" i="9"/>
  <c r="R180" i="9"/>
  <c r="Q181" i="9"/>
  <c r="W181" i="9" s="1"/>
  <c r="S180" i="9"/>
  <c r="U180" i="9"/>
  <c r="L183" i="9"/>
  <c r="T183" i="9" s="1"/>
  <c r="P54" i="2"/>
  <c r="A54" i="2"/>
  <c r="X54" i="2"/>
  <c r="B55" i="2"/>
  <c r="K53" i="2"/>
  <c r="N53" i="2"/>
  <c r="I53" i="2"/>
  <c r="M53" i="2"/>
  <c r="J53" i="2"/>
  <c r="M183" i="9" l="1"/>
  <c r="X182" i="9"/>
  <c r="R181" i="9"/>
  <c r="Q182" i="9"/>
  <c r="W182" i="9" s="1"/>
  <c r="S181" i="9"/>
  <c r="U181" i="9"/>
  <c r="L184" i="9"/>
  <c r="T184" i="9" s="1"/>
  <c r="P55" i="2"/>
  <c r="A55" i="2"/>
  <c r="X55" i="2"/>
  <c r="B56" i="2"/>
  <c r="I54" i="2"/>
  <c r="L54" i="2"/>
  <c r="K54" i="2"/>
  <c r="N54" i="2"/>
  <c r="J54" i="2"/>
  <c r="M54" i="2"/>
  <c r="M184" i="9" l="1"/>
  <c r="X183" i="9"/>
  <c r="R182" i="9"/>
  <c r="Q183" i="9"/>
  <c r="W183" i="9" s="1"/>
  <c r="U182" i="9"/>
  <c r="S182" i="9"/>
  <c r="L185" i="9"/>
  <c r="T185" i="9" s="1"/>
  <c r="P56" i="2"/>
  <c r="X56" i="2"/>
  <c r="A56" i="2"/>
  <c r="B57" i="2"/>
  <c r="M185" i="9" l="1"/>
  <c r="X184" i="9"/>
  <c r="R183" i="9"/>
  <c r="Q184" i="9"/>
  <c r="W184" i="9" s="1"/>
  <c r="S183" i="9"/>
  <c r="U183" i="9"/>
  <c r="L186" i="9"/>
  <c r="T186" i="9" s="1"/>
  <c r="P57" i="2"/>
  <c r="A57" i="2"/>
  <c r="X57" i="2"/>
  <c r="B58" i="2"/>
  <c r="M56" i="2"/>
  <c r="L56" i="2"/>
  <c r="N56" i="2"/>
  <c r="K56" i="2"/>
  <c r="I56" i="2"/>
  <c r="J56" i="2"/>
  <c r="M186" i="9" l="1"/>
  <c r="X185" i="9"/>
  <c r="R184" i="9"/>
  <c r="Q185" i="9"/>
  <c r="W185" i="9" s="1"/>
  <c r="S184" i="9"/>
  <c r="U184" i="9"/>
  <c r="L187" i="9"/>
  <c r="T187" i="9" s="1"/>
  <c r="P58" i="2"/>
  <c r="X58" i="2"/>
  <c r="A58" i="2"/>
  <c r="B59" i="2"/>
  <c r="K57" i="2"/>
  <c r="AF57" i="2"/>
  <c r="AK57" i="2"/>
  <c r="AJ57" i="2"/>
  <c r="AL57" i="2"/>
  <c r="AG57" i="2"/>
  <c r="M57" i="2"/>
  <c r="I57" i="2"/>
  <c r="AH57" i="2"/>
  <c r="L57" i="2"/>
  <c r="AI57" i="2"/>
  <c r="J57" i="2"/>
  <c r="N57" i="2"/>
  <c r="M187" i="9" l="1"/>
  <c r="X186" i="9"/>
  <c r="R185" i="9"/>
  <c r="Q186" i="9"/>
  <c r="W186" i="9" s="1"/>
  <c r="U185" i="9"/>
  <c r="S185" i="9"/>
  <c r="L188" i="9"/>
  <c r="T188" i="9" s="1"/>
  <c r="P59" i="2"/>
  <c r="B60" i="2"/>
  <c r="AJ58" i="2"/>
  <c r="AF58" i="2"/>
  <c r="L58" i="2"/>
  <c r="M58" i="2"/>
  <c r="AH58" i="2"/>
  <c r="N58" i="2"/>
  <c r="K58" i="2"/>
  <c r="AG58" i="2"/>
  <c r="I58" i="2"/>
  <c r="AK58" i="2"/>
  <c r="AI58" i="2"/>
  <c r="AL58" i="2"/>
  <c r="X59" i="2"/>
  <c r="A59" i="2"/>
  <c r="M188" i="9" l="1"/>
  <c r="X187" i="9"/>
  <c r="R186" i="9"/>
  <c r="Q187" i="9"/>
  <c r="W187" i="9" s="1"/>
  <c r="U186" i="9"/>
  <c r="S186" i="9"/>
  <c r="L189" i="9"/>
  <c r="T189" i="9" s="1"/>
  <c r="B61" i="2"/>
  <c r="A60" i="2"/>
  <c r="G60" i="2"/>
  <c r="X60" i="2"/>
  <c r="J40" i="2"/>
  <c r="L37" i="2"/>
  <c r="J36" i="2"/>
  <c r="L36" i="2"/>
  <c r="L34" i="2"/>
  <c r="J34" i="2"/>
  <c r="L33" i="2"/>
  <c r="J33" i="2"/>
  <c r="N16" i="2"/>
  <c r="M73" i="1"/>
  <c r="H60" i="2" s="1"/>
  <c r="D74" i="1"/>
  <c r="R60" i="2" s="1"/>
  <c r="M189" i="9" l="1"/>
  <c r="X188" i="9"/>
  <c r="R187" i="9"/>
  <c r="Q188" i="9"/>
  <c r="W188" i="9" s="1"/>
  <c r="S187" i="9"/>
  <c r="U187" i="9"/>
  <c r="L190" i="9"/>
  <c r="T190" i="9" s="1"/>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K233" i="9" s="1"/>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M190" i="9" l="1"/>
  <c r="X189" i="9"/>
  <c r="R188" i="9"/>
  <c r="Q189" i="9"/>
  <c r="W189" i="9" s="1"/>
  <c r="U188" i="9"/>
  <c r="S188" i="9"/>
  <c r="AG5" i="3"/>
  <c r="AG3" i="3"/>
  <c r="BE2" i="3"/>
  <c r="AA42" i="2"/>
  <c r="L191" i="9"/>
  <c r="T191" i="9" s="1"/>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M191" i="9" l="1"/>
  <c r="X190" i="9"/>
  <c r="R189" i="9"/>
  <c r="Q190" i="9"/>
  <c r="W190" i="9" s="1"/>
  <c r="U189" i="9"/>
  <c r="S189" i="9"/>
  <c r="AG9" i="3"/>
  <c r="J9" i="3" s="1"/>
  <c r="L192" i="9"/>
  <c r="T192" i="9" s="1"/>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M192" i="9" l="1"/>
  <c r="X191" i="9"/>
  <c r="R190" i="9"/>
  <c r="Q191" i="9"/>
  <c r="W191" i="9" s="1"/>
  <c r="U190" i="9"/>
  <c r="S190" i="9"/>
  <c r="L193" i="9"/>
  <c r="T193" i="9" s="1"/>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BE9" i="3" l="1"/>
  <c r="M193" i="9"/>
  <c r="X192" i="9"/>
  <c r="R191" i="9"/>
  <c r="Q192" i="9"/>
  <c r="W192" i="9" s="1"/>
  <c r="S191" i="9"/>
  <c r="U191" i="9"/>
  <c r="L194" i="9"/>
  <c r="T194" i="9" s="1"/>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M194" i="9" l="1"/>
  <c r="X193" i="9"/>
  <c r="R192" i="9"/>
  <c r="Q193" i="9"/>
  <c r="W193" i="9" s="1"/>
  <c r="U192" i="9"/>
  <c r="S192" i="9"/>
  <c r="L195" i="9"/>
  <c r="T195" i="9" s="1"/>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M195" i="9" l="1"/>
  <c r="X194" i="9"/>
  <c r="R193" i="9"/>
  <c r="Q194" i="9"/>
  <c r="W194" i="9" s="1"/>
  <c r="U193" i="9"/>
  <c r="S193" i="9"/>
  <c r="L196" i="9"/>
  <c r="T196" i="9" s="1"/>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M196" i="9" l="1"/>
  <c r="X195" i="9"/>
  <c r="R194" i="9"/>
  <c r="Q195" i="9"/>
  <c r="W195" i="9" s="1"/>
  <c r="S194" i="9"/>
  <c r="U194" i="9"/>
  <c r="L197" i="9"/>
  <c r="T197" i="9" s="1"/>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M197" i="9" l="1"/>
  <c r="X196" i="9"/>
  <c r="Q196" i="9"/>
  <c r="W196" i="9" s="1"/>
  <c r="R195" i="9"/>
  <c r="S195" i="9"/>
  <c r="U195" i="9"/>
  <c r="L198" i="9"/>
  <c r="T198" i="9" s="1"/>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M198" i="9" l="1"/>
  <c r="X197" i="9"/>
  <c r="R196" i="9"/>
  <c r="Q197" i="9"/>
  <c r="W197" i="9" s="1"/>
  <c r="U196" i="9"/>
  <c r="S196" i="9"/>
  <c r="L199" i="9"/>
  <c r="T199" i="9" s="1"/>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M199" i="9" l="1"/>
  <c r="X198" i="9"/>
  <c r="R197" i="9"/>
  <c r="Q198" i="9"/>
  <c r="W198" i="9" s="1"/>
  <c r="S197" i="9"/>
  <c r="U197" i="9"/>
  <c r="L200" i="9"/>
  <c r="T200" i="9" s="1"/>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M200" i="9" l="1"/>
  <c r="X199" i="9"/>
  <c r="Q199" i="9"/>
  <c r="W199" i="9" s="1"/>
  <c r="R198" i="9"/>
  <c r="S198" i="9"/>
  <c r="U198" i="9"/>
  <c r="L201" i="9"/>
  <c r="T201" i="9" s="1"/>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M201" i="9" l="1"/>
  <c r="X200" i="9"/>
  <c r="R199" i="9"/>
  <c r="Q200" i="9"/>
  <c r="W200" i="9" s="1"/>
  <c r="S199" i="9"/>
  <c r="U199" i="9"/>
  <c r="L202" i="9"/>
  <c r="T202" i="9" s="1"/>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M202" i="9" l="1"/>
  <c r="X201" i="9"/>
  <c r="R200" i="9"/>
  <c r="Q201" i="9"/>
  <c r="W201" i="9" s="1"/>
  <c r="U200" i="9"/>
  <c r="S200" i="9"/>
  <c r="L203" i="9"/>
  <c r="T203" i="9" s="1"/>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M203" i="9" l="1"/>
  <c r="X202" i="9"/>
  <c r="R201" i="9"/>
  <c r="Q202" i="9"/>
  <c r="W202" i="9" s="1"/>
  <c r="U201" i="9"/>
  <c r="S201" i="9"/>
  <c r="L204" i="9"/>
  <c r="T204" i="9" s="1"/>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X203" i="9" l="1"/>
  <c r="M204" i="9"/>
  <c r="R202" i="9"/>
  <c r="Q203" i="9"/>
  <c r="W203" i="9" s="1"/>
  <c r="U202" i="9"/>
  <c r="S202" i="9"/>
  <c r="L205" i="9"/>
  <c r="T205" i="9" s="1"/>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M205" i="9" l="1"/>
  <c r="X204" i="9"/>
  <c r="R203" i="9"/>
  <c r="Q204" i="9"/>
  <c r="W204" i="9" s="1"/>
  <c r="U203" i="9"/>
  <c r="S203" i="9"/>
  <c r="L206" i="9"/>
  <c r="T206" i="9" s="1"/>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M206" i="9" l="1"/>
  <c r="X205" i="9"/>
  <c r="R204" i="9"/>
  <c r="Q205" i="9"/>
  <c r="W205" i="9" s="1"/>
  <c r="U204" i="9"/>
  <c r="S204" i="9"/>
  <c r="L207" i="9"/>
  <c r="T207" i="9" s="1"/>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M207" i="9" l="1"/>
  <c r="X206" i="9"/>
  <c r="R205" i="9"/>
  <c r="Q206" i="9"/>
  <c r="W206" i="9" s="1"/>
  <c r="S205" i="9"/>
  <c r="U205" i="9"/>
  <c r="L208" i="9"/>
  <c r="T208" i="9" s="1"/>
  <c r="F78" i="2"/>
  <c r="D78" i="2"/>
  <c r="AH78" i="2"/>
  <c r="AF78" i="2"/>
  <c r="AK78" i="2"/>
  <c r="AI78" i="2"/>
  <c r="AL78" i="2"/>
  <c r="AJ78" i="2"/>
  <c r="L78" i="2"/>
  <c r="J78" i="2"/>
  <c r="K78" i="2"/>
  <c r="I78" i="2"/>
  <c r="N78" i="2"/>
  <c r="AG78" i="2"/>
  <c r="M78" i="2"/>
  <c r="M37" i="10"/>
  <c r="M208" i="9" l="1"/>
  <c r="X207" i="9"/>
  <c r="R206" i="9"/>
  <c r="Q207" i="9"/>
  <c r="W207" i="9" s="1"/>
  <c r="S206" i="9"/>
  <c r="U206" i="9"/>
  <c r="L209" i="9"/>
  <c r="T209" i="9" s="1"/>
  <c r="D37" i="10"/>
  <c r="C37" i="10" s="1"/>
  <c r="M38" i="10"/>
  <c r="M209" i="9" l="1"/>
  <c r="X208" i="9"/>
  <c r="R207" i="9"/>
  <c r="Q208" i="9"/>
  <c r="W208" i="9" s="1"/>
  <c r="S207" i="9"/>
  <c r="U207" i="9"/>
  <c r="A271" i="9"/>
  <c r="K271" i="9" s="1"/>
  <c r="L210" i="9"/>
  <c r="T210" i="9" s="1"/>
  <c r="M39" i="10"/>
  <c r="D38" i="10"/>
  <c r="M210" i="9" l="1"/>
  <c r="X209" i="9"/>
  <c r="R208" i="9"/>
  <c r="Q209" i="9"/>
  <c r="W209" i="9" s="1"/>
  <c r="S208" i="9"/>
  <c r="U208" i="9"/>
  <c r="L211" i="9"/>
  <c r="T211" i="9" s="1"/>
  <c r="C38" i="10"/>
  <c r="A272" i="9"/>
  <c r="K272" i="9" s="1"/>
  <c r="M40" i="10"/>
  <c r="D39" i="10"/>
  <c r="M211" i="9" l="1"/>
  <c r="X210" i="9"/>
  <c r="R209" i="9"/>
  <c r="Q210" i="9"/>
  <c r="W210" i="9" s="1"/>
  <c r="S209" i="9"/>
  <c r="U209" i="9"/>
  <c r="L212" i="9"/>
  <c r="T212" i="9" s="1"/>
  <c r="A273" i="9"/>
  <c r="K273" i="9" s="1"/>
  <c r="C39" i="10"/>
  <c r="M41" i="10"/>
  <c r="D40" i="10"/>
  <c r="M212" i="9" l="1"/>
  <c r="X211" i="9"/>
  <c r="R210" i="9"/>
  <c r="Q211" i="9"/>
  <c r="W211" i="9" s="1"/>
  <c r="U210" i="9"/>
  <c r="S210" i="9"/>
  <c r="D41" i="10"/>
  <c r="M42" i="10"/>
  <c r="L213" i="9"/>
  <c r="T213" i="9" s="1"/>
  <c r="C40" i="10"/>
  <c r="A274" i="9"/>
  <c r="K274" i="9" s="1"/>
  <c r="C41" i="10"/>
  <c r="A275" i="9"/>
  <c r="K275" i="9" s="1"/>
  <c r="M213" i="9" l="1"/>
  <c r="X212" i="9"/>
  <c r="R211" i="9"/>
  <c r="Q212" i="9"/>
  <c r="W212" i="9" s="1"/>
  <c r="S211" i="9"/>
  <c r="U211" i="9"/>
  <c r="L214" i="9"/>
  <c r="T214" i="9" s="1"/>
  <c r="D42" i="10"/>
  <c r="M44" i="10"/>
  <c r="M214" i="9" l="1"/>
  <c r="X213" i="9"/>
  <c r="R212" i="9"/>
  <c r="Q213" i="9"/>
  <c r="W213" i="9" s="1"/>
  <c r="S212" i="9"/>
  <c r="U212" i="9"/>
  <c r="C42" i="10"/>
  <c r="A276" i="9"/>
  <c r="K276" i="9" s="1"/>
  <c r="M46" i="10"/>
  <c r="M43" i="10"/>
  <c r="D44" i="10"/>
  <c r="L215" i="9"/>
  <c r="T215" i="9" s="1"/>
  <c r="M215" i="9" l="1"/>
  <c r="X214" i="9"/>
  <c r="R213" i="9"/>
  <c r="Q214" i="9"/>
  <c r="W214" i="9" s="1"/>
  <c r="S213" i="9"/>
  <c r="U213" i="9"/>
  <c r="L216" i="9"/>
  <c r="T216" i="9" s="1"/>
  <c r="D46" i="10"/>
  <c r="M47" i="10"/>
  <c r="M45" i="10"/>
  <c r="C44" i="10"/>
  <c r="A277" i="9"/>
  <c r="K277" i="9" s="1"/>
  <c r="M216" i="9" l="1"/>
  <c r="X215" i="9"/>
  <c r="R214" i="9"/>
  <c r="Q215" i="9"/>
  <c r="W215" i="9" s="1"/>
  <c r="U214" i="9"/>
  <c r="S214" i="9"/>
  <c r="C46" i="10"/>
  <c r="A278" i="9"/>
  <c r="K278" i="9" s="1"/>
  <c r="M48" i="10"/>
  <c r="D47" i="10"/>
  <c r="L217" i="9"/>
  <c r="T217" i="9" s="1"/>
  <c r="M217" i="9" l="1"/>
  <c r="X216" i="9"/>
  <c r="R215" i="9"/>
  <c r="Q216" i="9"/>
  <c r="W216" i="9" s="1"/>
  <c r="U215" i="9"/>
  <c r="S215" i="9"/>
  <c r="C47" i="10"/>
  <c r="A279" i="9"/>
  <c r="K279" i="9" s="1"/>
  <c r="M49" i="10"/>
  <c r="D48" i="10"/>
  <c r="L218" i="9"/>
  <c r="T218" i="9" s="1"/>
  <c r="M218" i="9" l="1"/>
  <c r="X217" i="9"/>
  <c r="R216" i="9"/>
  <c r="Q217" i="9"/>
  <c r="W217" i="9" s="1"/>
  <c r="S216" i="9"/>
  <c r="U216" i="9"/>
  <c r="D49" i="10"/>
  <c r="M50" i="10"/>
  <c r="C48" i="10"/>
  <c r="A280" i="9"/>
  <c r="K280" i="9" s="1"/>
  <c r="C49" i="10"/>
  <c r="A281" i="9"/>
  <c r="K281" i="9" s="1"/>
  <c r="L219" i="9"/>
  <c r="T219" i="9" s="1"/>
  <c r="M219" i="9" l="1"/>
  <c r="X218" i="9"/>
  <c r="R217" i="9"/>
  <c r="Q218" i="9"/>
  <c r="W218" i="9" s="1"/>
  <c r="S217" i="9"/>
  <c r="U217" i="9"/>
  <c r="M51" i="10"/>
  <c r="D50" i="10"/>
  <c r="L220" i="9"/>
  <c r="T220" i="9" s="1"/>
  <c r="X219" i="9" l="1"/>
  <c r="M220" i="9"/>
  <c r="R218" i="9"/>
  <c r="Q219" i="9"/>
  <c r="W219" i="9" s="1"/>
  <c r="S218" i="9"/>
  <c r="U218" i="9"/>
  <c r="C50" i="10"/>
  <c r="A282" i="9"/>
  <c r="K282" i="9" s="1"/>
  <c r="M52" i="10"/>
  <c r="D51" i="10"/>
  <c r="L221" i="9"/>
  <c r="T221" i="9" s="1"/>
  <c r="M221" i="9" l="1"/>
  <c r="X220" i="9"/>
  <c r="R219" i="9"/>
  <c r="Q220" i="9"/>
  <c r="W220" i="9" s="1"/>
  <c r="S219" i="9"/>
  <c r="U219" i="9"/>
  <c r="M53" i="10"/>
  <c r="D52" i="10"/>
  <c r="A283" i="9"/>
  <c r="K283" i="9" s="1"/>
  <c r="C51" i="10"/>
  <c r="L222" i="9"/>
  <c r="T222" i="9" s="1"/>
  <c r="M222" i="9" l="1"/>
  <c r="X221" i="9"/>
  <c r="R220" i="9"/>
  <c r="Q221" i="9"/>
  <c r="W221" i="9" s="1"/>
  <c r="U220" i="9"/>
  <c r="S220" i="9"/>
  <c r="A284" i="9"/>
  <c r="K284" i="9" s="1"/>
  <c r="M54" i="10"/>
  <c r="D53" i="10"/>
  <c r="L223" i="9"/>
  <c r="T223" i="9" s="1"/>
  <c r="M223" i="9" l="1"/>
  <c r="X222" i="9"/>
  <c r="R221" i="9"/>
  <c r="Q222" i="9"/>
  <c r="W222" i="9" s="1"/>
  <c r="S221" i="9"/>
  <c r="U221" i="9"/>
  <c r="M55" i="10"/>
  <c r="D54" i="10"/>
  <c r="C53" i="10"/>
  <c r="A285" i="9"/>
  <c r="K285" i="9" s="1"/>
  <c r="L224" i="9"/>
  <c r="T224" i="9" s="1"/>
  <c r="M224" i="9" l="1"/>
  <c r="X223" i="9"/>
  <c r="R222" i="9"/>
  <c r="Q223" i="9"/>
  <c r="W223" i="9" s="1"/>
  <c r="U222" i="9"/>
  <c r="S222" i="9"/>
  <c r="C54" i="10"/>
  <c r="A286" i="9"/>
  <c r="K286" i="9" s="1"/>
  <c r="M56" i="10"/>
  <c r="D55" i="10"/>
  <c r="L225" i="9"/>
  <c r="T225" i="9" s="1"/>
  <c r="M225" i="9" l="1"/>
  <c r="X224" i="9"/>
  <c r="R223" i="9"/>
  <c r="Q224" i="9"/>
  <c r="W224" i="9" s="1"/>
  <c r="U223" i="9"/>
  <c r="S223" i="9"/>
  <c r="C55" i="10"/>
  <c r="A287" i="9"/>
  <c r="K287" i="9" s="1"/>
  <c r="C56" i="10"/>
  <c r="A288" i="9"/>
  <c r="K288" i="9" s="1"/>
  <c r="L226" i="9"/>
  <c r="T226" i="9" s="1"/>
  <c r="M226" i="9" l="1"/>
  <c r="X225" i="9"/>
  <c r="R224" i="9"/>
  <c r="Q225" i="9"/>
  <c r="W225" i="9" s="1"/>
  <c r="U224" i="9"/>
  <c r="S224" i="9"/>
  <c r="C20" i="10"/>
  <c r="F13" i="10" s="1"/>
  <c r="G13" i="10" s="1"/>
  <c r="L227" i="9"/>
  <c r="T227" i="9" s="1"/>
  <c r="M227" i="9" l="1"/>
  <c r="X226" i="9"/>
  <c r="R225" i="9"/>
  <c r="Q226" i="9"/>
  <c r="W226" i="9" s="1"/>
  <c r="U225" i="9"/>
  <c r="S225" i="9"/>
  <c r="F9" i="10"/>
  <c r="G9" i="10" s="1"/>
  <c r="F11" i="10"/>
  <c r="G11" i="10" s="1"/>
  <c r="F10" i="10"/>
  <c r="G10" i="10" s="1"/>
  <c r="F12" i="10"/>
  <c r="G12" i="10" s="1"/>
  <c r="AH2" i="3"/>
  <c r="AN2" i="3" s="1"/>
  <c r="F8" i="10"/>
  <c r="G8" i="10" s="1"/>
  <c r="L228" i="9"/>
  <c r="T228" i="9" s="1"/>
  <c r="M228" i="9" l="1"/>
  <c r="X227" i="9"/>
  <c r="R226" i="9"/>
  <c r="Q227" i="9"/>
  <c r="W227" i="9" s="1"/>
  <c r="U226" i="9"/>
  <c r="S226" i="9"/>
  <c r="K2" i="3"/>
  <c r="AH5" i="3"/>
  <c r="BF2" i="3"/>
  <c r="L229" i="9"/>
  <c r="T229" i="9" s="1"/>
  <c r="AN5" i="3" l="1"/>
  <c r="E5" i="3" s="1"/>
  <c r="D5" i="4" s="1"/>
  <c r="E2" i="3"/>
  <c r="M229" i="9"/>
  <c r="X228" i="9"/>
  <c r="R227" i="9"/>
  <c r="Q228" i="9"/>
  <c r="W228" i="9" s="1"/>
  <c r="U227" i="9"/>
  <c r="S227" i="9"/>
  <c r="L2" i="4"/>
  <c r="H2" i="4"/>
  <c r="AH4" i="3"/>
  <c r="K5" i="3"/>
  <c r="BF5" i="3"/>
  <c r="L230" i="9"/>
  <c r="T230" i="9" s="1"/>
  <c r="H5" i="4" l="1"/>
  <c r="Q5" i="4" s="1"/>
  <c r="L5" i="4"/>
  <c r="AN4" i="3"/>
  <c r="E4" i="3" s="1"/>
  <c r="D4" i="4" s="1"/>
  <c r="D2" i="4"/>
  <c r="M230" i="9"/>
  <c r="X229" i="9"/>
  <c r="R228" i="9"/>
  <c r="Q229" i="9"/>
  <c r="W229" i="9" s="1"/>
  <c r="U228" i="9"/>
  <c r="S228" i="9"/>
  <c r="BF4" i="3"/>
  <c r="AH3" i="3"/>
  <c r="AN3" i="3" s="1"/>
  <c r="K4" i="3"/>
  <c r="L231" i="9"/>
  <c r="T231" i="9" s="1"/>
  <c r="H3" i="4" l="1"/>
  <c r="M231" i="9"/>
  <c r="X230" i="9"/>
  <c r="R229" i="9"/>
  <c r="Q230" i="9"/>
  <c r="W230" i="9" s="1"/>
  <c r="S229" i="9"/>
  <c r="U229" i="9"/>
  <c r="K3" i="3"/>
  <c r="AH7" i="3"/>
  <c r="BF3" i="3"/>
  <c r="H4" i="4"/>
  <c r="Q4" i="4" s="1"/>
  <c r="L4" i="4"/>
  <c r="L232" i="9"/>
  <c r="T232" i="9" s="1"/>
  <c r="Q3" i="4" l="1"/>
  <c r="AN7" i="3"/>
  <c r="M232" i="9"/>
  <c r="X231" i="9"/>
  <c r="E3" i="3"/>
  <c r="R230" i="9"/>
  <c r="Q231" i="9"/>
  <c r="W231" i="9" s="1"/>
  <c r="U230" i="9"/>
  <c r="S230" i="9"/>
  <c r="BF7" i="3"/>
  <c r="AH6" i="3"/>
  <c r="K7" i="3"/>
  <c r="L3" i="4"/>
  <c r="L233" i="9"/>
  <c r="T233" i="9" s="1"/>
  <c r="AN6" i="3" l="1"/>
  <c r="L6" i="4" s="1"/>
  <c r="M233" i="9"/>
  <c r="X232" i="9"/>
  <c r="D3" i="4"/>
  <c r="R231" i="9"/>
  <c r="Q232" i="9"/>
  <c r="W232" i="9" s="1"/>
  <c r="S231" i="9"/>
  <c r="U231" i="9"/>
  <c r="H7" i="4"/>
  <c r="Q7" i="4" s="1"/>
  <c r="E7" i="3"/>
  <c r="D7" i="4" s="1"/>
  <c r="AH9" i="3"/>
  <c r="K9" i="3" s="1"/>
  <c r="BF6" i="3"/>
  <c r="BF9" i="3" s="1"/>
  <c r="K6" i="3"/>
  <c r="L7" i="4"/>
  <c r="L234" i="9"/>
  <c r="T234" i="9" s="1"/>
  <c r="M234" i="9" l="1"/>
  <c r="X233" i="9"/>
  <c r="R232" i="9"/>
  <c r="Q233" i="9"/>
  <c r="W233" i="9" s="1"/>
  <c r="U232" i="9"/>
  <c r="S232" i="9"/>
  <c r="AN9" i="3"/>
  <c r="E6" i="3"/>
  <c r="H6" i="4"/>
  <c r="Q6" i="4" s="1"/>
  <c r="L235" i="9"/>
  <c r="T235" i="9" s="1"/>
  <c r="E9" i="3" l="1"/>
  <c r="M235" i="9"/>
  <c r="X234" i="9"/>
  <c r="D6" i="4"/>
  <c r="R233" i="9"/>
  <c r="Q234" i="9"/>
  <c r="W234" i="9" s="1"/>
  <c r="U233" i="9"/>
  <c r="S233" i="9"/>
  <c r="L236" i="9"/>
  <c r="T236" i="9" s="1"/>
  <c r="X235" i="9" l="1"/>
  <c r="M236" i="9"/>
  <c r="R234" i="9"/>
  <c r="Q235" i="9"/>
  <c r="W235" i="9" s="1"/>
  <c r="U234" i="9"/>
  <c r="S234" i="9"/>
  <c r="L237" i="9"/>
  <c r="T237" i="9" s="1"/>
  <c r="M237" i="9" l="1"/>
  <c r="X236" i="9"/>
  <c r="R235" i="9"/>
  <c r="Q236" i="9"/>
  <c r="W236" i="9" s="1"/>
  <c r="U235" i="9"/>
  <c r="S235" i="9"/>
  <c r="L238" i="9"/>
  <c r="T238" i="9" s="1"/>
  <c r="M238" i="9" l="1"/>
  <c r="X237" i="9"/>
  <c r="R236" i="9"/>
  <c r="Q237" i="9"/>
  <c r="W237" i="9" s="1"/>
  <c r="U236" i="9"/>
  <c r="S236" i="9"/>
  <c r="L239" i="9"/>
  <c r="T239" i="9" s="1"/>
  <c r="M239" i="9" l="1"/>
  <c r="X238" i="9"/>
  <c r="R237" i="9"/>
  <c r="Q238" i="9"/>
  <c r="W238" i="9" s="1"/>
  <c r="U237" i="9"/>
  <c r="S237" i="9"/>
  <c r="L240" i="9"/>
  <c r="T240" i="9" s="1"/>
  <c r="M240" i="9" l="1"/>
  <c r="X239" i="9"/>
  <c r="R238" i="9"/>
  <c r="Q239" i="9"/>
  <c r="W239" i="9" s="1"/>
  <c r="U238" i="9"/>
  <c r="S238" i="9"/>
  <c r="L241" i="9"/>
  <c r="T241" i="9" s="1"/>
  <c r="M241" i="9" l="1"/>
  <c r="X240" i="9"/>
  <c r="R239" i="9"/>
  <c r="Q240" i="9"/>
  <c r="W240" i="9" s="1"/>
  <c r="U239" i="9"/>
  <c r="S239" i="9"/>
  <c r="L242" i="9"/>
  <c r="T242" i="9" s="1"/>
  <c r="M242" i="9" l="1"/>
  <c r="X241" i="9"/>
  <c r="Q241" i="9"/>
  <c r="W241" i="9" s="1"/>
  <c r="R240" i="9"/>
  <c r="U240" i="9"/>
  <c r="S240" i="9"/>
  <c r="L243" i="9"/>
  <c r="T243" i="9" s="1"/>
  <c r="M243" i="9" l="1"/>
  <c r="X242" i="9"/>
  <c r="Q242" i="9"/>
  <c r="W242" i="9" s="1"/>
  <c r="R241" i="9"/>
  <c r="U241" i="9"/>
  <c r="S241" i="9"/>
  <c r="L244" i="9"/>
  <c r="T244" i="9" s="1"/>
  <c r="M244" i="9" l="1"/>
  <c r="X243" i="9"/>
  <c r="Q243" i="9"/>
  <c r="W243" i="9" s="1"/>
  <c r="R242" i="9"/>
  <c r="U242" i="9"/>
  <c r="S242" i="9"/>
  <c r="L245" i="9"/>
  <c r="T245" i="9" s="1"/>
  <c r="M245" i="9" l="1"/>
  <c r="X244" i="9"/>
  <c r="Q244" i="9"/>
  <c r="W244" i="9" s="1"/>
  <c r="R243" i="9"/>
  <c r="U243" i="9"/>
  <c r="S243" i="9"/>
  <c r="L246" i="9"/>
  <c r="T246" i="9" s="1"/>
  <c r="M246" i="9" l="1"/>
  <c r="X245" i="9"/>
  <c r="Q245" i="9"/>
  <c r="W245" i="9" s="1"/>
  <c r="R244" i="9"/>
  <c r="S244" i="9"/>
  <c r="U244" i="9"/>
  <c r="L247" i="9"/>
  <c r="T247" i="9" s="1"/>
  <c r="M247" i="9" l="1"/>
  <c r="X246" i="9"/>
  <c r="Q246" i="9"/>
  <c r="W246" i="9" s="1"/>
  <c r="R245" i="9"/>
  <c r="S245" i="9"/>
  <c r="U245" i="9"/>
  <c r="L248" i="9"/>
  <c r="T248" i="9" s="1"/>
  <c r="M248" i="9" l="1"/>
  <c r="X247" i="9"/>
  <c r="Q247" i="9"/>
  <c r="W247" i="9" s="1"/>
  <c r="R246" i="9"/>
  <c r="S246" i="9"/>
  <c r="U246" i="9"/>
  <c r="L249" i="9"/>
  <c r="T249" i="9" s="1"/>
  <c r="M249" i="9" l="1"/>
  <c r="X248" i="9"/>
  <c r="Q248" i="9"/>
  <c r="W248" i="9" s="1"/>
  <c r="R247" i="9"/>
  <c r="U247" i="9"/>
  <c r="S247" i="9"/>
  <c r="L250" i="9"/>
  <c r="T250" i="9" s="1"/>
  <c r="M250" i="9" l="1"/>
  <c r="X249" i="9"/>
  <c r="Q249" i="9"/>
  <c r="W249" i="9" s="1"/>
  <c r="R248" i="9"/>
  <c r="U248" i="9"/>
  <c r="S248" i="9"/>
  <c r="L251" i="9"/>
  <c r="T251" i="9" s="1"/>
  <c r="M251" i="9" l="1"/>
  <c r="X250" i="9"/>
  <c r="Q250" i="9"/>
  <c r="W250" i="9" s="1"/>
  <c r="R249" i="9"/>
  <c r="S249" i="9"/>
  <c r="U249" i="9"/>
  <c r="L252" i="9"/>
  <c r="T252" i="9" s="1"/>
  <c r="M252" i="9" l="1"/>
  <c r="X251" i="9"/>
  <c r="Q251" i="9"/>
  <c r="W251" i="9" s="1"/>
  <c r="R250" i="9"/>
  <c r="U250" i="9"/>
  <c r="S250" i="9"/>
  <c r="L253" i="9"/>
  <c r="T253" i="9" s="1"/>
  <c r="M253" i="9" l="1"/>
  <c r="X252" i="9"/>
  <c r="Q252" i="9"/>
  <c r="W252" i="9" s="1"/>
  <c r="R251" i="9"/>
  <c r="S251" i="9"/>
  <c r="U251" i="9"/>
  <c r="L254" i="9"/>
  <c r="T254" i="9" s="1"/>
  <c r="M254" i="9" l="1"/>
  <c r="X253" i="9"/>
  <c r="Q253" i="9"/>
  <c r="W253" i="9" s="1"/>
  <c r="R252" i="9"/>
  <c r="U252" i="9"/>
  <c r="S252" i="9"/>
  <c r="L255" i="9"/>
  <c r="T255" i="9" s="1"/>
  <c r="M255" i="9" l="1"/>
  <c r="X254" i="9"/>
  <c r="Q254" i="9"/>
  <c r="W254" i="9" s="1"/>
  <c r="R253" i="9"/>
  <c r="U253" i="9"/>
  <c r="S253" i="9"/>
  <c r="L256" i="9"/>
  <c r="T256" i="9" s="1"/>
  <c r="M256" i="9" l="1"/>
  <c r="X255" i="9"/>
  <c r="Q255" i="9"/>
  <c r="W255" i="9" s="1"/>
  <c r="R254" i="9"/>
  <c r="S254" i="9"/>
  <c r="U254" i="9"/>
  <c r="L257" i="9"/>
  <c r="T257" i="9" s="1"/>
  <c r="M257" i="9" l="1"/>
  <c r="X256" i="9"/>
  <c r="Q256" i="9"/>
  <c r="W256" i="9" s="1"/>
  <c r="R255" i="9"/>
  <c r="U255" i="9"/>
  <c r="S255" i="9"/>
  <c r="L258" i="9"/>
  <c r="T258" i="9" s="1"/>
  <c r="M258" i="9" l="1"/>
  <c r="X257" i="9"/>
  <c r="Q257" i="9"/>
  <c r="W257" i="9" s="1"/>
  <c r="R256" i="9"/>
  <c r="S256" i="9"/>
  <c r="U256" i="9"/>
  <c r="L259" i="9"/>
  <c r="T259" i="9" s="1"/>
  <c r="M259" i="9" l="1"/>
  <c r="X258" i="9"/>
  <c r="Q258" i="9"/>
  <c r="W258" i="9" s="1"/>
  <c r="R257" i="9"/>
  <c r="U257" i="9"/>
  <c r="S257" i="9"/>
  <c r="L260" i="9"/>
  <c r="T260" i="9" s="1"/>
  <c r="M260" i="9" l="1"/>
  <c r="X259" i="9"/>
  <c r="Q259" i="9"/>
  <c r="W259" i="9" s="1"/>
  <c r="R258" i="9"/>
  <c r="S258" i="9"/>
  <c r="U258" i="9"/>
  <c r="L261" i="9"/>
  <c r="T261" i="9" s="1"/>
  <c r="M261" i="9" l="1"/>
  <c r="X260" i="9"/>
  <c r="Q260" i="9"/>
  <c r="W260" i="9" s="1"/>
  <c r="R259" i="9"/>
  <c r="U259" i="9"/>
  <c r="S259" i="9"/>
  <c r="L262" i="9"/>
  <c r="T262" i="9" s="1"/>
  <c r="M262" i="9" l="1"/>
  <c r="X261" i="9"/>
  <c r="Q261" i="9"/>
  <c r="W261" i="9" s="1"/>
  <c r="R260" i="9"/>
  <c r="U260" i="9"/>
  <c r="S260" i="9"/>
  <c r="L263" i="9"/>
  <c r="T263" i="9" s="1"/>
  <c r="M263" i="9" l="1"/>
  <c r="X262" i="9"/>
  <c r="Q262" i="9"/>
  <c r="W262" i="9" s="1"/>
  <c r="R261" i="9"/>
  <c r="U261" i="9"/>
  <c r="S261" i="9"/>
  <c r="L264" i="9"/>
  <c r="T264" i="9" s="1"/>
  <c r="M264" i="9" l="1"/>
  <c r="X263" i="9"/>
  <c r="R262" i="9"/>
  <c r="Q263" i="9"/>
  <c r="W263" i="9" s="1"/>
  <c r="U262" i="9"/>
  <c r="S262" i="9"/>
  <c r="L265" i="9"/>
  <c r="T265" i="9" s="1"/>
  <c r="M265" i="9" l="1"/>
  <c r="X264" i="9"/>
  <c r="R263" i="9"/>
  <c r="Q264" i="9"/>
  <c r="W264" i="9" s="1"/>
  <c r="S263" i="9"/>
  <c r="U263" i="9"/>
  <c r="L266" i="9"/>
  <c r="T266" i="9" s="1"/>
  <c r="M266" i="9" l="1"/>
  <c r="X265" i="9"/>
  <c r="R264" i="9"/>
  <c r="Q265" i="9"/>
  <c r="W265" i="9" s="1"/>
  <c r="S264" i="9"/>
  <c r="U264" i="9"/>
  <c r="L267" i="9"/>
  <c r="T267" i="9" s="1"/>
  <c r="M267" i="9" l="1"/>
  <c r="X266" i="9"/>
  <c r="R265" i="9"/>
  <c r="Q266" i="9"/>
  <c r="W266" i="9" s="1"/>
  <c r="U265" i="9"/>
  <c r="S265" i="9"/>
  <c r="L268" i="9"/>
  <c r="T268" i="9" s="1"/>
  <c r="M268" i="9" l="1"/>
  <c r="X267" i="9"/>
  <c r="R266" i="9"/>
  <c r="Q267" i="9"/>
  <c r="W267" i="9" s="1"/>
  <c r="U266" i="9"/>
  <c r="S266" i="9"/>
  <c r="L269" i="9"/>
  <c r="T269" i="9" s="1"/>
  <c r="M269" i="9" l="1"/>
  <c r="X268" i="9"/>
  <c r="R267" i="9"/>
  <c r="Q268" i="9"/>
  <c r="W268" i="9" s="1"/>
  <c r="U267" i="9"/>
  <c r="S267" i="9"/>
  <c r="L270" i="9"/>
  <c r="T270" i="9" s="1"/>
  <c r="M270" i="9" l="1"/>
  <c r="X269" i="9"/>
  <c r="R268" i="9"/>
  <c r="Q269" i="9"/>
  <c r="W269" i="9" s="1"/>
  <c r="U268" i="9"/>
  <c r="S268" i="9"/>
  <c r="L271" i="9"/>
  <c r="T271" i="9" s="1"/>
  <c r="M271" i="9" l="1"/>
  <c r="X270" i="9"/>
  <c r="R269" i="9"/>
  <c r="Q270" i="9"/>
  <c r="W270" i="9" s="1"/>
  <c r="U269" i="9"/>
  <c r="S269" i="9"/>
  <c r="L272" i="9"/>
  <c r="T272" i="9" s="1"/>
  <c r="M272" i="9" l="1"/>
  <c r="X271" i="9"/>
  <c r="R270" i="9"/>
  <c r="Q271" i="9"/>
  <c r="W271" i="9" s="1"/>
  <c r="S270" i="9"/>
  <c r="U270" i="9"/>
  <c r="L273" i="9"/>
  <c r="T273" i="9" s="1"/>
  <c r="M273" i="9" l="1"/>
  <c r="X272" i="9"/>
  <c r="R271" i="9"/>
  <c r="Q272" i="9"/>
  <c r="W272" i="9" s="1"/>
  <c r="U271" i="9"/>
  <c r="S271" i="9"/>
  <c r="L274" i="9"/>
  <c r="T274" i="9" s="1"/>
  <c r="M274" i="9" l="1"/>
  <c r="X273" i="9"/>
  <c r="R272" i="9"/>
  <c r="Q273" i="9"/>
  <c r="W273" i="9" s="1"/>
  <c r="S272" i="9"/>
  <c r="U272" i="9"/>
  <c r="L275" i="9"/>
  <c r="T275" i="9" s="1"/>
  <c r="M275" i="9" l="1"/>
  <c r="X274" i="9"/>
  <c r="R273" i="9"/>
  <c r="Q274" i="9"/>
  <c r="W274" i="9" s="1"/>
  <c r="U273" i="9"/>
  <c r="S273" i="9"/>
  <c r="L276" i="9"/>
  <c r="T276" i="9" s="1"/>
  <c r="M276" i="9" l="1"/>
  <c r="X275" i="9"/>
  <c r="R274" i="9"/>
  <c r="Q275" i="9"/>
  <c r="W275" i="9" s="1"/>
  <c r="S274" i="9"/>
  <c r="U274" i="9"/>
  <c r="L277" i="9"/>
  <c r="T277" i="9" s="1"/>
  <c r="M277" i="9" l="1"/>
  <c r="X276" i="9"/>
  <c r="R275" i="9"/>
  <c r="Q276" i="9"/>
  <c r="W276" i="9" s="1"/>
  <c r="U275" i="9"/>
  <c r="S275" i="9"/>
  <c r="L278" i="9"/>
  <c r="T278" i="9" s="1"/>
  <c r="M278" i="9" l="1"/>
  <c r="X277" i="9"/>
  <c r="R276" i="9"/>
  <c r="Q277" i="9"/>
  <c r="W277" i="9" s="1"/>
  <c r="U276" i="9"/>
  <c r="S276" i="9"/>
  <c r="L279" i="9"/>
  <c r="T279" i="9" s="1"/>
  <c r="M279" i="9" l="1"/>
  <c r="X278" i="9"/>
  <c r="R277" i="9"/>
  <c r="Q278" i="9"/>
  <c r="W278" i="9" s="1"/>
  <c r="U277" i="9"/>
  <c r="S277" i="9"/>
  <c r="L280" i="9"/>
  <c r="T280" i="9" s="1"/>
  <c r="M280" i="9" l="1"/>
  <c r="X279" i="9"/>
  <c r="R278" i="9"/>
  <c r="Q279" i="9"/>
  <c r="W279" i="9" s="1"/>
  <c r="U278" i="9"/>
  <c r="S278" i="9"/>
  <c r="L281" i="9"/>
  <c r="M281" i="9" l="1"/>
  <c r="X280" i="9"/>
  <c r="L282" i="9"/>
  <c r="T282" i="9" s="1"/>
  <c r="T281" i="9"/>
  <c r="R279" i="9"/>
  <c r="Q280" i="9"/>
  <c r="W280" i="9" s="1"/>
  <c r="U279" i="9"/>
  <c r="S279" i="9"/>
  <c r="L283" i="9" l="1"/>
  <c r="T283" i="9" s="1"/>
  <c r="M282" i="9"/>
  <c r="X281" i="9"/>
  <c r="R280" i="9"/>
  <c r="Q281" i="9"/>
  <c r="W281" i="9" s="1"/>
  <c r="U280" i="9"/>
  <c r="S280" i="9"/>
  <c r="L284" i="9"/>
  <c r="T284" i="9" s="1"/>
  <c r="M283" i="9" l="1"/>
  <c r="X282" i="9"/>
  <c r="Q282" i="9"/>
  <c r="W282" i="9" s="1"/>
  <c r="R281" i="9"/>
  <c r="U281" i="9"/>
  <c r="S281" i="9"/>
  <c r="L285" i="9"/>
  <c r="T285" i="9" s="1"/>
  <c r="M284" i="9" l="1"/>
  <c r="X283" i="9"/>
  <c r="R282" i="9"/>
  <c r="Q283" i="9"/>
  <c r="W283" i="9" s="1"/>
  <c r="S282" i="9"/>
  <c r="U282" i="9"/>
  <c r="L286" i="9"/>
  <c r="T286" i="9" s="1"/>
  <c r="M285" i="9" l="1"/>
  <c r="X284" i="9"/>
  <c r="R283" i="9"/>
  <c r="Q284" i="9"/>
  <c r="W284" i="9" s="1"/>
  <c r="U283" i="9"/>
  <c r="S283" i="9"/>
  <c r="L287" i="9"/>
  <c r="T287" i="9" s="1"/>
  <c r="M286" i="9" l="1"/>
  <c r="X285" i="9"/>
  <c r="R284" i="9"/>
  <c r="Q285" i="9"/>
  <c r="W285" i="9" s="1"/>
  <c r="U284" i="9"/>
  <c r="S284" i="9"/>
  <c r="L288" i="9"/>
  <c r="M287" i="9" l="1"/>
  <c r="X286" i="9"/>
  <c r="L289" i="9"/>
  <c r="T289" i="9" s="1"/>
  <c r="T288" i="9"/>
  <c r="R285" i="9"/>
  <c r="Q286" i="9"/>
  <c r="W286" i="9" s="1"/>
  <c r="U285" i="9"/>
  <c r="S285" i="9"/>
  <c r="M288" i="9" l="1"/>
  <c r="X287" i="9"/>
  <c r="L290" i="9"/>
  <c r="T290" i="9" s="1"/>
  <c r="R286" i="9"/>
  <c r="Q287" i="9"/>
  <c r="W287" i="9" s="1"/>
  <c r="U286" i="9"/>
  <c r="S286" i="9"/>
  <c r="L291" i="9"/>
  <c r="T291" i="9" s="1"/>
  <c r="M289" i="9" l="1"/>
  <c r="X288" i="9"/>
  <c r="R287" i="9"/>
  <c r="Q288" i="9"/>
  <c r="W288" i="9" s="1"/>
  <c r="U287" i="9"/>
  <c r="S287" i="9"/>
  <c r="L292" i="9"/>
  <c r="T292" i="9" s="1"/>
  <c r="M290" i="9" l="1"/>
  <c r="X289" i="9"/>
  <c r="Q289" i="9"/>
  <c r="W289" i="9" s="1"/>
  <c r="R288" i="9"/>
  <c r="U288" i="9"/>
  <c r="S288" i="9"/>
  <c r="L293" i="9"/>
  <c r="M291" i="9" l="1"/>
  <c r="X290" i="9"/>
  <c r="T293" i="9"/>
  <c r="L294" i="9"/>
  <c r="R289" i="9"/>
  <c r="Q290" i="9"/>
  <c r="W290" i="9" s="1"/>
  <c r="S289" i="9"/>
  <c r="U289" i="9"/>
  <c r="M292" i="9" l="1"/>
  <c r="X291" i="9"/>
  <c r="R290" i="9"/>
  <c r="Q291" i="9"/>
  <c r="W291" i="9" s="1"/>
  <c r="U290" i="9"/>
  <c r="S290" i="9"/>
  <c r="T294" i="9"/>
  <c r="L295" i="9"/>
  <c r="M293" i="9" l="1"/>
  <c r="X292" i="9"/>
  <c r="T295" i="9"/>
  <c r="L296" i="9"/>
  <c r="R291" i="9"/>
  <c r="Q292" i="9"/>
  <c r="W292" i="9" s="1"/>
  <c r="U291" i="9"/>
  <c r="S291" i="9"/>
  <c r="M294" i="9" l="1"/>
  <c r="X293" i="9"/>
  <c r="R292" i="9"/>
  <c r="Q293" i="9"/>
  <c r="W293" i="9" s="1"/>
  <c r="U292" i="9"/>
  <c r="S292" i="9"/>
  <c r="T296" i="9"/>
  <c r="L297" i="9"/>
  <c r="M295" i="9" l="1"/>
  <c r="X294" i="9"/>
  <c r="T297" i="9"/>
  <c r="L298" i="9"/>
  <c r="R293" i="9"/>
  <c r="Q294" i="9"/>
  <c r="W294" i="9" s="1"/>
  <c r="U293" i="9"/>
  <c r="S293" i="9"/>
  <c r="X295" i="9" l="1"/>
  <c r="M296" i="9"/>
  <c r="R294" i="9"/>
  <c r="S294" i="9"/>
  <c r="Q295" i="9"/>
  <c r="W295" i="9" s="1"/>
  <c r="U294" i="9"/>
  <c r="T298" i="9"/>
  <c r="L299" i="9"/>
  <c r="M297" i="9" l="1"/>
  <c r="X296" i="9"/>
  <c r="T299" i="9"/>
  <c r="L300" i="9"/>
  <c r="S295" i="9"/>
  <c r="R295" i="9"/>
  <c r="Q296" i="9"/>
  <c r="W296" i="9" s="1"/>
  <c r="U295" i="9"/>
  <c r="M298" i="9" l="1"/>
  <c r="X297" i="9"/>
  <c r="S296" i="9"/>
  <c r="R296" i="9"/>
  <c r="Q297" i="9"/>
  <c r="W297" i="9" s="1"/>
  <c r="U296" i="9"/>
  <c r="T300" i="9"/>
  <c r="L301" i="9"/>
  <c r="M299" i="9" l="1"/>
  <c r="X298" i="9"/>
  <c r="T301" i="9"/>
  <c r="L302" i="9"/>
  <c r="R297" i="9"/>
  <c r="Q298" i="9"/>
  <c r="W298" i="9" s="1"/>
  <c r="S297" i="9"/>
  <c r="U297" i="9"/>
  <c r="M300" i="9" l="1"/>
  <c r="X299" i="9"/>
  <c r="Q299" i="9"/>
  <c r="W299" i="9" s="1"/>
  <c r="S298" i="9"/>
  <c r="R298" i="9"/>
  <c r="U298" i="9"/>
  <c r="L303" i="9"/>
  <c r="T302" i="9"/>
  <c r="M301" i="9" l="1"/>
  <c r="X300" i="9"/>
  <c r="T303" i="9"/>
  <c r="L304" i="9"/>
  <c r="S299" i="9"/>
  <c r="R299" i="9"/>
  <c r="Q300" i="9"/>
  <c r="W300" i="9" s="1"/>
  <c r="U299" i="9"/>
  <c r="M302" i="9" l="1"/>
  <c r="X301" i="9"/>
  <c r="R300" i="9"/>
  <c r="Q301" i="9"/>
  <c r="W301" i="9" s="1"/>
  <c r="S300" i="9"/>
  <c r="U300" i="9"/>
  <c r="L305" i="9"/>
  <c r="L306" i="9" s="1"/>
  <c r="T304" i="9"/>
  <c r="M303" i="9" l="1"/>
  <c r="X302" i="9"/>
  <c r="L307" i="9"/>
  <c r="T306" i="9"/>
  <c r="T305" i="9"/>
  <c r="R301" i="9"/>
  <c r="S301" i="9"/>
  <c r="Q302" i="9"/>
  <c r="W302" i="9" s="1"/>
  <c r="U301" i="9"/>
  <c r="M304" i="9" l="1"/>
  <c r="X303" i="9"/>
  <c r="L308" i="9"/>
  <c r="T307" i="9"/>
  <c r="S302" i="9"/>
  <c r="Q303" i="9"/>
  <c r="W303" i="9" s="1"/>
  <c r="R302" i="9"/>
  <c r="U302" i="9"/>
  <c r="M305" i="9" l="1"/>
  <c r="X304" i="9"/>
  <c r="L309" i="9"/>
  <c r="T308" i="9"/>
  <c r="S303" i="9"/>
  <c r="R303" i="9"/>
  <c r="Q304" i="9"/>
  <c r="W304" i="9" s="1"/>
  <c r="U303" i="9"/>
  <c r="M306" i="9" l="1"/>
  <c r="X305" i="9"/>
  <c r="L310" i="9"/>
  <c r="T309" i="9"/>
  <c r="S304" i="9"/>
  <c r="Q305" i="9"/>
  <c r="R304" i="9"/>
  <c r="U304" i="9"/>
  <c r="Q306" i="9" l="1"/>
  <c r="W306" i="9" s="1"/>
  <c r="W305" i="9"/>
  <c r="M307" i="9"/>
  <c r="X306" i="9"/>
  <c r="U306" i="9"/>
  <c r="L311" i="9"/>
  <c r="T310" i="9"/>
  <c r="R305" i="9"/>
  <c r="S305" i="9"/>
  <c r="U305" i="9"/>
  <c r="Q307" i="9" l="1"/>
  <c r="W307" i="9" s="1"/>
  <c r="S306" i="9"/>
  <c r="R306" i="9"/>
  <c r="M308" i="9"/>
  <c r="X307" i="9"/>
  <c r="L312" i="9"/>
  <c r="T311" i="9"/>
  <c r="Q308" i="9"/>
  <c r="W308" i="9" s="1"/>
  <c r="S307" i="9"/>
  <c r="R307" i="9"/>
  <c r="U307" i="9"/>
  <c r="M309" i="9" l="1"/>
  <c r="X308" i="9"/>
  <c r="S308" i="9"/>
  <c r="Q309" i="9"/>
  <c r="W309" i="9" s="1"/>
  <c r="R308" i="9"/>
  <c r="U308" i="9"/>
  <c r="L313" i="9"/>
  <c r="T312" i="9"/>
  <c r="M310" i="9" l="1"/>
  <c r="X309" i="9"/>
  <c r="L314" i="9"/>
  <c r="T313" i="9"/>
  <c r="Q310" i="9"/>
  <c r="W310" i="9" s="1"/>
  <c r="R309" i="9"/>
  <c r="S309" i="9"/>
  <c r="U309" i="9"/>
  <c r="M311" i="9" l="1"/>
  <c r="X310" i="9"/>
  <c r="S310" i="9"/>
  <c r="Q311" i="9"/>
  <c r="W311" i="9" s="1"/>
  <c r="R310" i="9"/>
  <c r="U310" i="9"/>
  <c r="L315" i="9"/>
  <c r="T314" i="9"/>
  <c r="M312" i="9" l="1"/>
  <c r="X311" i="9"/>
  <c r="L316" i="9"/>
  <c r="T315" i="9"/>
  <c r="S311" i="9"/>
  <c r="Q312" i="9"/>
  <c r="W312" i="9" s="1"/>
  <c r="R311" i="9"/>
  <c r="U311" i="9"/>
  <c r="M313" i="9" l="1"/>
  <c r="X312" i="9"/>
  <c r="S312" i="9"/>
  <c r="Q313" i="9"/>
  <c r="W313" i="9" s="1"/>
  <c r="R312" i="9"/>
  <c r="U312" i="9"/>
  <c r="L317" i="9"/>
  <c r="T316" i="9"/>
  <c r="M314" i="9" l="1"/>
  <c r="X313" i="9"/>
  <c r="L318" i="9"/>
  <c r="T317" i="9"/>
  <c r="S313" i="9"/>
  <c r="Q314" i="9"/>
  <c r="W314" i="9" s="1"/>
  <c r="R313" i="9"/>
  <c r="U313" i="9"/>
  <c r="M315" i="9" l="1"/>
  <c r="X314" i="9"/>
  <c r="S314" i="9"/>
  <c r="Q315" i="9"/>
  <c r="W315" i="9" s="1"/>
  <c r="R314" i="9"/>
  <c r="U314" i="9"/>
  <c r="L319" i="9"/>
  <c r="T318" i="9"/>
  <c r="M316" i="9" l="1"/>
  <c r="X315" i="9"/>
  <c r="L320" i="9"/>
  <c r="T319" i="9"/>
  <c r="S315" i="9"/>
  <c r="R315" i="9"/>
  <c r="Q316" i="9"/>
  <c r="W316" i="9" s="1"/>
  <c r="U315" i="9"/>
  <c r="M317" i="9" l="1"/>
  <c r="X316" i="9"/>
  <c r="Q317" i="9"/>
  <c r="W317" i="9" s="1"/>
  <c r="S316" i="9"/>
  <c r="R316" i="9"/>
  <c r="U316" i="9"/>
  <c r="L321" i="9"/>
  <c r="T320" i="9"/>
  <c r="M318" i="9" l="1"/>
  <c r="X317" i="9"/>
  <c r="L322" i="9"/>
  <c r="T321" i="9"/>
  <c r="R317" i="9"/>
  <c r="S317" i="9"/>
  <c r="Q318" i="9"/>
  <c r="W318" i="9" s="1"/>
  <c r="U317" i="9"/>
  <c r="M319" i="9" l="1"/>
  <c r="X318" i="9"/>
  <c r="S318" i="9"/>
  <c r="Q319" i="9"/>
  <c r="W319" i="9" s="1"/>
  <c r="R318" i="9"/>
  <c r="U318" i="9"/>
  <c r="L323" i="9"/>
  <c r="T322" i="9"/>
  <c r="M320" i="9" l="1"/>
  <c r="X319" i="9"/>
  <c r="L324" i="9"/>
  <c r="T323" i="9"/>
  <c r="S319" i="9"/>
  <c r="Q320" i="9"/>
  <c r="W320" i="9" s="1"/>
  <c r="R319" i="9"/>
  <c r="U319" i="9"/>
  <c r="M321" i="9" l="1"/>
  <c r="X320" i="9"/>
  <c r="R320" i="9"/>
  <c r="Q321" i="9"/>
  <c r="W321" i="9" s="1"/>
  <c r="S320" i="9"/>
  <c r="U320" i="9"/>
  <c r="L325" i="9"/>
  <c r="T324" i="9"/>
  <c r="M322" i="9" l="1"/>
  <c r="X321" i="9"/>
  <c r="L326" i="9"/>
  <c r="T325" i="9"/>
  <c r="S321" i="9"/>
  <c r="Q322" i="9"/>
  <c r="W322" i="9" s="1"/>
  <c r="R321" i="9"/>
  <c r="U321" i="9"/>
  <c r="M323" i="9" l="1"/>
  <c r="X322" i="9"/>
  <c r="R322" i="9"/>
  <c r="S322" i="9"/>
  <c r="Q323" i="9"/>
  <c r="W323" i="9" s="1"/>
  <c r="U322" i="9"/>
  <c r="L327" i="9"/>
  <c r="T326" i="9"/>
  <c r="M324" i="9" l="1"/>
  <c r="X323" i="9"/>
  <c r="L328" i="9"/>
  <c r="T327" i="9"/>
  <c r="S323" i="9"/>
  <c r="R323" i="9"/>
  <c r="Q324" i="9"/>
  <c r="W324" i="9" s="1"/>
  <c r="U323" i="9"/>
  <c r="M325" i="9" l="1"/>
  <c r="X324" i="9"/>
  <c r="Q325" i="9"/>
  <c r="W325" i="9" s="1"/>
  <c r="S324" i="9"/>
  <c r="R324" i="9"/>
  <c r="U324" i="9"/>
  <c r="L329" i="9"/>
  <c r="T328" i="9"/>
  <c r="M326" i="9" l="1"/>
  <c r="X325" i="9"/>
  <c r="L330" i="9"/>
  <c r="L331" i="9" s="1"/>
  <c r="T329" i="9"/>
  <c r="R325" i="9"/>
  <c r="Q326" i="9"/>
  <c r="W326" i="9" s="1"/>
  <c r="S325" i="9"/>
  <c r="U325" i="9"/>
  <c r="M327" i="9" l="1"/>
  <c r="X326" i="9"/>
  <c r="L332" i="9"/>
  <c r="L333" i="9" s="1"/>
  <c r="T331" i="9"/>
  <c r="Q327" i="9"/>
  <c r="W327" i="9" s="1"/>
  <c r="S326" i="9"/>
  <c r="R326" i="9"/>
  <c r="U326" i="9"/>
  <c r="T330" i="9"/>
  <c r="M328" i="9" l="1"/>
  <c r="X327" i="9"/>
  <c r="L334" i="9"/>
  <c r="T333" i="9"/>
  <c r="T332" i="9"/>
  <c r="Q328" i="9"/>
  <c r="W328" i="9" s="1"/>
  <c r="R327" i="9"/>
  <c r="S327" i="9"/>
  <c r="U327" i="9"/>
  <c r="M329" i="9" l="1"/>
  <c r="X328" i="9"/>
  <c r="T334" i="9"/>
  <c r="L335" i="9"/>
  <c r="S328" i="9"/>
  <c r="Q329" i="9"/>
  <c r="W329" i="9" s="1"/>
  <c r="R328" i="9"/>
  <c r="U328" i="9"/>
  <c r="M330" i="9" l="1"/>
  <c r="X329" i="9"/>
  <c r="L336" i="9"/>
  <c r="T335" i="9"/>
  <c r="Q330" i="9"/>
  <c r="R329" i="9"/>
  <c r="S329" i="9"/>
  <c r="U329" i="9"/>
  <c r="Q331" i="9" l="1"/>
  <c r="W331" i="9" s="1"/>
  <c r="W330" i="9"/>
  <c r="M331" i="9"/>
  <c r="X330" i="9"/>
  <c r="L337" i="9"/>
  <c r="T336" i="9"/>
  <c r="R330" i="9"/>
  <c r="S330" i="9"/>
  <c r="U330" i="9"/>
  <c r="R331" i="9" l="1"/>
  <c r="Q332" i="9"/>
  <c r="S331" i="9"/>
  <c r="M332" i="9"/>
  <c r="R332" i="9" s="1"/>
  <c r="X331" i="9"/>
  <c r="U331" i="9"/>
  <c r="Q333" i="9"/>
  <c r="W333" i="9" s="1"/>
  <c r="W332" i="9"/>
  <c r="L338" i="9"/>
  <c r="L339" i="9" s="1"/>
  <c r="T337" i="9"/>
  <c r="S332" i="9"/>
  <c r="U332" i="9"/>
  <c r="S333" i="9" l="1"/>
  <c r="Q334" i="9"/>
  <c r="W334" i="9" s="1"/>
  <c r="M333" i="9"/>
  <c r="X332" i="9"/>
  <c r="L340" i="9"/>
  <c r="T339" i="9"/>
  <c r="T338" i="9"/>
  <c r="S334" i="9"/>
  <c r="Q335" i="9" l="1"/>
  <c r="W335" i="9" s="1"/>
  <c r="M334" i="9"/>
  <c r="X333" i="9"/>
  <c r="U333" i="9"/>
  <c r="R333" i="9"/>
  <c r="L341" i="9"/>
  <c r="T340" i="9"/>
  <c r="S335" i="9"/>
  <c r="Q336" i="9"/>
  <c r="W336" i="9" s="1"/>
  <c r="M335" i="9" l="1"/>
  <c r="X334" i="9"/>
  <c r="R334" i="9"/>
  <c r="U334" i="9"/>
  <c r="L342" i="9"/>
  <c r="T341" i="9"/>
  <c r="Q337" i="9"/>
  <c r="W337" i="9" s="1"/>
  <c r="S336" i="9"/>
  <c r="M336" i="9" l="1"/>
  <c r="X335" i="9"/>
  <c r="U335" i="9"/>
  <c r="R335" i="9"/>
  <c r="L343" i="9"/>
  <c r="L344" i="9" s="1"/>
  <c r="T342" i="9"/>
  <c r="S337" i="9"/>
  <c r="Q338" i="9"/>
  <c r="Q339" i="9" l="1"/>
  <c r="W339" i="9" s="1"/>
  <c r="W338" i="9"/>
  <c r="L345" i="9"/>
  <c r="T344" i="9"/>
  <c r="M337" i="9"/>
  <c r="X336" i="9"/>
  <c r="U336" i="9"/>
  <c r="R336" i="9"/>
  <c r="T343" i="9"/>
  <c r="S338" i="9"/>
  <c r="S339" i="9" l="1"/>
  <c r="Q340" i="9"/>
  <c r="W340" i="9" s="1"/>
  <c r="L346" i="9"/>
  <c r="T345" i="9"/>
  <c r="M338" i="9"/>
  <c r="X337" i="9"/>
  <c r="U337" i="9"/>
  <c r="R337" i="9"/>
  <c r="Q341" i="9" l="1"/>
  <c r="W341" i="9" s="1"/>
  <c r="S340" i="9"/>
  <c r="M339" i="9"/>
  <c r="X338" i="9"/>
  <c r="R338" i="9"/>
  <c r="U338" i="9"/>
  <c r="L347" i="9"/>
  <c r="T346" i="9"/>
  <c r="Q342" i="9"/>
  <c r="W342" i="9" s="1"/>
  <c r="S341" i="9" l="1"/>
  <c r="L348" i="9"/>
  <c r="L349" i="9" s="1"/>
  <c r="T347" i="9"/>
  <c r="M340" i="9"/>
  <c r="X339" i="9"/>
  <c r="U339" i="9"/>
  <c r="R339" i="9"/>
  <c r="S342" i="9"/>
  <c r="Q343" i="9"/>
  <c r="L350" i="9" l="1"/>
  <c r="T349" i="9"/>
  <c r="M341" i="9"/>
  <c r="X340" i="9"/>
  <c r="R340" i="9"/>
  <c r="U340" i="9"/>
  <c r="T348" i="9"/>
  <c r="W343" i="9"/>
  <c r="Q344" i="9"/>
  <c r="S343" i="9"/>
  <c r="L351" i="9" l="1"/>
  <c r="T350" i="9"/>
  <c r="W344" i="9"/>
  <c r="S344" i="9"/>
  <c r="Q345" i="9"/>
  <c r="M342" i="9"/>
  <c r="X341" i="9"/>
  <c r="R341" i="9"/>
  <c r="U341" i="9"/>
  <c r="T351" i="9" l="1"/>
  <c r="L352" i="9"/>
  <c r="Q346" i="9"/>
  <c r="W345" i="9"/>
  <c r="S345" i="9"/>
  <c r="M343" i="9"/>
  <c r="X342" i="9"/>
  <c r="R342" i="9"/>
  <c r="U342" i="9"/>
  <c r="T352" i="9" l="1"/>
  <c r="L353" i="9"/>
  <c r="X343" i="9"/>
  <c r="M344" i="9"/>
  <c r="U343" i="9"/>
  <c r="R343" i="9"/>
  <c r="W346" i="9"/>
  <c r="Q347" i="9"/>
  <c r="S346" i="9"/>
  <c r="T353" i="9" l="1"/>
  <c r="L354" i="9"/>
  <c r="W347" i="9"/>
  <c r="Q348" i="9"/>
  <c r="Q349" i="9" s="1"/>
  <c r="S347" i="9"/>
  <c r="X344" i="9"/>
  <c r="M345" i="9"/>
  <c r="U344" i="9"/>
  <c r="R344" i="9"/>
  <c r="Q350" i="9" l="1"/>
  <c r="W349" i="9"/>
  <c r="S349" i="9"/>
  <c r="L355" i="9"/>
  <c r="T354" i="9"/>
  <c r="W348" i="9"/>
  <c r="S348" i="9"/>
  <c r="M346" i="9"/>
  <c r="X345" i="9"/>
  <c r="U345" i="9"/>
  <c r="R345" i="9"/>
  <c r="T355" i="9" l="1"/>
  <c r="L356" i="9"/>
  <c r="W350" i="9"/>
  <c r="Q351" i="9"/>
  <c r="S350" i="9"/>
  <c r="X346" i="9"/>
  <c r="M347" i="9"/>
  <c r="U346" i="9"/>
  <c r="R346" i="9"/>
  <c r="W351" i="9" l="1"/>
  <c r="Q352" i="9"/>
  <c r="S351" i="9"/>
  <c r="T356" i="9"/>
  <c r="L357" i="9"/>
  <c r="X347" i="9"/>
  <c r="M348" i="9"/>
  <c r="M349" i="9" s="1"/>
  <c r="U347" i="9"/>
  <c r="R347" i="9"/>
  <c r="W352" i="9" l="1"/>
  <c r="Q353" i="9"/>
  <c r="S352" i="9"/>
  <c r="T357" i="9"/>
  <c r="L358" i="9"/>
  <c r="X349" i="9"/>
  <c r="M350" i="9"/>
  <c r="U349" i="9"/>
  <c r="R349" i="9"/>
  <c r="X348" i="9"/>
  <c r="U348" i="9"/>
  <c r="R348" i="9"/>
  <c r="T358" i="9" l="1"/>
  <c r="L359" i="9"/>
  <c r="Q354" i="9"/>
  <c r="W353" i="9"/>
  <c r="S353" i="9"/>
  <c r="M351" i="9"/>
  <c r="X350" i="9"/>
  <c r="U350" i="9"/>
  <c r="R350" i="9"/>
  <c r="Q355" i="9" l="1"/>
  <c r="S354" i="9"/>
  <c r="W354" i="9"/>
  <c r="M352" i="9"/>
  <c r="X351" i="9"/>
  <c r="U351" i="9"/>
  <c r="R351" i="9"/>
  <c r="L360" i="9"/>
  <c r="L361" i="9" s="1"/>
  <c r="L362" i="9" s="1"/>
  <c r="T359" i="9"/>
  <c r="L363" i="9" l="1"/>
  <c r="T362" i="9"/>
  <c r="X352" i="9"/>
  <c r="M353" i="9"/>
  <c r="U352" i="9"/>
  <c r="R352" i="9"/>
  <c r="T360" i="9"/>
  <c r="W355" i="9"/>
  <c r="Q356" i="9"/>
  <c r="S355" i="9"/>
  <c r="L364" i="9" l="1"/>
  <c r="T363" i="9"/>
  <c r="T361" i="9"/>
  <c r="W356" i="9"/>
  <c r="Q357" i="9"/>
  <c r="S356" i="9"/>
  <c r="X353" i="9"/>
  <c r="M354" i="9"/>
  <c r="U353" i="9"/>
  <c r="R353" i="9"/>
  <c r="L365" i="9" l="1"/>
  <c r="T364" i="9"/>
  <c r="Q358" i="9"/>
  <c r="W357" i="9"/>
  <c r="S357" i="9"/>
  <c r="M355" i="9"/>
  <c r="X354" i="9"/>
  <c r="U354" i="9"/>
  <c r="R354" i="9"/>
  <c r="L366" i="9" l="1"/>
  <c r="T365" i="9"/>
  <c r="M356" i="9"/>
  <c r="X355" i="9"/>
  <c r="U355" i="9"/>
  <c r="R355" i="9"/>
  <c r="S358" i="9"/>
  <c r="Q359" i="9"/>
  <c r="W358" i="9"/>
  <c r="L367" i="9" l="1"/>
  <c r="T366" i="9"/>
  <c r="W359" i="9"/>
  <c r="Q360" i="9"/>
  <c r="S359" i="9"/>
  <c r="X356" i="9"/>
  <c r="M357" i="9"/>
  <c r="U356" i="9"/>
  <c r="R356" i="9"/>
  <c r="L368" i="9" l="1"/>
  <c r="T367" i="9"/>
  <c r="X357" i="9"/>
  <c r="M358" i="9"/>
  <c r="U357" i="9"/>
  <c r="R357" i="9"/>
  <c r="W360" i="9"/>
  <c r="Q361" i="9"/>
  <c r="Q362" i="9" s="1"/>
  <c r="S360" i="9"/>
  <c r="W362" i="9" l="1"/>
  <c r="S362" i="9"/>
  <c r="Q363" i="9"/>
  <c r="L369" i="9"/>
  <c r="T368" i="9"/>
  <c r="W361" i="9"/>
  <c r="S361" i="9"/>
  <c r="M359" i="9"/>
  <c r="X358" i="9"/>
  <c r="U358" i="9"/>
  <c r="R358" i="9"/>
  <c r="L370" i="9" l="1"/>
  <c r="T369" i="9"/>
  <c r="W363" i="9"/>
  <c r="Q364" i="9"/>
  <c r="S363" i="9"/>
  <c r="M360" i="9"/>
  <c r="X359" i="9"/>
  <c r="U359" i="9"/>
  <c r="R359" i="9"/>
  <c r="Q365" i="9" l="1"/>
  <c r="S364" i="9"/>
  <c r="W364" i="9"/>
  <c r="L371" i="9"/>
  <c r="T370" i="9"/>
  <c r="M361" i="9"/>
  <c r="M362" i="9" s="1"/>
  <c r="X360" i="9"/>
  <c r="U360" i="9"/>
  <c r="R360" i="9"/>
  <c r="T371" i="9" l="1"/>
  <c r="M363" i="9"/>
  <c r="X362" i="9"/>
  <c r="U362" i="9"/>
  <c r="R362" i="9"/>
  <c r="S365" i="9"/>
  <c r="Q366" i="9"/>
  <c r="W365" i="9"/>
  <c r="X361" i="9"/>
  <c r="U361" i="9"/>
  <c r="R361" i="9"/>
  <c r="Q367" i="9" l="1"/>
  <c r="S366" i="9"/>
  <c r="W366" i="9"/>
  <c r="M364" i="9"/>
  <c r="X363" i="9"/>
  <c r="U363" i="9"/>
  <c r="R363" i="9"/>
  <c r="M365" i="9" l="1"/>
  <c r="X364" i="9"/>
  <c r="U364" i="9"/>
  <c r="R364" i="9"/>
  <c r="Q368" i="9"/>
  <c r="S367" i="9"/>
  <c r="W367" i="9"/>
  <c r="W368" i="9" l="1"/>
  <c r="Q369" i="9"/>
  <c r="S368" i="9"/>
  <c r="M366" i="9"/>
  <c r="X365" i="9"/>
  <c r="U365" i="9"/>
  <c r="R365" i="9"/>
  <c r="X366" i="9" l="1"/>
  <c r="M367" i="9"/>
  <c r="U366" i="9"/>
  <c r="R366" i="9"/>
  <c r="S369" i="9"/>
  <c r="Q370" i="9"/>
  <c r="W369" i="9"/>
  <c r="Q371" i="9" l="1"/>
  <c r="S370" i="9"/>
  <c r="W370" i="9"/>
  <c r="X367" i="9"/>
  <c r="M368" i="9"/>
  <c r="U367" i="9"/>
  <c r="R367" i="9"/>
  <c r="X368" i="9" l="1"/>
  <c r="M369" i="9"/>
  <c r="U368" i="9"/>
  <c r="R368" i="9"/>
  <c r="W371" i="9"/>
  <c r="S371" i="9"/>
  <c r="M370" i="9" l="1"/>
  <c r="X369" i="9"/>
  <c r="U369" i="9"/>
  <c r="R369" i="9"/>
  <c r="M371" i="9" l="1"/>
  <c r="X370" i="9"/>
  <c r="U370" i="9"/>
  <c r="R370" i="9"/>
  <c r="X371" i="9" l="1"/>
  <c r="U371" i="9"/>
  <c r="R37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<sst xmlns="http://schemas.openxmlformats.org/spreadsheetml/2006/main" count="1930" uniqueCount="393">
  <si>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</si>
  <si>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</si>
  <si>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</si>
  <si>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</si>
  <si>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</si>
  <si>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</si>
  <si>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</si>
  <si>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</si>
  <si>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</si>
  <si>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</si>
  <si>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</si>
  <si>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</si>
  <si>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</si>
  <si>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</si>
  <si>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</si>
  <si>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</si>
  <si>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</si>
  <si>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</si>
  <si>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</si>
  <si>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</si>
  <si>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</si>
  <si>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</si>
  <si>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</si>
  <si>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</si>
  <si>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</si>
  <si>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</si>
  <si>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</si>
  <si>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</si>
  <si>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</si>
  <si>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</si>
  <si>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</si>
  <si>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</si>
  <si>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</si>
  <si>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</si>
  <si>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</si>
  <si>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</si>
  <si>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</si>
  <si>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</si>
  <si>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</si>
  <si>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</si>
  <si>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</si>
  <si>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</si>
  <si>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</si>
  <si>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</si>
  <si>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</si>
  <si>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</si>
  <si>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</si>
  <si>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</si>
  <si>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</si>
  <si>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</si>
  <si>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</si>
  <si>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</si>
  <si>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</si>
  <si>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</si>
  <si>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</si>
  <si>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</si>
  <si>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</si>
  <si>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</si>
  <si>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</si>
  <si>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</si>
  <si>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</si>
  <si>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</si>
  <si>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</si>
  <si>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</si>
  <si>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</si>
  <si>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</si>
  <si>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</si>
  <si>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</si>
  <si>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</si>
  <si>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</si>
  <si>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</si>
  <si>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</si>
  <si>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</si>
  <si>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</si>
  <si>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</si>
  <si>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</si>
  <si>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</si>
  <si>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</si>
  <si>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</si>
  <si>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</si>
  <si>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</si>
  <si>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</si>
  <si>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</si>
  <si>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</si>
  <si>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</si>
  <si>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</si>
  <si>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</si>
  <si>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</si>
  <si>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</si>
  <si>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</si>
  <si>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</si>
  <si>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</si>
  <si>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</si>
  <si>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</si>
  <si>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</si>
  <si>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</si>
  <si>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</si>
  <si>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</si>
  <si>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</si>
  <si>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</si>
  <si>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</si>
  <si>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</si>
  <si>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</si>
  <si>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</si>
  <si>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</si>
  <si>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</si>
  <si>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</si>
  <si>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</si>
  <si>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</si>
  <si>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</si>
  <si>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</si>
  <si>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</si>
  <si>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</si>
  <si>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JWI</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</si>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</sst>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8"/>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57">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164" fontId="30" fillId="2" borderId="0" xfId="0" applyNumberFormat="1" applyFont="1" applyFill="1" applyAlignment="1">
      <alignment horizontal="center" vertical="center"/>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3" fillId="0" borderId="0" xfId="0" applyFont="1" applyAlignment="1">
      <alignment horizontal="left" vertical="center" wrapText="1"/>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20" fillId="0" borderId="21" xfId="0" applyFont="1" applyBorder="1" applyAlignment="1">
      <alignment horizontal="center"/>
    </xf>
    <xf numFmtId="0" fontId="20" fillId="0" borderId="22" xfId="0" applyFont="1" applyBorder="1" applyAlignment="1">
      <alignment horizont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cellXfs>
  <cellStyles count="2">
    <cellStyle name="Normal" xfId="0" builtinId="0"/>
    <cellStyle name="Percent" xfId="1" builtinId="5"/>
  </cellStyles>
  <dxfs count="191">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414.00079999999991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340.00058000000001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367.00045999999998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404.00072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222.00045999999995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0.78947631578947364</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0.73684447368421058</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0.39473815789473682</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0.50000052631578951</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0.39473815789473682</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0.55263315789473688</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0.56140513157894734</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Participation!$L$2:$L$341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Participation!$M$2:$M$341</c:f>
              <c:numCache>
                <c:formatCode>0</c:formatCode>
                <c:ptCount val="340"/>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Participation!$N$2:$N$341</c:f>
              <c:numCache>
                <c:formatCode>0</c:formatCode>
                <c:ptCount val="340"/>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Participation!$O$2:$O$343</c:f>
              <c:numCache>
                <c:formatCode>0</c:formatCode>
                <c:ptCount val="34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Participation!$P$2:$P$341</c:f>
              <c:numCache>
                <c:formatCode>0</c:formatCode>
                <c:ptCount val="340"/>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Participation!$K$2:$K$341</c:f>
              <c:numCache>
                <c:formatCode>m/d/yyyy</c:formatCode>
                <c:ptCount val="340"/>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numCache>
            </c:numRef>
          </c:cat>
          <c:val>
            <c:numRef>
              <c:f>Participation!$Q$2:$Q$341</c:f>
              <c:numCache>
                <c:formatCode>0</c:formatCode>
                <c:ptCount val="340"/>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Participation!$A$9:$A$361</c:f>
              <c:numCache>
                <c:formatCode>m/d/yyyy</c:formatCode>
                <c:ptCount val="353"/>
                <c:pt idx="0">
                  <c:v>42524</c:v>
                </c:pt>
                <c:pt idx="1">
                  <c:v>42531</c:v>
                </c:pt>
                <c:pt idx="2">
                  <c:v>42538</c:v>
                </c:pt>
                <c:pt idx="3">
                  <c:v>42545</c:v>
                </c:pt>
                <c:pt idx="4">
                  <c:v>42552</c:v>
                </c:pt>
                <c:pt idx="5">
                  <c:v>42559</c:v>
                </c:pt>
                <c:pt idx="6">
                  <c:v>42566</c:v>
                </c:pt>
                <c:pt idx="7">
                  <c:v>42573</c:v>
                </c:pt>
                <c:pt idx="8">
                  <c:v>42580</c:v>
                </c:pt>
                <c:pt idx="9">
                  <c:v>42587</c:v>
                </c:pt>
                <c:pt idx="10">
                  <c:v>42594</c:v>
                </c:pt>
                <c:pt idx="11">
                  <c:v>42601</c:v>
                </c:pt>
                <c:pt idx="12">
                  <c:v>42608</c:v>
                </c:pt>
                <c:pt idx="13">
                  <c:v>42615</c:v>
                </c:pt>
                <c:pt idx="14">
                  <c:v>42622</c:v>
                </c:pt>
                <c:pt idx="15">
                  <c:v>42629</c:v>
                </c:pt>
                <c:pt idx="16">
                  <c:v>42636</c:v>
                </c:pt>
                <c:pt idx="17">
                  <c:v>42643</c:v>
                </c:pt>
                <c:pt idx="18">
                  <c:v>42650</c:v>
                </c:pt>
                <c:pt idx="19">
                  <c:v>42657</c:v>
                </c:pt>
                <c:pt idx="20">
                  <c:v>42664</c:v>
                </c:pt>
                <c:pt idx="21">
                  <c:v>42671</c:v>
                </c:pt>
                <c:pt idx="22">
                  <c:v>42678</c:v>
                </c:pt>
                <c:pt idx="23">
                  <c:v>42685</c:v>
                </c:pt>
                <c:pt idx="24">
                  <c:v>42692</c:v>
                </c:pt>
                <c:pt idx="25">
                  <c:v>42699</c:v>
                </c:pt>
                <c:pt idx="26">
                  <c:v>42706</c:v>
                </c:pt>
                <c:pt idx="27">
                  <c:v>42713</c:v>
                </c:pt>
                <c:pt idx="28">
                  <c:v>42720</c:v>
                </c:pt>
                <c:pt idx="29">
                  <c:v>42727</c:v>
                </c:pt>
                <c:pt idx="30">
                  <c:v>42734</c:v>
                </c:pt>
                <c:pt idx="31">
                  <c:v>42741</c:v>
                </c:pt>
                <c:pt idx="32">
                  <c:v>42748</c:v>
                </c:pt>
                <c:pt idx="33">
                  <c:v>42755</c:v>
                </c:pt>
                <c:pt idx="34">
                  <c:v>42762</c:v>
                </c:pt>
                <c:pt idx="35">
                  <c:v>42769</c:v>
                </c:pt>
                <c:pt idx="36">
                  <c:v>42776</c:v>
                </c:pt>
                <c:pt idx="37">
                  <c:v>42783</c:v>
                </c:pt>
                <c:pt idx="38">
                  <c:v>42790</c:v>
                </c:pt>
                <c:pt idx="39">
                  <c:v>42797</c:v>
                </c:pt>
                <c:pt idx="40">
                  <c:v>42804</c:v>
                </c:pt>
                <c:pt idx="41">
                  <c:v>42811</c:v>
                </c:pt>
                <c:pt idx="42">
                  <c:v>42818</c:v>
                </c:pt>
                <c:pt idx="43">
                  <c:v>42825</c:v>
                </c:pt>
                <c:pt idx="44">
                  <c:v>42832</c:v>
                </c:pt>
                <c:pt idx="45">
                  <c:v>42846</c:v>
                </c:pt>
                <c:pt idx="46">
                  <c:v>42853</c:v>
                </c:pt>
                <c:pt idx="47">
                  <c:v>42860</c:v>
                </c:pt>
                <c:pt idx="48">
                  <c:v>42867</c:v>
                </c:pt>
                <c:pt idx="49">
                  <c:v>42874</c:v>
                </c:pt>
                <c:pt idx="50">
                  <c:v>42881</c:v>
                </c:pt>
                <c:pt idx="51">
                  <c:v>42888</c:v>
                </c:pt>
                <c:pt idx="52">
                  <c:v>42895</c:v>
                </c:pt>
                <c:pt idx="53">
                  <c:v>42902</c:v>
                </c:pt>
                <c:pt idx="54">
                  <c:v>42909</c:v>
                </c:pt>
                <c:pt idx="55">
                  <c:v>42916</c:v>
                </c:pt>
                <c:pt idx="56">
                  <c:v>42923</c:v>
                </c:pt>
                <c:pt idx="57">
                  <c:v>42930</c:v>
                </c:pt>
                <c:pt idx="58">
                  <c:v>42937</c:v>
                </c:pt>
                <c:pt idx="59">
                  <c:v>42944</c:v>
                </c:pt>
                <c:pt idx="60">
                  <c:v>42951</c:v>
                </c:pt>
                <c:pt idx="61">
                  <c:v>42958</c:v>
                </c:pt>
                <c:pt idx="62">
                  <c:v>42965</c:v>
                </c:pt>
                <c:pt idx="63">
                  <c:v>42972</c:v>
                </c:pt>
                <c:pt idx="64">
                  <c:v>42979</c:v>
                </c:pt>
                <c:pt idx="65">
                  <c:v>42986</c:v>
                </c:pt>
                <c:pt idx="66">
                  <c:v>42993</c:v>
                </c:pt>
                <c:pt idx="67">
                  <c:v>43000</c:v>
                </c:pt>
                <c:pt idx="68">
                  <c:v>43007</c:v>
                </c:pt>
                <c:pt idx="69">
                  <c:v>43014</c:v>
                </c:pt>
                <c:pt idx="70">
                  <c:v>43021</c:v>
                </c:pt>
                <c:pt idx="71">
                  <c:v>43028</c:v>
                </c:pt>
                <c:pt idx="72">
                  <c:v>43035</c:v>
                </c:pt>
                <c:pt idx="73">
                  <c:v>43042</c:v>
                </c:pt>
                <c:pt idx="74">
                  <c:v>43049</c:v>
                </c:pt>
                <c:pt idx="75">
                  <c:v>43056</c:v>
                </c:pt>
                <c:pt idx="76">
                  <c:v>43063</c:v>
                </c:pt>
                <c:pt idx="77">
                  <c:v>43070</c:v>
                </c:pt>
                <c:pt idx="78">
                  <c:v>43077</c:v>
                </c:pt>
                <c:pt idx="79">
                  <c:v>43084</c:v>
                </c:pt>
                <c:pt idx="80">
                  <c:v>43091</c:v>
                </c:pt>
                <c:pt idx="81">
                  <c:v>43098</c:v>
                </c:pt>
                <c:pt idx="82">
                  <c:v>43105</c:v>
                </c:pt>
                <c:pt idx="83">
                  <c:v>43112</c:v>
                </c:pt>
                <c:pt idx="84">
                  <c:v>43119</c:v>
                </c:pt>
                <c:pt idx="85">
                  <c:v>43126</c:v>
                </c:pt>
                <c:pt idx="86">
                  <c:v>43133</c:v>
                </c:pt>
                <c:pt idx="87">
                  <c:v>43140</c:v>
                </c:pt>
                <c:pt idx="88">
                  <c:v>43147</c:v>
                </c:pt>
                <c:pt idx="89">
                  <c:v>43154</c:v>
                </c:pt>
                <c:pt idx="90">
                  <c:v>43161</c:v>
                </c:pt>
                <c:pt idx="91">
                  <c:v>43168</c:v>
                </c:pt>
                <c:pt idx="92">
                  <c:v>43175</c:v>
                </c:pt>
                <c:pt idx="93">
                  <c:v>43182</c:v>
                </c:pt>
                <c:pt idx="94">
                  <c:v>43196</c:v>
                </c:pt>
                <c:pt idx="95">
                  <c:v>43203</c:v>
                </c:pt>
                <c:pt idx="96">
                  <c:v>43210</c:v>
                </c:pt>
                <c:pt idx="97">
                  <c:v>43217</c:v>
                </c:pt>
                <c:pt idx="98">
                  <c:v>43224</c:v>
                </c:pt>
                <c:pt idx="99">
                  <c:v>43231</c:v>
                </c:pt>
                <c:pt idx="100">
                  <c:v>43238</c:v>
                </c:pt>
                <c:pt idx="101">
                  <c:v>43245</c:v>
                </c:pt>
                <c:pt idx="102">
                  <c:v>43252</c:v>
                </c:pt>
                <c:pt idx="103">
                  <c:v>43259</c:v>
                </c:pt>
                <c:pt idx="104">
                  <c:v>43266</c:v>
                </c:pt>
                <c:pt idx="105">
                  <c:v>43273</c:v>
                </c:pt>
                <c:pt idx="106">
                  <c:v>43280</c:v>
                </c:pt>
                <c:pt idx="107">
                  <c:v>43287</c:v>
                </c:pt>
                <c:pt idx="108">
                  <c:v>43294</c:v>
                </c:pt>
                <c:pt idx="109">
                  <c:v>43301</c:v>
                </c:pt>
                <c:pt idx="110">
                  <c:v>43308</c:v>
                </c:pt>
                <c:pt idx="111">
                  <c:v>43315</c:v>
                </c:pt>
                <c:pt idx="112">
                  <c:v>43322</c:v>
                </c:pt>
                <c:pt idx="113">
                  <c:v>43329</c:v>
                </c:pt>
                <c:pt idx="114">
                  <c:v>43336</c:v>
                </c:pt>
                <c:pt idx="115">
                  <c:v>43343</c:v>
                </c:pt>
                <c:pt idx="116">
                  <c:v>43350</c:v>
                </c:pt>
                <c:pt idx="117">
                  <c:v>43357</c:v>
                </c:pt>
                <c:pt idx="118">
                  <c:v>43364</c:v>
                </c:pt>
                <c:pt idx="119">
                  <c:v>43371</c:v>
                </c:pt>
                <c:pt idx="120">
                  <c:v>43378</c:v>
                </c:pt>
                <c:pt idx="121">
                  <c:v>43385</c:v>
                </c:pt>
                <c:pt idx="122">
                  <c:v>43392</c:v>
                </c:pt>
                <c:pt idx="123">
                  <c:v>43399</c:v>
                </c:pt>
                <c:pt idx="124">
                  <c:v>43406</c:v>
                </c:pt>
                <c:pt idx="125">
                  <c:v>43413</c:v>
                </c:pt>
                <c:pt idx="126">
                  <c:v>43420</c:v>
                </c:pt>
                <c:pt idx="127">
                  <c:v>43427</c:v>
                </c:pt>
                <c:pt idx="128">
                  <c:v>43434</c:v>
                </c:pt>
                <c:pt idx="129">
                  <c:v>43441</c:v>
                </c:pt>
                <c:pt idx="130">
                  <c:v>43448</c:v>
                </c:pt>
                <c:pt idx="131">
                  <c:v>43455</c:v>
                </c:pt>
                <c:pt idx="132">
                  <c:v>43462</c:v>
                </c:pt>
                <c:pt idx="133">
                  <c:v>43469</c:v>
                </c:pt>
                <c:pt idx="134">
                  <c:v>43476</c:v>
                </c:pt>
                <c:pt idx="135">
                  <c:v>43483</c:v>
                </c:pt>
                <c:pt idx="136">
                  <c:v>43490</c:v>
                </c:pt>
                <c:pt idx="137">
                  <c:v>43497</c:v>
                </c:pt>
                <c:pt idx="138">
                  <c:v>43504</c:v>
                </c:pt>
                <c:pt idx="139">
                  <c:v>43511</c:v>
                </c:pt>
                <c:pt idx="140">
                  <c:v>43518</c:v>
                </c:pt>
                <c:pt idx="141">
                  <c:v>43525</c:v>
                </c:pt>
                <c:pt idx="142">
                  <c:v>43532</c:v>
                </c:pt>
                <c:pt idx="143">
                  <c:v>43539</c:v>
                </c:pt>
                <c:pt idx="144">
                  <c:v>43546</c:v>
                </c:pt>
                <c:pt idx="145">
                  <c:v>43553</c:v>
                </c:pt>
                <c:pt idx="146">
                  <c:v>43560</c:v>
                </c:pt>
                <c:pt idx="147">
                  <c:v>43567</c:v>
                </c:pt>
                <c:pt idx="148">
                  <c:v>43581</c:v>
                </c:pt>
                <c:pt idx="149">
                  <c:v>43588</c:v>
                </c:pt>
                <c:pt idx="150">
                  <c:v>43595</c:v>
                </c:pt>
                <c:pt idx="151">
                  <c:v>43602</c:v>
                </c:pt>
                <c:pt idx="152">
                  <c:v>43609</c:v>
                </c:pt>
                <c:pt idx="153">
                  <c:v>43616</c:v>
                </c:pt>
                <c:pt idx="154">
                  <c:v>43623</c:v>
                </c:pt>
                <c:pt idx="155">
                  <c:v>43630</c:v>
                </c:pt>
                <c:pt idx="156">
                  <c:v>43637</c:v>
                </c:pt>
                <c:pt idx="157">
                  <c:v>43644</c:v>
                </c:pt>
                <c:pt idx="158">
                  <c:v>43651</c:v>
                </c:pt>
                <c:pt idx="159">
                  <c:v>43658</c:v>
                </c:pt>
                <c:pt idx="160">
                  <c:v>43665</c:v>
                </c:pt>
                <c:pt idx="161">
                  <c:v>43672</c:v>
                </c:pt>
                <c:pt idx="162">
                  <c:v>43679</c:v>
                </c:pt>
                <c:pt idx="163">
                  <c:v>43686</c:v>
                </c:pt>
                <c:pt idx="164">
                  <c:v>43693</c:v>
                </c:pt>
                <c:pt idx="165">
                  <c:v>43700</c:v>
                </c:pt>
                <c:pt idx="166">
                  <c:v>43707</c:v>
                </c:pt>
                <c:pt idx="167">
                  <c:v>43714</c:v>
                </c:pt>
                <c:pt idx="168">
                  <c:v>43721</c:v>
                </c:pt>
                <c:pt idx="169">
                  <c:v>43728</c:v>
                </c:pt>
                <c:pt idx="170">
                  <c:v>43735</c:v>
                </c:pt>
                <c:pt idx="171">
                  <c:v>43742</c:v>
                </c:pt>
                <c:pt idx="172">
                  <c:v>43749</c:v>
                </c:pt>
                <c:pt idx="173">
                  <c:v>43756</c:v>
                </c:pt>
                <c:pt idx="174">
                  <c:v>43763</c:v>
                </c:pt>
                <c:pt idx="175">
                  <c:v>43770</c:v>
                </c:pt>
                <c:pt idx="176">
                  <c:v>43777</c:v>
                </c:pt>
                <c:pt idx="177">
                  <c:v>43784</c:v>
                </c:pt>
                <c:pt idx="178">
                  <c:v>43791</c:v>
                </c:pt>
                <c:pt idx="179">
                  <c:v>43798</c:v>
                </c:pt>
                <c:pt idx="180">
                  <c:v>43805</c:v>
                </c:pt>
                <c:pt idx="181">
                  <c:v>43812</c:v>
                </c:pt>
                <c:pt idx="182">
                  <c:v>43819</c:v>
                </c:pt>
                <c:pt idx="183">
                  <c:v>43826</c:v>
                </c:pt>
                <c:pt idx="184">
                  <c:v>43833</c:v>
                </c:pt>
                <c:pt idx="185">
                  <c:v>43840</c:v>
                </c:pt>
                <c:pt idx="186">
                  <c:v>43854</c:v>
                </c:pt>
                <c:pt idx="187">
                  <c:v>43861</c:v>
                </c:pt>
                <c:pt idx="188">
                  <c:v>43868</c:v>
                </c:pt>
                <c:pt idx="189">
                  <c:v>43875</c:v>
                </c:pt>
                <c:pt idx="190">
                  <c:v>43882</c:v>
                </c:pt>
                <c:pt idx="191">
                  <c:v>43889</c:v>
                </c:pt>
                <c:pt idx="192">
                  <c:v>43896</c:v>
                </c:pt>
                <c:pt idx="193">
                  <c:v>43903</c:v>
                </c:pt>
                <c:pt idx="194">
                  <c:v>43910</c:v>
                </c:pt>
                <c:pt idx="195">
                  <c:v>43917</c:v>
                </c:pt>
                <c:pt idx="196">
                  <c:v>43924</c:v>
                </c:pt>
                <c:pt idx="197">
                  <c:v>43938</c:v>
                </c:pt>
                <c:pt idx="198">
                  <c:v>43945</c:v>
                </c:pt>
                <c:pt idx="199">
                  <c:v>43952</c:v>
                </c:pt>
                <c:pt idx="200">
                  <c:v>43959</c:v>
                </c:pt>
                <c:pt idx="201">
                  <c:v>43966</c:v>
                </c:pt>
                <c:pt idx="202">
                  <c:v>43973</c:v>
                </c:pt>
                <c:pt idx="203">
                  <c:v>43980</c:v>
                </c:pt>
                <c:pt idx="204">
                  <c:v>43987</c:v>
                </c:pt>
                <c:pt idx="205">
                  <c:v>43994</c:v>
                </c:pt>
                <c:pt idx="206">
                  <c:v>44001</c:v>
                </c:pt>
                <c:pt idx="207">
                  <c:v>44008</c:v>
                </c:pt>
                <c:pt idx="208">
                  <c:v>44015</c:v>
                </c:pt>
                <c:pt idx="209">
                  <c:v>44022</c:v>
                </c:pt>
                <c:pt idx="210">
                  <c:v>44029</c:v>
                </c:pt>
                <c:pt idx="211">
                  <c:v>44036</c:v>
                </c:pt>
                <c:pt idx="212">
                  <c:v>44043</c:v>
                </c:pt>
                <c:pt idx="213">
                  <c:v>44050</c:v>
                </c:pt>
                <c:pt idx="214">
                  <c:v>44057</c:v>
                </c:pt>
                <c:pt idx="215">
                  <c:v>44064</c:v>
                </c:pt>
                <c:pt idx="216">
                  <c:v>44071</c:v>
                </c:pt>
                <c:pt idx="217">
                  <c:v>44078</c:v>
                </c:pt>
                <c:pt idx="218">
                  <c:v>44085</c:v>
                </c:pt>
                <c:pt idx="219">
                  <c:v>44092</c:v>
                </c:pt>
                <c:pt idx="220">
                  <c:v>44099</c:v>
                </c:pt>
                <c:pt idx="221">
                  <c:v>44106</c:v>
                </c:pt>
                <c:pt idx="222">
                  <c:v>44113</c:v>
                </c:pt>
                <c:pt idx="223">
                  <c:v>44120</c:v>
                </c:pt>
                <c:pt idx="224">
                  <c:v>44127</c:v>
                </c:pt>
                <c:pt idx="225">
                  <c:v>44134</c:v>
                </c:pt>
                <c:pt idx="226">
                  <c:v>44141</c:v>
                </c:pt>
                <c:pt idx="227">
                  <c:v>44148</c:v>
                </c:pt>
                <c:pt idx="228">
                  <c:v>44155</c:v>
                </c:pt>
                <c:pt idx="229">
                  <c:v>44162</c:v>
                </c:pt>
                <c:pt idx="230">
                  <c:v>44169</c:v>
                </c:pt>
                <c:pt idx="231">
                  <c:v>44176</c:v>
                </c:pt>
                <c:pt idx="232">
                  <c:v>44183</c:v>
                </c:pt>
                <c:pt idx="233">
                  <c:v>44204</c:v>
                </c:pt>
                <c:pt idx="234">
                  <c:v>44211</c:v>
                </c:pt>
                <c:pt idx="235">
                  <c:v>44218</c:v>
                </c:pt>
                <c:pt idx="236">
                  <c:v>44225</c:v>
                </c:pt>
                <c:pt idx="237">
                  <c:v>44232</c:v>
                </c:pt>
                <c:pt idx="238">
                  <c:v>44239</c:v>
                </c:pt>
                <c:pt idx="239">
                  <c:v>44246</c:v>
                </c:pt>
                <c:pt idx="240">
                  <c:v>44253</c:v>
                </c:pt>
                <c:pt idx="241">
                  <c:v>44260</c:v>
                </c:pt>
                <c:pt idx="242">
                  <c:v>44267</c:v>
                </c:pt>
                <c:pt idx="243">
                  <c:v>44274</c:v>
                </c:pt>
                <c:pt idx="244">
                  <c:v>44281</c:v>
                </c:pt>
                <c:pt idx="245">
                  <c:v>44295</c:v>
                </c:pt>
                <c:pt idx="246">
                  <c:v>44302</c:v>
                </c:pt>
                <c:pt idx="247">
                  <c:v>44309</c:v>
                </c:pt>
                <c:pt idx="248">
                  <c:v>44316</c:v>
                </c:pt>
                <c:pt idx="249">
                  <c:v>44323</c:v>
                </c:pt>
                <c:pt idx="250">
                  <c:v>44330</c:v>
                </c:pt>
                <c:pt idx="251">
                  <c:v>44337</c:v>
                </c:pt>
                <c:pt idx="252">
                  <c:v>44344</c:v>
                </c:pt>
                <c:pt idx="253">
                  <c:v>44351</c:v>
                </c:pt>
                <c:pt idx="254">
                  <c:v>44358</c:v>
                </c:pt>
                <c:pt idx="255">
                  <c:v>44365</c:v>
                </c:pt>
                <c:pt idx="256">
                  <c:v>44372</c:v>
                </c:pt>
                <c:pt idx="257">
                  <c:v>44379</c:v>
                </c:pt>
                <c:pt idx="258">
                  <c:v>44386</c:v>
                </c:pt>
                <c:pt idx="259">
                  <c:v>44393</c:v>
                </c:pt>
                <c:pt idx="260">
                  <c:v>44400</c:v>
                </c:pt>
                <c:pt idx="261">
                  <c:v>44407</c:v>
                </c:pt>
                <c:pt idx="262">
                  <c:v>44414</c:v>
                </c:pt>
                <c:pt idx="263">
                  <c:v>44421</c:v>
                </c:pt>
                <c:pt idx="264">
                  <c:v>44428</c:v>
                </c:pt>
                <c:pt idx="265">
                  <c:v>44435</c:v>
                </c:pt>
                <c:pt idx="266">
                  <c:v>44442</c:v>
                </c:pt>
                <c:pt idx="267">
                  <c:v>44449</c:v>
                </c:pt>
                <c:pt idx="268">
                  <c:v>44456</c:v>
                </c:pt>
                <c:pt idx="269">
                  <c:v>44463</c:v>
                </c:pt>
                <c:pt idx="270">
                  <c:v>44470</c:v>
                </c:pt>
                <c:pt idx="271">
                  <c:v>44477</c:v>
                </c:pt>
                <c:pt idx="272">
                  <c:v>44484</c:v>
                </c:pt>
                <c:pt idx="273">
                  <c:v>44491</c:v>
                </c:pt>
                <c:pt idx="274">
                  <c:v>44498</c:v>
                </c:pt>
                <c:pt idx="275">
                  <c:v>44505</c:v>
                </c:pt>
                <c:pt idx="276">
                  <c:v>44512</c:v>
                </c:pt>
                <c:pt idx="277">
                  <c:v>44519</c:v>
                </c:pt>
                <c:pt idx="278">
                  <c:v>44526</c:v>
                </c:pt>
                <c:pt idx="279">
                  <c:v>44533</c:v>
                </c:pt>
                <c:pt idx="280">
                  <c:v>44540</c:v>
                </c:pt>
                <c:pt idx="281">
                  <c:v>44547</c:v>
                </c:pt>
                <c:pt idx="282">
                  <c:v>44554</c:v>
                </c:pt>
                <c:pt idx="283">
                  <c:v>44561</c:v>
                </c:pt>
                <c:pt idx="284">
                  <c:v>44568</c:v>
                </c:pt>
                <c:pt idx="285">
                  <c:v>44575</c:v>
                </c:pt>
                <c:pt idx="286">
                  <c:v>44582</c:v>
                </c:pt>
                <c:pt idx="287">
                  <c:v>44589</c:v>
                </c:pt>
                <c:pt idx="288">
                  <c:v>44596</c:v>
                </c:pt>
                <c:pt idx="289">
                  <c:v>44603</c:v>
                </c:pt>
                <c:pt idx="290">
                  <c:v>44610</c:v>
                </c:pt>
                <c:pt idx="291">
                  <c:v>44617</c:v>
                </c:pt>
                <c:pt idx="292">
                  <c:v>44624</c:v>
                </c:pt>
                <c:pt idx="293">
                  <c:v>44631</c:v>
                </c:pt>
                <c:pt idx="294">
                  <c:v>44638</c:v>
                </c:pt>
                <c:pt idx="295">
                  <c:v>44645</c:v>
                </c:pt>
                <c:pt idx="296">
                  <c:v>44652</c:v>
                </c:pt>
                <c:pt idx="297">
                  <c:v>44659</c:v>
                </c:pt>
                <c:pt idx="298">
                  <c:v>44673</c:v>
                </c:pt>
                <c:pt idx="299">
                  <c:v>44680</c:v>
                </c:pt>
                <c:pt idx="300">
                  <c:v>44687</c:v>
                </c:pt>
                <c:pt idx="301">
                  <c:v>44694</c:v>
                </c:pt>
                <c:pt idx="302">
                  <c:v>44701</c:v>
                </c:pt>
                <c:pt idx="303">
                  <c:v>44708</c:v>
                </c:pt>
                <c:pt idx="304">
                  <c:v>44715</c:v>
                </c:pt>
                <c:pt idx="305">
                  <c:v>44722</c:v>
                </c:pt>
                <c:pt idx="306">
                  <c:v>44729</c:v>
                </c:pt>
                <c:pt idx="307">
                  <c:v>44736</c:v>
                </c:pt>
                <c:pt idx="308">
                  <c:v>44743</c:v>
                </c:pt>
                <c:pt idx="309">
                  <c:v>44750</c:v>
                </c:pt>
                <c:pt idx="310">
                  <c:v>44757</c:v>
                </c:pt>
                <c:pt idx="311">
                  <c:v>44764</c:v>
                </c:pt>
                <c:pt idx="312">
                  <c:v>44771</c:v>
                </c:pt>
                <c:pt idx="313">
                  <c:v>44778</c:v>
                </c:pt>
                <c:pt idx="314">
                  <c:v>44785</c:v>
                </c:pt>
                <c:pt idx="315">
                  <c:v>44792</c:v>
                </c:pt>
                <c:pt idx="316">
                  <c:v>44799</c:v>
                </c:pt>
                <c:pt idx="317">
                  <c:v>44806</c:v>
                </c:pt>
                <c:pt idx="318">
                  <c:v>44813</c:v>
                </c:pt>
                <c:pt idx="319">
                  <c:v>44820</c:v>
                </c:pt>
                <c:pt idx="320">
                  <c:v>44827</c:v>
                </c:pt>
                <c:pt idx="321">
                  <c:v>44834</c:v>
                </c:pt>
                <c:pt idx="322">
                  <c:v>44841</c:v>
                </c:pt>
                <c:pt idx="323">
                  <c:v>44848</c:v>
                </c:pt>
                <c:pt idx="324">
                  <c:v>44855</c:v>
                </c:pt>
                <c:pt idx="325">
                  <c:v>44862</c:v>
                </c:pt>
                <c:pt idx="326">
                  <c:v>44869</c:v>
                </c:pt>
                <c:pt idx="327">
                  <c:v>44876</c:v>
                </c:pt>
                <c:pt idx="328">
                  <c:v>44883</c:v>
                </c:pt>
                <c:pt idx="329">
                  <c:v>44890</c:v>
                </c:pt>
                <c:pt idx="330">
                  <c:v>44897</c:v>
                </c:pt>
                <c:pt idx="331">
                  <c:v>44904</c:v>
                </c:pt>
                <c:pt idx="332">
                  <c:v>44911</c:v>
                </c:pt>
                <c:pt idx="333">
                  <c:v>44918</c:v>
                </c:pt>
                <c:pt idx="334">
                  <c:v>44925</c:v>
                </c:pt>
                <c:pt idx="335">
                  <c:v>44932</c:v>
                </c:pt>
                <c:pt idx="336">
                  <c:v>44939</c:v>
                </c:pt>
                <c:pt idx="337">
                  <c:v>44946</c:v>
                </c:pt>
                <c:pt idx="338">
                  <c:v>44953</c:v>
                </c:pt>
                <c:pt idx="339">
                  <c:v>44960</c:v>
                </c:pt>
                <c:pt idx="340">
                  <c:v>44967</c:v>
                </c:pt>
                <c:pt idx="341">
                  <c:v>44974</c:v>
                </c:pt>
                <c:pt idx="342">
                  <c:v>44981</c:v>
                </c:pt>
                <c:pt idx="343">
                  <c:v>44988</c:v>
                </c:pt>
                <c:pt idx="344">
                  <c:v>44995</c:v>
                </c:pt>
                <c:pt idx="345">
                  <c:v>45002</c:v>
                </c:pt>
                <c:pt idx="346">
                  <c:v>45009</c:v>
                </c:pt>
                <c:pt idx="347">
                  <c:v>45016</c:v>
                </c:pt>
                <c:pt idx="348">
                  <c:v>45030</c:v>
                </c:pt>
                <c:pt idx="349">
                  <c:v>45037</c:v>
                </c:pt>
                <c:pt idx="350">
                  <c:v>45044</c:v>
                </c:pt>
                <c:pt idx="351">
                  <c:v>45051</c:v>
                </c:pt>
                <c:pt idx="352">
                  <c:v>45058</c:v>
                </c:pt>
              </c:numCache>
            </c:numRef>
          </c:cat>
          <c:val>
            <c:numRef>
              <c:f>Participation!$R$9:$R$361</c:f>
              <c:numCache>
                <c:formatCode>0</c:formatCode>
                <c:ptCount val="353"/>
                <c:pt idx="0">
                  <c:v>-5.804597701149425</c:v>
                </c:pt>
                <c:pt idx="1">
                  <c:v>-5.775862068965516</c:v>
                </c:pt>
                <c:pt idx="2">
                  <c:v>-5.7471264367816079</c:v>
                </c:pt>
                <c:pt idx="3">
                  <c:v>-5.7183908045977008</c:v>
                </c:pt>
                <c:pt idx="4">
                  <c:v>-5.6896551724137936</c:v>
                </c:pt>
                <c:pt idx="5">
                  <c:v>-5.6609195402298864</c:v>
                </c:pt>
                <c:pt idx="6">
                  <c:v>-5.6321839080459792</c:v>
                </c:pt>
                <c:pt idx="7">
                  <c:v>-5.6034482758620721</c:v>
                </c:pt>
                <c:pt idx="8">
                  <c:v>-5.5747126436781649</c:v>
                </c:pt>
                <c:pt idx="9">
                  <c:v>-5.5459770114942568</c:v>
                </c:pt>
                <c:pt idx="10">
                  <c:v>-5.5172413793103487</c:v>
                </c:pt>
                <c:pt idx="11">
                  <c:v>-5.4885057471264407</c:v>
                </c:pt>
                <c:pt idx="12">
                  <c:v>-5.4597701149425326</c:v>
                </c:pt>
                <c:pt idx="13">
                  <c:v>-5.4310344827586228</c:v>
                </c:pt>
                <c:pt idx="14">
                  <c:v>-5.4022988505747129</c:v>
                </c:pt>
                <c:pt idx="15">
                  <c:v>-5.3735632183908031</c:v>
                </c:pt>
                <c:pt idx="16">
                  <c:v>-5.3448275862068932</c:v>
                </c:pt>
                <c:pt idx="17">
                  <c:v>-5.3160919540229834</c:v>
                </c:pt>
                <c:pt idx="18">
                  <c:v>-5.2873563218390736</c:v>
                </c:pt>
                <c:pt idx="19">
                  <c:v>-5.2586206896551637</c:v>
                </c:pt>
                <c:pt idx="20">
                  <c:v>-5.2298850574712539</c:v>
                </c:pt>
                <c:pt idx="21">
                  <c:v>-5.201149425287344</c:v>
                </c:pt>
                <c:pt idx="22">
                  <c:v>-5.1724137931034342</c:v>
                </c:pt>
                <c:pt idx="23">
                  <c:v>-5.1436781609195243</c:v>
                </c:pt>
                <c:pt idx="24">
                  <c:v>-5.1149425287356145</c:v>
                </c:pt>
                <c:pt idx="25">
                  <c:v>-5.0862068965517047</c:v>
                </c:pt>
                <c:pt idx="26">
                  <c:v>-5.0574712643677948</c:v>
                </c:pt>
                <c:pt idx="27">
                  <c:v>-5.028735632183885</c:v>
                </c:pt>
                <c:pt idx="28">
                  <c:v>-4.9999999999999751</c:v>
                </c:pt>
                <c:pt idx="29">
                  <c:v>-4.9999999999999751</c:v>
                </c:pt>
                <c:pt idx="30">
                  <c:v>-5.9999999999999751</c:v>
                </c:pt>
                <c:pt idx="31">
                  <c:v>-5.9999999999999751</c:v>
                </c:pt>
                <c:pt idx="32">
                  <c:v>-5.9999999999999751</c:v>
                </c:pt>
                <c:pt idx="33">
                  <c:v>-6.9999999999999751</c:v>
                </c:pt>
                <c:pt idx="34">
                  <c:v>-6.9999999999999751</c:v>
                </c:pt>
                <c:pt idx="35">
                  <c:v>-6.9999999999999751</c:v>
                </c:pt>
                <c:pt idx="36">
                  <c:v>-5.9999999999999751</c:v>
                </c:pt>
                <c:pt idx="37">
                  <c:v>-4.9999999999999716</c:v>
                </c:pt>
                <c:pt idx="38">
                  <c:v>-4.9999999999999716</c:v>
                </c:pt>
                <c:pt idx="39">
                  <c:v>-4.9999999999999716</c:v>
                </c:pt>
                <c:pt idx="40">
                  <c:v>-4.0000000799999924</c:v>
                </c:pt>
                <c:pt idx="41">
                  <c:v>-4.0000000799999924</c:v>
                </c:pt>
                <c:pt idx="42">
                  <c:v>-4.0000000799999924</c:v>
                </c:pt>
                <c:pt idx="43">
                  <c:v>-4.0000000799999924</c:v>
                </c:pt>
                <c:pt idx="44">
                  <c:v>-3.0000000799999924</c:v>
                </c:pt>
                <c:pt idx="45">
                  <c:v>-3.0000000799999924</c:v>
                </c:pt>
                <c:pt idx="46">
                  <c:v>-3.0000000799999924</c:v>
                </c:pt>
                <c:pt idx="47">
                  <c:v>-3.0000000799999924</c:v>
                </c:pt>
                <c:pt idx="48">
                  <c:v>-3.0000000799999924</c:v>
                </c:pt>
                <c:pt idx="49">
                  <c:v>-3.0000000799999924</c:v>
                </c:pt>
                <c:pt idx="50">
                  <c:v>-3.0000000799999924</c:v>
                </c:pt>
                <c:pt idx="51">
                  <c:v>-3.0000000799999924</c:v>
                </c:pt>
                <c:pt idx="52">
                  <c:v>-3.0000000799999924</c:v>
                </c:pt>
                <c:pt idx="53">
                  <c:v>-3.0000000799999924</c:v>
                </c:pt>
                <c:pt idx="54">
                  <c:v>-4.0000000799999924</c:v>
                </c:pt>
                <c:pt idx="55">
                  <c:v>-5.0000000799999924</c:v>
                </c:pt>
                <c:pt idx="56">
                  <c:v>-6.0000000799999924</c:v>
                </c:pt>
                <c:pt idx="57">
                  <c:v>-6.0000000799999924</c:v>
                </c:pt>
                <c:pt idx="58">
                  <c:v>-5.0000000799999924</c:v>
                </c:pt>
                <c:pt idx="59">
                  <c:v>-4.0000000799999924</c:v>
                </c:pt>
                <c:pt idx="60">
                  <c:v>-3.0000000799999924</c:v>
                </c:pt>
                <c:pt idx="61">
                  <c:v>-2.0000000799999924</c:v>
                </c:pt>
                <c:pt idx="62">
                  <c:v>-1.0000000799999924</c:v>
                </c:pt>
                <c:pt idx="63">
                  <c:v>-1.0000000799999924</c:v>
                </c:pt>
                <c:pt idx="64">
                  <c:v>-1.0000000799999924</c:v>
                </c:pt>
                <c:pt idx="65">
                  <c:v>-1.0000000799999924</c:v>
                </c:pt>
                <c:pt idx="66">
                  <c:v>-1.0000000799999924</c:v>
                </c:pt>
                <c:pt idx="67">
                  <c:v>-1.0000000799999924</c:v>
                </c:pt>
                <c:pt idx="68">
                  <c:v>-1.0000000799999924</c:v>
                </c:pt>
                <c:pt idx="69">
                  <c:v>-1.0000000799999924</c:v>
                </c:pt>
                <c:pt idx="70">
                  <c:v>-1.0000000799999924</c:v>
                </c:pt>
                <c:pt idx="71">
                  <c:v>-1.0000000799999924</c:v>
                </c:pt>
                <c:pt idx="72">
                  <c:v>-1.0000000799999924</c:v>
                </c:pt>
                <c:pt idx="73">
                  <c:v>-1.0000000799999924</c:v>
                </c:pt>
                <c:pt idx="74">
                  <c:v>-7.9999992408374965E-8</c:v>
                </c:pt>
                <c:pt idx="75">
                  <c:v>-7.9999992408374965E-8</c:v>
                </c:pt>
                <c:pt idx="76">
                  <c:v>-7.9999992408374965E-8</c:v>
                </c:pt>
                <c:pt idx="77">
                  <c:v>-7.9999992408374965E-8</c:v>
                </c:pt>
                <c:pt idx="78">
                  <c:v>-7.9999992408374965E-8</c:v>
                </c:pt>
                <c:pt idx="79">
                  <c:v>-7.9999992408374965E-8</c:v>
                </c:pt>
                <c:pt idx="80">
                  <c:v>-7.9999992408374965E-8</c:v>
                </c:pt>
                <c:pt idx="81">
                  <c:v>-1.0000000799999924</c:v>
                </c:pt>
                <c:pt idx="82">
                  <c:v>-2.0000000799999924</c:v>
                </c:pt>
                <c:pt idx="83">
                  <c:v>-2.0000000799999924</c:v>
                </c:pt>
                <c:pt idx="84">
                  <c:v>-1.0000000799999924</c:v>
                </c:pt>
                <c:pt idx="85">
                  <c:v>-2.0000000799999924</c:v>
                </c:pt>
                <c:pt idx="86">
                  <c:v>-1.0000000799999924</c:v>
                </c:pt>
                <c:pt idx="87">
                  <c:v>-1.0000000799999924</c:v>
                </c:pt>
                <c:pt idx="88">
                  <c:v>-1.0000000799999924</c:v>
                </c:pt>
                <c:pt idx="89">
                  <c:v>-1.0000000799999924</c:v>
                </c:pt>
                <c:pt idx="90">
                  <c:v>-1.0000000799999924</c:v>
                </c:pt>
                <c:pt idx="91">
                  <c:v>-1.0000000799999924</c:v>
                </c:pt>
                <c:pt idx="92">
                  <c:v>-2.0000000799999924</c:v>
                </c:pt>
                <c:pt idx="93">
                  <c:v>-2.0000000799999924</c:v>
                </c:pt>
                <c:pt idx="94">
                  <c:v>-1.0000000799999924</c:v>
                </c:pt>
                <c:pt idx="95">
                  <c:v>-1.0000000799999924</c:v>
                </c:pt>
                <c:pt idx="96">
                  <c:v>-1.0000000799999924</c:v>
                </c:pt>
                <c:pt idx="97">
                  <c:v>-1.0000000799999924</c:v>
                </c:pt>
                <c:pt idx="98">
                  <c:v>-1.0000000799999924</c:v>
                </c:pt>
                <c:pt idx="99">
                  <c:v>-7.9999992408374965E-8</c:v>
                </c:pt>
                <c:pt idx="100">
                  <c:v>-7.9999992408374965E-8</c:v>
                </c:pt>
                <c:pt idx="101">
                  <c:v>0.99999992000000759</c:v>
                </c:pt>
                <c:pt idx="102">
                  <c:v>0.99999992000000759</c:v>
                </c:pt>
                <c:pt idx="103">
                  <c:v>0.99999992000000759</c:v>
                </c:pt>
                <c:pt idx="104">
                  <c:v>1.9999999200000076</c:v>
                </c:pt>
                <c:pt idx="105">
                  <c:v>1.9999999200000076</c:v>
                </c:pt>
                <c:pt idx="106">
                  <c:v>1.9999999200000076</c:v>
                </c:pt>
                <c:pt idx="107">
                  <c:v>1.9999999200000076</c:v>
                </c:pt>
                <c:pt idx="108">
                  <c:v>1.9999999200000076</c:v>
                </c:pt>
                <c:pt idx="109">
                  <c:v>1.9999999200000076</c:v>
                </c:pt>
                <c:pt idx="110">
                  <c:v>1.9999999200000076</c:v>
                </c:pt>
                <c:pt idx="111">
                  <c:v>1.9999999200000076</c:v>
                </c:pt>
                <c:pt idx="112">
                  <c:v>1.9999999200000076</c:v>
                </c:pt>
                <c:pt idx="113">
                  <c:v>1.9999999200000076</c:v>
                </c:pt>
                <c:pt idx="114">
                  <c:v>2.9999999200000076</c:v>
                </c:pt>
                <c:pt idx="115">
                  <c:v>2.9999999200000076</c:v>
                </c:pt>
                <c:pt idx="116">
                  <c:v>3.9999999200000076</c:v>
                </c:pt>
                <c:pt idx="117">
                  <c:v>4.9999999200000076</c:v>
                </c:pt>
                <c:pt idx="118">
                  <c:v>4.9999999200000076</c:v>
                </c:pt>
                <c:pt idx="119">
                  <c:v>3.9999999200000076</c:v>
                </c:pt>
                <c:pt idx="120">
                  <c:v>3.9999999200000076</c:v>
                </c:pt>
                <c:pt idx="121">
                  <c:v>3.9999999200000076</c:v>
                </c:pt>
                <c:pt idx="122">
                  <c:v>3.9999999200000076</c:v>
                </c:pt>
                <c:pt idx="123">
                  <c:v>3.9999999200000076</c:v>
                </c:pt>
                <c:pt idx="124">
                  <c:v>3.9999999200000076</c:v>
                </c:pt>
                <c:pt idx="125">
                  <c:v>2.9999999200000076</c:v>
                </c:pt>
                <c:pt idx="126">
                  <c:v>2.9999999200000076</c:v>
                </c:pt>
                <c:pt idx="127">
                  <c:v>2.9999999200000076</c:v>
                </c:pt>
                <c:pt idx="128">
                  <c:v>2.9999999200000076</c:v>
                </c:pt>
                <c:pt idx="129">
                  <c:v>2.9999999200000076</c:v>
                </c:pt>
                <c:pt idx="130">
                  <c:v>3.9999999200000076</c:v>
                </c:pt>
                <c:pt idx="131">
                  <c:v>3.9999999200000076</c:v>
                </c:pt>
                <c:pt idx="132">
                  <c:v>2.9999999200000076</c:v>
                </c:pt>
                <c:pt idx="133">
                  <c:v>2.9999999200000076</c:v>
                </c:pt>
                <c:pt idx="134">
                  <c:v>3.9999999200000076</c:v>
                </c:pt>
                <c:pt idx="135">
                  <c:v>4.9999999200000076</c:v>
                </c:pt>
                <c:pt idx="136">
                  <c:v>5.9999999200000076</c:v>
                </c:pt>
                <c:pt idx="137">
                  <c:v>5.9999999200000076</c:v>
                </c:pt>
                <c:pt idx="138">
                  <c:v>5.9999999200000076</c:v>
                </c:pt>
                <c:pt idx="139">
                  <c:v>5.9999999200000076</c:v>
                </c:pt>
                <c:pt idx="140">
                  <c:v>5.9999999200000076</c:v>
                </c:pt>
                <c:pt idx="141">
                  <c:v>6.9999999200000076</c:v>
                </c:pt>
                <c:pt idx="142">
                  <c:v>6.9999999200000076</c:v>
                </c:pt>
                <c:pt idx="143">
                  <c:v>7.9999999200000076</c:v>
                </c:pt>
                <c:pt idx="144">
                  <c:v>6.9999999200000076</c:v>
                </c:pt>
                <c:pt idx="145">
                  <c:v>7.9999999200000076</c:v>
                </c:pt>
                <c:pt idx="146">
                  <c:v>7.9999999200000076</c:v>
                </c:pt>
                <c:pt idx="147">
                  <c:v>8.0000000000000284</c:v>
                </c:pt>
                <c:pt idx="148">
                  <c:v>8.0000000000000284</c:v>
                </c:pt>
                <c:pt idx="149">
                  <c:v>8.0000000000000284</c:v>
                </c:pt>
                <c:pt idx="150">
                  <c:v>8.0000000000000142</c:v>
                </c:pt>
                <c:pt idx="151">
                  <c:v>8.0000000000000142</c:v>
                </c:pt>
                <c:pt idx="152">
                  <c:v>8.0000000000000142</c:v>
                </c:pt>
                <c:pt idx="153">
                  <c:v>7.0000000000000142</c:v>
                </c:pt>
                <c:pt idx="154">
                  <c:v>7.0000000000000142</c:v>
                </c:pt>
                <c:pt idx="155">
                  <c:v>7.0000000000000142</c:v>
                </c:pt>
                <c:pt idx="156">
                  <c:v>7.0000000000000142</c:v>
                </c:pt>
                <c:pt idx="157">
                  <c:v>7.0000000000000142</c:v>
                </c:pt>
                <c:pt idx="158">
                  <c:v>7.0000000000000142</c:v>
                </c:pt>
                <c:pt idx="159">
                  <c:v>7.0000000000000142</c:v>
                </c:pt>
                <c:pt idx="160">
                  <c:v>8.0000000000000142</c:v>
                </c:pt>
                <c:pt idx="161">
                  <c:v>7.0000000000000142</c:v>
                </c:pt>
                <c:pt idx="162">
                  <c:v>7.0000000000000142</c:v>
                </c:pt>
                <c:pt idx="163">
                  <c:v>7</c:v>
                </c:pt>
                <c:pt idx="164">
                  <c:v>7</c:v>
                </c:pt>
                <c:pt idx="165">
                  <c:v>7</c:v>
                </c:pt>
                <c:pt idx="166">
                  <c:v>7</c:v>
                </c:pt>
                <c:pt idx="167">
                  <c:v>7</c:v>
                </c:pt>
                <c:pt idx="168">
                  <c:v>6</c:v>
                </c:pt>
                <c:pt idx="169">
                  <c:v>7</c:v>
                </c:pt>
                <c:pt idx="170">
                  <c:v>7</c:v>
                </c:pt>
                <c:pt idx="171">
                  <c:v>7</c:v>
                </c:pt>
                <c:pt idx="172">
                  <c:v>7</c:v>
                </c:pt>
                <c:pt idx="173">
                  <c:v>7</c:v>
                </c:pt>
                <c:pt idx="174">
                  <c:v>6</c:v>
                </c:pt>
                <c:pt idx="175">
                  <c:v>6</c:v>
                </c:pt>
                <c:pt idx="176">
                  <c:v>6</c:v>
                </c:pt>
                <c:pt idx="177">
                  <c:v>7</c:v>
                </c:pt>
                <c:pt idx="178">
                  <c:v>7</c:v>
                </c:pt>
                <c:pt idx="179">
                  <c:v>7</c:v>
                </c:pt>
                <c:pt idx="180">
                  <c:v>7</c:v>
                </c:pt>
                <c:pt idx="181">
                  <c:v>6</c:v>
                </c:pt>
                <c:pt idx="182">
                  <c:v>6</c:v>
                </c:pt>
                <c:pt idx="183">
                  <c:v>5</c:v>
                </c:pt>
                <c:pt idx="184">
                  <c:v>5</c:v>
                </c:pt>
                <c:pt idx="185">
                  <c:v>5</c:v>
                </c:pt>
                <c:pt idx="186">
                  <c:v>5</c:v>
                </c:pt>
                <c:pt idx="187">
                  <c:v>5</c:v>
                </c:pt>
                <c:pt idx="188">
                  <c:v>5</c:v>
                </c:pt>
                <c:pt idx="189">
                  <c:v>5</c:v>
                </c:pt>
                <c:pt idx="190">
                  <c:v>5</c:v>
                </c:pt>
                <c:pt idx="191">
                  <c:v>5</c:v>
                </c:pt>
                <c:pt idx="192">
                  <c:v>5</c:v>
                </c:pt>
                <c:pt idx="193">
                  <c:v>6</c:v>
                </c:pt>
                <c:pt idx="194">
                  <c:v>6</c:v>
                </c:pt>
                <c:pt idx="195">
                  <c:v>6</c:v>
                </c:pt>
                <c:pt idx="196">
                  <c:v>6</c:v>
                </c:pt>
                <c:pt idx="197">
                  <c:v>6</c:v>
                </c:pt>
                <c:pt idx="198">
                  <c:v>6</c:v>
                </c:pt>
                <c:pt idx="199">
                  <c:v>6</c:v>
                </c:pt>
                <c:pt idx="200">
                  <c:v>6</c:v>
                </c:pt>
                <c:pt idx="201">
                  <c:v>6</c:v>
                </c:pt>
                <c:pt idx="202">
                  <c:v>5</c:v>
                </c:pt>
                <c:pt idx="203">
                  <c:v>5</c:v>
                </c:pt>
                <c:pt idx="204">
                  <c:v>5</c:v>
                </c:pt>
                <c:pt idx="205">
                  <c:v>5</c:v>
                </c:pt>
                <c:pt idx="206">
                  <c:v>5</c:v>
                </c:pt>
                <c:pt idx="207">
                  <c:v>5</c:v>
                </c:pt>
                <c:pt idx="208">
                  <c:v>5</c:v>
                </c:pt>
                <c:pt idx="209">
                  <c:v>5</c:v>
                </c:pt>
                <c:pt idx="210">
                  <c:v>6</c:v>
                </c:pt>
                <c:pt idx="211">
                  <c:v>5</c:v>
                </c:pt>
                <c:pt idx="212">
                  <c:v>5</c:v>
                </c:pt>
                <c:pt idx="213">
                  <c:v>5</c:v>
                </c:pt>
                <c:pt idx="214">
                  <c:v>5</c:v>
                </c:pt>
                <c:pt idx="215">
                  <c:v>6</c:v>
                </c:pt>
                <c:pt idx="216">
                  <c:v>6</c:v>
                </c:pt>
                <c:pt idx="217">
                  <c:v>6</c:v>
                </c:pt>
                <c:pt idx="218">
                  <c:v>6</c:v>
                </c:pt>
                <c:pt idx="219">
                  <c:v>6</c:v>
                </c:pt>
                <c:pt idx="220">
                  <c:v>6</c:v>
                </c:pt>
                <c:pt idx="221">
                  <c:v>6</c:v>
                </c:pt>
                <c:pt idx="222">
                  <c:v>7</c:v>
                </c:pt>
                <c:pt idx="223">
                  <c:v>7</c:v>
                </c:pt>
                <c:pt idx="224">
                  <c:v>8</c:v>
                </c:pt>
                <c:pt idx="225">
                  <c:v>8</c:v>
                </c:pt>
                <c:pt idx="226">
                  <c:v>9</c:v>
                </c:pt>
                <c:pt idx="227">
                  <c:v>9</c:v>
                </c:pt>
                <c:pt idx="228">
                  <c:v>9</c:v>
                </c:pt>
                <c:pt idx="229">
                  <c:v>9</c:v>
                </c:pt>
                <c:pt idx="230">
                  <c:v>9</c:v>
                </c:pt>
                <c:pt idx="231">
                  <c:v>9</c:v>
                </c:pt>
                <c:pt idx="232">
                  <c:v>10</c:v>
                </c:pt>
                <c:pt idx="233">
                  <c:v>11</c:v>
                </c:pt>
                <c:pt idx="234">
                  <c:v>12</c:v>
                </c:pt>
                <c:pt idx="235">
                  <c:v>12</c:v>
                </c:pt>
                <c:pt idx="236">
                  <c:v>11</c:v>
                </c:pt>
                <c:pt idx="237">
                  <c:v>11</c:v>
                </c:pt>
                <c:pt idx="238">
                  <c:v>11</c:v>
                </c:pt>
                <c:pt idx="239">
                  <c:v>12</c:v>
                </c:pt>
                <c:pt idx="240">
                  <c:v>11</c:v>
                </c:pt>
                <c:pt idx="241">
                  <c:v>11</c:v>
                </c:pt>
                <c:pt idx="242">
                  <c:v>11</c:v>
                </c:pt>
                <c:pt idx="243">
                  <c:v>11</c:v>
                </c:pt>
                <c:pt idx="244">
                  <c:v>10</c:v>
                </c:pt>
                <c:pt idx="245">
                  <c:v>10</c:v>
                </c:pt>
                <c:pt idx="246">
                  <c:v>10</c:v>
                </c:pt>
                <c:pt idx="247">
                  <c:v>10</c:v>
                </c:pt>
                <c:pt idx="248">
                  <c:v>11</c:v>
                </c:pt>
                <c:pt idx="249">
                  <c:v>11</c:v>
                </c:pt>
                <c:pt idx="250">
                  <c:v>11</c:v>
                </c:pt>
                <c:pt idx="251">
                  <c:v>12</c:v>
                </c:pt>
                <c:pt idx="252">
                  <c:v>13</c:v>
                </c:pt>
                <c:pt idx="253">
                  <c:v>13</c:v>
                </c:pt>
                <c:pt idx="254">
                  <c:v>13</c:v>
                </c:pt>
                <c:pt idx="255">
                  <c:v>13</c:v>
                </c:pt>
                <c:pt idx="256">
                  <c:v>13</c:v>
                </c:pt>
                <c:pt idx="257">
                  <c:v>14</c:v>
                </c:pt>
                <c:pt idx="258">
                  <c:v>14</c:v>
                </c:pt>
                <c:pt idx="259">
                  <c:v>15</c:v>
                </c:pt>
                <c:pt idx="260">
                  <c:v>14.999999919999993</c:v>
                </c:pt>
                <c:pt idx="261">
                  <c:v>15</c:v>
                </c:pt>
                <c:pt idx="262">
                  <c:v>15</c:v>
                </c:pt>
                <c:pt idx="263">
                  <c:v>15</c:v>
                </c:pt>
                <c:pt idx="264">
                  <c:v>14</c:v>
                </c:pt>
                <c:pt idx="265">
                  <c:v>14</c:v>
                </c:pt>
                <c:pt idx="266">
                  <c:v>15</c:v>
                </c:pt>
                <c:pt idx="267">
                  <c:v>14</c:v>
                </c:pt>
                <c:pt idx="268">
                  <c:v>14</c:v>
                </c:pt>
                <c:pt idx="269">
                  <c:v>14</c:v>
                </c:pt>
                <c:pt idx="270">
                  <c:v>15</c:v>
                </c:pt>
                <c:pt idx="271">
                  <c:v>15</c:v>
                </c:pt>
                <c:pt idx="272">
                  <c:v>16</c:v>
                </c:pt>
                <c:pt idx="273">
                  <c:v>15</c:v>
                </c:pt>
                <c:pt idx="274">
                  <c:v>14</c:v>
                </c:pt>
                <c:pt idx="275">
                  <c:v>14.999999919999993</c:v>
                </c:pt>
                <c:pt idx="276">
                  <c:v>14.999999919999993</c:v>
                </c:pt>
                <c:pt idx="277">
                  <c:v>14.999999919999993</c:v>
                </c:pt>
                <c:pt idx="278">
                  <c:v>15</c:v>
                </c:pt>
                <c:pt idx="279">
                  <c:v>15.999999919999993</c:v>
                </c:pt>
                <c:pt idx="280">
                  <c:v>15.999999919999993</c:v>
                </c:pt>
                <c:pt idx="281">
                  <c:v>14.999999919999993</c:v>
                </c:pt>
                <c:pt idx="282">
                  <c:v>14.999999919999993</c:v>
                </c:pt>
                <c:pt idx="283">
                  <c:v>14</c:v>
                </c:pt>
                <c:pt idx="284">
                  <c:v>14.999999919999993</c:v>
                </c:pt>
                <c:pt idx="285">
                  <c:v>15</c:v>
                </c:pt>
                <c:pt idx="286">
                  <c:v>15</c:v>
                </c:pt>
                <c:pt idx="287">
                  <c:v>15</c:v>
                </c:pt>
                <c:pt idx="288">
                  <c:v>15.999999919999993</c:v>
                </c:pt>
                <c:pt idx="289">
                  <c:v>15.999999919999993</c:v>
                </c:pt>
                <c:pt idx="290">
                  <c:v>15.999999919999993</c:v>
                </c:pt>
                <c:pt idx="291">
                  <c:v>16</c:v>
                </c:pt>
                <c:pt idx="292">
                  <c:v>17</c:v>
                </c:pt>
                <c:pt idx="293">
                  <c:v>17</c:v>
                </c:pt>
                <c:pt idx="294">
                  <c:v>16</c:v>
                </c:pt>
                <c:pt idx="295">
                  <c:v>17</c:v>
                </c:pt>
                <c:pt idx="296">
                  <c:v>18</c:v>
                </c:pt>
                <c:pt idx="297">
                  <c:v>18</c:v>
                </c:pt>
                <c:pt idx="298">
                  <c:v>18</c:v>
                </c:pt>
                <c:pt idx="299">
                  <c:v>18</c:v>
                </c:pt>
                <c:pt idx="300">
                  <c:v>19</c:v>
                </c:pt>
                <c:pt idx="301">
                  <c:v>18</c:v>
                </c:pt>
                <c:pt idx="302">
                  <c:v>17</c:v>
                </c:pt>
                <c:pt idx="303">
                  <c:v>17.999999919999993</c:v>
                </c:pt>
                <c:pt idx="304">
                  <c:v>18.999999919999993</c:v>
                </c:pt>
                <c:pt idx="305">
                  <c:v>18.999999919999993</c:v>
                </c:pt>
                <c:pt idx="306">
                  <c:v>17.999999919999993</c:v>
                </c:pt>
                <c:pt idx="307">
                  <c:v>18.999999919999993</c:v>
                </c:pt>
                <c:pt idx="308">
                  <c:v>19</c:v>
                </c:pt>
                <c:pt idx="309">
                  <c:v>20</c:v>
                </c:pt>
                <c:pt idx="310">
                  <c:v>20</c:v>
                </c:pt>
                <c:pt idx="311">
                  <c:v>19</c:v>
                </c:pt>
                <c:pt idx="312">
                  <c:v>19</c:v>
                </c:pt>
                <c:pt idx="313">
                  <c:v>19</c:v>
                </c:pt>
                <c:pt idx="314">
                  <c:v>19</c:v>
                </c:pt>
                <c:pt idx="315">
                  <c:v>19</c:v>
                </c:pt>
                <c:pt idx="316">
                  <c:v>19</c:v>
                </c:pt>
                <c:pt idx="317">
                  <c:v>19</c:v>
                </c:pt>
                <c:pt idx="318">
                  <c:v>19</c:v>
                </c:pt>
                <c:pt idx="319">
                  <c:v>18</c:v>
                </c:pt>
                <c:pt idx="320">
                  <c:v>18</c:v>
                </c:pt>
                <c:pt idx="321">
                  <c:v>18</c:v>
                </c:pt>
                <c:pt idx="322">
                  <c:v>18</c:v>
                </c:pt>
                <c:pt idx="323">
                  <c:v>18</c:v>
                </c:pt>
                <c:pt idx="324">
                  <c:v>18</c:v>
                </c:pt>
                <c:pt idx="325">
                  <c:v>18</c:v>
                </c:pt>
                <c:pt idx="326">
                  <c:v>18</c:v>
                </c:pt>
                <c:pt idx="327">
                  <c:v>17</c:v>
                </c:pt>
                <c:pt idx="328">
                  <c:v>18</c:v>
                </c:pt>
                <c:pt idx="329">
                  <c:v>18</c:v>
                </c:pt>
                <c:pt idx="330">
                  <c:v>19</c:v>
                </c:pt>
                <c:pt idx="331">
                  <c:v>20</c:v>
                </c:pt>
                <c:pt idx="332">
                  <c:v>20</c:v>
                </c:pt>
                <c:pt idx="333">
                  <c:v>20</c:v>
                </c:pt>
                <c:pt idx="334">
                  <c:v>19</c:v>
                </c:pt>
                <c:pt idx="335">
                  <c:v>19</c:v>
                </c:pt>
                <c:pt idx="336">
                  <c:v>18</c:v>
                </c:pt>
                <c:pt idx="337">
                  <c:v>17</c:v>
                </c:pt>
                <c:pt idx="338">
                  <c:v>16</c:v>
                </c:pt>
                <c:pt idx="339">
                  <c:v>16</c:v>
                </c:pt>
                <c:pt idx="340">
                  <c:v>16</c:v>
                </c:pt>
                <c:pt idx="341">
                  <c:v>15</c:v>
                </c:pt>
                <c:pt idx="342">
                  <c:v>15</c:v>
                </c:pt>
                <c:pt idx="343">
                  <c:v>14</c:v>
                </c:pt>
                <c:pt idx="344">
                  <c:v>15</c:v>
                </c:pt>
                <c:pt idx="345">
                  <c:v>15</c:v>
                </c:pt>
                <c:pt idx="346">
                  <c:v>15</c:v>
                </c:pt>
                <c:pt idx="347">
                  <c:v>15</c:v>
                </c:pt>
                <c:pt idx="348">
                  <c:v>14</c:v>
                </c:pt>
                <c:pt idx="349">
                  <c:v>15</c:v>
                </c:pt>
                <c:pt idx="350">
                  <c:v>15</c:v>
                </c:pt>
                <c:pt idx="351">
                  <c:v>15</c:v>
                </c:pt>
                <c:pt idx="352">
                  <c:v>14</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jpeg"/><Relationship Id="rId2" Type="http://schemas.openxmlformats.org/officeDocument/2006/relationships/image" Target="../media/image3.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4.xml"/><Relationship Id="rId3" Type="http://schemas.openxmlformats.org/officeDocument/2006/relationships/image" Target="../media/image17.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3.xml"/><Relationship Id="rId11" Type="http://schemas.openxmlformats.org/officeDocument/2006/relationships/customXml" Target="../ink/ink2.xml"/><Relationship Id="rId5" Type="http://schemas.openxmlformats.org/officeDocument/2006/relationships/image" Target="../media/image18.jpeg"/><Relationship Id="rId15" Type="http://schemas.openxmlformats.org/officeDocument/2006/relationships/image" Target="../media/image19.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20.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8.png"/><Relationship Id="rId18" Type="http://schemas.openxmlformats.org/officeDocument/2006/relationships/image" Target="../media/image26.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4.png"/><Relationship Id="rId5" Type="http://schemas.openxmlformats.org/officeDocument/2006/relationships/image" Target="../media/image21.jpeg"/><Relationship Id="rId15" Type="http://schemas.openxmlformats.org/officeDocument/2006/relationships/image" Target="../media/image9.png"/><Relationship Id="rId10" Type="http://schemas.openxmlformats.org/officeDocument/2006/relationships/image" Target="../media/image23.png"/><Relationship Id="rId19" Type="http://schemas.openxmlformats.org/officeDocument/2006/relationships/image" Target="../media/image13.jpeg"/><Relationship Id="rId4" Type="http://schemas.openxmlformats.org/officeDocument/2006/relationships/image" Target="../media/image6.png"/><Relationship Id="rId9" Type="http://schemas.openxmlformats.org/officeDocument/2006/relationships/image" Target="../media/image22.jpeg"/><Relationship Id="rId1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9.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4.png"/><Relationship Id="rId5" Type="http://schemas.openxmlformats.org/officeDocument/2006/relationships/image" Target="../media/image27.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1.jpeg"/><Relationship Id="rId9" Type="http://schemas.openxmlformats.org/officeDocument/2006/relationships/image" Target="../media/image23.png"/><Relationship Id="rId14" Type="http://schemas.openxmlformats.org/officeDocument/2006/relationships/image" Target="../media/image25.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4.png"/><Relationship Id="rId17" Type="http://schemas.openxmlformats.org/officeDocument/2006/relationships/image" Target="../media/image30.jfif"/><Relationship Id="rId2" Type="http://schemas.openxmlformats.org/officeDocument/2006/relationships/image" Target="../media/image5.png"/><Relationship Id="rId16" Type="http://schemas.openxmlformats.org/officeDocument/2006/relationships/image" Target="../media/image29.png"/><Relationship Id="rId1" Type="http://schemas.openxmlformats.org/officeDocument/2006/relationships/image" Target="../media/image3.png"/><Relationship Id="rId6" Type="http://schemas.openxmlformats.org/officeDocument/2006/relationships/image" Target="../media/image27.jpeg"/><Relationship Id="rId11" Type="http://schemas.openxmlformats.org/officeDocument/2006/relationships/image" Target="../media/image10.png"/><Relationship Id="rId5" Type="http://schemas.openxmlformats.org/officeDocument/2006/relationships/image" Target="../media/image21.jpeg"/><Relationship Id="rId15" Type="http://schemas.openxmlformats.org/officeDocument/2006/relationships/image" Target="../media/image8.pn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 Id="rId14" Type="http://schemas.openxmlformats.org/officeDocument/2006/relationships/image" Target="../media/image25.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3.png"/><Relationship Id="rId7" Type="http://schemas.openxmlformats.org/officeDocument/2006/relationships/image" Target="../media/image32.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1.jpeg"/><Relationship Id="rId5" Type="http://schemas.openxmlformats.org/officeDocument/2006/relationships/image" Target="../media/image28.png"/><Relationship Id="rId10" Type="http://schemas.openxmlformats.org/officeDocument/2006/relationships/image" Target="../media/image22.jpeg"/><Relationship Id="rId4" Type="http://schemas.openxmlformats.org/officeDocument/2006/relationships/image" Target="../media/image6.png"/><Relationship Id="rId9"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1.jpeg"/><Relationship Id="rId3" Type="http://schemas.openxmlformats.org/officeDocument/2006/relationships/image" Target="../media/image23.png"/><Relationship Id="rId7" Type="http://schemas.openxmlformats.org/officeDocument/2006/relationships/image" Target="../media/image28.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4.jpeg"/><Relationship Id="rId5" Type="http://schemas.openxmlformats.org/officeDocument/2006/relationships/image" Target="../media/image31.jpeg"/><Relationship Id="rId10" Type="http://schemas.openxmlformats.org/officeDocument/2006/relationships/image" Target="../media/image19.png"/><Relationship Id="rId4" Type="http://schemas.openxmlformats.org/officeDocument/2006/relationships/image" Target="../media/image6.png"/><Relationship Id="rId9" Type="http://schemas.openxmlformats.org/officeDocument/2006/relationships/image" Target="../media/image3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7</xdr:row>
      <xdr:rowOff>18166</xdr:rowOff>
    </xdr:from>
    <xdr:to>
      <xdr:col>2</xdr:col>
      <xdr:colOff>362822</xdr:colOff>
      <xdr:row>7</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93535</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527639</xdr:colOff>
      <xdr:row>19</xdr:row>
      <xdr:rowOff>10390</xdr:rowOff>
    </xdr:from>
    <xdr:to>
      <xdr:col>5</xdr:col>
      <xdr:colOff>5281</xdr:colOff>
      <xdr:row>19</xdr:row>
      <xdr:rowOff>193271</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80373" y="3929247"/>
          <a:ext cx="177050" cy="182881"/>
        </a:xfrm>
        <a:prstGeom prst="rect">
          <a:avLst/>
        </a:prstGeom>
      </xdr:spPr>
    </xdr:pic>
    <xdr:clientData/>
  </xdr:twoCellAnchor>
  <xdr:twoCellAnchor editAs="oneCell">
    <xdr:from>
      <xdr:col>4</xdr:col>
      <xdr:colOff>11345</xdr:colOff>
      <xdr:row>18</xdr:row>
      <xdr:rowOff>69485</xdr:rowOff>
    </xdr:from>
    <xdr:to>
      <xdr:col>4</xdr:col>
      <xdr:colOff>188395</xdr:colOff>
      <xdr:row>19</xdr:row>
      <xdr:rowOff>174610</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4079" y="3910586"/>
          <a:ext cx="177050" cy="182881"/>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202164</xdr:colOff>
      <xdr:row>17</xdr:row>
      <xdr:rowOff>202163</xdr:rowOff>
    </xdr:from>
    <xdr:to>
      <xdr:col>4</xdr:col>
      <xdr:colOff>379214</xdr:colOff>
      <xdr:row>19</xdr:row>
      <xdr:rowOff>97350</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54898" y="3833326"/>
          <a:ext cx="177050" cy="182881"/>
        </a:xfrm>
        <a:prstGeom prst="rect">
          <a:avLst/>
        </a:prstGeom>
      </xdr:spPr>
    </xdr:pic>
    <xdr:clientData/>
  </xdr:twoCellAnchor>
  <xdr:twoCellAnchor editAs="oneCell">
    <xdr:from>
      <xdr:col>4</xdr:col>
      <xdr:colOff>354564</xdr:colOff>
      <xdr:row>19</xdr:row>
      <xdr:rowOff>66869</xdr:rowOff>
    </xdr:from>
    <xdr:to>
      <xdr:col>4</xdr:col>
      <xdr:colOff>531614</xdr:colOff>
      <xdr:row>20</xdr:row>
      <xdr:rowOff>39811</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07298" y="3985726"/>
          <a:ext cx="177050" cy="182881"/>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426099</xdr:colOff>
      <xdr:row>18</xdr:row>
      <xdr:rowOff>21772</xdr:rowOff>
    </xdr:from>
    <xdr:to>
      <xdr:col>4</xdr:col>
      <xdr:colOff>599974</xdr:colOff>
      <xdr:row>19</xdr:row>
      <xdr:rowOff>123722</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78833" y="3862873"/>
          <a:ext cx="177050" cy="182881"/>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twoCellAnchor editAs="oneCell">
    <xdr:from>
      <xdr:col>13</xdr:col>
      <xdr:colOff>1600201</xdr:colOff>
      <xdr:row>9</xdr:row>
      <xdr:rowOff>21770</xdr:rowOff>
    </xdr:from>
    <xdr:to>
      <xdr:col>13</xdr:col>
      <xdr:colOff>1860295</xdr:colOff>
      <xdr:row>9</xdr:row>
      <xdr:rowOff>201385</xdr:rowOff>
    </xdr:to>
    <xdr:pic>
      <xdr:nvPicPr>
        <xdr:cNvPr id="16" name="Picture 15">
          <a:extLst>
            <a:ext uri="{FF2B5EF4-FFF2-40B4-BE49-F238E27FC236}">
              <a16:creationId xmlns:a16="http://schemas.microsoft.com/office/drawing/2014/main" id="{A5D3BD3B-856C-59C8-F6DA-9B65DB53F9E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t="18089" r="5850" b="16893"/>
        <a:stretch>
          <a:fillRect/>
        </a:stretch>
      </xdr:blipFill>
      <xdr:spPr>
        <a:xfrm>
          <a:off x="8060872" y="2057399"/>
          <a:ext cx="260094" cy="179615"/>
        </a:xfrm>
        <a:prstGeom prst="rect">
          <a:avLst/>
        </a:prstGeom>
      </xdr:spPr>
    </xdr:pic>
    <xdr:clientData/>
  </xdr:twoCellAnchor>
  <xdr:twoCellAnchor editAs="oneCell">
    <xdr:from>
      <xdr:col>13</xdr:col>
      <xdr:colOff>1066800</xdr:colOff>
      <xdr:row>12</xdr:row>
      <xdr:rowOff>27214</xdr:rowOff>
    </xdr:from>
    <xdr:to>
      <xdr:col>13</xdr:col>
      <xdr:colOff>1310187</xdr:colOff>
      <xdr:row>12</xdr:row>
      <xdr:rowOff>201385</xdr:rowOff>
    </xdr:to>
    <xdr:pic>
      <xdr:nvPicPr>
        <xdr:cNvPr id="38" name="Picture 37">
          <a:extLst>
            <a:ext uri="{FF2B5EF4-FFF2-40B4-BE49-F238E27FC236}">
              <a16:creationId xmlns:a16="http://schemas.microsoft.com/office/drawing/2014/main" id="{1C8DCB06-A68C-F0A0-A742-2DEB9F5F85B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l="559" t="28839"/>
        <a:stretch>
          <a:fillRect/>
        </a:stretch>
      </xdr:blipFill>
      <xdr:spPr>
        <a:xfrm>
          <a:off x="7527471" y="2699657"/>
          <a:ext cx="243387" cy="174171"/>
        </a:xfrm>
        <a:prstGeom prst="rect">
          <a:avLst/>
        </a:prstGeom>
      </xdr:spPr>
    </xdr:pic>
    <xdr:clientData/>
  </xdr:twoCellAnchor>
  <xdr:twoCellAnchor editAs="oneCell">
    <xdr:from>
      <xdr:col>13</xdr:col>
      <xdr:colOff>1125712</xdr:colOff>
      <xdr:row>7</xdr:row>
      <xdr:rowOff>200745</xdr:rowOff>
    </xdr:from>
    <xdr:to>
      <xdr:col>13</xdr:col>
      <xdr:colOff>1344946</xdr:colOff>
      <xdr:row>8</xdr:row>
      <xdr:rowOff>206603</xdr:rowOff>
    </xdr:to>
    <xdr:pic>
      <xdr:nvPicPr>
        <xdr:cNvPr id="40" name="Picture 21">
          <a:extLst>
            <a:ext uri="{FF2B5EF4-FFF2-40B4-BE49-F238E27FC236}">
              <a16:creationId xmlns:a16="http://schemas.microsoft.com/office/drawing/2014/main" id="{8469C343-DC0C-455F-8F25-878A8C8092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586383" y="1817274"/>
          <a:ext cx="219234" cy="2126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470483</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101436</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133350</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133350</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133350</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133350</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90" priority="1">
      <formula>$B2&gt;TODAY()</formula>
    </cfRule>
  </conditionalFormatting>
  <conditionalFormatting sqref="P60 P62:P63 P66:V66 P68:V68 P70:V70 P72:V72 P74:V74 P76:V76 P78:V78">
    <cfRule type="expression" dxfId="189"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91"/>
  <sheetViews>
    <sheetView tabSelected="1" zoomScaleNormal="100" zoomScaleSheetLayoutView="70" workbookViewId="0">
      <pane xSplit="14" ySplit="23" topLeftCell="O60" activePane="bottomRight" state="frozen"/>
      <selection pane="topRight" activeCell="P1" sqref="P1"/>
      <selection pane="bottomLeft" activeCell="A24" sqref="A24"/>
      <selection pane="bottomRight" activeCell="S74" sqref="S74"/>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7.84375" style="1" bestFit="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211"/>
      <c r="C5" s="7" t="s">
        <v>13</v>
      </c>
      <c r="D5" s="8"/>
      <c r="E5" s="8"/>
      <c r="F5" s="8"/>
      <c r="G5" s="8"/>
      <c r="H5" s="8"/>
      <c r="I5" s="9"/>
      <c r="J5" s="9"/>
      <c r="L5" s="6"/>
      <c r="M5" s="31" t="s">
        <v>14</v>
      </c>
      <c r="N5" s="8"/>
      <c r="O5" s="224" t="s">
        <v>31</v>
      </c>
      <c r="P5" s="224"/>
      <c r="Q5" s="224"/>
      <c r="R5" s="224"/>
      <c r="S5" s="225"/>
      <c r="T5" s="226">
        <f>W16</f>
        <v>6615.75</v>
      </c>
      <c r="U5" s="227"/>
      <c r="V5" s="228" t="s">
        <v>53</v>
      </c>
      <c r="W5" s="229"/>
      <c r="X5" s="228" t="s">
        <v>57</v>
      </c>
      <c r="Y5" s="229"/>
      <c r="Z5" s="228" t="s">
        <v>62</v>
      </c>
      <c r="AA5" s="229"/>
    </row>
    <row r="6" spans="2:27" ht="23.25" customHeight="1">
      <c r="B6" s="211"/>
      <c r="L6" s="6"/>
      <c r="V6" s="230"/>
      <c r="W6" s="231"/>
      <c r="X6" s="230"/>
      <c r="Y6" s="231"/>
      <c r="Z6" s="230"/>
      <c r="AA6" s="231"/>
    </row>
    <row r="7" spans="2:27">
      <c r="B7" s="33" t="s">
        <v>332</v>
      </c>
      <c r="C7" s="33" t="s">
        <v>6</v>
      </c>
      <c r="D7" s="33" t="s">
        <v>7</v>
      </c>
      <c r="E7" s="35" t="s">
        <v>8</v>
      </c>
      <c r="F7" s="35" t="s">
        <v>9</v>
      </c>
      <c r="I7" s="11"/>
      <c r="J7" s="11"/>
      <c r="L7" s="6"/>
      <c r="N7" s="33" t="s">
        <v>6</v>
      </c>
      <c r="O7" s="68" t="s">
        <v>16</v>
      </c>
      <c r="P7" s="68" t="s">
        <v>17</v>
      </c>
      <c r="Q7" s="234" t="s">
        <v>26</v>
      </c>
      <c r="R7" s="234"/>
      <c r="S7" s="235" t="s">
        <v>27</v>
      </c>
      <c r="T7" s="235"/>
      <c r="U7" s="34"/>
      <c r="V7" s="232"/>
      <c r="W7" s="233"/>
      <c r="X7" s="232"/>
      <c r="Y7" s="233"/>
      <c r="Z7" s="232"/>
      <c r="AA7" s="233"/>
    </row>
    <row r="8" spans="2:27" ht="16.5" customHeight="1">
      <c r="B8" s="10">
        <f>RANK(G8,$G$8:$G$13,1)
 + COUNTIFS($G$8:$G$13,G8,$H$8:$H$13,"&gt;"&amp;H8)</f>
        <v>4</v>
      </c>
      <c r="C8" s="12" t="s">
        <v>0</v>
      </c>
      <c r="D8" s="12">
        <f>ROUND(HLOOKUP(C8,$E$18:$J$20,3,FALSE),0)</f>
        <v>19</v>
      </c>
      <c r="E8" s="28">
        <f ca="1">D8/$C$20</f>
        <v>0.5</v>
      </c>
      <c r="F8" s="28">
        <f ca="1">1-E8</f>
        <v>0.5</v>
      </c>
      <c r="G8" s="27">
        <f>RANK(D8,$D$8:$D$13,0)</f>
        <v>4</v>
      </c>
      <c r="H8" s="27">
        <f>RANK(E21,$E$21:$J$21,0)</f>
        <v>4</v>
      </c>
      <c r="L8" s="6"/>
      <c r="N8" s="10" t="s">
        <v>2</v>
      </c>
      <c r="O8" s="13">
        <f>R20</f>
        <v>228</v>
      </c>
      <c r="P8" s="13">
        <v>0</v>
      </c>
      <c r="Q8" s="221"/>
      <c r="R8" s="221"/>
      <c r="S8" s="221" t="s">
        <v>18</v>
      </c>
      <c r="T8" s="221"/>
      <c r="V8" s="221" t="s">
        <v>49</v>
      </c>
      <c r="W8" s="221"/>
      <c r="X8" s="221" t="s">
        <v>59</v>
      </c>
      <c r="Y8" s="221"/>
      <c r="Z8" s="221" t="s">
        <v>66</v>
      </c>
      <c r="AA8" s="221"/>
    </row>
    <row r="9" spans="2:27">
      <c r="B9" s="10">
        <f>RANK(G9,$G$8:$G$13,1)
 + COUNTIFS($G$8:$G$13,G9,$H$8:$H$13,"&gt;"&amp;H9)</f>
        <v>6</v>
      </c>
      <c r="C9" s="12" t="s">
        <v>4</v>
      </c>
      <c r="D9" s="12">
        <f t="shared" ref="D9:D13" si="0">ROUND(HLOOKUP(C9,$E$18:$J$20,3,FALSE),0)</f>
        <v>15</v>
      </c>
      <c r="E9" s="28">
        <f t="shared" ref="E9:E10" ca="1" si="1">D9/$C$20</f>
        <v>0.39473684210526316</v>
      </c>
      <c r="F9" s="28">
        <f ca="1">1-E9</f>
        <v>0.60526315789473684</v>
      </c>
      <c r="G9" s="27">
        <f>RANK(D9,$D$8:$D$13,0)</f>
        <v>5</v>
      </c>
      <c r="H9" s="27">
        <f>RANK(F21,$E$21:$J$21,0)</f>
        <v>2</v>
      </c>
      <c r="J9"/>
      <c r="L9" s="6"/>
      <c r="N9" s="10" t="s">
        <v>4</v>
      </c>
      <c r="O9" s="13">
        <f>P20</f>
        <v>312.5</v>
      </c>
      <c r="P9" s="13">
        <v>0</v>
      </c>
      <c r="Q9" s="221"/>
      <c r="R9" s="221"/>
      <c r="S9" s="221" t="s">
        <v>18</v>
      </c>
      <c r="T9" s="221"/>
      <c r="V9" s="221" t="s">
        <v>50</v>
      </c>
      <c r="W9" s="221"/>
      <c r="X9" s="221" t="s">
        <v>58</v>
      </c>
      <c r="Y9" s="221"/>
      <c r="Z9" s="221" t="s">
        <v>65</v>
      </c>
      <c r="AA9" s="221"/>
    </row>
    <row r="10" spans="2:27">
      <c r="B10" s="10">
        <f t="shared" ref="B10" si="2">RANK(G10,$G$8:$G$13,1)
 + COUNTIFS($G$8:$G$13,G10,$H$8:$H$13,"&gt;"&amp;H10)</f>
        <v>5</v>
      </c>
      <c r="C10" s="12" t="s">
        <v>1</v>
      </c>
      <c r="D10" s="12">
        <f t="shared" si="0"/>
        <v>15</v>
      </c>
      <c r="E10" s="28">
        <f t="shared" ca="1" si="1"/>
        <v>0.39473684210526316</v>
      </c>
      <c r="F10" s="28">
        <f t="shared" ref="F10" ca="1" si="3">1-E10</f>
        <v>0.60526315789473684</v>
      </c>
      <c r="G10" s="27">
        <f t="shared" ref="G10" si="4">RANK(D10,$D$8:$D$13,0)</f>
        <v>5</v>
      </c>
      <c r="H10" s="27">
        <f>RANK(G21,$E$21:$J$21,0)</f>
        <v>5</v>
      </c>
      <c r="J10"/>
      <c r="L10" s="6"/>
      <c r="M10"/>
      <c r="N10" s="10" t="s">
        <v>3</v>
      </c>
      <c r="O10" s="13">
        <f>S20</f>
        <v>146.75</v>
      </c>
      <c r="P10" s="13">
        <v>0</v>
      </c>
      <c r="Q10" s="221"/>
      <c r="R10" s="221"/>
      <c r="S10" s="221" t="s">
        <v>18</v>
      </c>
      <c r="T10" s="221"/>
      <c r="V10" s="221" t="s">
        <v>49</v>
      </c>
      <c r="W10" s="221"/>
      <c r="X10" s="221" t="s">
        <v>61</v>
      </c>
      <c r="Y10" s="221"/>
      <c r="Z10" s="221" t="s">
        <v>67</v>
      </c>
      <c r="AA10" s="221"/>
    </row>
    <row r="11" spans="2:27">
      <c r="B11" s="10">
        <f>RANK(G11,$G$8:$G$13,1)
 + COUNTIFS($G$8:$G$13,G11,$H$8:$H$13,"&gt;"&amp;H11)</f>
        <v>3</v>
      </c>
      <c r="C11" s="12" t="s">
        <v>2</v>
      </c>
      <c r="D11" s="12">
        <f t="shared" si="0"/>
        <v>21</v>
      </c>
      <c r="E11" s="28">
        <f ca="1">D11/$C$20</f>
        <v>0.55263157894736847</v>
      </c>
      <c r="F11" s="28">
        <f ca="1">1-E11</f>
        <v>0.44736842105263153</v>
      </c>
      <c r="G11" s="27">
        <f>RANK(D11,$D$8:$D$13,0)</f>
        <v>3</v>
      </c>
      <c r="H11" s="27">
        <f>RANK(H21,$E$21:$J$21,0)</f>
        <v>5</v>
      </c>
      <c r="L11" s="6"/>
      <c r="N11" s="10" t="s">
        <v>1</v>
      </c>
      <c r="O11" s="13">
        <f>Q20</f>
        <v>306</v>
      </c>
      <c r="P11" s="13">
        <v>0</v>
      </c>
      <c r="Q11" s="221"/>
      <c r="R11" s="221"/>
      <c r="S11" s="221" t="s">
        <v>18</v>
      </c>
      <c r="T11" s="221"/>
      <c r="V11" s="221" t="s">
        <v>49</v>
      </c>
      <c r="W11" s="221"/>
      <c r="X11" s="221" t="s">
        <v>60</v>
      </c>
      <c r="Y11" s="221"/>
      <c r="Z11" s="221" t="s">
        <v>68</v>
      </c>
      <c r="AA11" s="221"/>
    </row>
    <row r="12" spans="2:27">
      <c r="B12" s="10">
        <f>RANK(G12,$G$8:$G$13,1)
 + COUNTIFS($G$8:$G$13,G12,$H$8:$H$13,"&gt;"&amp;H12)</f>
        <v>2</v>
      </c>
      <c r="C12" s="12" t="s">
        <v>3</v>
      </c>
      <c r="D12" s="12">
        <f t="shared" si="0"/>
        <v>28</v>
      </c>
      <c r="E12" s="28">
        <f ca="1">D12/$C$20</f>
        <v>0.73684210526315785</v>
      </c>
      <c r="F12" s="28">
        <f ca="1">1-E12</f>
        <v>0.26315789473684215</v>
      </c>
      <c r="G12" s="27">
        <f>RANK(D12,$D$8:$D$13,0)</f>
        <v>2</v>
      </c>
      <c r="H12" s="27">
        <f>RANK(I21,$E$21:$J$21,0)</f>
        <v>2</v>
      </c>
      <c r="I12"/>
      <c r="L12" s="6"/>
      <c r="N12" s="10" t="s">
        <v>0</v>
      </c>
      <c r="O12" s="47">
        <f>O20</f>
        <v>257.25</v>
      </c>
      <c r="P12" s="13">
        <v>0</v>
      </c>
      <c r="Q12" s="221"/>
      <c r="R12" s="221"/>
      <c r="S12" s="221" t="s">
        <v>18</v>
      </c>
      <c r="T12" s="221"/>
      <c r="V12" s="221" t="s">
        <v>51</v>
      </c>
      <c r="W12" s="221"/>
      <c r="X12" s="221" t="s">
        <v>360</v>
      </c>
      <c r="Y12" s="221"/>
      <c r="Z12" s="221" t="s">
        <v>64</v>
      </c>
      <c r="AA12" s="221"/>
    </row>
    <row r="13" spans="2:27">
      <c r="B13" s="10">
        <f>RANK(G13,$G$8:$G$13,1)
 + COUNTIFS($G$8:$G$13,G13,$H$8:$H$13,"&gt;"&amp;H13)</f>
        <v>1</v>
      </c>
      <c r="C13" s="12" t="s">
        <v>21</v>
      </c>
      <c r="D13" s="12">
        <f t="shared" si="0"/>
        <v>30</v>
      </c>
      <c r="E13" s="28">
        <f ca="1">D13/$C$20</f>
        <v>0.78947368421052633</v>
      </c>
      <c r="F13" s="28">
        <f ca="1">1-E13</f>
        <v>0.21052631578947367</v>
      </c>
      <c r="G13" s="27">
        <f>RANK(D13,$D$8:$D$13,0)</f>
        <v>1</v>
      </c>
      <c r="H13" s="27">
        <f>RANK(J21,$E$21:$J$21,0)</f>
        <v>1</v>
      </c>
      <c r="L13" s="6"/>
      <c r="N13" s="10" t="s">
        <v>22</v>
      </c>
      <c r="O13" s="13">
        <f>T20</f>
        <v>127.25</v>
      </c>
      <c r="P13" s="13">
        <v>0</v>
      </c>
      <c r="Q13" s="221"/>
      <c r="R13" s="221"/>
      <c r="S13" s="221" t="s">
        <v>18</v>
      </c>
      <c r="T13" s="221"/>
      <c r="V13" s="221" t="s">
        <v>52</v>
      </c>
      <c r="W13" s="221"/>
      <c r="X13" s="236" t="s">
        <v>367</v>
      </c>
      <c r="Y13" s="236"/>
      <c r="Z13" s="221" t="s">
        <v>63</v>
      </c>
      <c r="AA13" s="221"/>
    </row>
    <row r="14" spans="2:27" ht="17.149999999999999" thickBot="1">
      <c r="B14" s="211"/>
      <c r="F14" s="63"/>
      <c r="L14" s="6"/>
      <c r="N14" s="29"/>
      <c r="O14" s="29"/>
      <c r="P14" s="29"/>
      <c r="Q14" s="238"/>
      <c r="R14" s="238"/>
      <c r="S14" s="238"/>
      <c r="T14" s="238"/>
      <c r="X14" s="237"/>
      <c r="Y14" s="237"/>
    </row>
    <row r="15" spans="2:27" ht="13.5" customHeight="1" thickBot="1">
      <c r="B15" s="211"/>
      <c r="L15" s="6"/>
      <c r="M15"/>
      <c r="Q15" s="1" t="s">
        <v>366</v>
      </c>
      <c r="S15" s="15">
        <v>1000</v>
      </c>
      <c r="V15" s="139" t="s">
        <v>125</v>
      </c>
      <c r="W15" s="140">
        <f>O16+S16</f>
        <v>5615.75</v>
      </c>
    </row>
    <row r="16" spans="2:27" ht="17.149999999999999" thickBot="1">
      <c r="B16" s="211"/>
      <c r="L16" s="6"/>
      <c r="N16" s="14" t="s">
        <v>19</v>
      </c>
      <c r="O16" s="15">
        <f>SUM(O8:O13)</f>
        <v>1377.75</v>
      </c>
      <c r="P16" s="87"/>
      <c r="Q16" s="244" t="s">
        <v>380</v>
      </c>
      <c r="R16" s="245"/>
      <c r="S16" s="15">
        <f>'Stats 2025'!W16-'Stats 2025'!O16-120-S15</f>
        <v>4238</v>
      </c>
      <c r="T16" s="1" t="s">
        <v>379</v>
      </c>
      <c r="V16" s="139" t="s">
        <v>70</v>
      </c>
      <c r="W16" s="140">
        <f>S16+S15+O16</f>
        <v>6615.75</v>
      </c>
    </row>
    <row r="17" spans="2:34" ht="12" customHeight="1">
      <c r="B17" s="211"/>
      <c r="E17" s="27">
        <f t="shared" ref="E17:J17" si="5">RANK(E20,$E20:$J20)</f>
        <v>4</v>
      </c>
      <c r="F17" s="27">
        <f t="shared" si="5"/>
        <v>5</v>
      </c>
      <c r="G17" s="27">
        <f t="shared" si="5"/>
        <v>5</v>
      </c>
      <c r="H17" s="27">
        <f t="shared" si="5"/>
        <v>3</v>
      </c>
      <c r="I17" s="27">
        <f t="shared" si="5"/>
        <v>2</v>
      </c>
      <c r="J17" s="27">
        <f t="shared" si="5"/>
        <v>1</v>
      </c>
      <c r="L17" s="6"/>
      <c r="V17" s="242"/>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43"/>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38</v>
      </c>
      <c r="E20" s="24">
        <f>SUM(E25:E91)+0.00002</f>
        <v>19.000019999999999</v>
      </c>
      <c r="F20" s="24">
        <f>SUM(F25:F91)+0.00005</f>
        <v>15.00005</v>
      </c>
      <c r="G20" s="24">
        <f>SUM(G25:G91)+0.00005</f>
        <v>15.00005</v>
      </c>
      <c r="H20" s="24">
        <f>SUM(H25:H91)+0.00006</f>
        <v>21.000060000000001</v>
      </c>
      <c r="I20" s="24">
        <f>SUM(I25:I91)+0.00009</f>
        <v>28.00009</v>
      </c>
      <c r="J20" s="24">
        <f>SUM(J25:J91)+0.0001</f>
        <v>30.0001</v>
      </c>
      <c r="L20" s="6"/>
      <c r="O20" s="19">
        <f>SUM(O24:O91)</f>
        <v>257.25</v>
      </c>
      <c r="P20" s="19">
        <f t="shared" ref="P20:R20" si="6">SUM(P24:P91)</f>
        <v>312.5</v>
      </c>
      <c r="Q20" s="19">
        <f t="shared" si="6"/>
        <v>306</v>
      </c>
      <c r="R20" s="19">
        <f t="shared" si="6"/>
        <v>228</v>
      </c>
      <c r="S20" s="19">
        <f>SUM(S24:S91)</f>
        <v>146.75</v>
      </c>
      <c r="T20" s="19">
        <f>SUM(T24:T91)</f>
        <v>127.25</v>
      </c>
      <c r="U20" s="19"/>
      <c r="W20" s="196"/>
      <c r="X20" s="196"/>
      <c r="Y20" s="196"/>
      <c r="Z20" s="196"/>
    </row>
    <row r="21" spans="2:34" ht="13" customHeight="1">
      <c r="B21" s="211"/>
      <c r="E21" s="212">
        <v>3.25</v>
      </c>
      <c r="F21" s="212">
        <v>6.5</v>
      </c>
      <c r="G21" s="212">
        <v>0</v>
      </c>
      <c r="H21" s="212">
        <v>0</v>
      </c>
      <c r="I21" s="212">
        <v>6.5</v>
      </c>
      <c r="J21" s="212">
        <v>13</v>
      </c>
      <c r="L21" s="6"/>
      <c r="O21" s="20"/>
      <c r="P21" s="20"/>
      <c r="Q21" s="20"/>
      <c r="R21" s="20"/>
      <c r="S21" s="20"/>
      <c r="T21" s="20"/>
      <c r="U21" s="20"/>
      <c r="W21" s="196"/>
      <c r="X21" s="196"/>
      <c r="Y21" s="196"/>
      <c r="Z21" s="196"/>
    </row>
    <row r="22" spans="2:34">
      <c r="B22" s="211"/>
      <c r="E22" s="214">
        <f ca="1">O20-20-(($C$20-E20)*13)</f>
        <v>-9.7497400000000027</v>
      </c>
      <c r="F22" s="214">
        <f t="shared" ref="F22:H22" ca="1" si="7">P20-20-(($C$20-F20)*13)</f>
        <v>-6.4993499999999926</v>
      </c>
      <c r="G22" s="214">
        <f ca="1">Q20-20-(($C$20-G20)*13)</f>
        <v>-12.999349999999993</v>
      </c>
      <c r="H22" s="214">
        <f t="shared" ca="1" si="7"/>
        <v>-12.99921999999998</v>
      </c>
      <c r="I22" s="214">
        <f ca="1">S20-20-(($C$20-I20)*13)</f>
        <v>-3.2488299999999981</v>
      </c>
      <c r="J22" s="214">
        <f ca="1">T20-20-(($C$20-J20)*13)</f>
        <v>3.2513000000000005</v>
      </c>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39"/>
      <c r="D25" s="240"/>
      <c r="E25" s="240"/>
      <c r="F25" s="240"/>
      <c r="G25" s="240"/>
      <c r="H25" s="240"/>
      <c r="I25" s="240"/>
      <c r="J25" s="241"/>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8">IF(D26&lt;=TODAY(),1,"")</f>
        <v>1</v>
      </c>
      <c r="D26" s="22">
        <f t="shared" ref="D26:D40" si="9">IF(M26="","",M26)</f>
        <v>46003</v>
      </c>
      <c r="E26" s="26">
        <f t="shared" ref="E26:J40" si="10">IF(O26="","",IF(O26=0,1,0))</f>
        <v>1</v>
      </c>
      <c r="F26" s="26">
        <f t="shared" si="10"/>
        <v>1</v>
      </c>
      <c r="G26" s="26">
        <f t="shared" si="10"/>
        <v>1</v>
      </c>
      <c r="H26" s="26">
        <f t="shared" si="10"/>
        <v>1</v>
      </c>
      <c r="I26" s="26">
        <f t="shared" si="10"/>
        <v>1</v>
      </c>
      <c r="J26" s="26">
        <f t="shared" si="10"/>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39"/>
      <c r="D27" s="240"/>
      <c r="E27" s="240"/>
      <c r="F27" s="240"/>
      <c r="G27" s="240"/>
      <c r="H27" s="240"/>
      <c r="I27" s="240"/>
      <c r="J27" s="241"/>
      <c r="M27" s="21">
        <v>46010</v>
      </c>
      <c r="N27" s="10" t="s">
        <v>47</v>
      </c>
      <c r="O27" s="25"/>
      <c r="P27" s="25">
        <f>13/4</f>
        <v>3.25</v>
      </c>
      <c r="Q27" s="25"/>
      <c r="R27" s="25"/>
      <c r="S27" s="25"/>
      <c r="T27" s="25"/>
      <c r="U27" s="25"/>
      <c r="V27" s="182"/>
      <c r="Z27" s="204"/>
      <c r="AC27" s="201"/>
      <c r="AE27" s="63"/>
      <c r="AG27" s="182"/>
      <c r="AH27" s="182"/>
    </row>
    <row r="28" spans="2:34">
      <c r="B28" s="211"/>
      <c r="C28" s="12">
        <f t="shared" ca="1" si="8"/>
        <v>1</v>
      </c>
      <c r="D28" s="22">
        <f t="shared" si="9"/>
        <v>46010</v>
      </c>
      <c r="E28" s="26">
        <f t="shared" si="10"/>
        <v>0</v>
      </c>
      <c r="F28" s="26">
        <f t="shared" si="10"/>
        <v>1</v>
      </c>
      <c r="G28" s="26">
        <f t="shared" si="10"/>
        <v>1</v>
      </c>
      <c r="H28" s="26">
        <f t="shared" si="10"/>
        <v>1</v>
      </c>
      <c r="I28" s="26">
        <f t="shared" si="10"/>
        <v>1</v>
      </c>
      <c r="J28" s="26">
        <f t="shared" si="10"/>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8"/>
        <v>1</v>
      </c>
      <c r="D29" s="22">
        <f t="shared" si="9"/>
        <v>46031</v>
      </c>
      <c r="E29" s="26">
        <f t="shared" si="10"/>
        <v>0</v>
      </c>
      <c r="F29" s="26">
        <f t="shared" si="10"/>
        <v>1</v>
      </c>
      <c r="G29" s="26">
        <f t="shared" si="10"/>
        <v>0</v>
      </c>
      <c r="H29" s="26">
        <f t="shared" si="10"/>
        <v>1</v>
      </c>
      <c r="I29" s="26">
        <f t="shared" si="10"/>
        <v>1</v>
      </c>
      <c r="J29" s="26">
        <f t="shared" si="10"/>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39"/>
      <c r="D30" s="240"/>
      <c r="E30" s="240"/>
      <c r="F30" s="240"/>
      <c r="G30" s="240"/>
      <c r="H30" s="240"/>
      <c r="I30" s="240"/>
      <c r="J30" s="241"/>
      <c r="M30" s="21">
        <v>46038</v>
      </c>
      <c r="N30" s="10" t="s">
        <v>47</v>
      </c>
      <c r="O30" s="25">
        <v>3.25</v>
      </c>
      <c r="P30" s="25"/>
      <c r="Q30" s="25"/>
      <c r="R30" s="25"/>
      <c r="S30" s="25"/>
      <c r="T30" s="25"/>
      <c r="U30" s="25"/>
      <c r="V30" s="182"/>
      <c r="W30" s="182"/>
      <c r="Z30" s="182"/>
      <c r="AE30" s="63"/>
      <c r="AG30" s="182"/>
      <c r="AH30" s="182"/>
    </row>
    <row r="31" spans="2:34">
      <c r="B31" s="211"/>
      <c r="C31" s="12">
        <f t="shared" ca="1" si="8"/>
        <v>1</v>
      </c>
      <c r="D31" s="22">
        <f t="shared" si="9"/>
        <v>46038</v>
      </c>
      <c r="E31" s="26">
        <f t="shared" si="10"/>
        <v>1</v>
      </c>
      <c r="F31" s="26">
        <f t="shared" si="10"/>
        <v>0</v>
      </c>
      <c r="G31" s="26">
        <f t="shared" si="10"/>
        <v>1</v>
      </c>
      <c r="H31" s="26">
        <f t="shared" si="10"/>
        <v>0</v>
      </c>
      <c r="I31" s="26">
        <f t="shared" si="10"/>
        <v>0</v>
      </c>
      <c r="J31" s="26">
        <f t="shared" si="10"/>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39"/>
      <c r="D32" s="240"/>
      <c r="E32" s="240"/>
      <c r="F32" s="240"/>
      <c r="G32" s="240"/>
      <c r="H32" s="240"/>
      <c r="I32" s="240"/>
      <c r="J32" s="241"/>
      <c r="M32" s="21">
        <v>46045</v>
      </c>
      <c r="N32" s="10" t="s">
        <v>47</v>
      </c>
      <c r="O32" s="25"/>
      <c r="P32" s="25"/>
      <c r="Q32" s="25"/>
      <c r="R32" s="25"/>
      <c r="S32" s="25">
        <f>13/4</f>
        <v>3.25</v>
      </c>
      <c r="T32" s="25"/>
      <c r="U32" s="25"/>
      <c r="V32" s="182"/>
      <c r="W32" s="182"/>
      <c r="Z32" s="182"/>
    </row>
    <row r="33" spans="2:34">
      <c r="B33" s="211"/>
      <c r="C33" s="12">
        <f t="shared" ca="1" si="8"/>
        <v>1</v>
      </c>
      <c r="D33" s="22">
        <f t="shared" si="9"/>
        <v>46045</v>
      </c>
      <c r="E33" s="26">
        <f t="shared" si="10"/>
        <v>0</v>
      </c>
      <c r="F33" s="26">
        <f t="shared" si="10"/>
        <v>0</v>
      </c>
      <c r="G33" s="26">
        <f t="shared" si="10"/>
        <v>1</v>
      </c>
      <c r="H33" s="26">
        <f t="shared" si="10"/>
        <v>1</v>
      </c>
      <c r="I33" s="26">
        <f t="shared" si="10"/>
        <v>1</v>
      </c>
      <c r="J33" s="26">
        <f t="shared" si="10"/>
        <v>1</v>
      </c>
      <c r="M33" s="21">
        <v>46045</v>
      </c>
      <c r="N33" s="10" t="s">
        <v>24</v>
      </c>
      <c r="O33" s="25">
        <v>13</v>
      </c>
      <c r="P33" s="25">
        <v>13</v>
      </c>
      <c r="Q33" s="25">
        <v>0</v>
      </c>
      <c r="R33" s="25">
        <v>0</v>
      </c>
      <c r="S33" s="25">
        <v>0</v>
      </c>
      <c r="T33" s="25">
        <v>0</v>
      </c>
      <c r="U33" s="25"/>
      <c r="V33" s="182"/>
      <c r="Y33" s="182"/>
      <c r="Z33" s="182"/>
    </row>
    <row r="34" spans="2:34">
      <c r="B34" s="211"/>
      <c r="C34" s="12">
        <f t="shared" ca="1" si="8"/>
        <v>1</v>
      </c>
      <c r="D34" s="22">
        <f t="shared" si="9"/>
        <v>46052</v>
      </c>
      <c r="E34" s="26">
        <f t="shared" si="10"/>
        <v>0</v>
      </c>
      <c r="F34" s="26">
        <f t="shared" si="10"/>
        <v>1</v>
      </c>
      <c r="G34" s="26">
        <f t="shared" si="10"/>
        <v>0</v>
      </c>
      <c r="H34" s="26">
        <f t="shared" si="10"/>
        <v>1</v>
      </c>
      <c r="I34" s="26">
        <f t="shared" si="10"/>
        <v>1</v>
      </c>
      <c r="J34" s="26">
        <f t="shared" si="10"/>
        <v>1</v>
      </c>
      <c r="M34" s="21">
        <v>46052</v>
      </c>
      <c r="N34" s="10" t="s">
        <v>24</v>
      </c>
      <c r="O34" s="25">
        <v>13</v>
      </c>
      <c r="P34" s="25">
        <v>0</v>
      </c>
      <c r="Q34" s="25">
        <v>13</v>
      </c>
      <c r="R34" s="25">
        <v>0</v>
      </c>
      <c r="S34" s="25">
        <v>0</v>
      </c>
      <c r="T34" s="25">
        <v>0</v>
      </c>
      <c r="U34" s="25"/>
      <c r="V34" s="182"/>
      <c r="AD34" s="2"/>
      <c r="AG34" s="182"/>
      <c r="AH34" s="182"/>
    </row>
    <row r="35" spans="2:34">
      <c r="B35" s="211"/>
      <c r="C35" s="239"/>
      <c r="D35" s="240"/>
      <c r="E35" s="240"/>
      <c r="F35" s="240"/>
      <c r="G35" s="240"/>
      <c r="H35" s="240"/>
      <c r="I35" s="240"/>
      <c r="J35" s="241"/>
      <c r="M35" s="21">
        <v>46059</v>
      </c>
      <c r="N35" s="10" t="s">
        <v>47</v>
      </c>
      <c r="O35" s="25"/>
      <c r="P35" s="25">
        <f>13/4</f>
        <v>3.25</v>
      </c>
      <c r="Q35" s="25"/>
      <c r="R35" s="25"/>
      <c r="S35" s="25"/>
      <c r="T35" s="25"/>
      <c r="U35" s="25"/>
      <c r="V35" s="182"/>
      <c r="AB35" s="58"/>
      <c r="AG35" s="182"/>
      <c r="AH35" s="182"/>
    </row>
    <row r="36" spans="2:34">
      <c r="B36" s="211"/>
      <c r="C36" s="12">
        <f t="shared" ca="1" si="8"/>
        <v>1</v>
      </c>
      <c r="D36" s="22">
        <f t="shared" si="9"/>
        <v>46059</v>
      </c>
      <c r="E36" s="26">
        <f t="shared" si="10"/>
        <v>1</v>
      </c>
      <c r="F36" s="26">
        <f t="shared" si="10"/>
        <v>1</v>
      </c>
      <c r="G36" s="26">
        <f t="shared" si="10"/>
        <v>0</v>
      </c>
      <c r="H36" s="26">
        <f t="shared" si="10"/>
        <v>0</v>
      </c>
      <c r="I36" s="26">
        <f t="shared" si="10"/>
        <v>1</v>
      </c>
      <c r="J36" s="26">
        <f t="shared" si="10"/>
        <v>1</v>
      </c>
      <c r="M36" s="21">
        <f>M35</f>
        <v>46059</v>
      </c>
      <c r="N36" s="10" t="s">
        <v>24</v>
      </c>
      <c r="O36" s="25">
        <v>0</v>
      </c>
      <c r="P36" s="25">
        <v>0</v>
      </c>
      <c r="Q36" s="25">
        <v>13</v>
      </c>
      <c r="R36" s="25">
        <v>13</v>
      </c>
      <c r="S36" s="25">
        <v>0</v>
      </c>
      <c r="T36" s="25">
        <v>0</v>
      </c>
      <c r="U36" s="25"/>
      <c r="V36" s="182"/>
      <c r="AC36" s="27" t="s">
        <v>345</v>
      </c>
      <c r="AD36" s="27">
        <v>100</v>
      </c>
    </row>
    <row r="37" spans="2:34">
      <c r="B37" s="211"/>
      <c r="C37" s="12">
        <f t="shared" ca="1" si="8"/>
        <v>1</v>
      </c>
      <c r="D37" s="22">
        <f t="shared" si="9"/>
        <v>46066</v>
      </c>
      <c r="E37" s="26">
        <f t="shared" si="10"/>
        <v>1</v>
      </c>
      <c r="F37" s="26">
        <f t="shared" si="10"/>
        <v>1</v>
      </c>
      <c r="G37" s="26">
        <f t="shared" si="10"/>
        <v>1</v>
      </c>
      <c r="H37" s="26">
        <f t="shared" si="10"/>
        <v>0</v>
      </c>
      <c r="I37" s="26">
        <f t="shared" si="10"/>
        <v>1</v>
      </c>
      <c r="J37" s="26">
        <f t="shared" si="10"/>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39"/>
      <c r="D38" s="240"/>
      <c r="E38" s="240"/>
      <c r="F38" s="240"/>
      <c r="G38" s="240"/>
      <c r="H38" s="240"/>
      <c r="I38" s="240"/>
      <c r="J38" s="241"/>
      <c r="M38" s="21">
        <v>46073</v>
      </c>
      <c r="N38" s="10" t="s">
        <v>47</v>
      </c>
      <c r="O38" s="25"/>
      <c r="P38" s="25"/>
      <c r="Q38" s="25"/>
      <c r="R38" s="25"/>
      <c r="S38" s="25"/>
      <c r="T38" s="25">
        <f>13/4</f>
        <v>3.25</v>
      </c>
      <c r="U38" s="25"/>
      <c r="V38" s="182"/>
      <c r="AC38" s="27">
        <v>2.6</v>
      </c>
      <c r="AD38" s="27">
        <f t="shared" ref="AD38:AD41" si="11">100-AC38</f>
        <v>97.4</v>
      </c>
    </row>
    <row r="39" spans="2:34">
      <c r="B39" s="211"/>
      <c r="C39" s="12">
        <f t="shared" ref="C39" ca="1" si="12">IF(D39&lt;=TODAY(),1,"")</f>
        <v>1</v>
      </c>
      <c r="D39" s="22">
        <f t="shared" ref="D39" si="13">IF(M39="","",M39)</f>
        <v>46073</v>
      </c>
      <c r="E39" s="26">
        <f t="shared" ref="E39" si="14">IF(O39="","",IF(O39=0,1,0))</f>
        <v>1</v>
      </c>
      <c r="F39" s="26">
        <f t="shared" ref="F39" si="15">IF(P39="","",IF(P39=0,1,0))</f>
        <v>1</v>
      </c>
      <c r="G39" s="26">
        <f t="shared" ref="G39" si="16">IF(Q39="","",IF(Q39=0,1,0))</f>
        <v>0</v>
      </c>
      <c r="H39" s="26">
        <f t="shared" ref="H39" si="17">IF(R39="","",IF(R39=0,1,0))</f>
        <v>1</v>
      </c>
      <c r="I39" s="26">
        <f t="shared" ref="I39" si="18">IF(S39="","",IF(S39=0,1,0))</f>
        <v>1</v>
      </c>
      <c r="J39" s="26">
        <f t="shared" ref="J39" si="19">IF(T39="","",IF(T39=0,1,0))</f>
        <v>1</v>
      </c>
      <c r="M39" s="21">
        <v>46073</v>
      </c>
      <c r="N39" s="10" t="s">
        <v>24</v>
      </c>
      <c r="O39" s="25">
        <v>0</v>
      </c>
      <c r="P39" s="25">
        <v>0</v>
      </c>
      <c r="Q39" s="25">
        <v>13</v>
      </c>
      <c r="R39" s="25">
        <v>0</v>
      </c>
      <c r="S39" s="25">
        <v>0</v>
      </c>
      <c r="T39" s="25">
        <v>0</v>
      </c>
      <c r="V39" s="182"/>
      <c r="AC39" s="27">
        <v>2.2400000000000002</v>
      </c>
      <c r="AD39" s="27">
        <f t="shared" si="11"/>
        <v>97.76</v>
      </c>
    </row>
    <row r="40" spans="2:34">
      <c r="B40" s="211"/>
      <c r="C40" s="12">
        <f t="shared" ca="1" si="8"/>
        <v>1</v>
      </c>
      <c r="D40" s="22">
        <f t="shared" si="9"/>
        <v>46080</v>
      </c>
      <c r="E40" s="26">
        <f t="shared" si="10"/>
        <v>1</v>
      </c>
      <c r="F40" s="26">
        <f t="shared" si="10"/>
        <v>1</v>
      </c>
      <c r="G40" s="26">
        <f t="shared" si="10"/>
        <v>1</v>
      </c>
      <c r="H40" s="26">
        <f t="shared" si="10"/>
        <v>0</v>
      </c>
      <c r="I40" s="26">
        <f t="shared" si="10"/>
        <v>1</v>
      </c>
      <c r="J40" s="26">
        <f t="shared" si="10"/>
        <v>0</v>
      </c>
      <c r="M40" s="21">
        <v>46080</v>
      </c>
      <c r="N40" s="10" t="s">
        <v>24</v>
      </c>
      <c r="O40" s="25">
        <v>0</v>
      </c>
      <c r="P40" s="25">
        <v>0</v>
      </c>
      <c r="Q40" s="25">
        <v>0</v>
      </c>
      <c r="R40" s="25">
        <v>13</v>
      </c>
      <c r="S40" s="25">
        <v>0</v>
      </c>
      <c r="T40" s="25">
        <v>13</v>
      </c>
      <c r="V40" s="182"/>
      <c r="AC40" s="27">
        <v>2.02</v>
      </c>
      <c r="AD40" s="27">
        <f t="shared" si="11"/>
        <v>97.98</v>
      </c>
    </row>
    <row r="41" spans="2:34">
      <c r="B41" s="211"/>
      <c r="C41" s="12">
        <f t="shared" ref="C41" ca="1" si="20">IF(D41&lt;=TODAY(),1,"")</f>
        <v>1</v>
      </c>
      <c r="D41" s="22">
        <f t="shared" ref="D41" si="21">IF(M41="","",M41)</f>
        <v>46087</v>
      </c>
      <c r="E41" s="26">
        <f t="shared" ref="E41" si="22">IF(O41="","",IF(O41=0,1,0))</f>
        <v>1</v>
      </c>
      <c r="F41" s="26">
        <f t="shared" ref="F41" si="23">IF(P41="","",IF(P41=0,1,0))</f>
        <v>1</v>
      </c>
      <c r="G41" s="26">
        <f t="shared" ref="G41" si="24">IF(Q41="","",IF(Q41=0,1,0))</f>
        <v>0</v>
      </c>
      <c r="H41" s="26">
        <f t="shared" ref="H41" si="25">IF(R41="","",IF(R41=0,1,0))</f>
        <v>0</v>
      </c>
      <c r="I41" s="26">
        <f t="shared" ref="I41" si="26">IF(S41="","",IF(S41=0,1,0))</f>
        <v>1</v>
      </c>
      <c r="J41" s="26">
        <f t="shared" ref="J41" si="27">IF(T41="","",IF(T41=0,1,0))</f>
        <v>1</v>
      </c>
      <c r="M41" s="21">
        <f>M40+7</f>
        <v>46087</v>
      </c>
      <c r="N41" s="10" t="s">
        <v>24</v>
      </c>
      <c r="O41" s="25">
        <v>0</v>
      </c>
      <c r="P41" s="25">
        <v>0</v>
      </c>
      <c r="Q41" s="25">
        <v>13</v>
      </c>
      <c r="R41" s="25">
        <v>13</v>
      </c>
      <c r="S41" s="25">
        <v>0</v>
      </c>
      <c r="T41" s="25">
        <v>0</v>
      </c>
      <c r="V41" s="182"/>
      <c r="AC41" s="27">
        <v>1.84</v>
      </c>
      <c r="AD41" s="27">
        <f t="shared" si="11"/>
        <v>98.16</v>
      </c>
    </row>
    <row r="42" spans="2:34">
      <c r="B42" s="211"/>
      <c r="C42" s="12">
        <f t="shared" ref="C42:C91" ca="1" si="28">IF(D42&lt;=TODAY(),1,"")</f>
        <v>1</v>
      </c>
      <c r="D42" s="22">
        <f t="shared" ref="D42:D91" si="29">IF(M42="","",M42)</f>
        <v>46094</v>
      </c>
      <c r="E42" s="26">
        <f t="shared" ref="E42:E91" si="30">IF(O42="","",IF(O42=0,1,0))</f>
        <v>1</v>
      </c>
      <c r="F42" s="26">
        <f t="shared" ref="F42:F91" si="31">IF(P42="","",IF(P42=0,1,0))</f>
        <v>1</v>
      </c>
      <c r="G42" s="26">
        <f t="shared" ref="G42:G91" si="32">IF(Q42="","",IF(Q42=0,1,0))</f>
        <v>1</v>
      </c>
      <c r="H42" s="26">
        <f t="shared" ref="H42:H91" si="33">IF(R42="","",IF(R42=0,1,0))</f>
        <v>0</v>
      </c>
      <c r="I42" s="26">
        <f t="shared" ref="I42:I91" si="34">IF(S42="","",IF(S42=0,1,0))</f>
        <v>1</v>
      </c>
      <c r="J42" s="26">
        <f t="shared" ref="J42:J91" si="35">IF(T42="","",IF(T42=0,1,0))</f>
        <v>1</v>
      </c>
      <c r="M42" s="21">
        <f>M41+7</f>
        <v>46094</v>
      </c>
      <c r="N42" s="10" t="s">
        <v>24</v>
      </c>
      <c r="O42" s="25">
        <v>0</v>
      </c>
      <c r="P42" s="25">
        <v>0</v>
      </c>
      <c r="Q42" s="25">
        <v>0</v>
      </c>
      <c r="R42" s="25">
        <v>13</v>
      </c>
      <c r="S42" s="25">
        <v>0</v>
      </c>
      <c r="T42" s="25">
        <v>0</v>
      </c>
      <c r="V42" s="182"/>
    </row>
    <row r="43" spans="2:34">
      <c r="B43" s="211"/>
      <c r="C43" s="12">
        <f t="shared" ca="1" si="28"/>
        <v>1</v>
      </c>
      <c r="D43" s="22">
        <f t="shared" si="29"/>
        <v>46101</v>
      </c>
      <c r="E43" s="26">
        <f t="shared" si="30"/>
        <v>0</v>
      </c>
      <c r="F43" s="26">
        <f t="shared" si="31"/>
        <v>1</v>
      </c>
      <c r="G43" s="26">
        <f t="shared" si="32"/>
        <v>0</v>
      </c>
      <c r="H43" s="26">
        <f t="shared" si="33"/>
        <v>0</v>
      </c>
      <c r="I43" s="26">
        <f t="shared" si="34"/>
        <v>0</v>
      </c>
      <c r="J43" s="26">
        <f t="shared" si="35"/>
        <v>1</v>
      </c>
      <c r="M43" s="21">
        <f>M42+7</f>
        <v>46101</v>
      </c>
      <c r="N43" s="10" t="s">
        <v>24</v>
      </c>
      <c r="O43" s="25">
        <v>13</v>
      </c>
      <c r="P43" s="25">
        <v>0</v>
      </c>
      <c r="Q43" s="25">
        <v>13</v>
      </c>
      <c r="R43" s="25">
        <v>13</v>
      </c>
      <c r="S43" s="25">
        <v>13</v>
      </c>
      <c r="T43" s="25">
        <v>0</v>
      </c>
      <c r="V43" s="182"/>
      <c r="Y43" s="182"/>
      <c r="Z43" s="182"/>
    </row>
    <row r="44" spans="2:34">
      <c r="B44" s="211"/>
      <c r="C44" s="12">
        <f t="shared" ca="1" si="28"/>
        <v>1</v>
      </c>
      <c r="D44" s="22">
        <f t="shared" si="29"/>
        <v>46108</v>
      </c>
      <c r="E44" s="26">
        <f t="shared" si="30"/>
        <v>1</v>
      </c>
      <c r="F44" s="26">
        <f t="shared" si="31"/>
        <v>0</v>
      </c>
      <c r="G44" s="26">
        <f t="shared" si="32"/>
        <v>1</v>
      </c>
      <c r="H44" s="26">
        <f t="shared" si="33"/>
        <v>1</v>
      </c>
      <c r="I44" s="26">
        <f t="shared" si="34"/>
        <v>1</v>
      </c>
      <c r="J44" s="26">
        <f t="shared" si="35"/>
        <v>1</v>
      </c>
      <c r="M44" s="21">
        <f>M43+7</f>
        <v>46108</v>
      </c>
      <c r="N44" s="10" t="s">
        <v>24</v>
      </c>
      <c r="O44" s="25">
        <v>0</v>
      </c>
      <c r="P44" s="25">
        <v>13</v>
      </c>
      <c r="Q44" s="25">
        <v>0</v>
      </c>
      <c r="R44" s="25">
        <v>0</v>
      </c>
      <c r="S44" s="25">
        <v>0</v>
      </c>
      <c r="T44" s="25">
        <v>0</v>
      </c>
      <c r="V44" s="182"/>
      <c r="Y44" s="182"/>
      <c r="Z44" s="182"/>
    </row>
    <row r="45" spans="2:34">
      <c r="B45" s="211"/>
      <c r="C45" s="12">
        <f t="shared" ca="1" si="28"/>
        <v>1</v>
      </c>
      <c r="D45" s="22">
        <f t="shared" si="29"/>
        <v>46122</v>
      </c>
      <c r="E45" s="26">
        <f t="shared" si="30"/>
        <v>1</v>
      </c>
      <c r="F45" s="26">
        <f t="shared" si="31"/>
        <v>0</v>
      </c>
      <c r="G45" s="26">
        <f t="shared" si="32"/>
        <v>0</v>
      </c>
      <c r="H45" s="26">
        <f t="shared" si="33"/>
        <v>0</v>
      </c>
      <c r="I45" s="26">
        <f t="shared" si="34"/>
        <v>1</v>
      </c>
      <c r="J45" s="26">
        <f t="shared" si="35"/>
        <v>1</v>
      </c>
      <c r="M45" s="21">
        <f>M44+14</f>
        <v>46122</v>
      </c>
      <c r="N45" s="10" t="s">
        <v>24</v>
      </c>
      <c r="O45" s="25">
        <v>0</v>
      </c>
      <c r="P45" s="25">
        <v>13</v>
      </c>
      <c r="Q45" s="25">
        <v>13</v>
      </c>
      <c r="R45" s="25">
        <v>13</v>
      </c>
      <c r="S45" s="25">
        <v>0</v>
      </c>
      <c r="T45" s="25">
        <v>0</v>
      </c>
      <c r="V45" s="182"/>
      <c r="Y45" s="182"/>
      <c r="Z45" s="182"/>
    </row>
    <row r="46" spans="2:34">
      <c r="B46" s="211"/>
      <c r="C46" s="12">
        <f t="shared" ca="1" si="28"/>
        <v>1</v>
      </c>
      <c r="D46" s="22">
        <f t="shared" si="29"/>
        <v>46129</v>
      </c>
      <c r="E46" s="26">
        <f t="shared" si="30"/>
        <v>0</v>
      </c>
      <c r="F46" s="26">
        <f t="shared" si="31"/>
        <v>1</v>
      </c>
      <c r="G46" s="26">
        <f t="shared" si="32"/>
        <v>0</v>
      </c>
      <c r="H46" s="26">
        <f t="shared" si="33"/>
        <v>0</v>
      </c>
      <c r="I46" s="26">
        <f t="shared" si="34"/>
        <v>1</v>
      </c>
      <c r="J46" s="26">
        <f t="shared" si="35"/>
        <v>1</v>
      </c>
      <c r="M46" s="21">
        <f>M45+7</f>
        <v>46129</v>
      </c>
      <c r="N46" s="10" t="s">
        <v>24</v>
      </c>
      <c r="O46" s="25">
        <v>13</v>
      </c>
      <c r="P46" s="25">
        <v>0</v>
      </c>
      <c r="Q46" s="25">
        <v>13</v>
      </c>
      <c r="R46" s="25">
        <v>13</v>
      </c>
      <c r="S46" s="25">
        <v>0</v>
      </c>
      <c r="T46" s="25">
        <v>0</v>
      </c>
      <c r="V46" s="182"/>
      <c r="Y46" s="182"/>
      <c r="Z46" s="182"/>
    </row>
    <row r="47" spans="2:34">
      <c r="B47" s="211"/>
      <c r="C47" s="12">
        <f t="shared" ca="1" si="28"/>
        <v>1</v>
      </c>
      <c r="D47" s="22">
        <f t="shared" si="29"/>
        <v>46136</v>
      </c>
      <c r="E47" s="26">
        <f t="shared" si="30"/>
        <v>0</v>
      </c>
      <c r="F47" s="26">
        <f t="shared" si="31"/>
        <v>1</v>
      </c>
      <c r="G47" s="26">
        <f t="shared" si="32"/>
        <v>1</v>
      </c>
      <c r="H47" s="26">
        <f t="shared" si="33"/>
        <v>1</v>
      </c>
      <c r="I47" s="26">
        <f t="shared" si="34"/>
        <v>1</v>
      </c>
      <c r="J47" s="26">
        <f t="shared" si="35"/>
        <v>1</v>
      </c>
      <c r="M47" s="21">
        <f>M46+7</f>
        <v>46136</v>
      </c>
      <c r="N47" s="10" t="s">
        <v>24</v>
      </c>
      <c r="O47" s="25">
        <v>13</v>
      </c>
      <c r="P47" s="25">
        <v>0</v>
      </c>
      <c r="Q47" s="25">
        <v>0</v>
      </c>
      <c r="R47" s="25">
        <v>0</v>
      </c>
      <c r="S47" s="25">
        <v>0</v>
      </c>
      <c r="T47" s="25">
        <v>0</v>
      </c>
      <c r="V47" s="182"/>
      <c r="AG47" s="182"/>
      <c r="AH47" s="182"/>
    </row>
    <row r="48" spans="2:34">
      <c r="B48" s="211"/>
      <c r="C48" s="12">
        <f t="shared" ca="1" si="28"/>
        <v>1</v>
      </c>
      <c r="D48" s="22">
        <f t="shared" si="29"/>
        <v>46150</v>
      </c>
      <c r="E48" s="26">
        <f t="shared" si="30"/>
        <v>1</v>
      </c>
      <c r="F48" s="26">
        <f t="shared" si="31"/>
        <v>1</v>
      </c>
      <c r="G48" s="26">
        <f t="shared" si="32"/>
        <v>1</v>
      </c>
      <c r="H48" s="26">
        <f t="shared" si="33"/>
        <v>0</v>
      </c>
      <c r="I48" s="26">
        <f t="shared" si="34"/>
        <v>0</v>
      </c>
      <c r="J48" s="26">
        <f t="shared" si="35"/>
        <v>1</v>
      </c>
      <c r="M48" s="21">
        <f>M47+14</f>
        <v>46150</v>
      </c>
      <c r="N48" s="10" t="s">
        <v>24</v>
      </c>
      <c r="O48" s="25">
        <v>0</v>
      </c>
      <c r="P48" s="25">
        <v>0</v>
      </c>
      <c r="Q48" s="25">
        <v>0</v>
      </c>
      <c r="R48" s="25">
        <v>13</v>
      </c>
      <c r="S48" s="25">
        <v>13</v>
      </c>
      <c r="T48" s="25">
        <v>0</v>
      </c>
      <c r="V48" s="182"/>
      <c r="AG48" s="182"/>
      <c r="AH48" s="182"/>
    </row>
    <row r="49" spans="2:34">
      <c r="B49" s="211"/>
      <c r="C49" s="239"/>
      <c r="D49" s="240"/>
      <c r="E49" s="240"/>
      <c r="F49" s="240"/>
      <c r="G49" s="240"/>
      <c r="H49" s="240"/>
      <c r="I49" s="240"/>
      <c r="J49" s="241"/>
      <c r="M49" s="21">
        <f>M48+7</f>
        <v>46157</v>
      </c>
      <c r="N49" s="10" t="s">
        <v>47</v>
      </c>
      <c r="O49" s="25"/>
      <c r="P49" s="25"/>
      <c r="Q49" s="25"/>
      <c r="R49" s="25"/>
      <c r="S49" s="25">
        <f>13/4</f>
        <v>3.25</v>
      </c>
      <c r="T49" s="25"/>
      <c r="V49" s="182"/>
      <c r="AG49" s="182"/>
      <c r="AH49" s="182"/>
    </row>
    <row r="50" spans="2:34">
      <c r="B50" s="211"/>
      <c r="C50" s="12">
        <f t="shared" ca="1" si="28"/>
        <v>1</v>
      </c>
      <c r="D50" s="22">
        <f t="shared" si="29"/>
        <v>46157</v>
      </c>
      <c r="E50" s="26">
        <f t="shared" si="30"/>
        <v>0</v>
      </c>
      <c r="F50" s="26">
        <f t="shared" si="31"/>
        <v>0</v>
      </c>
      <c r="G50" s="26">
        <f t="shared" si="32"/>
        <v>1</v>
      </c>
      <c r="H50" s="26">
        <f t="shared" si="33"/>
        <v>1</v>
      </c>
      <c r="I50" s="26">
        <f t="shared" si="34"/>
        <v>1</v>
      </c>
      <c r="J50" s="26">
        <f t="shared" si="35"/>
        <v>1</v>
      </c>
      <c r="M50" s="21">
        <f>M49</f>
        <v>46157</v>
      </c>
      <c r="N50" s="10" t="s">
        <v>24</v>
      </c>
      <c r="O50" s="25">
        <v>13</v>
      </c>
      <c r="P50" s="25">
        <v>13</v>
      </c>
      <c r="Q50" s="25">
        <v>0</v>
      </c>
      <c r="R50" s="25">
        <v>0</v>
      </c>
      <c r="S50" s="25">
        <v>0</v>
      </c>
      <c r="T50" s="25">
        <v>0</v>
      </c>
      <c r="V50" s="182"/>
      <c r="AG50" s="182"/>
      <c r="AH50" s="182"/>
    </row>
    <row r="51" spans="2:34">
      <c r="B51" s="211"/>
      <c r="C51" s="239"/>
      <c r="D51" s="240"/>
      <c r="E51" s="240"/>
      <c r="F51" s="240"/>
      <c r="G51" s="240"/>
      <c r="H51" s="240"/>
      <c r="I51" s="240"/>
      <c r="J51" s="241"/>
      <c r="M51" s="21">
        <f>M50+7</f>
        <v>46164</v>
      </c>
      <c r="N51" s="10" t="s">
        <v>43</v>
      </c>
      <c r="O51" s="25"/>
      <c r="P51" s="25"/>
      <c r="Q51" s="25"/>
      <c r="R51" s="25"/>
      <c r="S51" s="25"/>
      <c r="T51" s="25">
        <f>13/2</f>
        <v>6.5</v>
      </c>
      <c r="V51" s="182"/>
      <c r="AG51" s="182"/>
      <c r="AH51" s="182"/>
    </row>
    <row r="52" spans="2:34">
      <c r="B52" s="211"/>
      <c r="C52" s="12">
        <f t="shared" ca="1" si="28"/>
        <v>1</v>
      </c>
      <c r="D52" s="22">
        <f t="shared" si="29"/>
        <v>46164</v>
      </c>
      <c r="E52" s="26">
        <f t="shared" si="30"/>
        <v>0</v>
      </c>
      <c r="F52" s="26">
        <f t="shared" si="31"/>
        <v>0</v>
      </c>
      <c r="G52" s="26">
        <f t="shared" si="32"/>
        <v>0</v>
      </c>
      <c r="H52" s="26">
        <f t="shared" si="33"/>
        <v>0</v>
      </c>
      <c r="I52" s="26">
        <f t="shared" si="34"/>
        <v>0</v>
      </c>
      <c r="J52" s="26">
        <f t="shared" si="35"/>
        <v>1</v>
      </c>
      <c r="M52" s="21">
        <f>M51</f>
        <v>46164</v>
      </c>
      <c r="N52" s="10" t="s">
        <v>24</v>
      </c>
      <c r="O52" s="25">
        <v>13</v>
      </c>
      <c r="P52" s="25">
        <v>13</v>
      </c>
      <c r="Q52" s="25">
        <v>13</v>
      </c>
      <c r="R52" s="25">
        <v>13</v>
      </c>
      <c r="S52" s="25">
        <v>13</v>
      </c>
      <c r="T52" s="25">
        <v>0</v>
      </c>
      <c r="V52" s="182"/>
      <c r="AG52" s="182"/>
      <c r="AH52" s="182"/>
    </row>
    <row r="53" spans="2:34">
      <c r="B53" s="211"/>
      <c r="C53" s="12">
        <f t="shared" ca="1" si="28"/>
        <v>1</v>
      </c>
      <c r="D53" s="22">
        <f t="shared" si="29"/>
        <v>46171</v>
      </c>
      <c r="E53" s="26">
        <f t="shared" si="30"/>
        <v>1</v>
      </c>
      <c r="F53" s="26">
        <f t="shared" si="31"/>
        <v>0</v>
      </c>
      <c r="G53" s="26">
        <f t="shared" si="32"/>
        <v>0</v>
      </c>
      <c r="H53" s="26">
        <f t="shared" si="33"/>
        <v>0</v>
      </c>
      <c r="I53" s="26">
        <f t="shared" si="34"/>
        <v>0</v>
      </c>
      <c r="J53" s="26">
        <f t="shared" si="35"/>
        <v>1</v>
      </c>
      <c r="M53" s="21">
        <f>M52+7</f>
        <v>46171</v>
      </c>
      <c r="N53" s="10" t="s">
        <v>24</v>
      </c>
      <c r="O53" s="25">
        <v>0</v>
      </c>
      <c r="P53" s="25">
        <v>13</v>
      </c>
      <c r="Q53" s="25">
        <v>13</v>
      </c>
      <c r="R53" s="25">
        <v>13</v>
      </c>
      <c r="S53" s="25">
        <v>13</v>
      </c>
      <c r="T53" s="25">
        <v>0</v>
      </c>
      <c r="V53" s="182"/>
      <c r="AG53" s="182"/>
      <c r="AH53" s="182"/>
    </row>
    <row r="54" spans="2:34">
      <c r="B54" s="211"/>
      <c r="C54" s="12">
        <f t="shared" ca="1" si="28"/>
        <v>1</v>
      </c>
      <c r="D54" s="22">
        <f t="shared" si="29"/>
        <v>46178</v>
      </c>
      <c r="E54" s="26">
        <f t="shared" si="30"/>
        <v>0</v>
      </c>
      <c r="F54" s="26">
        <f t="shared" si="31"/>
        <v>0</v>
      </c>
      <c r="G54" s="26">
        <f t="shared" si="32"/>
        <v>0</v>
      </c>
      <c r="H54" s="26">
        <f t="shared" si="33"/>
        <v>1</v>
      </c>
      <c r="I54" s="26">
        <f t="shared" si="34"/>
        <v>1</v>
      </c>
      <c r="J54" s="26">
        <f t="shared" si="35"/>
        <v>0</v>
      </c>
      <c r="M54" s="21">
        <f t="shared" ref="M54:M63" si="36">M53+7</f>
        <v>46178</v>
      </c>
      <c r="N54" s="10" t="s">
        <v>24</v>
      </c>
      <c r="O54" s="25">
        <v>13</v>
      </c>
      <c r="P54" s="25">
        <v>13</v>
      </c>
      <c r="Q54" s="25">
        <v>13</v>
      </c>
      <c r="R54" s="25">
        <v>0</v>
      </c>
      <c r="S54" s="25">
        <v>0</v>
      </c>
      <c r="T54" s="25">
        <v>13</v>
      </c>
      <c r="V54" s="182"/>
      <c r="AG54" s="182"/>
      <c r="AH54" s="182"/>
    </row>
    <row r="55" spans="2:34">
      <c r="B55" s="211"/>
      <c r="C55" s="12">
        <f t="shared" ca="1" si="28"/>
        <v>1</v>
      </c>
      <c r="D55" s="22">
        <f t="shared" si="29"/>
        <v>46185</v>
      </c>
      <c r="E55" s="26">
        <f t="shared" si="30"/>
        <v>0</v>
      </c>
      <c r="F55" s="26">
        <f t="shared" si="31"/>
        <v>0</v>
      </c>
      <c r="G55" s="26">
        <f t="shared" si="32"/>
        <v>0</v>
      </c>
      <c r="H55" s="26">
        <f t="shared" si="33"/>
        <v>1</v>
      </c>
      <c r="I55" s="26">
        <f t="shared" si="34"/>
        <v>0</v>
      </c>
      <c r="J55" s="26">
        <f t="shared" si="35"/>
        <v>1</v>
      </c>
      <c r="M55" s="21">
        <f t="shared" si="36"/>
        <v>46185</v>
      </c>
      <c r="N55" s="10" t="s">
        <v>24</v>
      </c>
      <c r="O55" s="25">
        <v>13</v>
      </c>
      <c r="P55" s="25">
        <v>13</v>
      </c>
      <c r="Q55" s="25">
        <v>13</v>
      </c>
      <c r="R55" s="25">
        <v>0</v>
      </c>
      <c r="S55" s="25">
        <v>13</v>
      </c>
      <c r="T55" s="25">
        <v>0</v>
      </c>
      <c r="V55" s="182"/>
      <c r="AG55" s="182"/>
      <c r="AH55" s="182"/>
    </row>
    <row r="56" spans="2:34">
      <c r="B56" s="211"/>
      <c r="C56" s="12">
        <f t="shared" ca="1" si="28"/>
        <v>1</v>
      </c>
      <c r="D56" s="22">
        <f t="shared" si="29"/>
        <v>46192</v>
      </c>
      <c r="E56" s="26">
        <f t="shared" si="30"/>
        <v>0</v>
      </c>
      <c r="F56" s="26">
        <f t="shared" si="31"/>
        <v>0</v>
      </c>
      <c r="G56" s="26">
        <f t="shared" si="32"/>
        <v>0</v>
      </c>
      <c r="H56" s="26">
        <f t="shared" si="33"/>
        <v>1</v>
      </c>
      <c r="I56" s="26">
        <f t="shared" si="34"/>
        <v>0</v>
      </c>
      <c r="J56" s="26">
        <f t="shared" si="35"/>
        <v>1</v>
      </c>
      <c r="M56" s="21">
        <f t="shared" si="36"/>
        <v>46192</v>
      </c>
      <c r="N56" s="10" t="s">
        <v>24</v>
      </c>
      <c r="O56" s="25">
        <v>13</v>
      </c>
      <c r="P56" s="25">
        <v>13</v>
      </c>
      <c r="Q56" s="25">
        <v>13</v>
      </c>
      <c r="R56" s="25">
        <v>0</v>
      </c>
      <c r="S56" s="25">
        <v>13</v>
      </c>
      <c r="T56" s="25">
        <v>0</v>
      </c>
      <c r="V56" s="182"/>
      <c r="AG56" s="182"/>
      <c r="AH56" s="182"/>
    </row>
    <row r="57" spans="2:34">
      <c r="B57" s="211"/>
      <c r="C57" s="12"/>
      <c r="D57" s="22"/>
      <c r="E57" s="26"/>
      <c r="F57" s="26"/>
      <c r="G57" s="26"/>
      <c r="H57" s="26"/>
      <c r="I57" s="26"/>
      <c r="J57" s="26"/>
      <c r="M57" s="21">
        <v>46192</v>
      </c>
      <c r="N57" s="10" t="s">
        <v>47</v>
      </c>
      <c r="O57" s="25"/>
      <c r="P57" s="25"/>
      <c r="Q57" s="25"/>
      <c r="R57" s="25"/>
      <c r="S57" s="25"/>
      <c r="T57" s="25">
        <v>3.25</v>
      </c>
      <c r="V57" s="182"/>
      <c r="AG57" s="182"/>
      <c r="AH57" s="182"/>
    </row>
    <row r="58" spans="2:34">
      <c r="B58" s="211"/>
      <c r="C58" s="12">
        <f t="shared" ca="1" si="28"/>
        <v>1</v>
      </c>
      <c r="D58" s="22">
        <f t="shared" si="29"/>
        <v>46199</v>
      </c>
      <c r="E58" s="26">
        <f t="shared" si="30"/>
        <v>1</v>
      </c>
      <c r="F58" s="26">
        <f t="shared" si="31"/>
        <v>0</v>
      </c>
      <c r="G58" s="26">
        <f t="shared" si="32"/>
        <v>0</v>
      </c>
      <c r="H58" s="26">
        <f t="shared" si="33"/>
        <v>0</v>
      </c>
      <c r="I58" s="26">
        <f t="shared" si="34"/>
        <v>1</v>
      </c>
      <c r="J58" s="26">
        <f t="shared" si="35"/>
        <v>1</v>
      </c>
      <c r="M58" s="21">
        <v>46199</v>
      </c>
      <c r="N58" s="10" t="s">
        <v>24</v>
      </c>
      <c r="O58" s="25">
        <v>0</v>
      </c>
      <c r="P58" s="25">
        <v>13</v>
      </c>
      <c r="Q58" s="25">
        <v>13</v>
      </c>
      <c r="R58" s="25">
        <v>13</v>
      </c>
      <c r="S58" s="25">
        <v>0</v>
      </c>
      <c r="T58" s="25">
        <v>0</v>
      </c>
      <c r="V58" s="182"/>
      <c r="AG58" s="182"/>
      <c r="AH58" s="182"/>
    </row>
    <row r="59" spans="2:34">
      <c r="C59" s="12">
        <f t="shared" ca="1" si="28"/>
        <v>1</v>
      </c>
      <c r="D59" s="22">
        <f t="shared" si="29"/>
        <v>46206</v>
      </c>
      <c r="E59" s="26">
        <f t="shared" si="30"/>
        <v>1</v>
      </c>
      <c r="F59" s="26">
        <f t="shared" si="31"/>
        <v>0</v>
      </c>
      <c r="G59" s="26">
        <f t="shared" si="32"/>
        <v>1</v>
      </c>
      <c r="H59" s="26">
        <f t="shared" si="33"/>
        <v>0</v>
      </c>
      <c r="I59" s="26">
        <f t="shared" si="34"/>
        <v>1</v>
      </c>
      <c r="J59" s="26">
        <f t="shared" si="35"/>
        <v>1</v>
      </c>
      <c r="M59" s="21">
        <f t="shared" si="36"/>
        <v>46206</v>
      </c>
      <c r="N59" s="10" t="s">
        <v>24</v>
      </c>
      <c r="O59" s="25">
        <v>0</v>
      </c>
      <c r="P59" s="25">
        <v>13</v>
      </c>
      <c r="Q59" s="25">
        <v>0</v>
      </c>
      <c r="R59" s="25">
        <v>13</v>
      </c>
      <c r="S59" s="25">
        <v>0</v>
      </c>
      <c r="T59" s="25">
        <v>0</v>
      </c>
      <c r="V59" s="182"/>
      <c r="AG59" s="182"/>
      <c r="AH59" s="182"/>
    </row>
    <row r="60" spans="2:34">
      <c r="C60" s="12">
        <f t="shared" ca="1" si="28"/>
        <v>1</v>
      </c>
      <c r="D60" s="22">
        <f t="shared" si="29"/>
        <v>46213</v>
      </c>
      <c r="E60" s="26">
        <f t="shared" si="30"/>
        <v>1</v>
      </c>
      <c r="F60" s="26">
        <f t="shared" si="31"/>
        <v>0</v>
      </c>
      <c r="G60" s="26">
        <f t="shared" si="32"/>
        <v>1</v>
      </c>
      <c r="H60" s="26">
        <f t="shared" si="33"/>
        <v>1</v>
      </c>
      <c r="I60" s="26">
        <f t="shared" si="34"/>
        <v>1</v>
      </c>
      <c r="J60" s="26">
        <f t="shared" si="35"/>
        <v>1</v>
      </c>
      <c r="M60" s="21">
        <f t="shared" si="36"/>
        <v>46213</v>
      </c>
      <c r="N60" s="10" t="s">
        <v>24</v>
      </c>
      <c r="O60" s="25">
        <v>0</v>
      </c>
      <c r="P60" s="25">
        <v>13</v>
      </c>
      <c r="Q60" s="25">
        <v>0</v>
      </c>
      <c r="R60" s="25">
        <v>0</v>
      </c>
      <c r="S60" s="25">
        <v>0</v>
      </c>
      <c r="T60" s="25">
        <v>0</v>
      </c>
      <c r="V60" s="182"/>
      <c r="AG60" s="182"/>
      <c r="AH60" s="182"/>
    </row>
    <row r="61" spans="2:34">
      <c r="C61" s="12">
        <f t="shared" ca="1" si="28"/>
        <v>1</v>
      </c>
      <c r="D61" s="22">
        <f t="shared" si="29"/>
        <v>46220</v>
      </c>
      <c r="E61" s="26">
        <f t="shared" si="30"/>
        <v>1</v>
      </c>
      <c r="F61" s="26">
        <f t="shared" si="31"/>
        <v>0</v>
      </c>
      <c r="G61" s="26">
        <f t="shared" si="32"/>
        <v>0</v>
      </c>
      <c r="H61" s="26">
        <f t="shared" si="33"/>
        <v>1</v>
      </c>
      <c r="I61" s="26">
        <f t="shared" si="34"/>
        <v>1</v>
      </c>
      <c r="J61" s="26">
        <f t="shared" si="35"/>
        <v>0</v>
      </c>
      <c r="M61" s="21">
        <f t="shared" si="36"/>
        <v>46220</v>
      </c>
      <c r="N61" s="10" t="s">
        <v>24</v>
      </c>
      <c r="O61" s="25">
        <v>0</v>
      </c>
      <c r="P61" s="25">
        <v>13</v>
      </c>
      <c r="Q61" s="25">
        <v>13</v>
      </c>
      <c r="R61" s="25">
        <v>0</v>
      </c>
      <c r="S61" s="25">
        <v>0</v>
      </c>
      <c r="T61" s="25">
        <v>13</v>
      </c>
      <c r="V61" s="182"/>
      <c r="AG61" s="182"/>
      <c r="AH61" s="182"/>
    </row>
    <row r="62" spans="2:34">
      <c r="C62" s="12">
        <f t="shared" ca="1" si="28"/>
        <v>1</v>
      </c>
      <c r="D62" s="22">
        <f t="shared" si="29"/>
        <v>46227</v>
      </c>
      <c r="E62" s="26">
        <f t="shared" si="30"/>
        <v>1</v>
      </c>
      <c r="F62" s="26">
        <f t="shared" si="31"/>
        <v>0</v>
      </c>
      <c r="G62" s="26">
        <f t="shared" si="32"/>
        <v>0</v>
      </c>
      <c r="H62" s="26">
        <f t="shared" si="33"/>
        <v>0</v>
      </c>
      <c r="I62" s="26">
        <f t="shared" si="34"/>
        <v>1</v>
      </c>
      <c r="J62" s="26">
        <f t="shared" si="35"/>
        <v>1</v>
      </c>
      <c r="M62" s="21">
        <f t="shared" si="36"/>
        <v>46227</v>
      </c>
      <c r="N62" s="10" t="s">
        <v>24</v>
      </c>
      <c r="O62" s="25">
        <v>0</v>
      </c>
      <c r="P62" s="25">
        <v>13</v>
      </c>
      <c r="Q62" s="25">
        <v>13</v>
      </c>
      <c r="R62" s="25">
        <v>13</v>
      </c>
      <c r="S62" s="25">
        <v>0</v>
      </c>
      <c r="T62" s="25">
        <v>0</v>
      </c>
      <c r="V62" s="182"/>
      <c r="AG62" s="182"/>
      <c r="AH62" s="182"/>
    </row>
    <row r="63" spans="2:34">
      <c r="C63" s="12">
        <f t="shared" ca="1" si="28"/>
        <v>1</v>
      </c>
      <c r="D63" s="22">
        <f t="shared" si="29"/>
        <v>46234</v>
      </c>
      <c r="E63" s="26">
        <f>IF(O63="","",IF(O63=0,1,0))</f>
        <v>1</v>
      </c>
      <c r="F63" s="26">
        <f t="shared" si="31"/>
        <v>1</v>
      </c>
      <c r="G63" s="26">
        <f t="shared" si="32"/>
        <v>0</v>
      </c>
      <c r="H63" s="26">
        <f t="shared" si="33"/>
        <v>0</v>
      </c>
      <c r="I63" s="26">
        <f t="shared" si="34"/>
        <v>1</v>
      </c>
      <c r="J63" s="26">
        <f t="shared" si="35"/>
        <v>1</v>
      </c>
      <c r="M63" s="21">
        <f t="shared" si="36"/>
        <v>46234</v>
      </c>
      <c r="N63" s="10" t="s">
        <v>24</v>
      </c>
      <c r="O63" s="25">
        <v>0</v>
      </c>
      <c r="P63" s="25">
        <v>0</v>
      </c>
      <c r="Q63" s="25">
        <v>13</v>
      </c>
      <c r="R63" s="25">
        <v>13</v>
      </c>
      <c r="S63" s="25">
        <v>0</v>
      </c>
      <c r="T63" s="25">
        <v>0</v>
      </c>
      <c r="V63" s="182"/>
      <c r="AG63" s="182"/>
      <c r="AH63" s="182"/>
    </row>
    <row r="64" spans="2:34">
      <c r="C64" s="12">
        <f t="shared" ca="1" si="28"/>
        <v>1</v>
      </c>
      <c r="D64" s="22">
        <f t="shared" si="29"/>
        <v>46241</v>
      </c>
      <c r="E64" s="26" t="str">
        <f t="shared" si="30"/>
        <v/>
      </c>
      <c r="F64" s="26" t="str">
        <f t="shared" si="31"/>
        <v/>
      </c>
      <c r="G64" s="26" t="str">
        <f t="shared" si="32"/>
        <v/>
      </c>
      <c r="H64" s="26" t="str">
        <f t="shared" si="33"/>
        <v/>
      </c>
      <c r="I64" s="26">
        <f t="shared" si="34"/>
        <v>0</v>
      </c>
      <c r="J64" s="26" t="str">
        <f t="shared" si="35"/>
        <v/>
      </c>
      <c r="M64" s="21">
        <v>46241</v>
      </c>
      <c r="N64" s="10" t="s">
        <v>47</v>
      </c>
      <c r="O64" s="25"/>
      <c r="P64" s="25"/>
      <c r="Q64" s="25"/>
      <c r="R64" s="25"/>
      <c r="S64" s="25">
        <v>3.25</v>
      </c>
      <c r="T64" s="25"/>
      <c r="V64" s="182"/>
      <c r="AG64" s="182"/>
      <c r="AH64" s="182"/>
    </row>
    <row r="65" spans="3:34">
      <c r="C65" s="12">
        <f t="shared" ca="1" si="28"/>
        <v>1</v>
      </c>
      <c r="D65" s="22">
        <f t="shared" si="29"/>
        <v>46241</v>
      </c>
      <c r="E65" s="26">
        <f t="shared" si="30"/>
        <v>0</v>
      </c>
      <c r="F65" s="26">
        <f t="shared" si="31"/>
        <v>0</v>
      </c>
      <c r="G65" s="26">
        <f t="shared" si="32"/>
        <v>0</v>
      </c>
      <c r="H65" s="26">
        <f t="shared" si="33"/>
        <v>1</v>
      </c>
      <c r="I65" s="26">
        <f t="shared" si="34"/>
        <v>1</v>
      </c>
      <c r="J65" s="26">
        <f t="shared" si="35"/>
        <v>1</v>
      </c>
      <c r="M65" s="21">
        <v>46241</v>
      </c>
      <c r="N65" s="10" t="s">
        <v>24</v>
      </c>
      <c r="O65" s="25">
        <v>13</v>
      </c>
      <c r="P65" s="25">
        <v>13</v>
      </c>
      <c r="Q65" s="25">
        <v>13</v>
      </c>
      <c r="R65" s="25">
        <v>0</v>
      </c>
      <c r="S65" s="25">
        <v>0</v>
      </c>
      <c r="T65" s="25">
        <v>0</v>
      </c>
      <c r="V65" s="182"/>
      <c r="AG65" s="182"/>
      <c r="AH65" s="182"/>
    </row>
    <row r="66" spans="3:34">
      <c r="C66" s="12">
        <f t="shared" ca="1" si="28"/>
        <v>1</v>
      </c>
      <c r="D66" s="22">
        <f t="shared" si="29"/>
        <v>46248</v>
      </c>
      <c r="E66" s="26">
        <f t="shared" si="30"/>
        <v>0</v>
      </c>
      <c r="F66" s="26">
        <f t="shared" si="31"/>
        <v>0</v>
      </c>
      <c r="G66" s="26">
        <f t="shared" si="32"/>
        <v>1</v>
      </c>
      <c r="H66" s="26">
        <f t="shared" si="33"/>
        <v>1</v>
      </c>
      <c r="I66" s="26">
        <f t="shared" si="34"/>
        <v>1</v>
      </c>
      <c r="J66" s="26">
        <f t="shared" si="35"/>
        <v>1</v>
      </c>
      <c r="M66" s="21">
        <f t="shared" ref="M66:M71" si="37">M65+7</f>
        <v>46248</v>
      </c>
      <c r="N66" s="10" t="s">
        <v>24</v>
      </c>
      <c r="O66" s="25">
        <v>13</v>
      </c>
      <c r="P66" s="25">
        <v>13</v>
      </c>
      <c r="Q66" s="25">
        <v>0</v>
      </c>
      <c r="R66" s="25">
        <v>0</v>
      </c>
      <c r="S66" s="25">
        <v>0</v>
      </c>
      <c r="T66" s="25">
        <v>0</v>
      </c>
      <c r="V66" s="182"/>
      <c r="AG66" s="182"/>
      <c r="AH66" s="182"/>
    </row>
    <row r="67" spans="3:34">
      <c r="C67" s="12">
        <f t="shared" ca="1" si="28"/>
        <v>1</v>
      </c>
      <c r="D67" s="22">
        <f t="shared" si="29"/>
        <v>46255</v>
      </c>
      <c r="E67" s="26">
        <f t="shared" si="30"/>
        <v>0</v>
      </c>
      <c r="F67" s="26">
        <f t="shared" si="31"/>
        <v>0</v>
      </c>
      <c r="G67" s="26">
        <f t="shared" si="32"/>
        <v>0</v>
      </c>
      <c r="H67" s="26">
        <f t="shared" si="33"/>
        <v>1</v>
      </c>
      <c r="I67" s="26">
        <f t="shared" si="34"/>
        <v>1</v>
      </c>
      <c r="J67" s="26">
        <f t="shared" si="35"/>
        <v>0</v>
      </c>
      <c r="M67" s="21">
        <f t="shared" si="37"/>
        <v>46255</v>
      </c>
      <c r="N67" s="10" t="s">
        <v>24</v>
      </c>
      <c r="O67" s="25">
        <v>13</v>
      </c>
      <c r="P67" s="25">
        <v>13</v>
      </c>
      <c r="Q67" s="25">
        <v>13</v>
      </c>
      <c r="R67" s="25">
        <v>0</v>
      </c>
      <c r="S67" s="25">
        <v>0</v>
      </c>
      <c r="T67" s="25">
        <v>13</v>
      </c>
      <c r="V67" s="182"/>
      <c r="AG67" s="182"/>
      <c r="AH67" s="182"/>
    </row>
    <row r="68" spans="3:34">
      <c r="C68" s="12">
        <f t="shared" ca="1" si="28"/>
        <v>1</v>
      </c>
      <c r="D68" s="22">
        <f t="shared" si="29"/>
        <v>46262</v>
      </c>
      <c r="E68" s="26">
        <f t="shared" si="30"/>
        <v>0</v>
      </c>
      <c r="F68" s="26">
        <f t="shared" si="31"/>
        <v>0</v>
      </c>
      <c r="G68" s="26">
        <f t="shared" si="32"/>
        <v>1</v>
      </c>
      <c r="H68" s="26">
        <f t="shared" si="33"/>
        <v>1</v>
      </c>
      <c r="I68" s="26">
        <f t="shared" si="34"/>
        <v>1</v>
      </c>
      <c r="J68" s="26">
        <f t="shared" si="35"/>
        <v>1</v>
      </c>
      <c r="M68" s="21">
        <f t="shared" si="37"/>
        <v>46262</v>
      </c>
      <c r="N68" s="10" t="s">
        <v>24</v>
      </c>
      <c r="O68" s="25">
        <v>13</v>
      </c>
      <c r="P68" s="25">
        <v>13</v>
      </c>
      <c r="Q68" s="25">
        <v>0</v>
      </c>
      <c r="R68" s="25">
        <v>0</v>
      </c>
      <c r="S68" s="25">
        <v>0</v>
      </c>
      <c r="T68" s="25">
        <v>0</v>
      </c>
      <c r="V68" s="182"/>
      <c r="AG68" s="182"/>
      <c r="AH68" s="182"/>
    </row>
    <row r="69" spans="3:34">
      <c r="C69" s="12">
        <f t="shared" ca="1" si="28"/>
        <v>1</v>
      </c>
      <c r="D69" s="22">
        <f t="shared" si="29"/>
        <v>46269</v>
      </c>
      <c r="E69" s="26">
        <f t="shared" si="30"/>
        <v>1</v>
      </c>
      <c r="F69" s="26">
        <f t="shared" si="31"/>
        <v>0</v>
      </c>
      <c r="G69" s="26">
        <f t="shared" si="32"/>
        <v>0</v>
      </c>
      <c r="H69" s="26">
        <f t="shared" si="33"/>
        <v>1</v>
      </c>
      <c r="I69" s="26">
        <f t="shared" si="34"/>
        <v>0</v>
      </c>
      <c r="J69" s="26">
        <f t="shared" si="35"/>
        <v>1</v>
      </c>
      <c r="M69" s="21">
        <f t="shared" si="37"/>
        <v>46269</v>
      </c>
      <c r="N69" s="10" t="s">
        <v>24</v>
      </c>
      <c r="O69" s="25">
        <v>0</v>
      </c>
      <c r="P69" s="25">
        <v>13</v>
      </c>
      <c r="Q69" s="25">
        <v>13</v>
      </c>
      <c r="R69" s="25">
        <v>0</v>
      </c>
      <c r="S69" s="25">
        <v>13</v>
      </c>
      <c r="T69" s="25">
        <v>0</v>
      </c>
      <c r="V69" s="182"/>
      <c r="AG69" s="182"/>
      <c r="AH69" s="182"/>
    </row>
    <row r="70" spans="3:34">
      <c r="C70" s="12">
        <f t="shared" ca="1" si="28"/>
        <v>1</v>
      </c>
      <c r="D70" s="22">
        <f t="shared" si="29"/>
        <v>46276</v>
      </c>
      <c r="E70" s="26">
        <f t="shared" si="30"/>
        <v>0</v>
      </c>
      <c r="F70" s="26">
        <f t="shared" si="31"/>
        <v>0</v>
      </c>
      <c r="G70" s="26">
        <f t="shared" si="32"/>
        <v>0</v>
      </c>
      <c r="H70" s="26">
        <f t="shared" si="33"/>
        <v>1</v>
      </c>
      <c r="I70" s="26">
        <f t="shared" si="34"/>
        <v>1</v>
      </c>
      <c r="J70" s="26">
        <f t="shared" si="35"/>
        <v>1</v>
      </c>
      <c r="M70" s="21">
        <f t="shared" si="37"/>
        <v>46276</v>
      </c>
      <c r="N70" s="10" t="s">
        <v>24</v>
      </c>
      <c r="O70" s="25">
        <v>13</v>
      </c>
      <c r="P70" s="25">
        <v>13</v>
      </c>
      <c r="Q70" s="25">
        <v>13</v>
      </c>
      <c r="R70" s="25">
        <v>0</v>
      </c>
      <c r="S70" s="25">
        <v>0</v>
      </c>
      <c r="T70" s="25">
        <v>0</v>
      </c>
      <c r="V70" s="182"/>
      <c r="AG70" s="182"/>
      <c r="AH70" s="182"/>
    </row>
    <row r="71" spans="3:34">
      <c r="C71" s="12">
        <f t="shared" ca="1" si="28"/>
        <v>1</v>
      </c>
      <c r="D71" s="22">
        <f t="shared" si="29"/>
        <v>46283</v>
      </c>
      <c r="E71" s="26">
        <f t="shared" si="30"/>
        <v>0</v>
      </c>
      <c r="F71" s="26">
        <f t="shared" si="31"/>
        <v>0</v>
      </c>
      <c r="G71" s="26">
        <f t="shared" si="32"/>
        <v>0</v>
      </c>
      <c r="H71" s="26">
        <f t="shared" si="33"/>
        <v>1</v>
      </c>
      <c r="I71" s="26">
        <f t="shared" si="34"/>
        <v>0</v>
      </c>
      <c r="J71" s="26">
        <f t="shared" si="35"/>
        <v>0</v>
      </c>
      <c r="M71" s="21">
        <f t="shared" si="37"/>
        <v>46283</v>
      </c>
      <c r="N71" s="10" t="s">
        <v>24</v>
      </c>
      <c r="O71" s="25">
        <v>13</v>
      </c>
      <c r="P71" s="25">
        <v>13</v>
      </c>
      <c r="Q71" s="25">
        <v>13</v>
      </c>
      <c r="R71" s="25">
        <v>0</v>
      </c>
      <c r="S71" s="25">
        <v>13</v>
      </c>
      <c r="T71" s="25">
        <v>13</v>
      </c>
      <c r="AG71" s="182"/>
      <c r="AH71" s="182"/>
    </row>
    <row r="72" spans="3:34">
      <c r="C72" s="12" t="str">
        <f t="shared" ca="1" si="28"/>
        <v/>
      </c>
      <c r="D72" s="22" t="str">
        <f t="shared" si="29"/>
        <v/>
      </c>
      <c r="E72" s="26" t="str">
        <f t="shared" si="30"/>
        <v/>
      </c>
      <c r="F72" s="26" t="str">
        <f t="shared" si="31"/>
        <v/>
      </c>
      <c r="G72" s="26" t="str">
        <f t="shared" si="32"/>
        <v/>
      </c>
      <c r="H72" s="26" t="str">
        <f t="shared" si="33"/>
        <v/>
      </c>
      <c r="I72" s="26" t="str">
        <f t="shared" si="34"/>
        <v/>
      </c>
      <c r="J72" s="26" t="str">
        <f t="shared" si="35"/>
        <v/>
      </c>
      <c r="M72" s="21"/>
      <c r="N72" s="10"/>
      <c r="O72" s="25"/>
      <c r="P72" s="25"/>
      <c r="Q72" s="25"/>
      <c r="R72" s="25"/>
      <c r="S72" s="25"/>
      <c r="T72" s="25"/>
      <c r="AG72" s="182"/>
      <c r="AH72" s="182"/>
    </row>
    <row r="73" spans="3:34">
      <c r="C73" s="12" t="str">
        <f t="shared" ca="1" si="28"/>
        <v/>
      </c>
      <c r="D73" s="22" t="str">
        <f t="shared" si="29"/>
        <v/>
      </c>
      <c r="E73" s="26" t="str">
        <f t="shared" si="30"/>
        <v/>
      </c>
      <c r="F73" s="26" t="str">
        <f t="shared" si="31"/>
        <v/>
      </c>
      <c r="G73" s="26" t="str">
        <f t="shared" si="32"/>
        <v/>
      </c>
      <c r="H73" s="26" t="str">
        <f t="shared" si="33"/>
        <v/>
      </c>
      <c r="I73" s="26" t="str">
        <f t="shared" si="34"/>
        <v/>
      </c>
      <c r="J73" s="26" t="str">
        <f t="shared" si="35"/>
        <v/>
      </c>
      <c r="M73" s="21"/>
      <c r="N73" s="10"/>
      <c r="O73" s="25"/>
      <c r="P73" s="25"/>
      <c r="Q73" s="25"/>
      <c r="R73" s="25"/>
      <c r="S73" s="25"/>
      <c r="T73" s="25"/>
      <c r="AG73" s="182"/>
      <c r="AH73" s="182"/>
    </row>
    <row r="74" spans="3:34">
      <c r="C74" s="12" t="str">
        <f t="shared" ca="1" si="28"/>
        <v/>
      </c>
      <c r="D74" s="22" t="str">
        <f t="shared" si="29"/>
        <v/>
      </c>
      <c r="E74" s="26" t="str">
        <f t="shared" si="30"/>
        <v/>
      </c>
      <c r="F74" s="26" t="str">
        <f t="shared" si="31"/>
        <v/>
      </c>
      <c r="G74" s="26" t="str">
        <f t="shared" si="32"/>
        <v/>
      </c>
      <c r="H74" s="26" t="str">
        <f t="shared" si="33"/>
        <v/>
      </c>
      <c r="I74" s="26" t="str">
        <f t="shared" si="34"/>
        <v/>
      </c>
      <c r="J74" s="26" t="str">
        <f t="shared" si="35"/>
        <v/>
      </c>
      <c r="M74" s="21"/>
      <c r="N74" s="10"/>
      <c r="O74" s="25"/>
      <c r="P74" s="25"/>
      <c r="Q74" s="25"/>
      <c r="R74" s="25"/>
      <c r="S74" s="25"/>
      <c r="T74" s="25"/>
      <c r="AG74" s="182"/>
      <c r="AH74" s="182"/>
    </row>
    <row r="75" spans="3:34">
      <c r="C75" s="12" t="str">
        <f t="shared" ca="1" si="28"/>
        <v/>
      </c>
      <c r="D75" s="22" t="str">
        <f t="shared" si="29"/>
        <v/>
      </c>
      <c r="E75" s="26" t="str">
        <f t="shared" si="30"/>
        <v/>
      </c>
      <c r="F75" s="26" t="str">
        <f t="shared" si="31"/>
        <v/>
      </c>
      <c r="G75" s="26" t="str">
        <f t="shared" si="32"/>
        <v/>
      </c>
      <c r="H75" s="26" t="str">
        <f t="shared" si="33"/>
        <v/>
      </c>
      <c r="I75" s="26" t="str">
        <f t="shared" si="34"/>
        <v/>
      </c>
      <c r="J75" s="26" t="str">
        <f t="shared" si="35"/>
        <v/>
      </c>
      <c r="M75" s="21"/>
      <c r="N75" s="10"/>
      <c r="O75" s="25"/>
      <c r="P75" s="25"/>
      <c r="Q75" s="25"/>
      <c r="R75" s="25"/>
      <c r="S75" s="25"/>
      <c r="T75" s="25"/>
      <c r="AG75" s="182"/>
      <c r="AH75" s="182"/>
    </row>
    <row r="76" spans="3:34">
      <c r="C76" s="12" t="str">
        <f t="shared" ca="1" si="28"/>
        <v/>
      </c>
      <c r="D76" s="22" t="str">
        <f t="shared" si="29"/>
        <v/>
      </c>
      <c r="E76" s="26" t="str">
        <f t="shared" si="30"/>
        <v/>
      </c>
      <c r="F76" s="26" t="str">
        <f t="shared" si="31"/>
        <v/>
      </c>
      <c r="G76" s="26" t="str">
        <f t="shared" si="32"/>
        <v/>
      </c>
      <c r="H76" s="26" t="str">
        <f t="shared" si="33"/>
        <v/>
      </c>
      <c r="I76" s="26" t="str">
        <f t="shared" si="34"/>
        <v/>
      </c>
      <c r="J76" s="26" t="str">
        <f t="shared" si="35"/>
        <v/>
      </c>
      <c r="M76" s="21"/>
      <c r="N76" s="10"/>
      <c r="O76" s="25"/>
      <c r="P76" s="25"/>
      <c r="Q76" s="25"/>
      <c r="R76" s="25"/>
      <c r="S76" s="25"/>
      <c r="T76" s="25"/>
      <c r="AG76" s="182"/>
      <c r="AH76" s="182"/>
    </row>
    <row r="77" spans="3:34">
      <c r="C77" s="12" t="str">
        <f t="shared" ca="1" si="28"/>
        <v/>
      </c>
      <c r="D77" s="22" t="str">
        <f t="shared" si="29"/>
        <v/>
      </c>
      <c r="E77" s="26" t="str">
        <f t="shared" si="30"/>
        <v/>
      </c>
      <c r="F77" s="26" t="str">
        <f t="shared" si="31"/>
        <v/>
      </c>
      <c r="G77" s="26" t="str">
        <f t="shared" si="32"/>
        <v/>
      </c>
      <c r="H77" s="26" t="str">
        <f t="shared" si="33"/>
        <v/>
      </c>
      <c r="I77" s="26" t="str">
        <f t="shared" si="34"/>
        <v/>
      </c>
      <c r="J77" s="26" t="str">
        <f t="shared" si="35"/>
        <v/>
      </c>
      <c r="M77" s="21"/>
      <c r="N77" s="10"/>
      <c r="O77" s="25"/>
      <c r="P77" s="25"/>
      <c r="Q77" s="25"/>
      <c r="R77" s="25"/>
      <c r="S77" s="25"/>
      <c r="T77" s="25"/>
      <c r="AG77" s="182"/>
      <c r="AH77" s="182"/>
    </row>
    <row r="78" spans="3:34">
      <c r="C78" s="12" t="str">
        <f t="shared" ca="1" si="28"/>
        <v/>
      </c>
      <c r="D78" s="22" t="str">
        <f t="shared" si="29"/>
        <v/>
      </c>
      <c r="E78" s="26" t="str">
        <f t="shared" si="30"/>
        <v/>
      </c>
      <c r="F78" s="26" t="str">
        <f t="shared" si="31"/>
        <v/>
      </c>
      <c r="G78" s="26" t="str">
        <f t="shared" si="32"/>
        <v/>
      </c>
      <c r="H78" s="26" t="str">
        <f t="shared" si="33"/>
        <v/>
      </c>
      <c r="I78" s="26" t="str">
        <f t="shared" si="34"/>
        <v/>
      </c>
      <c r="J78" s="26" t="str">
        <f t="shared" si="35"/>
        <v/>
      </c>
      <c r="M78" s="21"/>
      <c r="N78" s="10"/>
      <c r="O78" s="25"/>
      <c r="P78" s="25"/>
      <c r="Q78" s="25"/>
      <c r="R78" s="25"/>
      <c r="S78" s="25"/>
      <c r="T78" s="25"/>
      <c r="AG78" s="182"/>
      <c r="AH78" s="182"/>
    </row>
    <row r="79" spans="3:34">
      <c r="C79" s="12" t="str">
        <f t="shared" ca="1" si="28"/>
        <v/>
      </c>
      <c r="D79" s="22" t="str">
        <f t="shared" si="29"/>
        <v/>
      </c>
      <c r="E79" s="26" t="str">
        <f t="shared" si="30"/>
        <v/>
      </c>
      <c r="F79" s="26" t="str">
        <f t="shared" si="31"/>
        <v/>
      </c>
      <c r="G79" s="26" t="str">
        <f t="shared" si="32"/>
        <v/>
      </c>
      <c r="H79" s="26" t="str">
        <f t="shared" si="33"/>
        <v/>
      </c>
      <c r="I79" s="26" t="str">
        <f t="shared" si="34"/>
        <v/>
      </c>
      <c r="J79" s="26" t="str">
        <f t="shared" si="35"/>
        <v/>
      </c>
      <c r="M79" s="21"/>
      <c r="N79" s="10"/>
      <c r="O79" s="25"/>
      <c r="P79" s="25"/>
      <c r="Q79" s="25"/>
      <c r="R79" s="25"/>
      <c r="S79" s="25"/>
      <c r="T79" s="25"/>
      <c r="W79" s="190"/>
      <c r="AG79" s="182"/>
      <c r="AH79" s="182"/>
    </row>
    <row r="80" spans="3:34">
      <c r="C80" s="12" t="str">
        <f t="shared" ca="1" si="28"/>
        <v/>
      </c>
      <c r="D80" s="22" t="str">
        <f t="shared" si="29"/>
        <v/>
      </c>
      <c r="E80" s="26" t="str">
        <f t="shared" si="30"/>
        <v/>
      </c>
      <c r="F80" s="26" t="str">
        <f t="shared" si="31"/>
        <v/>
      </c>
      <c r="G80" s="26" t="str">
        <f t="shared" si="32"/>
        <v/>
      </c>
      <c r="H80" s="26" t="str">
        <f t="shared" si="33"/>
        <v/>
      </c>
      <c r="I80" s="26" t="str">
        <f t="shared" si="34"/>
        <v/>
      </c>
      <c r="J80" s="26" t="str">
        <f t="shared" si="35"/>
        <v/>
      </c>
      <c r="M80" s="21"/>
      <c r="N80" s="10"/>
      <c r="O80" s="25"/>
      <c r="P80" s="25"/>
      <c r="Q80" s="25"/>
      <c r="R80" s="25"/>
      <c r="S80" s="25"/>
      <c r="T80" s="25"/>
      <c r="AG80" s="182"/>
      <c r="AH80" s="182"/>
    </row>
    <row r="81" spans="3:20">
      <c r="C81" s="12" t="str">
        <f t="shared" ca="1" si="28"/>
        <v/>
      </c>
      <c r="D81" s="22" t="str">
        <f t="shared" si="29"/>
        <v/>
      </c>
      <c r="E81" s="26" t="str">
        <f t="shared" si="30"/>
        <v/>
      </c>
      <c r="F81" s="26" t="str">
        <f t="shared" si="31"/>
        <v/>
      </c>
      <c r="G81" s="26" t="str">
        <f t="shared" si="32"/>
        <v/>
      </c>
      <c r="H81" s="26" t="str">
        <f t="shared" si="33"/>
        <v/>
      </c>
      <c r="I81" s="26" t="str">
        <f t="shared" si="34"/>
        <v/>
      </c>
      <c r="J81" s="26" t="str">
        <f t="shared" si="35"/>
        <v/>
      </c>
      <c r="M81" s="21"/>
      <c r="N81" s="10"/>
      <c r="O81" s="25"/>
      <c r="P81" s="25"/>
      <c r="Q81" s="25"/>
      <c r="R81" s="25"/>
      <c r="S81" s="25"/>
      <c r="T81" s="25"/>
    </row>
    <row r="82" spans="3:20">
      <c r="C82" s="12" t="str">
        <f t="shared" ca="1" si="28"/>
        <v/>
      </c>
      <c r="D82" s="22" t="str">
        <f t="shared" si="29"/>
        <v/>
      </c>
      <c r="E82" s="26" t="str">
        <f t="shared" si="30"/>
        <v/>
      </c>
      <c r="F82" s="26" t="str">
        <f t="shared" si="31"/>
        <v/>
      </c>
      <c r="G82" s="26" t="str">
        <f t="shared" si="32"/>
        <v/>
      </c>
      <c r="H82" s="26" t="str">
        <f t="shared" si="33"/>
        <v/>
      </c>
      <c r="I82" s="26" t="str">
        <f t="shared" si="34"/>
        <v/>
      </c>
      <c r="J82" s="26" t="str">
        <f t="shared" si="35"/>
        <v/>
      </c>
      <c r="M82" s="21"/>
      <c r="N82" s="10"/>
      <c r="O82" s="25"/>
      <c r="P82" s="25"/>
      <c r="Q82" s="25"/>
      <c r="R82" s="25"/>
      <c r="S82" s="25"/>
      <c r="T82" s="25"/>
    </row>
    <row r="83" spans="3:20">
      <c r="C83" s="12" t="str">
        <f t="shared" ca="1" si="28"/>
        <v/>
      </c>
      <c r="D83" s="22" t="str">
        <f t="shared" si="29"/>
        <v/>
      </c>
      <c r="E83" s="26" t="str">
        <f t="shared" si="30"/>
        <v/>
      </c>
      <c r="F83" s="26" t="str">
        <f t="shared" si="31"/>
        <v/>
      </c>
      <c r="G83" s="26" t="str">
        <f t="shared" si="32"/>
        <v/>
      </c>
      <c r="H83" s="26" t="str">
        <f t="shared" si="33"/>
        <v/>
      </c>
      <c r="I83" s="26" t="str">
        <f t="shared" si="34"/>
        <v/>
      </c>
      <c r="J83" s="26" t="str">
        <f t="shared" si="35"/>
        <v/>
      </c>
      <c r="M83" s="21"/>
      <c r="N83" s="10"/>
      <c r="O83" s="25"/>
      <c r="P83" s="25"/>
      <c r="Q83" s="25"/>
      <c r="R83" s="25"/>
      <c r="S83" s="25"/>
      <c r="T83" s="25"/>
    </row>
    <row r="84" spans="3:20">
      <c r="C84" s="12" t="str">
        <f t="shared" ca="1" si="28"/>
        <v/>
      </c>
      <c r="D84" s="22" t="str">
        <f t="shared" si="29"/>
        <v/>
      </c>
      <c r="E84" s="26" t="str">
        <f t="shared" si="30"/>
        <v/>
      </c>
      <c r="F84" s="26" t="str">
        <f t="shared" si="31"/>
        <v/>
      </c>
      <c r="G84" s="26" t="str">
        <f t="shared" si="32"/>
        <v/>
      </c>
      <c r="H84" s="26" t="str">
        <f t="shared" si="33"/>
        <v/>
      </c>
      <c r="I84" s="26" t="str">
        <f t="shared" si="34"/>
        <v/>
      </c>
      <c r="J84" s="26" t="str">
        <f t="shared" si="35"/>
        <v/>
      </c>
      <c r="M84" s="21"/>
      <c r="N84" s="10"/>
      <c r="O84" s="25"/>
      <c r="P84" s="25"/>
      <c r="Q84" s="25"/>
      <c r="R84" s="25"/>
      <c r="S84" s="25"/>
      <c r="T84" s="25"/>
    </row>
    <row r="85" spans="3:20">
      <c r="C85" s="12" t="str">
        <f t="shared" ca="1" si="28"/>
        <v/>
      </c>
      <c r="D85" s="22" t="str">
        <f t="shared" si="29"/>
        <v/>
      </c>
      <c r="E85" s="26" t="str">
        <f t="shared" si="30"/>
        <v/>
      </c>
      <c r="F85" s="26" t="str">
        <f t="shared" si="31"/>
        <v/>
      </c>
      <c r="G85" s="26" t="str">
        <f t="shared" si="32"/>
        <v/>
      </c>
      <c r="H85" s="26" t="str">
        <f t="shared" si="33"/>
        <v/>
      </c>
      <c r="I85" s="26" t="str">
        <f t="shared" si="34"/>
        <v/>
      </c>
      <c r="J85" s="26" t="str">
        <f t="shared" si="35"/>
        <v/>
      </c>
      <c r="M85" s="21"/>
      <c r="N85" s="10"/>
      <c r="O85" s="25"/>
      <c r="P85" s="25"/>
      <c r="Q85" s="25"/>
      <c r="R85" s="25"/>
      <c r="S85" s="25"/>
      <c r="T85" s="25"/>
    </row>
    <row r="86" spans="3:20">
      <c r="C86" s="12" t="str">
        <f t="shared" ca="1" si="28"/>
        <v/>
      </c>
      <c r="D86" s="22" t="str">
        <f t="shared" si="29"/>
        <v/>
      </c>
      <c r="E86" s="26" t="str">
        <f t="shared" si="30"/>
        <v/>
      </c>
      <c r="F86" s="26" t="str">
        <f t="shared" si="31"/>
        <v/>
      </c>
      <c r="G86" s="26" t="str">
        <f t="shared" si="32"/>
        <v/>
      </c>
      <c r="H86" s="26" t="str">
        <f t="shared" si="33"/>
        <v/>
      </c>
      <c r="I86" s="26" t="str">
        <f t="shared" si="34"/>
        <v/>
      </c>
      <c r="J86" s="26" t="str">
        <f t="shared" si="35"/>
        <v/>
      </c>
      <c r="M86" s="21"/>
      <c r="N86" s="10"/>
      <c r="O86" s="25"/>
      <c r="P86" s="25"/>
      <c r="Q86" s="25"/>
      <c r="R86" s="25"/>
      <c r="S86" s="25"/>
      <c r="T86" s="25"/>
    </row>
    <row r="87" spans="3:20">
      <c r="C87" s="12" t="str">
        <f t="shared" ca="1" si="28"/>
        <v/>
      </c>
      <c r="D87" s="22" t="str">
        <f t="shared" si="29"/>
        <v/>
      </c>
      <c r="E87" s="26" t="str">
        <f t="shared" si="30"/>
        <v/>
      </c>
      <c r="F87" s="26" t="str">
        <f t="shared" si="31"/>
        <v/>
      </c>
      <c r="G87" s="26" t="str">
        <f t="shared" si="32"/>
        <v/>
      </c>
      <c r="H87" s="26" t="str">
        <f t="shared" si="33"/>
        <v/>
      </c>
      <c r="I87" s="26" t="str">
        <f t="shared" si="34"/>
        <v/>
      </c>
      <c r="J87" s="26" t="str">
        <f t="shared" si="35"/>
        <v/>
      </c>
      <c r="M87" s="21"/>
      <c r="N87" s="10"/>
      <c r="O87" s="25"/>
      <c r="P87" s="25"/>
      <c r="Q87" s="25"/>
      <c r="R87" s="25"/>
      <c r="S87" s="25"/>
      <c r="T87" s="25"/>
    </row>
    <row r="88" spans="3:20">
      <c r="C88" s="12" t="str">
        <f t="shared" ca="1" si="28"/>
        <v/>
      </c>
      <c r="D88" s="22" t="str">
        <f t="shared" si="29"/>
        <v/>
      </c>
      <c r="E88" s="26" t="str">
        <f t="shared" si="30"/>
        <v/>
      </c>
      <c r="F88" s="26" t="str">
        <f t="shared" si="31"/>
        <v/>
      </c>
      <c r="G88" s="26" t="str">
        <f t="shared" si="32"/>
        <v/>
      </c>
      <c r="H88" s="26" t="str">
        <f t="shared" si="33"/>
        <v/>
      </c>
      <c r="I88" s="26" t="str">
        <f t="shared" si="34"/>
        <v/>
      </c>
      <c r="J88" s="26" t="str">
        <f t="shared" si="35"/>
        <v/>
      </c>
      <c r="M88" s="21"/>
      <c r="N88" s="10"/>
      <c r="O88" s="25"/>
      <c r="P88" s="25"/>
      <c r="Q88" s="25"/>
      <c r="R88" s="25"/>
      <c r="S88" s="25"/>
      <c r="T88" s="25"/>
    </row>
    <row r="89" spans="3:20">
      <c r="C89" s="12" t="str">
        <f t="shared" ca="1" si="28"/>
        <v/>
      </c>
      <c r="D89" s="22" t="str">
        <f t="shared" si="29"/>
        <v/>
      </c>
      <c r="E89" s="26" t="str">
        <f t="shared" si="30"/>
        <v/>
      </c>
      <c r="F89" s="26" t="str">
        <f t="shared" si="31"/>
        <v/>
      </c>
      <c r="G89" s="26" t="str">
        <f t="shared" si="32"/>
        <v/>
      </c>
      <c r="H89" s="26" t="str">
        <f t="shared" si="33"/>
        <v/>
      </c>
      <c r="I89" s="26" t="str">
        <f t="shared" si="34"/>
        <v/>
      </c>
      <c r="J89" s="26" t="str">
        <f t="shared" si="35"/>
        <v/>
      </c>
      <c r="M89" s="21"/>
      <c r="N89" s="10"/>
      <c r="O89" s="25"/>
      <c r="P89" s="25"/>
      <c r="Q89" s="25"/>
      <c r="R89" s="25"/>
      <c r="S89" s="25"/>
      <c r="T89" s="25"/>
    </row>
    <row r="90" spans="3:20">
      <c r="C90" s="12" t="str">
        <f t="shared" ca="1" si="28"/>
        <v/>
      </c>
      <c r="D90" s="22" t="str">
        <f t="shared" si="29"/>
        <v/>
      </c>
      <c r="E90" s="26" t="str">
        <f t="shared" si="30"/>
        <v/>
      </c>
      <c r="F90" s="26" t="str">
        <f t="shared" si="31"/>
        <v/>
      </c>
      <c r="G90" s="26" t="str">
        <f t="shared" si="32"/>
        <v/>
      </c>
      <c r="H90" s="26" t="str">
        <f t="shared" si="33"/>
        <v/>
      </c>
      <c r="I90" s="26" t="str">
        <f t="shared" si="34"/>
        <v/>
      </c>
      <c r="J90" s="26" t="str">
        <f t="shared" si="35"/>
        <v/>
      </c>
      <c r="M90" s="21"/>
      <c r="N90" s="10"/>
      <c r="O90" s="25"/>
      <c r="P90" s="25"/>
      <c r="Q90" s="25"/>
      <c r="R90" s="25"/>
      <c r="S90" s="25"/>
      <c r="T90" s="25"/>
    </row>
    <row r="91" spans="3:20">
      <c r="C91" s="12" t="str">
        <f t="shared" ca="1" si="28"/>
        <v/>
      </c>
      <c r="D91" s="22" t="str">
        <f t="shared" si="29"/>
        <v/>
      </c>
      <c r="E91" s="26" t="str">
        <f t="shared" si="30"/>
        <v/>
      </c>
      <c r="F91" s="26" t="str">
        <f t="shared" si="31"/>
        <v/>
      </c>
      <c r="G91" s="26" t="str">
        <f t="shared" si="32"/>
        <v/>
      </c>
      <c r="H91" s="26" t="str">
        <f t="shared" si="33"/>
        <v/>
      </c>
      <c r="I91" s="26" t="str">
        <f t="shared" si="34"/>
        <v/>
      </c>
      <c r="J91" s="26" t="str">
        <f t="shared" si="35"/>
        <v/>
      </c>
      <c r="M91" s="21"/>
      <c r="N91" s="10"/>
      <c r="O91" s="25"/>
      <c r="P91" s="25"/>
      <c r="Q91" s="25"/>
      <c r="R91" s="25"/>
      <c r="S91" s="25"/>
      <c r="T91" s="25"/>
    </row>
  </sheetData>
  <mergeCells count="50">
    <mergeCell ref="Q11:R11"/>
    <mergeCell ref="C51:J51"/>
    <mergeCell ref="C38:J38"/>
    <mergeCell ref="V17:V18"/>
    <mergeCell ref="C35:J35"/>
    <mergeCell ref="Q12:R12"/>
    <mergeCell ref="S12:T12"/>
    <mergeCell ref="V12:W12"/>
    <mergeCell ref="C32:J32"/>
    <mergeCell ref="C25:J25"/>
    <mergeCell ref="Q14:R14"/>
    <mergeCell ref="C27:J27"/>
    <mergeCell ref="Q16:R16"/>
    <mergeCell ref="C30:J30"/>
    <mergeCell ref="C49:J49"/>
    <mergeCell ref="S11:T11"/>
    <mergeCell ref="Q10:R10"/>
    <mergeCell ref="S10:T10"/>
    <mergeCell ref="V10:W10"/>
    <mergeCell ref="X10:Y10"/>
    <mergeCell ref="Z10:AA10"/>
    <mergeCell ref="X12:Y12"/>
    <mergeCell ref="Z12:AA12"/>
    <mergeCell ref="Q13:R13"/>
    <mergeCell ref="S13:T13"/>
    <mergeCell ref="V13:W13"/>
    <mergeCell ref="X13:Y14"/>
    <mergeCell ref="Z13:AA13"/>
    <mergeCell ref="S14:T14"/>
    <mergeCell ref="V11:W11"/>
    <mergeCell ref="X11:Y11"/>
    <mergeCell ref="Z11:AA11"/>
    <mergeCell ref="X9:Y9"/>
    <mergeCell ref="Z9:AA9"/>
    <mergeCell ref="S9:T9"/>
    <mergeCell ref="V9:W9"/>
    <mergeCell ref="Q9:R9"/>
    <mergeCell ref="Q8:R8"/>
    <mergeCell ref="S8:T8"/>
    <mergeCell ref="V8:W8"/>
    <mergeCell ref="X8:Y8"/>
    <mergeCell ref="Z8:AA8"/>
    <mergeCell ref="C2:AA2"/>
    <mergeCell ref="O5:S5"/>
    <mergeCell ref="T5:U5"/>
    <mergeCell ref="V5:W7"/>
    <mergeCell ref="X5:Y7"/>
    <mergeCell ref="Z5:AA7"/>
    <mergeCell ref="Q7:R7"/>
    <mergeCell ref="S7:T7"/>
  </mergeCells>
  <conditionalFormatting sqref="E26:J26 E28:J29 E31:J31 E33:J34 E36:J37 E39:J48 E50:J50 E52:J91">
    <cfRule type="cellIs" dxfId="188" priority="7" operator="equal">
      <formula>0</formula>
    </cfRule>
    <cfRule type="cellIs" dxfId="187" priority="8" operator="equal">
      <formula>1</formula>
    </cfRule>
  </conditionalFormatting>
  <conditionalFormatting sqref="U24:U38 O24:T91">
    <cfRule type="cellIs" dxfId="186" priority="3" operator="equal">
      <formula>0</formula>
    </cfRule>
    <cfRule type="cellIs" dxfId="185" priority="4" operator="greaterThan">
      <formula>0</formula>
    </cfRule>
  </conditionalFormatting>
  <conditionalFormatting sqref="AE25:AE30">
    <cfRule type="cellIs" dxfId="184" priority="5" operator="lessThan">
      <formula>0</formula>
    </cfRule>
    <cfRule type="cellIs" dxfId="183"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D12" sqref="D12"/>
    </sheetView>
  </sheetViews>
  <sheetFormatPr defaultColWidth="9.15234375" defaultRowHeight="10.75"/>
  <cols>
    <col min="1" max="1" width="8.15234375" style="102" customWidth="1"/>
    <col min="2" max="2" width="12.3828125" style="102" customWidth="1"/>
    <col min="3" max="3" width="6.3828125" style="102" customWidth="1"/>
    <col min="4" max="4" width="17.15234375" style="102" customWidth="1"/>
    <col min="5" max="5" width="8.53515625" style="102" customWidth="1"/>
    <col min="6" max="13" width="7.69140625" style="102" customWidth="1"/>
    <col min="14"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131</v>
      </c>
      <c r="G1" s="92" t="s">
        <v>130</v>
      </c>
      <c r="H1" s="92" t="s">
        <v>129</v>
      </c>
      <c r="I1" s="92" t="s">
        <v>128</v>
      </c>
      <c r="J1" s="92" t="s">
        <v>127</v>
      </c>
      <c r="K1" s="92" t="s">
        <v>290</v>
      </c>
      <c r="L1" s="92" t="s">
        <v>289</v>
      </c>
      <c r="M1" s="92" t="s">
        <v>311</v>
      </c>
      <c r="N1" s="92" t="s">
        <v>352</v>
      </c>
      <c r="O1" s="92" t="s">
        <v>362</v>
      </c>
      <c r="P1" s="92" t="s">
        <v>381</v>
      </c>
      <c r="Q1" s="91" t="s">
        <v>36</v>
      </c>
      <c r="R1" s="91" t="s">
        <v>40</v>
      </c>
      <c r="S1" s="91" t="s">
        <v>140</v>
      </c>
      <c r="T1" s="91" t="s">
        <v>141</v>
      </c>
      <c r="U1" s="91" t="s">
        <v>142</v>
      </c>
      <c r="V1" s="91" t="s">
        <v>143</v>
      </c>
      <c r="W1" s="91" t="s">
        <v>144</v>
      </c>
      <c r="X1" s="91" t="s">
        <v>291</v>
      </c>
      <c r="Y1" s="91" t="s">
        <v>312</v>
      </c>
      <c r="Z1" s="91" t="s">
        <v>353</v>
      </c>
      <c r="AA1" s="91" t="s">
        <v>363</v>
      </c>
      <c r="AB1" s="91" t="s">
        <v>382</v>
      </c>
      <c r="AC1" s="91" t="s">
        <v>97</v>
      </c>
      <c r="AD1" s="91" t="s">
        <v>98</v>
      </c>
      <c r="AE1" s="91" t="s">
        <v>99</v>
      </c>
      <c r="AF1" s="91" t="s">
        <v>100</v>
      </c>
      <c r="AG1" s="91" t="s">
        <v>101</v>
      </c>
      <c r="AH1" s="91" t="s">
        <v>132</v>
      </c>
      <c r="AI1" s="91" t="s">
        <v>292</v>
      </c>
      <c r="AJ1" s="91" t="s">
        <v>313</v>
      </c>
      <c r="AK1" s="91" t="s">
        <v>354</v>
      </c>
      <c r="AL1" s="91" t="s">
        <v>364</v>
      </c>
      <c r="AM1" s="91" t="s">
        <v>383</v>
      </c>
      <c r="AN1" s="91" t="s">
        <v>70</v>
      </c>
      <c r="AO1" s="91" t="s">
        <v>133</v>
      </c>
      <c r="AP1" s="91" t="s">
        <v>134</v>
      </c>
      <c r="AQ1" s="91" t="s">
        <v>135</v>
      </c>
      <c r="AR1" s="91" t="s">
        <v>136</v>
      </c>
      <c r="AS1" s="91" t="s">
        <v>137</v>
      </c>
      <c r="AT1" s="91" t="s">
        <v>139</v>
      </c>
      <c r="AU1" s="91" t="s">
        <v>293</v>
      </c>
      <c r="AV1" s="91" t="s">
        <v>325</v>
      </c>
      <c r="AW1" s="91" t="s">
        <v>355</v>
      </c>
      <c r="AX1" s="91" t="s">
        <v>365</v>
      </c>
      <c r="AY1" s="91" t="s">
        <v>384</v>
      </c>
      <c r="AZ1" s="91" t="s">
        <v>70</v>
      </c>
      <c r="BA1" s="91" t="s">
        <v>117</v>
      </c>
      <c r="BB1" s="91" t="s">
        <v>118</v>
      </c>
      <c r="BC1" s="91" t="s">
        <v>119</v>
      </c>
      <c r="BD1" s="91" t="s">
        <v>120</v>
      </c>
      <c r="BE1" s="91" t="s">
        <v>121</v>
      </c>
      <c r="BF1" s="91" t="s">
        <v>138</v>
      </c>
      <c r="BG1" s="91" t="s">
        <v>326</v>
      </c>
      <c r="BH1" s="91" t="s">
        <v>387</v>
      </c>
      <c r="BI1" s="91" t="s">
        <v>388</v>
      </c>
      <c r="BJ1" s="91" t="s">
        <v>389</v>
      </c>
      <c r="BK1" s="91" t="s">
        <v>390</v>
      </c>
      <c r="BN1" s="93" t="s">
        <v>391</v>
      </c>
      <c r="BO1" s="93" t="s">
        <v>392</v>
      </c>
      <c r="BP1" s="93">
        <v>19</v>
      </c>
      <c r="BQ1" s="93">
        <v>20</v>
      </c>
      <c r="BR1" s="93">
        <v>21</v>
      </c>
      <c r="BS1" s="93">
        <v>22</v>
      </c>
      <c r="BT1" s="93">
        <v>23</v>
      </c>
      <c r="BU1" s="93">
        <v>24</v>
      </c>
      <c r="BV1" s="93">
        <v>25</v>
      </c>
    </row>
    <row r="2" spans="1:74" ht="12.9">
      <c r="A2" s="94">
        <f t="shared" ref="A2:A8" si="0">_xlfn.RANK.EQ(C2,$C$2:$C$7)</f>
        <v>1</v>
      </c>
      <c r="B2" s="95" t="s">
        <v>32</v>
      </c>
      <c r="C2" s="96">
        <f>SUM(R2:AB2)</f>
        <v>414.00079999999991</v>
      </c>
      <c r="D2" s="96" t="s">
        <v>80</v>
      </c>
      <c r="E2" s="97">
        <f t="shared" ref="E2:E7" ca="1" si="1">C2/AN2</f>
        <v>0.79615538461538449</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0.78947631578947364</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0">
        <f>'Stats 2026'!J20</f>
        <v>30.0001</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38</v>
      </c>
      <c r="AN2" s="99">
        <f ca="1">SUM(AC2:AM2)</f>
        <v>520</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127.25</v>
      </c>
      <c r="AZ2" s="142">
        <f>SUM(AO2:AY2)</f>
        <v>1567.5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7.9999000000000002</v>
      </c>
      <c r="BN2" s="218">
        <f>SUM(S2:AB2)</f>
        <v>389.00079999999991</v>
      </c>
      <c r="BO2" s="218">
        <f>SUM(T2:AB2)</f>
        <v>348.00079999999997</v>
      </c>
      <c r="BP2" s="209">
        <f>SUM(U2:AB2)</f>
        <v>297.00079999999997</v>
      </c>
      <c r="BQ2" s="217">
        <f>SUM(V2:AB2)</f>
        <v>261.00069999999999</v>
      </c>
      <c r="BR2" s="217">
        <f>SUM(W2:AB2)</f>
        <v>201.00060000000002</v>
      </c>
      <c r="BS2" s="217">
        <f>SUM(X2:AB2)</f>
        <v>166.00050000000002</v>
      </c>
      <c r="BT2" s="217">
        <f>SUM(Y2:AB2)</f>
        <v>132.00040000000001</v>
      </c>
      <c r="BU2" s="217">
        <f>SUM(Z2:AB2)</f>
        <v>97.00030000000001</v>
      </c>
      <c r="BV2" s="217">
        <f>SUM(AA2:AB2)</f>
        <v>60.0002</v>
      </c>
    </row>
    <row r="3" spans="1:74" ht="12">
      <c r="A3" s="94">
        <f t="shared" si="0"/>
        <v>2</v>
      </c>
      <c r="B3" s="99" t="s">
        <v>3</v>
      </c>
      <c r="C3" s="103">
        <f>SUM(R3:AB3)</f>
        <v>404.00072</v>
      </c>
      <c r="D3" s="103" t="s">
        <v>80</v>
      </c>
      <c r="E3" s="98">
        <f t="shared" ca="1" si="1"/>
        <v>0.76660478178368119</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0.73684447368421058</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28.00009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38</v>
      </c>
      <c r="AN3" s="99">
        <f t="shared" ref="AN3:AN7" ca="1" si="10">SUM(AC3:AM3)</f>
        <v>527</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146.75</v>
      </c>
      <c r="AZ3" s="142">
        <f t="shared" ref="AZ3:AZ7" si="11">SUM(AO3:AY3)</f>
        <v>1676.5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9.9999099999999999</v>
      </c>
      <c r="BN3" s="209">
        <f t="shared" ref="BN3:BN7" si="12">SUM(S3:AB3)</f>
        <v>377.00072</v>
      </c>
      <c r="BO3" s="209">
        <f t="shared" ref="BO3:BO7" si="13">SUM(T3:AB3)</f>
        <v>341.00072</v>
      </c>
      <c r="BP3" s="218">
        <f t="shared" ref="BP3:BP8" si="14">SUM(U3:AB3)</f>
        <v>302.00072</v>
      </c>
      <c r="BQ3" s="219">
        <f t="shared" ref="BQ3:BQ7" si="15">SUM(V3:AB3)</f>
        <v>263.00063</v>
      </c>
      <c r="BR3" s="219">
        <f t="shared" ref="BR3:BR7" si="16">SUM(W3:AB3)</f>
        <v>209.00054</v>
      </c>
      <c r="BS3" s="219">
        <f t="shared" ref="BS3:BS7" si="17">SUM(X3:AB3)</f>
        <v>177.00045</v>
      </c>
      <c r="BT3" s="219">
        <f t="shared" ref="BT3:BT8" si="18">SUM(Y3:AB3)</f>
        <v>139.00036</v>
      </c>
      <c r="BU3" s="219">
        <f t="shared" ref="BU3:BU8" si="19">SUM(Z3:AB3)</f>
        <v>102.00027</v>
      </c>
      <c r="BV3" s="219">
        <f t="shared" ref="BV3:BV7" si="20">SUM(AA3:AB3)</f>
        <v>64.00018</v>
      </c>
    </row>
    <row r="4" spans="1:74" ht="12">
      <c r="A4" s="94">
        <f t="shared" si="0"/>
        <v>3</v>
      </c>
      <c r="B4" s="99" t="s">
        <v>0</v>
      </c>
      <c r="C4" s="103">
        <f t="shared" ref="C4:C7" si="21">SUM(R4:AB4)</f>
        <v>367.00045999999998</v>
      </c>
      <c r="D4" s="103" t="s">
        <v>103</v>
      </c>
      <c r="E4" s="98">
        <f t="shared" ca="1" si="1"/>
        <v>0.69639555977229595</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0.50000052631578951</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19.000019999999999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38</v>
      </c>
      <c r="AN4" s="99">
        <f t="shared" ca="1" si="10"/>
        <v>527</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257.25</v>
      </c>
      <c r="AZ4" s="142">
        <f t="shared" si="11"/>
        <v>2221.25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18.999980000000001</v>
      </c>
      <c r="BN4" s="209">
        <f t="shared" si="12"/>
        <v>339.00045999999998</v>
      </c>
      <c r="BO4" s="209">
        <f t="shared" si="13"/>
        <v>301.00045999999998</v>
      </c>
      <c r="BP4" s="209">
        <f t="shared" si="14"/>
        <v>256.00045999999998</v>
      </c>
      <c r="BQ4" s="217">
        <f t="shared" si="15"/>
        <v>223.00039000000001</v>
      </c>
      <c r="BR4" s="217">
        <f t="shared" si="16"/>
        <v>168.00032000000002</v>
      </c>
      <c r="BS4" s="217">
        <f t="shared" si="17"/>
        <v>137.00025000000002</v>
      </c>
      <c r="BT4" s="217">
        <f t="shared" si="18"/>
        <v>116.00018</v>
      </c>
      <c r="BU4" s="217">
        <f t="shared" si="19"/>
        <v>95.000110000000006</v>
      </c>
      <c r="BV4" s="217">
        <f t="shared" si="20"/>
        <v>55.000039999999998</v>
      </c>
    </row>
    <row r="5" spans="1:74" ht="12">
      <c r="A5" s="94">
        <f t="shared" si="0"/>
        <v>4</v>
      </c>
      <c r="B5" s="99" t="s">
        <v>1</v>
      </c>
      <c r="C5" s="103">
        <f t="shared" si="21"/>
        <v>340.00058000000001</v>
      </c>
      <c r="D5" s="103" t="s">
        <v>80</v>
      </c>
      <c r="E5" s="98">
        <f t="shared" ca="1" si="1"/>
        <v>0.64516239089184069</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0.39473815789473682</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15.00005</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38</v>
      </c>
      <c r="AN5" s="99">
        <f t="shared" ca="1" si="10"/>
        <v>527</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306</v>
      </c>
      <c r="AZ5" s="142">
        <f t="shared" si="11"/>
        <v>2479.0699999999997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22.999949999999998</v>
      </c>
      <c r="BN5" s="209">
        <f t="shared" si="12"/>
        <v>310.00057999999996</v>
      </c>
      <c r="BO5" s="209">
        <f t="shared" si="13"/>
        <v>276.00057999999996</v>
      </c>
      <c r="BP5" s="209">
        <f t="shared" si="14"/>
        <v>232.00057999999996</v>
      </c>
      <c r="BQ5" s="217">
        <f t="shared" si="15"/>
        <v>192.00049999999999</v>
      </c>
      <c r="BR5" s="217">
        <f t="shared" si="16"/>
        <v>139.00041999999999</v>
      </c>
      <c r="BS5" s="217">
        <f t="shared" si="17"/>
        <v>109.00034000000001</v>
      </c>
      <c r="BT5" s="217">
        <f t="shared" si="18"/>
        <v>84.000260000000011</v>
      </c>
      <c r="BU5" s="217">
        <f t="shared" si="19"/>
        <v>58.00018</v>
      </c>
      <c r="BV5" s="217">
        <f t="shared" si="20"/>
        <v>36.000100000000003</v>
      </c>
    </row>
    <row r="6" spans="1:74" ht="12.9">
      <c r="A6" s="94">
        <f t="shared" si="0"/>
        <v>5</v>
      </c>
      <c r="B6" s="99" t="s">
        <v>4</v>
      </c>
      <c r="C6" s="103">
        <f t="shared" si="21"/>
        <v>238.00041999999996</v>
      </c>
      <c r="D6" s="103" t="s">
        <v>83</v>
      </c>
      <c r="E6" s="98">
        <f t="shared" ca="1" si="1"/>
        <v>0.45161370018975328</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98">
        <f t="shared" ca="1" si="9"/>
        <v>0.39473815789473682</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38</v>
      </c>
      <c r="AN6" s="99">
        <f t="shared" ca="1" si="10"/>
        <v>527</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312.5</v>
      </c>
      <c r="AZ6" s="142">
        <f t="shared" si="11"/>
        <v>2408</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22.999949999999998</v>
      </c>
      <c r="BN6" s="209">
        <f t="shared" si="12"/>
        <v>210.00041999999996</v>
      </c>
      <c r="BO6" s="209">
        <f t="shared" si="13"/>
        <v>196.00042000000002</v>
      </c>
      <c r="BP6" s="209">
        <f t="shared" si="14"/>
        <v>194.00042000000002</v>
      </c>
      <c r="BQ6" s="217">
        <f t="shared" si="15"/>
        <v>192.00036</v>
      </c>
      <c r="BR6" s="217">
        <f t="shared" si="16"/>
        <v>166.00029999999998</v>
      </c>
      <c r="BS6" s="217">
        <f t="shared" si="17"/>
        <v>140.00024999999999</v>
      </c>
      <c r="BT6" s="217">
        <f t="shared" si="18"/>
        <v>109.00020000000001</v>
      </c>
      <c r="BU6" s="217">
        <f t="shared" si="19"/>
        <v>77.000150000000005</v>
      </c>
      <c r="BV6" s="217">
        <f t="shared" si="20"/>
        <v>43.000100000000003</v>
      </c>
    </row>
    <row r="7" spans="1:74" ht="12">
      <c r="A7" s="94">
        <f t="shared" si="0"/>
        <v>6</v>
      </c>
      <c r="B7" s="99" t="s">
        <v>2</v>
      </c>
      <c r="C7" s="103">
        <f t="shared" si="21"/>
        <v>222.00045999999995</v>
      </c>
      <c r="D7" s="103" t="s">
        <v>81</v>
      </c>
      <c r="E7" s="104">
        <f t="shared" ca="1" si="1"/>
        <v>0.42125324478178355</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104">
        <f t="shared" ca="1" si="9"/>
        <v>0.55263315789473688</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21.000060000000001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38</v>
      </c>
      <c r="AN7" s="99">
        <f t="shared" ca="1" si="10"/>
        <v>527</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228</v>
      </c>
      <c r="AZ7" s="142">
        <f t="shared" si="11"/>
        <v>3019</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16.999939999999999</v>
      </c>
      <c r="BN7" s="209">
        <f t="shared" si="12"/>
        <v>195.00045999999998</v>
      </c>
      <c r="BO7" s="209">
        <f t="shared" si="13"/>
        <v>159.00046</v>
      </c>
      <c r="BP7" s="209">
        <f t="shared" si="14"/>
        <v>140.00046</v>
      </c>
      <c r="BQ7" s="217">
        <f t="shared" si="15"/>
        <v>130.00041000000002</v>
      </c>
      <c r="BR7" s="217">
        <f t="shared" si="16"/>
        <v>105.00036000000001</v>
      </c>
      <c r="BS7" s="217">
        <f t="shared" si="17"/>
        <v>86.00030000000001</v>
      </c>
      <c r="BT7" s="217">
        <f t="shared" si="18"/>
        <v>79.000240000000005</v>
      </c>
      <c r="BU7" s="217">
        <f t="shared" si="19"/>
        <v>64.00018</v>
      </c>
      <c r="BV7" s="217">
        <f t="shared" si="20"/>
        <v>44.000120000000003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7">
        <f t="shared" si="14"/>
        <v>0</v>
      </c>
      <c r="BT8" s="217">
        <f t="shared" si="18"/>
        <v>0</v>
      </c>
      <c r="BU8" s="217">
        <f t="shared" si="19"/>
        <v>0</v>
      </c>
    </row>
    <row r="9" spans="1:74" ht="12">
      <c r="A9" s="99"/>
      <c r="B9" s="99" t="s">
        <v>70</v>
      </c>
      <c r="C9" s="103">
        <f>SUM(C2:C7)</f>
        <v>1985.0034399999997</v>
      </c>
      <c r="D9" s="99"/>
      <c r="E9" s="98">
        <f ca="1">C9/AN9</f>
        <v>0.62916115372424719</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0.56140513157894734</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128.00037</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228</v>
      </c>
      <c r="AN9" s="99">
        <f t="shared" ca="1" si="25"/>
        <v>3155</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1377.75</v>
      </c>
      <c r="AZ9" s="142">
        <f>SUM(AZ2:AZ7)</f>
        <v>13371.32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2.6315692105263158</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 t="shared" ref="AB10" si="32">_xlfn.STDEV.S(AB2:AB7)</f>
        <v>6.4083518422594405</v>
      </c>
      <c r="AP10" s="42" t="s">
        <v>41</v>
      </c>
      <c r="AR10" s="42" t="s">
        <v>41</v>
      </c>
      <c r="AV10" s="102" t="s">
        <v>356</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8"/>
      <c r="AS12" s="169"/>
      <c r="AT12" s="169"/>
      <c r="AU12" s="169"/>
    </row>
    <row r="13" spans="1:74">
      <c r="E13" s="108"/>
      <c r="F13" s="108"/>
      <c r="G13" s="108"/>
      <c r="H13" s="108"/>
      <c r="I13" s="108"/>
      <c r="J13" s="108"/>
      <c r="K13" s="108"/>
      <c r="L13" s="108"/>
      <c r="AN13" s="213"/>
      <c r="AR13" s="248"/>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46">
        <v>2016</v>
      </c>
      <c r="C17" s="247"/>
      <c r="D17" s="246">
        <v>2017</v>
      </c>
      <c r="E17" s="247"/>
      <c r="F17" s="246">
        <v>2018</v>
      </c>
      <c r="G17" s="247"/>
      <c r="H17" s="246">
        <v>2019</v>
      </c>
      <c r="I17" s="247"/>
      <c r="J17" s="246">
        <v>2020</v>
      </c>
      <c r="K17" s="247"/>
      <c r="L17" s="249">
        <v>2021</v>
      </c>
      <c r="M17" s="250"/>
      <c r="N17" s="249">
        <v>2022</v>
      </c>
      <c r="O17" s="251"/>
      <c r="P17" s="249">
        <v>2023</v>
      </c>
      <c r="Q17" s="250"/>
      <c r="R17" s="249">
        <v>2024</v>
      </c>
      <c r="S17" s="250"/>
      <c r="T17" s="249">
        <v>2025</v>
      </c>
      <c r="U17" s="250"/>
      <c r="V17" s="249">
        <v>2026</v>
      </c>
      <c r="W17" s="250"/>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3">N19+Y2</f>
        <v>317.00049999999999</v>
      </c>
      <c r="Q19" s="117">
        <v>1</v>
      </c>
      <c r="R19" s="115">
        <f t="shared" ref="R19:R24" si="34">P19+Z2</f>
        <v>354.00059999999996</v>
      </c>
      <c r="S19" s="117">
        <v>1</v>
      </c>
      <c r="T19" s="115">
        <f>R19+AA2</f>
        <v>384.00069999999994</v>
      </c>
      <c r="U19" s="117">
        <v>1</v>
      </c>
      <c r="V19" s="115">
        <f t="shared" ref="V19:V23" si="35">T19+AB2</f>
        <v>414.00079999999991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309</v>
      </c>
      <c r="P20" s="118">
        <f t="shared" si="33"/>
        <v>302.00045</v>
      </c>
      <c r="Q20" s="120">
        <v>2</v>
      </c>
      <c r="R20" s="115">
        <f t="shared" si="34"/>
        <v>340.00054</v>
      </c>
      <c r="S20" s="120">
        <v>2</v>
      </c>
      <c r="T20" s="115">
        <f t="shared" ref="T20:T24" si="36">R20+AA3</f>
        <v>376.00063</v>
      </c>
      <c r="U20" s="120">
        <v>2</v>
      </c>
      <c r="V20" s="115">
        <f t="shared" si="35"/>
        <v>404.00072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310</v>
      </c>
      <c r="P21" s="118">
        <f t="shared" si="33"/>
        <v>272.00034999999997</v>
      </c>
      <c r="Q21" s="120">
        <v>4</v>
      </c>
      <c r="R21" s="115">
        <f t="shared" si="34"/>
        <v>312.00041999999996</v>
      </c>
      <c r="S21" s="120" t="s">
        <v>358</v>
      </c>
      <c r="T21" s="115">
        <f t="shared" si="36"/>
        <v>348.00043999999997</v>
      </c>
      <c r="U21" s="120">
        <v>3</v>
      </c>
      <c r="V21" s="115">
        <f t="shared" si="35"/>
        <v>367.00045999999998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3"/>
        <v>282.00040000000001</v>
      </c>
      <c r="Q22" s="120">
        <v>3</v>
      </c>
      <c r="R22" s="115">
        <f t="shared" si="34"/>
        <v>304.00048000000004</v>
      </c>
      <c r="S22" s="120" t="s">
        <v>359</v>
      </c>
      <c r="T22" s="115">
        <f t="shared" si="36"/>
        <v>325.00053000000003</v>
      </c>
      <c r="U22" s="120">
        <v>4</v>
      </c>
      <c r="V22" s="115">
        <f t="shared" si="35"/>
        <v>340.00058000000001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3"/>
        <v>161.00027</v>
      </c>
      <c r="Q23" s="120" t="s">
        <v>337</v>
      </c>
      <c r="R23" s="115">
        <f t="shared" si="34"/>
        <v>195.00031999999999</v>
      </c>
      <c r="S23" s="120">
        <v>5</v>
      </c>
      <c r="T23" s="115">
        <f t="shared" si="36"/>
        <v>223.00036999999998</v>
      </c>
      <c r="U23" s="120">
        <v>5</v>
      </c>
      <c r="V23" s="115">
        <f t="shared" si="35"/>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3"/>
        <v>158.00027999999998</v>
      </c>
      <c r="Q24" s="123" t="s">
        <v>336</v>
      </c>
      <c r="R24" s="121">
        <f t="shared" si="34"/>
        <v>178.00033999999997</v>
      </c>
      <c r="S24" s="123">
        <v>6</v>
      </c>
      <c r="T24" s="208">
        <f t="shared" si="36"/>
        <v>201.00039999999996</v>
      </c>
      <c r="U24" s="123">
        <v>6</v>
      </c>
      <c r="V24" s="208">
        <f>T24+AB7</f>
        <v>222.00045999999995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c r="AO54" s="109"/>
    </row>
    <row r="55" spans="1:41">
      <c r="B55" s="209"/>
      <c r="C55" s="209"/>
      <c r="D55" s="209"/>
      <c r="E55" s="209"/>
      <c r="F55" s="209"/>
      <c r="G55" s="209"/>
      <c r="H55" s="209"/>
      <c r="I55" s="209"/>
      <c r="J55" s="209"/>
      <c r="K55" s="209"/>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369</v>
      </c>
      <c r="D63" s="92" t="s">
        <v>370</v>
      </c>
      <c r="E63" s="92" t="s">
        <v>371</v>
      </c>
      <c r="F63" s="92" t="s">
        <v>372</v>
      </c>
      <c r="G63" s="92" t="s">
        <v>373</v>
      </c>
      <c r="H63" s="92" t="s">
        <v>374</v>
      </c>
      <c r="I63" s="92" t="s">
        <v>375</v>
      </c>
      <c r="J63" s="92" t="s">
        <v>376</v>
      </c>
      <c r="K63" s="92" t="s">
        <v>377</v>
      </c>
      <c r="L63" s="92" t="s">
        <v>378</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414.00079999999991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340.00058000000001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367.00045999999998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404.00072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222.00045999999995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AR12:AR13"/>
    <mergeCell ref="L17:M17"/>
    <mergeCell ref="P17:Q17"/>
    <mergeCell ref="R17:S17"/>
    <mergeCell ref="N17:O17"/>
    <mergeCell ref="T17:U17"/>
    <mergeCell ref="V17:W17"/>
    <mergeCell ref="B17:C17"/>
    <mergeCell ref="D17:E17"/>
    <mergeCell ref="F17:G17"/>
    <mergeCell ref="H17:I17"/>
    <mergeCell ref="J17:K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S21"/>
  <sheetViews>
    <sheetView zoomScale="85" zoomScaleNormal="85" workbookViewId="0">
      <selection activeCell="E17" sqref="E17"/>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5" width="9.15234375" style="53"/>
    <col min="16" max="17" width="10.53515625" style="53" bestFit="1" customWidth="1"/>
    <col min="18" max="16384" width="9.15234375" style="53"/>
  </cols>
  <sheetData>
    <row r="1" spans="1:19" s="215" customFormat="1" ht="30" customHeight="1">
      <c r="A1" s="216" t="str">
        <f>'All-time DF Stats'!A1</f>
        <v>Rang und</v>
      </c>
      <c r="B1" s="216" t="str">
        <f>'All-time DF Stats'!B1</f>
        <v>Name</v>
      </c>
      <c r="C1" s="216" t="s">
        <v>344</v>
      </c>
      <c r="D1" s="216" t="str">
        <f>'All-time DF Stats'!E1</f>
        <v>Total PR%</v>
      </c>
      <c r="E1" s="216" t="s">
        <v>37</v>
      </c>
      <c r="F1" s="216" t="s">
        <v>55</v>
      </c>
      <c r="G1" s="216" t="s">
        <v>314</v>
      </c>
      <c r="H1" s="216" t="s">
        <v>69</v>
      </c>
      <c r="I1" s="216" t="s">
        <v>102</v>
      </c>
      <c r="J1" s="216" t="s">
        <v>116</v>
      </c>
      <c r="K1" s="216" t="s">
        <v>123</v>
      </c>
      <c r="L1" s="216" t="s">
        <v>288</v>
      </c>
      <c r="M1" s="216" t="s">
        <v>343</v>
      </c>
      <c r="N1" s="216" t="s">
        <v>368</v>
      </c>
    </row>
    <row r="2" spans="1:19" ht="15">
      <c r="A2" s="45">
        <f>'All-time DF Stats'!A2</f>
        <v>1</v>
      </c>
      <c r="B2" s="38" t="str">
        <f>'All-time DF Stats'!B2</f>
        <v>MSO/MST</v>
      </c>
      <c r="C2" s="43">
        <f>'All-time DF Stats'!C2</f>
        <v>414.00079999999991</v>
      </c>
      <c r="D2" s="39">
        <f ca="1">'All-time DF Stats'!E2</f>
        <v>0.79615538461538449</v>
      </c>
      <c r="E2" s="54">
        <f>'All-time DF Stats'!Q2</f>
        <v>1440.25</v>
      </c>
      <c r="F2" s="166" t="s">
        <v>287</v>
      </c>
      <c r="G2" s="166"/>
      <c r="H2" s="79">
        <f ca="1">1/(1-(C2/'All-time DF Stats'!AN2))</f>
        <v>4.9056974014898191</v>
      </c>
      <c r="I2" s="110">
        <f t="shared" ref="I2:I7" si="0">C2-C3</f>
        <v>10.000079999999912</v>
      </c>
      <c r="J2" s="133" t="s">
        <v>88</v>
      </c>
      <c r="K2" s="135" t="s">
        <v>88</v>
      </c>
      <c r="L2" s="135">
        <f ca="1">E2/('All-time DF Stats'!AN2-'All-time DF Stats'!C2)</f>
        <v>13.587366697107138</v>
      </c>
      <c r="M2" s="40">
        <f>C2/$C$9</f>
        <v>0.20856427331934496</v>
      </c>
      <c r="N2" s="110">
        <v>3</v>
      </c>
      <c r="O2" s="53" t="s">
        <v>32</v>
      </c>
      <c r="P2" s="220">
        <v>42524</v>
      </c>
      <c r="Q2" s="220">
        <f ca="1">TODAY()</f>
        <v>46286</v>
      </c>
      <c r="R2" s="53">
        <f ca="1">Q2-P2</f>
        <v>3762</v>
      </c>
      <c r="S2" s="53">
        <v>3682</v>
      </c>
    </row>
    <row r="3" spans="1:19" ht="15">
      <c r="A3" s="45">
        <f>'All-time DF Stats'!A3</f>
        <v>2</v>
      </c>
      <c r="B3" s="37" t="str">
        <f>'All-time DF Stats'!B3</f>
        <v>SJU</v>
      </c>
      <c r="C3" s="44">
        <f>'All-time DF Stats'!C3</f>
        <v>404.00072</v>
      </c>
      <c r="D3" s="40">
        <f ca="1">'All-time DF Stats'!E3</f>
        <v>0.76660478178368119</v>
      </c>
      <c r="E3" s="55">
        <f>'All-time DF Stats'!Q3</f>
        <v>1529.75</v>
      </c>
      <c r="F3" s="78" t="s">
        <v>385</v>
      </c>
      <c r="G3" s="78"/>
      <c r="H3" s="80">
        <f ca="1">1/(1-(C3/'All-time DF Stats'!AN3))</f>
        <v>4.2845779259846068</v>
      </c>
      <c r="I3" s="110">
        <f>C3-C4</f>
        <v>37.000260000000026</v>
      </c>
      <c r="J3" s="110">
        <f>$C$2-C3</f>
        <v>10.000079999999912</v>
      </c>
      <c r="K3" s="134">
        <f>1/(C3/$C$2)</f>
        <v>1.0247526291537299</v>
      </c>
      <c r="L3" s="135">
        <f ca="1">E3/('All-time DF Stats'!AN3-'All-time DF Stats'!C3)</f>
        <v>12.437064672248487</v>
      </c>
      <c r="M3" s="40">
        <f>C3/$C$9</f>
        <v>0.20352645837228375</v>
      </c>
      <c r="N3" s="110">
        <v>1</v>
      </c>
      <c r="O3" s="53" t="s">
        <v>3</v>
      </c>
      <c r="P3" s="220">
        <v>42475</v>
      </c>
      <c r="Q3" s="220">
        <f>P3+S3</f>
        <v>46248.139180544036</v>
      </c>
      <c r="S3" s="53">
        <f>$S$2*K3</f>
        <v>3773.1391805440335</v>
      </c>
    </row>
    <row r="4" spans="1:19" ht="15">
      <c r="A4" s="45">
        <f>'All-time DF Stats'!A4</f>
        <v>3</v>
      </c>
      <c r="B4" s="37" t="str">
        <f>'All-time DF Stats'!B4</f>
        <v>JWU</v>
      </c>
      <c r="C4" s="44">
        <f>'All-time DF Stats'!C4</f>
        <v>367.00045999999998</v>
      </c>
      <c r="D4" s="40">
        <f ca="1">'All-time DF Stats'!E4</f>
        <v>0.69639555977229595</v>
      </c>
      <c r="E4" s="55">
        <f>'All-time DF Stats'!Q4</f>
        <v>1964</v>
      </c>
      <c r="F4" s="78" t="s">
        <v>386</v>
      </c>
      <c r="G4" s="78"/>
      <c r="H4" s="80">
        <f ca="1">1/(1-(C4/'All-time DF Stats'!AN4))</f>
        <v>3.2937594695584744</v>
      </c>
      <c r="I4" s="110">
        <f>C4-C5</f>
        <v>26.999879999999962</v>
      </c>
      <c r="J4" s="110">
        <f>$C$2-C4</f>
        <v>47.000339999999937</v>
      </c>
      <c r="K4" s="134">
        <f>1/(C4/$C$2)</f>
        <v>1.1280661610069915</v>
      </c>
      <c r="L4" s="135">
        <f ca="1">E4/('All-time DF Stats'!AN4-'All-time DF Stats'!C4)</f>
        <v>12.275035290726459</v>
      </c>
      <c r="M4" s="40">
        <f>C4/$C$9</f>
        <v>0.18488656120414584</v>
      </c>
      <c r="N4" s="110">
        <v>4</v>
      </c>
      <c r="O4" s="53" t="s">
        <v>0</v>
      </c>
      <c r="P4" s="220">
        <f t="shared" ref="P4:P7" si="1">P3</f>
        <v>42475</v>
      </c>
      <c r="Q4" s="220">
        <f>P4+S4</f>
        <v>46628.53960482774</v>
      </c>
      <c r="S4" s="53">
        <f>$S$2*K4</f>
        <v>4153.5396048277426</v>
      </c>
    </row>
    <row r="5" spans="1:19" ht="15">
      <c r="A5" s="45">
        <f>'All-time DF Stats'!A5</f>
        <v>4</v>
      </c>
      <c r="B5" s="37" t="str">
        <f>'All-time DF Stats'!B5</f>
        <v>PKN</v>
      </c>
      <c r="C5" s="44">
        <f>'All-time DF Stats'!C5</f>
        <v>340.00058000000001</v>
      </c>
      <c r="D5" s="40">
        <f ca="1">'All-time DF Stats'!E5</f>
        <v>0.64516239089184069</v>
      </c>
      <c r="E5" s="55">
        <f>'All-time DF Stats'!Q5</f>
        <v>2173.0699999999997</v>
      </c>
      <c r="F5" s="78" t="s">
        <v>297</v>
      </c>
      <c r="G5" s="78"/>
      <c r="H5" s="80">
        <f ca="1">1/(1-(C5/'All-time DF Stats'!AN5))</f>
        <v>2.8181905590937135</v>
      </c>
      <c r="I5" s="110">
        <f>C5-C6</f>
        <v>102.00016000000005</v>
      </c>
      <c r="J5" s="110">
        <f t="shared" ref="J5:J7" si="2">$C$2-C5</f>
        <v>74.000219999999899</v>
      </c>
      <c r="K5" s="134">
        <f>1/(C5/$C$2)</f>
        <v>1.2176473346016055</v>
      </c>
      <c r="L5" s="135">
        <f ca="1">E5/('All-time DF Stats'!AN5-'All-time DF Stats'!C5)</f>
        <v>11.620731230075473</v>
      </c>
      <c r="M5" s="40">
        <f t="shared" ref="M5" si="3">C5/$C$9</f>
        <v>0.17128463011630854</v>
      </c>
      <c r="N5" s="110">
        <v>0</v>
      </c>
      <c r="O5" s="53" t="s">
        <v>1</v>
      </c>
      <c r="P5" s="220">
        <f t="shared" si="1"/>
        <v>42475</v>
      </c>
      <c r="Q5" s="220">
        <f>P5+S5</f>
        <v>46958.377486003112</v>
      </c>
      <c r="S5" s="53">
        <f>$S$2*K5</f>
        <v>4483.3774860031117</v>
      </c>
    </row>
    <row r="6" spans="1:19" ht="15">
      <c r="A6" s="45">
        <f>'All-time DF Stats'!A6</f>
        <v>5</v>
      </c>
      <c r="B6" s="37" t="str">
        <f>'All-time DF Stats'!B6</f>
        <v>CBO</v>
      </c>
      <c r="C6" s="44">
        <f>'All-time DF Stats'!C6</f>
        <v>238.00041999999996</v>
      </c>
      <c r="D6" s="40">
        <f ca="1">'All-time DF Stats'!E6</f>
        <v>0.45161370018975328</v>
      </c>
      <c r="E6" s="55">
        <f>'All-time DF Stats'!Q6</f>
        <v>2095.5</v>
      </c>
      <c r="F6" s="78" t="s">
        <v>56</v>
      </c>
      <c r="G6" s="78"/>
      <c r="H6" s="80">
        <f ca="1">1/(1-(C6/'All-time DF Stats'!AN6))</f>
        <v>1.8235320618805051</v>
      </c>
      <c r="I6" s="110">
        <f t="shared" si="0"/>
        <v>15.999960000000016</v>
      </c>
      <c r="J6" s="110">
        <f t="shared" si="2"/>
        <v>176.00037999999995</v>
      </c>
      <c r="K6" s="134">
        <f>1/(C6/$C$2)</f>
        <v>1.739496089964883</v>
      </c>
      <c r="L6" s="135">
        <f ca="1">E6/('All-time DF Stats'!AN6-'All-time DF Stats'!C6)</f>
        <v>7.2508755895077766</v>
      </c>
      <c r="M6" s="40">
        <f>C6/$C$9</f>
        <v>0.11989924813430046</v>
      </c>
      <c r="N6" s="110">
        <v>1</v>
      </c>
      <c r="O6" s="53" t="s">
        <v>4</v>
      </c>
      <c r="P6" s="220">
        <f t="shared" si="1"/>
        <v>42475</v>
      </c>
      <c r="Q6" s="220">
        <f>P6+S6</f>
        <v>48879.824603250701</v>
      </c>
      <c r="S6" s="53">
        <f t="shared" ref="S6:S7" si="4">$S$2*K6</f>
        <v>6404.8246032506995</v>
      </c>
    </row>
    <row r="7" spans="1:19" ht="15">
      <c r="A7" s="45">
        <f>'All-time DF Stats'!A7</f>
        <v>6</v>
      </c>
      <c r="B7" s="37" t="str">
        <f>'All-time DF Stats'!B7</f>
        <v>YMI</v>
      </c>
      <c r="C7" s="44">
        <f>'All-time DF Stats'!C7</f>
        <v>222.00045999999995</v>
      </c>
      <c r="D7" s="46">
        <f ca="1">'All-time DF Stats'!E7</f>
        <v>0.42125324478178355</v>
      </c>
      <c r="E7" s="55">
        <f>'All-time DF Stats'!Q7</f>
        <v>2791</v>
      </c>
      <c r="F7" s="78" t="s">
        <v>56</v>
      </c>
      <c r="G7" s="78"/>
      <c r="H7" s="80">
        <f ca="1">1/(1-(C7/'All-time DF Stats'!AN7))</f>
        <v>1.7278714584290846</v>
      </c>
      <c r="I7" s="110">
        <f t="shared" si="0"/>
        <v>100000000000222</v>
      </c>
      <c r="J7" s="110">
        <f t="shared" si="2"/>
        <v>192.00033999999997</v>
      </c>
      <c r="K7" s="134">
        <f t="shared" ref="K7" si="5">1/(C7/$C$2)</f>
        <v>1.8648646043346035</v>
      </c>
      <c r="L7" s="135">
        <f ca="1">E7/('All-time DF Stats'!AN7-'All-time DF Stats'!C7)</f>
        <v>9.1508334733881878</v>
      </c>
      <c r="M7" s="40">
        <f>C7/$C$9</f>
        <v>0.11183882885361648</v>
      </c>
      <c r="N7" s="110">
        <v>3</v>
      </c>
      <c r="O7" s="53" t="s">
        <v>2</v>
      </c>
      <c r="P7" s="220">
        <f t="shared" si="1"/>
        <v>42475</v>
      </c>
      <c r="Q7" s="220">
        <f>P7+S7</f>
        <v>49341.43147316001</v>
      </c>
      <c r="S7" s="53">
        <f t="shared" si="4"/>
        <v>6866.4314731600107</v>
      </c>
    </row>
    <row r="8" spans="1:19" ht="15">
      <c r="A8" s="111" t="s">
        <v>38</v>
      </c>
      <c r="B8" s="37" t="str">
        <f>'All-time DF Stats'!B8</f>
        <v>Jinderletscht</v>
      </c>
      <c r="C8" s="148">
        <v>-100000000000000</v>
      </c>
      <c r="D8" s="112" t="s">
        <v>39</v>
      </c>
      <c r="E8" s="55" t="s">
        <v>46</v>
      </c>
      <c r="F8" s="78" t="s">
        <v>79</v>
      </c>
      <c r="G8" s="78"/>
      <c r="H8" s="78" t="s">
        <v>78</v>
      </c>
      <c r="I8" s="110"/>
      <c r="J8" s="148">
        <f>$C$2-C8</f>
        <v>100000000000414</v>
      </c>
      <c r="K8" s="135" t="s">
        <v>88</v>
      </c>
      <c r="L8" s="135" t="s">
        <v>88</v>
      </c>
    </row>
    <row r="9" spans="1:19">
      <c r="C9" s="150">
        <f>SUM(C2:C7)</f>
        <v>1985.0034399999997</v>
      </c>
      <c r="E9" s="150"/>
    </row>
    <row r="16" spans="1:19">
      <c r="F16" s="220"/>
    </row>
    <row r="17" spans="6:6">
      <c r="F17" s="220"/>
    </row>
    <row r="18" spans="6:6">
      <c r="F18" s="220"/>
    </row>
    <row r="19" spans="6:6">
      <c r="F19" s="220"/>
    </row>
    <row r="20" spans="6:6">
      <c r="F20" s="220"/>
    </row>
    <row r="21" spans="6:6">
      <c r="F21" s="220"/>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402"/>
  <sheetViews>
    <sheetView zoomScale="55" zoomScaleNormal="55" workbookViewId="0">
      <pane xSplit="7" ySplit="1" topLeftCell="H2" activePane="bottomRight" state="frozen"/>
      <selection pane="topRight" activeCell="P1" sqref="P1"/>
      <selection pane="bottomLeft" activeCell="A24" sqref="A24"/>
      <selection pane="bottomRight" activeCell="G9" sqref="A9:G9"/>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145</v>
      </c>
      <c r="K1" s="10" t="s">
        <v>11</v>
      </c>
      <c r="L1" s="127" t="s">
        <v>0</v>
      </c>
      <c r="M1" s="127" t="s">
        <v>4</v>
      </c>
      <c r="N1" s="127" t="s">
        <v>1</v>
      </c>
      <c r="O1" s="127" t="s">
        <v>2</v>
      </c>
      <c r="P1" s="127" t="s">
        <v>3</v>
      </c>
      <c r="Q1" s="127" t="s">
        <v>21</v>
      </c>
      <c r="R1" s="145"/>
      <c r="W1" s="1" t="s">
        <v>32</v>
      </c>
      <c r="X1" s="1" t="s">
        <v>315</v>
      </c>
    </row>
    <row r="2" spans="1:24">
      <c r="A2" s="126">
        <f t="shared" ref="A2:A36" si="0">A3-7</f>
        <v>42475</v>
      </c>
      <c r="B2" s="129">
        <v>0.77777777999999997</v>
      </c>
      <c r="C2" s="129">
        <v>0.77777777999999997</v>
      </c>
      <c r="D2" s="129">
        <f>30/36</f>
        <v>0.83333333333333337</v>
      </c>
      <c r="E2" s="129">
        <v>0.75</v>
      </c>
      <c r="F2" s="129">
        <v>0.75</v>
      </c>
      <c r="G2" s="129">
        <v>0</v>
      </c>
      <c r="K2" s="86">
        <f t="shared" ref="K2:Q2" si="1">A2</f>
        <v>42475</v>
      </c>
      <c r="L2" s="128">
        <f t="shared" si="1"/>
        <v>0.77777777999999997</v>
      </c>
      <c r="M2" s="128">
        <f t="shared" si="1"/>
        <v>0.77777777999999997</v>
      </c>
      <c r="N2" s="128">
        <f t="shared" si="1"/>
        <v>0.83333333333333337</v>
      </c>
      <c r="O2" s="128">
        <f t="shared" si="1"/>
        <v>0.75</v>
      </c>
      <c r="P2" s="128">
        <f t="shared" si="1"/>
        <v>0.75</v>
      </c>
      <c r="Q2" s="128">
        <f t="shared" si="1"/>
        <v>0</v>
      </c>
      <c r="R2" s="128">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f t="shared" ref="K3:K66" si="3">A3</f>
        <v>42482</v>
      </c>
      <c r="L3" s="128">
        <f t="shared" ref="L3:L66" si="4">B3+L2</f>
        <v>1.5555555599999999</v>
      </c>
      <c r="M3" s="128">
        <f t="shared" ref="M3:M66" si="5">C3+M2</f>
        <v>1.5555555599999999</v>
      </c>
      <c r="N3" s="128">
        <f t="shared" ref="N3:N66" si="6">D3+N2</f>
        <v>1.6666666666666667</v>
      </c>
      <c r="O3" s="128">
        <f t="shared" ref="O3:O66" si="7">E3+O2</f>
        <v>1.5</v>
      </c>
      <c r="P3" s="128">
        <f t="shared" ref="P3:P66" si="8">F3+P2</f>
        <v>1.5</v>
      </c>
      <c r="Q3" s="128">
        <f t="shared" ref="Q3:Q66" si="9">G3+Q2</f>
        <v>0</v>
      </c>
      <c r="R3" s="128">
        <f t="shared" ref="R3:R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f t="shared" si="3"/>
        <v>42489</v>
      </c>
      <c r="L4" s="128">
        <f t="shared" si="4"/>
        <v>2.3333333399999998</v>
      </c>
      <c r="M4" s="128">
        <f t="shared" si="5"/>
        <v>2.3333333399999998</v>
      </c>
      <c r="N4" s="128">
        <f t="shared" si="6"/>
        <v>2.5</v>
      </c>
      <c r="O4" s="128">
        <f t="shared" si="7"/>
        <v>2.25</v>
      </c>
      <c r="P4" s="128">
        <f t="shared" si="8"/>
        <v>2.25</v>
      </c>
      <c r="Q4" s="128">
        <f t="shared" si="9"/>
        <v>0</v>
      </c>
      <c r="R4" s="128">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f t="shared" si="3"/>
        <v>42496</v>
      </c>
      <c r="L5" s="128">
        <f t="shared" si="4"/>
        <v>3.1111111199999999</v>
      </c>
      <c r="M5" s="128">
        <f t="shared" si="5"/>
        <v>3.1111111199999999</v>
      </c>
      <c r="N5" s="128">
        <f t="shared" si="6"/>
        <v>3.3333333333333335</v>
      </c>
      <c r="O5" s="128">
        <f t="shared" si="7"/>
        <v>3</v>
      </c>
      <c r="P5" s="128">
        <f t="shared" si="8"/>
        <v>3</v>
      </c>
      <c r="Q5" s="128">
        <f t="shared" si="9"/>
        <v>0</v>
      </c>
      <c r="R5" s="128">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f t="shared" si="3"/>
        <v>42503</v>
      </c>
      <c r="L6" s="128">
        <f t="shared" si="4"/>
        <v>3.8888889</v>
      </c>
      <c r="M6" s="128">
        <f t="shared" si="5"/>
        <v>3.8888889</v>
      </c>
      <c r="N6" s="128">
        <f t="shared" si="6"/>
        <v>4.166666666666667</v>
      </c>
      <c r="O6" s="128">
        <f t="shared" si="7"/>
        <v>3.75</v>
      </c>
      <c r="P6" s="128">
        <f t="shared" si="8"/>
        <v>3.75</v>
      </c>
      <c r="Q6" s="128">
        <f t="shared" si="9"/>
        <v>0</v>
      </c>
      <c r="R6" s="128">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f t="shared" si="3"/>
        <v>42510</v>
      </c>
      <c r="L7" s="128">
        <f t="shared" si="4"/>
        <v>4.6666666799999996</v>
      </c>
      <c r="M7" s="128">
        <f t="shared" si="5"/>
        <v>4.6666666799999996</v>
      </c>
      <c r="N7" s="128">
        <f t="shared" si="6"/>
        <v>5</v>
      </c>
      <c r="O7" s="128">
        <f t="shared" si="7"/>
        <v>4.5</v>
      </c>
      <c r="P7" s="128">
        <f t="shared" si="8"/>
        <v>4.5</v>
      </c>
      <c r="Q7" s="128">
        <f t="shared" si="9"/>
        <v>0</v>
      </c>
      <c r="R7" s="128">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f t="shared" si="3"/>
        <v>42517</v>
      </c>
      <c r="L8" s="128">
        <f t="shared" si="4"/>
        <v>5.4444444599999997</v>
      </c>
      <c r="M8" s="128">
        <f t="shared" si="5"/>
        <v>5.4444444599999997</v>
      </c>
      <c r="N8" s="128">
        <f t="shared" si="6"/>
        <v>5.833333333333333</v>
      </c>
      <c r="O8" s="128">
        <f t="shared" si="7"/>
        <v>5.25</v>
      </c>
      <c r="P8" s="128">
        <f t="shared" si="8"/>
        <v>5.25</v>
      </c>
      <c r="Q8" s="128">
        <f t="shared" si="9"/>
        <v>0</v>
      </c>
      <c r="R8" s="128">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f t="shared" si="3"/>
        <v>42524</v>
      </c>
      <c r="L9" s="128">
        <f t="shared" si="4"/>
        <v>6.2222222399999998</v>
      </c>
      <c r="M9" s="128">
        <f t="shared" si="5"/>
        <v>6.2222222399999998</v>
      </c>
      <c r="N9" s="128">
        <f t="shared" si="6"/>
        <v>6.6666666666666661</v>
      </c>
      <c r="O9" s="128">
        <f t="shared" si="7"/>
        <v>6</v>
      </c>
      <c r="P9" s="128">
        <f t="shared" si="8"/>
        <v>6</v>
      </c>
      <c r="Q9" s="128">
        <f t="shared" si="9"/>
        <v>0.86206896551724133</v>
      </c>
      <c r="R9" s="128">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f t="shared" si="3"/>
        <v>42531</v>
      </c>
      <c r="L10" s="128">
        <f t="shared" si="4"/>
        <v>7.0000000199999999</v>
      </c>
      <c r="M10" s="128">
        <f t="shared" si="5"/>
        <v>7.0000000199999999</v>
      </c>
      <c r="N10" s="128">
        <f t="shared" si="6"/>
        <v>7.4999999999999991</v>
      </c>
      <c r="O10" s="128">
        <f t="shared" si="7"/>
        <v>6.75</v>
      </c>
      <c r="P10" s="128">
        <f t="shared" si="8"/>
        <v>6.75</v>
      </c>
      <c r="Q10" s="128">
        <f t="shared" si="9"/>
        <v>1.7241379310344827</v>
      </c>
      <c r="R10" s="128">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f t="shared" si="3"/>
        <v>42538</v>
      </c>
      <c r="L11" s="128">
        <f t="shared" si="4"/>
        <v>7.7777778</v>
      </c>
      <c r="M11" s="128">
        <f t="shared" si="5"/>
        <v>7.7777778</v>
      </c>
      <c r="N11" s="128">
        <f t="shared" si="6"/>
        <v>8.3333333333333321</v>
      </c>
      <c r="O11" s="128">
        <f t="shared" si="7"/>
        <v>7.5</v>
      </c>
      <c r="P11" s="128">
        <f t="shared" si="8"/>
        <v>7.5</v>
      </c>
      <c r="Q11" s="128">
        <f t="shared" si="9"/>
        <v>2.5862068965517242</v>
      </c>
      <c r="R11" s="128">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f t="shared" si="3"/>
        <v>42545</v>
      </c>
      <c r="L12" s="128">
        <f t="shared" si="4"/>
        <v>8.55555558</v>
      </c>
      <c r="M12" s="128">
        <f t="shared" si="5"/>
        <v>8.55555558</v>
      </c>
      <c r="N12" s="128">
        <f t="shared" si="6"/>
        <v>9.1666666666666661</v>
      </c>
      <c r="O12" s="128">
        <f t="shared" si="7"/>
        <v>8.25</v>
      </c>
      <c r="P12" s="128">
        <f t="shared" si="8"/>
        <v>8.25</v>
      </c>
      <c r="Q12" s="128">
        <f t="shared" si="9"/>
        <v>3.4482758620689653</v>
      </c>
      <c r="R12" s="128">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f t="shared" si="3"/>
        <v>42552</v>
      </c>
      <c r="L13" s="128">
        <f t="shared" si="4"/>
        <v>9.3333333599999992</v>
      </c>
      <c r="M13" s="128">
        <f t="shared" si="5"/>
        <v>9.3333333599999992</v>
      </c>
      <c r="N13" s="128">
        <f t="shared" si="6"/>
        <v>10</v>
      </c>
      <c r="O13" s="128">
        <f t="shared" si="7"/>
        <v>9</v>
      </c>
      <c r="P13" s="128">
        <f t="shared" si="8"/>
        <v>9</v>
      </c>
      <c r="Q13" s="128">
        <f t="shared" si="9"/>
        <v>4.3103448275862064</v>
      </c>
      <c r="R13" s="128">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f t="shared" si="3"/>
        <v>42559</v>
      </c>
      <c r="L14" s="128">
        <f t="shared" si="4"/>
        <v>10.111111139999998</v>
      </c>
      <c r="M14" s="128">
        <f t="shared" si="5"/>
        <v>10.111111139999998</v>
      </c>
      <c r="N14" s="128">
        <f t="shared" si="6"/>
        <v>10.833333333333334</v>
      </c>
      <c r="O14" s="128">
        <f t="shared" si="7"/>
        <v>9.75</v>
      </c>
      <c r="P14" s="128">
        <f t="shared" si="8"/>
        <v>9.75</v>
      </c>
      <c r="Q14" s="128">
        <f t="shared" si="9"/>
        <v>5.1724137931034475</v>
      </c>
      <c r="R14" s="128">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f t="shared" si="3"/>
        <v>42566</v>
      </c>
      <c r="L15" s="128">
        <f t="shared" si="4"/>
        <v>10.888888919999998</v>
      </c>
      <c r="M15" s="128">
        <f t="shared" si="5"/>
        <v>10.888888919999998</v>
      </c>
      <c r="N15" s="128">
        <f t="shared" si="6"/>
        <v>11.666666666666668</v>
      </c>
      <c r="O15" s="128">
        <f t="shared" si="7"/>
        <v>10.5</v>
      </c>
      <c r="P15" s="128">
        <f t="shared" si="8"/>
        <v>10.5</v>
      </c>
      <c r="Q15" s="128">
        <f t="shared" si="9"/>
        <v>6.0344827586206886</v>
      </c>
      <c r="R15" s="128">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f t="shared" si="3"/>
        <v>42573</v>
      </c>
      <c r="L16" s="128">
        <f t="shared" si="4"/>
        <v>11.666666699999997</v>
      </c>
      <c r="M16" s="128">
        <f t="shared" si="5"/>
        <v>11.666666699999997</v>
      </c>
      <c r="N16" s="128">
        <f t="shared" si="6"/>
        <v>12.500000000000002</v>
      </c>
      <c r="O16" s="128">
        <f t="shared" si="7"/>
        <v>11.25</v>
      </c>
      <c r="P16" s="128">
        <f t="shared" si="8"/>
        <v>11.25</v>
      </c>
      <c r="Q16" s="128">
        <f t="shared" si="9"/>
        <v>6.8965517241379297</v>
      </c>
      <c r="R16" s="128">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f t="shared" si="3"/>
        <v>42580</v>
      </c>
      <c r="L17" s="128">
        <f t="shared" si="4"/>
        <v>12.444444479999996</v>
      </c>
      <c r="M17" s="128">
        <f t="shared" si="5"/>
        <v>12.444444479999996</v>
      </c>
      <c r="N17" s="128">
        <f t="shared" si="6"/>
        <v>13.333333333333336</v>
      </c>
      <c r="O17" s="128">
        <f t="shared" si="7"/>
        <v>12</v>
      </c>
      <c r="P17" s="128">
        <f t="shared" si="8"/>
        <v>12</v>
      </c>
      <c r="Q17" s="128">
        <f t="shared" si="9"/>
        <v>7.7586206896551708</v>
      </c>
      <c r="R17" s="128">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f t="shared" si="3"/>
        <v>42587</v>
      </c>
      <c r="L18" s="128">
        <f t="shared" si="4"/>
        <v>13.222222259999995</v>
      </c>
      <c r="M18" s="128">
        <f t="shared" si="5"/>
        <v>13.222222259999995</v>
      </c>
      <c r="N18" s="128">
        <f t="shared" si="6"/>
        <v>14.16666666666667</v>
      </c>
      <c r="O18" s="128">
        <f t="shared" si="7"/>
        <v>12.75</v>
      </c>
      <c r="P18" s="128">
        <f t="shared" si="8"/>
        <v>12.75</v>
      </c>
      <c r="Q18" s="128">
        <f t="shared" si="9"/>
        <v>8.6206896551724128</v>
      </c>
      <c r="R18" s="128">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f t="shared" si="3"/>
        <v>42594</v>
      </c>
      <c r="L19" s="128">
        <f t="shared" si="4"/>
        <v>14.000000039999994</v>
      </c>
      <c r="M19" s="128">
        <f t="shared" si="5"/>
        <v>14.000000039999994</v>
      </c>
      <c r="N19" s="128">
        <f t="shared" si="6"/>
        <v>15.000000000000004</v>
      </c>
      <c r="O19" s="128">
        <f t="shared" si="7"/>
        <v>13.5</v>
      </c>
      <c r="P19" s="128">
        <f t="shared" si="8"/>
        <v>13.5</v>
      </c>
      <c r="Q19" s="128">
        <f t="shared" si="9"/>
        <v>9.4827586206896548</v>
      </c>
      <c r="R19" s="128">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f t="shared" si="3"/>
        <v>42601</v>
      </c>
      <c r="L20" s="128">
        <f t="shared" si="4"/>
        <v>14.777777819999994</v>
      </c>
      <c r="M20" s="128">
        <f t="shared" si="5"/>
        <v>14.777777819999994</v>
      </c>
      <c r="N20" s="128">
        <f t="shared" si="6"/>
        <v>15.833333333333337</v>
      </c>
      <c r="O20" s="128">
        <f t="shared" si="7"/>
        <v>14.25</v>
      </c>
      <c r="P20" s="128">
        <f t="shared" si="8"/>
        <v>14.25</v>
      </c>
      <c r="Q20" s="128">
        <f t="shared" si="9"/>
        <v>10.344827586206897</v>
      </c>
      <c r="R20" s="128">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f t="shared" si="3"/>
        <v>42608</v>
      </c>
      <c r="L21" s="128">
        <f t="shared" si="4"/>
        <v>15.555555599999993</v>
      </c>
      <c r="M21" s="128">
        <f t="shared" si="5"/>
        <v>15.555555599999993</v>
      </c>
      <c r="N21" s="128">
        <f t="shared" si="6"/>
        <v>16.666666666666671</v>
      </c>
      <c r="O21" s="128">
        <f t="shared" si="7"/>
        <v>15</v>
      </c>
      <c r="P21" s="128">
        <f t="shared" si="8"/>
        <v>15</v>
      </c>
      <c r="Q21" s="128">
        <f t="shared" si="9"/>
        <v>11.206896551724139</v>
      </c>
      <c r="R21" s="128">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f t="shared" si="3"/>
        <v>42615</v>
      </c>
      <c r="L22" s="128">
        <f t="shared" si="4"/>
        <v>16.333333379999992</v>
      </c>
      <c r="M22" s="128">
        <f t="shared" si="5"/>
        <v>16.333333379999992</v>
      </c>
      <c r="N22" s="128">
        <f t="shared" si="6"/>
        <v>17.500000000000004</v>
      </c>
      <c r="O22" s="128">
        <f t="shared" si="7"/>
        <v>15.75</v>
      </c>
      <c r="P22" s="128">
        <f t="shared" si="8"/>
        <v>15.75</v>
      </c>
      <c r="Q22" s="128">
        <f t="shared" si="9"/>
        <v>12.068965517241381</v>
      </c>
      <c r="R22" s="128">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f t="shared" si="3"/>
        <v>42622</v>
      </c>
      <c r="L23" s="128">
        <f t="shared" si="4"/>
        <v>17.111111159999993</v>
      </c>
      <c r="M23" s="128">
        <f t="shared" si="5"/>
        <v>17.111111159999993</v>
      </c>
      <c r="N23" s="128">
        <f t="shared" si="6"/>
        <v>18.333333333333336</v>
      </c>
      <c r="O23" s="128">
        <f t="shared" si="7"/>
        <v>16.5</v>
      </c>
      <c r="P23" s="128">
        <f t="shared" si="8"/>
        <v>16.5</v>
      </c>
      <c r="Q23" s="128">
        <f t="shared" si="9"/>
        <v>12.931034482758623</v>
      </c>
      <c r="R23" s="128">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f t="shared" si="3"/>
        <v>42629</v>
      </c>
      <c r="L24" s="128">
        <f t="shared" si="4"/>
        <v>17.888888939999994</v>
      </c>
      <c r="M24" s="128">
        <f t="shared" si="5"/>
        <v>17.888888939999994</v>
      </c>
      <c r="N24" s="128">
        <f t="shared" si="6"/>
        <v>19.166666666666668</v>
      </c>
      <c r="O24" s="128">
        <f t="shared" si="7"/>
        <v>17.25</v>
      </c>
      <c r="P24" s="128">
        <f t="shared" si="8"/>
        <v>17.25</v>
      </c>
      <c r="Q24" s="128">
        <f t="shared" si="9"/>
        <v>13.793103448275865</v>
      </c>
      <c r="R24" s="128">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f t="shared" si="3"/>
        <v>42636</v>
      </c>
      <c r="L25" s="128">
        <f t="shared" si="4"/>
        <v>18.666666719999995</v>
      </c>
      <c r="M25" s="128">
        <f t="shared" si="5"/>
        <v>18.666666719999995</v>
      </c>
      <c r="N25" s="128">
        <f t="shared" si="6"/>
        <v>20</v>
      </c>
      <c r="O25" s="128">
        <f t="shared" si="7"/>
        <v>18</v>
      </c>
      <c r="P25" s="128">
        <f t="shared" si="8"/>
        <v>18</v>
      </c>
      <c r="Q25" s="128">
        <f t="shared" si="9"/>
        <v>14.655172413793107</v>
      </c>
      <c r="R25" s="128">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f t="shared" si="3"/>
        <v>42643</v>
      </c>
      <c r="L26" s="128">
        <f t="shared" si="4"/>
        <v>19.444444499999996</v>
      </c>
      <c r="M26" s="128">
        <f t="shared" si="5"/>
        <v>19.444444499999996</v>
      </c>
      <c r="N26" s="128">
        <f t="shared" si="6"/>
        <v>20.833333333333332</v>
      </c>
      <c r="O26" s="128">
        <f t="shared" si="7"/>
        <v>18.75</v>
      </c>
      <c r="P26" s="128">
        <f t="shared" si="8"/>
        <v>18.75</v>
      </c>
      <c r="Q26" s="128">
        <f t="shared" si="9"/>
        <v>15.517241379310349</v>
      </c>
      <c r="R26" s="128">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f t="shared" si="3"/>
        <v>42650</v>
      </c>
      <c r="L27" s="128">
        <f t="shared" si="4"/>
        <v>20.222222279999997</v>
      </c>
      <c r="M27" s="128">
        <f t="shared" si="5"/>
        <v>20.222222279999997</v>
      </c>
      <c r="N27" s="128">
        <f t="shared" si="6"/>
        <v>21.666666666666664</v>
      </c>
      <c r="O27" s="128">
        <f t="shared" si="7"/>
        <v>19.5</v>
      </c>
      <c r="P27" s="128">
        <f t="shared" si="8"/>
        <v>19.5</v>
      </c>
      <c r="Q27" s="128">
        <f t="shared" si="9"/>
        <v>16.379310344827591</v>
      </c>
      <c r="R27" s="128">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f t="shared" si="3"/>
        <v>42657</v>
      </c>
      <c r="L28" s="128">
        <f t="shared" si="4"/>
        <v>21.000000059999998</v>
      </c>
      <c r="M28" s="128">
        <f t="shared" si="5"/>
        <v>21.000000059999998</v>
      </c>
      <c r="N28" s="128">
        <f t="shared" si="6"/>
        <v>22.499999999999996</v>
      </c>
      <c r="O28" s="128">
        <f t="shared" si="7"/>
        <v>20.25</v>
      </c>
      <c r="P28" s="128">
        <f t="shared" si="8"/>
        <v>20.25</v>
      </c>
      <c r="Q28" s="128">
        <f t="shared" si="9"/>
        <v>17.241379310344833</v>
      </c>
      <c r="R28" s="128">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f t="shared" si="3"/>
        <v>42664</v>
      </c>
      <c r="L29" s="128">
        <f t="shared" si="4"/>
        <v>21.777777839999999</v>
      </c>
      <c r="M29" s="128">
        <f t="shared" si="5"/>
        <v>21.777777839999999</v>
      </c>
      <c r="N29" s="128">
        <f t="shared" si="6"/>
        <v>23.333333333333329</v>
      </c>
      <c r="O29" s="128">
        <f t="shared" si="7"/>
        <v>21</v>
      </c>
      <c r="P29" s="128">
        <f t="shared" si="8"/>
        <v>21</v>
      </c>
      <c r="Q29" s="128">
        <f t="shared" si="9"/>
        <v>18.103448275862075</v>
      </c>
      <c r="R29" s="128">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f t="shared" si="3"/>
        <v>42671</v>
      </c>
      <c r="L30" s="128">
        <f t="shared" si="4"/>
        <v>22.55555562</v>
      </c>
      <c r="M30" s="128">
        <f t="shared" si="5"/>
        <v>22.55555562</v>
      </c>
      <c r="N30" s="128">
        <f t="shared" si="6"/>
        <v>24.166666666666661</v>
      </c>
      <c r="O30" s="128">
        <f t="shared" si="7"/>
        <v>21.75</v>
      </c>
      <c r="P30" s="128">
        <f t="shared" si="8"/>
        <v>21.75</v>
      </c>
      <c r="Q30" s="128">
        <f t="shared" si="9"/>
        <v>18.965517241379317</v>
      </c>
      <c r="R30" s="128">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f t="shared" si="3"/>
        <v>42678</v>
      </c>
      <c r="L31" s="128">
        <f t="shared" si="4"/>
        <v>23.333333400000001</v>
      </c>
      <c r="M31" s="128">
        <f t="shared" si="5"/>
        <v>23.333333400000001</v>
      </c>
      <c r="N31" s="128">
        <f t="shared" si="6"/>
        <v>24.999999999999993</v>
      </c>
      <c r="O31" s="128">
        <f t="shared" si="7"/>
        <v>22.5</v>
      </c>
      <c r="P31" s="128">
        <f t="shared" si="8"/>
        <v>22.5</v>
      </c>
      <c r="Q31" s="128">
        <f t="shared" si="9"/>
        <v>19.827586206896559</v>
      </c>
      <c r="R31" s="128">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f t="shared" si="3"/>
        <v>42685</v>
      </c>
      <c r="L32" s="128">
        <f t="shared" si="4"/>
        <v>24.111111180000002</v>
      </c>
      <c r="M32" s="128">
        <f t="shared" si="5"/>
        <v>24.111111180000002</v>
      </c>
      <c r="N32" s="128">
        <f t="shared" si="6"/>
        <v>25.833333333333325</v>
      </c>
      <c r="O32" s="128">
        <f t="shared" si="7"/>
        <v>23.25</v>
      </c>
      <c r="P32" s="128">
        <f t="shared" si="8"/>
        <v>23.25</v>
      </c>
      <c r="Q32" s="128">
        <f t="shared" si="9"/>
        <v>20.689655172413801</v>
      </c>
      <c r="R32" s="128">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f t="shared" si="3"/>
        <v>42692</v>
      </c>
      <c r="L33" s="128">
        <f t="shared" si="4"/>
        <v>24.888888960000003</v>
      </c>
      <c r="M33" s="128">
        <f t="shared" si="5"/>
        <v>24.888888960000003</v>
      </c>
      <c r="N33" s="128">
        <f t="shared" si="6"/>
        <v>26.666666666666657</v>
      </c>
      <c r="O33" s="128">
        <f t="shared" si="7"/>
        <v>24</v>
      </c>
      <c r="P33" s="128">
        <f t="shared" si="8"/>
        <v>24</v>
      </c>
      <c r="Q33" s="128">
        <f t="shared" si="9"/>
        <v>21.551724137931043</v>
      </c>
      <c r="R33" s="128">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f t="shared" si="3"/>
        <v>42699</v>
      </c>
      <c r="L34" s="128">
        <f t="shared" si="4"/>
        <v>25.666666740000004</v>
      </c>
      <c r="M34" s="128">
        <f t="shared" si="5"/>
        <v>25.666666740000004</v>
      </c>
      <c r="N34" s="128">
        <f t="shared" si="6"/>
        <v>27.499999999999989</v>
      </c>
      <c r="O34" s="128">
        <f t="shared" si="7"/>
        <v>24.75</v>
      </c>
      <c r="P34" s="128">
        <f t="shared" si="8"/>
        <v>24.75</v>
      </c>
      <c r="Q34" s="128">
        <f t="shared" si="9"/>
        <v>22.413793103448285</v>
      </c>
      <c r="R34" s="128">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f t="shared" si="3"/>
        <v>42706</v>
      </c>
      <c r="L35" s="128">
        <f t="shared" si="4"/>
        <v>26.444444520000005</v>
      </c>
      <c r="M35" s="128">
        <f t="shared" si="5"/>
        <v>26.444444520000005</v>
      </c>
      <c r="N35" s="128">
        <f t="shared" si="6"/>
        <v>28.333333333333321</v>
      </c>
      <c r="O35" s="128">
        <f t="shared" si="7"/>
        <v>25.5</v>
      </c>
      <c r="P35" s="128">
        <f t="shared" si="8"/>
        <v>25.5</v>
      </c>
      <c r="Q35" s="128">
        <f t="shared" si="9"/>
        <v>23.275862068965527</v>
      </c>
      <c r="R35" s="128">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f t="shared" si="3"/>
        <v>42713</v>
      </c>
      <c r="L36" s="128">
        <f t="shared" si="4"/>
        <v>27.222222300000006</v>
      </c>
      <c r="M36" s="128">
        <f t="shared" si="5"/>
        <v>27.222222300000006</v>
      </c>
      <c r="N36" s="128">
        <f t="shared" si="6"/>
        <v>29.166666666666654</v>
      </c>
      <c r="O36" s="128">
        <f t="shared" si="7"/>
        <v>26.25</v>
      </c>
      <c r="P36" s="128">
        <f t="shared" si="8"/>
        <v>26.25</v>
      </c>
      <c r="Q36" s="128">
        <f t="shared" si="9"/>
        <v>24.137931034482769</v>
      </c>
      <c r="R36" s="128">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f t="shared" si="3"/>
        <v>42720</v>
      </c>
      <c r="L37" s="128">
        <f t="shared" si="4"/>
        <v>28.000000080000007</v>
      </c>
      <c r="M37" s="128">
        <f t="shared" si="5"/>
        <v>28.000000080000007</v>
      </c>
      <c r="N37" s="128">
        <f t="shared" si="6"/>
        <v>29.999999999999986</v>
      </c>
      <c r="O37" s="128">
        <f t="shared" si="7"/>
        <v>27</v>
      </c>
      <c r="P37" s="128">
        <f t="shared" si="8"/>
        <v>27</v>
      </c>
      <c r="Q37" s="128">
        <f t="shared" si="9"/>
        <v>25.000000000000011</v>
      </c>
      <c r="R37" s="128">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f t="shared" si="3"/>
        <v>42727</v>
      </c>
      <c r="L38" s="128">
        <f t="shared" si="4"/>
        <v>29.000000080000007</v>
      </c>
      <c r="M38" s="128">
        <f t="shared" si="5"/>
        <v>29.000000080000007</v>
      </c>
      <c r="N38" s="128">
        <f t="shared" si="6"/>
        <v>30.999999999999986</v>
      </c>
      <c r="O38" s="128">
        <f t="shared" si="7"/>
        <v>28</v>
      </c>
      <c r="P38" s="128">
        <f t="shared" si="8"/>
        <v>28</v>
      </c>
      <c r="Q38" s="128">
        <f t="shared" si="9"/>
        <v>26.000000000000011</v>
      </c>
      <c r="R38" s="128">
        <f t="shared" si="10"/>
        <v>-4.9999999999999751</v>
      </c>
      <c r="T38" s="128">
        <f>L38-N38</f>
        <v>-1.9999999199999792</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f t="shared" si="3"/>
        <v>42734</v>
      </c>
      <c r="L39" s="128">
        <f t="shared" si="4"/>
        <v>30.000000080000007</v>
      </c>
      <c r="M39" s="128">
        <f t="shared" si="5"/>
        <v>29.000000080000007</v>
      </c>
      <c r="N39" s="128">
        <f t="shared" si="6"/>
        <v>31.999999999999986</v>
      </c>
      <c r="O39" s="128">
        <f t="shared" si="7"/>
        <v>29</v>
      </c>
      <c r="P39" s="128">
        <f t="shared" si="8"/>
        <v>29</v>
      </c>
      <c r="Q39" s="128">
        <f t="shared" si="9"/>
        <v>26.000000000000011</v>
      </c>
      <c r="R39" s="128">
        <f t="shared" si="10"/>
        <v>-5.9999999999999751</v>
      </c>
      <c r="T39" s="128">
        <f t="shared" ref="T39:T102" si="19">L39-N39</f>
        <v>-1.9999999199999792</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f t="shared" si="3"/>
        <v>42741</v>
      </c>
      <c r="L40" s="128">
        <f t="shared" si="4"/>
        <v>31.000000080000007</v>
      </c>
      <c r="M40" s="128">
        <f t="shared" si="5"/>
        <v>30.000000080000007</v>
      </c>
      <c r="N40" s="128">
        <f t="shared" si="6"/>
        <v>32.999999999999986</v>
      </c>
      <c r="O40" s="128">
        <f t="shared" si="7"/>
        <v>30</v>
      </c>
      <c r="P40" s="128">
        <f t="shared" si="8"/>
        <v>30</v>
      </c>
      <c r="Q40" s="128">
        <f t="shared" si="9"/>
        <v>27.000000000000011</v>
      </c>
      <c r="R40" s="128">
        <f t="shared" si="10"/>
        <v>-5.9999999999999751</v>
      </c>
      <c r="T40" s="128">
        <f t="shared" si="19"/>
        <v>-1.9999999199999792</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f t="shared" si="3"/>
        <v>42748</v>
      </c>
      <c r="L41" s="128">
        <f t="shared" si="4"/>
        <v>31.000000080000007</v>
      </c>
      <c r="M41" s="128">
        <f t="shared" si="5"/>
        <v>31.000000080000007</v>
      </c>
      <c r="N41" s="128">
        <f t="shared" si="6"/>
        <v>33.999999999999986</v>
      </c>
      <c r="O41" s="128">
        <f t="shared" si="7"/>
        <v>31</v>
      </c>
      <c r="P41" s="128">
        <f t="shared" si="8"/>
        <v>31</v>
      </c>
      <c r="Q41" s="128">
        <f t="shared" si="9"/>
        <v>28.000000000000011</v>
      </c>
      <c r="R41" s="128">
        <f t="shared" si="10"/>
        <v>-5.9999999999999751</v>
      </c>
      <c r="T41" s="128">
        <f t="shared" si="19"/>
        <v>-2.9999999199999792</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f t="shared" si="3"/>
        <v>42755</v>
      </c>
      <c r="L42" s="128">
        <f t="shared" si="4"/>
        <v>32.000000080000007</v>
      </c>
      <c r="M42" s="128">
        <f t="shared" si="5"/>
        <v>32.000000080000007</v>
      </c>
      <c r="N42" s="128">
        <f t="shared" si="6"/>
        <v>34.999999999999986</v>
      </c>
      <c r="O42" s="128">
        <f t="shared" si="7"/>
        <v>31</v>
      </c>
      <c r="P42" s="128">
        <f t="shared" si="8"/>
        <v>32</v>
      </c>
      <c r="Q42" s="128">
        <f t="shared" si="9"/>
        <v>28.000000000000011</v>
      </c>
      <c r="R42" s="128">
        <f t="shared" si="10"/>
        <v>-6.9999999999999751</v>
      </c>
      <c r="T42" s="128">
        <f t="shared" si="19"/>
        <v>-2.9999999199999792</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f t="shared" si="3"/>
        <v>42762</v>
      </c>
      <c r="L43" s="128">
        <f t="shared" si="4"/>
        <v>33.000000080000007</v>
      </c>
      <c r="M43" s="128">
        <f t="shared" si="5"/>
        <v>33.000000080000007</v>
      </c>
      <c r="N43" s="128">
        <f t="shared" si="6"/>
        <v>35.999999999999986</v>
      </c>
      <c r="O43" s="128">
        <f t="shared" si="7"/>
        <v>32</v>
      </c>
      <c r="P43" s="128">
        <f t="shared" si="8"/>
        <v>33</v>
      </c>
      <c r="Q43" s="128">
        <f t="shared" si="9"/>
        <v>29.000000000000011</v>
      </c>
      <c r="R43" s="128">
        <f t="shared" si="10"/>
        <v>-6.9999999999999751</v>
      </c>
      <c r="T43" s="128">
        <f t="shared" si="19"/>
        <v>-2.9999999199999792</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f t="shared" si="3"/>
        <v>42769</v>
      </c>
      <c r="L44" s="128">
        <f t="shared" si="4"/>
        <v>34.000000080000007</v>
      </c>
      <c r="M44" s="128">
        <f t="shared" si="5"/>
        <v>33.000000080000007</v>
      </c>
      <c r="N44" s="128">
        <f t="shared" si="6"/>
        <v>36.999999999999986</v>
      </c>
      <c r="O44" s="128">
        <f t="shared" si="7"/>
        <v>32</v>
      </c>
      <c r="P44" s="128">
        <f t="shared" si="8"/>
        <v>33</v>
      </c>
      <c r="Q44" s="128">
        <f t="shared" si="9"/>
        <v>30.000000000000011</v>
      </c>
      <c r="R44" s="128">
        <f t="shared" si="10"/>
        <v>-6.9999999999999751</v>
      </c>
      <c r="T44" s="128">
        <f t="shared" si="19"/>
        <v>-2.9999999199999792</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f t="shared" si="3"/>
        <v>42776</v>
      </c>
      <c r="L45" s="128">
        <f t="shared" si="4"/>
        <v>35.000000080000007</v>
      </c>
      <c r="M45" s="128">
        <f t="shared" si="5"/>
        <v>34.000000080000007</v>
      </c>
      <c r="N45" s="128">
        <f t="shared" si="6"/>
        <v>36.999999999999986</v>
      </c>
      <c r="O45" s="128">
        <f t="shared" si="7"/>
        <v>33</v>
      </c>
      <c r="P45" s="128">
        <f t="shared" si="8"/>
        <v>34</v>
      </c>
      <c r="Q45" s="128">
        <f t="shared" si="9"/>
        <v>31.000000000000011</v>
      </c>
      <c r="R45" s="128">
        <f t="shared" si="10"/>
        <v>-5.9999999999999751</v>
      </c>
      <c r="T45" s="128">
        <f t="shared" si="19"/>
        <v>-1.9999999199999792</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f t="shared" si="3"/>
        <v>42783</v>
      </c>
      <c r="L46" s="128">
        <f t="shared" si="4"/>
        <v>36.000000080000007</v>
      </c>
      <c r="M46" s="128">
        <f t="shared" si="5"/>
        <v>35.000000080000007</v>
      </c>
      <c r="N46" s="128">
        <f t="shared" si="6"/>
        <v>36.999999999999986</v>
      </c>
      <c r="O46" s="128">
        <f t="shared" si="7"/>
        <v>34</v>
      </c>
      <c r="P46" s="128">
        <f t="shared" si="8"/>
        <v>35</v>
      </c>
      <c r="Q46" s="128">
        <f t="shared" si="9"/>
        <v>32.000000000000014</v>
      </c>
      <c r="R46" s="128">
        <f t="shared" si="10"/>
        <v>-4.9999999999999716</v>
      </c>
      <c r="T46" s="128">
        <f t="shared" si="19"/>
        <v>-0.99999991999997917</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f t="shared" si="3"/>
        <v>42790</v>
      </c>
      <c r="L47" s="128">
        <f t="shared" si="4"/>
        <v>37.000000080000007</v>
      </c>
      <c r="M47" s="128">
        <f t="shared" si="5"/>
        <v>36.000000080000007</v>
      </c>
      <c r="N47" s="128">
        <f t="shared" si="6"/>
        <v>37.999999999999986</v>
      </c>
      <c r="O47" s="128">
        <f t="shared" si="7"/>
        <v>35</v>
      </c>
      <c r="P47" s="128">
        <f t="shared" si="8"/>
        <v>35</v>
      </c>
      <c r="Q47" s="128">
        <f t="shared" si="9"/>
        <v>33.000000000000014</v>
      </c>
      <c r="R47" s="128">
        <f t="shared" si="10"/>
        <v>-4.9999999999999716</v>
      </c>
      <c r="T47" s="128">
        <f t="shared" si="19"/>
        <v>-0.99999991999997917</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f t="shared" si="3"/>
        <v>42797</v>
      </c>
      <c r="L48" s="128">
        <f t="shared" si="4"/>
        <v>38.000000080000007</v>
      </c>
      <c r="M48" s="128">
        <f t="shared" si="5"/>
        <v>37.000000080000007</v>
      </c>
      <c r="N48" s="128">
        <f t="shared" si="6"/>
        <v>38.999999999999986</v>
      </c>
      <c r="O48" s="128">
        <f t="shared" si="7"/>
        <v>36</v>
      </c>
      <c r="P48" s="128">
        <f t="shared" si="8"/>
        <v>35</v>
      </c>
      <c r="Q48" s="128">
        <f t="shared" si="9"/>
        <v>34.000000000000014</v>
      </c>
      <c r="R48" s="128">
        <f t="shared" si="10"/>
        <v>-4.9999999999999716</v>
      </c>
      <c r="T48" s="128">
        <f t="shared" si="19"/>
        <v>-0.99999991999997917</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f t="shared" si="3"/>
        <v>42804</v>
      </c>
      <c r="L49" s="128">
        <f t="shared" si="4"/>
        <v>39.000000080000007</v>
      </c>
      <c r="M49" s="128">
        <f t="shared" si="5"/>
        <v>38.000000080000007</v>
      </c>
      <c r="N49" s="128">
        <f t="shared" si="6"/>
        <v>38.999999999999986</v>
      </c>
      <c r="O49" s="128">
        <f t="shared" si="7"/>
        <v>37</v>
      </c>
      <c r="P49" s="128">
        <f t="shared" si="8"/>
        <v>36</v>
      </c>
      <c r="Q49" s="128">
        <f t="shared" si="9"/>
        <v>35.000000000000014</v>
      </c>
      <c r="R49" s="128">
        <f t="shared" si="10"/>
        <v>-4.0000000799999924</v>
      </c>
      <c r="T49" s="128">
        <f t="shared" si="19"/>
        <v>8.0000020830084395E-8</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f t="shared" si="3"/>
        <v>42811</v>
      </c>
      <c r="L50" s="128">
        <f t="shared" si="4"/>
        <v>40.000000080000007</v>
      </c>
      <c r="M50" s="128">
        <f t="shared" si="5"/>
        <v>39.000000080000007</v>
      </c>
      <c r="N50" s="128">
        <f t="shared" si="6"/>
        <v>39.999999999999986</v>
      </c>
      <c r="O50" s="128">
        <f t="shared" si="7"/>
        <v>38</v>
      </c>
      <c r="P50" s="128">
        <f t="shared" si="8"/>
        <v>37</v>
      </c>
      <c r="Q50" s="128">
        <f t="shared" si="9"/>
        <v>36.000000000000014</v>
      </c>
      <c r="R50" s="128">
        <f t="shared" si="10"/>
        <v>-4.0000000799999924</v>
      </c>
      <c r="T50" s="128">
        <f t="shared" si="19"/>
        <v>8.0000020830084395E-8</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f t="shared" si="3"/>
        <v>42818</v>
      </c>
      <c r="L51" s="128">
        <f t="shared" si="4"/>
        <v>41.000000080000007</v>
      </c>
      <c r="M51" s="128">
        <f t="shared" si="5"/>
        <v>40.000000080000007</v>
      </c>
      <c r="N51" s="128">
        <f t="shared" si="6"/>
        <v>39.999999999999986</v>
      </c>
      <c r="O51" s="128">
        <f t="shared" si="7"/>
        <v>39</v>
      </c>
      <c r="P51" s="128">
        <f t="shared" si="8"/>
        <v>38</v>
      </c>
      <c r="Q51" s="128">
        <f t="shared" si="9"/>
        <v>37.000000000000014</v>
      </c>
      <c r="R51" s="128">
        <f t="shared" si="10"/>
        <v>-4.0000000799999924</v>
      </c>
      <c r="T51" s="128">
        <f t="shared" si="19"/>
        <v>1.0000000800000208</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f t="shared" si="3"/>
        <v>42825</v>
      </c>
      <c r="L52" s="128">
        <f t="shared" si="4"/>
        <v>42.000000080000007</v>
      </c>
      <c r="M52" s="128">
        <f t="shared" si="5"/>
        <v>40.000000080000007</v>
      </c>
      <c r="N52" s="128">
        <f t="shared" si="6"/>
        <v>39.999999999999986</v>
      </c>
      <c r="O52" s="128">
        <f t="shared" si="7"/>
        <v>39</v>
      </c>
      <c r="P52" s="128">
        <f t="shared" si="8"/>
        <v>39</v>
      </c>
      <c r="Q52" s="128">
        <f t="shared" si="9"/>
        <v>38.000000000000014</v>
      </c>
      <c r="R52" s="128">
        <f t="shared" si="10"/>
        <v>-4.0000000799999924</v>
      </c>
      <c r="T52" s="128">
        <f t="shared" si="19"/>
        <v>2.0000000800000208</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f t="shared" si="3"/>
        <v>42832</v>
      </c>
      <c r="L53" s="128">
        <f t="shared" si="4"/>
        <v>42.000000080000007</v>
      </c>
      <c r="M53" s="128">
        <f t="shared" si="5"/>
        <v>40.000000080000007</v>
      </c>
      <c r="N53" s="128">
        <f t="shared" si="6"/>
        <v>40.999999999999986</v>
      </c>
      <c r="O53" s="128">
        <f t="shared" si="7"/>
        <v>40</v>
      </c>
      <c r="P53" s="128">
        <f t="shared" si="8"/>
        <v>40</v>
      </c>
      <c r="Q53" s="128">
        <f t="shared" si="9"/>
        <v>39.000000000000014</v>
      </c>
      <c r="R53" s="128">
        <f t="shared" si="10"/>
        <v>-3.0000000799999924</v>
      </c>
      <c r="T53" s="128">
        <f t="shared" si="19"/>
        <v>1.0000000800000208</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f t="shared" si="3"/>
        <v>42846</v>
      </c>
      <c r="L54" s="128">
        <f t="shared" si="4"/>
        <v>43.000000080000007</v>
      </c>
      <c r="M54" s="128">
        <f t="shared" si="5"/>
        <v>40.000000080000007</v>
      </c>
      <c r="N54" s="128">
        <f t="shared" si="6"/>
        <v>41.999999999999986</v>
      </c>
      <c r="O54" s="128">
        <f t="shared" si="7"/>
        <v>41</v>
      </c>
      <c r="P54" s="128">
        <f t="shared" si="8"/>
        <v>41</v>
      </c>
      <c r="Q54" s="128">
        <f t="shared" si="9"/>
        <v>40.000000000000014</v>
      </c>
      <c r="R54" s="128">
        <f t="shared" si="10"/>
        <v>-3.0000000799999924</v>
      </c>
      <c r="T54" s="128">
        <f t="shared" si="19"/>
        <v>1.0000000800000208</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f t="shared" si="3"/>
        <v>42853</v>
      </c>
      <c r="L55" s="128">
        <f t="shared" si="4"/>
        <v>44.000000080000007</v>
      </c>
      <c r="M55" s="128">
        <f t="shared" si="5"/>
        <v>40.000000080000007</v>
      </c>
      <c r="N55" s="128">
        <f t="shared" si="6"/>
        <v>42.999999999999986</v>
      </c>
      <c r="O55" s="128">
        <f t="shared" si="7"/>
        <v>42</v>
      </c>
      <c r="P55" s="128">
        <f t="shared" si="8"/>
        <v>42</v>
      </c>
      <c r="Q55" s="128">
        <f t="shared" si="9"/>
        <v>41.000000000000014</v>
      </c>
      <c r="R55" s="128">
        <f t="shared" si="10"/>
        <v>-3.0000000799999924</v>
      </c>
      <c r="T55" s="128">
        <f t="shared" si="19"/>
        <v>1.0000000800000208</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f t="shared" si="3"/>
        <v>42860</v>
      </c>
      <c r="L56" s="128">
        <f t="shared" si="4"/>
        <v>45.000000080000007</v>
      </c>
      <c r="M56" s="128">
        <f t="shared" si="5"/>
        <v>40.000000080000007</v>
      </c>
      <c r="N56" s="128">
        <f t="shared" si="6"/>
        <v>43.999999999999986</v>
      </c>
      <c r="O56" s="128">
        <f t="shared" si="7"/>
        <v>43</v>
      </c>
      <c r="P56" s="128">
        <f t="shared" si="8"/>
        <v>43</v>
      </c>
      <c r="Q56" s="128">
        <f t="shared" si="9"/>
        <v>42.000000000000014</v>
      </c>
      <c r="R56" s="128">
        <f t="shared" si="10"/>
        <v>-3.0000000799999924</v>
      </c>
      <c r="T56" s="128">
        <f t="shared" si="19"/>
        <v>1.0000000800000208</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f t="shared" si="3"/>
        <v>42867</v>
      </c>
      <c r="L57" s="128">
        <f t="shared" si="4"/>
        <v>46.000000080000007</v>
      </c>
      <c r="M57" s="128">
        <f t="shared" si="5"/>
        <v>40.000000080000007</v>
      </c>
      <c r="N57" s="128">
        <f t="shared" si="6"/>
        <v>44.999999999999986</v>
      </c>
      <c r="O57" s="128">
        <f t="shared" si="7"/>
        <v>44</v>
      </c>
      <c r="P57" s="128">
        <f t="shared" si="8"/>
        <v>44</v>
      </c>
      <c r="Q57" s="128">
        <f t="shared" si="9"/>
        <v>43.000000000000014</v>
      </c>
      <c r="R57" s="128">
        <f t="shared" si="10"/>
        <v>-3.0000000799999924</v>
      </c>
      <c r="T57" s="128">
        <f t="shared" si="19"/>
        <v>1.0000000800000208</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f t="shared" si="3"/>
        <v>42874</v>
      </c>
      <c r="L58" s="128">
        <f t="shared" si="4"/>
        <v>47.000000080000007</v>
      </c>
      <c r="M58" s="128">
        <f t="shared" si="5"/>
        <v>40.000000080000007</v>
      </c>
      <c r="N58" s="128">
        <f t="shared" si="6"/>
        <v>44.999999999999986</v>
      </c>
      <c r="O58" s="128">
        <f t="shared" si="7"/>
        <v>45</v>
      </c>
      <c r="P58" s="128">
        <f t="shared" si="8"/>
        <v>45</v>
      </c>
      <c r="Q58" s="128">
        <f t="shared" si="9"/>
        <v>44.000000000000014</v>
      </c>
      <c r="R58" s="128">
        <f t="shared" si="10"/>
        <v>-3.0000000799999924</v>
      </c>
      <c r="T58" s="128">
        <f t="shared" si="19"/>
        <v>2.0000000800000208</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f t="shared" si="3"/>
        <v>42881</v>
      </c>
      <c r="L59" s="128">
        <f t="shared" si="4"/>
        <v>48.000000080000007</v>
      </c>
      <c r="M59" s="128">
        <f t="shared" si="5"/>
        <v>40.000000080000007</v>
      </c>
      <c r="N59" s="128">
        <f t="shared" si="6"/>
        <v>44.999999999999986</v>
      </c>
      <c r="O59" s="128">
        <f t="shared" si="7"/>
        <v>46</v>
      </c>
      <c r="P59" s="128">
        <f t="shared" si="8"/>
        <v>45</v>
      </c>
      <c r="Q59" s="128">
        <f t="shared" si="9"/>
        <v>45.000000000000014</v>
      </c>
      <c r="R59" s="128">
        <f t="shared" si="10"/>
        <v>-3.0000000799999924</v>
      </c>
      <c r="T59" s="128">
        <f t="shared" si="19"/>
        <v>3.0000000800000208</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f t="shared" si="3"/>
        <v>42888</v>
      </c>
      <c r="L60" s="128">
        <f t="shared" si="4"/>
        <v>49.000000080000007</v>
      </c>
      <c r="M60" s="128">
        <f t="shared" si="5"/>
        <v>40.000000080000007</v>
      </c>
      <c r="N60" s="128">
        <f t="shared" si="6"/>
        <v>44.999999999999986</v>
      </c>
      <c r="O60" s="128">
        <f t="shared" si="7"/>
        <v>47</v>
      </c>
      <c r="P60" s="128">
        <f t="shared" si="8"/>
        <v>45</v>
      </c>
      <c r="Q60" s="128">
        <f t="shared" si="9"/>
        <v>46.000000000000014</v>
      </c>
      <c r="R60" s="128">
        <f t="shared" si="10"/>
        <v>-3.0000000799999924</v>
      </c>
      <c r="T60" s="128">
        <f t="shared" si="19"/>
        <v>4.0000000800000208</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f t="shared" si="3"/>
        <v>42895</v>
      </c>
      <c r="L61" s="128">
        <f t="shared" si="4"/>
        <v>50.000000080000007</v>
      </c>
      <c r="M61" s="128">
        <f t="shared" si="5"/>
        <v>40.000000080000007</v>
      </c>
      <c r="N61" s="128">
        <f t="shared" si="6"/>
        <v>44.999999999999986</v>
      </c>
      <c r="O61" s="128">
        <f t="shared" si="7"/>
        <v>48</v>
      </c>
      <c r="P61" s="128">
        <f t="shared" si="8"/>
        <v>45</v>
      </c>
      <c r="Q61" s="128">
        <f t="shared" si="9"/>
        <v>47.000000000000014</v>
      </c>
      <c r="R61" s="128">
        <f t="shared" si="10"/>
        <v>-3.0000000799999924</v>
      </c>
      <c r="T61" s="128">
        <f t="shared" si="19"/>
        <v>5.0000000800000208</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f t="shared" si="3"/>
        <v>42902</v>
      </c>
      <c r="L62" s="128">
        <f t="shared" si="4"/>
        <v>51.000000080000007</v>
      </c>
      <c r="M62" s="128">
        <f t="shared" si="5"/>
        <v>40.000000080000007</v>
      </c>
      <c r="N62" s="128">
        <f t="shared" si="6"/>
        <v>45.999999999999986</v>
      </c>
      <c r="O62" s="128">
        <f t="shared" si="7"/>
        <v>48</v>
      </c>
      <c r="P62" s="128">
        <f t="shared" si="8"/>
        <v>45</v>
      </c>
      <c r="Q62" s="128">
        <f t="shared" si="9"/>
        <v>48.000000000000014</v>
      </c>
      <c r="R62" s="128">
        <f t="shared" si="10"/>
        <v>-3.0000000799999924</v>
      </c>
      <c r="T62" s="128">
        <f t="shared" si="19"/>
        <v>5.0000000800000208</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f t="shared" si="3"/>
        <v>42909</v>
      </c>
      <c r="L63" s="128">
        <f t="shared" si="4"/>
        <v>52.000000080000007</v>
      </c>
      <c r="M63" s="128">
        <f t="shared" si="5"/>
        <v>40.000000080000007</v>
      </c>
      <c r="N63" s="128">
        <f t="shared" si="6"/>
        <v>46.999999999999986</v>
      </c>
      <c r="O63" s="128">
        <f t="shared" si="7"/>
        <v>49</v>
      </c>
      <c r="P63" s="128">
        <f t="shared" si="8"/>
        <v>45</v>
      </c>
      <c r="Q63" s="128">
        <f t="shared" si="9"/>
        <v>48.000000000000014</v>
      </c>
      <c r="R63" s="128">
        <f t="shared" si="10"/>
        <v>-4.0000000799999924</v>
      </c>
      <c r="T63" s="128">
        <f t="shared" si="19"/>
        <v>5.0000000800000208</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f t="shared" si="3"/>
        <v>42916</v>
      </c>
      <c r="L64" s="128">
        <f t="shared" si="4"/>
        <v>53.000000080000007</v>
      </c>
      <c r="M64" s="128">
        <f t="shared" si="5"/>
        <v>40.000000080000007</v>
      </c>
      <c r="N64" s="128">
        <f t="shared" si="6"/>
        <v>47.999999999999986</v>
      </c>
      <c r="O64" s="128">
        <f t="shared" si="7"/>
        <v>50</v>
      </c>
      <c r="P64" s="128">
        <f t="shared" si="8"/>
        <v>46</v>
      </c>
      <c r="Q64" s="128">
        <f t="shared" si="9"/>
        <v>48.000000000000014</v>
      </c>
      <c r="R64" s="128">
        <f t="shared" si="10"/>
        <v>-5.0000000799999924</v>
      </c>
      <c r="T64" s="128">
        <f t="shared" si="19"/>
        <v>5.0000000800000208</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f t="shared" si="3"/>
        <v>42923</v>
      </c>
      <c r="L65" s="128">
        <f t="shared" si="4"/>
        <v>54.000000080000007</v>
      </c>
      <c r="M65" s="128">
        <f t="shared" si="5"/>
        <v>40.000000080000007</v>
      </c>
      <c r="N65" s="128">
        <f t="shared" si="6"/>
        <v>48.999999999999986</v>
      </c>
      <c r="O65" s="128">
        <f t="shared" si="7"/>
        <v>51</v>
      </c>
      <c r="P65" s="128">
        <f t="shared" si="8"/>
        <v>47</v>
      </c>
      <c r="Q65" s="128">
        <f t="shared" si="9"/>
        <v>48.000000000000014</v>
      </c>
      <c r="R65" s="128">
        <f t="shared" si="10"/>
        <v>-6.0000000799999924</v>
      </c>
      <c r="T65" s="128">
        <f t="shared" si="19"/>
        <v>5.0000000800000208</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f t="shared" si="3"/>
        <v>42930</v>
      </c>
      <c r="L66" s="128">
        <f t="shared" si="4"/>
        <v>55.000000080000007</v>
      </c>
      <c r="M66" s="128">
        <f t="shared" si="5"/>
        <v>40.000000080000007</v>
      </c>
      <c r="N66" s="128">
        <f t="shared" si="6"/>
        <v>49.999999999999986</v>
      </c>
      <c r="O66" s="128">
        <f t="shared" si="7"/>
        <v>52</v>
      </c>
      <c r="P66" s="128">
        <f t="shared" si="8"/>
        <v>48</v>
      </c>
      <c r="Q66" s="128">
        <f t="shared" si="9"/>
        <v>49.000000000000014</v>
      </c>
      <c r="R66" s="128">
        <f t="shared" si="10"/>
        <v>-6.0000000799999924</v>
      </c>
      <c r="T66" s="128">
        <f t="shared" si="19"/>
        <v>5.0000000800000208</v>
      </c>
      <c r="U66" s="128">
        <f t="shared" ref="U66:U129" si="20">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f t="shared" ref="K67:K130" si="21">A67</f>
        <v>42937</v>
      </c>
      <c r="L67" s="128">
        <f t="shared" ref="L67:L130" si="22">B67+L66</f>
        <v>55.000000080000007</v>
      </c>
      <c r="M67" s="128">
        <f t="shared" ref="M67:M130" si="23">C67+M66</f>
        <v>40.000000080000007</v>
      </c>
      <c r="N67" s="128">
        <f t="shared" ref="N67:N130" si="24">D67+N66</f>
        <v>50.999999999999986</v>
      </c>
      <c r="O67" s="128">
        <f t="shared" ref="O67:O130" si="25">E67+O66</f>
        <v>52</v>
      </c>
      <c r="P67" s="128">
        <f t="shared" ref="P67:P130" si="26">F67+P66</f>
        <v>49</v>
      </c>
      <c r="Q67" s="128">
        <f t="shared" ref="Q67:Q130" si="27">G67+Q66</f>
        <v>50.000000000000014</v>
      </c>
      <c r="R67" s="128">
        <f t="shared" ref="R67:R130" si="28">Q67-MAX(L67:P67)</f>
        <v>-5.0000000799999924</v>
      </c>
      <c r="T67" s="128">
        <f t="shared" si="19"/>
        <v>4.0000000800000208</v>
      </c>
      <c r="U67" s="128">
        <f t="shared" si="20"/>
        <v>297.00000016000001</v>
      </c>
      <c r="W67" s="128">
        <f t="shared" ref="W67:W130" si="29">Q67</f>
        <v>50.000000000000014</v>
      </c>
      <c r="X67" s="128">
        <f t="shared" ref="X67:X130" si="30">M67+O67</f>
        <v>92.000000080000007</v>
      </c>
    </row>
    <row r="68" spans="1:24" ht="16.5" customHeight="1">
      <c r="A68" s="22">
        <v>42944</v>
      </c>
      <c r="B68" s="130">
        <v>0</v>
      </c>
      <c r="C68" s="130">
        <v>0</v>
      </c>
      <c r="D68" s="130">
        <v>1</v>
      </c>
      <c r="E68" s="130">
        <v>0</v>
      </c>
      <c r="F68" s="130">
        <v>1</v>
      </c>
      <c r="G68" s="130">
        <v>1</v>
      </c>
      <c r="K68" s="86">
        <f t="shared" si="21"/>
        <v>42944</v>
      </c>
      <c r="L68" s="128">
        <f t="shared" si="22"/>
        <v>55.000000080000007</v>
      </c>
      <c r="M68" s="128">
        <f t="shared" si="23"/>
        <v>40.000000080000007</v>
      </c>
      <c r="N68" s="128">
        <f t="shared" si="24"/>
        <v>51.999999999999986</v>
      </c>
      <c r="O68" s="128">
        <f t="shared" si="25"/>
        <v>52</v>
      </c>
      <c r="P68" s="128">
        <f t="shared" si="26"/>
        <v>50</v>
      </c>
      <c r="Q68" s="128">
        <f t="shared" si="27"/>
        <v>51.000000000000014</v>
      </c>
      <c r="R68" s="128">
        <f t="shared" si="28"/>
        <v>-4.0000000799999924</v>
      </c>
      <c r="T68" s="128">
        <f t="shared" si="19"/>
        <v>3.0000000800000208</v>
      </c>
      <c r="U68" s="128">
        <f t="shared" si="20"/>
        <v>300.00000016000001</v>
      </c>
      <c r="W68" s="128">
        <f t="shared" si="29"/>
        <v>51.000000000000014</v>
      </c>
      <c r="X68" s="128">
        <f t="shared" si="30"/>
        <v>92.000000080000007</v>
      </c>
    </row>
    <row r="69" spans="1:24" ht="16.5" customHeight="1">
      <c r="A69" s="22">
        <v>42951</v>
      </c>
      <c r="B69" s="130">
        <v>0</v>
      </c>
      <c r="C69" s="130">
        <v>0</v>
      </c>
      <c r="D69" s="130">
        <v>1</v>
      </c>
      <c r="E69" s="130">
        <v>0</v>
      </c>
      <c r="F69" s="130">
        <v>1</v>
      </c>
      <c r="G69" s="130">
        <v>1</v>
      </c>
      <c r="K69" s="86">
        <f t="shared" si="21"/>
        <v>42951</v>
      </c>
      <c r="L69" s="128">
        <f t="shared" si="22"/>
        <v>55.000000080000007</v>
      </c>
      <c r="M69" s="128">
        <f t="shared" si="23"/>
        <v>40.000000080000007</v>
      </c>
      <c r="N69" s="128">
        <f t="shared" si="24"/>
        <v>52.999999999999986</v>
      </c>
      <c r="O69" s="128">
        <f t="shared" si="25"/>
        <v>52</v>
      </c>
      <c r="P69" s="128">
        <f t="shared" si="26"/>
        <v>51</v>
      </c>
      <c r="Q69" s="128">
        <f t="shared" si="27"/>
        <v>52.000000000000014</v>
      </c>
      <c r="R69" s="128">
        <f t="shared" si="28"/>
        <v>-3.0000000799999924</v>
      </c>
      <c r="T69" s="128">
        <f t="shared" si="19"/>
        <v>2.0000000800000208</v>
      </c>
      <c r="U69" s="128">
        <f t="shared" si="20"/>
        <v>303.00000016000001</v>
      </c>
      <c r="W69" s="128">
        <f t="shared" si="29"/>
        <v>52.000000000000014</v>
      </c>
      <c r="X69" s="128">
        <f t="shared" si="30"/>
        <v>92.000000080000007</v>
      </c>
    </row>
    <row r="70" spans="1:24" ht="16.5" customHeight="1">
      <c r="A70" s="22">
        <v>42958</v>
      </c>
      <c r="B70" s="130">
        <v>0</v>
      </c>
      <c r="C70" s="130">
        <v>1</v>
      </c>
      <c r="D70" s="130">
        <v>1</v>
      </c>
      <c r="E70" s="130">
        <v>0</v>
      </c>
      <c r="F70" s="130">
        <v>1</v>
      </c>
      <c r="G70" s="130">
        <v>1</v>
      </c>
      <c r="K70" s="86">
        <f t="shared" si="21"/>
        <v>42958</v>
      </c>
      <c r="L70" s="128">
        <f t="shared" si="22"/>
        <v>55.000000080000007</v>
      </c>
      <c r="M70" s="128">
        <f t="shared" si="23"/>
        <v>41.000000080000007</v>
      </c>
      <c r="N70" s="128">
        <f t="shared" si="24"/>
        <v>53.999999999999986</v>
      </c>
      <c r="O70" s="128">
        <f t="shared" si="25"/>
        <v>52</v>
      </c>
      <c r="P70" s="128">
        <f t="shared" si="26"/>
        <v>52</v>
      </c>
      <c r="Q70" s="128">
        <f t="shared" si="27"/>
        <v>53.000000000000014</v>
      </c>
      <c r="R70" s="128">
        <f t="shared" si="28"/>
        <v>-2.0000000799999924</v>
      </c>
      <c r="T70" s="128">
        <f t="shared" si="19"/>
        <v>1.0000000800000208</v>
      </c>
      <c r="U70" s="128">
        <f t="shared" si="20"/>
        <v>307.00000016000001</v>
      </c>
      <c r="W70" s="128">
        <f t="shared" si="29"/>
        <v>53.000000000000014</v>
      </c>
      <c r="X70" s="128">
        <f t="shared" si="30"/>
        <v>93.000000080000007</v>
      </c>
    </row>
    <row r="71" spans="1:24" ht="16.5" customHeight="1">
      <c r="A71" s="22">
        <v>42965</v>
      </c>
      <c r="B71" s="130">
        <v>0</v>
      </c>
      <c r="C71" s="130">
        <v>0</v>
      </c>
      <c r="D71" s="130">
        <v>0</v>
      </c>
      <c r="E71" s="130">
        <v>0</v>
      </c>
      <c r="F71" s="130">
        <v>1</v>
      </c>
      <c r="G71" s="130">
        <v>1</v>
      </c>
      <c r="K71" s="86">
        <f t="shared" si="21"/>
        <v>42965</v>
      </c>
      <c r="L71" s="128">
        <f t="shared" si="22"/>
        <v>55.000000080000007</v>
      </c>
      <c r="M71" s="128">
        <f t="shared" si="23"/>
        <v>41.000000080000007</v>
      </c>
      <c r="N71" s="128">
        <f t="shared" si="24"/>
        <v>53.999999999999986</v>
      </c>
      <c r="O71" s="128">
        <f t="shared" si="25"/>
        <v>52</v>
      </c>
      <c r="P71" s="128">
        <f t="shared" si="26"/>
        <v>53</v>
      </c>
      <c r="Q71" s="128">
        <f t="shared" si="27"/>
        <v>54.000000000000014</v>
      </c>
      <c r="R71" s="128">
        <f t="shared" si="28"/>
        <v>-1.0000000799999924</v>
      </c>
      <c r="T71" s="128">
        <f t="shared" si="19"/>
        <v>1.0000000800000208</v>
      </c>
      <c r="U71" s="128">
        <f t="shared" si="20"/>
        <v>309.00000016000001</v>
      </c>
      <c r="W71" s="128">
        <f t="shared" si="29"/>
        <v>54.000000000000014</v>
      </c>
      <c r="X71" s="128">
        <f t="shared" si="30"/>
        <v>93.000000080000007</v>
      </c>
    </row>
    <row r="72" spans="1:24">
      <c r="A72" s="22">
        <v>42972</v>
      </c>
      <c r="B72" s="130">
        <v>1</v>
      </c>
      <c r="C72" s="130">
        <v>0</v>
      </c>
      <c r="D72" s="130">
        <v>1</v>
      </c>
      <c r="E72" s="130">
        <v>1</v>
      </c>
      <c r="F72" s="130">
        <v>1</v>
      </c>
      <c r="G72" s="130">
        <v>1</v>
      </c>
      <c r="K72" s="86">
        <f t="shared" si="21"/>
        <v>42972</v>
      </c>
      <c r="L72" s="128">
        <f t="shared" si="22"/>
        <v>56.000000080000007</v>
      </c>
      <c r="M72" s="128">
        <f t="shared" si="23"/>
        <v>41.000000080000007</v>
      </c>
      <c r="N72" s="128">
        <f t="shared" si="24"/>
        <v>54.999999999999986</v>
      </c>
      <c r="O72" s="128">
        <f t="shared" si="25"/>
        <v>53</v>
      </c>
      <c r="P72" s="128">
        <f t="shared" si="26"/>
        <v>54</v>
      </c>
      <c r="Q72" s="128">
        <f t="shared" si="27"/>
        <v>55.000000000000014</v>
      </c>
      <c r="R72" s="128">
        <f t="shared" si="28"/>
        <v>-1.0000000799999924</v>
      </c>
      <c r="T72" s="128">
        <f t="shared" si="19"/>
        <v>1.0000000800000208</v>
      </c>
      <c r="U72" s="128">
        <f t="shared" si="20"/>
        <v>314.00000016000001</v>
      </c>
      <c r="W72" s="128">
        <f t="shared" si="29"/>
        <v>55.000000000000014</v>
      </c>
      <c r="X72" s="128">
        <f t="shared" si="30"/>
        <v>94.000000080000007</v>
      </c>
    </row>
    <row r="73" spans="1:24">
      <c r="A73" s="22">
        <v>42979</v>
      </c>
      <c r="B73" s="130">
        <v>1</v>
      </c>
      <c r="C73" s="130">
        <v>0</v>
      </c>
      <c r="D73" s="130">
        <v>1</v>
      </c>
      <c r="E73" s="130">
        <v>1</v>
      </c>
      <c r="F73" s="130">
        <v>0</v>
      </c>
      <c r="G73" s="130">
        <v>1</v>
      </c>
      <c r="K73" s="86">
        <f t="shared" si="21"/>
        <v>42979</v>
      </c>
      <c r="L73" s="128">
        <f t="shared" si="22"/>
        <v>57.000000080000007</v>
      </c>
      <c r="M73" s="128">
        <f t="shared" si="23"/>
        <v>41.000000080000007</v>
      </c>
      <c r="N73" s="128">
        <f t="shared" si="24"/>
        <v>55.999999999999986</v>
      </c>
      <c r="O73" s="128">
        <f t="shared" si="25"/>
        <v>54</v>
      </c>
      <c r="P73" s="128">
        <f t="shared" si="26"/>
        <v>54</v>
      </c>
      <c r="Q73" s="128">
        <f t="shared" si="27"/>
        <v>56.000000000000014</v>
      </c>
      <c r="R73" s="128">
        <f t="shared" si="28"/>
        <v>-1.0000000799999924</v>
      </c>
      <c r="T73" s="128">
        <f t="shared" si="19"/>
        <v>1.0000000800000208</v>
      </c>
      <c r="U73" s="128">
        <f t="shared" si="20"/>
        <v>318.00000016000001</v>
      </c>
      <c r="W73" s="128">
        <f t="shared" si="29"/>
        <v>56.000000000000014</v>
      </c>
      <c r="X73" s="128">
        <f t="shared" si="30"/>
        <v>95.000000080000007</v>
      </c>
    </row>
    <row r="74" spans="1:24">
      <c r="A74" s="22">
        <v>42986</v>
      </c>
      <c r="B74" s="130">
        <v>1</v>
      </c>
      <c r="C74" s="130">
        <v>0</v>
      </c>
      <c r="D74" s="130">
        <v>0</v>
      </c>
      <c r="E74" s="130">
        <v>1</v>
      </c>
      <c r="F74" s="130">
        <v>1</v>
      </c>
      <c r="G74" s="130">
        <v>1</v>
      </c>
      <c r="K74" s="86">
        <f t="shared" si="21"/>
        <v>42986</v>
      </c>
      <c r="L74" s="128">
        <f t="shared" si="22"/>
        <v>58.000000080000007</v>
      </c>
      <c r="M74" s="128">
        <f t="shared" si="23"/>
        <v>41.000000080000007</v>
      </c>
      <c r="N74" s="128">
        <f t="shared" si="24"/>
        <v>55.999999999999986</v>
      </c>
      <c r="O74" s="128">
        <f t="shared" si="25"/>
        <v>55</v>
      </c>
      <c r="P74" s="128">
        <f t="shared" si="26"/>
        <v>55</v>
      </c>
      <c r="Q74" s="128">
        <f t="shared" si="27"/>
        <v>57.000000000000014</v>
      </c>
      <c r="R74" s="128">
        <f t="shared" si="28"/>
        <v>-1.0000000799999924</v>
      </c>
      <c r="T74" s="128">
        <f t="shared" si="19"/>
        <v>2.0000000800000208</v>
      </c>
      <c r="U74" s="128">
        <f t="shared" si="20"/>
        <v>322.00000016000001</v>
      </c>
      <c r="W74" s="128">
        <f t="shared" si="29"/>
        <v>57.000000000000014</v>
      </c>
      <c r="X74" s="128">
        <f t="shared" si="30"/>
        <v>96.000000080000007</v>
      </c>
    </row>
    <row r="75" spans="1:24">
      <c r="A75" s="22">
        <v>42993</v>
      </c>
      <c r="B75" s="130">
        <v>1</v>
      </c>
      <c r="C75" s="130">
        <v>0</v>
      </c>
      <c r="D75" s="130">
        <v>1</v>
      </c>
      <c r="E75" s="130">
        <v>1</v>
      </c>
      <c r="F75" s="130">
        <v>0</v>
      </c>
      <c r="G75" s="130">
        <v>1</v>
      </c>
      <c r="K75" s="86">
        <f t="shared" si="21"/>
        <v>42993</v>
      </c>
      <c r="L75" s="128">
        <f t="shared" si="22"/>
        <v>59.000000080000007</v>
      </c>
      <c r="M75" s="128">
        <f t="shared" si="23"/>
        <v>41.000000080000007</v>
      </c>
      <c r="N75" s="128">
        <f t="shared" si="24"/>
        <v>56.999999999999986</v>
      </c>
      <c r="O75" s="128">
        <f t="shared" si="25"/>
        <v>56</v>
      </c>
      <c r="P75" s="128">
        <f t="shared" si="26"/>
        <v>55</v>
      </c>
      <c r="Q75" s="128">
        <f t="shared" si="27"/>
        <v>58.000000000000014</v>
      </c>
      <c r="R75" s="128">
        <f t="shared" si="28"/>
        <v>-1.0000000799999924</v>
      </c>
      <c r="T75" s="128">
        <f t="shared" si="19"/>
        <v>2.0000000800000208</v>
      </c>
      <c r="U75" s="128">
        <f t="shared" si="20"/>
        <v>326.00000016000001</v>
      </c>
      <c r="W75" s="128">
        <f t="shared" si="29"/>
        <v>58.000000000000014</v>
      </c>
      <c r="X75" s="128">
        <f t="shared" si="30"/>
        <v>97.000000080000007</v>
      </c>
    </row>
    <row r="76" spans="1:24">
      <c r="A76" s="22">
        <v>43000</v>
      </c>
      <c r="B76" s="130">
        <v>1</v>
      </c>
      <c r="C76" s="130">
        <v>0</v>
      </c>
      <c r="D76" s="130">
        <v>1</v>
      </c>
      <c r="E76" s="130">
        <v>1</v>
      </c>
      <c r="F76" s="130">
        <v>1</v>
      </c>
      <c r="G76" s="130">
        <v>1</v>
      </c>
      <c r="K76" s="86">
        <f t="shared" si="21"/>
        <v>43000</v>
      </c>
      <c r="L76" s="128">
        <f t="shared" si="22"/>
        <v>60.000000080000007</v>
      </c>
      <c r="M76" s="128">
        <f t="shared" si="23"/>
        <v>41.000000080000007</v>
      </c>
      <c r="N76" s="128">
        <f t="shared" si="24"/>
        <v>57.999999999999986</v>
      </c>
      <c r="O76" s="128">
        <f t="shared" si="25"/>
        <v>57</v>
      </c>
      <c r="P76" s="128">
        <f t="shared" si="26"/>
        <v>56</v>
      </c>
      <c r="Q76" s="128">
        <f t="shared" si="27"/>
        <v>59.000000000000014</v>
      </c>
      <c r="R76" s="128">
        <f t="shared" si="28"/>
        <v>-1.0000000799999924</v>
      </c>
      <c r="T76" s="128">
        <f t="shared" si="19"/>
        <v>2.0000000800000208</v>
      </c>
      <c r="U76" s="128">
        <f t="shared" si="20"/>
        <v>331.00000016000001</v>
      </c>
      <c r="W76" s="128">
        <f t="shared" si="29"/>
        <v>59.000000000000014</v>
      </c>
      <c r="X76" s="128">
        <f t="shared" si="30"/>
        <v>98.000000080000007</v>
      </c>
    </row>
    <row r="77" spans="1:24">
      <c r="A77" s="22">
        <v>43007</v>
      </c>
      <c r="B77" s="130">
        <v>1</v>
      </c>
      <c r="C77" s="130">
        <v>0</v>
      </c>
      <c r="D77" s="130">
        <v>0</v>
      </c>
      <c r="E77" s="130">
        <v>1</v>
      </c>
      <c r="F77" s="130">
        <v>1</v>
      </c>
      <c r="G77" s="130">
        <v>1</v>
      </c>
      <c r="K77" s="86">
        <f t="shared" si="21"/>
        <v>43007</v>
      </c>
      <c r="L77" s="128">
        <f t="shared" si="22"/>
        <v>61.000000080000007</v>
      </c>
      <c r="M77" s="128">
        <f t="shared" si="23"/>
        <v>41.000000080000007</v>
      </c>
      <c r="N77" s="128">
        <f t="shared" si="24"/>
        <v>57.999999999999986</v>
      </c>
      <c r="O77" s="128">
        <f t="shared" si="25"/>
        <v>58</v>
      </c>
      <c r="P77" s="128">
        <f t="shared" si="26"/>
        <v>57</v>
      </c>
      <c r="Q77" s="128">
        <f t="shared" si="27"/>
        <v>60.000000000000014</v>
      </c>
      <c r="R77" s="128">
        <f t="shared" si="28"/>
        <v>-1.0000000799999924</v>
      </c>
      <c r="T77" s="128">
        <f t="shared" si="19"/>
        <v>3.0000000800000208</v>
      </c>
      <c r="U77" s="128">
        <f t="shared" si="20"/>
        <v>335.00000016000001</v>
      </c>
      <c r="W77" s="128">
        <f t="shared" si="29"/>
        <v>60.000000000000014</v>
      </c>
      <c r="X77" s="128">
        <f t="shared" si="30"/>
        <v>99.000000080000007</v>
      </c>
    </row>
    <row r="78" spans="1:24">
      <c r="A78" s="22">
        <v>43014</v>
      </c>
      <c r="B78" s="130">
        <v>1</v>
      </c>
      <c r="C78" s="130">
        <v>0</v>
      </c>
      <c r="D78" s="130">
        <v>1</v>
      </c>
      <c r="E78" s="130">
        <v>1</v>
      </c>
      <c r="F78" s="130">
        <v>0</v>
      </c>
      <c r="G78" s="130">
        <v>1</v>
      </c>
      <c r="K78" s="86">
        <f t="shared" si="21"/>
        <v>43014</v>
      </c>
      <c r="L78" s="128">
        <f t="shared" si="22"/>
        <v>62.000000080000007</v>
      </c>
      <c r="M78" s="128">
        <f t="shared" si="23"/>
        <v>41.000000080000007</v>
      </c>
      <c r="N78" s="128">
        <f t="shared" si="24"/>
        <v>58.999999999999986</v>
      </c>
      <c r="O78" s="128">
        <f t="shared" si="25"/>
        <v>59</v>
      </c>
      <c r="P78" s="128">
        <f t="shared" si="26"/>
        <v>57</v>
      </c>
      <c r="Q78" s="128">
        <f t="shared" si="27"/>
        <v>61.000000000000014</v>
      </c>
      <c r="R78" s="128">
        <f t="shared" si="28"/>
        <v>-1.0000000799999924</v>
      </c>
      <c r="T78" s="128">
        <f t="shared" si="19"/>
        <v>3.0000000800000208</v>
      </c>
      <c r="U78" s="128">
        <f t="shared" si="20"/>
        <v>339.00000016000001</v>
      </c>
      <c r="W78" s="128">
        <f t="shared" si="29"/>
        <v>61.000000000000014</v>
      </c>
      <c r="X78" s="128">
        <f t="shared" si="30"/>
        <v>100.00000008000001</v>
      </c>
    </row>
    <row r="79" spans="1:24">
      <c r="A79" s="22">
        <v>43021</v>
      </c>
      <c r="B79" s="130">
        <v>1</v>
      </c>
      <c r="C79" s="130">
        <v>0</v>
      </c>
      <c r="D79" s="130">
        <v>0</v>
      </c>
      <c r="E79" s="130">
        <v>0</v>
      </c>
      <c r="F79" s="130">
        <v>1</v>
      </c>
      <c r="G79" s="130">
        <v>1</v>
      </c>
      <c r="K79" s="86">
        <f t="shared" si="21"/>
        <v>43021</v>
      </c>
      <c r="L79" s="128">
        <f t="shared" si="22"/>
        <v>63.000000080000007</v>
      </c>
      <c r="M79" s="128">
        <f t="shared" si="23"/>
        <v>41.000000080000007</v>
      </c>
      <c r="N79" s="128">
        <f t="shared" si="24"/>
        <v>58.999999999999986</v>
      </c>
      <c r="O79" s="128">
        <f t="shared" si="25"/>
        <v>59</v>
      </c>
      <c r="P79" s="128">
        <f t="shared" si="26"/>
        <v>58</v>
      </c>
      <c r="Q79" s="128">
        <f t="shared" si="27"/>
        <v>62.000000000000014</v>
      </c>
      <c r="R79" s="128">
        <f t="shared" si="28"/>
        <v>-1.0000000799999924</v>
      </c>
      <c r="T79" s="128">
        <f t="shared" si="19"/>
        <v>4.0000000800000208</v>
      </c>
      <c r="U79" s="128">
        <f t="shared" si="20"/>
        <v>342.00000016000001</v>
      </c>
      <c r="W79" s="128">
        <f t="shared" si="29"/>
        <v>62.000000000000014</v>
      </c>
      <c r="X79" s="128">
        <f t="shared" si="30"/>
        <v>100.00000008000001</v>
      </c>
    </row>
    <row r="80" spans="1:24">
      <c r="A80" s="22">
        <v>43028</v>
      </c>
      <c r="B80" s="130">
        <v>1</v>
      </c>
      <c r="C80" s="130">
        <v>0</v>
      </c>
      <c r="D80" s="130">
        <v>1</v>
      </c>
      <c r="E80" s="130">
        <v>1</v>
      </c>
      <c r="F80" s="130">
        <v>1</v>
      </c>
      <c r="G80" s="130">
        <v>1</v>
      </c>
      <c r="K80" s="86">
        <f t="shared" si="21"/>
        <v>43028</v>
      </c>
      <c r="L80" s="128">
        <f t="shared" si="22"/>
        <v>64.000000080000007</v>
      </c>
      <c r="M80" s="128">
        <f t="shared" si="23"/>
        <v>41.000000080000007</v>
      </c>
      <c r="N80" s="128">
        <f t="shared" si="24"/>
        <v>59.999999999999986</v>
      </c>
      <c r="O80" s="128">
        <f t="shared" si="25"/>
        <v>60</v>
      </c>
      <c r="P80" s="128">
        <f t="shared" si="26"/>
        <v>59</v>
      </c>
      <c r="Q80" s="128">
        <f t="shared" si="27"/>
        <v>63.000000000000014</v>
      </c>
      <c r="R80" s="128">
        <f t="shared" si="28"/>
        <v>-1.0000000799999924</v>
      </c>
      <c r="T80" s="128">
        <f t="shared" si="19"/>
        <v>4.0000000800000208</v>
      </c>
      <c r="U80" s="128">
        <f t="shared" si="20"/>
        <v>347.00000016000001</v>
      </c>
      <c r="W80" s="128">
        <f t="shared" si="29"/>
        <v>63.000000000000014</v>
      </c>
      <c r="X80" s="128">
        <f t="shared" si="30"/>
        <v>101.00000008000001</v>
      </c>
    </row>
    <row r="81" spans="1:24">
      <c r="A81" s="22">
        <v>43035</v>
      </c>
      <c r="B81" s="130">
        <v>0</v>
      </c>
      <c r="C81" s="130">
        <v>0</v>
      </c>
      <c r="D81" s="130">
        <v>1</v>
      </c>
      <c r="E81" s="130">
        <v>1</v>
      </c>
      <c r="F81" s="130">
        <v>1</v>
      </c>
      <c r="G81" s="130">
        <v>0</v>
      </c>
      <c r="K81" s="86">
        <f t="shared" si="21"/>
        <v>43035</v>
      </c>
      <c r="L81" s="128">
        <f t="shared" si="22"/>
        <v>64.000000080000007</v>
      </c>
      <c r="M81" s="128">
        <f t="shared" si="23"/>
        <v>41.000000080000007</v>
      </c>
      <c r="N81" s="128">
        <f t="shared" si="24"/>
        <v>60.999999999999986</v>
      </c>
      <c r="O81" s="128">
        <f t="shared" si="25"/>
        <v>61</v>
      </c>
      <c r="P81" s="128">
        <f t="shared" si="26"/>
        <v>60</v>
      </c>
      <c r="Q81" s="128">
        <f t="shared" si="27"/>
        <v>63.000000000000014</v>
      </c>
      <c r="R81" s="128">
        <f t="shared" si="28"/>
        <v>-1.0000000799999924</v>
      </c>
      <c r="T81" s="128">
        <f t="shared" si="19"/>
        <v>3.0000000800000208</v>
      </c>
      <c r="U81" s="128">
        <f t="shared" si="20"/>
        <v>350.00000016000001</v>
      </c>
      <c r="W81" s="128">
        <f t="shared" si="29"/>
        <v>63.000000000000014</v>
      </c>
      <c r="X81" s="128">
        <f t="shared" si="30"/>
        <v>102.00000008000001</v>
      </c>
    </row>
    <row r="82" spans="1:24">
      <c r="A82" s="22">
        <v>43042</v>
      </c>
      <c r="B82" s="130">
        <v>1</v>
      </c>
      <c r="C82" s="130">
        <v>0</v>
      </c>
      <c r="D82" s="130">
        <v>1</v>
      </c>
      <c r="E82" s="130">
        <v>0</v>
      </c>
      <c r="F82" s="130">
        <v>1</v>
      </c>
      <c r="G82" s="130">
        <v>1</v>
      </c>
      <c r="K82" s="86">
        <f t="shared" si="21"/>
        <v>43042</v>
      </c>
      <c r="L82" s="128">
        <f t="shared" si="22"/>
        <v>65.000000080000007</v>
      </c>
      <c r="M82" s="128">
        <f t="shared" si="23"/>
        <v>41.000000080000007</v>
      </c>
      <c r="N82" s="128">
        <f t="shared" si="24"/>
        <v>61.999999999999986</v>
      </c>
      <c r="O82" s="128">
        <f t="shared" si="25"/>
        <v>61</v>
      </c>
      <c r="P82" s="128">
        <f t="shared" si="26"/>
        <v>61</v>
      </c>
      <c r="Q82" s="128">
        <f t="shared" si="27"/>
        <v>64.000000000000014</v>
      </c>
      <c r="R82" s="128">
        <f t="shared" si="28"/>
        <v>-1.0000000799999924</v>
      </c>
      <c r="T82" s="128">
        <f t="shared" si="19"/>
        <v>3.0000000800000208</v>
      </c>
      <c r="U82" s="128">
        <f t="shared" si="20"/>
        <v>354.00000016000001</v>
      </c>
      <c r="W82" s="128">
        <f t="shared" si="29"/>
        <v>64.000000000000014</v>
      </c>
      <c r="X82" s="128">
        <f t="shared" si="30"/>
        <v>102.00000008000001</v>
      </c>
    </row>
    <row r="83" spans="1:24">
      <c r="A83" s="22">
        <v>43049</v>
      </c>
      <c r="B83" s="130">
        <v>0</v>
      </c>
      <c r="C83" s="130">
        <v>0</v>
      </c>
      <c r="D83" s="130">
        <v>1</v>
      </c>
      <c r="E83" s="130">
        <v>1</v>
      </c>
      <c r="F83" s="130">
        <v>1</v>
      </c>
      <c r="G83" s="130">
        <v>1</v>
      </c>
      <c r="K83" s="86">
        <f t="shared" si="21"/>
        <v>43049</v>
      </c>
      <c r="L83" s="128">
        <f t="shared" si="22"/>
        <v>65.000000080000007</v>
      </c>
      <c r="M83" s="128">
        <f t="shared" si="23"/>
        <v>41.000000080000007</v>
      </c>
      <c r="N83" s="128">
        <f t="shared" si="24"/>
        <v>62.999999999999986</v>
      </c>
      <c r="O83" s="128">
        <f t="shared" si="25"/>
        <v>62</v>
      </c>
      <c r="P83" s="128">
        <f t="shared" si="26"/>
        <v>62</v>
      </c>
      <c r="Q83" s="128">
        <f t="shared" si="27"/>
        <v>65.000000000000014</v>
      </c>
      <c r="R83" s="128">
        <f t="shared" si="28"/>
        <v>-7.9999992408374965E-8</v>
      </c>
      <c r="T83" s="128">
        <f t="shared" si="19"/>
        <v>2.0000000800000208</v>
      </c>
      <c r="U83" s="128">
        <f t="shared" si="20"/>
        <v>358.00000016000001</v>
      </c>
      <c r="W83" s="128">
        <f t="shared" si="29"/>
        <v>65.000000000000014</v>
      </c>
      <c r="X83" s="128">
        <f t="shared" si="30"/>
        <v>103.00000008000001</v>
      </c>
    </row>
    <row r="84" spans="1:24">
      <c r="A84" s="22">
        <v>43056</v>
      </c>
      <c r="B84" s="130">
        <v>0</v>
      </c>
      <c r="C84" s="130">
        <v>0</v>
      </c>
      <c r="D84" s="130">
        <v>0</v>
      </c>
      <c r="E84" s="130">
        <v>0</v>
      </c>
      <c r="F84" s="130">
        <v>0</v>
      </c>
      <c r="G84" s="130">
        <v>0</v>
      </c>
      <c r="K84" s="86">
        <f t="shared" si="21"/>
        <v>43056</v>
      </c>
      <c r="L84" s="128">
        <f t="shared" si="22"/>
        <v>65.000000080000007</v>
      </c>
      <c r="M84" s="128">
        <f t="shared" si="23"/>
        <v>41.000000080000007</v>
      </c>
      <c r="N84" s="128">
        <f t="shared" si="24"/>
        <v>62.999999999999986</v>
      </c>
      <c r="O84" s="128">
        <f t="shared" si="25"/>
        <v>62</v>
      </c>
      <c r="P84" s="128">
        <f t="shared" si="26"/>
        <v>62</v>
      </c>
      <c r="Q84" s="128">
        <f t="shared" si="27"/>
        <v>65.000000000000014</v>
      </c>
      <c r="R84" s="128">
        <f t="shared" si="28"/>
        <v>-7.9999992408374965E-8</v>
      </c>
      <c r="T84" s="128">
        <f t="shared" si="19"/>
        <v>2.0000000800000208</v>
      </c>
      <c r="U84" s="128">
        <f t="shared" si="20"/>
        <v>358.00000016000001</v>
      </c>
      <c r="W84" s="128">
        <f t="shared" si="29"/>
        <v>65.000000000000014</v>
      </c>
      <c r="X84" s="128">
        <f t="shared" si="30"/>
        <v>103.00000008000001</v>
      </c>
    </row>
    <row r="85" spans="1:24">
      <c r="A85" s="22">
        <v>43063</v>
      </c>
      <c r="B85" s="130">
        <v>1</v>
      </c>
      <c r="C85" s="130">
        <v>1</v>
      </c>
      <c r="D85" s="130">
        <v>1</v>
      </c>
      <c r="E85" s="130">
        <v>1</v>
      </c>
      <c r="F85" s="130">
        <v>1</v>
      </c>
      <c r="G85" s="130">
        <v>1</v>
      </c>
      <c r="K85" s="86">
        <f t="shared" si="21"/>
        <v>43063</v>
      </c>
      <c r="L85" s="128">
        <f t="shared" si="22"/>
        <v>66.000000080000007</v>
      </c>
      <c r="M85" s="128">
        <f t="shared" si="23"/>
        <v>42.000000080000007</v>
      </c>
      <c r="N85" s="128">
        <f t="shared" si="24"/>
        <v>63.999999999999986</v>
      </c>
      <c r="O85" s="128">
        <f t="shared" si="25"/>
        <v>63</v>
      </c>
      <c r="P85" s="128">
        <f t="shared" si="26"/>
        <v>63</v>
      </c>
      <c r="Q85" s="128">
        <f t="shared" si="27"/>
        <v>66.000000000000014</v>
      </c>
      <c r="R85" s="128">
        <f t="shared" si="28"/>
        <v>-7.9999992408374965E-8</v>
      </c>
      <c r="T85" s="128">
        <f t="shared" si="19"/>
        <v>2.0000000800000208</v>
      </c>
      <c r="U85" s="128">
        <f t="shared" si="20"/>
        <v>364.00000016000001</v>
      </c>
      <c r="W85" s="128">
        <f t="shared" si="29"/>
        <v>66.000000000000014</v>
      </c>
      <c r="X85" s="128">
        <f t="shared" si="30"/>
        <v>105.00000008000001</v>
      </c>
    </row>
    <row r="86" spans="1:24">
      <c r="A86" s="22">
        <v>43070</v>
      </c>
      <c r="B86" s="130">
        <v>1</v>
      </c>
      <c r="C86" s="130">
        <v>0</v>
      </c>
      <c r="D86" s="130">
        <v>1</v>
      </c>
      <c r="E86" s="130">
        <v>1</v>
      </c>
      <c r="F86" s="130">
        <v>1</v>
      </c>
      <c r="G86" s="130">
        <v>1</v>
      </c>
      <c r="K86" s="86">
        <f t="shared" si="21"/>
        <v>43070</v>
      </c>
      <c r="L86" s="128">
        <f t="shared" si="22"/>
        <v>67.000000080000007</v>
      </c>
      <c r="M86" s="128">
        <f t="shared" si="23"/>
        <v>42.000000080000007</v>
      </c>
      <c r="N86" s="128">
        <f t="shared" si="24"/>
        <v>64.999999999999986</v>
      </c>
      <c r="O86" s="128">
        <f t="shared" si="25"/>
        <v>64</v>
      </c>
      <c r="P86" s="128">
        <f t="shared" si="26"/>
        <v>64</v>
      </c>
      <c r="Q86" s="128">
        <f t="shared" si="27"/>
        <v>67.000000000000014</v>
      </c>
      <c r="R86" s="128">
        <f t="shared" si="28"/>
        <v>-7.9999992408374965E-8</v>
      </c>
      <c r="T86" s="128">
        <f t="shared" si="19"/>
        <v>2.0000000800000208</v>
      </c>
      <c r="U86" s="128">
        <f t="shared" si="20"/>
        <v>369.00000016000001</v>
      </c>
      <c r="W86" s="128">
        <f t="shared" si="29"/>
        <v>67.000000000000014</v>
      </c>
      <c r="X86" s="128">
        <f t="shared" si="30"/>
        <v>106.00000008000001</v>
      </c>
    </row>
    <row r="87" spans="1:24">
      <c r="A87" s="22">
        <v>43077</v>
      </c>
      <c r="B87" s="130">
        <v>1</v>
      </c>
      <c r="C87" s="130">
        <v>0</v>
      </c>
      <c r="D87" s="130">
        <v>1</v>
      </c>
      <c r="E87" s="130">
        <v>1</v>
      </c>
      <c r="F87" s="130">
        <v>1</v>
      </c>
      <c r="G87" s="130">
        <v>1</v>
      </c>
      <c r="K87" s="86">
        <f t="shared" si="21"/>
        <v>43077</v>
      </c>
      <c r="L87" s="128">
        <f t="shared" si="22"/>
        <v>68.000000080000007</v>
      </c>
      <c r="M87" s="128">
        <f t="shared" si="23"/>
        <v>42.000000080000007</v>
      </c>
      <c r="N87" s="128">
        <f t="shared" si="24"/>
        <v>65.999999999999986</v>
      </c>
      <c r="O87" s="128">
        <f t="shared" si="25"/>
        <v>65</v>
      </c>
      <c r="P87" s="128">
        <f t="shared" si="26"/>
        <v>65</v>
      </c>
      <c r="Q87" s="128">
        <f t="shared" si="27"/>
        <v>68.000000000000014</v>
      </c>
      <c r="R87" s="128">
        <f t="shared" si="28"/>
        <v>-7.9999992408374965E-8</v>
      </c>
      <c r="T87" s="128">
        <f t="shared" si="19"/>
        <v>2.0000000800000208</v>
      </c>
      <c r="U87" s="128">
        <f t="shared" si="20"/>
        <v>374.00000016000001</v>
      </c>
      <c r="W87" s="128">
        <f t="shared" si="29"/>
        <v>68.000000000000014</v>
      </c>
      <c r="X87" s="128">
        <f t="shared" si="30"/>
        <v>107.00000008000001</v>
      </c>
    </row>
    <row r="88" spans="1:24">
      <c r="A88" s="22">
        <v>43084</v>
      </c>
      <c r="B88" s="130">
        <v>1</v>
      </c>
      <c r="C88" s="130">
        <v>0</v>
      </c>
      <c r="D88" s="130">
        <v>1</v>
      </c>
      <c r="E88" s="130">
        <v>1</v>
      </c>
      <c r="F88" s="130">
        <v>1</v>
      </c>
      <c r="G88" s="130">
        <v>1</v>
      </c>
      <c r="K88" s="86">
        <f t="shared" si="21"/>
        <v>43084</v>
      </c>
      <c r="L88" s="128">
        <f t="shared" si="22"/>
        <v>69.000000080000007</v>
      </c>
      <c r="M88" s="128">
        <f t="shared" si="23"/>
        <v>42.000000080000007</v>
      </c>
      <c r="N88" s="128">
        <f t="shared" si="24"/>
        <v>66.999999999999986</v>
      </c>
      <c r="O88" s="128">
        <f t="shared" si="25"/>
        <v>66</v>
      </c>
      <c r="P88" s="128">
        <f t="shared" si="26"/>
        <v>66</v>
      </c>
      <c r="Q88" s="128">
        <f t="shared" si="27"/>
        <v>69.000000000000014</v>
      </c>
      <c r="R88" s="128">
        <f t="shared" si="28"/>
        <v>-7.9999992408374965E-8</v>
      </c>
      <c r="T88" s="128">
        <f t="shared" si="19"/>
        <v>2.0000000800000208</v>
      </c>
      <c r="U88" s="128">
        <f t="shared" si="20"/>
        <v>379.00000016000001</v>
      </c>
      <c r="W88" s="128">
        <f t="shared" si="29"/>
        <v>69.000000000000014</v>
      </c>
      <c r="X88" s="128">
        <f t="shared" si="30"/>
        <v>108.00000008000001</v>
      </c>
    </row>
    <row r="89" spans="1:24">
      <c r="A89" s="22">
        <v>43091</v>
      </c>
      <c r="B89" s="130">
        <v>1</v>
      </c>
      <c r="C89" s="130">
        <v>0</v>
      </c>
      <c r="D89" s="130">
        <v>1</v>
      </c>
      <c r="E89" s="130">
        <v>1</v>
      </c>
      <c r="F89" s="130">
        <v>1</v>
      </c>
      <c r="G89" s="130">
        <v>1</v>
      </c>
      <c r="K89" s="86">
        <f t="shared" si="21"/>
        <v>43091</v>
      </c>
      <c r="L89" s="128">
        <f t="shared" si="22"/>
        <v>70.000000080000007</v>
      </c>
      <c r="M89" s="128">
        <f t="shared" si="23"/>
        <v>42.000000080000007</v>
      </c>
      <c r="N89" s="128">
        <f t="shared" si="24"/>
        <v>67.999999999999986</v>
      </c>
      <c r="O89" s="128">
        <f t="shared" si="25"/>
        <v>67</v>
      </c>
      <c r="P89" s="128">
        <f t="shared" si="26"/>
        <v>67</v>
      </c>
      <c r="Q89" s="128">
        <f t="shared" si="27"/>
        <v>70.000000000000014</v>
      </c>
      <c r="R89" s="128">
        <f t="shared" si="28"/>
        <v>-7.9999992408374965E-8</v>
      </c>
      <c r="T89" s="128">
        <f t="shared" si="19"/>
        <v>2.0000000800000208</v>
      </c>
      <c r="U89" s="128">
        <f t="shared" si="20"/>
        <v>384.00000016000001</v>
      </c>
      <c r="W89" s="128">
        <f t="shared" si="29"/>
        <v>70.000000000000014</v>
      </c>
      <c r="X89" s="128">
        <f t="shared" si="30"/>
        <v>109.00000008000001</v>
      </c>
    </row>
    <row r="90" spans="1:24">
      <c r="A90" s="22">
        <v>43098</v>
      </c>
      <c r="B90" s="130">
        <v>1</v>
      </c>
      <c r="C90" s="130">
        <v>0</v>
      </c>
      <c r="D90" s="130">
        <v>0</v>
      </c>
      <c r="E90" s="130">
        <v>0</v>
      </c>
      <c r="F90" s="130">
        <v>1</v>
      </c>
      <c r="G90" s="130">
        <v>0</v>
      </c>
      <c r="K90" s="86">
        <f t="shared" si="21"/>
        <v>43098</v>
      </c>
      <c r="L90" s="128">
        <f t="shared" si="22"/>
        <v>71.000000080000007</v>
      </c>
      <c r="M90" s="128">
        <f t="shared" si="23"/>
        <v>42.000000080000007</v>
      </c>
      <c r="N90" s="128">
        <f t="shared" si="24"/>
        <v>67.999999999999986</v>
      </c>
      <c r="O90" s="128">
        <f t="shared" si="25"/>
        <v>67</v>
      </c>
      <c r="P90" s="128">
        <f t="shared" si="26"/>
        <v>68</v>
      </c>
      <c r="Q90" s="128">
        <f t="shared" si="27"/>
        <v>70.000000000000014</v>
      </c>
      <c r="R90" s="128">
        <f t="shared" si="28"/>
        <v>-1.0000000799999924</v>
      </c>
      <c r="T90" s="128">
        <f t="shared" si="19"/>
        <v>3.0000000800000208</v>
      </c>
      <c r="U90" s="128">
        <f t="shared" si="20"/>
        <v>386.00000016000001</v>
      </c>
      <c r="W90" s="128">
        <f t="shared" si="29"/>
        <v>70.000000000000014</v>
      </c>
      <c r="X90" s="128">
        <f t="shared" si="30"/>
        <v>109.00000008000001</v>
      </c>
    </row>
    <row r="91" spans="1:24">
      <c r="A91" s="22">
        <v>43105</v>
      </c>
      <c r="B91" s="130">
        <v>1</v>
      </c>
      <c r="C91" s="130">
        <v>0</v>
      </c>
      <c r="D91" s="130">
        <v>0</v>
      </c>
      <c r="E91" s="130">
        <v>1</v>
      </c>
      <c r="F91" s="130">
        <v>1</v>
      </c>
      <c r="G91" s="130">
        <v>0</v>
      </c>
      <c r="K91" s="86">
        <f t="shared" si="21"/>
        <v>43105</v>
      </c>
      <c r="L91" s="128">
        <f t="shared" si="22"/>
        <v>72.000000080000007</v>
      </c>
      <c r="M91" s="128">
        <f t="shared" si="23"/>
        <v>42.000000080000007</v>
      </c>
      <c r="N91" s="128">
        <f t="shared" si="24"/>
        <v>67.999999999999986</v>
      </c>
      <c r="O91" s="128">
        <f t="shared" si="25"/>
        <v>68</v>
      </c>
      <c r="P91" s="128">
        <f t="shared" si="26"/>
        <v>69</v>
      </c>
      <c r="Q91" s="128">
        <f t="shared" si="27"/>
        <v>70.000000000000014</v>
      </c>
      <c r="R91" s="128">
        <f t="shared" si="28"/>
        <v>-2.0000000799999924</v>
      </c>
      <c r="T91" s="128">
        <f t="shared" si="19"/>
        <v>4.0000000800000208</v>
      </c>
      <c r="U91" s="128">
        <f t="shared" si="20"/>
        <v>389.00000016000001</v>
      </c>
      <c r="W91" s="128">
        <f t="shared" si="29"/>
        <v>70.000000000000014</v>
      </c>
      <c r="X91" s="128">
        <f t="shared" si="30"/>
        <v>110.00000008000001</v>
      </c>
    </row>
    <row r="92" spans="1:24">
      <c r="A92" s="22">
        <v>43112</v>
      </c>
      <c r="B92" s="130">
        <v>1</v>
      </c>
      <c r="C92" s="130">
        <v>0</v>
      </c>
      <c r="D92" s="130">
        <v>0</v>
      </c>
      <c r="E92" s="130">
        <v>0</v>
      </c>
      <c r="F92" s="130">
        <v>1</v>
      </c>
      <c r="G92" s="130">
        <v>1</v>
      </c>
      <c r="K92" s="86">
        <f t="shared" si="21"/>
        <v>43112</v>
      </c>
      <c r="L92" s="128">
        <f t="shared" si="22"/>
        <v>73.000000080000007</v>
      </c>
      <c r="M92" s="128">
        <f t="shared" si="23"/>
        <v>42.000000080000007</v>
      </c>
      <c r="N92" s="128">
        <f t="shared" si="24"/>
        <v>67.999999999999986</v>
      </c>
      <c r="O92" s="128">
        <f t="shared" si="25"/>
        <v>68</v>
      </c>
      <c r="P92" s="128">
        <f t="shared" si="26"/>
        <v>70</v>
      </c>
      <c r="Q92" s="128">
        <f t="shared" si="27"/>
        <v>71.000000000000014</v>
      </c>
      <c r="R92" s="128">
        <f t="shared" si="28"/>
        <v>-2.0000000799999924</v>
      </c>
      <c r="T92" s="128">
        <f t="shared" si="19"/>
        <v>5.0000000800000208</v>
      </c>
      <c r="U92" s="128">
        <f t="shared" si="20"/>
        <v>392.00000016000001</v>
      </c>
      <c r="W92" s="128">
        <f t="shared" si="29"/>
        <v>71.000000000000014</v>
      </c>
      <c r="X92" s="128">
        <f t="shared" si="30"/>
        <v>110.00000008000001</v>
      </c>
    </row>
    <row r="93" spans="1:24">
      <c r="A93" s="22">
        <v>43119</v>
      </c>
      <c r="B93" s="130">
        <v>0</v>
      </c>
      <c r="C93" s="130">
        <v>0</v>
      </c>
      <c r="D93" s="130">
        <v>1</v>
      </c>
      <c r="E93" s="130">
        <v>1</v>
      </c>
      <c r="F93" s="130">
        <v>1</v>
      </c>
      <c r="G93" s="130">
        <v>1</v>
      </c>
      <c r="K93" s="86">
        <f t="shared" si="21"/>
        <v>43119</v>
      </c>
      <c r="L93" s="128">
        <f t="shared" si="22"/>
        <v>73.000000080000007</v>
      </c>
      <c r="M93" s="128">
        <f t="shared" si="23"/>
        <v>42.000000080000007</v>
      </c>
      <c r="N93" s="128">
        <f t="shared" si="24"/>
        <v>68.999999999999986</v>
      </c>
      <c r="O93" s="128">
        <f t="shared" si="25"/>
        <v>69</v>
      </c>
      <c r="P93" s="128">
        <f t="shared" si="26"/>
        <v>71</v>
      </c>
      <c r="Q93" s="128">
        <f t="shared" si="27"/>
        <v>72.000000000000014</v>
      </c>
      <c r="R93" s="128">
        <f t="shared" si="28"/>
        <v>-1.0000000799999924</v>
      </c>
      <c r="T93" s="128">
        <f t="shared" si="19"/>
        <v>4.0000000800000208</v>
      </c>
      <c r="U93" s="128">
        <f t="shared" si="20"/>
        <v>396.00000016000001</v>
      </c>
      <c r="W93" s="128">
        <f t="shared" si="29"/>
        <v>72.000000000000014</v>
      </c>
      <c r="X93" s="128">
        <f t="shared" si="30"/>
        <v>111.00000008000001</v>
      </c>
    </row>
    <row r="94" spans="1:24">
      <c r="A94" s="22">
        <v>43126</v>
      </c>
      <c r="B94" s="130">
        <v>1</v>
      </c>
      <c r="C94" s="130">
        <v>0</v>
      </c>
      <c r="D94" s="130">
        <v>1</v>
      </c>
      <c r="E94" s="130">
        <v>0</v>
      </c>
      <c r="F94" s="130">
        <v>1</v>
      </c>
      <c r="G94" s="130">
        <v>0</v>
      </c>
      <c r="K94" s="86">
        <f t="shared" si="21"/>
        <v>43126</v>
      </c>
      <c r="L94" s="128">
        <f t="shared" si="22"/>
        <v>74.000000080000007</v>
      </c>
      <c r="M94" s="128">
        <f t="shared" si="23"/>
        <v>42.000000080000007</v>
      </c>
      <c r="N94" s="128">
        <f t="shared" si="24"/>
        <v>69.999999999999986</v>
      </c>
      <c r="O94" s="128">
        <f t="shared" si="25"/>
        <v>69</v>
      </c>
      <c r="P94" s="128">
        <f t="shared" si="26"/>
        <v>72</v>
      </c>
      <c r="Q94" s="128">
        <f t="shared" si="27"/>
        <v>72.000000000000014</v>
      </c>
      <c r="R94" s="128">
        <f t="shared" si="28"/>
        <v>-2.0000000799999924</v>
      </c>
      <c r="T94" s="128">
        <f t="shared" si="19"/>
        <v>4.0000000800000208</v>
      </c>
      <c r="U94" s="128">
        <f t="shared" si="20"/>
        <v>399.00000016000001</v>
      </c>
      <c r="W94" s="128">
        <f t="shared" si="29"/>
        <v>72.000000000000014</v>
      </c>
      <c r="X94" s="128">
        <f t="shared" si="30"/>
        <v>111.00000008000001</v>
      </c>
    </row>
    <row r="95" spans="1:24">
      <c r="A95" s="22">
        <v>43133</v>
      </c>
      <c r="B95" s="130">
        <v>0</v>
      </c>
      <c r="C95" s="130">
        <v>0</v>
      </c>
      <c r="D95" s="130">
        <v>0</v>
      </c>
      <c r="E95" s="130">
        <v>0</v>
      </c>
      <c r="F95" s="130">
        <v>0</v>
      </c>
      <c r="G95" s="130">
        <v>1</v>
      </c>
      <c r="K95" s="86">
        <f t="shared" si="21"/>
        <v>43133</v>
      </c>
      <c r="L95" s="128">
        <f t="shared" si="22"/>
        <v>74.000000080000007</v>
      </c>
      <c r="M95" s="128">
        <f t="shared" si="23"/>
        <v>42.000000080000007</v>
      </c>
      <c r="N95" s="128">
        <f t="shared" si="24"/>
        <v>69.999999999999986</v>
      </c>
      <c r="O95" s="128">
        <f t="shared" si="25"/>
        <v>69</v>
      </c>
      <c r="P95" s="128">
        <f t="shared" si="26"/>
        <v>72</v>
      </c>
      <c r="Q95" s="128">
        <f t="shared" si="27"/>
        <v>73.000000000000014</v>
      </c>
      <c r="R95" s="128">
        <f t="shared" si="28"/>
        <v>-1.0000000799999924</v>
      </c>
      <c r="T95" s="128">
        <f t="shared" si="19"/>
        <v>4.0000000800000208</v>
      </c>
      <c r="U95" s="128">
        <f t="shared" si="20"/>
        <v>400.00000016000001</v>
      </c>
      <c r="W95" s="128">
        <f t="shared" si="29"/>
        <v>73.000000000000014</v>
      </c>
      <c r="X95" s="128">
        <f t="shared" si="30"/>
        <v>111.00000008000001</v>
      </c>
    </row>
    <row r="96" spans="1:24">
      <c r="A96" s="22">
        <v>43140</v>
      </c>
      <c r="B96" s="130">
        <v>1</v>
      </c>
      <c r="C96" s="130">
        <v>0</v>
      </c>
      <c r="D96" s="130">
        <v>1</v>
      </c>
      <c r="E96" s="130">
        <v>1</v>
      </c>
      <c r="F96" s="130">
        <v>0</v>
      </c>
      <c r="G96" s="130">
        <v>1</v>
      </c>
      <c r="K96" s="86">
        <f t="shared" si="21"/>
        <v>43140</v>
      </c>
      <c r="L96" s="128">
        <f t="shared" si="22"/>
        <v>75.000000080000007</v>
      </c>
      <c r="M96" s="128">
        <f t="shared" si="23"/>
        <v>42.000000080000007</v>
      </c>
      <c r="N96" s="128">
        <f t="shared" si="24"/>
        <v>70.999999999999986</v>
      </c>
      <c r="O96" s="128">
        <f t="shared" si="25"/>
        <v>70</v>
      </c>
      <c r="P96" s="128">
        <f t="shared" si="26"/>
        <v>72</v>
      </c>
      <c r="Q96" s="128">
        <f t="shared" si="27"/>
        <v>74.000000000000014</v>
      </c>
      <c r="R96" s="128">
        <f t="shared" si="28"/>
        <v>-1.0000000799999924</v>
      </c>
      <c r="T96" s="128">
        <f t="shared" si="19"/>
        <v>4.0000000800000208</v>
      </c>
      <c r="U96" s="128">
        <f t="shared" si="20"/>
        <v>404.00000016000001</v>
      </c>
      <c r="W96" s="128">
        <f t="shared" si="29"/>
        <v>74.000000000000014</v>
      </c>
      <c r="X96" s="128">
        <f t="shared" si="30"/>
        <v>112.00000008000001</v>
      </c>
    </row>
    <row r="97" spans="1:24">
      <c r="A97" s="22">
        <v>43147</v>
      </c>
      <c r="B97" s="130">
        <v>1</v>
      </c>
      <c r="C97" s="130">
        <v>0</v>
      </c>
      <c r="D97" s="130">
        <v>1</v>
      </c>
      <c r="E97" s="130">
        <v>0</v>
      </c>
      <c r="F97" s="130">
        <v>1</v>
      </c>
      <c r="G97" s="130">
        <v>1</v>
      </c>
      <c r="K97" s="86">
        <f t="shared" si="21"/>
        <v>43147</v>
      </c>
      <c r="L97" s="128">
        <f t="shared" si="22"/>
        <v>76.000000080000007</v>
      </c>
      <c r="M97" s="128">
        <f t="shared" si="23"/>
        <v>42.000000080000007</v>
      </c>
      <c r="N97" s="128">
        <f t="shared" si="24"/>
        <v>71.999999999999986</v>
      </c>
      <c r="O97" s="128">
        <f t="shared" si="25"/>
        <v>70</v>
      </c>
      <c r="P97" s="128">
        <f t="shared" si="26"/>
        <v>73</v>
      </c>
      <c r="Q97" s="128">
        <f t="shared" si="27"/>
        <v>75.000000000000014</v>
      </c>
      <c r="R97" s="128">
        <f t="shared" si="28"/>
        <v>-1.0000000799999924</v>
      </c>
      <c r="T97" s="128">
        <f t="shared" si="19"/>
        <v>4.0000000800000208</v>
      </c>
      <c r="U97" s="128">
        <f t="shared" si="20"/>
        <v>408.00000016000001</v>
      </c>
      <c r="W97" s="128">
        <f t="shared" si="29"/>
        <v>75.000000000000014</v>
      </c>
      <c r="X97" s="128">
        <f t="shared" si="30"/>
        <v>112.00000008000001</v>
      </c>
    </row>
    <row r="98" spans="1:24">
      <c r="A98" s="22">
        <v>43154</v>
      </c>
      <c r="B98" s="130">
        <v>1</v>
      </c>
      <c r="C98" s="130">
        <v>0</v>
      </c>
      <c r="D98" s="130">
        <v>1</v>
      </c>
      <c r="E98" s="130">
        <v>1</v>
      </c>
      <c r="F98" s="130">
        <v>0</v>
      </c>
      <c r="G98" s="130">
        <v>1</v>
      </c>
      <c r="K98" s="86">
        <f t="shared" si="21"/>
        <v>43154</v>
      </c>
      <c r="L98" s="128">
        <f t="shared" si="22"/>
        <v>77.000000080000007</v>
      </c>
      <c r="M98" s="128">
        <f t="shared" si="23"/>
        <v>42.000000080000007</v>
      </c>
      <c r="N98" s="128">
        <f t="shared" si="24"/>
        <v>72.999999999999986</v>
      </c>
      <c r="O98" s="128">
        <f t="shared" si="25"/>
        <v>71</v>
      </c>
      <c r="P98" s="128">
        <f t="shared" si="26"/>
        <v>73</v>
      </c>
      <c r="Q98" s="128">
        <f t="shared" si="27"/>
        <v>76.000000000000014</v>
      </c>
      <c r="R98" s="128">
        <f t="shared" si="28"/>
        <v>-1.0000000799999924</v>
      </c>
      <c r="T98" s="128">
        <f t="shared" si="19"/>
        <v>4.0000000800000208</v>
      </c>
      <c r="U98" s="128">
        <f t="shared" si="20"/>
        <v>412.00000016000001</v>
      </c>
      <c r="W98" s="128">
        <f t="shared" si="29"/>
        <v>76.000000000000014</v>
      </c>
      <c r="X98" s="128">
        <f t="shared" si="30"/>
        <v>113.00000008000001</v>
      </c>
    </row>
    <row r="99" spans="1:24">
      <c r="A99" s="22">
        <v>43161</v>
      </c>
      <c r="B99" s="130">
        <v>1</v>
      </c>
      <c r="C99" s="130">
        <v>0</v>
      </c>
      <c r="D99" s="130">
        <v>1</v>
      </c>
      <c r="E99" s="130">
        <v>1</v>
      </c>
      <c r="F99" s="130">
        <v>1</v>
      </c>
      <c r="G99" s="130">
        <v>1</v>
      </c>
      <c r="K99" s="86">
        <f t="shared" si="21"/>
        <v>43161</v>
      </c>
      <c r="L99" s="128">
        <f t="shared" si="22"/>
        <v>78.000000080000007</v>
      </c>
      <c r="M99" s="128">
        <f t="shared" si="23"/>
        <v>42.000000080000007</v>
      </c>
      <c r="N99" s="128">
        <f t="shared" si="24"/>
        <v>73.999999999999986</v>
      </c>
      <c r="O99" s="128">
        <f t="shared" si="25"/>
        <v>72</v>
      </c>
      <c r="P99" s="128">
        <f t="shared" si="26"/>
        <v>74</v>
      </c>
      <c r="Q99" s="128">
        <f t="shared" si="27"/>
        <v>77.000000000000014</v>
      </c>
      <c r="R99" s="128">
        <f t="shared" si="28"/>
        <v>-1.0000000799999924</v>
      </c>
      <c r="T99" s="128">
        <f t="shared" si="19"/>
        <v>4.0000000800000208</v>
      </c>
      <c r="U99" s="128">
        <f t="shared" si="20"/>
        <v>417.00000016000001</v>
      </c>
      <c r="W99" s="128">
        <f t="shared" si="29"/>
        <v>77.000000000000014</v>
      </c>
      <c r="X99" s="128">
        <f t="shared" si="30"/>
        <v>114.00000008000001</v>
      </c>
    </row>
    <row r="100" spans="1:24">
      <c r="A100" s="22">
        <v>43168</v>
      </c>
      <c r="B100" s="130">
        <v>0</v>
      </c>
      <c r="C100" s="130">
        <v>0</v>
      </c>
      <c r="D100" s="130">
        <v>1</v>
      </c>
      <c r="E100" s="130">
        <v>1</v>
      </c>
      <c r="F100" s="130">
        <v>1</v>
      </c>
      <c r="G100" s="130">
        <v>0</v>
      </c>
      <c r="K100" s="86">
        <f t="shared" si="21"/>
        <v>43168</v>
      </c>
      <c r="L100" s="128">
        <f t="shared" si="22"/>
        <v>78.000000080000007</v>
      </c>
      <c r="M100" s="128">
        <f t="shared" si="23"/>
        <v>42.000000080000007</v>
      </c>
      <c r="N100" s="128">
        <f t="shared" si="24"/>
        <v>74.999999999999986</v>
      </c>
      <c r="O100" s="128">
        <f t="shared" si="25"/>
        <v>73</v>
      </c>
      <c r="P100" s="128">
        <f t="shared" si="26"/>
        <v>75</v>
      </c>
      <c r="Q100" s="128">
        <f t="shared" si="27"/>
        <v>77.000000000000014</v>
      </c>
      <c r="R100" s="128">
        <f t="shared" si="28"/>
        <v>-1.0000000799999924</v>
      </c>
      <c r="T100" s="128">
        <f t="shared" si="19"/>
        <v>3.0000000800000208</v>
      </c>
      <c r="U100" s="128">
        <f t="shared" si="20"/>
        <v>420.00000016000001</v>
      </c>
      <c r="W100" s="128">
        <f t="shared" si="29"/>
        <v>77.000000000000014</v>
      </c>
      <c r="X100" s="128">
        <f t="shared" si="30"/>
        <v>115.00000008000001</v>
      </c>
    </row>
    <row r="101" spans="1:24">
      <c r="A101" s="22">
        <v>43175</v>
      </c>
      <c r="B101" s="130">
        <v>1</v>
      </c>
      <c r="C101" s="130">
        <v>0</v>
      </c>
      <c r="D101" s="130">
        <v>1</v>
      </c>
      <c r="E101" s="130">
        <v>1</v>
      </c>
      <c r="F101" s="130">
        <v>1</v>
      </c>
      <c r="G101" s="130">
        <v>0</v>
      </c>
      <c r="K101" s="86">
        <f t="shared" si="21"/>
        <v>43175</v>
      </c>
      <c r="L101" s="128">
        <f t="shared" si="22"/>
        <v>79.000000080000007</v>
      </c>
      <c r="M101" s="128">
        <f t="shared" si="23"/>
        <v>42.000000080000007</v>
      </c>
      <c r="N101" s="128">
        <f t="shared" si="24"/>
        <v>75.999999999999986</v>
      </c>
      <c r="O101" s="128">
        <f t="shared" si="25"/>
        <v>74</v>
      </c>
      <c r="P101" s="128">
        <f t="shared" si="26"/>
        <v>76</v>
      </c>
      <c r="Q101" s="128">
        <f t="shared" si="27"/>
        <v>77.000000000000014</v>
      </c>
      <c r="R101" s="128">
        <f t="shared" si="28"/>
        <v>-2.0000000799999924</v>
      </c>
      <c r="T101" s="128">
        <f t="shared" si="19"/>
        <v>3.0000000800000208</v>
      </c>
      <c r="U101" s="128">
        <f t="shared" si="20"/>
        <v>424.00000016000001</v>
      </c>
      <c r="W101" s="128">
        <f t="shared" si="29"/>
        <v>77.000000000000014</v>
      </c>
      <c r="X101" s="128">
        <f t="shared" si="30"/>
        <v>116.00000008000001</v>
      </c>
    </row>
    <row r="102" spans="1:24">
      <c r="A102" s="22">
        <v>43182</v>
      </c>
      <c r="B102" s="130">
        <v>1</v>
      </c>
      <c r="C102" s="130">
        <v>0</v>
      </c>
      <c r="D102" s="130">
        <v>1</v>
      </c>
      <c r="E102" s="130">
        <v>0</v>
      </c>
      <c r="F102" s="130">
        <v>1</v>
      </c>
      <c r="G102" s="130">
        <v>1</v>
      </c>
      <c r="K102" s="86">
        <f t="shared" si="21"/>
        <v>43182</v>
      </c>
      <c r="L102" s="128">
        <f t="shared" si="22"/>
        <v>80.000000080000007</v>
      </c>
      <c r="M102" s="128">
        <f t="shared" si="23"/>
        <v>42.000000080000007</v>
      </c>
      <c r="N102" s="128">
        <f t="shared" si="24"/>
        <v>76.999999999999986</v>
      </c>
      <c r="O102" s="128">
        <f t="shared" si="25"/>
        <v>74</v>
      </c>
      <c r="P102" s="128">
        <f t="shared" si="26"/>
        <v>77</v>
      </c>
      <c r="Q102" s="128">
        <f t="shared" si="27"/>
        <v>78.000000000000014</v>
      </c>
      <c r="R102" s="128">
        <f t="shared" si="28"/>
        <v>-2.0000000799999924</v>
      </c>
      <c r="T102" s="128">
        <f t="shared" si="19"/>
        <v>3.0000000800000208</v>
      </c>
      <c r="U102" s="128">
        <f t="shared" si="20"/>
        <v>428.00000016000001</v>
      </c>
      <c r="W102" s="128">
        <f t="shared" si="29"/>
        <v>78.000000000000014</v>
      </c>
      <c r="X102" s="128">
        <f t="shared" si="30"/>
        <v>116.00000008000001</v>
      </c>
    </row>
    <row r="103" spans="1:24">
      <c r="A103" s="22">
        <v>43196</v>
      </c>
      <c r="B103" s="130">
        <v>0</v>
      </c>
      <c r="C103" s="130">
        <v>0</v>
      </c>
      <c r="D103" s="130">
        <v>1</v>
      </c>
      <c r="E103" s="130">
        <v>1</v>
      </c>
      <c r="F103" s="130">
        <v>1</v>
      </c>
      <c r="G103" s="130">
        <v>1</v>
      </c>
      <c r="K103" s="86">
        <f t="shared" si="21"/>
        <v>43196</v>
      </c>
      <c r="L103" s="128">
        <f t="shared" si="22"/>
        <v>80.000000080000007</v>
      </c>
      <c r="M103" s="128">
        <f t="shared" si="23"/>
        <v>42.000000080000007</v>
      </c>
      <c r="N103" s="128">
        <f t="shared" si="24"/>
        <v>77.999999999999986</v>
      </c>
      <c r="O103" s="128">
        <f t="shared" si="25"/>
        <v>75</v>
      </c>
      <c r="P103" s="128">
        <f t="shared" si="26"/>
        <v>78</v>
      </c>
      <c r="Q103" s="128">
        <f t="shared" si="27"/>
        <v>79.000000000000014</v>
      </c>
      <c r="R103" s="128">
        <f t="shared" si="28"/>
        <v>-1.0000000799999924</v>
      </c>
      <c r="T103" s="128">
        <f t="shared" ref="T103:T166" si="31">L103-N103</f>
        <v>2.0000000800000208</v>
      </c>
      <c r="U103" s="128">
        <f t="shared" si="20"/>
        <v>432.00000016000001</v>
      </c>
      <c r="W103" s="128">
        <f t="shared" si="29"/>
        <v>79.000000000000014</v>
      </c>
      <c r="X103" s="128">
        <f t="shared" si="30"/>
        <v>117.00000008000001</v>
      </c>
    </row>
    <row r="104" spans="1:24">
      <c r="A104" s="22">
        <v>43203</v>
      </c>
      <c r="B104" s="130">
        <v>1</v>
      </c>
      <c r="C104" s="130">
        <v>0</v>
      </c>
      <c r="D104" s="130">
        <v>1</v>
      </c>
      <c r="E104" s="130">
        <v>1</v>
      </c>
      <c r="F104" s="130">
        <v>1</v>
      </c>
      <c r="G104" s="130">
        <v>1</v>
      </c>
      <c r="K104" s="86">
        <f t="shared" si="21"/>
        <v>43203</v>
      </c>
      <c r="L104" s="128">
        <f t="shared" si="22"/>
        <v>81.000000080000007</v>
      </c>
      <c r="M104" s="128">
        <f t="shared" si="23"/>
        <v>42.000000080000007</v>
      </c>
      <c r="N104" s="128">
        <f t="shared" si="24"/>
        <v>78.999999999999986</v>
      </c>
      <c r="O104" s="128">
        <f t="shared" si="25"/>
        <v>76</v>
      </c>
      <c r="P104" s="128">
        <f t="shared" si="26"/>
        <v>79</v>
      </c>
      <c r="Q104" s="128">
        <f t="shared" si="27"/>
        <v>80.000000000000014</v>
      </c>
      <c r="R104" s="128">
        <f t="shared" si="28"/>
        <v>-1.0000000799999924</v>
      </c>
      <c r="T104" s="128">
        <f t="shared" si="31"/>
        <v>2.0000000800000208</v>
      </c>
      <c r="U104" s="128">
        <f t="shared" si="20"/>
        <v>437.00000016000001</v>
      </c>
      <c r="W104" s="128">
        <f t="shared" si="29"/>
        <v>80.000000000000014</v>
      </c>
      <c r="X104" s="128">
        <f t="shared" si="30"/>
        <v>118.00000008000001</v>
      </c>
    </row>
    <row r="105" spans="1:24">
      <c r="A105" s="22">
        <v>43210</v>
      </c>
      <c r="B105" s="130">
        <v>1</v>
      </c>
      <c r="C105" s="130">
        <v>0</v>
      </c>
      <c r="D105" s="130">
        <v>1</v>
      </c>
      <c r="E105" s="130">
        <v>1</v>
      </c>
      <c r="F105" s="130">
        <v>0</v>
      </c>
      <c r="G105" s="130">
        <v>1</v>
      </c>
      <c r="K105" s="86">
        <f t="shared" si="21"/>
        <v>43210</v>
      </c>
      <c r="L105" s="128">
        <f t="shared" si="22"/>
        <v>82.000000080000007</v>
      </c>
      <c r="M105" s="128">
        <f t="shared" si="23"/>
        <v>42.000000080000007</v>
      </c>
      <c r="N105" s="128">
        <f t="shared" si="24"/>
        <v>79.999999999999986</v>
      </c>
      <c r="O105" s="128">
        <f t="shared" si="25"/>
        <v>77</v>
      </c>
      <c r="P105" s="128">
        <f t="shared" si="26"/>
        <v>79</v>
      </c>
      <c r="Q105" s="128">
        <f t="shared" si="27"/>
        <v>81.000000000000014</v>
      </c>
      <c r="R105" s="128">
        <f t="shared" si="28"/>
        <v>-1.0000000799999924</v>
      </c>
      <c r="T105" s="128">
        <f t="shared" si="31"/>
        <v>2.0000000800000208</v>
      </c>
      <c r="U105" s="128">
        <f t="shared" si="20"/>
        <v>441.00000016000001</v>
      </c>
      <c r="W105" s="128">
        <f t="shared" si="29"/>
        <v>81.000000000000014</v>
      </c>
      <c r="X105" s="128">
        <f t="shared" si="30"/>
        <v>119.00000008000001</v>
      </c>
    </row>
    <row r="106" spans="1:24">
      <c r="A106" s="22">
        <v>43217</v>
      </c>
      <c r="B106" s="130">
        <v>1</v>
      </c>
      <c r="C106" s="130">
        <v>1</v>
      </c>
      <c r="D106" s="130">
        <v>0</v>
      </c>
      <c r="E106" s="130">
        <v>1</v>
      </c>
      <c r="F106" s="130">
        <v>1</v>
      </c>
      <c r="G106" s="130">
        <v>1</v>
      </c>
      <c r="K106" s="86">
        <f t="shared" si="21"/>
        <v>43217</v>
      </c>
      <c r="L106" s="128">
        <f t="shared" si="22"/>
        <v>83.000000080000007</v>
      </c>
      <c r="M106" s="128">
        <f t="shared" si="23"/>
        <v>43.000000080000007</v>
      </c>
      <c r="N106" s="128">
        <f t="shared" si="24"/>
        <v>79.999999999999986</v>
      </c>
      <c r="O106" s="128">
        <f t="shared" si="25"/>
        <v>78</v>
      </c>
      <c r="P106" s="128">
        <f t="shared" si="26"/>
        <v>80</v>
      </c>
      <c r="Q106" s="128">
        <f t="shared" si="27"/>
        <v>82.000000000000014</v>
      </c>
      <c r="R106" s="128">
        <f t="shared" si="28"/>
        <v>-1.0000000799999924</v>
      </c>
      <c r="T106" s="128">
        <f t="shared" si="31"/>
        <v>3.0000000800000208</v>
      </c>
      <c r="U106" s="128">
        <f t="shared" si="20"/>
        <v>446.00000016000001</v>
      </c>
      <c r="W106" s="128">
        <f t="shared" si="29"/>
        <v>82.000000000000014</v>
      </c>
      <c r="X106" s="128">
        <f t="shared" si="30"/>
        <v>121.00000008000001</v>
      </c>
    </row>
    <row r="107" spans="1:24">
      <c r="A107" s="22">
        <v>43224</v>
      </c>
      <c r="B107" s="130">
        <v>0</v>
      </c>
      <c r="C107" s="130">
        <v>0</v>
      </c>
      <c r="D107" s="130">
        <v>0</v>
      </c>
      <c r="E107" s="130">
        <v>0</v>
      </c>
      <c r="F107" s="130">
        <v>0</v>
      </c>
      <c r="G107" s="130">
        <v>0</v>
      </c>
      <c r="K107" s="86">
        <f t="shared" si="21"/>
        <v>43224</v>
      </c>
      <c r="L107" s="128">
        <f t="shared" si="22"/>
        <v>83.000000080000007</v>
      </c>
      <c r="M107" s="128">
        <f t="shared" si="23"/>
        <v>43.000000080000007</v>
      </c>
      <c r="N107" s="128">
        <f t="shared" si="24"/>
        <v>79.999999999999986</v>
      </c>
      <c r="O107" s="128">
        <f t="shared" si="25"/>
        <v>78</v>
      </c>
      <c r="P107" s="128">
        <f t="shared" si="26"/>
        <v>80</v>
      </c>
      <c r="Q107" s="128">
        <f t="shared" si="27"/>
        <v>82.000000000000014</v>
      </c>
      <c r="R107" s="128">
        <f t="shared" si="28"/>
        <v>-1.0000000799999924</v>
      </c>
      <c r="T107" s="128">
        <f t="shared" si="31"/>
        <v>3.0000000800000208</v>
      </c>
      <c r="U107" s="128">
        <f t="shared" si="20"/>
        <v>446.00000016000001</v>
      </c>
      <c r="W107" s="128">
        <f t="shared" si="29"/>
        <v>82.000000000000014</v>
      </c>
      <c r="X107" s="128">
        <f t="shared" si="30"/>
        <v>121.00000008000001</v>
      </c>
    </row>
    <row r="108" spans="1:24">
      <c r="A108" s="22">
        <v>43231</v>
      </c>
      <c r="B108" s="130">
        <v>0</v>
      </c>
      <c r="C108" s="130">
        <v>0</v>
      </c>
      <c r="D108" s="130">
        <v>1</v>
      </c>
      <c r="E108" s="130">
        <v>1</v>
      </c>
      <c r="F108" s="130">
        <v>0</v>
      </c>
      <c r="G108" s="130">
        <v>1</v>
      </c>
      <c r="K108" s="86">
        <f t="shared" si="21"/>
        <v>43231</v>
      </c>
      <c r="L108" s="128">
        <f t="shared" si="22"/>
        <v>83.000000080000007</v>
      </c>
      <c r="M108" s="128">
        <f t="shared" si="23"/>
        <v>43.000000080000007</v>
      </c>
      <c r="N108" s="128">
        <f t="shared" si="24"/>
        <v>80.999999999999986</v>
      </c>
      <c r="O108" s="128">
        <f t="shared" si="25"/>
        <v>79</v>
      </c>
      <c r="P108" s="128">
        <f t="shared" si="26"/>
        <v>80</v>
      </c>
      <c r="Q108" s="128">
        <f t="shared" si="27"/>
        <v>83.000000000000014</v>
      </c>
      <c r="R108" s="128">
        <f t="shared" si="28"/>
        <v>-7.9999992408374965E-8</v>
      </c>
      <c r="T108" s="128">
        <f t="shared" si="31"/>
        <v>2.0000000800000208</v>
      </c>
      <c r="U108" s="128">
        <f t="shared" si="20"/>
        <v>449.00000016000001</v>
      </c>
      <c r="W108" s="128">
        <f t="shared" si="29"/>
        <v>83.000000000000014</v>
      </c>
      <c r="X108" s="128">
        <f t="shared" si="30"/>
        <v>122.00000008000001</v>
      </c>
    </row>
    <row r="109" spans="1:24">
      <c r="A109" s="22">
        <v>43238</v>
      </c>
      <c r="B109" s="130">
        <v>1</v>
      </c>
      <c r="C109" s="130">
        <v>0</v>
      </c>
      <c r="D109" s="130">
        <v>0</v>
      </c>
      <c r="E109" s="130">
        <v>0</v>
      </c>
      <c r="F109" s="130">
        <v>0</v>
      </c>
      <c r="G109" s="130">
        <v>1</v>
      </c>
      <c r="K109" s="86">
        <f t="shared" si="21"/>
        <v>43238</v>
      </c>
      <c r="L109" s="128">
        <f t="shared" si="22"/>
        <v>84.000000080000007</v>
      </c>
      <c r="M109" s="128">
        <f t="shared" si="23"/>
        <v>43.000000080000007</v>
      </c>
      <c r="N109" s="128">
        <f t="shared" si="24"/>
        <v>80.999999999999986</v>
      </c>
      <c r="O109" s="128">
        <f t="shared" si="25"/>
        <v>79</v>
      </c>
      <c r="P109" s="128">
        <f t="shared" si="26"/>
        <v>80</v>
      </c>
      <c r="Q109" s="128">
        <f t="shared" si="27"/>
        <v>84.000000000000014</v>
      </c>
      <c r="R109" s="128">
        <f t="shared" si="28"/>
        <v>-7.9999992408374965E-8</v>
      </c>
      <c r="T109" s="128">
        <f t="shared" si="31"/>
        <v>3.0000000800000208</v>
      </c>
      <c r="U109" s="128">
        <f t="shared" si="20"/>
        <v>451.00000016000001</v>
      </c>
      <c r="W109" s="128">
        <f t="shared" si="29"/>
        <v>84.000000000000014</v>
      </c>
      <c r="X109" s="128">
        <f t="shared" si="30"/>
        <v>122.00000008000001</v>
      </c>
    </row>
    <row r="110" spans="1:24">
      <c r="A110" s="22">
        <v>43245</v>
      </c>
      <c r="B110" s="130">
        <v>0</v>
      </c>
      <c r="C110" s="130">
        <v>0</v>
      </c>
      <c r="D110" s="130">
        <v>0</v>
      </c>
      <c r="E110" s="130">
        <v>0</v>
      </c>
      <c r="F110" s="130">
        <v>1</v>
      </c>
      <c r="G110" s="130">
        <v>1</v>
      </c>
      <c r="K110" s="138">
        <f t="shared" si="21"/>
        <v>43245</v>
      </c>
      <c r="L110" s="128">
        <f t="shared" si="22"/>
        <v>84.000000080000007</v>
      </c>
      <c r="M110" s="128">
        <f t="shared" si="23"/>
        <v>43.000000080000007</v>
      </c>
      <c r="N110" s="128">
        <f t="shared" si="24"/>
        <v>80.999999999999986</v>
      </c>
      <c r="O110" s="128">
        <f t="shared" si="25"/>
        <v>79</v>
      </c>
      <c r="P110" s="128">
        <f t="shared" si="26"/>
        <v>81</v>
      </c>
      <c r="Q110" s="137">
        <f t="shared" si="27"/>
        <v>85.000000000000014</v>
      </c>
      <c r="R110" s="128">
        <f t="shared" si="28"/>
        <v>0.99999992000000759</v>
      </c>
      <c r="S110" s="1">
        <f>IF(Q110&gt;L110,1,0)</f>
        <v>1</v>
      </c>
      <c r="T110" s="128">
        <f t="shared" si="31"/>
        <v>3.0000000800000208</v>
      </c>
      <c r="U110" s="128">
        <f t="shared" si="20"/>
        <v>453.00000016000001</v>
      </c>
      <c r="W110" s="128">
        <f t="shared" si="29"/>
        <v>85.000000000000014</v>
      </c>
      <c r="X110" s="128">
        <f t="shared" si="30"/>
        <v>122.00000008000001</v>
      </c>
    </row>
    <row r="111" spans="1:24">
      <c r="A111" s="22">
        <v>43252</v>
      </c>
      <c r="B111" s="130">
        <v>1</v>
      </c>
      <c r="C111" s="130">
        <v>0</v>
      </c>
      <c r="D111" s="130">
        <v>0</v>
      </c>
      <c r="E111" s="130">
        <v>0</v>
      </c>
      <c r="F111" s="130">
        <v>1</v>
      </c>
      <c r="G111" s="130">
        <v>1</v>
      </c>
      <c r="K111" s="86">
        <f t="shared" si="21"/>
        <v>43252</v>
      </c>
      <c r="L111" s="128">
        <f t="shared" si="22"/>
        <v>85.000000080000007</v>
      </c>
      <c r="M111" s="128">
        <f t="shared" si="23"/>
        <v>43.000000080000007</v>
      </c>
      <c r="N111" s="128">
        <f t="shared" si="24"/>
        <v>80.999999999999986</v>
      </c>
      <c r="O111" s="128">
        <f t="shared" si="25"/>
        <v>79</v>
      </c>
      <c r="P111" s="128">
        <f t="shared" si="26"/>
        <v>82</v>
      </c>
      <c r="Q111" s="128">
        <f t="shared" si="27"/>
        <v>86.000000000000014</v>
      </c>
      <c r="R111" s="128">
        <f t="shared" si="28"/>
        <v>0.99999992000000759</v>
      </c>
      <c r="S111" s="1">
        <f>IF(Q111&gt;L111,1,0)</f>
        <v>1</v>
      </c>
      <c r="T111" s="128">
        <f t="shared" si="31"/>
        <v>4.0000000800000208</v>
      </c>
      <c r="U111" s="128">
        <f t="shared" si="20"/>
        <v>456.00000016000001</v>
      </c>
      <c r="W111" s="128">
        <f t="shared" si="29"/>
        <v>86.000000000000014</v>
      </c>
      <c r="X111" s="128">
        <f t="shared" si="30"/>
        <v>122.00000008000001</v>
      </c>
    </row>
    <row r="112" spans="1:24">
      <c r="A112" s="22">
        <v>43259</v>
      </c>
      <c r="B112" s="130">
        <v>1</v>
      </c>
      <c r="C112" s="130">
        <v>0</v>
      </c>
      <c r="D112" s="130">
        <v>1</v>
      </c>
      <c r="E112" s="130">
        <v>0</v>
      </c>
      <c r="F112" s="130">
        <v>0</v>
      </c>
      <c r="G112" s="130">
        <v>1</v>
      </c>
      <c r="K112" s="86">
        <f t="shared" si="21"/>
        <v>43259</v>
      </c>
      <c r="L112" s="128">
        <f t="shared" si="22"/>
        <v>86.000000080000007</v>
      </c>
      <c r="M112" s="128">
        <f t="shared" si="23"/>
        <v>43.000000080000007</v>
      </c>
      <c r="N112" s="128">
        <f t="shared" si="24"/>
        <v>81.999999999999986</v>
      </c>
      <c r="O112" s="128">
        <f t="shared" si="25"/>
        <v>79</v>
      </c>
      <c r="P112" s="128">
        <f t="shared" si="26"/>
        <v>82</v>
      </c>
      <c r="Q112" s="128">
        <f t="shared" si="27"/>
        <v>87.000000000000014</v>
      </c>
      <c r="R112" s="128">
        <f t="shared" si="28"/>
        <v>0.99999992000000759</v>
      </c>
      <c r="S112" s="1">
        <f t="shared" ref="S112:S174" si="32">IF(Q112&gt;L112,1,0)</f>
        <v>1</v>
      </c>
      <c r="T112" s="128">
        <f t="shared" si="31"/>
        <v>4.0000000800000208</v>
      </c>
      <c r="U112" s="128">
        <f t="shared" si="20"/>
        <v>459.00000016000001</v>
      </c>
      <c r="W112" s="128">
        <f t="shared" si="29"/>
        <v>87.000000000000014</v>
      </c>
      <c r="X112" s="128">
        <f t="shared" si="30"/>
        <v>122.00000008000001</v>
      </c>
    </row>
    <row r="113" spans="1:24">
      <c r="A113" s="22">
        <v>43266</v>
      </c>
      <c r="B113" s="130">
        <v>0</v>
      </c>
      <c r="C113" s="130">
        <v>0</v>
      </c>
      <c r="D113" s="130">
        <v>1</v>
      </c>
      <c r="E113" s="130">
        <v>0</v>
      </c>
      <c r="F113" s="130">
        <v>1</v>
      </c>
      <c r="G113" s="130">
        <v>1</v>
      </c>
      <c r="K113" s="86">
        <f t="shared" si="21"/>
        <v>43266</v>
      </c>
      <c r="L113" s="128">
        <f t="shared" si="22"/>
        <v>86.000000080000007</v>
      </c>
      <c r="M113" s="128">
        <f t="shared" si="23"/>
        <v>43.000000080000007</v>
      </c>
      <c r="N113" s="128">
        <f t="shared" si="24"/>
        <v>82.999999999999986</v>
      </c>
      <c r="O113" s="128">
        <f t="shared" si="25"/>
        <v>79</v>
      </c>
      <c r="P113" s="128">
        <f t="shared" si="26"/>
        <v>83</v>
      </c>
      <c r="Q113" s="128">
        <f t="shared" si="27"/>
        <v>88.000000000000014</v>
      </c>
      <c r="R113" s="128">
        <f t="shared" si="28"/>
        <v>1.9999999200000076</v>
      </c>
      <c r="S113" s="1">
        <f t="shared" si="32"/>
        <v>1</v>
      </c>
      <c r="T113" s="128">
        <f t="shared" si="31"/>
        <v>3.0000000800000208</v>
      </c>
      <c r="U113" s="128">
        <f t="shared" si="20"/>
        <v>462.00000016000001</v>
      </c>
      <c r="W113" s="128">
        <f t="shared" si="29"/>
        <v>88.000000000000014</v>
      </c>
      <c r="X113" s="128">
        <f t="shared" si="30"/>
        <v>122.00000008000001</v>
      </c>
    </row>
    <row r="114" spans="1:24">
      <c r="A114" s="22">
        <v>43273</v>
      </c>
      <c r="B114" s="130">
        <v>1</v>
      </c>
      <c r="C114" s="130">
        <v>0</v>
      </c>
      <c r="D114" s="130">
        <v>1</v>
      </c>
      <c r="E114" s="130">
        <v>0</v>
      </c>
      <c r="F114" s="130">
        <v>1</v>
      </c>
      <c r="G114" s="130">
        <v>1</v>
      </c>
      <c r="J114" s="57" t="s">
        <v>146</v>
      </c>
      <c r="K114" s="86">
        <f t="shared" si="21"/>
        <v>43273</v>
      </c>
      <c r="L114" s="128">
        <f t="shared" si="22"/>
        <v>87.000000080000007</v>
      </c>
      <c r="M114" s="128">
        <f t="shared" si="23"/>
        <v>43.000000080000007</v>
      </c>
      <c r="N114" s="128">
        <f t="shared" si="24"/>
        <v>83.999999999999986</v>
      </c>
      <c r="O114" s="128">
        <f t="shared" si="25"/>
        <v>79</v>
      </c>
      <c r="P114" s="128">
        <f t="shared" si="26"/>
        <v>84</v>
      </c>
      <c r="Q114" s="128">
        <f t="shared" si="27"/>
        <v>89.000000000000014</v>
      </c>
      <c r="R114" s="128">
        <f t="shared" si="28"/>
        <v>1.9999999200000076</v>
      </c>
      <c r="S114" s="1">
        <f t="shared" si="32"/>
        <v>1</v>
      </c>
      <c r="T114" s="128">
        <f t="shared" si="31"/>
        <v>3.0000000800000208</v>
      </c>
      <c r="U114" s="128">
        <f t="shared" si="20"/>
        <v>466.00000016000001</v>
      </c>
      <c r="W114" s="128">
        <f t="shared" si="29"/>
        <v>89.000000000000014</v>
      </c>
      <c r="X114" s="128">
        <f t="shared" si="30"/>
        <v>122.00000008000001</v>
      </c>
    </row>
    <row r="115" spans="1:24">
      <c r="A115" s="22">
        <v>43280</v>
      </c>
      <c r="B115" s="130">
        <v>1</v>
      </c>
      <c r="C115" s="130">
        <v>0</v>
      </c>
      <c r="D115" s="130">
        <v>1</v>
      </c>
      <c r="E115" s="130">
        <v>0</v>
      </c>
      <c r="F115" s="130">
        <v>0</v>
      </c>
      <c r="G115" s="130">
        <v>1</v>
      </c>
      <c r="J115" s="57" t="s">
        <v>147</v>
      </c>
      <c r="K115" s="86">
        <f t="shared" si="21"/>
        <v>43280</v>
      </c>
      <c r="L115" s="128">
        <f t="shared" si="22"/>
        <v>88.000000080000007</v>
      </c>
      <c r="M115" s="128">
        <f t="shared" si="23"/>
        <v>43.000000080000007</v>
      </c>
      <c r="N115" s="128">
        <f t="shared" si="24"/>
        <v>84.999999999999986</v>
      </c>
      <c r="O115" s="128">
        <f t="shared" si="25"/>
        <v>79</v>
      </c>
      <c r="P115" s="128">
        <f t="shared" si="26"/>
        <v>84</v>
      </c>
      <c r="Q115" s="128">
        <f t="shared" si="27"/>
        <v>90.000000000000014</v>
      </c>
      <c r="R115" s="128">
        <f t="shared" si="28"/>
        <v>1.9999999200000076</v>
      </c>
      <c r="S115" s="1">
        <f t="shared" si="32"/>
        <v>1</v>
      </c>
      <c r="T115" s="128">
        <f t="shared" si="31"/>
        <v>3.0000000800000208</v>
      </c>
      <c r="U115" s="128">
        <f t="shared" si="20"/>
        <v>469.00000016000001</v>
      </c>
      <c r="W115" s="128">
        <f t="shared" si="29"/>
        <v>90.000000000000014</v>
      </c>
      <c r="X115" s="128">
        <f t="shared" si="30"/>
        <v>122.00000008000001</v>
      </c>
    </row>
    <row r="116" spans="1:24">
      <c r="A116" s="22">
        <v>43287</v>
      </c>
      <c r="B116" s="130">
        <v>1</v>
      </c>
      <c r="C116" s="130">
        <v>0</v>
      </c>
      <c r="D116" s="130">
        <v>0</v>
      </c>
      <c r="E116" s="130">
        <v>0</v>
      </c>
      <c r="F116" s="130">
        <v>0</v>
      </c>
      <c r="G116" s="130">
        <v>1</v>
      </c>
      <c r="K116" s="86">
        <f t="shared" si="21"/>
        <v>43287</v>
      </c>
      <c r="L116" s="128">
        <f t="shared" si="22"/>
        <v>89.000000080000007</v>
      </c>
      <c r="M116" s="128">
        <f t="shared" si="23"/>
        <v>43.000000080000007</v>
      </c>
      <c r="N116" s="128">
        <f t="shared" si="24"/>
        <v>84.999999999999986</v>
      </c>
      <c r="O116" s="128">
        <f t="shared" si="25"/>
        <v>79</v>
      </c>
      <c r="P116" s="128">
        <f t="shared" si="26"/>
        <v>84</v>
      </c>
      <c r="Q116" s="128">
        <f t="shared" si="27"/>
        <v>91.000000000000014</v>
      </c>
      <c r="R116" s="128">
        <f t="shared" si="28"/>
        <v>1.9999999200000076</v>
      </c>
      <c r="S116" s="1">
        <f t="shared" si="32"/>
        <v>1</v>
      </c>
      <c r="T116" s="128">
        <f t="shared" si="31"/>
        <v>4.0000000800000208</v>
      </c>
      <c r="U116" s="128">
        <f t="shared" si="20"/>
        <v>471.00000016000001</v>
      </c>
      <c r="W116" s="128">
        <f t="shared" si="29"/>
        <v>91.000000000000014</v>
      </c>
      <c r="X116" s="128">
        <f t="shared" si="30"/>
        <v>122.00000008000001</v>
      </c>
    </row>
    <row r="117" spans="1:24">
      <c r="A117" s="22">
        <v>43294</v>
      </c>
      <c r="B117" s="130">
        <v>1</v>
      </c>
      <c r="C117" s="130">
        <v>0</v>
      </c>
      <c r="D117" s="130">
        <v>1</v>
      </c>
      <c r="E117" s="130">
        <v>0</v>
      </c>
      <c r="F117" s="130">
        <v>0</v>
      </c>
      <c r="G117" s="130">
        <v>1</v>
      </c>
      <c r="J117" s="57" t="s">
        <v>148</v>
      </c>
      <c r="K117" s="86">
        <f t="shared" si="21"/>
        <v>43294</v>
      </c>
      <c r="L117" s="128">
        <f t="shared" si="22"/>
        <v>90.000000080000007</v>
      </c>
      <c r="M117" s="128">
        <f t="shared" si="23"/>
        <v>43.000000080000007</v>
      </c>
      <c r="N117" s="128">
        <f t="shared" si="24"/>
        <v>85.999999999999986</v>
      </c>
      <c r="O117" s="128">
        <f t="shared" si="25"/>
        <v>79</v>
      </c>
      <c r="P117" s="128">
        <f t="shared" si="26"/>
        <v>84</v>
      </c>
      <c r="Q117" s="128">
        <f t="shared" si="27"/>
        <v>92.000000000000014</v>
      </c>
      <c r="R117" s="128">
        <f t="shared" si="28"/>
        <v>1.9999999200000076</v>
      </c>
      <c r="S117" s="1">
        <f t="shared" si="32"/>
        <v>1</v>
      </c>
      <c r="T117" s="128">
        <f t="shared" si="31"/>
        <v>4.0000000800000208</v>
      </c>
      <c r="U117" s="128">
        <f t="shared" si="20"/>
        <v>474.00000016000001</v>
      </c>
      <c r="W117" s="128">
        <f t="shared" si="29"/>
        <v>92.000000000000014</v>
      </c>
      <c r="X117" s="128">
        <f t="shared" si="30"/>
        <v>122.00000008000001</v>
      </c>
    </row>
    <row r="118" spans="1:24">
      <c r="A118" s="22">
        <v>43301</v>
      </c>
      <c r="B118" s="130">
        <v>1</v>
      </c>
      <c r="C118" s="130">
        <v>0</v>
      </c>
      <c r="D118" s="130">
        <v>1</v>
      </c>
      <c r="E118" s="130">
        <v>0</v>
      </c>
      <c r="F118" s="130">
        <v>0</v>
      </c>
      <c r="G118" s="130">
        <v>1</v>
      </c>
      <c r="K118" s="86">
        <f t="shared" si="21"/>
        <v>43301</v>
      </c>
      <c r="L118" s="128">
        <f t="shared" si="22"/>
        <v>91.000000080000007</v>
      </c>
      <c r="M118" s="128">
        <f t="shared" si="23"/>
        <v>43.000000080000007</v>
      </c>
      <c r="N118" s="128">
        <f t="shared" si="24"/>
        <v>86.999999999999986</v>
      </c>
      <c r="O118" s="128">
        <f t="shared" si="25"/>
        <v>79</v>
      </c>
      <c r="P118" s="128">
        <f t="shared" si="26"/>
        <v>84</v>
      </c>
      <c r="Q118" s="128">
        <f t="shared" si="27"/>
        <v>93.000000000000014</v>
      </c>
      <c r="R118" s="128">
        <f t="shared" si="28"/>
        <v>1.9999999200000076</v>
      </c>
      <c r="S118" s="1">
        <f t="shared" si="32"/>
        <v>1</v>
      </c>
      <c r="T118" s="128">
        <f t="shared" si="31"/>
        <v>4.0000000800000208</v>
      </c>
      <c r="U118" s="128">
        <f t="shared" si="20"/>
        <v>477.00000016000001</v>
      </c>
      <c r="W118" s="128">
        <f t="shared" si="29"/>
        <v>93.000000000000014</v>
      </c>
      <c r="X118" s="128">
        <f t="shared" si="30"/>
        <v>122.00000008000001</v>
      </c>
    </row>
    <row r="119" spans="1:24">
      <c r="A119" s="22">
        <v>43308</v>
      </c>
      <c r="B119" s="130">
        <v>1</v>
      </c>
      <c r="C119" s="130">
        <v>0</v>
      </c>
      <c r="D119" s="130">
        <v>1</v>
      </c>
      <c r="E119" s="130">
        <v>1</v>
      </c>
      <c r="F119" s="130">
        <v>0</v>
      </c>
      <c r="G119" s="130">
        <v>1</v>
      </c>
      <c r="J119" s="57" t="s">
        <v>149</v>
      </c>
      <c r="K119" s="86">
        <f t="shared" si="21"/>
        <v>43308</v>
      </c>
      <c r="L119" s="128">
        <f t="shared" si="22"/>
        <v>92.000000080000007</v>
      </c>
      <c r="M119" s="128">
        <f t="shared" si="23"/>
        <v>43.000000080000007</v>
      </c>
      <c r="N119" s="128">
        <f t="shared" si="24"/>
        <v>87.999999999999986</v>
      </c>
      <c r="O119" s="128">
        <f t="shared" si="25"/>
        <v>80</v>
      </c>
      <c r="P119" s="128">
        <f t="shared" si="26"/>
        <v>84</v>
      </c>
      <c r="Q119" s="128">
        <f t="shared" si="27"/>
        <v>94.000000000000014</v>
      </c>
      <c r="R119" s="128">
        <f t="shared" si="28"/>
        <v>1.9999999200000076</v>
      </c>
      <c r="S119" s="1">
        <f t="shared" si="32"/>
        <v>1</v>
      </c>
      <c r="T119" s="128">
        <f t="shared" si="31"/>
        <v>4.0000000800000208</v>
      </c>
      <c r="U119" s="128">
        <f t="shared" si="20"/>
        <v>481.00000016000001</v>
      </c>
      <c r="W119" s="128">
        <f t="shared" si="29"/>
        <v>94.000000000000014</v>
      </c>
      <c r="X119" s="128">
        <f t="shared" si="30"/>
        <v>123.00000008000001</v>
      </c>
    </row>
    <row r="120" spans="1:24">
      <c r="A120" s="22">
        <v>43315</v>
      </c>
      <c r="B120" s="130">
        <v>1</v>
      </c>
      <c r="C120" s="130">
        <v>0</v>
      </c>
      <c r="D120" s="130">
        <v>1</v>
      </c>
      <c r="E120" s="130">
        <v>0</v>
      </c>
      <c r="F120" s="130">
        <v>0</v>
      </c>
      <c r="G120" s="130">
        <v>1</v>
      </c>
      <c r="J120" s="57" t="s">
        <v>150</v>
      </c>
      <c r="K120" s="86">
        <f t="shared" si="21"/>
        <v>43315</v>
      </c>
      <c r="L120" s="128">
        <f t="shared" si="22"/>
        <v>93.000000080000007</v>
      </c>
      <c r="M120" s="128">
        <f t="shared" si="23"/>
        <v>43.000000080000007</v>
      </c>
      <c r="N120" s="128">
        <f t="shared" si="24"/>
        <v>88.999999999999986</v>
      </c>
      <c r="O120" s="128">
        <f t="shared" si="25"/>
        <v>80</v>
      </c>
      <c r="P120" s="128">
        <f t="shared" si="26"/>
        <v>84</v>
      </c>
      <c r="Q120" s="128">
        <f t="shared" si="27"/>
        <v>95.000000000000014</v>
      </c>
      <c r="R120" s="128">
        <f t="shared" si="28"/>
        <v>1.9999999200000076</v>
      </c>
      <c r="S120" s="1">
        <f t="shared" si="32"/>
        <v>1</v>
      </c>
      <c r="T120" s="128">
        <f t="shared" si="31"/>
        <v>4.0000000800000208</v>
      </c>
      <c r="U120" s="128">
        <f t="shared" si="20"/>
        <v>484.00000016000001</v>
      </c>
      <c r="W120" s="128">
        <f t="shared" si="29"/>
        <v>95.000000000000014</v>
      </c>
      <c r="X120" s="128">
        <f t="shared" si="30"/>
        <v>123.00000008000001</v>
      </c>
    </row>
    <row r="121" spans="1:24">
      <c r="A121" s="22">
        <v>43322</v>
      </c>
      <c r="B121" s="130">
        <v>1</v>
      </c>
      <c r="C121" s="130">
        <v>0</v>
      </c>
      <c r="D121" s="130">
        <v>1</v>
      </c>
      <c r="E121" s="130">
        <v>0</v>
      </c>
      <c r="F121" s="130">
        <v>0</v>
      </c>
      <c r="G121" s="130">
        <v>1</v>
      </c>
      <c r="J121" s="57" t="s">
        <v>151</v>
      </c>
      <c r="K121" s="86">
        <f t="shared" si="21"/>
        <v>43322</v>
      </c>
      <c r="L121" s="128">
        <f t="shared" si="22"/>
        <v>94.000000080000007</v>
      </c>
      <c r="M121" s="128">
        <f t="shared" si="23"/>
        <v>43.000000080000007</v>
      </c>
      <c r="N121" s="128">
        <f t="shared" si="24"/>
        <v>89.999999999999986</v>
      </c>
      <c r="O121" s="128">
        <f t="shared" si="25"/>
        <v>80</v>
      </c>
      <c r="P121" s="128">
        <f t="shared" si="26"/>
        <v>84</v>
      </c>
      <c r="Q121" s="128">
        <f t="shared" si="27"/>
        <v>96.000000000000014</v>
      </c>
      <c r="R121" s="128">
        <f t="shared" si="28"/>
        <v>1.9999999200000076</v>
      </c>
      <c r="S121" s="1">
        <f t="shared" si="32"/>
        <v>1</v>
      </c>
      <c r="T121" s="128">
        <f t="shared" si="31"/>
        <v>4.0000000800000208</v>
      </c>
      <c r="U121" s="128">
        <f t="shared" si="20"/>
        <v>487.00000016000001</v>
      </c>
      <c r="W121" s="128">
        <f t="shared" si="29"/>
        <v>96.000000000000014</v>
      </c>
      <c r="X121" s="128">
        <f t="shared" si="30"/>
        <v>123.00000008000001</v>
      </c>
    </row>
    <row r="122" spans="1:24">
      <c r="A122" s="22">
        <v>43329</v>
      </c>
      <c r="B122" s="130">
        <v>1</v>
      </c>
      <c r="C122" s="130">
        <v>0</v>
      </c>
      <c r="D122" s="130">
        <v>1</v>
      </c>
      <c r="E122" s="130">
        <v>0</v>
      </c>
      <c r="F122" s="130">
        <v>0</v>
      </c>
      <c r="G122" s="130">
        <v>1</v>
      </c>
      <c r="J122" s="57" t="s">
        <v>152</v>
      </c>
      <c r="K122" s="86">
        <f t="shared" si="21"/>
        <v>43329</v>
      </c>
      <c r="L122" s="128">
        <f t="shared" si="22"/>
        <v>95.000000080000007</v>
      </c>
      <c r="M122" s="128">
        <f t="shared" si="23"/>
        <v>43.000000080000007</v>
      </c>
      <c r="N122" s="128">
        <f t="shared" si="24"/>
        <v>90.999999999999986</v>
      </c>
      <c r="O122" s="128">
        <f t="shared" si="25"/>
        <v>80</v>
      </c>
      <c r="P122" s="128">
        <f t="shared" si="26"/>
        <v>84</v>
      </c>
      <c r="Q122" s="128">
        <f t="shared" si="27"/>
        <v>97.000000000000014</v>
      </c>
      <c r="R122" s="128">
        <f t="shared" si="28"/>
        <v>1.9999999200000076</v>
      </c>
      <c r="S122" s="1">
        <f t="shared" si="32"/>
        <v>1</v>
      </c>
      <c r="T122" s="128">
        <f t="shared" si="31"/>
        <v>4.0000000800000208</v>
      </c>
      <c r="U122" s="128">
        <f t="shared" si="20"/>
        <v>490.00000016000001</v>
      </c>
      <c r="W122" s="128">
        <f t="shared" si="29"/>
        <v>97.000000000000014</v>
      </c>
      <c r="X122" s="128">
        <f t="shared" si="30"/>
        <v>123.00000008000001</v>
      </c>
    </row>
    <row r="123" spans="1:24">
      <c r="A123" s="22">
        <v>43336</v>
      </c>
      <c r="B123" s="130">
        <v>0</v>
      </c>
      <c r="C123" s="130">
        <v>0</v>
      </c>
      <c r="D123" s="130">
        <v>0</v>
      </c>
      <c r="E123" s="130">
        <v>0</v>
      </c>
      <c r="F123" s="130">
        <v>0</v>
      </c>
      <c r="G123" s="130">
        <v>1</v>
      </c>
      <c r="J123" s="57" t="s">
        <v>153</v>
      </c>
      <c r="K123" s="86">
        <f t="shared" si="21"/>
        <v>43336</v>
      </c>
      <c r="L123" s="128">
        <f t="shared" si="22"/>
        <v>95.000000080000007</v>
      </c>
      <c r="M123" s="128">
        <f t="shared" si="23"/>
        <v>43.000000080000007</v>
      </c>
      <c r="N123" s="128">
        <f t="shared" si="24"/>
        <v>90.999999999999986</v>
      </c>
      <c r="O123" s="128">
        <f t="shared" si="25"/>
        <v>80</v>
      </c>
      <c r="P123" s="128">
        <f t="shared" si="26"/>
        <v>84</v>
      </c>
      <c r="Q123" s="128">
        <f t="shared" si="27"/>
        <v>98.000000000000014</v>
      </c>
      <c r="R123" s="128">
        <f t="shared" si="28"/>
        <v>2.9999999200000076</v>
      </c>
      <c r="S123" s="1">
        <f t="shared" si="32"/>
        <v>1</v>
      </c>
      <c r="T123" s="128">
        <f t="shared" si="31"/>
        <v>4.0000000800000208</v>
      </c>
      <c r="U123" s="128">
        <f t="shared" si="20"/>
        <v>491.00000016000001</v>
      </c>
      <c r="W123" s="128">
        <f t="shared" si="29"/>
        <v>98.000000000000014</v>
      </c>
      <c r="X123" s="128">
        <f t="shared" si="30"/>
        <v>123.00000008000001</v>
      </c>
    </row>
    <row r="124" spans="1:24">
      <c r="A124" s="22">
        <v>43343</v>
      </c>
      <c r="B124" s="130">
        <v>1</v>
      </c>
      <c r="C124" s="130">
        <v>0</v>
      </c>
      <c r="D124" s="130">
        <v>0</v>
      </c>
      <c r="E124" s="130">
        <v>1</v>
      </c>
      <c r="F124" s="130">
        <v>1</v>
      </c>
      <c r="G124" s="130">
        <v>1</v>
      </c>
      <c r="J124" s="57" t="s">
        <v>154</v>
      </c>
      <c r="K124" s="86">
        <f t="shared" si="21"/>
        <v>43343</v>
      </c>
      <c r="L124" s="128">
        <f t="shared" si="22"/>
        <v>96.000000080000007</v>
      </c>
      <c r="M124" s="128">
        <f t="shared" si="23"/>
        <v>43.000000080000007</v>
      </c>
      <c r="N124" s="128">
        <f t="shared" si="24"/>
        <v>90.999999999999986</v>
      </c>
      <c r="O124" s="128">
        <f t="shared" si="25"/>
        <v>81</v>
      </c>
      <c r="P124" s="128">
        <f t="shared" si="26"/>
        <v>85</v>
      </c>
      <c r="Q124" s="128">
        <f t="shared" si="27"/>
        <v>99.000000000000014</v>
      </c>
      <c r="R124" s="128">
        <f t="shared" si="28"/>
        <v>2.9999999200000076</v>
      </c>
      <c r="S124" s="1">
        <f t="shared" si="32"/>
        <v>1</v>
      </c>
      <c r="T124" s="128">
        <f t="shared" si="31"/>
        <v>5.0000000800000208</v>
      </c>
      <c r="U124" s="128">
        <f t="shared" si="20"/>
        <v>495.00000016000001</v>
      </c>
      <c r="W124" s="128">
        <f t="shared" si="29"/>
        <v>99.000000000000014</v>
      </c>
      <c r="X124" s="128">
        <f t="shared" si="30"/>
        <v>124.00000008000001</v>
      </c>
    </row>
    <row r="125" spans="1:24">
      <c r="A125" s="22">
        <v>43350</v>
      </c>
      <c r="B125" s="130">
        <v>0</v>
      </c>
      <c r="C125" s="130">
        <v>0</v>
      </c>
      <c r="D125" s="130">
        <v>1</v>
      </c>
      <c r="E125" s="130">
        <v>0</v>
      </c>
      <c r="F125" s="130">
        <v>1</v>
      </c>
      <c r="G125" s="130">
        <v>1</v>
      </c>
      <c r="K125" s="86">
        <f t="shared" si="21"/>
        <v>43350</v>
      </c>
      <c r="L125" s="128">
        <f t="shared" si="22"/>
        <v>96.000000080000007</v>
      </c>
      <c r="M125" s="128">
        <f t="shared" si="23"/>
        <v>43.000000080000007</v>
      </c>
      <c r="N125" s="128">
        <f t="shared" si="24"/>
        <v>91.999999999999986</v>
      </c>
      <c r="O125" s="128">
        <f t="shared" si="25"/>
        <v>81</v>
      </c>
      <c r="P125" s="128">
        <f t="shared" si="26"/>
        <v>86</v>
      </c>
      <c r="Q125" s="146">
        <f t="shared" si="27"/>
        <v>100.00000000000001</v>
      </c>
      <c r="R125" s="128">
        <f t="shared" si="28"/>
        <v>3.9999999200000076</v>
      </c>
      <c r="S125" s="1">
        <f t="shared" si="32"/>
        <v>1</v>
      </c>
      <c r="T125" s="128">
        <f t="shared" si="31"/>
        <v>4.0000000800000208</v>
      </c>
      <c r="U125" s="128">
        <f t="shared" si="20"/>
        <v>498.00000016000001</v>
      </c>
      <c r="W125" s="128">
        <f t="shared" si="29"/>
        <v>100.00000000000001</v>
      </c>
      <c r="X125" s="128">
        <f t="shared" si="30"/>
        <v>124.00000008000001</v>
      </c>
    </row>
    <row r="126" spans="1:24">
      <c r="A126" s="22">
        <v>43357</v>
      </c>
      <c r="B126" s="130">
        <v>0</v>
      </c>
      <c r="C126" s="130">
        <v>0</v>
      </c>
      <c r="D126" s="130">
        <v>1</v>
      </c>
      <c r="E126" s="130">
        <v>1</v>
      </c>
      <c r="F126" s="130">
        <v>1</v>
      </c>
      <c r="G126" s="130">
        <v>1</v>
      </c>
      <c r="K126" s="86">
        <f t="shared" si="21"/>
        <v>43357</v>
      </c>
      <c r="L126" s="128">
        <f t="shared" si="22"/>
        <v>96.000000080000007</v>
      </c>
      <c r="M126" s="128">
        <f t="shared" si="23"/>
        <v>43.000000080000007</v>
      </c>
      <c r="N126" s="128">
        <f t="shared" si="24"/>
        <v>92.999999999999986</v>
      </c>
      <c r="O126" s="128">
        <f t="shared" si="25"/>
        <v>82</v>
      </c>
      <c r="P126" s="128">
        <f t="shared" si="26"/>
        <v>87</v>
      </c>
      <c r="Q126" s="128">
        <f t="shared" si="27"/>
        <v>101.00000000000001</v>
      </c>
      <c r="R126" s="128">
        <f t="shared" si="28"/>
        <v>4.9999999200000076</v>
      </c>
      <c r="S126" s="1">
        <f t="shared" si="32"/>
        <v>1</v>
      </c>
      <c r="T126" s="128">
        <f t="shared" si="31"/>
        <v>3.0000000800000208</v>
      </c>
      <c r="U126" s="128">
        <f t="shared" si="20"/>
        <v>502.00000016000001</v>
      </c>
      <c r="W126" s="128">
        <f t="shared" si="29"/>
        <v>101.00000000000001</v>
      </c>
      <c r="X126" s="128">
        <f t="shared" si="30"/>
        <v>125.00000008000001</v>
      </c>
    </row>
    <row r="127" spans="1:24">
      <c r="A127" s="22">
        <v>43364</v>
      </c>
      <c r="B127" s="130">
        <v>1</v>
      </c>
      <c r="C127" s="130">
        <v>0</v>
      </c>
      <c r="D127" s="130">
        <v>1</v>
      </c>
      <c r="E127" s="130">
        <v>0</v>
      </c>
      <c r="F127" s="130">
        <v>1</v>
      </c>
      <c r="G127" s="130">
        <v>1</v>
      </c>
      <c r="K127" s="86">
        <f t="shared" si="21"/>
        <v>43364</v>
      </c>
      <c r="L127" s="128">
        <f t="shared" si="22"/>
        <v>97.000000080000007</v>
      </c>
      <c r="M127" s="128">
        <f t="shared" si="23"/>
        <v>43.000000080000007</v>
      </c>
      <c r="N127" s="128">
        <f t="shared" si="24"/>
        <v>93.999999999999986</v>
      </c>
      <c r="O127" s="128">
        <f t="shared" si="25"/>
        <v>82</v>
      </c>
      <c r="P127" s="128">
        <f t="shared" si="26"/>
        <v>88</v>
      </c>
      <c r="Q127" s="128">
        <f t="shared" si="27"/>
        <v>102.00000000000001</v>
      </c>
      <c r="R127" s="128">
        <f t="shared" si="28"/>
        <v>4.9999999200000076</v>
      </c>
      <c r="S127" s="1">
        <f t="shared" si="32"/>
        <v>1</v>
      </c>
      <c r="T127" s="128">
        <f t="shared" si="31"/>
        <v>3.0000000800000208</v>
      </c>
      <c r="U127" s="128">
        <f t="shared" si="20"/>
        <v>506.00000016000001</v>
      </c>
      <c r="W127" s="128">
        <f t="shared" si="29"/>
        <v>102.00000000000001</v>
      </c>
      <c r="X127" s="128">
        <f t="shared" si="30"/>
        <v>125.00000008000001</v>
      </c>
    </row>
    <row r="128" spans="1:24">
      <c r="A128" s="22">
        <v>43371</v>
      </c>
      <c r="B128" s="130">
        <v>1</v>
      </c>
      <c r="C128" s="130">
        <v>0</v>
      </c>
      <c r="D128" s="130">
        <v>0</v>
      </c>
      <c r="E128" s="130">
        <v>0</v>
      </c>
      <c r="F128" s="130">
        <v>1</v>
      </c>
      <c r="G128" s="130">
        <v>0</v>
      </c>
      <c r="K128" s="86">
        <f t="shared" si="21"/>
        <v>43371</v>
      </c>
      <c r="L128" s="128">
        <f t="shared" si="22"/>
        <v>98.000000080000007</v>
      </c>
      <c r="M128" s="128">
        <f t="shared" si="23"/>
        <v>43.000000080000007</v>
      </c>
      <c r="N128" s="128">
        <f t="shared" si="24"/>
        <v>93.999999999999986</v>
      </c>
      <c r="O128" s="128">
        <f t="shared" si="25"/>
        <v>82</v>
      </c>
      <c r="P128" s="128">
        <f t="shared" si="26"/>
        <v>89</v>
      </c>
      <c r="Q128" s="128">
        <f t="shared" si="27"/>
        <v>102.00000000000001</v>
      </c>
      <c r="R128" s="128">
        <f t="shared" si="28"/>
        <v>3.9999999200000076</v>
      </c>
      <c r="S128" s="1">
        <f t="shared" si="32"/>
        <v>1</v>
      </c>
      <c r="T128" s="128">
        <f t="shared" si="31"/>
        <v>4.0000000800000208</v>
      </c>
      <c r="U128" s="128">
        <f t="shared" si="20"/>
        <v>508.00000016000001</v>
      </c>
      <c r="W128" s="128">
        <f t="shared" si="29"/>
        <v>102.00000000000001</v>
      </c>
      <c r="X128" s="128">
        <f t="shared" si="30"/>
        <v>125.00000008000001</v>
      </c>
    </row>
    <row r="129" spans="1:24">
      <c r="A129" s="22">
        <v>43378</v>
      </c>
      <c r="B129" s="130">
        <v>1</v>
      </c>
      <c r="C129" s="130">
        <v>0</v>
      </c>
      <c r="D129" s="130">
        <v>1</v>
      </c>
      <c r="E129" s="130">
        <v>0</v>
      </c>
      <c r="F129" s="130">
        <v>1</v>
      </c>
      <c r="G129" s="130">
        <v>1</v>
      </c>
      <c r="J129" s="57" t="s">
        <v>155</v>
      </c>
      <c r="K129" s="86">
        <f t="shared" si="21"/>
        <v>43378</v>
      </c>
      <c r="L129" s="128">
        <f t="shared" si="22"/>
        <v>99.000000080000007</v>
      </c>
      <c r="M129" s="128">
        <f t="shared" si="23"/>
        <v>43.000000080000007</v>
      </c>
      <c r="N129" s="128">
        <f t="shared" si="24"/>
        <v>94.999999999999986</v>
      </c>
      <c r="O129" s="128">
        <f t="shared" si="25"/>
        <v>82</v>
      </c>
      <c r="P129" s="128">
        <f t="shared" si="26"/>
        <v>90</v>
      </c>
      <c r="Q129" s="128">
        <f t="shared" si="27"/>
        <v>103.00000000000001</v>
      </c>
      <c r="R129" s="128">
        <f t="shared" si="28"/>
        <v>3.9999999200000076</v>
      </c>
      <c r="S129" s="1">
        <f t="shared" si="32"/>
        <v>1</v>
      </c>
      <c r="T129" s="128">
        <f t="shared" si="31"/>
        <v>4.0000000800000208</v>
      </c>
      <c r="U129" s="128">
        <f t="shared" si="20"/>
        <v>512.00000016000001</v>
      </c>
      <c r="W129" s="128">
        <f t="shared" si="29"/>
        <v>103.00000000000001</v>
      </c>
      <c r="X129" s="128">
        <f t="shared" si="30"/>
        <v>125.00000008000001</v>
      </c>
    </row>
    <row r="130" spans="1:24">
      <c r="A130" s="22">
        <v>43385</v>
      </c>
      <c r="B130" s="130">
        <v>1</v>
      </c>
      <c r="C130" s="130">
        <v>0</v>
      </c>
      <c r="D130" s="130">
        <v>1</v>
      </c>
      <c r="E130" s="130">
        <v>0</v>
      </c>
      <c r="F130" s="130">
        <v>1</v>
      </c>
      <c r="G130" s="130">
        <v>1</v>
      </c>
      <c r="J130" s="57" t="s">
        <v>157</v>
      </c>
      <c r="K130" s="86">
        <f t="shared" si="21"/>
        <v>43385</v>
      </c>
      <c r="L130" s="146">
        <f t="shared" si="22"/>
        <v>100.00000008000001</v>
      </c>
      <c r="M130" s="128">
        <f t="shared" si="23"/>
        <v>43.000000080000007</v>
      </c>
      <c r="N130" s="128">
        <f t="shared" si="24"/>
        <v>95.999999999999986</v>
      </c>
      <c r="O130" s="128">
        <f t="shared" si="25"/>
        <v>82</v>
      </c>
      <c r="P130" s="128">
        <f t="shared" si="26"/>
        <v>91</v>
      </c>
      <c r="Q130" s="128">
        <f t="shared" si="27"/>
        <v>104.00000000000001</v>
      </c>
      <c r="R130" s="128">
        <f t="shared" si="28"/>
        <v>3.9999999200000076</v>
      </c>
      <c r="S130" s="1">
        <f t="shared" si="32"/>
        <v>1</v>
      </c>
      <c r="T130" s="128">
        <f t="shared" si="31"/>
        <v>4.0000000800000208</v>
      </c>
      <c r="U130" s="128">
        <f t="shared" ref="U130:U193" si="33">SUM(L130:Q130)</f>
        <v>516.00000016000001</v>
      </c>
      <c r="W130" s="128">
        <f t="shared" si="29"/>
        <v>104.00000000000001</v>
      </c>
      <c r="X130" s="128">
        <f t="shared" si="30"/>
        <v>125.00000008000001</v>
      </c>
    </row>
    <row r="131" spans="1:24">
      <c r="A131" s="22">
        <v>43392</v>
      </c>
      <c r="B131" s="130">
        <v>1</v>
      </c>
      <c r="C131" s="130">
        <v>0</v>
      </c>
      <c r="D131" s="130">
        <v>1</v>
      </c>
      <c r="E131" s="130">
        <v>0</v>
      </c>
      <c r="F131" s="130">
        <v>1</v>
      </c>
      <c r="G131" s="130">
        <v>1</v>
      </c>
      <c r="J131" s="57" t="s">
        <v>156</v>
      </c>
      <c r="K131" s="86">
        <f t="shared" ref="K131:K194" si="34">A131</f>
        <v>43392</v>
      </c>
      <c r="L131" s="128">
        <f t="shared" ref="L131:L194" si="35">B131+L130</f>
        <v>101.00000008000001</v>
      </c>
      <c r="M131" s="128">
        <f t="shared" ref="M131:M194" si="36">C131+M130</f>
        <v>43.000000080000007</v>
      </c>
      <c r="N131" s="128">
        <f t="shared" ref="N131:N194" si="37">D131+N130</f>
        <v>96.999999999999986</v>
      </c>
      <c r="O131" s="128">
        <f t="shared" ref="O131:O194" si="38">E131+O130</f>
        <v>82</v>
      </c>
      <c r="P131" s="128">
        <f t="shared" ref="P131:P194" si="39">F131+P130</f>
        <v>92</v>
      </c>
      <c r="Q131" s="128">
        <f t="shared" ref="Q131:Q194" si="40">G131+Q130</f>
        <v>105.00000000000001</v>
      </c>
      <c r="R131" s="128">
        <f t="shared" ref="R131:R194" si="41">Q131-MAX(L131:P131)</f>
        <v>3.9999999200000076</v>
      </c>
      <c r="S131" s="1">
        <f t="shared" si="32"/>
        <v>1</v>
      </c>
      <c r="T131" s="128">
        <f t="shared" si="31"/>
        <v>4.0000000800000208</v>
      </c>
      <c r="U131" s="128">
        <f t="shared" si="33"/>
        <v>520.00000016000001</v>
      </c>
      <c r="W131" s="128">
        <f t="shared" ref="W131:W194" si="42">Q131</f>
        <v>105.00000000000001</v>
      </c>
      <c r="X131" s="128">
        <f t="shared" ref="X131:X194" si="43">M131+O131</f>
        <v>125.00000008000001</v>
      </c>
    </row>
    <row r="132" spans="1:24">
      <c r="A132" s="22">
        <v>43399</v>
      </c>
      <c r="B132" s="130">
        <v>1</v>
      </c>
      <c r="C132" s="130">
        <v>0</v>
      </c>
      <c r="D132" s="130">
        <v>1</v>
      </c>
      <c r="E132" s="130">
        <v>0</v>
      </c>
      <c r="F132" s="130">
        <v>1</v>
      </c>
      <c r="G132" s="130">
        <v>1</v>
      </c>
      <c r="K132" s="86">
        <f t="shared" si="34"/>
        <v>43399</v>
      </c>
      <c r="L132" s="128">
        <f t="shared" si="35"/>
        <v>102.00000008000001</v>
      </c>
      <c r="M132" s="128">
        <f t="shared" si="36"/>
        <v>43.000000080000007</v>
      </c>
      <c r="N132" s="128">
        <f t="shared" si="37"/>
        <v>97.999999999999986</v>
      </c>
      <c r="O132" s="128">
        <f t="shared" si="38"/>
        <v>82</v>
      </c>
      <c r="P132" s="128">
        <f t="shared" si="39"/>
        <v>93</v>
      </c>
      <c r="Q132" s="128">
        <f t="shared" si="40"/>
        <v>106.00000000000001</v>
      </c>
      <c r="R132" s="128">
        <f t="shared" si="41"/>
        <v>3.9999999200000076</v>
      </c>
      <c r="S132" s="1">
        <f t="shared" si="32"/>
        <v>1</v>
      </c>
      <c r="T132" s="128">
        <f t="shared" si="31"/>
        <v>4.0000000800000208</v>
      </c>
      <c r="U132" s="128">
        <f t="shared" si="33"/>
        <v>524.00000016000001</v>
      </c>
      <c r="W132" s="128">
        <f t="shared" si="42"/>
        <v>106.00000000000001</v>
      </c>
      <c r="X132" s="128">
        <f t="shared" si="43"/>
        <v>125.00000008000001</v>
      </c>
    </row>
    <row r="133" spans="1:24">
      <c r="A133" s="22">
        <v>43406</v>
      </c>
      <c r="B133" s="130">
        <v>1</v>
      </c>
      <c r="C133" s="130">
        <v>0</v>
      </c>
      <c r="D133" s="130">
        <v>1</v>
      </c>
      <c r="E133" s="130">
        <v>0</v>
      </c>
      <c r="F133" s="130">
        <v>1</v>
      </c>
      <c r="G133" s="130">
        <v>1</v>
      </c>
      <c r="K133" s="86">
        <f t="shared" si="34"/>
        <v>43406</v>
      </c>
      <c r="L133" s="128">
        <f t="shared" si="35"/>
        <v>103.00000008000001</v>
      </c>
      <c r="M133" s="128">
        <f t="shared" si="36"/>
        <v>43.000000080000007</v>
      </c>
      <c r="N133" s="128">
        <f t="shared" si="37"/>
        <v>98.999999999999986</v>
      </c>
      <c r="O133" s="128">
        <f t="shared" si="38"/>
        <v>82</v>
      </c>
      <c r="P133" s="128">
        <f t="shared" si="39"/>
        <v>94</v>
      </c>
      <c r="Q133" s="128">
        <f t="shared" si="40"/>
        <v>107.00000000000001</v>
      </c>
      <c r="R133" s="128">
        <f t="shared" si="41"/>
        <v>3.9999999200000076</v>
      </c>
      <c r="S133" s="1">
        <f t="shared" si="32"/>
        <v>1</v>
      </c>
      <c r="T133" s="128">
        <f t="shared" si="31"/>
        <v>4.0000000800000208</v>
      </c>
      <c r="U133" s="128">
        <f t="shared" si="33"/>
        <v>528.00000016000001</v>
      </c>
      <c r="W133" s="128">
        <f t="shared" si="42"/>
        <v>107.00000000000001</v>
      </c>
      <c r="X133" s="128">
        <f t="shared" si="43"/>
        <v>125.00000008000001</v>
      </c>
    </row>
    <row r="134" spans="1:24">
      <c r="A134" s="22">
        <v>43413</v>
      </c>
      <c r="B134" s="130">
        <v>1</v>
      </c>
      <c r="C134" s="130">
        <v>0</v>
      </c>
      <c r="D134" s="130">
        <v>1</v>
      </c>
      <c r="E134" s="130">
        <v>0</v>
      </c>
      <c r="F134" s="130">
        <v>1</v>
      </c>
      <c r="G134" s="130">
        <v>0</v>
      </c>
      <c r="K134" s="86">
        <f t="shared" si="34"/>
        <v>43413</v>
      </c>
      <c r="L134" s="128">
        <f t="shared" si="35"/>
        <v>104.00000008000001</v>
      </c>
      <c r="M134" s="128">
        <f t="shared" si="36"/>
        <v>43.000000080000007</v>
      </c>
      <c r="N134" s="146">
        <f t="shared" si="37"/>
        <v>99.999999999999986</v>
      </c>
      <c r="O134" s="128">
        <f t="shared" si="38"/>
        <v>82</v>
      </c>
      <c r="P134" s="128">
        <f t="shared" si="39"/>
        <v>95</v>
      </c>
      <c r="Q134" s="128">
        <f t="shared" si="40"/>
        <v>107.00000000000001</v>
      </c>
      <c r="R134" s="128">
        <f t="shared" si="41"/>
        <v>2.9999999200000076</v>
      </c>
      <c r="S134" s="1">
        <f t="shared" si="32"/>
        <v>1</v>
      </c>
      <c r="T134" s="128">
        <f t="shared" si="31"/>
        <v>4.0000000800000208</v>
      </c>
      <c r="U134" s="128">
        <f t="shared" si="33"/>
        <v>531.00000016000001</v>
      </c>
      <c r="W134" s="128">
        <f t="shared" si="42"/>
        <v>107.00000000000001</v>
      </c>
      <c r="X134" s="128">
        <f t="shared" si="43"/>
        <v>125.00000008000001</v>
      </c>
    </row>
    <row r="135" spans="1:24">
      <c r="A135" s="22">
        <v>43420</v>
      </c>
      <c r="B135" s="130">
        <v>1</v>
      </c>
      <c r="C135" s="130">
        <v>0</v>
      </c>
      <c r="D135" s="130">
        <v>0</v>
      </c>
      <c r="E135" s="130">
        <v>0</v>
      </c>
      <c r="F135" s="130">
        <v>1</v>
      </c>
      <c r="G135" s="130">
        <v>1</v>
      </c>
      <c r="J135" s="57" t="s">
        <v>158</v>
      </c>
      <c r="K135" s="86">
        <f t="shared" si="34"/>
        <v>43420</v>
      </c>
      <c r="L135" s="128">
        <f t="shared" si="35"/>
        <v>105.00000008000001</v>
      </c>
      <c r="M135" s="128">
        <f t="shared" si="36"/>
        <v>43.000000080000007</v>
      </c>
      <c r="N135" s="128">
        <f t="shared" si="37"/>
        <v>99.999999999999986</v>
      </c>
      <c r="O135" s="128">
        <f t="shared" si="38"/>
        <v>82</v>
      </c>
      <c r="P135" s="128">
        <f t="shared" si="39"/>
        <v>96</v>
      </c>
      <c r="Q135" s="128">
        <f t="shared" si="40"/>
        <v>108.00000000000001</v>
      </c>
      <c r="R135" s="128">
        <f t="shared" si="41"/>
        <v>2.9999999200000076</v>
      </c>
      <c r="S135" s="1">
        <f t="shared" si="32"/>
        <v>1</v>
      </c>
      <c r="T135" s="128">
        <f t="shared" si="31"/>
        <v>5.0000000800000208</v>
      </c>
      <c r="U135" s="128">
        <f t="shared" si="33"/>
        <v>534.00000016000001</v>
      </c>
      <c r="W135" s="128">
        <f t="shared" si="42"/>
        <v>108.00000000000001</v>
      </c>
      <c r="X135" s="128">
        <f t="shared" si="43"/>
        <v>125.00000008000001</v>
      </c>
    </row>
    <row r="136" spans="1:24">
      <c r="A136" s="22">
        <v>43427</v>
      </c>
      <c r="B136" s="130">
        <v>1</v>
      </c>
      <c r="C136" s="130">
        <v>0</v>
      </c>
      <c r="D136" s="130">
        <v>1</v>
      </c>
      <c r="E136" s="130">
        <v>0</v>
      </c>
      <c r="F136" s="130">
        <v>1</v>
      </c>
      <c r="G136" s="130">
        <v>1</v>
      </c>
      <c r="K136" s="86">
        <f t="shared" si="34"/>
        <v>43427</v>
      </c>
      <c r="L136" s="128">
        <f t="shared" si="35"/>
        <v>106.00000008000001</v>
      </c>
      <c r="M136" s="128">
        <f t="shared" si="36"/>
        <v>43.000000080000007</v>
      </c>
      <c r="N136" s="128">
        <f t="shared" si="37"/>
        <v>100.99999999999999</v>
      </c>
      <c r="O136" s="128">
        <f t="shared" si="38"/>
        <v>82</v>
      </c>
      <c r="P136" s="128">
        <f t="shared" si="39"/>
        <v>97</v>
      </c>
      <c r="Q136" s="128">
        <f t="shared" si="40"/>
        <v>109.00000000000001</v>
      </c>
      <c r="R136" s="128">
        <f t="shared" si="41"/>
        <v>2.9999999200000076</v>
      </c>
      <c r="S136" s="1">
        <f t="shared" si="32"/>
        <v>1</v>
      </c>
      <c r="T136" s="128">
        <f t="shared" si="31"/>
        <v>5.0000000800000208</v>
      </c>
      <c r="U136" s="128">
        <f t="shared" si="33"/>
        <v>538.00000016000001</v>
      </c>
      <c r="W136" s="128">
        <f t="shared" si="42"/>
        <v>109.00000000000001</v>
      </c>
      <c r="X136" s="128">
        <f t="shared" si="43"/>
        <v>125.00000008000001</v>
      </c>
    </row>
    <row r="137" spans="1:24">
      <c r="A137" s="22">
        <v>43434</v>
      </c>
      <c r="B137" s="130">
        <v>1</v>
      </c>
      <c r="C137" s="130">
        <v>0</v>
      </c>
      <c r="D137" s="130">
        <v>1</v>
      </c>
      <c r="E137" s="130">
        <v>0</v>
      </c>
      <c r="F137" s="130">
        <v>0</v>
      </c>
      <c r="G137" s="130">
        <v>1</v>
      </c>
      <c r="J137" s="57" t="s">
        <v>159</v>
      </c>
      <c r="K137" s="86">
        <f t="shared" si="34"/>
        <v>43434</v>
      </c>
      <c r="L137" s="128">
        <f t="shared" si="35"/>
        <v>107.00000008000001</v>
      </c>
      <c r="M137" s="128">
        <f t="shared" si="36"/>
        <v>43.000000080000007</v>
      </c>
      <c r="N137" s="128">
        <f t="shared" si="37"/>
        <v>101.99999999999999</v>
      </c>
      <c r="O137" s="128">
        <f t="shared" si="38"/>
        <v>82</v>
      </c>
      <c r="P137" s="128">
        <f t="shared" si="39"/>
        <v>97</v>
      </c>
      <c r="Q137" s="128">
        <f t="shared" si="40"/>
        <v>110.00000000000001</v>
      </c>
      <c r="R137" s="128">
        <f t="shared" si="41"/>
        <v>2.9999999200000076</v>
      </c>
      <c r="S137" s="1">
        <f t="shared" si="32"/>
        <v>1</v>
      </c>
      <c r="T137" s="128">
        <f t="shared" si="31"/>
        <v>5.0000000800000208</v>
      </c>
      <c r="U137" s="128">
        <f t="shared" si="33"/>
        <v>541.00000016000001</v>
      </c>
      <c r="W137" s="128">
        <f t="shared" si="42"/>
        <v>110.00000000000001</v>
      </c>
      <c r="X137" s="128">
        <f t="shared" si="43"/>
        <v>125.00000008000001</v>
      </c>
    </row>
    <row r="138" spans="1:24">
      <c r="A138" s="22">
        <v>43441</v>
      </c>
      <c r="B138" s="130">
        <v>1</v>
      </c>
      <c r="C138" s="130">
        <v>0</v>
      </c>
      <c r="D138" s="130">
        <v>0</v>
      </c>
      <c r="E138" s="130">
        <v>0</v>
      </c>
      <c r="F138" s="130">
        <v>1</v>
      </c>
      <c r="G138" s="130">
        <v>1</v>
      </c>
      <c r="J138" s="57" t="s">
        <v>160</v>
      </c>
      <c r="K138" s="86">
        <f t="shared" si="34"/>
        <v>43441</v>
      </c>
      <c r="L138" s="128">
        <f t="shared" si="35"/>
        <v>108.00000008000001</v>
      </c>
      <c r="M138" s="128">
        <f t="shared" si="36"/>
        <v>43.000000080000007</v>
      </c>
      <c r="N138" s="128">
        <f t="shared" si="37"/>
        <v>101.99999999999999</v>
      </c>
      <c r="O138" s="128">
        <f t="shared" si="38"/>
        <v>82</v>
      </c>
      <c r="P138" s="128">
        <f t="shared" si="39"/>
        <v>98</v>
      </c>
      <c r="Q138" s="128">
        <f t="shared" si="40"/>
        <v>111.00000000000001</v>
      </c>
      <c r="R138" s="128">
        <f t="shared" si="41"/>
        <v>2.9999999200000076</v>
      </c>
      <c r="S138" s="1">
        <f t="shared" si="32"/>
        <v>1</v>
      </c>
      <c r="T138" s="128">
        <f t="shared" si="31"/>
        <v>6.0000000800000208</v>
      </c>
      <c r="U138" s="128">
        <f t="shared" si="33"/>
        <v>544.00000016000001</v>
      </c>
      <c r="W138" s="128">
        <f t="shared" si="42"/>
        <v>111.00000000000001</v>
      </c>
      <c r="X138" s="128">
        <f t="shared" si="43"/>
        <v>125.00000008000001</v>
      </c>
    </row>
    <row r="139" spans="1:24">
      <c r="A139" s="22">
        <v>43448</v>
      </c>
      <c r="B139" s="130">
        <v>0</v>
      </c>
      <c r="C139" s="130">
        <v>1</v>
      </c>
      <c r="D139" s="130">
        <v>1</v>
      </c>
      <c r="E139" s="130">
        <v>0</v>
      </c>
      <c r="F139" s="130">
        <v>1</v>
      </c>
      <c r="G139" s="130">
        <v>1</v>
      </c>
      <c r="K139" s="86">
        <f t="shared" si="34"/>
        <v>43448</v>
      </c>
      <c r="L139" s="128">
        <f t="shared" si="35"/>
        <v>108.00000008000001</v>
      </c>
      <c r="M139" s="128">
        <f t="shared" si="36"/>
        <v>44.000000080000007</v>
      </c>
      <c r="N139" s="128">
        <f t="shared" si="37"/>
        <v>102.99999999999999</v>
      </c>
      <c r="O139" s="128">
        <f t="shared" si="38"/>
        <v>82</v>
      </c>
      <c r="P139" s="128">
        <f t="shared" si="39"/>
        <v>99</v>
      </c>
      <c r="Q139" s="128">
        <f t="shared" si="40"/>
        <v>112.00000000000001</v>
      </c>
      <c r="R139" s="128">
        <f t="shared" si="41"/>
        <v>3.9999999200000076</v>
      </c>
      <c r="S139" s="1">
        <f t="shared" si="32"/>
        <v>1</v>
      </c>
      <c r="T139" s="128">
        <f t="shared" si="31"/>
        <v>5.0000000800000208</v>
      </c>
      <c r="U139" s="128">
        <f t="shared" si="33"/>
        <v>548.00000016000001</v>
      </c>
      <c r="W139" s="128">
        <f t="shared" si="42"/>
        <v>112.00000000000001</v>
      </c>
      <c r="X139" s="128">
        <f t="shared" si="43"/>
        <v>126.00000008000001</v>
      </c>
    </row>
    <row r="140" spans="1:24">
      <c r="A140" s="22">
        <v>43455</v>
      </c>
      <c r="B140" s="130">
        <v>1</v>
      </c>
      <c r="C140" s="130">
        <v>0</v>
      </c>
      <c r="D140" s="130">
        <v>1</v>
      </c>
      <c r="E140" s="130">
        <v>0</v>
      </c>
      <c r="F140" s="130">
        <v>1</v>
      </c>
      <c r="G140" s="130">
        <v>1</v>
      </c>
      <c r="K140" s="86">
        <f t="shared" si="34"/>
        <v>43455</v>
      </c>
      <c r="L140" s="128">
        <f t="shared" si="35"/>
        <v>109.00000008000001</v>
      </c>
      <c r="M140" s="128">
        <f t="shared" si="36"/>
        <v>44.000000080000007</v>
      </c>
      <c r="N140" s="128">
        <f t="shared" si="37"/>
        <v>103.99999999999999</v>
      </c>
      <c r="O140" s="128">
        <f t="shared" si="38"/>
        <v>82</v>
      </c>
      <c r="P140" s="146">
        <f t="shared" si="39"/>
        <v>100</v>
      </c>
      <c r="Q140" s="128">
        <f t="shared" si="40"/>
        <v>113.00000000000001</v>
      </c>
      <c r="R140" s="128">
        <f t="shared" si="41"/>
        <v>3.9999999200000076</v>
      </c>
      <c r="S140" s="1">
        <f t="shared" si="32"/>
        <v>1</v>
      </c>
      <c r="T140" s="128">
        <f t="shared" si="31"/>
        <v>5.0000000800000208</v>
      </c>
      <c r="U140" s="128">
        <f t="shared" si="33"/>
        <v>552.00000016000001</v>
      </c>
      <c r="W140" s="128">
        <f t="shared" si="42"/>
        <v>113.00000000000001</v>
      </c>
      <c r="X140" s="128">
        <f t="shared" si="43"/>
        <v>126.00000008000001</v>
      </c>
    </row>
    <row r="141" spans="1:24">
      <c r="A141" s="22">
        <v>43462</v>
      </c>
      <c r="B141" s="130">
        <v>1</v>
      </c>
      <c r="C141" s="130">
        <v>0</v>
      </c>
      <c r="D141" s="130">
        <v>0</v>
      </c>
      <c r="E141" s="130">
        <v>0</v>
      </c>
      <c r="F141" s="130">
        <v>1</v>
      </c>
      <c r="G141" s="130">
        <v>0</v>
      </c>
      <c r="K141" s="86">
        <f t="shared" si="34"/>
        <v>43462</v>
      </c>
      <c r="L141" s="128">
        <f t="shared" si="35"/>
        <v>110.00000008000001</v>
      </c>
      <c r="M141" s="128">
        <f t="shared" si="36"/>
        <v>44.000000080000007</v>
      </c>
      <c r="N141" s="128">
        <f t="shared" si="37"/>
        <v>103.99999999999999</v>
      </c>
      <c r="O141" s="128">
        <f t="shared" si="38"/>
        <v>82</v>
      </c>
      <c r="P141" s="128">
        <f t="shared" si="39"/>
        <v>101</v>
      </c>
      <c r="Q141" s="128">
        <f t="shared" si="40"/>
        <v>113.00000000000001</v>
      </c>
      <c r="R141" s="128">
        <f t="shared" si="41"/>
        <v>2.9999999200000076</v>
      </c>
      <c r="S141" s="1">
        <f t="shared" si="32"/>
        <v>1</v>
      </c>
      <c r="T141" s="128">
        <f t="shared" si="31"/>
        <v>6.0000000800000208</v>
      </c>
      <c r="U141" s="128">
        <f t="shared" si="33"/>
        <v>554.00000016000001</v>
      </c>
      <c r="W141" s="128">
        <f t="shared" si="42"/>
        <v>113.00000000000001</v>
      </c>
      <c r="X141" s="128">
        <f t="shared" si="43"/>
        <v>126.00000008000001</v>
      </c>
    </row>
    <row r="142" spans="1:24">
      <c r="A142" s="22">
        <v>43469</v>
      </c>
      <c r="B142" s="130">
        <v>0</v>
      </c>
      <c r="C142" s="130">
        <v>0</v>
      </c>
      <c r="D142" s="130">
        <v>1</v>
      </c>
      <c r="E142" s="130">
        <v>0</v>
      </c>
      <c r="F142" s="130">
        <v>0</v>
      </c>
      <c r="G142" s="130">
        <v>0</v>
      </c>
      <c r="J142" s="57" t="s">
        <v>161</v>
      </c>
      <c r="K142" s="86">
        <f t="shared" si="34"/>
        <v>43469</v>
      </c>
      <c r="L142" s="128">
        <f t="shared" si="35"/>
        <v>110.00000008000001</v>
      </c>
      <c r="M142" s="128">
        <f t="shared" si="36"/>
        <v>44.000000080000007</v>
      </c>
      <c r="N142" s="128">
        <f t="shared" si="37"/>
        <v>104.99999999999999</v>
      </c>
      <c r="O142" s="128">
        <f t="shared" si="38"/>
        <v>82</v>
      </c>
      <c r="P142" s="128">
        <f t="shared" si="39"/>
        <v>101</v>
      </c>
      <c r="Q142" s="128">
        <f t="shared" si="40"/>
        <v>113.00000000000001</v>
      </c>
      <c r="R142" s="128">
        <f t="shared" si="41"/>
        <v>2.9999999200000076</v>
      </c>
      <c r="S142" s="1">
        <f t="shared" si="32"/>
        <v>1</v>
      </c>
      <c r="T142" s="128">
        <f t="shared" si="31"/>
        <v>5.0000000800000208</v>
      </c>
      <c r="U142" s="128">
        <f t="shared" si="33"/>
        <v>555.00000016000001</v>
      </c>
      <c r="W142" s="128">
        <f t="shared" si="42"/>
        <v>113.00000000000001</v>
      </c>
      <c r="X142" s="128">
        <f t="shared" si="43"/>
        <v>126.00000008000001</v>
      </c>
    </row>
    <row r="143" spans="1:24">
      <c r="A143" s="22">
        <v>43476</v>
      </c>
      <c r="B143" s="130">
        <v>0</v>
      </c>
      <c r="C143" s="130">
        <v>0</v>
      </c>
      <c r="D143" s="130">
        <v>1</v>
      </c>
      <c r="E143" s="130">
        <v>0</v>
      </c>
      <c r="F143" s="130">
        <v>1</v>
      </c>
      <c r="G143" s="130">
        <v>1</v>
      </c>
      <c r="J143" s="57" t="s">
        <v>162</v>
      </c>
      <c r="K143" s="86">
        <f t="shared" si="34"/>
        <v>43476</v>
      </c>
      <c r="L143" s="128">
        <f t="shared" si="35"/>
        <v>110.00000008000001</v>
      </c>
      <c r="M143" s="128">
        <f t="shared" si="36"/>
        <v>44.000000080000007</v>
      </c>
      <c r="N143" s="128">
        <f t="shared" si="37"/>
        <v>105.99999999999999</v>
      </c>
      <c r="O143" s="128">
        <f t="shared" si="38"/>
        <v>82</v>
      </c>
      <c r="P143" s="128">
        <f t="shared" si="39"/>
        <v>102</v>
      </c>
      <c r="Q143" s="128">
        <f t="shared" si="40"/>
        <v>114.00000000000001</v>
      </c>
      <c r="R143" s="128">
        <f t="shared" si="41"/>
        <v>3.9999999200000076</v>
      </c>
      <c r="S143" s="1">
        <f t="shared" si="32"/>
        <v>1</v>
      </c>
      <c r="T143" s="128">
        <f t="shared" si="31"/>
        <v>4.0000000800000208</v>
      </c>
      <c r="U143" s="128">
        <f t="shared" si="33"/>
        <v>558.00000016000001</v>
      </c>
      <c r="W143" s="128">
        <f t="shared" si="42"/>
        <v>114.00000000000001</v>
      </c>
      <c r="X143" s="128">
        <f t="shared" si="43"/>
        <v>126.00000008000001</v>
      </c>
    </row>
    <row r="144" spans="1:24">
      <c r="A144" s="22">
        <v>43483</v>
      </c>
      <c r="B144" s="130">
        <v>0</v>
      </c>
      <c r="C144" s="130">
        <v>0</v>
      </c>
      <c r="D144" s="130">
        <v>1</v>
      </c>
      <c r="E144" s="130">
        <v>0</v>
      </c>
      <c r="F144" s="130">
        <v>0</v>
      </c>
      <c r="G144" s="130">
        <v>1</v>
      </c>
      <c r="J144" s="57" t="s">
        <v>163</v>
      </c>
      <c r="K144" s="86">
        <f t="shared" si="34"/>
        <v>43483</v>
      </c>
      <c r="L144" s="128">
        <f t="shared" si="35"/>
        <v>110.00000008000001</v>
      </c>
      <c r="M144" s="128">
        <f t="shared" si="36"/>
        <v>44.000000080000007</v>
      </c>
      <c r="N144" s="128">
        <f t="shared" si="37"/>
        <v>106.99999999999999</v>
      </c>
      <c r="O144" s="128">
        <f t="shared" si="38"/>
        <v>82</v>
      </c>
      <c r="P144" s="128">
        <f t="shared" si="39"/>
        <v>102</v>
      </c>
      <c r="Q144" s="128">
        <f t="shared" si="40"/>
        <v>115.00000000000001</v>
      </c>
      <c r="R144" s="128">
        <f t="shared" si="41"/>
        <v>4.9999999200000076</v>
      </c>
      <c r="S144" s="1">
        <f t="shared" si="32"/>
        <v>1</v>
      </c>
      <c r="T144" s="128">
        <f t="shared" si="31"/>
        <v>3.0000000800000208</v>
      </c>
      <c r="U144" s="128">
        <f t="shared" si="33"/>
        <v>560.00000016000001</v>
      </c>
      <c r="W144" s="128">
        <f t="shared" si="42"/>
        <v>115.00000000000001</v>
      </c>
      <c r="X144" s="128">
        <f t="shared" si="43"/>
        <v>126.00000008000001</v>
      </c>
    </row>
    <row r="145" spans="1:24">
      <c r="A145" s="22">
        <v>43490</v>
      </c>
      <c r="B145" s="130">
        <v>0</v>
      </c>
      <c r="C145" s="130">
        <v>0</v>
      </c>
      <c r="D145" s="130">
        <v>1</v>
      </c>
      <c r="E145" s="130">
        <v>0</v>
      </c>
      <c r="F145" s="130">
        <v>0</v>
      </c>
      <c r="G145" s="130">
        <v>1</v>
      </c>
      <c r="J145" s="57" t="s">
        <v>164</v>
      </c>
      <c r="K145" s="86">
        <f t="shared" si="34"/>
        <v>43490</v>
      </c>
      <c r="L145" s="128">
        <f t="shared" si="35"/>
        <v>110.00000008000001</v>
      </c>
      <c r="M145" s="128">
        <f t="shared" si="36"/>
        <v>44.000000080000007</v>
      </c>
      <c r="N145" s="128">
        <f t="shared" si="37"/>
        <v>107.99999999999999</v>
      </c>
      <c r="O145" s="128">
        <f t="shared" si="38"/>
        <v>82</v>
      </c>
      <c r="P145" s="128">
        <f t="shared" si="39"/>
        <v>102</v>
      </c>
      <c r="Q145" s="128">
        <f t="shared" si="40"/>
        <v>116.00000000000001</v>
      </c>
      <c r="R145" s="128">
        <f t="shared" si="41"/>
        <v>5.9999999200000076</v>
      </c>
      <c r="S145" s="1">
        <f t="shared" si="32"/>
        <v>1</v>
      </c>
      <c r="T145" s="128">
        <f t="shared" si="31"/>
        <v>2.0000000800000208</v>
      </c>
      <c r="U145" s="128">
        <f t="shared" si="33"/>
        <v>562.00000016000001</v>
      </c>
      <c r="W145" s="128">
        <f t="shared" si="42"/>
        <v>116.00000000000001</v>
      </c>
      <c r="X145" s="128">
        <f t="shared" si="43"/>
        <v>126.00000008000001</v>
      </c>
    </row>
    <row r="146" spans="1:24">
      <c r="A146" s="22">
        <v>43497</v>
      </c>
      <c r="B146" s="130">
        <v>0</v>
      </c>
      <c r="C146" s="130">
        <v>0</v>
      </c>
      <c r="D146" s="130">
        <v>0</v>
      </c>
      <c r="E146" s="130">
        <v>0</v>
      </c>
      <c r="F146" s="130">
        <v>0</v>
      </c>
      <c r="G146" s="130">
        <v>0</v>
      </c>
      <c r="J146" s="57" t="s">
        <v>165</v>
      </c>
      <c r="K146" s="86">
        <f t="shared" si="34"/>
        <v>43497</v>
      </c>
      <c r="L146" s="128">
        <f t="shared" si="35"/>
        <v>110.00000008000001</v>
      </c>
      <c r="M146" s="128">
        <f t="shared" si="36"/>
        <v>44.000000080000007</v>
      </c>
      <c r="N146" s="128">
        <f t="shared" si="37"/>
        <v>107.99999999999999</v>
      </c>
      <c r="O146" s="128">
        <f t="shared" si="38"/>
        <v>82</v>
      </c>
      <c r="P146" s="128">
        <f t="shared" si="39"/>
        <v>102</v>
      </c>
      <c r="Q146" s="128">
        <f t="shared" si="40"/>
        <v>116.00000000000001</v>
      </c>
      <c r="R146" s="128">
        <f t="shared" si="41"/>
        <v>5.9999999200000076</v>
      </c>
      <c r="S146" s="1">
        <f t="shared" si="32"/>
        <v>1</v>
      </c>
      <c r="T146" s="128">
        <f t="shared" si="31"/>
        <v>2.0000000800000208</v>
      </c>
      <c r="U146" s="128">
        <f t="shared" si="33"/>
        <v>562.00000016000001</v>
      </c>
      <c r="W146" s="128">
        <f t="shared" si="42"/>
        <v>116.00000000000001</v>
      </c>
      <c r="X146" s="128">
        <f t="shared" si="43"/>
        <v>126.00000008000001</v>
      </c>
    </row>
    <row r="147" spans="1:24">
      <c r="A147" s="22">
        <v>43504</v>
      </c>
      <c r="B147" s="130">
        <v>1</v>
      </c>
      <c r="C147" s="130">
        <v>0</v>
      </c>
      <c r="D147" s="130">
        <v>0</v>
      </c>
      <c r="E147" s="130">
        <v>0</v>
      </c>
      <c r="F147" s="130">
        <v>1</v>
      </c>
      <c r="G147" s="130">
        <v>1</v>
      </c>
      <c r="K147" s="86">
        <f t="shared" si="34"/>
        <v>43504</v>
      </c>
      <c r="L147" s="128">
        <f t="shared" si="35"/>
        <v>111.00000008000001</v>
      </c>
      <c r="M147" s="128">
        <f t="shared" si="36"/>
        <v>44.000000080000007</v>
      </c>
      <c r="N147" s="128">
        <f t="shared" si="37"/>
        <v>107.99999999999999</v>
      </c>
      <c r="O147" s="128">
        <f t="shared" si="38"/>
        <v>82</v>
      </c>
      <c r="P147" s="128">
        <f t="shared" si="39"/>
        <v>103</v>
      </c>
      <c r="Q147" s="128">
        <f t="shared" si="40"/>
        <v>117.00000000000001</v>
      </c>
      <c r="R147" s="128">
        <f t="shared" si="41"/>
        <v>5.9999999200000076</v>
      </c>
      <c r="S147" s="1">
        <f t="shared" si="32"/>
        <v>1</v>
      </c>
      <c r="T147" s="128">
        <f t="shared" si="31"/>
        <v>3.0000000800000208</v>
      </c>
      <c r="U147" s="128">
        <f t="shared" si="33"/>
        <v>565.00000016000001</v>
      </c>
      <c r="W147" s="128">
        <f t="shared" si="42"/>
        <v>117.00000000000001</v>
      </c>
      <c r="X147" s="128">
        <f t="shared" si="43"/>
        <v>126.00000008000001</v>
      </c>
    </row>
    <row r="148" spans="1:24">
      <c r="A148" s="22">
        <v>43511</v>
      </c>
      <c r="B148" s="130">
        <v>1</v>
      </c>
      <c r="C148" s="130">
        <v>0</v>
      </c>
      <c r="D148" s="130">
        <v>1</v>
      </c>
      <c r="E148" s="130">
        <v>0</v>
      </c>
      <c r="F148" s="130">
        <v>1</v>
      </c>
      <c r="G148" s="130">
        <v>1</v>
      </c>
      <c r="K148" s="86">
        <f t="shared" si="34"/>
        <v>43511</v>
      </c>
      <c r="L148" s="128">
        <f t="shared" si="35"/>
        <v>112.00000008000001</v>
      </c>
      <c r="M148" s="128">
        <f t="shared" si="36"/>
        <v>44.000000080000007</v>
      </c>
      <c r="N148" s="128">
        <f t="shared" si="37"/>
        <v>108.99999999999999</v>
      </c>
      <c r="O148" s="128">
        <f t="shared" si="38"/>
        <v>82</v>
      </c>
      <c r="P148" s="128">
        <f t="shared" si="39"/>
        <v>104</v>
      </c>
      <c r="Q148" s="128">
        <f t="shared" si="40"/>
        <v>118.00000000000001</v>
      </c>
      <c r="R148" s="128">
        <f t="shared" si="41"/>
        <v>5.9999999200000076</v>
      </c>
      <c r="S148" s="1">
        <f t="shared" si="32"/>
        <v>1</v>
      </c>
      <c r="T148" s="128">
        <f t="shared" si="31"/>
        <v>3.0000000800000208</v>
      </c>
      <c r="U148" s="128">
        <f t="shared" si="33"/>
        <v>569.00000016000001</v>
      </c>
      <c r="W148" s="128">
        <f t="shared" si="42"/>
        <v>118.00000000000001</v>
      </c>
      <c r="X148" s="128">
        <f t="shared" si="43"/>
        <v>126.00000008000001</v>
      </c>
    </row>
    <row r="149" spans="1:24">
      <c r="A149" s="22">
        <v>43518</v>
      </c>
      <c r="B149" s="130">
        <v>1</v>
      </c>
      <c r="C149" s="130">
        <v>0</v>
      </c>
      <c r="D149" s="130">
        <v>1</v>
      </c>
      <c r="E149" s="130">
        <v>0</v>
      </c>
      <c r="F149" s="130">
        <v>0</v>
      </c>
      <c r="G149" s="130">
        <v>1</v>
      </c>
      <c r="K149" s="86">
        <f t="shared" si="34"/>
        <v>43518</v>
      </c>
      <c r="L149" s="128">
        <f t="shared" si="35"/>
        <v>113.00000008000001</v>
      </c>
      <c r="M149" s="128">
        <f t="shared" si="36"/>
        <v>44.000000080000007</v>
      </c>
      <c r="N149" s="128">
        <f t="shared" si="37"/>
        <v>109.99999999999999</v>
      </c>
      <c r="O149" s="128">
        <f t="shared" si="38"/>
        <v>82</v>
      </c>
      <c r="P149" s="128">
        <f t="shared" si="39"/>
        <v>104</v>
      </c>
      <c r="Q149" s="128">
        <f t="shared" si="40"/>
        <v>119.00000000000001</v>
      </c>
      <c r="R149" s="128">
        <f t="shared" si="41"/>
        <v>5.9999999200000076</v>
      </c>
      <c r="S149" s="1">
        <f t="shared" si="32"/>
        <v>1</v>
      </c>
      <c r="T149" s="128">
        <f t="shared" si="31"/>
        <v>3.0000000800000208</v>
      </c>
      <c r="U149" s="128">
        <f t="shared" si="33"/>
        <v>572.00000016000001</v>
      </c>
      <c r="W149" s="128">
        <f t="shared" si="42"/>
        <v>119.00000000000001</v>
      </c>
      <c r="X149" s="128">
        <f t="shared" si="43"/>
        <v>126.00000008000001</v>
      </c>
    </row>
    <row r="150" spans="1:24">
      <c r="A150" s="22">
        <v>43525</v>
      </c>
      <c r="B150" s="130">
        <v>0</v>
      </c>
      <c r="C150" s="130">
        <v>0</v>
      </c>
      <c r="D150" s="130">
        <v>1</v>
      </c>
      <c r="E150" s="130">
        <v>0</v>
      </c>
      <c r="F150" s="130">
        <v>1</v>
      </c>
      <c r="G150" s="130">
        <v>1</v>
      </c>
      <c r="J150" s="57" t="s">
        <v>166</v>
      </c>
      <c r="K150" s="86">
        <f t="shared" si="34"/>
        <v>43525</v>
      </c>
      <c r="L150" s="128">
        <f t="shared" si="35"/>
        <v>113.00000008000001</v>
      </c>
      <c r="M150" s="128">
        <f t="shared" si="36"/>
        <v>44.000000080000007</v>
      </c>
      <c r="N150" s="128">
        <f t="shared" si="37"/>
        <v>110.99999999999999</v>
      </c>
      <c r="O150" s="128">
        <f t="shared" si="38"/>
        <v>82</v>
      </c>
      <c r="P150" s="128">
        <f t="shared" si="39"/>
        <v>105</v>
      </c>
      <c r="Q150" s="128">
        <f t="shared" si="40"/>
        <v>120.00000000000001</v>
      </c>
      <c r="R150" s="128">
        <f t="shared" si="41"/>
        <v>6.9999999200000076</v>
      </c>
      <c r="S150" s="1">
        <f t="shared" si="32"/>
        <v>1</v>
      </c>
      <c r="T150" s="128">
        <f t="shared" si="31"/>
        <v>2.0000000800000208</v>
      </c>
      <c r="U150" s="128">
        <f t="shared" si="33"/>
        <v>575.00000016000001</v>
      </c>
      <c r="W150" s="128">
        <f t="shared" si="42"/>
        <v>120.00000000000001</v>
      </c>
      <c r="X150" s="128">
        <f t="shared" si="43"/>
        <v>126.00000008000001</v>
      </c>
    </row>
    <row r="151" spans="1:24">
      <c r="A151" s="22">
        <v>43532</v>
      </c>
      <c r="B151" s="130">
        <v>1</v>
      </c>
      <c r="C151" s="130">
        <v>1</v>
      </c>
      <c r="D151" s="130">
        <v>1</v>
      </c>
      <c r="E151" s="130">
        <v>0</v>
      </c>
      <c r="F151" s="130">
        <v>1</v>
      </c>
      <c r="G151" s="130">
        <v>1</v>
      </c>
      <c r="K151" s="86">
        <f t="shared" si="34"/>
        <v>43532</v>
      </c>
      <c r="L151" s="128">
        <f t="shared" si="35"/>
        <v>114.00000008000001</v>
      </c>
      <c r="M151" s="128">
        <f t="shared" si="36"/>
        <v>45.000000080000007</v>
      </c>
      <c r="N151" s="128">
        <f t="shared" si="37"/>
        <v>111.99999999999999</v>
      </c>
      <c r="O151" s="128">
        <f t="shared" si="38"/>
        <v>82</v>
      </c>
      <c r="P151" s="128">
        <f t="shared" si="39"/>
        <v>106</v>
      </c>
      <c r="Q151" s="128">
        <f t="shared" si="40"/>
        <v>121.00000000000001</v>
      </c>
      <c r="R151" s="128">
        <f t="shared" si="41"/>
        <v>6.9999999200000076</v>
      </c>
      <c r="S151" s="1">
        <f t="shared" si="32"/>
        <v>1</v>
      </c>
      <c r="T151" s="128">
        <f t="shared" si="31"/>
        <v>2.0000000800000208</v>
      </c>
      <c r="U151" s="128">
        <f t="shared" si="33"/>
        <v>580.00000016000001</v>
      </c>
      <c r="W151" s="128">
        <f t="shared" si="42"/>
        <v>121.00000000000001</v>
      </c>
      <c r="X151" s="128">
        <f t="shared" si="43"/>
        <v>127.00000008000001</v>
      </c>
    </row>
    <row r="152" spans="1:24">
      <c r="A152" s="22">
        <v>43539</v>
      </c>
      <c r="B152" s="130">
        <v>0</v>
      </c>
      <c r="C152" s="130">
        <v>0</v>
      </c>
      <c r="D152" s="130">
        <v>1</v>
      </c>
      <c r="E152" s="130">
        <v>0</v>
      </c>
      <c r="F152" s="130">
        <v>1</v>
      </c>
      <c r="G152" s="130">
        <v>1</v>
      </c>
      <c r="K152" s="86">
        <f t="shared" si="34"/>
        <v>43539</v>
      </c>
      <c r="L152" s="128">
        <f t="shared" si="35"/>
        <v>114.00000008000001</v>
      </c>
      <c r="M152" s="128">
        <f t="shared" si="36"/>
        <v>45.000000080000007</v>
      </c>
      <c r="N152" s="128">
        <f t="shared" si="37"/>
        <v>112.99999999999999</v>
      </c>
      <c r="O152" s="128">
        <f t="shared" si="38"/>
        <v>82</v>
      </c>
      <c r="P152" s="128">
        <f t="shared" si="39"/>
        <v>107</v>
      </c>
      <c r="Q152" s="128">
        <f t="shared" si="40"/>
        <v>122.00000000000001</v>
      </c>
      <c r="R152" s="128">
        <f t="shared" si="41"/>
        <v>7.9999999200000076</v>
      </c>
      <c r="S152" s="1">
        <f t="shared" si="32"/>
        <v>1</v>
      </c>
      <c r="T152" s="128">
        <f t="shared" si="31"/>
        <v>1.0000000800000208</v>
      </c>
      <c r="U152" s="128">
        <f t="shared" si="33"/>
        <v>583.00000016000001</v>
      </c>
      <c r="W152" s="128">
        <f t="shared" si="42"/>
        <v>122.00000000000001</v>
      </c>
      <c r="X152" s="128">
        <f t="shared" si="43"/>
        <v>127.00000008000001</v>
      </c>
    </row>
    <row r="153" spans="1:24">
      <c r="A153" s="22">
        <v>43546</v>
      </c>
      <c r="B153" s="130">
        <v>1</v>
      </c>
      <c r="C153" s="130">
        <v>0</v>
      </c>
      <c r="D153" s="130">
        <v>1</v>
      </c>
      <c r="E153" s="130">
        <v>0</v>
      </c>
      <c r="F153" s="130">
        <v>1</v>
      </c>
      <c r="G153" s="130">
        <v>0</v>
      </c>
      <c r="K153" s="86">
        <f t="shared" si="34"/>
        <v>43546</v>
      </c>
      <c r="L153" s="128">
        <f t="shared" si="35"/>
        <v>115.00000008000001</v>
      </c>
      <c r="M153" s="128">
        <f t="shared" si="36"/>
        <v>45.000000080000007</v>
      </c>
      <c r="N153" s="128">
        <f t="shared" si="37"/>
        <v>113.99999999999999</v>
      </c>
      <c r="O153" s="128">
        <f t="shared" si="38"/>
        <v>82</v>
      </c>
      <c r="P153" s="128">
        <f t="shared" si="39"/>
        <v>108</v>
      </c>
      <c r="Q153" s="128">
        <f t="shared" si="40"/>
        <v>122.00000000000001</v>
      </c>
      <c r="R153" s="128">
        <f t="shared" si="41"/>
        <v>6.9999999200000076</v>
      </c>
      <c r="S153" s="1">
        <f t="shared" si="32"/>
        <v>1</v>
      </c>
      <c r="T153" s="128">
        <f t="shared" si="31"/>
        <v>1.0000000800000208</v>
      </c>
      <c r="U153" s="128">
        <f t="shared" si="33"/>
        <v>586.00000016000001</v>
      </c>
      <c r="W153" s="128">
        <f t="shared" si="42"/>
        <v>122.00000000000001</v>
      </c>
      <c r="X153" s="128">
        <f t="shared" si="43"/>
        <v>127.00000008000001</v>
      </c>
    </row>
    <row r="154" spans="1:24">
      <c r="A154" s="22">
        <v>43553</v>
      </c>
      <c r="B154" s="130">
        <v>0</v>
      </c>
      <c r="C154" s="130">
        <v>0</v>
      </c>
      <c r="D154" s="130">
        <v>1</v>
      </c>
      <c r="E154" s="130">
        <v>0</v>
      </c>
      <c r="F154" s="130">
        <v>1</v>
      </c>
      <c r="G154" s="130">
        <v>1</v>
      </c>
      <c r="K154" s="86">
        <f t="shared" si="34"/>
        <v>43553</v>
      </c>
      <c r="L154" s="128">
        <f t="shared" si="35"/>
        <v>115.00000008000001</v>
      </c>
      <c r="M154" s="128">
        <f t="shared" si="36"/>
        <v>45.000000080000007</v>
      </c>
      <c r="N154" s="128">
        <f t="shared" si="37"/>
        <v>114.99999999999999</v>
      </c>
      <c r="O154" s="128">
        <f t="shared" si="38"/>
        <v>82</v>
      </c>
      <c r="P154" s="128">
        <f t="shared" si="39"/>
        <v>109</v>
      </c>
      <c r="Q154" s="128">
        <f t="shared" si="40"/>
        <v>123.00000000000001</v>
      </c>
      <c r="R154" s="128">
        <f t="shared" si="41"/>
        <v>7.9999999200000076</v>
      </c>
      <c r="S154" s="1">
        <f t="shared" si="32"/>
        <v>1</v>
      </c>
      <c r="T154" s="128">
        <f t="shared" si="31"/>
        <v>8.0000020830084395E-8</v>
      </c>
      <c r="U154" s="128">
        <f t="shared" si="33"/>
        <v>589.00000016000001</v>
      </c>
      <c r="W154" s="128">
        <f t="shared" si="42"/>
        <v>123.00000000000001</v>
      </c>
      <c r="X154" s="128">
        <f t="shared" si="43"/>
        <v>127.00000008000001</v>
      </c>
    </row>
    <row r="155" spans="1:24">
      <c r="A155" s="22">
        <v>43560</v>
      </c>
      <c r="B155" s="130">
        <v>1</v>
      </c>
      <c r="C155" s="130">
        <v>0</v>
      </c>
      <c r="D155" s="130">
        <v>1</v>
      </c>
      <c r="E155" s="130">
        <v>1</v>
      </c>
      <c r="F155" s="130">
        <v>1</v>
      </c>
      <c r="G155" s="130">
        <v>1</v>
      </c>
      <c r="J155" s="57" t="s">
        <v>167</v>
      </c>
      <c r="K155" s="86">
        <f t="shared" si="34"/>
        <v>43560</v>
      </c>
      <c r="L155" s="128">
        <f t="shared" si="35"/>
        <v>116.00000008000001</v>
      </c>
      <c r="M155" s="128">
        <f t="shared" si="36"/>
        <v>45.000000080000007</v>
      </c>
      <c r="N155" s="128">
        <f t="shared" si="37"/>
        <v>115.99999999999999</v>
      </c>
      <c r="O155" s="128">
        <f t="shared" si="38"/>
        <v>83</v>
      </c>
      <c r="P155" s="128">
        <f t="shared" si="39"/>
        <v>110</v>
      </c>
      <c r="Q155" s="128">
        <f t="shared" si="40"/>
        <v>124.00000000000001</v>
      </c>
      <c r="R155" s="128">
        <f t="shared" si="41"/>
        <v>7.9999999200000076</v>
      </c>
      <c r="S155" s="1">
        <f t="shared" si="32"/>
        <v>1</v>
      </c>
      <c r="T155" s="128">
        <f t="shared" si="31"/>
        <v>8.0000020830084395E-8</v>
      </c>
      <c r="U155" s="128">
        <f t="shared" si="33"/>
        <v>594.00000016000001</v>
      </c>
      <c r="W155" s="128">
        <f t="shared" si="42"/>
        <v>124.00000000000001</v>
      </c>
      <c r="X155" s="128">
        <f t="shared" si="43"/>
        <v>128.00000008000001</v>
      </c>
    </row>
    <row r="156" spans="1:24">
      <c r="A156" s="22">
        <v>43567</v>
      </c>
      <c r="B156" s="130">
        <v>0</v>
      </c>
      <c r="C156" s="130">
        <v>0</v>
      </c>
      <c r="D156" s="130">
        <v>1</v>
      </c>
      <c r="E156" s="130">
        <v>0</v>
      </c>
      <c r="F156" s="130">
        <v>1</v>
      </c>
      <c r="G156" s="130">
        <v>1</v>
      </c>
      <c r="K156" s="86">
        <f t="shared" si="34"/>
        <v>43567</v>
      </c>
      <c r="L156" s="128">
        <f t="shared" si="35"/>
        <v>116.00000008000001</v>
      </c>
      <c r="M156" s="128">
        <f t="shared" si="36"/>
        <v>45.000000080000007</v>
      </c>
      <c r="N156" s="128">
        <f t="shared" si="37"/>
        <v>116.99999999999999</v>
      </c>
      <c r="O156" s="128">
        <f t="shared" si="38"/>
        <v>83</v>
      </c>
      <c r="P156" s="128">
        <f t="shared" si="39"/>
        <v>111</v>
      </c>
      <c r="Q156" s="128">
        <f t="shared" si="40"/>
        <v>125.00000000000001</v>
      </c>
      <c r="R156" s="128">
        <f t="shared" si="41"/>
        <v>8.0000000000000284</v>
      </c>
      <c r="S156" s="1">
        <f t="shared" si="32"/>
        <v>1</v>
      </c>
      <c r="T156" s="128">
        <f t="shared" si="31"/>
        <v>-0.99999991999997917</v>
      </c>
      <c r="U156" s="128">
        <f t="shared" si="33"/>
        <v>597.00000016000001</v>
      </c>
      <c r="W156" s="128">
        <f t="shared" si="42"/>
        <v>125.00000000000001</v>
      </c>
      <c r="X156" s="128">
        <f t="shared" si="43"/>
        <v>128.00000008000001</v>
      </c>
    </row>
    <row r="157" spans="1:24">
      <c r="A157" s="22">
        <v>43581</v>
      </c>
      <c r="B157" s="130">
        <v>1</v>
      </c>
      <c r="C157" s="130">
        <v>0</v>
      </c>
      <c r="D157" s="130">
        <v>1</v>
      </c>
      <c r="E157" s="130">
        <v>0</v>
      </c>
      <c r="F157" s="130">
        <v>1</v>
      </c>
      <c r="G157" s="130">
        <v>1</v>
      </c>
      <c r="K157" s="86">
        <f t="shared" si="34"/>
        <v>43581</v>
      </c>
      <c r="L157" s="128">
        <f t="shared" si="35"/>
        <v>117.00000008000001</v>
      </c>
      <c r="M157" s="128">
        <f t="shared" si="36"/>
        <v>45.000000080000007</v>
      </c>
      <c r="N157" s="128">
        <f t="shared" si="37"/>
        <v>117.99999999999999</v>
      </c>
      <c r="O157" s="128">
        <f t="shared" si="38"/>
        <v>83</v>
      </c>
      <c r="P157" s="128">
        <f t="shared" si="39"/>
        <v>112</v>
      </c>
      <c r="Q157" s="128">
        <f t="shared" si="40"/>
        <v>126.00000000000001</v>
      </c>
      <c r="R157" s="128">
        <f t="shared" si="41"/>
        <v>8.0000000000000284</v>
      </c>
      <c r="S157" s="1">
        <f t="shared" si="32"/>
        <v>1</v>
      </c>
      <c r="T157" s="128">
        <f t="shared" si="31"/>
        <v>-0.99999991999997917</v>
      </c>
      <c r="U157" s="128">
        <f t="shared" si="33"/>
        <v>601.00000016000001</v>
      </c>
      <c r="W157" s="128">
        <f t="shared" si="42"/>
        <v>126.00000000000001</v>
      </c>
      <c r="X157" s="128">
        <f t="shared" si="43"/>
        <v>128.00000008000001</v>
      </c>
    </row>
    <row r="158" spans="1:24">
      <c r="A158" s="22">
        <v>43588</v>
      </c>
      <c r="B158" s="130">
        <v>1</v>
      </c>
      <c r="C158" s="130">
        <v>0</v>
      </c>
      <c r="D158" s="130">
        <v>1</v>
      </c>
      <c r="E158" s="130">
        <v>0</v>
      </c>
      <c r="F158" s="130">
        <v>1</v>
      </c>
      <c r="G158" s="130">
        <v>1</v>
      </c>
      <c r="J158" s="57" t="s">
        <v>168</v>
      </c>
      <c r="K158" s="86">
        <f t="shared" si="34"/>
        <v>43588</v>
      </c>
      <c r="L158" s="128">
        <f t="shared" si="35"/>
        <v>118.00000008000001</v>
      </c>
      <c r="M158" s="128">
        <f t="shared" si="36"/>
        <v>45.000000080000007</v>
      </c>
      <c r="N158" s="128">
        <f t="shared" si="37"/>
        <v>118.99999999999999</v>
      </c>
      <c r="O158" s="128">
        <f t="shared" si="38"/>
        <v>83</v>
      </c>
      <c r="P158" s="128">
        <f t="shared" si="39"/>
        <v>113</v>
      </c>
      <c r="Q158" s="128">
        <f t="shared" si="40"/>
        <v>127.00000000000001</v>
      </c>
      <c r="R158" s="128">
        <f t="shared" si="41"/>
        <v>8.0000000000000284</v>
      </c>
      <c r="S158" s="1">
        <f t="shared" si="32"/>
        <v>1</v>
      </c>
      <c r="T158" s="128">
        <f t="shared" si="31"/>
        <v>-0.99999991999997917</v>
      </c>
      <c r="U158" s="128">
        <f t="shared" si="33"/>
        <v>605.00000016000001</v>
      </c>
      <c r="W158" s="128">
        <f t="shared" si="42"/>
        <v>127.00000000000001</v>
      </c>
      <c r="X158" s="128">
        <f t="shared" si="43"/>
        <v>128.00000008000001</v>
      </c>
    </row>
    <row r="159" spans="1:24">
      <c r="A159" s="22">
        <v>43595</v>
      </c>
      <c r="B159" s="130">
        <v>0</v>
      </c>
      <c r="C159" s="130">
        <v>0</v>
      </c>
      <c r="D159" s="130">
        <v>1</v>
      </c>
      <c r="E159" s="130">
        <v>0</v>
      </c>
      <c r="F159" s="130">
        <v>0</v>
      </c>
      <c r="G159" s="130">
        <v>1</v>
      </c>
      <c r="J159" s="57" t="s">
        <v>169</v>
      </c>
      <c r="K159" s="86">
        <f t="shared" si="34"/>
        <v>43595</v>
      </c>
      <c r="L159" s="128">
        <f t="shared" si="35"/>
        <v>118.00000008000001</v>
      </c>
      <c r="M159" s="128">
        <f t="shared" si="36"/>
        <v>45.000000080000007</v>
      </c>
      <c r="N159" s="128">
        <f t="shared" si="37"/>
        <v>119.99999999999999</v>
      </c>
      <c r="O159" s="128">
        <f t="shared" si="38"/>
        <v>83</v>
      </c>
      <c r="P159" s="128">
        <f t="shared" si="39"/>
        <v>113</v>
      </c>
      <c r="Q159" s="128">
        <f t="shared" si="40"/>
        <v>128</v>
      </c>
      <c r="R159" s="128">
        <f t="shared" si="41"/>
        <v>8.0000000000000142</v>
      </c>
      <c r="S159" s="1">
        <f t="shared" si="32"/>
        <v>1</v>
      </c>
      <c r="T159" s="128">
        <f t="shared" si="31"/>
        <v>-1.9999999199999792</v>
      </c>
      <c r="U159" s="128">
        <f t="shared" si="33"/>
        <v>607.00000016000001</v>
      </c>
      <c r="W159" s="128">
        <f t="shared" si="42"/>
        <v>128</v>
      </c>
      <c r="X159" s="128">
        <f t="shared" si="43"/>
        <v>128.00000008000001</v>
      </c>
    </row>
    <row r="160" spans="1:24">
      <c r="A160" s="22">
        <v>43602</v>
      </c>
      <c r="B160" s="130">
        <v>0</v>
      </c>
      <c r="C160" s="130">
        <v>0</v>
      </c>
      <c r="D160" s="130">
        <v>0</v>
      </c>
      <c r="E160" s="130">
        <v>0</v>
      </c>
      <c r="F160" s="130">
        <v>0</v>
      </c>
      <c r="G160" s="130">
        <v>0</v>
      </c>
      <c r="K160" s="86">
        <f t="shared" si="34"/>
        <v>43602</v>
      </c>
      <c r="L160" s="128">
        <f t="shared" si="35"/>
        <v>118.00000008000001</v>
      </c>
      <c r="M160" s="128">
        <f t="shared" si="36"/>
        <v>45.000000080000007</v>
      </c>
      <c r="N160" s="128">
        <f t="shared" si="37"/>
        <v>119.99999999999999</v>
      </c>
      <c r="O160" s="128">
        <f t="shared" si="38"/>
        <v>83</v>
      </c>
      <c r="P160" s="128">
        <f t="shared" si="39"/>
        <v>113</v>
      </c>
      <c r="Q160" s="128">
        <f t="shared" si="40"/>
        <v>128</v>
      </c>
      <c r="R160" s="128">
        <f t="shared" si="41"/>
        <v>8.0000000000000142</v>
      </c>
      <c r="S160" s="1">
        <f t="shared" si="32"/>
        <v>1</v>
      </c>
      <c r="T160" s="128">
        <f t="shared" si="31"/>
        <v>-1.9999999199999792</v>
      </c>
      <c r="U160" s="128">
        <f t="shared" si="33"/>
        <v>607.00000016000001</v>
      </c>
      <c r="W160" s="128">
        <f t="shared" si="42"/>
        <v>128</v>
      </c>
      <c r="X160" s="128">
        <f t="shared" si="43"/>
        <v>128.00000008000001</v>
      </c>
    </row>
    <row r="161" spans="1:24">
      <c r="A161" s="22">
        <v>43609</v>
      </c>
      <c r="B161" s="130">
        <v>1</v>
      </c>
      <c r="C161" s="130">
        <v>0</v>
      </c>
      <c r="D161" s="130">
        <v>1</v>
      </c>
      <c r="E161" s="130">
        <v>1</v>
      </c>
      <c r="F161" s="130">
        <v>1</v>
      </c>
      <c r="G161" s="130">
        <v>1</v>
      </c>
      <c r="J161" s="57" t="s">
        <v>170</v>
      </c>
      <c r="K161" s="86">
        <f t="shared" si="34"/>
        <v>43609</v>
      </c>
      <c r="L161" s="128">
        <f t="shared" si="35"/>
        <v>119.00000008000001</v>
      </c>
      <c r="M161" s="128">
        <f t="shared" si="36"/>
        <v>45.000000080000007</v>
      </c>
      <c r="N161" s="128">
        <f t="shared" si="37"/>
        <v>120.99999999999999</v>
      </c>
      <c r="O161" s="128">
        <f t="shared" si="38"/>
        <v>84</v>
      </c>
      <c r="P161" s="128">
        <f t="shared" si="39"/>
        <v>114</v>
      </c>
      <c r="Q161" s="128">
        <f t="shared" si="40"/>
        <v>129</v>
      </c>
      <c r="R161" s="128">
        <f t="shared" si="41"/>
        <v>8.0000000000000142</v>
      </c>
      <c r="S161" s="1">
        <f t="shared" si="32"/>
        <v>1</v>
      </c>
      <c r="T161" s="128">
        <f t="shared" si="31"/>
        <v>-1.9999999199999792</v>
      </c>
      <c r="U161" s="128">
        <f t="shared" si="33"/>
        <v>612.00000016000001</v>
      </c>
      <c r="W161" s="128">
        <f t="shared" si="42"/>
        <v>129</v>
      </c>
      <c r="X161" s="128">
        <f t="shared" si="43"/>
        <v>129.00000008000001</v>
      </c>
    </row>
    <row r="162" spans="1:24">
      <c r="A162" s="22">
        <v>43616</v>
      </c>
      <c r="B162" s="130">
        <v>0</v>
      </c>
      <c r="C162" s="130">
        <v>0</v>
      </c>
      <c r="D162" s="130">
        <v>1</v>
      </c>
      <c r="E162" s="130">
        <v>0</v>
      </c>
      <c r="F162" s="130">
        <v>1</v>
      </c>
      <c r="G162" s="130">
        <v>0</v>
      </c>
      <c r="K162" s="86">
        <f t="shared" si="34"/>
        <v>43616</v>
      </c>
      <c r="L162" s="128">
        <f t="shared" si="35"/>
        <v>119.00000008000001</v>
      </c>
      <c r="M162" s="128">
        <f t="shared" si="36"/>
        <v>45.000000080000007</v>
      </c>
      <c r="N162" s="128">
        <f t="shared" si="37"/>
        <v>121.99999999999999</v>
      </c>
      <c r="O162" s="128">
        <f t="shared" si="38"/>
        <v>84</v>
      </c>
      <c r="P162" s="128">
        <f t="shared" si="39"/>
        <v>115</v>
      </c>
      <c r="Q162" s="128">
        <f t="shared" si="40"/>
        <v>129</v>
      </c>
      <c r="R162" s="128">
        <f t="shared" si="41"/>
        <v>7.0000000000000142</v>
      </c>
      <c r="S162" s="1">
        <f t="shared" si="32"/>
        <v>1</v>
      </c>
      <c r="T162" s="128">
        <f t="shared" si="31"/>
        <v>-2.9999999199999792</v>
      </c>
      <c r="U162" s="128">
        <f t="shared" si="33"/>
        <v>614.00000016000001</v>
      </c>
      <c r="W162" s="128">
        <f t="shared" si="42"/>
        <v>129</v>
      </c>
      <c r="X162" s="128">
        <f t="shared" si="43"/>
        <v>129.00000008000001</v>
      </c>
    </row>
    <row r="163" spans="1:24">
      <c r="A163" s="22">
        <v>43623</v>
      </c>
      <c r="B163" s="130">
        <v>1</v>
      </c>
      <c r="C163" s="130">
        <v>1</v>
      </c>
      <c r="D163" s="130">
        <v>1</v>
      </c>
      <c r="E163" s="130">
        <v>0</v>
      </c>
      <c r="F163" s="130">
        <v>1</v>
      </c>
      <c r="G163" s="130">
        <v>1</v>
      </c>
      <c r="J163" s="57" t="s">
        <v>171</v>
      </c>
      <c r="K163" s="86">
        <f t="shared" si="34"/>
        <v>43623</v>
      </c>
      <c r="L163" s="128">
        <f t="shared" si="35"/>
        <v>120.00000008000001</v>
      </c>
      <c r="M163" s="128">
        <f t="shared" si="36"/>
        <v>46.000000080000007</v>
      </c>
      <c r="N163" s="128">
        <f t="shared" si="37"/>
        <v>122.99999999999999</v>
      </c>
      <c r="O163" s="128">
        <f t="shared" si="38"/>
        <v>84</v>
      </c>
      <c r="P163" s="128">
        <f t="shared" si="39"/>
        <v>116</v>
      </c>
      <c r="Q163" s="128">
        <f t="shared" si="40"/>
        <v>130</v>
      </c>
      <c r="R163" s="128">
        <f t="shared" si="41"/>
        <v>7.0000000000000142</v>
      </c>
      <c r="S163" s="1">
        <f t="shared" si="32"/>
        <v>1</v>
      </c>
      <c r="T163" s="128">
        <f t="shared" si="31"/>
        <v>-2.9999999199999792</v>
      </c>
      <c r="U163" s="128">
        <f t="shared" si="33"/>
        <v>619.00000016000001</v>
      </c>
      <c r="W163" s="128">
        <f t="shared" si="42"/>
        <v>130</v>
      </c>
      <c r="X163" s="128">
        <f t="shared" si="43"/>
        <v>130.00000008000001</v>
      </c>
    </row>
    <row r="164" spans="1:24">
      <c r="A164" s="22">
        <v>43630</v>
      </c>
      <c r="B164" s="130">
        <v>1</v>
      </c>
      <c r="C164" s="130">
        <v>0</v>
      </c>
      <c r="D164" s="130">
        <v>1</v>
      </c>
      <c r="E164" s="130">
        <v>0</v>
      </c>
      <c r="F164" s="130">
        <v>0</v>
      </c>
      <c r="G164" s="130">
        <v>1</v>
      </c>
      <c r="J164" s="57" t="s">
        <v>172</v>
      </c>
      <c r="K164" s="86">
        <f t="shared" si="34"/>
        <v>43630</v>
      </c>
      <c r="L164" s="128">
        <f t="shared" si="35"/>
        <v>121.00000008000001</v>
      </c>
      <c r="M164" s="128">
        <f t="shared" si="36"/>
        <v>46.000000080000007</v>
      </c>
      <c r="N164" s="128">
        <f t="shared" si="37"/>
        <v>123.99999999999999</v>
      </c>
      <c r="O164" s="128">
        <f t="shared" si="38"/>
        <v>84</v>
      </c>
      <c r="P164" s="128">
        <f t="shared" si="39"/>
        <v>116</v>
      </c>
      <c r="Q164" s="128">
        <f t="shared" si="40"/>
        <v>131</v>
      </c>
      <c r="R164" s="128">
        <f t="shared" si="41"/>
        <v>7.0000000000000142</v>
      </c>
      <c r="S164" s="1">
        <f t="shared" si="32"/>
        <v>1</v>
      </c>
      <c r="T164" s="128">
        <f t="shared" si="31"/>
        <v>-2.9999999199999792</v>
      </c>
      <c r="U164" s="128">
        <f t="shared" si="33"/>
        <v>622.00000016000001</v>
      </c>
      <c r="W164" s="128">
        <f t="shared" si="42"/>
        <v>131</v>
      </c>
      <c r="X164" s="128">
        <f t="shared" si="43"/>
        <v>130.00000008000001</v>
      </c>
    </row>
    <row r="165" spans="1:24">
      <c r="A165" s="22">
        <v>43637</v>
      </c>
      <c r="B165" s="130">
        <v>1</v>
      </c>
      <c r="C165" s="130">
        <v>0</v>
      </c>
      <c r="D165" s="130">
        <v>1</v>
      </c>
      <c r="E165" s="130">
        <v>0</v>
      </c>
      <c r="F165" s="130">
        <v>0</v>
      </c>
      <c r="G165" s="130">
        <v>1</v>
      </c>
      <c r="J165" s="57" t="s">
        <v>173</v>
      </c>
      <c r="K165" s="86">
        <f t="shared" si="34"/>
        <v>43637</v>
      </c>
      <c r="L165" s="128">
        <f t="shared" si="35"/>
        <v>122.00000008000001</v>
      </c>
      <c r="M165" s="128">
        <f t="shared" si="36"/>
        <v>46.000000080000007</v>
      </c>
      <c r="N165" s="128">
        <f t="shared" si="37"/>
        <v>124.99999999999999</v>
      </c>
      <c r="O165" s="128">
        <f t="shared" si="38"/>
        <v>84</v>
      </c>
      <c r="P165" s="128">
        <f t="shared" si="39"/>
        <v>116</v>
      </c>
      <c r="Q165" s="128">
        <f t="shared" si="40"/>
        <v>132</v>
      </c>
      <c r="R165" s="128">
        <f t="shared" si="41"/>
        <v>7.0000000000000142</v>
      </c>
      <c r="S165" s="1">
        <f t="shared" si="32"/>
        <v>1</v>
      </c>
      <c r="T165" s="128">
        <f t="shared" si="31"/>
        <v>-2.9999999199999792</v>
      </c>
      <c r="U165" s="128">
        <f t="shared" si="33"/>
        <v>625.00000016000001</v>
      </c>
      <c r="W165" s="128">
        <f t="shared" si="42"/>
        <v>132</v>
      </c>
      <c r="X165" s="128">
        <f t="shared" si="43"/>
        <v>130.00000008000001</v>
      </c>
    </row>
    <row r="166" spans="1:24">
      <c r="A166" s="22">
        <v>43644</v>
      </c>
      <c r="B166" s="130">
        <v>1</v>
      </c>
      <c r="C166" s="130">
        <v>0</v>
      </c>
      <c r="D166" s="130">
        <v>1</v>
      </c>
      <c r="E166" s="130">
        <v>1</v>
      </c>
      <c r="F166" s="130">
        <v>1</v>
      </c>
      <c r="G166" s="130">
        <v>1</v>
      </c>
      <c r="J166" s="57" t="s">
        <v>174</v>
      </c>
      <c r="K166" s="86">
        <f t="shared" si="34"/>
        <v>43644</v>
      </c>
      <c r="L166" s="128">
        <f t="shared" si="35"/>
        <v>123.00000008000001</v>
      </c>
      <c r="M166" s="128">
        <f t="shared" si="36"/>
        <v>46.000000080000007</v>
      </c>
      <c r="N166" s="128">
        <f t="shared" si="37"/>
        <v>125.99999999999999</v>
      </c>
      <c r="O166" s="128">
        <f t="shared" si="38"/>
        <v>85</v>
      </c>
      <c r="P166" s="128">
        <f t="shared" si="39"/>
        <v>117</v>
      </c>
      <c r="Q166" s="128">
        <f t="shared" si="40"/>
        <v>133</v>
      </c>
      <c r="R166" s="128">
        <f t="shared" si="41"/>
        <v>7.0000000000000142</v>
      </c>
      <c r="S166" s="1">
        <f t="shared" si="32"/>
        <v>1</v>
      </c>
      <c r="T166" s="128">
        <f t="shared" si="31"/>
        <v>-2.9999999199999792</v>
      </c>
      <c r="U166" s="128">
        <f t="shared" si="33"/>
        <v>630.00000016000001</v>
      </c>
      <c r="W166" s="128">
        <f t="shared" si="42"/>
        <v>133</v>
      </c>
      <c r="X166" s="128">
        <f t="shared" si="43"/>
        <v>131.00000008000001</v>
      </c>
    </row>
    <row r="167" spans="1:24">
      <c r="A167" s="22">
        <v>43651</v>
      </c>
      <c r="B167" s="130">
        <v>1</v>
      </c>
      <c r="C167" s="130">
        <v>0</v>
      </c>
      <c r="D167" s="130">
        <v>0</v>
      </c>
      <c r="E167" s="130">
        <v>0</v>
      </c>
      <c r="F167" s="130">
        <v>1</v>
      </c>
      <c r="G167" s="130">
        <v>0</v>
      </c>
      <c r="J167" s="57" t="s">
        <v>175</v>
      </c>
      <c r="K167" s="86">
        <f t="shared" si="34"/>
        <v>43651</v>
      </c>
      <c r="L167" s="128">
        <f t="shared" si="35"/>
        <v>124.00000008000001</v>
      </c>
      <c r="M167" s="128">
        <f t="shared" si="36"/>
        <v>46.000000080000007</v>
      </c>
      <c r="N167" s="128">
        <f t="shared" si="37"/>
        <v>125.99999999999999</v>
      </c>
      <c r="O167" s="128">
        <f t="shared" si="38"/>
        <v>85</v>
      </c>
      <c r="P167" s="128">
        <f t="shared" si="39"/>
        <v>118</v>
      </c>
      <c r="Q167" s="128">
        <f t="shared" si="40"/>
        <v>133</v>
      </c>
      <c r="R167" s="128">
        <f t="shared" si="41"/>
        <v>7.0000000000000142</v>
      </c>
      <c r="S167" s="1">
        <f t="shared" si="32"/>
        <v>1</v>
      </c>
      <c r="T167" s="128">
        <f t="shared" ref="T167:T230" si="44">L167-N167</f>
        <v>-1.9999999199999792</v>
      </c>
      <c r="U167" s="128">
        <f t="shared" si="33"/>
        <v>632.00000016000001</v>
      </c>
      <c r="W167" s="128">
        <f t="shared" si="42"/>
        <v>133</v>
      </c>
      <c r="X167" s="128">
        <f t="shared" si="43"/>
        <v>131.00000008000001</v>
      </c>
    </row>
    <row r="168" spans="1:24">
      <c r="A168" s="22">
        <v>43658</v>
      </c>
      <c r="B168" s="130">
        <v>0</v>
      </c>
      <c r="C168" s="130">
        <v>0</v>
      </c>
      <c r="D168" s="130">
        <v>0</v>
      </c>
      <c r="E168" s="130">
        <v>0</v>
      </c>
      <c r="F168" s="130">
        <v>1</v>
      </c>
      <c r="G168" s="130">
        <v>0</v>
      </c>
      <c r="J168" s="57" t="s">
        <v>176</v>
      </c>
      <c r="K168" s="86">
        <f t="shared" si="34"/>
        <v>43658</v>
      </c>
      <c r="L168" s="128">
        <f t="shared" si="35"/>
        <v>124.00000008000001</v>
      </c>
      <c r="M168" s="128">
        <f t="shared" si="36"/>
        <v>46.000000080000007</v>
      </c>
      <c r="N168" s="128">
        <f t="shared" si="37"/>
        <v>125.99999999999999</v>
      </c>
      <c r="O168" s="128">
        <f t="shared" si="38"/>
        <v>85</v>
      </c>
      <c r="P168" s="128">
        <f t="shared" si="39"/>
        <v>119</v>
      </c>
      <c r="Q168" s="128">
        <f t="shared" si="40"/>
        <v>133</v>
      </c>
      <c r="R168" s="128">
        <f t="shared" si="41"/>
        <v>7.0000000000000142</v>
      </c>
      <c r="S168" s="1">
        <f t="shared" si="32"/>
        <v>1</v>
      </c>
      <c r="T168" s="128">
        <f t="shared" si="44"/>
        <v>-1.9999999199999792</v>
      </c>
      <c r="U168" s="128">
        <f t="shared" si="33"/>
        <v>633.00000016000001</v>
      </c>
      <c r="W168" s="128">
        <f t="shared" si="42"/>
        <v>133</v>
      </c>
      <c r="X168" s="128">
        <f t="shared" si="43"/>
        <v>131.00000008000001</v>
      </c>
    </row>
    <row r="169" spans="1:24">
      <c r="A169" s="22">
        <v>43665</v>
      </c>
      <c r="B169" s="130">
        <v>1</v>
      </c>
      <c r="C169" s="130">
        <v>0</v>
      </c>
      <c r="D169" s="130">
        <v>0</v>
      </c>
      <c r="E169" s="130">
        <v>0</v>
      </c>
      <c r="F169" s="130">
        <v>1</v>
      </c>
      <c r="G169" s="130">
        <v>1</v>
      </c>
      <c r="J169" s="57" t="s">
        <v>177</v>
      </c>
      <c r="K169" s="86">
        <f t="shared" si="34"/>
        <v>43665</v>
      </c>
      <c r="L169" s="128">
        <f t="shared" si="35"/>
        <v>125.00000008000001</v>
      </c>
      <c r="M169" s="128">
        <f t="shared" si="36"/>
        <v>46.000000080000007</v>
      </c>
      <c r="N169" s="128">
        <f t="shared" si="37"/>
        <v>125.99999999999999</v>
      </c>
      <c r="O169" s="128">
        <f t="shared" si="38"/>
        <v>85</v>
      </c>
      <c r="P169" s="128">
        <f t="shared" si="39"/>
        <v>120</v>
      </c>
      <c r="Q169" s="128">
        <f t="shared" si="40"/>
        <v>134</v>
      </c>
      <c r="R169" s="128">
        <f t="shared" si="41"/>
        <v>8.0000000000000142</v>
      </c>
      <c r="S169" s="1">
        <f t="shared" si="32"/>
        <v>1</v>
      </c>
      <c r="T169" s="128">
        <f t="shared" si="44"/>
        <v>-0.99999991999997917</v>
      </c>
      <c r="U169" s="128">
        <f t="shared" si="33"/>
        <v>636.00000016000001</v>
      </c>
      <c r="W169" s="128">
        <f t="shared" si="42"/>
        <v>134</v>
      </c>
      <c r="X169" s="128">
        <f t="shared" si="43"/>
        <v>131.00000008000001</v>
      </c>
    </row>
    <row r="170" spans="1:24">
      <c r="A170" s="22">
        <v>43672</v>
      </c>
      <c r="B170" s="130">
        <v>1</v>
      </c>
      <c r="C170" s="130">
        <v>0</v>
      </c>
      <c r="D170" s="130">
        <v>1</v>
      </c>
      <c r="E170" s="130">
        <v>1</v>
      </c>
      <c r="F170" s="130">
        <v>1</v>
      </c>
      <c r="G170" s="130">
        <v>0</v>
      </c>
      <c r="K170" s="86">
        <f t="shared" si="34"/>
        <v>43672</v>
      </c>
      <c r="L170" s="128">
        <f t="shared" si="35"/>
        <v>126.00000008000001</v>
      </c>
      <c r="M170" s="128">
        <f t="shared" si="36"/>
        <v>46.000000080000007</v>
      </c>
      <c r="N170" s="128">
        <f t="shared" si="37"/>
        <v>126.99999999999999</v>
      </c>
      <c r="O170" s="128">
        <f t="shared" si="38"/>
        <v>86</v>
      </c>
      <c r="P170" s="128">
        <f t="shared" si="39"/>
        <v>121</v>
      </c>
      <c r="Q170" s="128">
        <f t="shared" si="40"/>
        <v>134</v>
      </c>
      <c r="R170" s="128">
        <f t="shared" si="41"/>
        <v>7.0000000000000142</v>
      </c>
      <c r="S170" s="1">
        <f t="shared" si="32"/>
        <v>1</v>
      </c>
      <c r="T170" s="128">
        <f t="shared" si="44"/>
        <v>-0.99999991999997917</v>
      </c>
      <c r="U170" s="128">
        <f t="shared" si="33"/>
        <v>640.00000016000001</v>
      </c>
      <c r="W170" s="128">
        <f t="shared" si="42"/>
        <v>134</v>
      </c>
      <c r="X170" s="128">
        <f t="shared" si="43"/>
        <v>132.00000008000001</v>
      </c>
    </row>
    <row r="171" spans="1:24">
      <c r="A171" s="22">
        <v>43679</v>
      </c>
      <c r="B171" s="130">
        <v>1</v>
      </c>
      <c r="C171" s="130">
        <v>0</v>
      </c>
      <c r="D171" s="130">
        <v>1</v>
      </c>
      <c r="E171" s="130">
        <v>0</v>
      </c>
      <c r="F171" s="130">
        <v>0</v>
      </c>
      <c r="G171" s="130">
        <v>1</v>
      </c>
      <c r="K171" s="86">
        <f t="shared" si="34"/>
        <v>43679</v>
      </c>
      <c r="L171" s="128">
        <f t="shared" si="35"/>
        <v>127.00000008000001</v>
      </c>
      <c r="M171" s="128">
        <f t="shared" si="36"/>
        <v>46.000000080000007</v>
      </c>
      <c r="N171" s="128">
        <f t="shared" si="37"/>
        <v>127.99999999999999</v>
      </c>
      <c r="O171" s="128">
        <f t="shared" si="38"/>
        <v>86</v>
      </c>
      <c r="P171" s="128">
        <f t="shared" si="39"/>
        <v>121</v>
      </c>
      <c r="Q171" s="128">
        <f t="shared" si="40"/>
        <v>135</v>
      </c>
      <c r="R171" s="128">
        <f t="shared" si="41"/>
        <v>7.0000000000000142</v>
      </c>
      <c r="S171" s="1">
        <f t="shared" si="32"/>
        <v>1</v>
      </c>
      <c r="T171" s="128">
        <f t="shared" si="44"/>
        <v>-0.99999991999997917</v>
      </c>
      <c r="U171" s="128">
        <f t="shared" si="33"/>
        <v>643.00000016000001</v>
      </c>
      <c r="W171" s="128">
        <f t="shared" si="42"/>
        <v>135</v>
      </c>
      <c r="X171" s="128">
        <f t="shared" si="43"/>
        <v>132.00000008000001</v>
      </c>
    </row>
    <row r="172" spans="1:24">
      <c r="A172" s="22">
        <v>43686</v>
      </c>
      <c r="B172" s="130">
        <v>1</v>
      </c>
      <c r="C172" s="130">
        <v>0</v>
      </c>
      <c r="D172" s="130">
        <v>1</v>
      </c>
      <c r="E172" s="130">
        <v>1</v>
      </c>
      <c r="F172" s="130">
        <v>1</v>
      </c>
      <c r="G172" s="130">
        <v>1</v>
      </c>
      <c r="J172" s="57" t="s">
        <v>178</v>
      </c>
      <c r="K172" s="86">
        <f t="shared" si="34"/>
        <v>43686</v>
      </c>
      <c r="L172" s="128">
        <f t="shared" si="35"/>
        <v>128.00000008000001</v>
      </c>
      <c r="M172" s="128">
        <f t="shared" si="36"/>
        <v>46.000000080000007</v>
      </c>
      <c r="N172" s="128">
        <f t="shared" si="37"/>
        <v>129</v>
      </c>
      <c r="O172" s="128">
        <f t="shared" si="38"/>
        <v>87</v>
      </c>
      <c r="P172" s="128">
        <f t="shared" si="39"/>
        <v>122</v>
      </c>
      <c r="Q172" s="128">
        <f t="shared" si="40"/>
        <v>136</v>
      </c>
      <c r="R172" s="128">
        <f t="shared" si="41"/>
        <v>7</v>
      </c>
      <c r="S172" s="1">
        <f t="shared" si="32"/>
        <v>1</v>
      </c>
      <c r="T172" s="128">
        <f t="shared" si="44"/>
        <v>-0.99999991999999338</v>
      </c>
      <c r="U172" s="128">
        <f t="shared" si="33"/>
        <v>648.00000016000001</v>
      </c>
      <c r="W172" s="128">
        <f t="shared" si="42"/>
        <v>136</v>
      </c>
      <c r="X172" s="128">
        <f t="shared" si="43"/>
        <v>133.00000008000001</v>
      </c>
    </row>
    <row r="173" spans="1:24">
      <c r="A173" s="22">
        <v>43693</v>
      </c>
      <c r="B173" s="130">
        <v>1</v>
      </c>
      <c r="C173" s="130">
        <v>0</v>
      </c>
      <c r="D173" s="130">
        <v>1</v>
      </c>
      <c r="E173" s="130">
        <v>0</v>
      </c>
      <c r="F173" s="130">
        <v>1</v>
      </c>
      <c r="G173" s="130">
        <v>1</v>
      </c>
      <c r="J173" s="57" t="s">
        <v>179</v>
      </c>
      <c r="K173" s="86">
        <f t="shared" si="34"/>
        <v>43693</v>
      </c>
      <c r="L173" s="128">
        <f t="shared" si="35"/>
        <v>129.00000008000001</v>
      </c>
      <c r="M173" s="128">
        <f t="shared" si="36"/>
        <v>46.000000080000007</v>
      </c>
      <c r="N173" s="128">
        <f t="shared" si="37"/>
        <v>130</v>
      </c>
      <c r="O173" s="128">
        <f t="shared" si="38"/>
        <v>87</v>
      </c>
      <c r="P173" s="128">
        <f t="shared" si="39"/>
        <v>123</v>
      </c>
      <c r="Q173" s="128">
        <f t="shared" si="40"/>
        <v>137</v>
      </c>
      <c r="R173" s="128">
        <f t="shared" si="41"/>
        <v>7</v>
      </c>
      <c r="S173" s="1">
        <f t="shared" si="32"/>
        <v>1</v>
      </c>
      <c r="T173" s="128">
        <f t="shared" si="44"/>
        <v>-0.99999991999999338</v>
      </c>
      <c r="U173" s="128">
        <f t="shared" si="33"/>
        <v>652.00000016000001</v>
      </c>
      <c r="W173" s="128">
        <f t="shared" si="42"/>
        <v>137</v>
      </c>
      <c r="X173" s="128">
        <f t="shared" si="43"/>
        <v>133.00000008000001</v>
      </c>
    </row>
    <row r="174" spans="1:24">
      <c r="A174" s="22">
        <v>43700</v>
      </c>
      <c r="B174" s="130">
        <v>1</v>
      </c>
      <c r="C174" s="130">
        <v>0</v>
      </c>
      <c r="D174" s="130">
        <v>1</v>
      </c>
      <c r="E174" s="130">
        <v>0</v>
      </c>
      <c r="F174" s="130">
        <v>1</v>
      </c>
      <c r="G174" s="130">
        <v>1</v>
      </c>
      <c r="J174" s="57" t="s">
        <v>180</v>
      </c>
      <c r="K174" s="86">
        <f t="shared" si="34"/>
        <v>43700</v>
      </c>
      <c r="L174" s="128">
        <f t="shared" si="35"/>
        <v>130.00000008000001</v>
      </c>
      <c r="M174" s="128">
        <f t="shared" si="36"/>
        <v>46.000000080000007</v>
      </c>
      <c r="N174" s="128">
        <f t="shared" si="37"/>
        <v>131</v>
      </c>
      <c r="O174" s="128">
        <f t="shared" si="38"/>
        <v>87</v>
      </c>
      <c r="P174" s="128">
        <f t="shared" si="39"/>
        <v>124</v>
      </c>
      <c r="Q174" s="128">
        <f t="shared" si="40"/>
        <v>138</v>
      </c>
      <c r="R174" s="128">
        <f t="shared" si="41"/>
        <v>7</v>
      </c>
      <c r="S174" s="1">
        <f t="shared" si="32"/>
        <v>1</v>
      </c>
      <c r="T174" s="128">
        <f t="shared" si="44"/>
        <v>-0.99999991999999338</v>
      </c>
      <c r="U174" s="128">
        <f t="shared" si="33"/>
        <v>656.00000016000001</v>
      </c>
      <c r="W174" s="128">
        <f t="shared" si="42"/>
        <v>138</v>
      </c>
      <c r="X174" s="128">
        <f t="shared" si="43"/>
        <v>133.00000008000001</v>
      </c>
    </row>
    <row r="175" spans="1:24">
      <c r="A175" s="22">
        <v>43707</v>
      </c>
      <c r="B175" s="130">
        <v>0</v>
      </c>
      <c r="C175" s="130">
        <v>0</v>
      </c>
      <c r="D175" s="130">
        <v>1</v>
      </c>
      <c r="E175" s="130">
        <v>1</v>
      </c>
      <c r="F175" s="130">
        <v>1</v>
      </c>
      <c r="G175" s="130">
        <v>1</v>
      </c>
      <c r="J175" s="57" t="s">
        <v>181</v>
      </c>
      <c r="K175" s="86">
        <f t="shared" si="34"/>
        <v>43707</v>
      </c>
      <c r="L175" s="128">
        <f t="shared" si="35"/>
        <v>130.00000008000001</v>
      </c>
      <c r="M175" s="128">
        <f t="shared" si="36"/>
        <v>46.000000080000007</v>
      </c>
      <c r="N175" s="128">
        <f t="shared" si="37"/>
        <v>132</v>
      </c>
      <c r="O175" s="128">
        <f t="shared" si="38"/>
        <v>88</v>
      </c>
      <c r="P175" s="128">
        <f t="shared" si="39"/>
        <v>125</v>
      </c>
      <c r="Q175" s="128">
        <f t="shared" si="40"/>
        <v>139</v>
      </c>
      <c r="R175" s="128">
        <f t="shared" si="41"/>
        <v>7</v>
      </c>
      <c r="S175" s="1">
        <f t="shared" ref="S175:S233" si="45">IF(Q175&gt;L175,1,0)</f>
        <v>1</v>
      </c>
      <c r="T175" s="128">
        <f t="shared" si="44"/>
        <v>-1.9999999199999934</v>
      </c>
      <c r="U175" s="128">
        <f t="shared" si="33"/>
        <v>660.00000016000001</v>
      </c>
      <c r="W175" s="128">
        <f t="shared" si="42"/>
        <v>139</v>
      </c>
      <c r="X175" s="128">
        <f t="shared" si="43"/>
        <v>134.00000008000001</v>
      </c>
    </row>
    <row r="176" spans="1:24">
      <c r="A176" s="22">
        <v>43714</v>
      </c>
      <c r="B176" s="130">
        <v>0</v>
      </c>
      <c r="C176" s="130">
        <v>0</v>
      </c>
      <c r="D176" s="130">
        <v>1</v>
      </c>
      <c r="E176" s="130">
        <v>0</v>
      </c>
      <c r="F176" s="130">
        <v>0</v>
      </c>
      <c r="G176" s="130">
        <v>1</v>
      </c>
      <c r="J176" s="57" t="s">
        <v>182</v>
      </c>
      <c r="K176" s="86">
        <f t="shared" si="34"/>
        <v>43714</v>
      </c>
      <c r="L176" s="128">
        <f t="shared" si="35"/>
        <v>130.00000008000001</v>
      </c>
      <c r="M176" s="128">
        <f t="shared" si="36"/>
        <v>46.000000080000007</v>
      </c>
      <c r="N176" s="128">
        <f t="shared" si="37"/>
        <v>133</v>
      </c>
      <c r="O176" s="128">
        <f t="shared" si="38"/>
        <v>88</v>
      </c>
      <c r="P176" s="128">
        <f t="shared" si="39"/>
        <v>125</v>
      </c>
      <c r="Q176" s="128">
        <f t="shared" si="40"/>
        <v>140</v>
      </c>
      <c r="R176" s="128">
        <f t="shared" si="41"/>
        <v>7</v>
      </c>
      <c r="S176" s="1">
        <f t="shared" si="45"/>
        <v>1</v>
      </c>
      <c r="T176" s="128">
        <f t="shared" si="44"/>
        <v>-2.9999999199999934</v>
      </c>
      <c r="U176" s="128">
        <f t="shared" si="33"/>
        <v>662.00000016000001</v>
      </c>
      <c r="W176" s="128">
        <f t="shared" si="42"/>
        <v>140</v>
      </c>
      <c r="X176" s="128">
        <f t="shared" si="43"/>
        <v>134.00000008000001</v>
      </c>
    </row>
    <row r="177" spans="1:24">
      <c r="A177" s="22">
        <v>43721</v>
      </c>
      <c r="B177" s="130">
        <v>1</v>
      </c>
      <c r="C177" s="130">
        <v>0</v>
      </c>
      <c r="D177" s="130">
        <v>1</v>
      </c>
      <c r="E177" s="130">
        <v>0</v>
      </c>
      <c r="F177" s="130">
        <v>1</v>
      </c>
      <c r="G177" s="130">
        <v>0</v>
      </c>
      <c r="K177" s="86">
        <f t="shared" si="34"/>
        <v>43721</v>
      </c>
      <c r="L177" s="128">
        <f t="shared" si="35"/>
        <v>131.00000008000001</v>
      </c>
      <c r="M177" s="128">
        <f t="shared" si="36"/>
        <v>46.000000080000007</v>
      </c>
      <c r="N177" s="128">
        <f t="shared" si="37"/>
        <v>134</v>
      </c>
      <c r="O177" s="128">
        <f t="shared" si="38"/>
        <v>88</v>
      </c>
      <c r="P177" s="128">
        <f t="shared" si="39"/>
        <v>126</v>
      </c>
      <c r="Q177" s="128">
        <f t="shared" si="40"/>
        <v>140</v>
      </c>
      <c r="R177" s="128">
        <f t="shared" si="41"/>
        <v>6</v>
      </c>
      <c r="S177" s="1">
        <f t="shared" si="45"/>
        <v>1</v>
      </c>
      <c r="T177" s="128">
        <f t="shared" si="44"/>
        <v>-2.9999999199999934</v>
      </c>
      <c r="U177" s="128">
        <f t="shared" si="33"/>
        <v>665.00000016000001</v>
      </c>
      <c r="W177" s="128">
        <f t="shared" si="42"/>
        <v>140</v>
      </c>
      <c r="X177" s="128">
        <f t="shared" si="43"/>
        <v>134.00000008000001</v>
      </c>
    </row>
    <row r="178" spans="1:24">
      <c r="A178" s="22">
        <v>43728</v>
      </c>
      <c r="B178" s="130">
        <v>1</v>
      </c>
      <c r="C178" s="130">
        <v>0</v>
      </c>
      <c r="D178" s="130">
        <v>0</v>
      </c>
      <c r="E178" s="130">
        <v>0</v>
      </c>
      <c r="F178" s="130">
        <v>1</v>
      </c>
      <c r="G178" s="130">
        <v>1</v>
      </c>
      <c r="J178" s="57" t="s">
        <v>183</v>
      </c>
      <c r="K178" s="86">
        <f t="shared" si="34"/>
        <v>43728</v>
      </c>
      <c r="L178" s="128">
        <f t="shared" si="35"/>
        <v>132.00000008000001</v>
      </c>
      <c r="M178" s="128">
        <f t="shared" si="36"/>
        <v>46.000000080000007</v>
      </c>
      <c r="N178" s="128">
        <f t="shared" si="37"/>
        <v>134</v>
      </c>
      <c r="O178" s="128">
        <f t="shared" si="38"/>
        <v>88</v>
      </c>
      <c r="P178" s="128">
        <f t="shared" si="39"/>
        <v>127</v>
      </c>
      <c r="Q178" s="128">
        <f t="shared" si="40"/>
        <v>141</v>
      </c>
      <c r="R178" s="128">
        <f t="shared" si="41"/>
        <v>7</v>
      </c>
      <c r="S178" s="1">
        <f t="shared" si="45"/>
        <v>1</v>
      </c>
      <c r="T178" s="128">
        <f t="shared" si="44"/>
        <v>-1.9999999199999934</v>
      </c>
      <c r="U178" s="128">
        <f t="shared" si="33"/>
        <v>668.00000016000001</v>
      </c>
      <c r="W178" s="128">
        <f t="shared" si="42"/>
        <v>141</v>
      </c>
      <c r="X178" s="128">
        <f t="shared" si="43"/>
        <v>134.00000008000001</v>
      </c>
    </row>
    <row r="179" spans="1:24">
      <c r="A179" s="22">
        <v>43735</v>
      </c>
      <c r="B179" s="130">
        <v>1</v>
      </c>
      <c r="C179" s="130">
        <v>0</v>
      </c>
      <c r="D179" s="130">
        <v>1</v>
      </c>
      <c r="E179" s="130">
        <v>1</v>
      </c>
      <c r="F179" s="130">
        <v>1</v>
      </c>
      <c r="G179" s="130">
        <v>1</v>
      </c>
      <c r="J179" s="57" t="s">
        <v>184</v>
      </c>
      <c r="K179" s="86">
        <f t="shared" si="34"/>
        <v>43735</v>
      </c>
      <c r="L179" s="128">
        <f t="shared" si="35"/>
        <v>133.00000008000001</v>
      </c>
      <c r="M179" s="128">
        <f t="shared" si="36"/>
        <v>46.000000080000007</v>
      </c>
      <c r="N179" s="128">
        <f t="shared" si="37"/>
        <v>135</v>
      </c>
      <c r="O179" s="128">
        <f t="shared" si="38"/>
        <v>89</v>
      </c>
      <c r="P179" s="128">
        <f t="shared" si="39"/>
        <v>128</v>
      </c>
      <c r="Q179" s="128">
        <f t="shared" si="40"/>
        <v>142</v>
      </c>
      <c r="R179" s="128">
        <f t="shared" si="41"/>
        <v>7</v>
      </c>
      <c r="S179" s="1">
        <f t="shared" si="45"/>
        <v>1</v>
      </c>
      <c r="T179" s="128">
        <f t="shared" si="44"/>
        <v>-1.9999999199999934</v>
      </c>
      <c r="U179" s="128">
        <f t="shared" si="33"/>
        <v>673.00000016000001</v>
      </c>
      <c r="W179" s="128">
        <f t="shared" si="42"/>
        <v>142</v>
      </c>
      <c r="X179" s="128">
        <f t="shared" si="43"/>
        <v>135.00000008000001</v>
      </c>
    </row>
    <row r="180" spans="1:24">
      <c r="A180" s="22">
        <v>43742</v>
      </c>
      <c r="B180" s="130">
        <v>1</v>
      </c>
      <c r="C180" s="130">
        <v>0</v>
      </c>
      <c r="D180" s="130">
        <v>1</v>
      </c>
      <c r="E180" s="130">
        <v>0</v>
      </c>
      <c r="F180" s="130">
        <v>1</v>
      </c>
      <c r="G180" s="130">
        <v>1</v>
      </c>
      <c r="J180" s="57" t="s">
        <v>185</v>
      </c>
      <c r="K180" s="86">
        <f t="shared" si="34"/>
        <v>43742</v>
      </c>
      <c r="L180" s="128">
        <f t="shared" si="35"/>
        <v>134.00000008000001</v>
      </c>
      <c r="M180" s="128">
        <f t="shared" si="36"/>
        <v>46.000000080000007</v>
      </c>
      <c r="N180" s="128">
        <f t="shared" si="37"/>
        <v>136</v>
      </c>
      <c r="O180" s="128">
        <f t="shared" si="38"/>
        <v>89</v>
      </c>
      <c r="P180" s="128">
        <f t="shared" si="39"/>
        <v>129</v>
      </c>
      <c r="Q180" s="128">
        <f t="shared" si="40"/>
        <v>143</v>
      </c>
      <c r="R180" s="128">
        <f t="shared" si="41"/>
        <v>7</v>
      </c>
      <c r="S180" s="1">
        <f t="shared" si="45"/>
        <v>1</v>
      </c>
      <c r="T180" s="128">
        <f t="shared" si="44"/>
        <v>-1.9999999199999934</v>
      </c>
      <c r="U180" s="128">
        <f t="shared" si="33"/>
        <v>677.00000016000001</v>
      </c>
      <c r="W180" s="128">
        <f t="shared" si="42"/>
        <v>143</v>
      </c>
      <c r="X180" s="128">
        <f t="shared" si="43"/>
        <v>135.00000008000001</v>
      </c>
    </row>
    <row r="181" spans="1:24">
      <c r="A181" s="22">
        <v>43749</v>
      </c>
      <c r="B181" s="130">
        <v>1</v>
      </c>
      <c r="C181" s="130">
        <v>0</v>
      </c>
      <c r="D181" s="130">
        <v>1</v>
      </c>
      <c r="E181" s="130">
        <v>1</v>
      </c>
      <c r="F181" s="130">
        <v>0</v>
      </c>
      <c r="G181" s="130">
        <v>1</v>
      </c>
      <c r="J181" s="57" t="s">
        <v>186</v>
      </c>
      <c r="K181" s="86">
        <f t="shared" si="34"/>
        <v>43749</v>
      </c>
      <c r="L181" s="128">
        <f t="shared" si="35"/>
        <v>135.00000008000001</v>
      </c>
      <c r="M181" s="128">
        <f t="shared" si="36"/>
        <v>46.000000080000007</v>
      </c>
      <c r="N181" s="128">
        <f t="shared" si="37"/>
        <v>137</v>
      </c>
      <c r="O181" s="128">
        <f t="shared" si="38"/>
        <v>90</v>
      </c>
      <c r="P181" s="128">
        <f t="shared" si="39"/>
        <v>129</v>
      </c>
      <c r="Q181" s="128">
        <f t="shared" si="40"/>
        <v>144</v>
      </c>
      <c r="R181" s="128">
        <f t="shared" si="41"/>
        <v>7</v>
      </c>
      <c r="S181" s="1">
        <f t="shared" si="45"/>
        <v>1</v>
      </c>
      <c r="T181" s="128">
        <f t="shared" si="44"/>
        <v>-1.9999999199999934</v>
      </c>
      <c r="U181" s="128">
        <f t="shared" si="33"/>
        <v>681.00000016000001</v>
      </c>
      <c r="W181" s="128">
        <f t="shared" si="42"/>
        <v>144</v>
      </c>
      <c r="X181" s="128">
        <f t="shared" si="43"/>
        <v>136.00000008000001</v>
      </c>
    </row>
    <row r="182" spans="1:24">
      <c r="A182" s="22">
        <v>43756</v>
      </c>
      <c r="B182" s="130">
        <v>0</v>
      </c>
      <c r="C182" s="130">
        <v>0</v>
      </c>
      <c r="D182" s="130">
        <v>1</v>
      </c>
      <c r="E182" s="130">
        <v>0</v>
      </c>
      <c r="F182" s="130">
        <v>1</v>
      </c>
      <c r="G182" s="130">
        <v>1</v>
      </c>
      <c r="J182" s="57" t="s">
        <v>187</v>
      </c>
      <c r="K182" s="86">
        <f t="shared" si="34"/>
        <v>43756</v>
      </c>
      <c r="L182" s="128">
        <f t="shared" si="35"/>
        <v>135.00000008000001</v>
      </c>
      <c r="M182" s="128">
        <f t="shared" si="36"/>
        <v>46.000000080000007</v>
      </c>
      <c r="N182" s="128">
        <f t="shared" si="37"/>
        <v>138</v>
      </c>
      <c r="O182" s="128">
        <f t="shared" si="38"/>
        <v>90</v>
      </c>
      <c r="P182" s="128">
        <f t="shared" si="39"/>
        <v>130</v>
      </c>
      <c r="Q182" s="128">
        <f t="shared" si="40"/>
        <v>145</v>
      </c>
      <c r="R182" s="128">
        <f t="shared" si="41"/>
        <v>7</v>
      </c>
      <c r="S182" s="1">
        <f t="shared" si="45"/>
        <v>1</v>
      </c>
      <c r="T182" s="128">
        <f t="shared" si="44"/>
        <v>-2.9999999199999934</v>
      </c>
      <c r="U182" s="128">
        <f t="shared" si="33"/>
        <v>684.00000016000001</v>
      </c>
      <c r="W182" s="128">
        <f t="shared" si="42"/>
        <v>145</v>
      </c>
      <c r="X182" s="128">
        <f t="shared" si="43"/>
        <v>136.00000008000001</v>
      </c>
    </row>
    <row r="183" spans="1:24">
      <c r="A183" s="22">
        <v>43763</v>
      </c>
      <c r="B183" s="130">
        <v>1</v>
      </c>
      <c r="C183" s="130">
        <v>0</v>
      </c>
      <c r="D183" s="130">
        <v>1</v>
      </c>
      <c r="E183" s="130">
        <v>0</v>
      </c>
      <c r="F183" s="130">
        <v>1</v>
      </c>
      <c r="G183" s="130">
        <v>0</v>
      </c>
      <c r="K183" s="86">
        <f t="shared" si="34"/>
        <v>43763</v>
      </c>
      <c r="L183" s="128">
        <f t="shared" si="35"/>
        <v>136.00000008000001</v>
      </c>
      <c r="M183" s="128">
        <f t="shared" si="36"/>
        <v>46.000000080000007</v>
      </c>
      <c r="N183" s="128">
        <f t="shared" si="37"/>
        <v>139</v>
      </c>
      <c r="O183" s="128">
        <f t="shared" si="38"/>
        <v>90</v>
      </c>
      <c r="P183" s="128">
        <f t="shared" si="39"/>
        <v>131</v>
      </c>
      <c r="Q183" s="128">
        <f t="shared" si="40"/>
        <v>145</v>
      </c>
      <c r="R183" s="128">
        <f t="shared" si="41"/>
        <v>6</v>
      </c>
      <c r="S183" s="1">
        <f t="shared" si="45"/>
        <v>1</v>
      </c>
      <c r="T183" s="128">
        <f t="shared" si="44"/>
        <v>-2.9999999199999934</v>
      </c>
      <c r="U183" s="128">
        <f t="shared" si="33"/>
        <v>687.00000016000001</v>
      </c>
      <c r="W183" s="128">
        <f t="shared" si="42"/>
        <v>145</v>
      </c>
      <c r="X183" s="128">
        <f t="shared" si="43"/>
        <v>136.00000008000001</v>
      </c>
    </row>
    <row r="184" spans="1:24">
      <c r="A184" s="22">
        <v>43770</v>
      </c>
      <c r="B184" s="130">
        <v>1</v>
      </c>
      <c r="C184" s="130">
        <v>0</v>
      </c>
      <c r="D184" s="130">
        <v>1</v>
      </c>
      <c r="E184" s="130">
        <v>0</v>
      </c>
      <c r="F184" s="130">
        <v>1</v>
      </c>
      <c r="G184" s="130">
        <v>1</v>
      </c>
      <c r="J184" s="57" t="s">
        <v>188</v>
      </c>
      <c r="K184" s="86">
        <f t="shared" si="34"/>
        <v>43770</v>
      </c>
      <c r="L184" s="128">
        <f t="shared" si="35"/>
        <v>137.00000008000001</v>
      </c>
      <c r="M184" s="128">
        <f t="shared" si="36"/>
        <v>46.000000080000007</v>
      </c>
      <c r="N184" s="128">
        <f t="shared" si="37"/>
        <v>140</v>
      </c>
      <c r="O184" s="128">
        <f t="shared" si="38"/>
        <v>90</v>
      </c>
      <c r="P184" s="128">
        <f t="shared" si="39"/>
        <v>132</v>
      </c>
      <c r="Q184" s="128">
        <f t="shared" si="40"/>
        <v>146</v>
      </c>
      <c r="R184" s="128">
        <f t="shared" si="41"/>
        <v>6</v>
      </c>
      <c r="S184" s="1">
        <f t="shared" si="45"/>
        <v>1</v>
      </c>
      <c r="T184" s="128">
        <f t="shared" si="44"/>
        <v>-2.9999999199999934</v>
      </c>
      <c r="U184" s="128">
        <f t="shared" si="33"/>
        <v>691.00000016000001</v>
      </c>
      <c r="W184" s="128">
        <f t="shared" si="42"/>
        <v>146</v>
      </c>
      <c r="X184" s="128">
        <f t="shared" si="43"/>
        <v>136.00000008000001</v>
      </c>
    </row>
    <row r="185" spans="1:24">
      <c r="A185" s="22">
        <v>43777</v>
      </c>
      <c r="B185" s="130">
        <v>0</v>
      </c>
      <c r="C185" s="130">
        <v>0</v>
      </c>
      <c r="D185" s="130">
        <v>1</v>
      </c>
      <c r="E185" s="130">
        <v>0</v>
      </c>
      <c r="F185" s="130">
        <v>1</v>
      </c>
      <c r="G185" s="130">
        <v>1</v>
      </c>
      <c r="J185" s="57" t="s">
        <v>189</v>
      </c>
      <c r="K185" s="86">
        <f t="shared" si="34"/>
        <v>43777</v>
      </c>
      <c r="L185" s="128">
        <f t="shared" si="35"/>
        <v>137.00000008000001</v>
      </c>
      <c r="M185" s="128">
        <f t="shared" si="36"/>
        <v>46.000000080000007</v>
      </c>
      <c r="N185" s="128">
        <f t="shared" si="37"/>
        <v>141</v>
      </c>
      <c r="O185" s="128">
        <f t="shared" si="38"/>
        <v>90</v>
      </c>
      <c r="P185" s="128">
        <f t="shared" si="39"/>
        <v>133</v>
      </c>
      <c r="Q185" s="128">
        <f t="shared" si="40"/>
        <v>147</v>
      </c>
      <c r="R185" s="128">
        <f t="shared" si="41"/>
        <v>6</v>
      </c>
      <c r="S185" s="1">
        <f t="shared" si="45"/>
        <v>1</v>
      </c>
      <c r="T185" s="128">
        <f t="shared" si="44"/>
        <v>-3.9999999199999934</v>
      </c>
      <c r="U185" s="128">
        <f t="shared" si="33"/>
        <v>694.00000016000001</v>
      </c>
      <c r="W185" s="128">
        <f t="shared" si="42"/>
        <v>147</v>
      </c>
      <c r="X185" s="128">
        <f t="shared" si="43"/>
        <v>136.00000008000001</v>
      </c>
    </row>
    <row r="186" spans="1:24">
      <c r="A186" s="22">
        <v>43784</v>
      </c>
      <c r="B186" s="130">
        <v>1</v>
      </c>
      <c r="C186" s="130">
        <v>0</v>
      </c>
      <c r="D186" s="130">
        <v>0</v>
      </c>
      <c r="E186" s="130">
        <v>1</v>
      </c>
      <c r="F186" s="130">
        <v>1</v>
      </c>
      <c r="G186" s="130">
        <v>1</v>
      </c>
      <c r="J186" s="57" t="s">
        <v>190</v>
      </c>
      <c r="K186" s="86">
        <f t="shared" si="34"/>
        <v>43784</v>
      </c>
      <c r="L186" s="128">
        <f t="shared" si="35"/>
        <v>138.00000008000001</v>
      </c>
      <c r="M186" s="128">
        <f t="shared" si="36"/>
        <v>46.000000080000007</v>
      </c>
      <c r="N186" s="128">
        <f t="shared" si="37"/>
        <v>141</v>
      </c>
      <c r="O186" s="128">
        <f t="shared" si="38"/>
        <v>91</v>
      </c>
      <c r="P186" s="128">
        <f t="shared" si="39"/>
        <v>134</v>
      </c>
      <c r="Q186" s="128">
        <f t="shared" si="40"/>
        <v>148</v>
      </c>
      <c r="R186" s="128">
        <f t="shared" si="41"/>
        <v>7</v>
      </c>
      <c r="S186" s="1">
        <f t="shared" si="45"/>
        <v>1</v>
      </c>
      <c r="T186" s="128">
        <f t="shared" si="44"/>
        <v>-2.9999999199999934</v>
      </c>
      <c r="U186" s="128">
        <f t="shared" si="33"/>
        <v>698.00000016000001</v>
      </c>
      <c r="W186" s="128">
        <f t="shared" si="42"/>
        <v>148</v>
      </c>
      <c r="X186" s="128">
        <f t="shared" si="43"/>
        <v>137.00000008000001</v>
      </c>
    </row>
    <row r="187" spans="1:24">
      <c r="A187" s="22">
        <v>43791</v>
      </c>
      <c r="B187" s="130">
        <v>1</v>
      </c>
      <c r="C187" s="130">
        <v>0</v>
      </c>
      <c r="D187" s="130">
        <v>1</v>
      </c>
      <c r="E187" s="130">
        <v>0</v>
      </c>
      <c r="F187" s="130">
        <v>1</v>
      </c>
      <c r="G187" s="130">
        <v>1</v>
      </c>
      <c r="J187" s="57" t="s">
        <v>191</v>
      </c>
      <c r="K187" s="86">
        <f t="shared" si="34"/>
        <v>43791</v>
      </c>
      <c r="L187" s="128">
        <f t="shared" si="35"/>
        <v>139.00000008000001</v>
      </c>
      <c r="M187" s="128">
        <f t="shared" si="36"/>
        <v>46.000000080000007</v>
      </c>
      <c r="N187" s="128">
        <f t="shared" si="37"/>
        <v>142</v>
      </c>
      <c r="O187" s="128">
        <f t="shared" si="38"/>
        <v>91</v>
      </c>
      <c r="P187" s="128">
        <f t="shared" si="39"/>
        <v>135</v>
      </c>
      <c r="Q187" s="128">
        <f t="shared" si="40"/>
        <v>149</v>
      </c>
      <c r="R187" s="128">
        <f t="shared" si="41"/>
        <v>7</v>
      </c>
      <c r="S187" s="1">
        <f t="shared" si="45"/>
        <v>1</v>
      </c>
      <c r="T187" s="128">
        <f t="shared" si="44"/>
        <v>-2.9999999199999934</v>
      </c>
      <c r="U187" s="128">
        <f t="shared" si="33"/>
        <v>702.00000016000001</v>
      </c>
      <c r="W187" s="128">
        <f t="shared" si="42"/>
        <v>149</v>
      </c>
      <c r="X187" s="128">
        <f t="shared" si="43"/>
        <v>137.00000008000001</v>
      </c>
    </row>
    <row r="188" spans="1:24">
      <c r="A188" s="22">
        <v>43798</v>
      </c>
      <c r="B188" s="130">
        <v>1</v>
      </c>
      <c r="C188" s="130">
        <v>0</v>
      </c>
      <c r="D188" s="130">
        <v>1</v>
      </c>
      <c r="E188" s="130">
        <v>0</v>
      </c>
      <c r="F188" s="130">
        <v>1</v>
      </c>
      <c r="G188" s="130">
        <v>1</v>
      </c>
      <c r="K188" s="86">
        <f t="shared" si="34"/>
        <v>43798</v>
      </c>
      <c r="L188" s="128">
        <f t="shared" si="35"/>
        <v>140.00000008000001</v>
      </c>
      <c r="M188" s="128">
        <f t="shared" si="36"/>
        <v>46.000000080000007</v>
      </c>
      <c r="N188" s="128">
        <f t="shared" si="37"/>
        <v>143</v>
      </c>
      <c r="O188" s="128">
        <f t="shared" si="38"/>
        <v>91</v>
      </c>
      <c r="P188" s="128">
        <f t="shared" si="39"/>
        <v>136</v>
      </c>
      <c r="Q188" s="128">
        <f t="shared" si="40"/>
        <v>150</v>
      </c>
      <c r="R188" s="128">
        <f t="shared" si="41"/>
        <v>7</v>
      </c>
      <c r="S188" s="1">
        <f t="shared" si="45"/>
        <v>1</v>
      </c>
      <c r="T188" s="128">
        <f t="shared" si="44"/>
        <v>-2.9999999199999934</v>
      </c>
      <c r="U188" s="128">
        <f t="shared" si="33"/>
        <v>706.00000016000001</v>
      </c>
      <c r="W188" s="128">
        <f t="shared" si="42"/>
        <v>150</v>
      </c>
      <c r="X188" s="128">
        <f t="shared" si="43"/>
        <v>137.00000008000001</v>
      </c>
    </row>
    <row r="189" spans="1:24">
      <c r="A189" s="22">
        <v>43805</v>
      </c>
      <c r="B189" s="130">
        <v>1</v>
      </c>
      <c r="C189" s="130">
        <v>0</v>
      </c>
      <c r="D189" s="130">
        <v>1</v>
      </c>
      <c r="E189" s="130">
        <v>0</v>
      </c>
      <c r="F189" s="130">
        <v>1</v>
      </c>
      <c r="G189" s="130">
        <v>1</v>
      </c>
      <c r="J189" s="57" t="s">
        <v>192</v>
      </c>
      <c r="K189" s="86">
        <f t="shared" si="34"/>
        <v>43805</v>
      </c>
      <c r="L189" s="128">
        <f t="shared" si="35"/>
        <v>141.00000008000001</v>
      </c>
      <c r="M189" s="128">
        <f t="shared" si="36"/>
        <v>46.000000080000007</v>
      </c>
      <c r="N189" s="128">
        <f t="shared" si="37"/>
        <v>144</v>
      </c>
      <c r="O189" s="128">
        <f t="shared" si="38"/>
        <v>91</v>
      </c>
      <c r="P189" s="128">
        <f t="shared" si="39"/>
        <v>137</v>
      </c>
      <c r="Q189" s="128">
        <f t="shared" si="40"/>
        <v>151</v>
      </c>
      <c r="R189" s="128">
        <f t="shared" si="41"/>
        <v>7</v>
      </c>
      <c r="S189" s="1">
        <f t="shared" si="45"/>
        <v>1</v>
      </c>
      <c r="T189" s="128">
        <f t="shared" si="44"/>
        <v>-2.9999999199999934</v>
      </c>
      <c r="U189" s="128">
        <f t="shared" si="33"/>
        <v>710.00000016000001</v>
      </c>
      <c r="W189" s="128">
        <f t="shared" si="42"/>
        <v>151</v>
      </c>
      <c r="X189" s="128">
        <f t="shared" si="43"/>
        <v>137.00000008000001</v>
      </c>
    </row>
    <row r="190" spans="1:24">
      <c r="A190" s="22">
        <v>43812</v>
      </c>
      <c r="B190" s="130">
        <v>1</v>
      </c>
      <c r="C190" s="130">
        <v>0</v>
      </c>
      <c r="D190" s="130">
        <v>1</v>
      </c>
      <c r="E190" s="130">
        <v>0</v>
      </c>
      <c r="F190" s="130">
        <v>1</v>
      </c>
      <c r="G190" s="130">
        <v>0</v>
      </c>
      <c r="K190" s="86">
        <f t="shared" si="34"/>
        <v>43812</v>
      </c>
      <c r="L190" s="128">
        <f t="shared" si="35"/>
        <v>142.00000008000001</v>
      </c>
      <c r="M190" s="128">
        <f t="shared" si="36"/>
        <v>46.000000080000007</v>
      </c>
      <c r="N190" s="128">
        <f t="shared" si="37"/>
        <v>145</v>
      </c>
      <c r="O190" s="128">
        <f t="shared" si="38"/>
        <v>91</v>
      </c>
      <c r="P190" s="128">
        <f t="shared" si="39"/>
        <v>138</v>
      </c>
      <c r="Q190" s="128">
        <f t="shared" si="40"/>
        <v>151</v>
      </c>
      <c r="R190" s="128">
        <f t="shared" si="41"/>
        <v>6</v>
      </c>
      <c r="S190" s="1">
        <f t="shared" si="45"/>
        <v>1</v>
      </c>
      <c r="T190" s="128">
        <f t="shared" si="44"/>
        <v>-2.9999999199999934</v>
      </c>
      <c r="U190" s="128">
        <f t="shared" si="33"/>
        <v>713.00000016000001</v>
      </c>
      <c r="W190" s="128">
        <f t="shared" si="42"/>
        <v>151</v>
      </c>
      <c r="X190" s="128">
        <f t="shared" si="43"/>
        <v>137.00000008000001</v>
      </c>
    </row>
    <row r="191" spans="1:24">
      <c r="A191" s="22">
        <v>43819</v>
      </c>
      <c r="B191" s="130">
        <v>1</v>
      </c>
      <c r="C191" s="130">
        <v>0</v>
      </c>
      <c r="D191" s="130">
        <v>0</v>
      </c>
      <c r="E191" s="130">
        <v>1</v>
      </c>
      <c r="F191" s="130">
        <v>1</v>
      </c>
      <c r="G191" s="130">
        <v>0</v>
      </c>
      <c r="J191" s="57" t="s">
        <v>193</v>
      </c>
      <c r="K191" s="86">
        <f t="shared" si="34"/>
        <v>43819</v>
      </c>
      <c r="L191" s="128">
        <f t="shared" si="35"/>
        <v>143.00000008000001</v>
      </c>
      <c r="M191" s="128">
        <f t="shared" si="36"/>
        <v>46.000000080000007</v>
      </c>
      <c r="N191" s="128">
        <f t="shared" si="37"/>
        <v>145</v>
      </c>
      <c r="O191" s="128">
        <f t="shared" si="38"/>
        <v>92</v>
      </c>
      <c r="P191" s="128">
        <f t="shared" si="39"/>
        <v>139</v>
      </c>
      <c r="Q191" s="128">
        <f t="shared" si="40"/>
        <v>151</v>
      </c>
      <c r="R191" s="128">
        <f t="shared" si="41"/>
        <v>6</v>
      </c>
      <c r="S191" s="1">
        <f t="shared" si="45"/>
        <v>1</v>
      </c>
      <c r="T191" s="128">
        <f t="shared" si="44"/>
        <v>-1.9999999199999934</v>
      </c>
      <c r="U191" s="128">
        <f t="shared" si="33"/>
        <v>716.00000016000001</v>
      </c>
      <c r="W191" s="128">
        <f t="shared" si="42"/>
        <v>151</v>
      </c>
      <c r="X191" s="128">
        <f t="shared" si="43"/>
        <v>138.00000008000001</v>
      </c>
    </row>
    <row r="192" spans="1:24">
      <c r="A192" s="22">
        <v>43826</v>
      </c>
      <c r="B192" s="130">
        <v>0</v>
      </c>
      <c r="C192" s="130">
        <v>0</v>
      </c>
      <c r="D192" s="130">
        <v>1</v>
      </c>
      <c r="E192" s="130">
        <v>0</v>
      </c>
      <c r="F192" s="130">
        <v>1</v>
      </c>
      <c r="G192" s="130">
        <v>0</v>
      </c>
      <c r="J192" s="57" t="s">
        <v>194</v>
      </c>
      <c r="K192" s="86">
        <f t="shared" si="34"/>
        <v>43826</v>
      </c>
      <c r="L192" s="128">
        <f t="shared" si="35"/>
        <v>143.00000008000001</v>
      </c>
      <c r="M192" s="128">
        <f t="shared" si="36"/>
        <v>46.000000080000007</v>
      </c>
      <c r="N192" s="128">
        <f t="shared" si="37"/>
        <v>146</v>
      </c>
      <c r="O192" s="128">
        <f t="shared" si="38"/>
        <v>92</v>
      </c>
      <c r="P192" s="128">
        <f t="shared" si="39"/>
        <v>140</v>
      </c>
      <c r="Q192" s="128">
        <f t="shared" si="40"/>
        <v>151</v>
      </c>
      <c r="R192" s="128">
        <f t="shared" si="41"/>
        <v>5</v>
      </c>
      <c r="S192" s="1">
        <f t="shared" si="45"/>
        <v>1</v>
      </c>
      <c r="T192" s="128">
        <f t="shared" si="44"/>
        <v>-2.9999999199999934</v>
      </c>
      <c r="U192" s="128">
        <f t="shared" si="33"/>
        <v>718.00000016000001</v>
      </c>
      <c r="W192" s="128">
        <f t="shared" si="42"/>
        <v>151</v>
      </c>
      <c r="X192" s="128">
        <f t="shared" si="43"/>
        <v>138.00000008000001</v>
      </c>
    </row>
    <row r="193" spans="1:24">
      <c r="A193" s="22">
        <v>43833</v>
      </c>
      <c r="B193" s="130">
        <v>1</v>
      </c>
      <c r="C193" s="130">
        <v>0</v>
      </c>
      <c r="D193" s="130">
        <v>1</v>
      </c>
      <c r="E193" s="130">
        <v>0</v>
      </c>
      <c r="F193" s="130">
        <v>1</v>
      </c>
      <c r="G193" s="130">
        <v>1</v>
      </c>
      <c r="J193" s="57" t="s">
        <v>195</v>
      </c>
      <c r="K193" s="86">
        <f t="shared" si="34"/>
        <v>43833</v>
      </c>
      <c r="L193" s="128">
        <f t="shared" si="35"/>
        <v>144.00000008000001</v>
      </c>
      <c r="M193" s="128">
        <f t="shared" si="36"/>
        <v>46.000000080000007</v>
      </c>
      <c r="N193" s="128">
        <f t="shared" si="37"/>
        <v>147</v>
      </c>
      <c r="O193" s="128">
        <f t="shared" si="38"/>
        <v>92</v>
      </c>
      <c r="P193" s="128">
        <f t="shared" si="39"/>
        <v>141</v>
      </c>
      <c r="Q193" s="128">
        <f t="shared" si="40"/>
        <v>152</v>
      </c>
      <c r="R193" s="128">
        <f t="shared" si="41"/>
        <v>5</v>
      </c>
      <c r="S193" s="1">
        <f t="shared" si="45"/>
        <v>1</v>
      </c>
      <c r="T193" s="128">
        <f t="shared" si="44"/>
        <v>-2.9999999199999934</v>
      </c>
      <c r="U193" s="128">
        <f t="shared" si="33"/>
        <v>722.00000016000001</v>
      </c>
      <c r="W193" s="128">
        <f t="shared" si="42"/>
        <v>152</v>
      </c>
      <c r="X193" s="128">
        <f t="shared" si="43"/>
        <v>138.00000008000001</v>
      </c>
    </row>
    <row r="194" spans="1:24">
      <c r="A194" s="22">
        <v>43840</v>
      </c>
      <c r="B194" s="130">
        <v>0</v>
      </c>
      <c r="C194" s="130">
        <v>0</v>
      </c>
      <c r="D194" s="130">
        <v>1</v>
      </c>
      <c r="E194" s="130">
        <v>0</v>
      </c>
      <c r="F194" s="130">
        <v>1</v>
      </c>
      <c r="G194" s="130">
        <v>1</v>
      </c>
      <c r="J194" s="57" t="s">
        <v>196</v>
      </c>
      <c r="K194" s="86">
        <f t="shared" si="34"/>
        <v>43840</v>
      </c>
      <c r="L194" s="128">
        <f t="shared" si="35"/>
        <v>144.00000008000001</v>
      </c>
      <c r="M194" s="128">
        <f t="shared" si="36"/>
        <v>46.000000080000007</v>
      </c>
      <c r="N194" s="128">
        <f t="shared" si="37"/>
        <v>148</v>
      </c>
      <c r="O194" s="128">
        <f t="shared" si="38"/>
        <v>92</v>
      </c>
      <c r="P194" s="128">
        <f t="shared" si="39"/>
        <v>142</v>
      </c>
      <c r="Q194" s="128">
        <f t="shared" si="40"/>
        <v>153</v>
      </c>
      <c r="R194" s="128">
        <f t="shared" si="41"/>
        <v>5</v>
      </c>
      <c r="S194" s="1">
        <f t="shared" si="45"/>
        <v>1</v>
      </c>
      <c r="T194" s="128">
        <f t="shared" si="44"/>
        <v>-3.9999999199999934</v>
      </c>
      <c r="U194" s="128">
        <f t="shared" ref="U194:U257" si="46">SUM(L194:Q194)</f>
        <v>725.00000016000001</v>
      </c>
      <c r="W194" s="128">
        <f t="shared" si="42"/>
        <v>153</v>
      </c>
      <c r="X194" s="128">
        <f t="shared" si="43"/>
        <v>138.00000008000001</v>
      </c>
    </row>
    <row r="195" spans="1:24">
      <c r="A195" s="22">
        <f>'Stats 2020'!D25</f>
        <v>43854</v>
      </c>
      <c r="B195" s="130">
        <f>'Stats 2020'!E25</f>
        <v>1</v>
      </c>
      <c r="C195" s="130">
        <v>0</v>
      </c>
      <c r="D195" s="130">
        <f>'Stats 2020'!G25</f>
        <v>1</v>
      </c>
      <c r="E195" s="130">
        <v>0</v>
      </c>
      <c r="F195" s="130">
        <f>'Stats 2020'!I25</f>
        <v>1</v>
      </c>
      <c r="G195" s="130">
        <f>'Stats 2020'!J25</f>
        <v>1</v>
      </c>
      <c r="J195" s="57" t="s">
        <v>197</v>
      </c>
      <c r="K195" s="86">
        <f t="shared" ref="K195:K258" si="47">A195</f>
        <v>43854</v>
      </c>
      <c r="L195" s="128">
        <f t="shared" ref="L195:L258" si="48">B195+L194</f>
        <v>145.00000008000001</v>
      </c>
      <c r="M195" s="128">
        <f t="shared" ref="M195:M258" si="49">C195+M194</f>
        <v>46.000000080000007</v>
      </c>
      <c r="N195" s="128">
        <f t="shared" ref="N195:N258" si="50">D195+N194</f>
        <v>149</v>
      </c>
      <c r="O195" s="128">
        <f t="shared" ref="O195:O258" si="51">E195+O194</f>
        <v>92</v>
      </c>
      <c r="P195" s="128">
        <f t="shared" ref="P195:P258" si="52">F195+P194</f>
        <v>143</v>
      </c>
      <c r="Q195" s="128">
        <f t="shared" ref="Q195:Q258" si="53">G195+Q194</f>
        <v>154</v>
      </c>
      <c r="R195" s="128">
        <f t="shared" ref="R195:R258" si="54">Q195-MAX(L195:P195)</f>
        <v>5</v>
      </c>
      <c r="S195" s="1">
        <f t="shared" si="45"/>
        <v>1</v>
      </c>
      <c r="T195" s="128">
        <f t="shared" si="44"/>
        <v>-3.9999999199999934</v>
      </c>
      <c r="U195" s="128">
        <f t="shared" si="46"/>
        <v>729.00000016000001</v>
      </c>
      <c r="W195" s="128">
        <f t="shared" ref="W195:W258" si="55">Q195</f>
        <v>154</v>
      </c>
      <c r="X195" s="128">
        <f t="shared" ref="X195:X258" si="56">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198</v>
      </c>
      <c r="K196" s="86">
        <f t="shared" si="47"/>
        <v>43861</v>
      </c>
      <c r="L196" s="128">
        <f t="shared" si="48"/>
        <v>146.00000008000001</v>
      </c>
      <c r="M196" s="128">
        <f t="shared" si="49"/>
        <v>46.000000080000007</v>
      </c>
      <c r="N196" s="128">
        <f t="shared" si="50"/>
        <v>150</v>
      </c>
      <c r="O196" s="128">
        <f t="shared" si="51"/>
        <v>92</v>
      </c>
      <c r="P196" s="128">
        <f t="shared" si="52"/>
        <v>143</v>
      </c>
      <c r="Q196" s="128">
        <f t="shared" si="53"/>
        <v>155</v>
      </c>
      <c r="R196" s="128">
        <f t="shared" si="54"/>
        <v>5</v>
      </c>
      <c r="S196" s="1">
        <f t="shared" si="45"/>
        <v>1</v>
      </c>
      <c r="T196" s="128">
        <f t="shared" si="44"/>
        <v>-3.9999999199999934</v>
      </c>
      <c r="U196" s="128">
        <f t="shared" si="46"/>
        <v>732.00000016000001</v>
      </c>
      <c r="W196" s="128">
        <f t="shared" si="55"/>
        <v>155</v>
      </c>
      <c r="X196" s="128">
        <f t="shared" si="56"/>
        <v>138.00000008000001</v>
      </c>
    </row>
    <row r="197" spans="1:24">
      <c r="A197" s="22">
        <f>'Stats 2020'!D27</f>
        <v>43868</v>
      </c>
      <c r="B197" s="130">
        <f>'Stats 2020'!E27</f>
        <v>0</v>
      </c>
      <c r="C197" s="130">
        <v>0</v>
      </c>
      <c r="D197" s="130">
        <f>'Stats 2020'!G27</f>
        <v>1</v>
      </c>
      <c r="E197" s="130">
        <v>0</v>
      </c>
      <c r="F197" s="130">
        <f>'Stats 2020'!I27</f>
        <v>0</v>
      </c>
      <c r="G197" s="130">
        <f>'Stats 2020'!J27</f>
        <v>1</v>
      </c>
      <c r="J197" s="57" t="s">
        <v>199</v>
      </c>
      <c r="K197" s="86">
        <f t="shared" si="47"/>
        <v>43868</v>
      </c>
      <c r="L197" s="128">
        <f t="shared" si="48"/>
        <v>146.00000008000001</v>
      </c>
      <c r="M197" s="128">
        <f t="shared" si="49"/>
        <v>46.000000080000007</v>
      </c>
      <c r="N197" s="128">
        <f t="shared" si="50"/>
        <v>151</v>
      </c>
      <c r="O197" s="128">
        <f t="shared" si="51"/>
        <v>92</v>
      </c>
      <c r="P197" s="128">
        <f t="shared" si="52"/>
        <v>143</v>
      </c>
      <c r="Q197" s="128">
        <f t="shared" si="53"/>
        <v>156</v>
      </c>
      <c r="R197" s="128">
        <f t="shared" si="54"/>
        <v>5</v>
      </c>
      <c r="S197" s="1">
        <f t="shared" si="45"/>
        <v>1</v>
      </c>
      <c r="T197" s="128">
        <f t="shared" si="44"/>
        <v>-4.9999999199999934</v>
      </c>
      <c r="U197" s="128">
        <f t="shared" si="46"/>
        <v>734.00000016000001</v>
      </c>
      <c r="W197" s="128">
        <f t="shared" si="55"/>
        <v>156</v>
      </c>
      <c r="X197" s="128">
        <f t="shared" si="56"/>
        <v>138.00000008000001</v>
      </c>
    </row>
    <row r="198" spans="1:24">
      <c r="A198" s="22">
        <f>'Stats 2020'!D28</f>
        <v>43875</v>
      </c>
      <c r="B198" s="130">
        <f>'Stats 2020'!E28</f>
        <v>1</v>
      </c>
      <c r="C198" s="130">
        <v>0</v>
      </c>
      <c r="D198" s="130">
        <f>'Stats 2020'!G28</f>
        <v>1</v>
      </c>
      <c r="E198" s="130">
        <v>0</v>
      </c>
      <c r="F198" s="130">
        <f>'Stats 2020'!I28</f>
        <v>0</v>
      </c>
      <c r="G198" s="130">
        <f>'Stats 2020'!J28</f>
        <v>1</v>
      </c>
      <c r="J198" s="57" t="s">
        <v>200</v>
      </c>
      <c r="K198" s="86">
        <f t="shared" si="47"/>
        <v>43875</v>
      </c>
      <c r="L198" s="128">
        <f t="shared" si="48"/>
        <v>147.00000008000001</v>
      </c>
      <c r="M198" s="128">
        <f t="shared" si="49"/>
        <v>46.000000080000007</v>
      </c>
      <c r="N198" s="128">
        <f t="shared" si="50"/>
        <v>152</v>
      </c>
      <c r="O198" s="128">
        <f t="shared" si="51"/>
        <v>92</v>
      </c>
      <c r="P198" s="128">
        <f t="shared" si="52"/>
        <v>143</v>
      </c>
      <c r="Q198" s="128">
        <f t="shared" si="53"/>
        <v>157</v>
      </c>
      <c r="R198" s="128">
        <f t="shared" si="54"/>
        <v>5</v>
      </c>
      <c r="S198" s="1">
        <f t="shared" si="45"/>
        <v>1</v>
      </c>
      <c r="T198" s="128">
        <f t="shared" si="44"/>
        <v>-4.9999999199999934</v>
      </c>
      <c r="U198" s="128">
        <f t="shared" si="46"/>
        <v>737.00000016000001</v>
      </c>
      <c r="W198" s="128">
        <f t="shared" si="55"/>
        <v>157</v>
      </c>
      <c r="X198" s="128">
        <f t="shared" si="56"/>
        <v>138.00000008000001</v>
      </c>
    </row>
    <row r="199" spans="1:24">
      <c r="A199" s="22">
        <f>'Stats 2020'!D29</f>
        <v>43882</v>
      </c>
      <c r="B199" s="130">
        <f>'Stats 2020'!E29</f>
        <v>1</v>
      </c>
      <c r="C199" s="130">
        <v>0</v>
      </c>
      <c r="D199" s="130">
        <f>'Stats 2020'!G29</f>
        <v>1</v>
      </c>
      <c r="E199" s="130">
        <v>0</v>
      </c>
      <c r="F199" s="130">
        <f>'Stats 2020'!I29</f>
        <v>1</v>
      </c>
      <c r="G199" s="130">
        <f>'Stats 2020'!J29</f>
        <v>1</v>
      </c>
      <c r="J199" s="57" t="s">
        <v>201</v>
      </c>
      <c r="K199" s="86">
        <f t="shared" si="47"/>
        <v>43882</v>
      </c>
      <c r="L199" s="128">
        <f t="shared" si="48"/>
        <v>148.00000008000001</v>
      </c>
      <c r="M199" s="128">
        <f t="shared" si="49"/>
        <v>46.000000080000007</v>
      </c>
      <c r="N199" s="128">
        <f t="shared" si="50"/>
        <v>153</v>
      </c>
      <c r="O199" s="128">
        <f t="shared" si="51"/>
        <v>92</v>
      </c>
      <c r="P199" s="128">
        <f t="shared" si="52"/>
        <v>144</v>
      </c>
      <c r="Q199" s="128">
        <f t="shared" si="53"/>
        <v>158</v>
      </c>
      <c r="R199" s="128">
        <f t="shared" si="54"/>
        <v>5</v>
      </c>
      <c r="S199" s="1">
        <f t="shared" si="45"/>
        <v>1</v>
      </c>
      <c r="T199" s="128">
        <f t="shared" si="44"/>
        <v>-4.9999999199999934</v>
      </c>
      <c r="U199" s="128">
        <f t="shared" si="46"/>
        <v>741.00000016000001</v>
      </c>
      <c r="W199" s="128">
        <f t="shared" si="55"/>
        <v>158</v>
      </c>
      <c r="X199" s="128">
        <f t="shared" si="56"/>
        <v>138.00000008000001</v>
      </c>
    </row>
    <row r="200" spans="1:24">
      <c r="A200" s="22">
        <f>'Stats 2020'!D30</f>
        <v>43889</v>
      </c>
      <c r="B200" s="130">
        <f>'Stats 2020'!E30</f>
        <v>1</v>
      </c>
      <c r="C200" s="130">
        <v>0</v>
      </c>
      <c r="D200" s="130">
        <f>'Stats 2020'!G30</f>
        <v>0</v>
      </c>
      <c r="E200" s="130">
        <v>0</v>
      </c>
      <c r="F200" s="130">
        <f>'Stats 2020'!I30</f>
        <v>1</v>
      </c>
      <c r="G200" s="130">
        <f>'Stats 2020'!J30</f>
        <v>0</v>
      </c>
      <c r="J200" s="57" t="s">
        <v>202</v>
      </c>
      <c r="K200" s="86">
        <f t="shared" si="47"/>
        <v>43889</v>
      </c>
      <c r="L200" s="128">
        <f t="shared" si="48"/>
        <v>149.00000008000001</v>
      </c>
      <c r="M200" s="128">
        <f t="shared" si="49"/>
        <v>46.000000080000007</v>
      </c>
      <c r="N200" s="128">
        <f t="shared" si="50"/>
        <v>153</v>
      </c>
      <c r="O200" s="128">
        <f t="shared" si="51"/>
        <v>92</v>
      </c>
      <c r="P200" s="128">
        <f t="shared" si="52"/>
        <v>145</v>
      </c>
      <c r="Q200" s="128">
        <f t="shared" si="53"/>
        <v>158</v>
      </c>
      <c r="R200" s="128">
        <f t="shared" si="54"/>
        <v>5</v>
      </c>
      <c r="S200" s="1">
        <f t="shared" si="45"/>
        <v>1</v>
      </c>
      <c r="T200" s="128">
        <f t="shared" si="44"/>
        <v>-3.9999999199999934</v>
      </c>
      <c r="U200" s="128">
        <f t="shared" si="46"/>
        <v>743.00000016000001</v>
      </c>
      <c r="W200" s="128">
        <f t="shared" si="55"/>
        <v>158</v>
      </c>
      <c r="X200" s="128">
        <f t="shared" si="56"/>
        <v>138.00000008000001</v>
      </c>
    </row>
    <row r="201" spans="1:24">
      <c r="A201" s="22">
        <f>'Stats 2020'!D32</f>
        <v>43896</v>
      </c>
      <c r="B201" s="130">
        <f>'Stats 2020'!E32</f>
        <v>1</v>
      </c>
      <c r="C201" s="130">
        <v>0</v>
      </c>
      <c r="D201" s="130">
        <f>'Stats 2020'!G32</f>
        <v>1</v>
      </c>
      <c r="E201" s="130">
        <v>0</v>
      </c>
      <c r="F201" s="130">
        <f>'Stats 2020'!I32</f>
        <v>1</v>
      </c>
      <c r="G201" s="130">
        <f>'Stats 2020'!J32</f>
        <v>1</v>
      </c>
      <c r="J201" s="57" t="s">
        <v>203</v>
      </c>
      <c r="K201" s="86">
        <f t="shared" si="47"/>
        <v>43896</v>
      </c>
      <c r="L201" s="128">
        <f t="shared" si="48"/>
        <v>150.00000008000001</v>
      </c>
      <c r="M201" s="128">
        <f t="shared" si="49"/>
        <v>46.000000080000007</v>
      </c>
      <c r="N201" s="128">
        <f t="shared" si="50"/>
        <v>154</v>
      </c>
      <c r="O201" s="128">
        <f t="shared" si="51"/>
        <v>92</v>
      </c>
      <c r="P201" s="128">
        <f t="shared" si="52"/>
        <v>146</v>
      </c>
      <c r="Q201" s="128">
        <f t="shared" si="53"/>
        <v>159</v>
      </c>
      <c r="R201" s="128">
        <f t="shared" si="54"/>
        <v>5</v>
      </c>
      <c r="S201" s="1">
        <f t="shared" si="45"/>
        <v>1</v>
      </c>
      <c r="T201" s="128">
        <f t="shared" si="44"/>
        <v>-3.9999999199999934</v>
      </c>
      <c r="U201" s="128">
        <f t="shared" si="46"/>
        <v>747.00000016000001</v>
      </c>
      <c r="W201" s="128">
        <f t="shared" si="55"/>
        <v>159</v>
      </c>
      <c r="X201" s="128">
        <f t="shared" si="56"/>
        <v>138.00000008000001</v>
      </c>
    </row>
    <row r="202" spans="1:24">
      <c r="A202" s="22">
        <f>'Stats 2020'!D34</f>
        <v>43903</v>
      </c>
      <c r="B202" s="130">
        <f>'Stats 2020'!E34</f>
        <v>1</v>
      </c>
      <c r="C202" s="130">
        <v>0</v>
      </c>
      <c r="D202" s="130">
        <f>'Stats 2020'!G34</f>
        <v>0</v>
      </c>
      <c r="E202" s="130">
        <v>0</v>
      </c>
      <c r="F202" s="130">
        <f>'Stats 2020'!I34</f>
        <v>1</v>
      </c>
      <c r="G202" s="130">
        <f>'Stats 2020'!J34</f>
        <v>1</v>
      </c>
      <c r="J202" s="57" t="s">
        <v>204</v>
      </c>
      <c r="K202" s="86">
        <f t="shared" si="47"/>
        <v>43903</v>
      </c>
      <c r="L202" s="128">
        <f t="shared" si="48"/>
        <v>151.00000008000001</v>
      </c>
      <c r="M202" s="128">
        <f t="shared" si="49"/>
        <v>46.000000080000007</v>
      </c>
      <c r="N202" s="128">
        <f t="shared" si="50"/>
        <v>154</v>
      </c>
      <c r="O202" s="128">
        <f t="shared" si="51"/>
        <v>92</v>
      </c>
      <c r="P202" s="128">
        <f t="shared" si="52"/>
        <v>147</v>
      </c>
      <c r="Q202" s="128">
        <f t="shared" si="53"/>
        <v>160</v>
      </c>
      <c r="R202" s="128">
        <f t="shared" si="54"/>
        <v>6</v>
      </c>
      <c r="S202" s="1">
        <f t="shared" si="45"/>
        <v>1</v>
      </c>
      <c r="T202" s="128">
        <f t="shared" si="44"/>
        <v>-2.9999999199999934</v>
      </c>
      <c r="U202" s="128">
        <f t="shared" si="46"/>
        <v>750.00000016000001</v>
      </c>
      <c r="W202" s="128">
        <f t="shared" si="55"/>
        <v>160</v>
      </c>
      <c r="X202" s="128">
        <f t="shared" si="56"/>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205</v>
      </c>
      <c r="K203" s="86">
        <f t="shared" si="47"/>
        <v>43910</v>
      </c>
      <c r="L203" s="128">
        <f t="shared" si="48"/>
        <v>152.00000008000001</v>
      </c>
      <c r="M203" s="128">
        <f t="shared" si="49"/>
        <v>46.000000080000007</v>
      </c>
      <c r="N203" s="128">
        <f t="shared" si="50"/>
        <v>155</v>
      </c>
      <c r="O203" s="128">
        <f t="shared" si="51"/>
        <v>93</v>
      </c>
      <c r="P203" s="128">
        <f t="shared" si="52"/>
        <v>148</v>
      </c>
      <c r="Q203" s="128">
        <f t="shared" si="53"/>
        <v>161</v>
      </c>
      <c r="R203" s="128">
        <f t="shared" si="54"/>
        <v>6</v>
      </c>
      <c r="S203" s="1">
        <f t="shared" si="45"/>
        <v>1</v>
      </c>
      <c r="T203" s="128">
        <f t="shared" si="44"/>
        <v>-2.9999999199999934</v>
      </c>
      <c r="U203" s="128">
        <f t="shared" si="46"/>
        <v>755.00000016000001</v>
      </c>
      <c r="W203" s="128">
        <f t="shared" si="55"/>
        <v>161</v>
      </c>
      <c r="X203" s="128">
        <f t="shared" si="56"/>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206</v>
      </c>
      <c r="K204" s="86">
        <f t="shared" si="47"/>
        <v>43917</v>
      </c>
      <c r="L204" s="128">
        <f t="shared" si="48"/>
        <v>153.00000008000001</v>
      </c>
      <c r="M204" s="128">
        <f t="shared" si="49"/>
        <v>47.000000080000007</v>
      </c>
      <c r="N204" s="128">
        <f t="shared" si="50"/>
        <v>156</v>
      </c>
      <c r="O204" s="128">
        <f t="shared" si="51"/>
        <v>94</v>
      </c>
      <c r="P204" s="128">
        <f t="shared" si="52"/>
        <v>149</v>
      </c>
      <c r="Q204" s="128">
        <f t="shared" si="53"/>
        <v>162</v>
      </c>
      <c r="R204" s="128">
        <f t="shared" si="54"/>
        <v>6</v>
      </c>
      <c r="S204" s="1">
        <f t="shared" si="45"/>
        <v>1</v>
      </c>
      <c r="T204" s="128">
        <f t="shared" si="44"/>
        <v>-2.9999999199999934</v>
      </c>
      <c r="U204" s="128">
        <f t="shared" si="46"/>
        <v>761.00000016000001</v>
      </c>
      <c r="W204" s="128">
        <f t="shared" si="55"/>
        <v>162</v>
      </c>
      <c r="X204" s="128">
        <f t="shared" si="56"/>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207</v>
      </c>
      <c r="K205" s="86">
        <f t="shared" si="47"/>
        <v>43924</v>
      </c>
      <c r="L205" s="128">
        <f t="shared" si="48"/>
        <v>154.00000008000001</v>
      </c>
      <c r="M205" s="128">
        <f t="shared" si="49"/>
        <v>47.000000080000007</v>
      </c>
      <c r="N205" s="128">
        <f t="shared" si="50"/>
        <v>157</v>
      </c>
      <c r="O205" s="128">
        <f t="shared" si="51"/>
        <v>95</v>
      </c>
      <c r="P205" s="128">
        <f t="shared" si="52"/>
        <v>150</v>
      </c>
      <c r="Q205" s="128">
        <f t="shared" si="53"/>
        <v>163</v>
      </c>
      <c r="R205" s="128">
        <f t="shared" si="54"/>
        <v>6</v>
      </c>
      <c r="S205" s="1">
        <f t="shared" si="45"/>
        <v>1</v>
      </c>
      <c r="T205" s="128">
        <f t="shared" si="44"/>
        <v>-2.9999999199999934</v>
      </c>
      <c r="U205" s="128">
        <f t="shared" si="46"/>
        <v>766.00000016000001</v>
      </c>
      <c r="W205" s="128">
        <f t="shared" si="55"/>
        <v>163</v>
      </c>
      <c r="X205" s="128">
        <f t="shared" si="56"/>
        <v>142.00000008000001</v>
      </c>
    </row>
    <row r="206" spans="1:24">
      <c r="A206" s="22">
        <f>'Stats 2020'!D38</f>
        <v>43938</v>
      </c>
      <c r="B206" s="130">
        <f>'Stats 2020'!E38</f>
        <v>1</v>
      </c>
      <c r="C206" s="130">
        <v>0</v>
      </c>
      <c r="D206" s="130">
        <f>'Stats 2020'!G38</f>
        <v>1</v>
      </c>
      <c r="E206" s="130">
        <v>0</v>
      </c>
      <c r="F206" s="130">
        <f>'Stats 2020'!I38</f>
        <v>1</v>
      </c>
      <c r="G206" s="130">
        <f>'Stats 2020'!J38</f>
        <v>1</v>
      </c>
      <c r="J206" s="57" t="s">
        <v>208</v>
      </c>
      <c r="K206" s="86">
        <f t="shared" si="47"/>
        <v>43938</v>
      </c>
      <c r="L206" s="128">
        <f t="shared" si="48"/>
        <v>155.00000008000001</v>
      </c>
      <c r="M206" s="128">
        <f t="shared" si="49"/>
        <v>47.000000080000007</v>
      </c>
      <c r="N206" s="128">
        <f t="shared" si="50"/>
        <v>158</v>
      </c>
      <c r="O206" s="128">
        <f t="shared" si="51"/>
        <v>95</v>
      </c>
      <c r="P206" s="128">
        <f t="shared" si="52"/>
        <v>151</v>
      </c>
      <c r="Q206" s="128">
        <f t="shared" si="53"/>
        <v>164</v>
      </c>
      <c r="R206" s="128">
        <f t="shared" si="54"/>
        <v>6</v>
      </c>
      <c r="S206" s="1">
        <f t="shared" si="45"/>
        <v>1</v>
      </c>
      <c r="T206" s="128">
        <f t="shared" si="44"/>
        <v>-2.9999999199999934</v>
      </c>
      <c r="U206" s="128">
        <f t="shared" si="46"/>
        <v>770.00000016000001</v>
      </c>
      <c r="W206" s="128">
        <f t="shared" si="55"/>
        <v>164</v>
      </c>
      <c r="X206" s="128">
        <f t="shared" si="56"/>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209</v>
      </c>
      <c r="K207" s="86">
        <f t="shared" si="47"/>
        <v>43945</v>
      </c>
      <c r="L207" s="128">
        <f t="shared" si="48"/>
        <v>156.00000008000001</v>
      </c>
      <c r="M207" s="128">
        <f t="shared" si="49"/>
        <v>47.000000080000007</v>
      </c>
      <c r="N207" s="128">
        <f t="shared" si="50"/>
        <v>159</v>
      </c>
      <c r="O207" s="128">
        <f t="shared" si="51"/>
        <v>96</v>
      </c>
      <c r="P207" s="128">
        <f t="shared" si="52"/>
        <v>152</v>
      </c>
      <c r="Q207" s="128">
        <f t="shared" si="53"/>
        <v>165</v>
      </c>
      <c r="R207" s="128">
        <f t="shared" si="54"/>
        <v>6</v>
      </c>
      <c r="S207" s="1">
        <f t="shared" si="45"/>
        <v>1</v>
      </c>
      <c r="T207" s="128">
        <f t="shared" si="44"/>
        <v>-2.9999999199999934</v>
      </c>
      <c r="U207" s="128">
        <f t="shared" si="46"/>
        <v>775.00000016000001</v>
      </c>
      <c r="W207" s="128">
        <f t="shared" si="55"/>
        <v>165</v>
      </c>
      <c r="X207" s="128">
        <f t="shared" si="56"/>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210</v>
      </c>
      <c r="K208" s="86">
        <f t="shared" si="47"/>
        <v>43952</v>
      </c>
      <c r="L208" s="128">
        <f t="shared" si="48"/>
        <v>157.00000008000001</v>
      </c>
      <c r="M208" s="128">
        <f t="shared" si="49"/>
        <v>47.000000080000007</v>
      </c>
      <c r="N208" s="128">
        <f t="shared" si="50"/>
        <v>160</v>
      </c>
      <c r="O208" s="128">
        <f t="shared" si="51"/>
        <v>97</v>
      </c>
      <c r="P208" s="128">
        <f t="shared" si="52"/>
        <v>153</v>
      </c>
      <c r="Q208" s="128">
        <f t="shared" si="53"/>
        <v>166</v>
      </c>
      <c r="R208" s="128">
        <f t="shared" si="54"/>
        <v>6</v>
      </c>
      <c r="S208" s="1">
        <f t="shared" si="45"/>
        <v>1</v>
      </c>
      <c r="T208" s="128">
        <f t="shared" si="44"/>
        <v>-2.9999999199999934</v>
      </c>
      <c r="U208" s="128">
        <f t="shared" si="46"/>
        <v>780.00000016000001</v>
      </c>
      <c r="W208" s="128">
        <f t="shared" si="55"/>
        <v>166</v>
      </c>
      <c r="X208" s="128">
        <f t="shared" si="56"/>
        <v>144.00000008000001</v>
      </c>
    </row>
    <row r="209" spans="1:24">
      <c r="A209" s="22">
        <f>'Stats 2020'!D41</f>
        <v>43959</v>
      </c>
      <c r="B209" s="130">
        <f>'Stats 2020'!E41</f>
        <v>1</v>
      </c>
      <c r="C209" s="130">
        <v>0</v>
      </c>
      <c r="D209" s="130">
        <f>'Stats 2020'!G41</f>
        <v>1</v>
      </c>
      <c r="E209" s="130">
        <v>0</v>
      </c>
      <c r="F209" s="130">
        <f>'Stats 2020'!I41</f>
        <v>1</v>
      </c>
      <c r="G209" s="130">
        <f>'Stats 2020'!J41</f>
        <v>1</v>
      </c>
      <c r="J209" s="57" t="s">
        <v>211</v>
      </c>
      <c r="K209" s="86">
        <f t="shared" si="47"/>
        <v>43959</v>
      </c>
      <c r="L209" s="128">
        <f t="shared" si="48"/>
        <v>158.00000008000001</v>
      </c>
      <c r="M209" s="128">
        <f t="shared" si="49"/>
        <v>47.000000080000007</v>
      </c>
      <c r="N209" s="128">
        <f t="shared" si="50"/>
        <v>161</v>
      </c>
      <c r="O209" s="128">
        <f t="shared" si="51"/>
        <v>97</v>
      </c>
      <c r="P209" s="128">
        <f t="shared" si="52"/>
        <v>154</v>
      </c>
      <c r="Q209" s="128">
        <f t="shared" si="53"/>
        <v>167</v>
      </c>
      <c r="R209" s="128">
        <f t="shared" si="54"/>
        <v>6</v>
      </c>
      <c r="S209" s="1">
        <f t="shared" si="45"/>
        <v>1</v>
      </c>
      <c r="T209" s="128">
        <f t="shared" si="44"/>
        <v>-2.9999999199999934</v>
      </c>
      <c r="U209" s="128">
        <f t="shared" si="46"/>
        <v>784.00000016000001</v>
      </c>
      <c r="W209" s="128">
        <f t="shared" si="55"/>
        <v>167</v>
      </c>
      <c r="X209" s="128">
        <f t="shared" si="56"/>
        <v>144.00000008000001</v>
      </c>
    </row>
    <row r="210" spans="1:24">
      <c r="A210" s="22">
        <f>'Stats 2020'!D42</f>
        <v>43966</v>
      </c>
      <c r="B210" s="130">
        <f>'Stats 2020'!E42</f>
        <v>1</v>
      </c>
      <c r="C210" s="130">
        <v>0</v>
      </c>
      <c r="D210" s="130">
        <f>'Stats 2020'!G42</f>
        <v>1</v>
      </c>
      <c r="E210" s="130">
        <v>0</v>
      </c>
      <c r="F210" s="130">
        <f>'Stats 2020'!I42</f>
        <v>1</v>
      </c>
      <c r="G210" s="130">
        <f>'Stats 2020'!J42</f>
        <v>1</v>
      </c>
      <c r="J210" s="57" t="s">
        <v>212</v>
      </c>
      <c r="K210" s="86">
        <f t="shared" si="47"/>
        <v>43966</v>
      </c>
      <c r="L210" s="128">
        <f t="shared" si="48"/>
        <v>159.00000008000001</v>
      </c>
      <c r="M210" s="128">
        <f t="shared" si="49"/>
        <v>47.000000080000007</v>
      </c>
      <c r="N210" s="128">
        <f t="shared" si="50"/>
        <v>162</v>
      </c>
      <c r="O210" s="128">
        <f t="shared" si="51"/>
        <v>97</v>
      </c>
      <c r="P210" s="128">
        <f t="shared" si="52"/>
        <v>155</v>
      </c>
      <c r="Q210" s="128">
        <f t="shared" si="53"/>
        <v>168</v>
      </c>
      <c r="R210" s="128">
        <f t="shared" si="54"/>
        <v>6</v>
      </c>
      <c r="S210" s="1">
        <f t="shared" si="45"/>
        <v>1</v>
      </c>
      <c r="T210" s="128">
        <f t="shared" si="44"/>
        <v>-2.9999999199999934</v>
      </c>
      <c r="U210" s="128">
        <f t="shared" si="46"/>
        <v>788.00000016000001</v>
      </c>
      <c r="W210" s="128">
        <f t="shared" si="55"/>
        <v>168</v>
      </c>
      <c r="X210" s="128">
        <f t="shared" si="56"/>
        <v>144.00000008000001</v>
      </c>
    </row>
    <row r="211" spans="1:24">
      <c r="A211" s="22">
        <f>'Stats 2020'!D43</f>
        <v>43973</v>
      </c>
      <c r="B211" s="130">
        <f>'Stats 2020'!E43</f>
        <v>1</v>
      </c>
      <c r="C211" s="130">
        <v>0</v>
      </c>
      <c r="D211" s="130">
        <f>'Stats 2020'!G43</f>
        <v>1</v>
      </c>
      <c r="E211" s="130">
        <v>0</v>
      </c>
      <c r="F211" s="130">
        <f>'Stats 2020'!I43</f>
        <v>1</v>
      </c>
      <c r="G211" s="130">
        <f>'Stats 2020'!J43</f>
        <v>0</v>
      </c>
      <c r="J211" s="57" t="s">
        <v>213</v>
      </c>
      <c r="K211" s="86">
        <f t="shared" si="47"/>
        <v>43973</v>
      </c>
      <c r="L211" s="128">
        <f t="shared" si="48"/>
        <v>160.00000008000001</v>
      </c>
      <c r="M211" s="128">
        <f t="shared" si="49"/>
        <v>47.000000080000007</v>
      </c>
      <c r="N211" s="128">
        <f t="shared" si="50"/>
        <v>163</v>
      </c>
      <c r="O211" s="128">
        <f t="shared" si="51"/>
        <v>97</v>
      </c>
      <c r="P211" s="128">
        <f t="shared" si="52"/>
        <v>156</v>
      </c>
      <c r="Q211" s="128">
        <f t="shared" si="53"/>
        <v>168</v>
      </c>
      <c r="R211" s="128">
        <f t="shared" si="54"/>
        <v>5</v>
      </c>
      <c r="S211" s="1">
        <f t="shared" si="45"/>
        <v>1</v>
      </c>
      <c r="T211" s="128">
        <f t="shared" si="44"/>
        <v>-2.9999999199999934</v>
      </c>
      <c r="U211" s="128">
        <f t="shared" si="46"/>
        <v>791.00000016000001</v>
      </c>
      <c r="W211" s="128">
        <f t="shared" si="55"/>
        <v>168</v>
      </c>
      <c r="X211" s="128">
        <f t="shared" si="56"/>
        <v>144.00000008000001</v>
      </c>
    </row>
    <row r="212" spans="1:24">
      <c r="A212" s="22">
        <f>'Stats 2020'!D45</f>
        <v>43980</v>
      </c>
      <c r="B212" s="130">
        <f>'Stats 2020'!E45</f>
        <v>1</v>
      </c>
      <c r="C212" s="130">
        <v>0</v>
      </c>
      <c r="D212" s="130">
        <f>'Stats 2020'!G45</f>
        <v>1</v>
      </c>
      <c r="E212" s="130">
        <v>0</v>
      </c>
      <c r="F212" s="130">
        <f>'Stats 2020'!I45</f>
        <v>1</v>
      </c>
      <c r="G212" s="130">
        <f>'Stats 2020'!J45</f>
        <v>1</v>
      </c>
      <c r="J212" s="57" t="s">
        <v>214</v>
      </c>
      <c r="K212" s="86">
        <f t="shared" si="47"/>
        <v>43980</v>
      </c>
      <c r="L212" s="128">
        <f t="shared" si="48"/>
        <v>161.00000008000001</v>
      </c>
      <c r="M212" s="128">
        <f t="shared" si="49"/>
        <v>47.000000080000007</v>
      </c>
      <c r="N212" s="128">
        <f t="shared" si="50"/>
        <v>164</v>
      </c>
      <c r="O212" s="128">
        <f t="shared" si="51"/>
        <v>97</v>
      </c>
      <c r="P212" s="128">
        <f t="shared" si="52"/>
        <v>157</v>
      </c>
      <c r="Q212" s="128">
        <f t="shared" si="53"/>
        <v>169</v>
      </c>
      <c r="R212" s="128">
        <f t="shared" si="54"/>
        <v>5</v>
      </c>
      <c r="S212" s="1">
        <f t="shared" si="45"/>
        <v>1</v>
      </c>
      <c r="T212" s="128">
        <f t="shared" si="44"/>
        <v>-2.9999999199999934</v>
      </c>
      <c r="U212" s="128">
        <f t="shared" si="46"/>
        <v>795.00000016000001</v>
      </c>
      <c r="W212" s="128">
        <f t="shared" si="55"/>
        <v>169</v>
      </c>
      <c r="X212" s="128">
        <f t="shared" si="56"/>
        <v>144.00000008000001</v>
      </c>
    </row>
    <row r="213" spans="1:24">
      <c r="A213" s="22">
        <f>'Stats 2020'!D46</f>
        <v>43987</v>
      </c>
      <c r="B213" s="130">
        <f>'Stats 2020'!E46</f>
        <v>1</v>
      </c>
      <c r="C213" s="130">
        <v>0</v>
      </c>
      <c r="D213" s="130">
        <f>'Stats 2020'!G46</f>
        <v>1</v>
      </c>
      <c r="E213" s="130">
        <v>0</v>
      </c>
      <c r="F213" s="130">
        <f>'Stats 2020'!I46</f>
        <v>1</v>
      </c>
      <c r="G213" s="130">
        <f>'Stats 2020'!J46</f>
        <v>1</v>
      </c>
      <c r="J213" s="57" t="s">
        <v>215</v>
      </c>
      <c r="K213" s="86">
        <f t="shared" si="47"/>
        <v>43987</v>
      </c>
      <c r="L213" s="128">
        <f t="shared" si="48"/>
        <v>162.00000008000001</v>
      </c>
      <c r="M213" s="128">
        <f t="shared" si="49"/>
        <v>47.000000080000007</v>
      </c>
      <c r="N213" s="128">
        <f t="shared" si="50"/>
        <v>165</v>
      </c>
      <c r="O213" s="128">
        <f t="shared" si="51"/>
        <v>97</v>
      </c>
      <c r="P213" s="128">
        <f t="shared" si="52"/>
        <v>158</v>
      </c>
      <c r="Q213" s="128">
        <f t="shared" si="53"/>
        <v>170</v>
      </c>
      <c r="R213" s="128">
        <f t="shared" si="54"/>
        <v>5</v>
      </c>
      <c r="S213" s="1">
        <f t="shared" si="45"/>
        <v>1</v>
      </c>
      <c r="T213" s="128">
        <f t="shared" si="44"/>
        <v>-2.9999999199999934</v>
      </c>
      <c r="U213" s="128">
        <f t="shared" si="46"/>
        <v>799.00000016000001</v>
      </c>
      <c r="W213" s="128">
        <f t="shared" si="55"/>
        <v>170</v>
      </c>
      <c r="X213" s="128">
        <f t="shared" si="56"/>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216</v>
      </c>
      <c r="K214" s="86">
        <f t="shared" si="47"/>
        <v>43994</v>
      </c>
      <c r="L214" s="128">
        <f t="shared" si="48"/>
        <v>163.00000008000001</v>
      </c>
      <c r="M214" s="128">
        <f t="shared" si="49"/>
        <v>47.000000080000007</v>
      </c>
      <c r="N214" s="128">
        <f t="shared" si="50"/>
        <v>166</v>
      </c>
      <c r="O214" s="128">
        <f t="shared" si="51"/>
        <v>98</v>
      </c>
      <c r="P214" s="128">
        <f t="shared" si="52"/>
        <v>159</v>
      </c>
      <c r="Q214" s="128">
        <f t="shared" si="53"/>
        <v>171</v>
      </c>
      <c r="R214" s="128">
        <f t="shared" si="54"/>
        <v>5</v>
      </c>
      <c r="S214" s="1">
        <f t="shared" si="45"/>
        <v>1</v>
      </c>
      <c r="T214" s="128">
        <f t="shared" si="44"/>
        <v>-2.9999999199999934</v>
      </c>
      <c r="U214" s="128">
        <f t="shared" si="46"/>
        <v>804.00000016000001</v>
      </c>
      <c r="W214" s="128">
        <f t="shared" si="55"/>
        <v>171</v>
      </c>
      <c r="X214" s="128">
        <f t="shared" si="56"/>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217</v>
      </c>
      <c r="K215" s="86">
        <f t="shared" si="47"/>
        <v>44001</v>
      </c>
      <c r="L215" s="128">
        <f t="shared" si="48"/>
        <v>163.00000008000001</v>
      </c>
      <c r="M215" s="128">
        <f t="shared" si="49"/>
        <v>47.000000080000007</v>
      </c>
      <c r="N215" s="128">
        <f t="shared" si="50"/>
        <v>167</v>
      </c>
      <c r="O215" s="128">
        <f t="shared" si="51"/>
        <v>99</v>
      </c>
      <c r="P215" s="128">
        <f t="shared" si="52"/>
        <v>160</v>
      </c>
      <c r="Q215" s="128">
        <f t="shared" si="53"/>
        <v>172</v>
      </c>
      <c r="R215" s="128">
        <f t="shared" si="54"/>
        <v>5</v>
      </c>
      <c r="S215" s="1">
        <f t="shared" si="45"/>
        <v>1</v>
      </c>
      <c r="T215" s="128">
        <f t="shared" si="44"/>
        <v>-3.9999999199999934</v>
      </c>
      <c r="U215" s="128">
        <f t="shared" si="46"/>
        <v>808.00000016000001</v>
      </c>
      <c r="W215" s="128">
        <f t="shared" si="55"/>
        <v>172</v>
      </c>
      <c r="X215" s="128">
        <f t="shared" si="56"/>
        <v>146.00000008000001</v>
      </c>
    </row>
    <row r="216" spans="1:24">
      <c r="A216" s="22">
        <f>'Stats 2020'!D50</f>
        <v>44008</v>
      </c>
      <c r="B216" s="130">
        <f>'Stats 2020'!E50</f>
        <v>0</v>
      </c>
      <c r="C216" s="130">
        <v>0</v>
      </c>
      <c r="D216" s="130">
        <f>'Stats 2020'!G50</f>
        <v>1</v>
      </c>
      <c r="E216" s="130">
        <v>0</v>
      </c>
      <c r="F216" s="130">
        <f>'Stats 2020'!I50</f>
        <v>1</v>
      </c>
      <c r="G216" s="130">
        <f>'Stats 2020'!J50</f>
        <v>1</v>
      </c>
      <c r="J216" s="57" t="s">
        <v>218</v>
      </c>
      <c r="K216" s="86">
        <f t="shared" si="47"/>
        <v>44008</v>
      </c>
      <c r="L216" s="128">
        <f t="shared" si="48"/>
        <v>163.00000008000001</v>
      </c>
      <c r="M216" s="128">
        <f t="shared" si="49"/>
        <v>47.000000080000007</v>
      </c>
      <c r="N216" s="128">
        <f t="shared" si="50"/>
        <v>168</v>
      </c>
      <c r="O216" s="128">
        <f t="shared" si="51"/>
        <v>99</v>
      </c>
      <c r="P216" s="128">
        <f t="shared" si="52"/>
        <v>161</v>
      </c>
      <c r="Q216" s="128">
        <f t="shared" si="53"/>
        <v>173</v>
      </c>
      <c r="R216" s="128">
        <f t="shared" si="54"/>
        <v>5</v>
      </c>
      <c r="S216" s="1">
        <f t="shared" si="45"/>
        <v>1</v>
      </c>
      <c r="T216" s="128">
        <f t="shared" si="44"/>
        <v>-4.9999999199999934</v>
      </c>
      <c r="U216" s="128">
        <f t="shared" si="46"/>
        <v>811.00000016000001</v>
      </c>
      <c r="W216" s="128">
        <f t="shared" si="55"/>
        <v>173</v>
      </c>
      <c r="X216" s="128">
        <f t="shared" si="56"/>
        <v>146.00000008000001</v>
      </c>
    </row>
    <row r="217" spans="1:24">
      <c r="A217" s="22">
        <f>'Stats 2020'!D52</f>
        <v>44015</v>
      </c>
      <c r="B217" s="130">
        <f>'Stats 2020'!E52</f>
        <v>1</v>
      </c>
      <c r="C217" s="130">
        <v>0</v>
      </c>
      <c r="D217" s="130">
        <f>'Stats 2020'!G52</f>
        <v>1</v>
      </c>
      <c r="E217" s="130">
        <v>0</v>
      </c>
      <c r="F217" s="130">
        <f>'Stats 2020'!I52</f>
        <v>1</v>
      </c>
      <c r="G217" s="130">
        <f>'Stats 2020'!J52</f>
        <v>1</v>
      </c>
      <c r="J217" s="57" t="s">
        <v>219</v>
      </c>
      <c r="K217" s="86">
        <f t="shared" si="47"/>
        <v>44015</v>
      </c>
      <c r="L217" s="128">
        <f t="shared" si="48"/>
        <v>164.00000008000001</v>
      </c>
      <c r="M217" s="128">
        <f t="shared" si="49"/>
        <v>47.000000080000007</v>
      </c>
      <c r="N217" s="128">
        <f t="shared" si="50"/>
        <v>169</v>
      </c>
      <c r="O217" s="128">
        <f t="shared" si="51"/>
        <v>99</v>
      </c>
      <c r="P217" s="128">
        <f t="shared" si="52"/>
        <v>162</v>
      </c>
      <c r="Q217" s="128">
        <f t="shared" si="53"/>
        <v>174</v>
      </c>
      <c r="R217" s="128">
        <f t="shared" si="54"/>
        <v>5</v>
      </c>
      <c r="S217" s="1">
        <f t="shared" si="45"/>
        <v>1</v>
      </c>
      <c r="T217" s="128">
        <f t="shared" si="44"/>
        <v>-4.9999999199999934</v>
      </c>
      <c r="U217" s="128">
        <f t="shared" si="46"/>
        <v>815.00000016000001</v>
      </c>
      <c r="W217" s="128">
        <f t="shared" si="55"/>
        <v>174</v>
      </c>
      <c r="X217" s="128">
        <f t="shared" si="56"/>
        <v>146.00000008000001</v>
      </c>
    </row>
    <row r="218" spans="1:24">
      <c r="A218" s="22">
        <f>'Stats 2020'!D54</f>
        <v>44022</v>
      </c>
      <c r="B218" s="130">
        <f>'Stats 2020'!E54</f>
        <v>1</v>
      </c>
      <c r="C218" s="130">
        <v>0</v>
      </c>
      <c r="D218" s="130">
        <f>'Stats 2020'!G54</f>
        <v>1</v>
      </c>
      <c r="E218" s="130">
        <v>0</v>
      </c>
      <c r="F218" s="130">
        <f>'Stats 2020'!I54</f>
        <v>0</v>
      </c>
      <c r="G218" s="130">
        <f>'Stats 2020'!J54</f>
        <v>1</v>
      </c>
      <c r="J218" s="57" t="s">
        <v>220</v>
      </c>
      <c r="K218" s="86">
        <f t="shared" si="47"/>
        <v>44022</v>
      </c>
      <c r="L218" s="128">
        <f t="shared" si="48"/>
        <v>165.00000008000001</v>
      </c>
      <c r="M218" s="128">
        <f t="shared" si="49"/>
        <v>47.000000080000007</v>
      </c>
      <c r="N218" s="128">
        <f t="shared" si="50"/>
        <v>170</v>
      </c>
      <c r="O218" s="128">
        <f t="shared" si="51"/>
        <v>99</v>
      </c>
      <c r="P218" s="128">
        <f t="shared" si="52"/>
        <v>162</v>
      </c>
      <c r="Q218" s="128">
        <f t="shared" si="53"/>
        <v>175</v>
      </c>
      <c r="R218" s="128">
        <f t="shared" si="54"/>
        <v>5</v>
      </c>
      <c r="S218" s="1">
        <f t="shared" si="45"/>
        <v>1</v>
      </c>
      <c r="T218" s="128">
        <f t="shared" si="44"/>
        <v>-4.9999999199999934</v>
      </c>
      <c r="U218" s="128">
        <f t="shared" si="46"/>
        <v>818.00000016000001</v>
      </c>
      <c r="W218" s="128">
        <f t="shared" si="55"/>
        <v>175</v>
      </c>
      <c r="X218" s="128">
        <f t="shared" si="56"/>
        <v>146.00000008000001</v>
      </c>
    </row>
    <row r="219" spans="1:24">
      <c r="A219" s="22">
        <f>'Stats 2020'!D55</f>
        <v>44029</v>
      </c>
      <c r="B219" s="130">
        <f>'Stats 2020'!E55</f>
        <v>0</v>
      </c>
      <c r="C219" s="130">
        <v>0</v>
      </c>
      <c r="D219" s="130">
        <f>'Stats 2020'!G55</f>
        <v>0</v>
      </c>
      <c r="E219" s="130">
        <v>0</v>
      </c>
      <c r="F219" s="130">
        <f>'Stats 2020'!I55</f>
        <v>1</v>
      </c>
      <c r="G219" s="130">
        <f>'Stats 2020'!J55</f>
        <v>1</v>
      </c>
      <c r="J219" s="57" t="s">
        <v>221</v>
      </c>
      <c r="K219" s="86">
        <f t="shared" si="47"/>
        <v>44029</v>
      </c>
      <c r="L219" s="128">
        <f t="shared" si="48"/>
        <v>165.00000008000001</v>
      </c>
      <c r="M219" s="128">
        <f t="shared" si="49"/>
        <v>47.000000080000007</v>
      </c>
      <c r="N219" s="128">
        <f t="shared" si="50"/>
        <v>170</v>
      </c>
      <c r="O219" s="128">
        <f t="shared" si="51"/>
        <v>99</v>
      </c>
      <c r="P219" s="128">
        <f t="shared" si="52"/>
        <v>163</v>
      </c>
      <c r="Q219" s="128">
        <f t="shared" si="53"/>
        <v>176</v>
      </c>
      <c r="R219" s="128">
        <f t="shared" si="54"/>
        <v>6</v>
      </c>
      <c r="S219" s="1">
        <f t="shared" si="45"/>
        <v>1</v>
      </c>
      <c r="T219" s="128">
        <f t="shared" si="44"/>
        <v>-4.9999999199999934</v>
      </c>
      <c r="U219" s="128">
        <f t="shared" si="46"/>
        <v>820.00000016000001</v>
      </c>
      <c r="W219" s="128">
        <f t="shared" si="55"/>
        <v>176</v>
      </c>
      <c r="X219" s="128">
        <f t="shared" si="56"/>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222</v>
      </c>
      <c r="K220" s="86">
        <f t="shared" si="47"/>
        <v>44036</v>
      </c>
      <c r="L220" s="128">
        <f t="shared" si="48"/>
        <v>166.00000008000001</v>
      </c>
      <c r="M220" s="128">
        <f t="shared" si="49"/>
        <v>48.000000080000007</v>
      </c>
      <c r="N220" s="128">
        <f t="shared" si="50"/>
        <v>171</v>
      </c>
      <c r="O220" s="128">
        <f t="shared" si="51"/>
        <v>100</v>
      </c>
      <c r="P220" s="128">
        <f t="shared" si="52"/>
        <v>164</v>
      </c>
      <c r="Q220" s="128">
        <f t="shared" si="53"/>
        <v>176</v>
      </c>
      <c r="R220" s="128">
        <f t="shared" si="54"/>
        <v>5</v>
      </c>
      <c r="S220" s="1">
        <f t="shared" si="45"/>
        <v>1</v>
      </c>
      <c r="T220" s="128">
        <f t="shared" si="44"/>
        <v>-4.9999999199999934</v>
      </c>
      <c r="U220" s="128">
        <f t="shared" si="46"/>
        <v>825.00000016000001</v>
      </c>
      <c r="W220" s="128">
        <f t="shared" si="55"/>
        <v>176</v>
      </c>
      <c r="X220" s="128">
        <f t="shared" si="56"/>
        <v>148.00000008000001</v>
      </c>
    </row>
    <row r="221" spans="1:24">
      <c r="A221" s="22">
        <f>'Stats 2020'!D57</f>
        <v>44043</v>
      </c>
      <c r="B221" s="130">
        <f>'Stats 2020'!E57</f>
        <v>0</v>
      </c>
      <c r="C221" s="130">
        <v>0</v>
      </c>
      <c r="D221" s="130">
        <f>'Stats 2020'!G57</f>
        <v>1</v>
      </c>
      <c r="E221" s="130">
        <v>0</v>
      </c>
      <c r="F221" s="130">
        <f>'Stats 2020'!I57</f>
        <v>1</v>
      </c>
      <c r="G221" s="130">
        <f>'Stats 2020'!J57</f>
        <v>1</v>
      </c>
      <c r="J221" s="57" t="s">
        <v>223</v>
      </c>
      <c r="K221" s="86">
        <f t="shared" si="47"/>
        <v>44043</v>
      </c>
      <c r="L221" s="128">
        <f t="shared" si="48"/>
        <v>166.00000008000001</v>
      </c>
      <c r="M221" s="128">
        <f t="shared" si="49"/>
        <v>48.000000080000007</v>
      </c>
      <c r="N221" s="128">
        <f t="shared" si="50"/>
        <v>172</v>
      </c>
      <c r="O221" s="146">
        <f t="shared" si="51"/>
        <v>100</v>
      </c>
      <c r="P221" s="128">
        <f t="shared" si="52"/>
        <v>165</v>
      </c>
      <c r="Q221" s="128">
        <f t="shared" si="53"/>
        <v>177</v>
      </c>
      <c r="R221" s="128">
        <f t="shared" si="54"/>
        <v>5</v>
      </c>
      <c r="S221" s="1">
        <f t="shared" si="45"/>
        <v>1</v>
      </c>
      <c r="T221" s="128">
        <f t="shared" si="44"/>
        <v>-5.9999999199999934</v>
      </c>
      <c r="U221" s="128">
        <f t="shared" si="46"/>
        <v>828.00000016000001</v>
      </c>
      <c r="W221" s="128">
        <f t="shared" si="55"/>
        <v>177</v>
      </c>
      <c r="X221" s="128">
        <f t="shared" si="56"/>
        <v>148.00000008000001</v>
      </c>
    </row>
    <row r="222" spans="1:24">
      <c r="A222" s="22">
        <f>'Stats 2020'!D58</f>
        <v>44050</v>
      </c>
      <c r="B222" s="130">
        <f>'Stats 2020'!E58</f>
        <v>1</v>
      </c>
      <c r="C222" s="130">
        <v>0</v>
      </c>
      <c r="D222" s="130">
        <f>'Stats 2020'!G58</f>
        <v>1</v>
      </c>
      <c r="E222" s="130">
        <v>0</v>
      </c>
      <c r="F222" s="130">
        <f>'Stats 2020'!I58</f>
        <v>1</v>
      </c>
      <c r="G222" s="130">
        <f>'Stats 2020'!J58</f>
        <v>1</v>
      </c>
      <c r="J222" s="57" t="s">
        <v>224</v>
      </c>
      <c r="K222" s="86">
        <f t="shared" si="47"/>
        <v>44050</v>
      </c>
      <c r="L222" s="128">
        <f t="shared" si="48"/>
        <v>167.00000008000001</v>
      </c>
      <c r="M222" s="128">
        <f t="shared" si="49"/>
        <v>48.000000080000007</v>
      </c>
      <c r="N222" s="128">
        <f t="shared" si="50"/>
        <v>173</v>
      </c>
      <c r="O222" s="128">
        <f t="shared" si="51"/>
        <v>100</v>
      </c>
      <c r="P222" s="128">
        <f t="shared" si="52"/>
        <v>166</v>
      </c>
      <c r="Q222" s="128">
        <f t="shared" si="53"/>
        <v>178</v>
      </c>
      <c r="R222" s="128">
        <f t="shared" si="54"/>
        <v>5</v>
      </c>
      <c r="S222" s="1">
        <f t="shared" si="45"/>
        <v>1</v>
      </c>
      <c r="T222" s="128">
        <f t="shared" si="44"/>
        <v>-5.9999999199999934</v>
      </c>
      <c r="U222" s="128">
        <f t="shared" si="46"/>
        <v>832.00000016000001</v>
      </c>
      <c r="W222" s="128">
        <f t="shared" si="55"/>
        <v>178</v>
      </c>
      <c r="X222" s="128">
        <f t="shared" si="56"/>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225</v>
      </c>
      <c r="K223" s="86">
        <f t="shared" si="47"/>
        <v>44057</v>
      </c>
      <c r="L223" s="128">
        <f t="shared" si="48"/>
        <v>168.00000008000001</v>
      </c>
      <c r="M223" s="128">
        <f t="shared" si="49"/>
        <v>49.000000080000007</v>
      </c>
      <c r="N223" s="128">
        <f t="shared" si="50"/>
        <v>174</v>
      </c>
      <c r="O223" s="128">
        <f t="shared" si="51"/>
        <v>100</v>
      </c>
      <c r="P223" s="128">
        <f t="shared" si="52"/>
        <v>167</v>
      </c>
      <c r="Q223" s="128">
        <f t="shared" si="53"/>
        <v>179</v>
      </c>
      <c r="R223" s="128">
        <f t="shared" si="54"/>
        <v>5</v>
      </c>
      <c r="S223" s="1">
        <f t="shared" si="45"/>
        <v>1</v>
      </c>
      <c r="T223" s="128">
        <f t="shared" si="44"/>
        <v>-5.9999999199999934</v>
      </c>
      <c r="U223" s="128">
        <f t="shared" si="46"/>
        <v>837.00000016000001</v>
      </c>
      <c r="W223" s="128">
        <f t="shared" si="55"/>
        <v>179</v>
      </c>
      <c r="X223" s="128">
        <f t="shared" si="56"/>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226</v>
      </c>
      <c r="K224" s="86">
        <f t="shared" si="47"/>
        <v>44064</v>
      </c>
      <c r="L224" s="128">
        <f t="shared" si="48"/>
        <v>169.00000008000001</v>
      </c>
      <c r="M224" s="128">
        <f t="shared" si="49"/>
        <v>49.000000080000007</v>
      </c>
      <c r="N224" s="128">
        <f t="shared" si="50"/>
        <v>174</v>
      </c>
      <c r="O224" s="128">
        <f t="shared" si="51"/>
        <v>101</v>
      </c>
      <c r="P224" s="128">
        <f t="shared" si="52"/>
        <v>168</v>
      </c>
      <c r="Q224" s="128">
        <f t="shared" si="53"/>
        <v>180</v>
      </c>
      <c r="R224" s="128">
        <f t="shared" si="54"/>
        <v>6</v>
      </c>
      <c r="S224" s="1">
        <f t="shared" si="45"/>
        <v>1</v>
      </c>
      <c r="T224" s="128">
        <f t="shared" si="44"/>
        <v>-4.9999999199999934</v>
      </c>
      <c r="U224" s="128">
        <f t="shared" si="46"/>
        <v>841.00000016000001</v>
      </c>
      <c r="W224" s="128">
        <f t="shared" si="55"/>
        <v>180</v>
      </c>
      <c r="X224" s="128">
        <f t="shared" si="56"/>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227</v>
      </c>
      <c r="K225" s="86">
        <f t="shared" si="47"/>
        <v>44071</v>
      </c>
      <c r="L225" s="128">
        <f t="shared" si="48"/>
        <v>169.00000008000001</v>
      </c>
      <c r="M225" s="128">
        <f t="shared" si="49"/>
        <v>49.000000080000007</v>
      </c>
      <c r="N225" s="128">
        <f t="shared" si="50"/>
        <v>175</v>
      </c>
      <c r="O225" s="128">
        <f t="shared" si="51"/>
        <v>102</v>
      </c>
      <c r="P225" s="128">
        <f t="shared" si="52"/>
        <v>168</v>
      </c>
      <c r="Q225" s="128">
        <f t="shared" si="53"/>
        <v>181</v>
      </c>
      <c r="R225" s="128">
        <f t="shared" si="54"/>
        <v>6</v>
      </c>
      <c r="S225" s="1">
        <f t="shared" si="45"/>
        <v>1</v>
      </c>
      <c r="T225" s="128">
        <f t="shared" si="44"/>
        <v>-5.9999999199999934</v>
      </c>
      <c r="U225" s="128">
        <f t="shared" si="46"/>
        <v>844.00000016000001</v>
      </c>
      <c r="W225" s="128">
        <f t="shared" si="55"/>
        <v>181</v>
      </c>
      <c r="X225" s="128">
        <f t="shared" si="56"/>
        <v>151.00000008000001</v>
      </c>
    </row>
    <row r="226" spans="1:24">
      <c r="A226" s="22">
        <f>'Stats 2020'!D64</f>
        <v>44078</v>
      </c>
      <c r="B226" s="130">
        <f>'Stats 2020'!E64</f>
        <v>1</v>
      </c>
      <c r="C226" s="130">
        <v>0</v>
      </c>
      <c r="D226" s="130">
        <f>'Stats 2020'!G64</f>
        <v>1</v>
      </c>
      <c r="E226" s="130">
        <v>1</v>
      </c>
      <c r="F226" s="130">
        <f>'Stats 2020'!I64</f>
        <v>1</v>
      </c>
      <c r="G226" s="130">
        <f>'Stats 2020'!J64</f>
        <v>1</v>
      </c>
      <c r="J226" s="57" t="s">
        <v>228</v>
      </c>
      <c r="K226" s="86">
        <f t="shared" si="47"/>
        <v>44078</v>
      </c>
      <c r="L226" s="128">
        <f t="shared" si="48"/>
        <v>170.00000008000001</v>
      </c>
      <c r="M226" s="128">
        <f t="shared" si="49"/>
        <v>49.000000080000007</v>
      </c>
      <c r="N226" s="128">
        <f t="shared" si="50"/>
        <v>176</v>
      </c>
      <c r="O226" s="128">
        <f t="shared" si="51"/>
        <v>103</v>
      </c>
      <c r="P226" s="128">
        <f t="shared" si="52"/>
        <v>169</v>
      </c>
      <c r="Q226" s="128">
        <f t="shared" si="53"/>
        <v>182</v>
      </c>
      <c r="R226" s="128">
        <f t="shared" si="54"/>
        <v>6</v>
      </c>
      <c r="S226" s="1">
        <f t="shared" si="45"/>
        <v>1</v>
      </c>
      <c r="T226" s="128">
        <f t="shared" si="44"/>
        <v>-5.9999999199999934</v>
      </c>
      <c r="U226" s="128">
        <f t="shared" si="46"/>
        <v>849.00000016000001</v>
      </c>
      <c r="W226" s="128">
        <f t="shared" si="55"/>
        <v>182</v>
      </c>
      <c r="X226" s="128">
        <f t="shared" si="56"/>
        <v>152.00000008000001</v>
      </c>
    </row>
    <row r="227" spans="1:24">
      <c r="A227" s="22">
        <f>'Stats 2020'!D65</f>
        <v>44085</v>
      </c>
      <c r="B227" s="130">
        <f>'Stats 2020'!E65</f>
        <v>1</v>
      </c>
      <c r="C227" s="130">
        <v>0</v>
      </c>
      <c r="D227" s="130">
        <f>'Stats 2020'!G65</f>
        <v>1</v>
      </c>
      <c r="E227" s="130">
        <v>0</v>
      </c>
      <c r="F227" s="130">
        <f>'Stats 2020'!I65</f>
        <v>1</v>
      </c>
      <c r="G227" s="130">
        <f>'Stats 2020'!J65</f>
        <v>1</v>
      </c>
      <c r="J227" s="57" t="s">
        <v>229</v>
      </c>
      <c r="K227" s="86">
        <f t="shared" si="47"/>
        <v>44085</v>
      </c>
      <c r="L227" s="128">
        <f t="shared" si="48"/>
        <v>171.00000008000001</v>
      </c>
      <c r="M227" s="128">
        <f t="shared" si="49"/>
        <v>49.000000080000007</v>
      </c>
      <c r="N227" s="128">
        <f t="shared" si="50"/>
        <v>177</v>
      </c>
      <c r="O227" s="128">
        <f t="shared" si="51"/>
        <v>103</v>
      </c>
      <c r="P227" s="128">
        <f t="shared" si="52"/>
        <v>170</v>
      </c>
      <c r="Q227" s="128">
        <f t="shared" si="53"/>
        <v>183</v>
      </c>
      <c r="R227" s="128">
        <f t="shared" si="54"/>
        <v>6</v>
      </c>
      <c r="S227" s="1">
        <f t="shared" si="45"/>
        <v>1</v>
      </c>
      <c r="T227" s="128">
        <f t="shared" si="44"/>
        <v>-5.9999999199999934</v>
      </c>
      <c r="U227" s="128">
        <f t="shared" si="46"/>
        <v>853.00000016000001</v>
      </c>
      <c r="W227" s="128">
        <f t="shared" si="55"/>
        <v>183</v>
      </c>
      <c r="X227" s="128">
        <f t="shared" si="56"/>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230</v>
      </c>
      <c r="K228" s="86">
        <f t="shared" si="47"/>
        <v>44092</v>
      </c>
      <c r="L228" s="128">
        <f t="shared" si="48"/>
        <v>172.00000008000001</v>
      </c>
      <c r="M228" s="128">
        <f t="shared" si="49"/>
        <v>49.000000080000007</v>
      </c>
      <c r="N228" s="128">
        <f t="shared" si="50"/>
        <v>178</v>
      </c>
      <c r="O228" s="128">
        <f t="shared" si="51"/>
        <v>104</v>
      </c>
      <c r="P228" s="128">
        <f t="shared" si="52"/>
        <v>170</v>
      </c>
      <c r="Q228" s="128">
        <f t="shared" si="53"/>
        <v>184</v>
      </c>
      <c r="R228" s="128">
        <f t="shared" si="54"/>
        <v>6</v>
      </c>
      <c r="S228" s="1">
        <f t="shared" si="45"/>
        <v>1</v>
      </c>
      <c r="T228" s="128">
        <f t="shared" si="44"/>
        <v>-5.9999999199999934</v>
      </c>
      <c r="U228" s="128">
        <f t="shared" si="46"/>
        <v>857.00000016000001</v>
      </c>
      <c r="W228" s="128">
        <f t="shared" si="55"/>
        <v>184</v>
      </c>
      <c r="X228" s="128">
        <f t="shared" si="56"/>
        <v>153.00000008000001</v>
      </c>
    </row>
    <row r="229" spans="1:24">
      <c r="A229" s="22">
        <f>'Stats 2020'!D68</f>
        <v>44099</v>
      </c>
      <c r="B229" s="130">
        <f>'Stats 2020'!E68</f>
        <v>1</v>
      </c>
      <c r="C229" s="130">
        <v>0</v>
      </c>
      <c r="D229" s="130">
        <f>'Stats 2020'!G68</f>
        <v>1</v>
      </c>
      <c r="E229" s="130">
        <v>0</v>
      </c>
      <c r="F229" s="130">
        <f>'Stats 2020'!I68</f>
        <v>1</v>
      </c>
      <c r="G229" s="130">
        <f>'Stats 2020'!J68</f>
        <v>1</v>
      </c>
      <c r="J229" s="57" t="s">
        <v>231</v>
      </c>
      <c r="K229" s="86">
        <f t="shared" si="47"/>
        <v>44099</v>
      </c>
      <c r="L229" s="128">
        <f t="shared" si="48"/>
        <v>173.00000008000001</v>
      </c>
      <c r="M229" s="128">
        <f t="shared" si="49"/>
        <v>49.000000080000007</v>
      </c>
      <c r="N229" s="128">
        <f t="shared" si="50"/>
        <v>179</v>
      </c>
      <c r="O229" s="128">
        <f t="shared" si="51"/>
        <v>104</v>
      </c>
      <c r="P229" s="128">
        <f t="shared" si="52"/>
        <v>171</v>
      </c>
      <c r="Q229" s="128">
        <f t="shared" si="53"/>
        <v>185</v>
      </c>
      <c r="R229" s="128">
        <f t="shared" si="54"/>
        <v>6</v>
      </c>
      <c r="S229" s="1">
        <f t="shared" si="45"/>
        <v>1</v>
      </c>
      <c r="T229" s="128">
        <f t="shared" si="44"/>
        <v>-5.9999999199999934</v>
      </c>
      <c r="U229" s="128">
        <f t="shared" si="46"/>
        <v>861.00000016000001</v>
      </c>
      <c r="W229" s="128">
        <f t="shared" si="55"/>
        <v>185</v>
      </c>
      <c r="X229" s="128">
        <f t="shared" si="56"/>
        <v>153.00000008000001</v>
      </c>
    </row>
    <row r="230" spans="1:24">
      <c r="A230" s="22">
        <f>'Stats 2020'!D69</f>
        <v>44106</v>
      </c>
      <c r="B230" s="130">
        <f>'Stats 2020'!E69</f>
        <v>1</v>
      </c>
      <c r="C230" s="130">
        <v>0</v>
      </c>
      <c r="D230" s="130">
        <f>'Stats 2020'!G69</f>
        <v>1</v>
      </c>
      <c r="E230" s="130">
        <v>0</v>
      </c>
      <c r="F230" s="130">
        <f>'Stats 2020'!I69</f>
        <v>1</v>
      </c>
      <c r="G230" s="130">
        <f>'Stats 2020'!J69</f>
        <v>1</v>
      </c>
      <c r="J230" s="57" t="s">
        <v>232</v>
      </c>
      <c r="K230" s="86">
        <f t="shared" si="47"/>
        <v>44106</v>
      </c>
      <c r="L230" s="128">
        <f t="shared" si="48"/>
        <v>174.00000008000001</v>
      </c>
      <c r="M230" s="128">
        <f t="shared" si="49"/>
        <v>49.000000080000007</v>
      </c>
      <c r="N230" s="128">
        <f t="shared" si="50"/>
        <v>180</v>
      </c>
      <c r="O230" s="128">
        <f t="shared" si="51"/>
        <v>104</v>
      </c>
      <c r="P230" s="128">
        <f t="shared" si="52"/>
        <v>172</v>
      </c>
      <c r="Q230" s="128">
        <f t="shared" si="53"/>
        <v>186</v>
      </c>
      <c r="R230" s="128">
        <f t="shared" si="54"/>
        <v>6</v>
      </c>
      <c r="S230" s="1">
        <f t="shared" si="45"/>
        <v>1</v>
      </c>
      <c r="T230" s="128">
        <f t="shared" si="44"/>
        <v>-5.9999999199999934</v>
      </c>
      <c r="U230" s="128">
        <f t="shared" si="46"/>
        <v>865.00000016000001</v>
      </c>
      <c r="W230" s="128">
        <f t="shared" si="55"/>
        <v>186</v>
      </c>
      <c r="X230" s="128">
        <f t="shared" si="56"/>
        <v>153.00000008000001</v>
      </c>
    </row>
    <row r="231" spans="1:24">
      <c r="A231" s="22">
        <f>'Stats 2020'!D71</f>
        <v>44113</v>
      </c>
      <c r="B231" s="130">
        <f>'Stats 2020'!E71</f>
        <v>1</v>
      </c>
      <c r="C231" s="130">
        <v>0</v>
      </c>
      <c r="D231" s="130">
        <f>'Stats 2020'!G71</f>
        <v>0</v>
      </c>
      <c r="E231" s="130">
        <v>0</v>
      </c>
      <c r="F231" s="130">
        <f>'Stats 2020'!I71</f>
        <v>1</v>
      </c>
      <c r="G231" s="130">
        <f>'Stats 2020'!J71</f>
        <v>1</v>
      </c>
      <c r="J231" s="57" t="s">
        <v>233</v>
      </c>
      <c r="K231" s="86">
        <f t="shared" si="47"/>
        <v>44113</v>
      </c>
      <c r="L231" s="128">
        <f t="shared" si="48"/>
        <v>175.00000008000001</v>
      </c>
      <c r="M231" s="128">
        <f t="shared" si="49"/>
        <v>49.000000080000007</v>
      </c>
      <c r="N231" s="128">
        <f t="shared" si="50"/>
        <v>180</v>
      </c>
      <c r="O231" s="128">
        <f t="shared" si="51"/>
        <v>104</v>
      </c>
      <c r="P231" s="128">
        <f t="shared" si="52"/>
        <v>173</v>
      </c>
      <c r="Q231" s="128">
        <f t="shared" si="53"/>
        <v>187</v>
      </c>
      <c r="R231" s="128">
        <f t="shared" si="54"/>
        <v>7</v>
      </c>
      <c r="S231" s="1">
        <f t="shared" si="45"/>
        <v>1</v>
      </c>
      <c r="T231" s="128">
        <f t="shared" ref="T231:T294" si="57">L231-N231</f>
        <v>-4.9999999199999934</v>
      </c>
      <c r="U231" s="128">
        <f t="shared" si="46"/>
        <v>868.00000016000001</v>
      </c>
      <c r="W231" s="128">
        <f t="shared" si="55"/>
        <v>187</v>
      </c>
      <c r="X231" s="128">
        <f t="shared" si="56"/>
        <v>153.00000008000001</v>
      </c>
    </row>
    <row r="232" spans="1:24">
      <c r="A232" s="22">
        <f>'Stats 2020'!D72</f>
        <v>44120</v>
      </c>
      <c r="B232" s="130">
        <f>'Stats 2020'!E72</f>
        <v>1</v>
      </c>
      <c r="C232" s="130">
        <v>0</v>
      </c>
      <c r="D232" s="130">
        <f>'Stats 2020'!G72</f>
        <v>1</v>
      </c>
      <c r="E232" s="130">
        <v>0</v>
      </c>
      <c r="F232" s="130">
        <f>'Stats 2020'!I72</f>
        <v>1</v>
      </c>
      <c r="G232" s="130">
        <f>'Stats 2020'!J72</f>
        <v>1</v>
      </c>
      <c r="J232" s="57" t="s">
        <v>234</v>
      </c>
      <c r="K232" s="86">
        <f t="shared" si="47"/>
        <v>44120</v>
      </c>
      <c r="L232" s="128">
        <f t="shared" si="48"/>
        <v>176.00000008000001</v>
      </c>
      <c r="M232" s="128">
        <f t="shared" si="49"/>
        <v>49.000000080000007</v>
      </c>
      <c r="N232" s="128">
        <f t="shared" si="50"/>
        <v>181</v>
      </c>
      <c r="O232" s="128">
        <f t="shared" si="51"/>
        <v>104</v>
      </c>
      <c r="P232" s="128">
        <f t="shared" si="52"/>
        <v>174</v>
      </c>
      <c r="Q232" s="128">
        <f t="shared" si="53"/>
        <v>188</v>
      </c>
      <c r="R232" s="128">
        <f t="shared" si="54"/>
        <v>7</v>
      </c>
      <c r="S232" s="1">
        <f t="shared" si="45"/>
        <v>1</v>
      </c>
      <c r="T232" s="128">
        <f t="shared" si="57"/>
        <v>-4.9999999199999934</v>
      </c>
      <c r="U232" s="128">
        <f t="shared" si="46"/>
        <v>872.00000016000001</v>
      </c>
      <c r="W232" s="128">
        <f t="shared" si="55"/>
        <v>188</v>
      </c>
      <c r="X232" s="128">
        <f t="shared" si="56"/>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235</v>
      </c>
      <c r="K233" s="86">
        <f t="shared" si="47"/>
        <v>44127</v>
      </c>
      <c r="L233" s="128">
        <f t="shared" si="48"/>
        <v>177.00000008000001</v>
      </c>
      <c r="M233" s="128">
        <f t="shared" si="49"/>
        <v>50.000000080000007</v>
      </c>
      <c r="N233" s="128">
        <f t="shared" si="50"/>
        <v>181</v>
      </c>
      <c r="O233" s="128">
        <f t="shared" si="51"/>
        <v>104</v>
      </c>
      <c r="P233" s="128">
        <f t="shared" si="52"/>
        <v>174</v>
      </c>
      <c r="Q233" s="128">
        <f t="shared" si="53"/>
        <v>189</v>
      </c>
      <c r="R233" s="128">
        <f t="shared" si="54"/>
        <v>8</v>
      </c>
      <c r="S233" s="1">
        <f t="shared" si="45"/>
        <v>1</v>
      </c>
      <c r="T233" s="128">
        <f t="shared" si="57"/>
        <v>-3.9999999199999934</v>
      </c>
      <c r="U233" s="128">
        <f t="shared" si="46"/>
        <v>875.00000016000001</v>
      </c>
      <c r="W233" s="128">
        <f t="shared" si="55"/>
        <v>189</v>
      </c>
      <c r="X233" s="128">
        <f t="shared" si="56"/>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236</v>
      </c>
      <c r="K234" s="86">
        <f t="shared" si="47"/>
        <v>44134</v>
      </c>
      <c r="L234" s="128">
        <f t="shared" si="48"/>
        <v>178.00000008000001</v>
      </c>
      <c r="M234" s="128">
        <f t="shared" si="49"/>
        <v>51.000000080000007</v>
      </c>
      <c r="N234" s="128">
        <f t="shared" si="50"/>
        <v>182</v>
      </c>
      <c r="O234" s="128">
        <f t="shared" si="51"/>
        <v>105</v>
      </c>
      <c r="P234" s="128">
        <f t="shared" si="52"/>
        <v>175</v>
      </c>
      <c r="Q234" s="128">
        <f t="shared" si="53"/>
        <v>190</v>
      </c>
      <c r="R234" s="128">
        <f t="shared" si="54"/>
        <v>8</v>
      </c>
      <c r="S234" s="1">
        <f t="shared" ref="S234:S239" si="58">IF(Q234&gt;L234,1,0)</f>
        <v>1</v>
      </c>
      <c r="T234" s="128">
        <f t="shared" si="57"/>
        <v>-3.9999999199999934</v>
      </c>
      <c r="U234" s="128">
        <f t="shared" si="46"/>
        <v>881.00000016000001</v>
      </c>
      <c r="W234" s="128">
        <f t="shared" si="55"/>
        <v>190</v>
      </c>
      <c r="X234" s="128">
        <f t="shared" si="56"/>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237</v>
      </c>
      <c r="K235" s="86">
        <f t="shared" si="47"/>
        <v>44141</v>
      </c>
      <c r="L235" s="128">
        <f t="shared" si="48"/>
        <v>179.00000008000001</v>
      </c>
      <c r="M235" s="128">
        <f t="shared" si="49"/>
        <v>52.000000080000007</v>
      </c>
      <c r="N235" s="128">
        <f t="shared" si="50"/>
        <v>182</v>
      </c>
      <c r="O235" s="128">
        <f t="shared" si="51"/>
        <v>105</v>
      </c>
      <c r="P235" s="128">
        <f t="shared" si="52"/>
        <v>176</v>
      </c>
      <c r="Q235" s="128">
        <f t="shared" si="53"/>
        <v>191</v>
      </c>
      <c r="R235" s="128">
        <f t="shared" si="54"/>
        <v>9</v>
      </c>
      <c r="S235" s="1">
        <f t="shared" si="58"/>
        <v>1</v>
      </c>
      <c r="T235" s="128">
        <f t="shared" si="57"/>
        <v>-2.9999999199999934</v>
      </c>
      <c r="U235" s="128">
        <f t="shared" si="46"/>
        <v>885.00000016000001</v>
      </c>
      <c r="W235" s="128">
        <f t="shared" si="55"/>
        <v>191</v>
      </c>
      <c r="X235" s="128">
        <f t="shared" si="56"/>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238</v>
      </c>
      <c r="K236" s="86">
        <f t="shared" si="47"/>
        <v>44148</v>
      </c>
      <c r="L236" s="128">
        <f t="shared" si="48"/>
        <v>179.00000008000001</v>
      </c>
      <c r="M236" s="128">
        <f t="shared" si="49"/>
        <v>53.000000080000007</v>
      </c>
      <c r="N236" s="128">
        <f t="shared" si="50"/>
        <v>183</v>
      </c>
      <c r="O236" s="128">
        <f t="shared" si="51"/>
        <v>105</v>
      </c>
      <c r="P236" s="128">
        <f t="shared" si="52"/>
        <v>177</v>
      </c>
      <c r="Q236" s="128">
        <f t="shared" si="53"/>
        <v>192</v>
      </c>
      <c r="R236" s="128">
        <f t="shared" si="54"/>
        <v>9</v>
      </c>
      <c r="S236" s="1">
        <f t="shared" si="58"/>
        <v>1</v>
      </c>
      <c r="T236" s="128">
        <f t="shared" si="57"/>
        <v>-3.9999999199999934</v>
      </c>
      <c r="U236" s="128">
        <f t="shared" si="46"/>
        <v>889.00000016000001</v>
      </c>
      <c r="W236" s="128">
        <f t="shared" si="55"/>
        <v>192</v>
      </c>
      <c r="X236" s="128">
        <f t="shared" si="56"/>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239</v>
      </c>
      <c r="K237" s="86">
        <f t="shared" si="47"/>
        <v>44155</v>
      </c>
      <c r="L237" s="128">
        <f t="shared" si="48"/>
        <v>180.00000008000001</v>
      </c>
      <c r="M237" s="128">
        <f t="shared" si="49"/>
        <v>54.000000080000007</v>
      </c>
      <c r="N237" s="128">
        <f t="shared" si="50"/>
        <v>184</v>
      </c>
      <c r="O237" s="128">
        <f t="shared" si="51"/>
        <v>106</v>
      </c>
      <c r="P237" s="128">
        <f t="shared" si="52"/>
        <v>178</v>
      </c>
      <c r="Q237" s="128">
        <f t="shared" si="53"/>
        <v>193</v>
      </c>
      <c r="R237" s="128">
        <f t="shared" si="54"/>
        <v>9</v>
      </c>
      <c r="S237" s="1">
        <f t="shared" si="58"/>
        <v>1</v>
      </c>
      <c r="T237" s="128">
        <f t="shared" si="57"/>
        <v>-3.9999999199999934</v>
      </c>
      <c r="U237" s="128">
        <f t="shared" si="46"/>
        <v>895.00000016000001</v>
      </c>
      <c r="W237" s="128">
        <f t="shared" si="55"/>
        <v>193</v>
      </c>
      <c r="X237" s="128">
        <f t="shared" si="56"/>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240</v>
      </c>
      <c r="K238" s="86">
        <f t="shared" si="47"/>
        <v>44162</v>
      </c>
      <c r="L238" s="128">
        <f t="shared" si="48"/>
        <v>181.00000008000001</v>
      </c>
      <c r="M238" s="128">
        <f t="shared" si="49"/>
        <v>54.000000080000007</v>
      </c>
      <c r="N238" s="128">
        <f t="shared" si="50"/>
        <v>185</v>
      </c>
      <c r="O238" s="128">
        <f t="shared" si="51"/>
        <v>107</v>
      </c>
      <c r="P238" s="128">
        <f t="shared" si="52"/>
        <v>179</v>
      </c>
      <c r="Q238" s="128">
        <f t="shared" si="53"/>
        <v>194</v>
      </c>
      <c r="R238" s="128">
        <f t="shared" si="54"/>
        <v>9</v>
      </c>
      <c r="S238" s="1">
        <f t="shared" si="58"/>
        <v>1</v>
      </c>
      <c r="T238" s="128">
        <f t="shared" si="57"/>
        <v>-3.9999999199999934</v>
      </c>
      <c r="U238" s="128">
        <f t="shared" si="46"/>
        <v>900.00000016000001</v>
      </c>
      <c r="W238" s="128">
        <f t="shared" si="55"/>
        <v>194</v>
      </c>
      <c r="X238" s="128">
        <f t="shared" si="56"/>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241</v>
      </c>
      <c r="K239" s="86">
        <f t="shared" si="47"/>
        <v>44169</v>
      </c>
      <c r="L239" s="128">
        <f t="shared" si="48"/>
        <v>181.00000008000001</v>
      </c>
      <c r="M239" s="128">
        <f t="shared" si="49"/>
        <v>55.000000080000007</v>
      </c>
      <c r="N239" s="128">
        <f t="shared" si="50"/>
        <v>186</v>
      </c>
      <c r="O239" s="128">
        <f t="shared" si="51"/>
        <v>107</v>
      </c>
      <c r="P239" s="128">
        <f t="shared" si="52"/>
        <v>180</v>
      </c>
      <c r="Q239" s="128">
        <f t="shared" si="53"/>
        <v>195</v>
      </c>
      <c r="R239" s="128">
        <f t="shared" si="54"/>
        <v>9</v>
      </c>
      <c r="S239" s="1">
        <f t="shared" si="58"/>
        <v>1</v>
      </c>
      <c r="T239" s="128">
        <f t="shared" si="57"/>
        <v>-4.9999999199999934</v>
      </c>
      <c r="U239" s="128">
        <f t="shared" si="46"/>
        <v>904.00000016000001</v>
      </c>
      <c r="W239" s="128">
        <f t="shared" si="55"/>
        <v>195</v>
      </c>
      <c r="X239" s="128">
        <f t="shared" si="56"/>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242</v>
      </c>
      <c r="K240" s="86">
        <f t="shared" si="47"/>
        <v>44176</v>
      </c>
      <c r="L240" s="128">
        <f t="shared" si="48"/>
        <v>182.00000008000001</v>
      </c>
      <c r="M240" s="128">
        <f t="shared" si="49"/>
        <v>56.000000080000007</v>
      </c>
      <c r="N240" s="128">
        <f t="shared" si="50"/>
        <v>187</v>
      </c>
      <c r="O240" s="128">
        <f t="shared" si="51"/>
        <v>107</v>
      </c>
      <c r="P240" s="128">
        <f t="shared" si="52"/>
        <v>181</v>
      </c>
      <c r="Q240" s="128">
        <f t="shared" si="53"/>
        <v>196</v>
      </c>
      <c r="R240" s="128">
        <f t="shared" si="54"/>
        <v>9</v>
      </c>
      <c r="S240" s="1">
        <f t="shared" ref="S240:S265" si="59">IF(Q240&gt;L240,1,0)</f>
        <v>1</v>
      </c>
      <c r="T240" s="128">
        <f t="shared" si="57"/>
        <v>-4.9999999199999934</v>
      </c>
      <c r="U240" s="128">
        <f t="shared" si="46"/>
        <v>909.00000016000001</v>
      </c>
      <c r="W240" s="128">
        <f t="shared" si="55"/>
        <v>196</v>
      </c>
      <c r="X240" s="128">
        <f t="shared" si="56"/>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243</v>
      </c>
      <c r="K241" s="86">
        <f t="shared" si="47"/>
        <v>44183</v>
      </c>
      <c r="L241" s="128">
        <f t="shared" si="48"/>
        <v>183.00000008000001</v>
      </c>
      <c r="M241" s="128">
        <f t="shared" si="49"/>
        <v>57.000000080000007</v>
      </c>
      <c r="N241" s="128">
        <f t="shared" si="50"/>
        <v>187</v>
      </c>
      <c r="O241" s="128">
        <f t="shared" si="51"/>
        <v>108</v>
      </c>
      <c r="P241" s="128">
        <f t="shared" si="52"/>
        <v>181</v>
      </c>
      <c r="Q241" s="128">
        <f t="shared" si="53"/>
        <v>197</v>
      </c>
      <c r="R241" s="128">
        <f t="shared" si="54"/>
        <v>10</v>
      </c>
      <c r="S241" s="1">
        <f t="shared" si="59"/>
        <v>1</v>
      </c>
      <c r="T241" s="128">
        <f t="shared" si="57"/>
        <v>-3.9999999199999934</v>
      </c>
      <c r="U241" s="128">
        <f t="shared" si="46"/>
        <v>913.00000016000001</v>
      </c>
      <c r="W241" s="128">
        <f t="shared" si="55"/>
        <v>197</v>
      </c>
      <c r="X241" s="128">
        <f t="shared" si="56"/>
        <v>165.00000008000001</v>
      </c>
    </row>
    <row r="242" spans="1:28">
      <c r="A242" s="22">
        <f>'Stats 2020'!D85</f>
        <v>44204</v>
      </c>
      <c r="B242" s="130">
        <f>'Stats 2020'!E85</f>
        <v>1</v>
      </c>
      <c r="C242" s="130">
        <v>0</v>
      </c>
      <c r="D242" s="130">
        <f>'Stats 2020'!G85</f>
        <v>0</v>
      </c>
      <c r="E242" s="130">
        <v>0</v>
      </c>
      <c r="F242" s="130">
        <f>'Stats 2020'!I85</f>
        <v>0</v>
      </c>
      <c r="G242" s="130">
        <f>'Stats 2020'!J85</f>
        <v>1</v>
      </c>
      <c r="J242" s="57" t="s">
        <v>244</v>
      </c>
      <c r="K242" s="86">
        <f t="shared" si="47"/>
        <v>44204</v>
      </c>
      <c r="L242" s="128">
        <f t="shared" si="48"/>
        <v>184.00000008000001</v>
      </c>
      <c r="M242" s="128">
        <f t="shared" si="49"/>
        <v>57.000000080000007</v>
      </c>
      <c r="N242" s="128">
        <f t="shared" si="50"/>
        <v>187</v>
      </c>
      <c r="O242" s="128">
        <f t="shared" si="51"/>
        <v>108</v>
      </c>
      <c r="P242" s="128">
        <f t="shared" si="52"/>
        <v>181</v>
      </c>
      <c r="Q242" s="128">
        <f t="shared" si="53"/>
        <v>198</v>
      </c>
      <c r="R242" s="128">
        <f t="shared" si="54"/>
        <v>11</v>
      </c>
      <c r="S242" s="1">
        <f t="shared" si="59"/>
        <v>1</v>
      </c>
      <c r="T242" s="128">
        <f t="shared" si="57"/>
        <v>-2.9999999199999934</v>
      </c>
      <c r="U242" s="128">
        <f t="shared" si="46"/>
        <v>915.00000016000001</v>
      </c>
      <c r="W242" s="128">
        <f t="shared" si="55"/>
        <v>198</v>
      </c>
      <c r="X242" s="128">
        <f t="shared" si="56"/>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245</v>
      </c>
      <c r="K243" s="86">
        <f t="shared" si="47"/>
        <v>44211</v>
      </c>
      <c r="L243" s="128">
        <f t="shared" si="48"/>
        <v>184.00000008000001</v>
      </c>
      <c r="M243" s="128">
        <f t="shared" si="49"/>
        <v>58.000000080000007</v>
      </c>
      <c r="N243" s="128">
        <f t="shared" si="50"/>
        <v>187</v>
      </c>
      <c r="O243" s="128">
        <f t="shared" si="51"/>
        <v>109</v>
      </c>
      <c r="P243" s="128">
        <f t="shared" si="52"/>
        <v>181</v>
      </c>
      <c r="Q243" s="128">
        <f t="shared" si="53"/>
        <v>199</v>
      </c>
      <c r="R243" s="128">
        <f t="shared" si="54"/>
        <v>12</v>
      </c>
      <c r="S243" s="1">
        <f t="shared" si="59"/>
        <v>1</v>
      </c>
      <c r="T243" s="128">
        <f t="shared" si="57"/>
        <v>-2.9999999199999934</v>
      </c>
      <c r="U243" s="128">
        <f t="shared" si="46"/>
        <v>918.00000016000001</v>
      </c>
      <c r="W243" s="128">
        <f t="shared" si="55"/>
        <v>199</v>
      </c>
      <c r="X243" s="128">
        <f t="shared" si="56"/>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246</v>
      </c>
      <c r="K244" s="86">
        <f t="shared" si="47"/>
        <v>44218</v>
      </c>
      <c r="L244" s="128">
        <f t="shared" si="48"/>
        <v>185.00000008000001</v>
      </c>
      <c r="M244" s="128">
        <f t="shared" si="49"/>
        <v>59.000000080000007</v>
      </c>
      <c r="N244" s="128">
        <f t="shared" si="50"/>
        <v>188</v>
      </c>
      <c r="O244" s="128">
        <f t="shared" si="51"/>
        <v>110</v>
      </c>
      <c r="P244" s="128">
        <f t="shared" si="52"/>
        <v>182</v>
      </c>
      <c r="Q244" s="147">
        <f t="shared" si="53"/>
        <v>200</v>
      </c>
      <c r="R244" s="128">
        <f t="shared" si="54"/>
        <v>12</v>
      </c>
      <c r="S244" s="1">
        <f t="shared" si="59"/>
        <v>1</v>
      </c>
      <c r="T244" s="128">
        <f t="shared" si="57"/>
        <v>-2.9999999199999934</v>
      </c>
      <c r="U244" s="128">
        <f t="shared" si="46"/>
        <v>924.00000016000001</v>
      </c>
      <c r="W244" s="128">
        <f t="shared" si="55"/>
        <v>200</v>
      </c>
      <c r="X244" s="128">
        <f t="shared" si="56"/>
        <v>169.00000008000001</v>
      </c>
    </row>
    <row r="245" spans="1:28">
      <c r="A245" s="22">
        <f>'Stats 2020'!D89</f>
        <v>44225</v>
      </c>
      <c r="B245" s="130">
        <f>'Stats 2020'!E89</f>
        <v>0</v>
      </c>
      <c r="C245" s="130">
        <v>0</v>
      </c>
      <c r="D245" s="130">
        <f>'Stats 2020'!G89</f>
        <v>1</v>
      </c>
      <c r="E245" s="130">
        <v>0</v>
      </c>
      <c r="F245" s="130">
        <f>'Stats 2020'!I89</f>
        <v>1</v>
      </c>
      <c r="G245" s="130">
        <f>'Stats 2020'!J89</f>
        <v>0</v>
      </c>
      <c r="J245" s="57" t="s">
        <v>247</v>
      </c>
      <c r="K245" s="86">
        <f t="shared" si="47"/>
        <v>44225</v>
      </c>
      <c r="L245" s="128">
        <f t="shared" si="48"/>
        <v>185.00000008000001</v>
      </c>
      <c r="M245" s="128">
        <f t="shared" si="49"/>
        <v>59.000000080000007</v>
      </c>
      <c r="N245" s="128">
        <f t="shared" si="50"/>
        <v>189</v>
      </c>
      <c r="O245" s="128">
        <f t="shared" si="51"/>
        <v>110</v>
      </c>
      <c r="P245" s="128">
        <f t="shared" si="52"/>
        <v>183</v>
      </c>
      <c r="Q245" s="128">
        <f t="shared" si="53"/>
        <v>200</v>
      </c>
      <c r="R245" s="128">
        <f t="shared" si="54"/>
        <v>11</v>
      </c>
      <c r="S245" s="1">
        <f t="shared" si="59"/>
        <v>1</v>
      </c>
      <c r="T245" s="128">
        <f t="shared" si="57"/>
        <v>-3.9999999199999934</v>
      </c>
      <c r="U245" s="128">
        <f t="shared" si="46"/>
        <v>926.00000016000001</v>
      </c>
      <c r="W245" s="128">
        <f t="shared" si="55"/>
        <v>200</v>
      </c>
      <c r="X245" s="128">
        <f t="shared" si="56"/>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248</v>
      </c>
      <c r="K246" s="86">
        <f t="shared" si="47"/>
        <v>44232</v>
      </c>
      <c r="L246" s="128">
        <f t="shared" si="48"/>
        <v>186.00000008000001</v>
      </c>
      <c r="M246" s="128">
        <f t="shared" si="49"/>
        <v>60.000000080000007</v>
      </c>
      <c r="N246" s="128">
        <f t="shared" si="50"/>
        <v>190</v>
      </c>
      <c r="O246" s="128">
        <f t="shared" si="51"/>
        <v>111</v>
      </c>
      <c r="P246" s="128">
        <f t="shared" si="52"/>
        <v>184</v>
      </c>
      <c r="Q246" s="128">
        <f t="shared" si="53"/>
        <v>201</v>
      </c>
      <c r="R246" s="128">
        <f t="shared" si="54"/>
        <v>11</v>
      </c>
      <c r="S246" s="1">
        <f t="shared" si="59"/>
        <v>1</v>
      </c>
      <c r="T246" s="128">
        <f t="shared" si="57"/>
        <v>-3.9999999199999934</v>
      </c>
      <c r="U246" s="128">
        <f t="shared" si="46"/>
        <v>932.00000016000001</v>
      </c>
      <c r="W246" s="128">
        <f t="shared" si="55"/>
        <v>201</v>
      </c>
      <c r="X246" s="128">
        <f t="shared" si="56"/>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249</v>
      </c>
      <c r="K247" s="86">
        <f t="shared" si="47"/>
        <v>44239</v>
      </c>
      <c r="L247" s="128">
        <f t="shared" si="48"/>
        <v>187.00000008000001</v>
      </c>
      <c r="M247" s="128">
        <f t="shared" si="49"/>
        <v>61.000000080000007</v>
      </c>
      <c r="N247" s="128">
        <f t="shared" si="50"/>
        <v>191</v>
      </c>
      <c r="O247" s="128">
        <f t="shared" si="51"/>
        <v>111</v>
      </c>
      <c r="P247" s="128">
        <f t="shared" si="52"/>
        <v>185</v>
      </c>
      <c r="Q247" s="128">
        <f t="shared" si="53"/>
        <v>202</v>
      </c>
      <c r="R247" s="128">
        <f t="shared" si="54"/>
        <v>11</v>
      </c>
      <c r="S247" s="1">
        <f t="shared" si="59"/>
        <v>1</v>
      </c>
      <c r="T247" s="128">
        <f t="shared" si="57"/>
        <v>-3.9999999199999934</v>
      </c>
      <c r="U247" s="128">
        <f t="shared" si="46"/>
        <v>937.00000016000001</v>
      </c>
      <c r="W247" s="128">
        <f t="shared" si="55"/>
        <v>202</v>
      </c>
      <c r="X247" s="128">
        <f t="shared" si="56"/>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250</v>
      </c>
      <c r="K248" s="86">
        <f t="shared" si="47"/>
        <v>44246</v>
      </c>
      <c r="L248" s="128">
        <f t="shared" si="48"/>
        <v>188.00000008000001</v>
      </c>
      <c r="M248" s="128">
        <f t="shared" si="49"/>
        <v>62.000000080000007</v>
      </c>
      <c r="N248" s="128">
        <f t="shared" si="50"/>
        <v>191</v>
      </c>
      <c r="O248" s="128">
        <f t="shared" si="51"/>
        <v>111</v>
      </c>
      <c r="P248" s="128">
        <f t="shared" si="52"/>
        <v>185</v>
      </c>
      <c r="Q248" s="128">
        <f t="shared" si="53"/>
        <v>203</v>
      </c>
      <c r="R248" s="128">
        <f t="shared" si="54"/>
        <v>12</v>
      </c>
      <c r="S248" s="1">
        <f t="shared" si="59"/>
        <v>1</v>
      </c>
      <c r="T248" s="128">
        <f t="shared" si="57"/>
        <v>-2.9999999199999934</v>
      </c>
      <c r="U248" s="128">
        <f t="shared" si="46"/>
        <v>940.00000016000001</v>
      </c>
      <c r="W248" s="128">
        <f t="shared" si="55"/>
        <v>203</v>
      </c>
      <c r="X248" s="128">
        <f t="shared" si="56"/>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f t="shared" si="47"/>
        <v>44253</v>
      </c>
      <c r="L249" s="128">
        <f t="shared" si="48"/>
        <v>189.00000008000001</v>
      </c>
      <c r="M249" s="128">
        <f t="shared" si="49"/>
        <v>63.000000080000007</v>
      </c>
      <c r="N249" s="128">
        <f t="shared" si="50"/>
        <v>192</v>
      </c>
      <c r="O249" s="128">
        <f t="shared" si="51"/>
        <v>112</v>
      </c>
      <c r="P249" s="128">
        <f t="shared" si="52"/>
        <v>186</v>
      </c>
      <c r="Q249" s="128">
        <f t="shared" si="53"/>
        <v>203</v>
      </c>
      <c r="R249" s="128">
        <f t="shared" si="54"/>
        <v>11</v>
      </c>
      <c r="S249" s="1">
        <f t="shared" si="59"/>
        <v>1</v>
      </c>
      <c r="T249" s="128">
        <f t="shared" si="57"/>
        <v>-2.9999999199999934</v>
      </c>
      <c r="U249" s="128">
        <f t="shared" si="46"/>
        <v>945.00000016000001</v>
      </c>
      <c r="W249" s="128">
        <f t="shared" si="55"/>
        <v>203</v>
      </c>
      <c r="X249" s="128">
        <f t="shared" si="56"/>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251</v>
      </c>
      <c r="K250" s="86">
        <f t="shared" si="47"/>
        <v>44260</v>
      </c>
      <c r="L250" s="128">
        <f t="shared" si="48"/>
        <v>189.00000008000001</v>
      </c>
      <c r="M250" s="128">
        <f t="shared" si="49"/>
        <v>64.000000080000007</v>
      </c>
      <c r="N250" s="128">
        <f t="shared" si="50"/>
        <v>193</v>
      </c>
      <c r="O250" s="128">
        <f t="shared" si="51"/>
        <v>112</v>
      </c>
      <c r="P250" s="128">
        <f t="shared" si="52"/>
        <v>187</v>
      </c>
      <c r="Q250" s="128">
        <f t="shared" si="53"/>
        <v>204</v>
      </c>
      <c r="R250" s="128">
        <f t="shared" si="54"/>
        <v>11</v>
      </c>
      <c r="S250" s="1">
        <f t="shared" si="59"/>
        <v>1</v>
      </c>
      <c r="T250" s="128">
        <f t="shared" si="57"/>
        <v>-3.9999999199999934</v>
      </c>
      <c r="U250" s="128">
        <f t="shared" si="46"/>
        <v>949.00000016000001</v>
      </c>
      <c r="W250" s="128">
        <f t="shared" si="55"/>
        <v>204</v>
      </c>
      <c r="X250" s="128">
        <f t="shared" si="56"/>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252</v>
      </c>
      <c r="K251" s="86">
        <f t="shared" si="47"/>
        <v>44267</v>
      </c>
      <c r="L251" s="128">
        <f t="shared" si="48"/>
        <v>190.00000008000001</v>
      </c>
      <c r="M251" s="128">
        <f t="shared" si="49"/>
        <v>65.000000080000007</v>
      </c>
      <c r="N251" s="128">
        <f t="shared" si="50"/>
        <v>194</v>
      </c>
      <c r="O251" s="128">
        <f t="shared" si="51"/>
        <v>113</v>
      </c>
      <c r="P251" s="128">
        <f t="shared" si="52"/>
        <v>188</v>
      </c>
      <c r="Q251" s="128">
        <f t="shared" si="53"/>
        <v>205</v>
      </c>
      <c r="R251" s="128">
        <f t="shared" si="54"/>
        <v>11</v>
      </c>
      <c r="S251" s="1">
        <f t="shared" si="59"/>
        <v>1</v>
      </c>
      <c r="T251" s="128">
        <f t="shared" si="57"/>
        <v>-3.9999999199999934</v>
      </c>
      <c r="U251" s="128">
        <f t="shared" si="46"/>
        <v>955.00000016000001</v>
      </c>
      <c r="W251" s="128">
        <f t="shared" si="55"/>
        <v>205</v>
      </c>
      <c r="X251" s="128">
        <f t="shared" si="56"/>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253</v>
      </c>
      <c r="K252" s="86">
        <f t="shared" si="47"/>
        <v>44274</v>
      </c>
      <c r="L252" s="128">
        <f t="shared" si="48"/>
        <v>191.00000008000001</v>
      </c>
      <c r="M252" s="128">
        <f t="shared" si="49"/>
        <v>65.000000080000007</v>
      </c>
      <c r="N252" s="128">
        <f t="shared" si="50"/>
        <v>195</v>
      </c>
      <c r="O252" s="128">
        <f t="shared" si="51"/>
        <v>114</v>
      </c>
      <c r="P252" s="128">
        <f t="shared" si="52"/>
        <v>189</v>
      </c>
      <c r="Q252" s="128">
        <f t="shared" si="53"/>
        <v>206</v>
      </c>
      <c r="R252" s="128">
        <f t="shared" si="54"/>
        <v>11</v>
      </c>
      <c r="S252" s="1">
        <f t="shared" si="59"/>
        <v>1</v>
      </c>
      <c r="T252" s="128">
        <f t="shared" si="57"/>
        <v>-3.9999999199999934</v>
      </c>
      <c r="U252" s="128">
        <f t="shared" si="46"/>
        <v>960.00000016000001</v>
      </c>
      <c r="W252" s="128">
        <f t="shared" si="55"/>
        <v>206</v>
      </c>
      <c r="X252" s="128">
        <f t="shared" si="56"/>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f t="shared" si="47"/>
        <v>44281</v>
      </c>
      <c r="L253" s="128">
        <f t="shared" si="48"/>
        <v>192.00000008000001</v>
      </c>
      <c r="M253" s="128">
        <f t="shared" si="49"/>
        <v>66.000000080000007</v>
      </c>
      <c r="N253" s="128">
        <f t="shared" si="50"/>
        <v>196</v>
      </c>
      <c r="O253" s="128">
        <f t="shared" si="51"/>
        <v>114</v>
      </c>
      <c r="P253" s="128">
        <f t="shared" si="52"/>
        <v>190</v>
      </c>
      <c r="Q253" s="128">
        <f t="shared" si="53"/>
        <v>206</v>
      </c>
      <c r="R253" s="128">
        <f t="shared" si="54"/>
        <v>10</v>
      </c>
      <c r="S253" s="1">
        <f t="shared" si="59"/>
        <v>1</v>
      </c>
      <c r="T253" s="128">
        <f t="shared" si="57"/>
        <v>-3.9999999199999934</v>
      </c>
      <c r="U253" s="128">
        <f t="shared" si="46"/>
        <v>964.00000016000001</v>
      </c>
      <c r="W253" s="128">
        <f t="shared" si="55"/>
        <v>206</v>
      </c>
      <c r="X253" s="128">
        <f t="shared" si="56"/>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254</v>
      </c>
      <c r="K254" s="86">
        <f t="shared" si="47"/>
        <v>44295</v>
      </c>
      <c r="L254" s="128">
        <f t="shared" si="48"/>
        <v>193.00000008000001</v>
      </c>
      <c r="M254" s="128">
        <f t="shared" si="49"/>
        <v>67.000000080000007</v>
      </c>
      <c r="N254" s="128">
        <f t="shared" si="50"/>
        <v>197</v>
      </c>
      <c r="O254" s="128">
        <f t="shared" si="51"/>
        <v>115</v>
      </c>
      <c r="P254" s="128">
        <f t="shared" si="52"/>
        <v>191</v>
      </c>
      <c r="Q254" s="128">
        <f t="shared" si="53"/>
        <v>207</v>
      </c>
      <c r="R254" s="128">
        <f t="shared" si="54"/>
        <v>10</v>
      </c>
      <c r="S254" s="1">
        <f t="shared" si="59"/>
        <v>1</v>
      </c>
      <c r="T254" s="128">
        <f t="shared" si="57"/>
        <v>-3.9999999199999934</v>
      </c>
      <c r="U254" s="128">
        <f t="shared" si="46"/>
        <v>970.00000016000001</v>
      </c>
      <c r="W254" s="128">
        <f t="shared" si="55"/>
        <v>207</v>
      </c>
      <c r="X254" s="128">
        <f t="shared" si="56"/>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255</v>
      </c>
      <c r="K255" s="86">
        <f t="shared" si="47"/>
        <v>44302</v>
      </c>
      <c r="L255" s="128">
        <f t="shared" si="48"/>
        <v>194.00000008000001</v>
      </c>
      <c r="M255" s="128">
        <f t="shared" si="49"/>
        <v>68.000000080000007</v>
      </c>
      <c r="N255" s="128">
        <f t="shared" si="50"/>
        <v>198</v>
      </c>
      <c r="O255" s="128">
        <f t="shared" si="51"/>
        <v>116</v>
      </c>
      <c r="P255" s="128">
        <f t="shared" si="52"/>
        <v>192</v>
      </c>
      <c r="Q255" s="128">
        <f t="shared" si="53"/>
        <v>208</v>
      </c>
      <c r="R255" s="128">
        <f t="shared" si="54"/>
        <v>10</v>
      </c>
      <c r="S255" s="1">
        <f t="shared" si="59"/>
        <v>1</v>
      </c>
      <c r="T255" s="128">
        <f t="shared" si="57"/>
        <v>-3.9999999199999934</v>
      </c>
      <c r="U255" s="128">
        <f t="shared" si="46"/>
        <v>976.00000016000001</v>
      </c>
      <c r="W255" s="128">
        <f t="shared" si="55"/>
        <v>208</v>
      </c>
      <c r="X255" s="128">
        <f t="shared" si="56"/>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256</v>
      </c>
      <c r="K256" s="86">
        <f t="shared" si="47"/>
        <v>44309</v>
      </c>
      <c r="L256" s="128">
        <f t="shared" si="48"/>
        <v>195.00000008000001</v>
      </c>
      <c r="M256" s="128">
        <f t="shared" si="49"/>
        <v>69.000000080000007</v>
      </c>
      <c r="N256" s="128">
        <f t="shared" si="50"/>
        <v>199</v>
      </c>
      <c r="O256" s="128">
        <f t="shared" si="51"/>
        <v>116</v>
      </c>
      <c r="P256" s="128">
        <f t="shared" si="52"/>
        <v>193</v>
      </c>
      <c r="Q256" s="128">
        <f t="shared" si="53"/>
        <v>209</v>
      </c>
      <c r="R256" s="128">
        <f t="shared" si="54"/>
        <v>10</v>
      </c>
      <c r="S256" s="1">
        <f t="shared" si="59"/>
        <v>1</v>
      </c>
      <c r="T256" s="128">
        <f t="shared" si="57"/>
        <v>-3.9999999199999934</v>
      </c>
      <c r="U256" s="128">
        <f t="shared" si="46"/>
        <v>981.00000016000001</v>
      </c>
      <c r="W256" s="128">
        <f t="shared" si="55"/>
        <v>209</v>
      </c>
      <c r="X256" s="128">
        <f t="shared" si="56"/>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257</v>
      </c>
      <c r="K257" s="86">
        <f t="shared" si="47"/>
        <v>44316</v>
      </c>
      <c r="L257" s="128">
        <f t="shared" si="48"/>
        <v>196.00000008000001</v>
      </c>
      <c r="M257" s="128">
        <f t="shared" si="49"/>
        <v>70.000000080000007</v>
      </c>
      <c r="N257" s="128">
        <f t="shared" si="50"/>
        <v>199</v>
      </c>
      <c r="O257" s="128">
        <f t="shared" si="51"/>
        <v>116</v>
      </c>
      <c r="P257" s="128">
        <f t="shared" si="52"/>
        <v>194</v>
      </c>
      <c r="Q257" s="128">
        <f t="shared" si="53"/>
        <v>210</v>
      </c>
      <c r="R257" s="128">
        <f t="shared" si="54"/>
        <v>11</v>
      </c>
      <c r="S257" s="1">
        <f t="shared" si="59"/>
        <v>1</v>
      </c>
      <c r="T257" s="128">
        <f t="shared" si="57"/>
        <v>-2.9999999199999934</v>
      </c>
      <c r="U257" s="128">
        <f t="shared" si="46"/>
        <v>985.00000016000001</v>
      </c>
      <c r="W257" s="128">
        <f t="shared" si="55"/>
        <v>210</v>
      </c>
      <c r="X257" s="128">
        <f t="shared" si="56"/>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258</v>
      </c>
      <c r="K258" s="86">
        <f t="shared" si="47"/>
        <v>44323</v>
      </c>
      <c r="L258" s="128">
        <f t="shared" si="48"/>
        <v>197.00000008000001</v>
      </c>
      <c r="M258" s="128">
        <f t="shared" si="49"/>
        <v>71.000000080000007</v>
      </c>
      <c r="N258" s="147">
        <f t="shared" si="50"/>
        <v>200</v>
      </c>
      <c r="O258" s="128">
        <f t="shared" si="51"/>
        <v>116</v>
      </c>
      <c r="P258" s="128">
        <f t="shared" si="52"/>
        <v>194</v>
      </c>
      <c r="Q258" s="128">
        <f t="shared" si="53"/>
        <v>211</v>
      </c>
      <c r="R258" s="128">
        <f t="shared" si="54"/>
        <v>11</v>
      </c>
      <c r="S258" s="1">
        <f t="shared" si="59"/>
        <v>1</v>
      </c>
      <c r="T258" s="128">
        <f t="shared" si="57"/>
        <v>-2.9999999199999934</v>
      </c>
      <c r="U258" s="128">
        <f t="shared" ref="U258:U277" si="60">SUM(L258:Q258)</f>
        <v>989.00000016000001</v>
      </c>
      <c r="W258" s="128">
        <f t="shared" si="55"/>
        <v>211</v>
      </c>
      <c r="X258" s="128">
        <f t="shared" si="56"/>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259</v>
      </c>
      <c r="K259" s="86">
        <f t="shared" ref="K259:K322" si="61">A259</f>
        <v>44330</v>
      </c>
      <c r="L259" s="128">
        <f t="shared" ref="L259:L322" si="62">B259+L258</f>
        <v>198.00000008000001</v>
      </c>
      <c r="M259" s="128">
        <f t="shared" ref="M259:M322" si="63">C259+M258</f>
        <v>71.000000080000007</v>
      </c>
      <c r="N259" s="128">
        <f t="shared" ref="N259:N322" si="64">D259+N258</f>
        <v>201</v>
      </c>
      <c r="O259" s="128">
        <f t="shared" ref="O259:O322" si="65">E259+O258</f>
        <v>116</v>
      </c>
      <c r="P259" s="128">
        <f t="shared" ref="P259:P322" si="66">F259+P258</f>
        <v>195</v>
      </c>
      <c r="Q259" s="128">
        <f t="shared" ref="Q259:Q322" si="67">G259+Q258</f>
        <v>212</v>
      </c>
      <c r="R259" s="128">
        <f t="shared" ref="R259:R297" si="68">Q259-MAX(L259:P259)</f>
        <v>11</v>
      </c>
      <c r="S259" s="1">
        <f t="shared" si="59"/>
        <v>1</v>
      </c>
      <c r="T259" s="128">
        <f t="shared" si="57"/>
        <v>-2.9999999199999934</v>
      </c>
      <c r="U259" s="128">
        <f t="shared" si="60"/>
        <v>993.00000016000001</v>
      </c>
      <c r="W259" s="128">
        <f t="shared" ref="W259:W322" si="69">Q259</f>
        <v>212</v>
      </c>
      <c r="X259" s="128">
        <f t="shared" ref="X259:X322" si="70">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260</v>
      </c>
      <c r="K260" s="86">
        <f t="shared" si="61"/>
        <v>44337</v>
      </c>
      <c r="L260" s="128">
        <f t="shared" si="62"/>
        <v>199.00000008000001</v>
      </c>
      <c r="M260" s="128">
        <f t="shared" si="63"/>
        <v>72.000000080000007</v>
      </c>
      <c r="N260" s="128">
        <f t="shared" si="64"/>
        <v>201</v>
      </c>
      <c r="O260" s="128">
        <f t="shared" si="65"/>
        <v>117</v>
      </c>
      <c r="P260" s="128">
        <f t="shared" si="66"/>
        <v>196</v>
      </c>
      <c r="Q260" s="128">
        <f t="shared" si="67"/>
        <v>213</v>
      </c>
      <c r="R260" s="128">
        <f t="shared" si="68"/>
        <v>12</v>
      </c>
      <c r="S260" s="1">
        <f t="shared" si="59"/>
        <v>1</v>
      </c>
      <c r="T260" s="128">
        <f t="shared" si="57"/>
        <v>-1.9999999199999934</v>
      </c>
      <c r="U260" s="128">
        <f t="shared" si="60"/>
        <v>998.00000016000001</v>
      </c>
      <c r="W260" s="128">
        <f t="shared" si="69"/>
        <v>213</v>
      </c>
      <c r="X260" s="128">
        <f t="shared" si="70"/>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261</v>
      </c>
      <c r="K261" s="86">
        <f t="shared" si="61"/>
        <v>44344</v>
      </c>
      <c r="L261" s="147">
        <f t="shared" si="62"/>
        <v>200.00000008000001</v>
      </c>
      <c r="M261" s="128">
        <f t="shared" si="63"/>
        <v>73.000000080000007</v>
      </c>
      <c r="N261" s="128">
        <f t="shared" si="64"/>
        <v>201</v>
      </c>
      <c r="O261" s="128">
        <f t="shared" si="65"/>
        <v>118</v>
      </c>
      <c r="P261" s="128">
        <f t="shared" si="66"/>
        <v>197</v>
      </c>
      <c r="Q261" s="128">
        <f t="shared" si="67"/>
        <v>214</v>
      </c>
      <c r="R261" s="128">
        <f t="shared" si="68"/>
        <v>13</v>
      </c>
      <c r="S261" s="1">
        <f t="shared" si="59"/>
        <v>1</v>
      </c>
      <c r="T261" s="128">
        <f t="shared" si="57"/>
        <v>-0.99999991999999338</v>
      </c>
      <c r="U261" s="128">
        <f t="shared" si="60"/>
        <v>1003.00000016</v>
      </c>
      <c r="W261" s="128">
        <f t="shared" si="69"/>
        <v>214</v>
      </c>
      <c r="X261" s="128">
        <f t="shared" si="70"/>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262</v>
      </c>
      <c r="K262" s="86">
        <f t="shared" si="61"/>
        <v>44351</v>
      </c>
      <c r="L262" s="128">
        <f t="shared" si="62"/>
        <v>201.00000008000001</v>
      </c>
      <c r="M262" s="128">
        <f t="shared" si="63"/>
        <v>74.000000080000007</v>
      </c>
      <c r="N262" s="128">
        <f t="shared" si="64"/>
        <v>202</v>
      </c>
      <c r="O262" s="128">
        <f t="shared" si="65"/>
        <v>118</v>
      </c>
      <c r="P262" s="128">
        <f t="shared" si="66"/>
        <v>197</v>
      </c>
      <c r="Q262" s="128">
        <f t="shared" si="67"/>
        <v>215</v>
      </c>
      <c r="R262" s="128">
        <f t="shared" si="68"/>
        <v>13</v>
      </c>
      <c r="S262" s="1">
        <f t="shared" si="59"/>
        <v>1</v>
      </c>
      <c r="T262" s="128">
        <f t="shared" si="57"/>
        <v>-0.99999991999999338</v>
      </c>
      <c r="U262" s="128">
        <f t="shared" si="60"/>
        <v>1007.00000016</v>
      </c>
      <c r="W262" s="128">
        <f t="shared" si="69"/>
        <v>215</v>
      </c>
      <c r="X262" s="128">
        <f t="shared" si="70"/>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263</v>
      </c>
      <c r="K263" s="86">
        <f t="shared" si="61"/>
        <v>44358</v>
      </c>
      <c r="L263" s="128">
        <f t="shared" si="62"/>
        <v>202.00000008000001</v>
      </c>
      <c r="M263" s="128">
        <f t="shared" si="63"/>
        <v>75.000000080000007</v>
      </c>
      <c r="N263" s="128">
        <f t="shared" si="64"/>
        <v>203</v>
      </c>
      <c r="O263" s="128">
        <f t="shared" si="65"/>
        <v>118</v>
      </c>
      <c r="P263" s="128">
        <f t="shared" si="66"/>
        <v>197</v>
      </c>
      <c r="Q263" s="128">
        <f t="shared" si="67"/>
        <v>216</v>
      </c>
      <c r="R263" s="128">
        <f t="shared" si="68"/>
        <v>13</v>
      </c>
      <c r="S263" s="1">
        <f t="shared" si="59"/>
        <v>1</v>
      </c>
      <c r="T263" s="128">
        <f t="shared" si="57"/>
        <v>-0.99999991999999338</v>
      </c>
      <c r="U263" s="128">
        <f t="shared" si="60"/>
        <v>1011.00000016</v>
      </c>
      <c r="W263" s="128">
        <f t="shared" si="69"/>
        <v>216</v>
      </c>
      <c r="X263" s="128">
        <f t="shared" si="70"/>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264</v>
      </c>
      <c r="K264" s="86">
        <f t="shared" si="61"/>
        <v>44365</v>
      </c>
      <c r="L264" s="128">
        <f t="shared" si="62"/>
        <v>202.00000008000001</v>
      </c>
      <c r="M264" s="128">
        <f t="shared" si="63"/>
        <v>76.000000080000007</v>
      </c>
      <c r="N264" s="128">
        <f t="shared" si="64"/>
        <v>204</v>
      </c>
      <c r="O264" s="128">
        <f t="shared" si="65"/>
        <v>119</v>
      </c>
      <c r="P264" s="128">
        <f t="shared" si="66"/>
        <v>198</v>
      </c>
      <c r="Q264" s="128">
        <f t="shared" si="67"/>
        <v>217</v>
      </c>
      <c r="R264" s="128">
        <f t="shared" si="68"/>
        <v>13</v>
      </c>
      <c r="S264" s="1">
        <f t="shared" si="59"/>
        <v>1</v>
      </c>
      <c r="T264" s="128">
        <f t="shared" si="57"/>
        <v>-1.9999999199999934</v>
      </c>
      <c r="U264" s="128">
        <f t="shared" si="60"/>
        <v>1016.00000016</v>
      </c>
      <c r="W264" s="128">
        <f t="shared" si="69"/>
        <v>217</v>
      </c>
      <c r="X264" s="128">
        <f t="shared" si="70"/>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265</v>
      </c>
      <c r="K265" s="86">
        <f t="shared" si="61"/>
        <v>44372</v>
      </c>
      <c r="L265" s="128">
        <f t="shared" si="62"/>
        <v>203.00000008000001</v>
      </c>
      <c r="M265" s="128">
        <f t="shared" si="63"/>
        <v>76.000000080000007</v>
      </c>
      <c r="N265" s="128">
        <f t="shared" si="64"/>
        <v>205</v>
      </c>
      <c r="O265" s="128">
        <f t="shared" si="65"/>
        <v>119</v>
      </c>
      <c r="P265" s="128">
        <f t="shared" si="66"/>
        <v>199</v>
      </c>
      <c r="Q265" s="128">
        <f t="shared" si="67"/>
        <v>218</v>
      </c>
      <c r="R265" s="128">
        <f t="shared" si="68"/>
        <v>13</v>
      </c>
      <c r="S265" s="1">
        <f t="shared" si="59"/>
        <v>1</v>
      </c>
      <c r="T265" s="128">
        <f t="shared" si="57"/>
        <v>-1.9999999199999934</v>
      </c>
      <c r="U265" s="128">
        <f t="shared" si="60"/>
        <v>1020.00000016</v>
      </c>
      <c r="W265" s="128">
        <f t="shared" si="69"/>
        <v>218</v>
      </c>
      <c r="X265" s="128">
        <f t="shared" si="70"/>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266</v>
      </c>
      <c r="K266" s="86">
        <f t="shared" si="61"/>
        <v>44379</v>
      </c>
      <c r="L266" s="128">
        <f t="shared" si="62"/>
        <v>204.00000008000001</v>
      </c>
      <c r="M266" s="128">
        <f t="shared" si="63"/>
        <v>76.000000080000007</v>
      </c>
      <c r="N266" s="128">
        <f t="shared" si="64"/>
        <v>205</v>
      </c>
      <c r="O266" s="128">
        <f t="shared" si="65"/>
        <v>119</v>
      </c>
      <c r="P266" s="128">
        <f t="shared" si="66"/>
        <v>199</v>
      </c>
      <c r="Q266" s="128">
        <f t="shared" si="67"/>
        <v>219</v>
      </c>
      <c r="R266" s="128">
        <f t="shared" si="68"/>
        <v>14</v>
      </c>
      <c r="S266" s="1">
        <f t="shared" ref="S266" si="71">IF(Q266&gt;L266,1,0)</f>
        <v>1</v>
      </c>
      <c r="T266" s="128">
        <f t="shared" si="57"/>
        <v>-0.99999991999999338</v>
      </c>
      <c r="U266" s="128">
        <f t="shared" si="60"/>
        <v>1022.00000016</v>
      </c>
      <c r="W266" s="128">
        <f t="shared" si="69"/>
        <v>219</v>
      </c>
      <c r="X266" s="128">
        <f t="shared" si="70"/>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267</v>
      </c>
      <c r="K267" s="86">
        <f t="shared" si="61"/>
        <v>44386</v>
      </c>
      <c r="L267" s="128">
        <f t="shared" si="62"/>
        <v>204.00000008000001</v>
      </c>
      <c r="M267" s="128">
        <f t="shared" si="63"/>
        <v>77.000000080000007</v>
      </c>
      <c r="N267" s="128">
        <f t="shared" si="64"/>
        <v>206</v>
      </c>
      <c r="O267" s="128">
        <f t="shared" si="65"/>
        <v>119</v>
      </c>
      <c r="P267" s="147">
        <f t="shared" si="66"/>
        <v>200</v>
      </c>
      <c r="Q267" s="128">
        <f t="shared" si="67"/>
        <v>220</v>
      </c>
      <c r="R267" s="128">
        <f t="shared" si="68"/>
        <v>14</v>
      </c>
      <c r="S267" s="1">
        <f t="shared" ref="S267" si="72">IF(Q267&gt;L267,1,0)</f>
        <v>1</v>
      </c>
      <c r="T267" s="128">
        <f t="shared" si="57"/>
        <v>-1.9999999199999934</v>
      </c>
      <c r="U267" s="128">
        <f t="shared" si="60"/>
        <v>1026.0000001600001</v>
      </c>
      <c r="W267" s="128">
        <f t="shared" si="69"/>
        <v>220</v>
      </c>
      <c r="X267" s="128">
        <f t="shared" si="70"/>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269</v>
      </c>
      <c r="K268" s="86">
        <f t="shared" si="61"/>
        <v>44393</v>
      </c>
      <c r="L268" s="128">
        <f t="shared" si="62"/>
        <v>205.00000008000001</v>
      </c>
      <c r="M268" s="128">
        <f t="shared" si="63"/>
        <v>77.000000080000007</v>
      </c>
      <c r="N268" s="128">
        <f t="shared" si="64"/>
        <v>206</v>
      </c>
      <c r="O268" s="128">
        <f t="shared" si="65"/>
        <v>119</v>
      </c>
      <c r="P268" s="128">
        <f t="shared" si="66"/>
        <v>201</v>
      </c>
      <c r="Q268" s="128">
        <f t="shared" si="67"/>
        <v>221</v>
      </c>
      <c r="R268" s="128">
        <f t="shared" si="68"/>
        <v>15</v>
      </c>
      <c r="S268" s="1">
        <f t="shared" ref="S268:S270" si="73">IF(Q268&gt;L268,1,0)</f>
        <v>1</v>
      </c>
      <c r="T268" s="128">
        <f t="shared" si="57"/>
        <v>-0.99999991999999338</v>
      </c>
      <c r="U268" s="128">
        <f t="shared" si="60"/>
        <v>1029.0000001600001</v>
      </c>
      <c r="W268" s="128">
        <f t="shared" si="69"/>
        <v>221</v>
      </c>
      <c r="X268" s="128">
        <f t="shared" si="70"/>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268</v>
      </c>
      <c r="K269" s="86">
        <f t="shared" si="61"/>
        <v>44400</v>
      </c>
      <c r="L269" s="128">
        <f t="shared" si="62"/>
        <v>206.00000008000001</v>
      </c>
      <c r="M269" s="128">
        <f t="shared" si="63"/>
        <v>78.000000080000007</v>
      </c>
      <c r="N269" s="128">
        <f t="shared" si="64"/>
        <v>206</v>
      </c>
      <c r="O269" s="128">
        <f t="shared" si="65"/>
        <v>119</v>
      </c>
      <c r="P269" s="128">
        <f t="shared" si="66"/>
        <v>202</v>
      </c>
      <c r="Q269" s="128">
        <f t="shared" si="67"/>
        <v>221</v>
      </c>
      <c r="R269" s="128">
        <f t="shared" si="68"/>
        <v>14.999999919999993</v>
      </c>
      <c r="S269" s="1">
        <f t="shared" si="73"/>
        <v>1</v>
      </c>
      <c r="T269" s="128">
        <f t="shared" si="57"/>
        <v>8.000000661922968E-8</v>
      </c>
      <c r="U269" s="128">
        <f t="shared" si="60"/>
        <v>1032.0000001600001</v>
      </c>
      <c r="W269" s="128">
        <f t="shared" si="69"/>
        <v>221</v>
      </c>
      <c r="X269" s="128">
        <f t="shared" si="70"/>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270</v>
      </c>
      <c r="K270" s="86">
        <f t="shared" si="61"/>
        <v>44407</v>
      </c>
      <c r="L270" s="128">
        <f t="shared" si="62"/>
        <v>206.00000008000001</v>
      </c>
      <c r="M270" s="128">
        <f t="shared" si="63"/>
        <v>79.000000080000007</v>
      </c>
      <c r="N270" s="128">
        <f t="shared" si="64"/>
        <v>207</v>
      </c>
      <c r="O270" s="128">
        <f t="shared" si="65"/>
        <v>120</v>
      </c>
      <c r="P270" s="128">
        <f t="shared" si="66"/>
        <v>203</v>
      </c>
      <c r="Q270" s="128">
        <f t="shared" si="67"/>
        <v>222</v>
      </c>
      <c r="R270" s="128">
        <f t="shared" si="68"/>
        <v>15</v>
      </c>
      <c r="S270" s="1">
        <f t="shared" si="73"/>
        <v>1</v>
      </c>
      <c r="T270" s="128">
        <f t="shared" si="57"/>
        <v>-0.99999991999999338</v>
      </c>
      <c r="U270" s="128">
        <f t="shared" si="60"/>
        <v>1037.0000001600001</v>
      </c>
      <c r="W270" s="128">
        <f t="shared" si="69"/>
        <v>222</v>
      </c>
      <c r="X270" s="128">
        <f t="shared" si="70"/>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271</v>
      </c>
      <c r="K271" s="86">
        <f t="shared" si="61"/>
        <v>44414</v>
      </c>
      <c r="L271" s="128">
        <f t="shared" si="62"/>
        <v>206.00000008000001</v>
      </c>
      <c r="M271" s="128">
        <f t="shared" si="63"/>
        <v>80.000000080000007</v>
      </c>
      <c r="N271" s="128">
        <f t="shared" si="64"/>
        <v>208</v>
      </c>
      <c r="O271" s="128">
        <f t="shared" si="65"/>
        <v>121</v>
      </c>
      <c r="P271" s="128">
        <f t="shared" si="66"/>
        <v>204</v>
      </c>
      <c r="Q271" s="128">
        <f t="shared" si="67"/>
        <v>223</v>
      </c>
      <c r="R271" s="128">
        <f t="shared" si="68"/>
        <v>15</v>
      </c>
      <c r="S271" s="1">
        <f t="shared" ref="S271" si="74">IF(Q271&gt;L271,1,0)</f>
        <v>1</v>
      </c>
      <c r="T271" s="128">
        <f t="shared" si="57"/>
        <v>-1.9999999199999934</v>
      </c>
      <c r="U271" s="128">
        <f t="shared" si="60"/>
        <v>1042.0000001600001</v>
      </c>
      <c r="W271" s="128">
        <f t="shared" si="69"/>
        <v>223</v>
      </c>
      <c r="X271" s="128">
        <f t="shared" si="70"/>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272</v>
      </c>
      <c r="K272" s="86">
        <f t="shared" si="61"/>
        <v>44421</v>
      </c>
      <c r="L272" s="128">
        <f t="shared" si="62"/>
        <v>207.00000008000001</v>
      </c>
      <c r="M272" s="128">
        <f t="shared" si="63"/>
        <v>81.000000080000007</v>
      </c>
      <c r="N272" s="128">
        <f t="shared" si="64"/>
        <v>209</v>
      </c>
      <c r="O272" s="128">
        <f t="shared" si="65"/>
        <v>122</v>
      </c>
      <c r="P272" s="128">
        <f t="shared" si="66"/>
        <v>204</v>
      </c>
      <c r="Q272" s="128">
        <f t="shared" si="67"/>
        <v>224</v>
      </c>
      <c r="R272" s="128">
        <f t="shared" si="68"/>
        <v>15</v>
      </c>
      <c r="S272" s="1">
        <f t="shared" ref="S272" si="75">IF(Q272&gt;L272,1,0)</f>
        <v>1</v>
      </c>
      <c r="T272" s="128">
        <f t="shared" si="57"/>
        <v>-1.9999999199999934</v>
      </c>
      <c r="U272" s="128">
        <f t="shared" si="60"/>
        <v>1047.0000001600001</v>
      </c>
      <c r="W272" s="128">
        <f t="shared" si="69"/>
        <v>224</v>
      </c>
      <c r="X272" s="128">
        <f t="shared" si="70"/>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f t="shared" si="61"/>
        <v>44428</v>
      </c>
      <c r="L273" s="128">
        <f t="shared" si="62"/>
        <v>208.00000008000001</v>
      </c>
      <c r="M273" s="128">
        <f t="shared" si="63"/>
        <v>81.000000080000007</v>
      </c>
      <c r="N273" s="128">
        <f t="shared" si="64"/>
        <v>210</v>
      </c>
      <c r="O273" s="128">
        <f t="shared" si="65"/>
        <v>123</v>
      </c>
      <c r="P273" s="128">
        <f t="shared" si="66"/>
        <v>205</v>
      </c>
      <c r="Q273" s="128">
        <f t="shared" si="67"/>
        <v>224</v>
      </c>
      <c r="R273" s="128">
        <f t="shared" si="68"/>
        <v>14</v>
      </c>
      <c r="S273" s="1">
        <f t="shared" ref="S273:S274" si="76">IF(Q273&gt;L273,1,0)</f>
        <v>1</v>
      </c>
      <c r="T273" s="128">
        <f t="shared" si="57"/>
        <v>-1.9999999199999934</v>
      </c>
      <c r="U273" s="128">
        <f t="shared" si="60"/>
        <v>1051.0000001600001</v>
      </c>
      <c r="W273" s="128">
        <f t="shared" si="69"/>
        <v>224</v>
      </c>
      <c r="X273" s="128">
        <f t="shared" si="70"/>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273</v>
      </c>
      <c r="K274" s="86">
        <f t="shared" si="61"/>
        <v>44435</v>
      </c>
      <c r="L274" s="128">
        <f t="shared" si="62"/>
        <v>209.00000008000001</v>
      </c>
      <c r="M274" s="128">
        <f t="shared" si="63"/>
        <v>81.000000080000007</v>
      </c>
      <c r="N274" s="128">
        <f t="shared" si="64"/>
        <v>211</v>
      </c>
      <c r="O274" s="128">
        <f t="shared" si="65"/>
        <v>124</v>
      </c>
      <c r="P274" s="128">
        <f t="shared" si="66"/>
        <v>205</v>
      </c>
      <c r="Q274" s="128">
        <f t="shared" si="67"/>
        <v>225</v>
      </c>
      <c r="R274" s="128">
        <f t="shared" si="68"/>
        <v>14</v>
      </c>
      <c r="S274" s="1">
        <f t="shared" si="76"/>
        <v>1</v>
      </c>
      <c r="T274" s="128">
        <f t="shared" si="57"/>
        <v>-1.9999999199999934</v>
      </c>
      <c r="U274" s="128">
        <f t="shared" si="60"/>
        <v>1055.0000001600001</v>
      </c>
      <c r="W274" s="128">
        <f t="shared" si="69"/>
        <v>225</v>
      </c>
      <c r="X274" s="128">
        <f t="shared" si="70"/>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274</v>
      </c>
      <c r="K275" s="86">
        <f t="shared" si="61"/>
        <v>44442</v>
      </c>
      <c r="L275" s="128">
        <f t="shared" si="62"/>
        <v>210.00000008000001</v>
      </c>
      <c r="M275" s="128">
        <f t="shared" si="63"/>
        <v>81.000000080000007</v>
      </c>
      <c r="N275" s="128">
        <f t="shared" si="64"/>
        <v>211</v>
      </c>
      <c r="O275" s="128">
        <f t="shared" si="65"/>
        <v>124</v>
      </c>
      <c r="P275" s="128">
        <f t="shared" si="66"/>
        <v>206</v>
      </c>
      <c r="Q275" s="128">
        <f t="shared" si="67"/>
        <v>226</v>
      </c>
      <c r="R275" s="128">
        <f t="shared" si="68"/>
        <v>15</v>
      </c>
      <c r="S275" s="1">
        <f t="shared" ref="S275" si="77">IF(Q275&gt;L275,1,0)</f>
        <v>1</v>
      </c>
      <c r="T275" s="128">
        <f t="shared" si="57"/>
        <v>-0.99999991999999338</v>
      </c>
      <c r="U275" s="128">
        <f t="shared" si="60"/>
        <v>1058.0000001600001</v>
      </c>
      <c r="W275" s="128">
        <f t="shared" si="69"/>
        <v>226</v>
      </c>
      <c r="X275" s="128">
        <f t="shared" si="70"/>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275</v>
      </c>
      <c r="K276" s="86">
        <f t="shared" si="61"/>
        <v>44449</v>
      </c>
      <c r="L276" s="128">
        <f t="shared" si="62"/>
        <v>210.00000008000001</v>
      </c>
      <c r="M276" s="128">
        <f t="shared" si="63"/>
        <v>81.000000080000007</v>
      </c>
      <c r="N276" s="128">
        <f t="shared" si="64"/>
        <v>212</v>
      </c>
      <c r="O276" s="128">
        <f t="shared" si="65"/>
        <v>124</v>
      </c>
      <c r="P276" s="128">
        <f t="shared" si="66"/>
        <v>207</v>
      </c>
      <c r="Q276" s="128">
        <f t="shared" si="67"/>
        <v>226</v>
      </c>
      <c r="R276" s="128">
        <f t="shared" si="68"/>
        <v>14</v>
      </c>
      <c r="S276" s="1">
        <f t="shared" ref="S276:S277" si="78">IF(Q276&gt;L276,1,0)</f>
        <v>1</v>
      </c>
      <c r="T276" s="128">
        <f t="shared" si="57"/>
        <v>-1.9999999199999934</v>
      </c>
      <c r="U276" s="128">
        <f t="shared" si="60"/>
        <v>1060.0000001600001</v>
      </c>
      <c r="W276" s="128">
        <f t="shared" si="69"/>
        <v>226</v>
      </c>
      <c r="X276" s="128">
        <f t="shared" si="70"/>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276</v>
      </c>
      <c r="K277" s="86">
        <f t="shared" si="61"/>
        <v>44456</v>
      </c>
      <c r="L277" s="128">
        <f t="shared" si="62"/>
        <v>211.00000008000001</v>
      </c>
      <c r="M277" s="128">
        <f t="shared" si="63"/>
        <v>82.000000080000007</v>
      </c>
      <c r="N277" s="128">
        <f t="shared" si="64"/>
        <v>213</v>
      </c>
      <c r="O277" s="128">
        <f t="shared" si="65"/>
        <v>124</v>
      </c>
      <c r="P277" s="128">
        <f t="shared" si="66"/>
        <v>208</v>
      </c>
      <c r="Q277" s="128">
        <f t="shared" si="67"/>
        <v>227</v>
      </c>
      <c r="R277" s="128">
        <f t="shared" si="68"/>
        <v>14</v>
      </c>
      <c r="S277" s="1">
        <f t="shared" si="78"/>
        <v>1</v>
      </c>
      <c r="T277" s="128">
        <f t="shared" si="57"/>
        <v>-1.9999999199999934</v>
      </c>
      <c r="U277" s="128">
        <f t="shared" si="60"/>
        <v>1065.0000001600001</v>
      </c>
      <c r="W277" s="128">
        <f t="shared" si="69"/>
        <v>227</v>
      </c>
      <c r="X277" s="128">
        <f t="shared" si="70"/>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277</v>
      </c>
      <c r="K278" s="86">
        <f t="shared" si="61"/>
        <v>44463</v>
      </c>
      <c r="L278" s="128">
        <f t="shared" si="62"/>
        <v>212.00000008000001</v>
      </c>
      <c r="M278" s="128">
        <f t="shared" si="63"/>
        <v>83.000000080000007</v>
      </c>
      <c r="N278" s="128">
        <f t="shared" si="64"/>
        <v>214</v>
      </c>
      <c r="O278" s="128">
        <f t="shared" si="65"/>
        <v>124</v>
      </c>
      <c r="P278" s="128">
        <f t="shared" si="66"/>
        <v>209</v>
      </c>
      <c r="Q278" s="128">
        <f t="shared" si="67"/>
        <v>228</v>
      </c>
      <c r="R278" s="128">
        <f t="shared" si="68"/>
        <v>14</v>
      </c>
      <c r="S278" s="1">
        <f t="shared" ref="S278" si="79">IF(Q278&gt;L278,1,0)</f>
        <v>1</v>
      </c>
      <c r="T278" s="128">
        <f t="shared" si="57"/>
        <v>-1.9999999199999934</v>
      </c>
      <c r="U278" s="128">
        <f>SUM(L278:Q278)</f>
        <v>1070.0000001600001</v>
      </c>
      <c r="W278" s="128">
        <f t="shared" si="69"/>
        <v>228</v>
      </c>
      <c r="X278" s="128">
        <f t="shared" si="70"/>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278</v>
      </c>
      <c r="K279" s="86">
        <f t="shared" si="61"/>
        <v>44470</v>
      </c>
      <c r="L279" s="128">
        <f t="shared" si="62"/>
        <v>213.00000008000001</v>
      </c>
      <c r="M279" s="128">
        <f t="shared" si="63"/>
        <v>84.000000080000007</v>
      </c>
      <c r="N279" s="128">
        <f t="shared" si="64"/>
        <v>214</v>
      </c>
      <c r="O279" s="128">
        <f t="shared" si="65"/>
        <v>125</v>
      </c>
      <c r="P279" s="128">
        <f t="shared" si="66"/>
        <v>210</v>
      </c>
      <c r="Q279" s="128">
        <f t="shared" si="67"/>
        <v>229</v>
      </c>
      <c r="R279" s="128">
        <f t="shared" si="68"/>
        <v>15</v>
      </c>
      <c r="S279" s="1">
        <f t="shared" ref="S279" si="80">IF(Q279&gt;L279,1,0)</f>
        <v>1</v>
      </c>
      <c r="T279" s="128">
        <f t="shared" si="57"/>
        <v>-0.99999991999999338</v>
      </c>
      <c r="U279" s="128">
        <f>SUM(L279:Q279)</f>
        <v>1075.0000001600001</v>
      </c>
      <c r="W279" s="128">
        <f t="shared" si="69"/>
        <v>229</v>
      </c>
      <c r="X279" s="128">
        <f t="shared" si="70"/>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279</v>
      </c>
      <c r="K280" s="86">
        <f t="shared" si="61"/>
        <v>44477</v>
      </c>
      <c r="L280" s="128">
        <f t="shared" si="62"/>
        <v>214.00000008000001</v>
      </c>
      <c r="M280" s="128">
        <f t="shared" si="63"/>
        <v>84.000000080000007</v>
      </c>
      <c r="N280" s="128">
        <f t="shared" si="64"/>
        <v>215</v>
      </c>
      <c r="O280" s="128">
        <f t="shared" si="65"/>
        <v>125</v>
      </c>
      <c r="P280" s="128">
        <f t="shared" si="66"/>
        <v>210</v>
      </c>
      <c r="Q280" s="128">
        <f t="shared" si="67"/>
        <v>230</v>
      </c>
      <c r="R280" s="128">
        <f t="shared" si="68"/>
        <v>15</v>
      </c>
      <c r="S280" s="1">
        <f t="shared" ref="S280" si="81">IF(Q280&gt;L280,1,0)</f>
        <v>1</v>
      </c>
      <c r="T280" s="128">
        <f t="shared" si="57"/>
        <v>-0.99999991999999338</v>
      </c>
      <c r="U280" s="128">
        <f>SUM(L280:Q280)</f>
        <v>1078.0000001600001</v>
      </c>
      <c r="W280" s="128">
        <f t="shared" si="69"/>
        <v>230</v>
      </c>
      <c r="X280" s="128">
        <f t="shared" si="70"/>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280</v>
      </c>
      <c r="K281" s="86">
        <f t="shared" si="61"/>
        <v>44484</v>
      </c>
      <c r="L281" s="128">
        <f t="shared" si="62"/>
        <v>214.00000008000001</v>
      </c>
      <c r="M281" s="128">
        <f t="shared" si="63"/>
        <v>85.000000080000007</v>
      </c>
      <c r="N281" s="128">
        <f t="shared" si="64"/>
        <v>215</v>
      </c>
      <c r="O281" s="128">
        <f t="shared" si="65"/>
        <v>126</v>
      </c>
      <c r="P281" s="128">
        <f t="shared" si="66"/>
        <v>211</v>
      </c>
      <c r="Q281" s="128">
        <f t="shared" si="67"/>
        <v>231</v>
      </c>
      <c r="R281" s="128">
        <f t="shared" si="68"/>
        <v>16</v>
      </c>
      <c r="S281" s="1">
        <f t="shared" ref="S281" si="82">IF(Q281&gt;L281,1,0)</f>
        <v>1</v>
      </c>
      <c r="T281" s="128">
        <f t="shared" si="57"/>
        <v>-0.99999991999999338</v>
      </c>
      <c r="U281" s="128">
        <f>SUM(L281:Q281)</f>
        <v>1082.0000001600001</v>
      </c>
      <c r="W281" s="128">
        <f t="shared" si="69"/>
        <v>231</v>
      </c>
      <c r="X281" s="128">
        <f t="shared" si="70"/>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f t="shared" si="61"/>
        <v>44491</v>
      </c>
      <c r="L282" s="128">
        <f t="shared" si="62"/>
        <v>215.00000008000001</v>
      </c>
      <c r="M282" s="128">
        <f t="shared" si="63"/>
        <v>86.000000080000007</v>
      </c>
      <c r="N282" s="128">
        <f t="shared" si="64"/>
        <v>216</v>
      </c>
      <c r="O282" s="128">
        <f t="shared" si="65"/>
        <v>126</v>
      </c>
      <c r="P282" s="128">
        <f t="shared" si="66"/>
        <v>212</v>
      </c>
      <c r="Q282" s="128">
        <f t="shared" si="67"/>
        <v>231</v>
      </c>
      <c r="R282" s="128">
        <f t="shared" si="68"/>
        <v>15</v>
      </c>
      <c r="S282" s="1">
        <f t="shared" ref="S282:S284" si="83">IF(Q282&gt;L282,1,0)</f>
        <v>1</v>
      </c>
      <c r="T282" s="128">
        <f t="shared" si="57"/>
        <v>-0.99999991999999338</v>
      </c>
      <c r="U282" s="128">
        <f t="shared" ref="U282:U284" si="84">SUM(L282:Q282)</f>
        <v>1086.0000001600001</v>
      </c>
      <c r="W282" s="128">
        <f t="shared" si="69"/>
        <v>231</v>
      </c>
      <c r="X282" s="128">
        <f t="shared" si="70"/>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f t="shared" si="61"/>
        <v>44498</v>
      </c>
      <c r="L283" s="128">
        <f t="shared" si="62"/>
        <v>216.00000008000001</v>
      </c>
      <c r="M283" s="128">
        <f t="shared" si="63"/>
        <v>87.000000080000007</v>
      </c>
      <c r="N283" s="128">
        <f t="shared" si="64"/>
        <v>217</v>
      </c>
      <c r="O283" s="128">
        <f t="shared" si="65"/>
        <v>126</v>
      </c>
      <c r="P283" s="128">
        <f t="shared" si="66"/>
        <v>213</v>
      </c>
      <c r="Q283" s="128">
        <f t="shared" si="67"/>
        <v>231</v>
      </c>
      <c r="R283" s="128">
        <f t="shared" si="68"/>
        <v>14</v>
      </c>
      <c r="S283" s="1">
        <f t="shared" si="83"/>
        <v>1</v>
      </c>
      <c r="T283" s="128">
        <f t="shared" si="57"/>
        <v>-0.99999991999999338</v>
      </c>
      <c r="U283" s="128">
        <f t="shared" si="84"/>
        <v>1090.0000001600001</v>
      </c>
      <c r="W283" s="128">
        <f t="shared" si="69"/>
        <v>231</v>
      </c>
      <c r="X283" s="128">
        <f t="shared" si="70"/>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281</v>
      </c>
      <c r="K284" s="86">
        <f t="shared" si="61"/>
        <v>44505</v>
      </c>
      <c r="L284" s="128">
        <f t="shared" si="62"/>
        <v>217.00000008000001</v>
      </c>
      <c r="M284" s="128">
        <f t="shared" si="63"/>
        <v>88.000000080000007</v>
      </c>
      <c r="N284" s="128">
        <f t="shared" si="64"/>
        <v>217</v>
      </c>
      <c r="O284" s="128">
        <f t="shared" si="65"/>
        <v>127</v>
      </c>
      <c r="P284" s="128">
        <f t="shared" si="66"/>
        <v>214</v>
      </c>
      <c r="Q284" s="128">
        <f t="shared" si="67"/>
        <v>232</v>
      </c>
      <c r="R284" s="128">
        <f t="shared" si="68"/>
        <v>14.999999919999993</v>
      </c>
      <c r="S284" s="1">
        <f t="shared" si="83"/>
        <v>1</v>
      </c>
      <c r="T284" s="128">
        <f t="shared" si="57"/>
        <v>8.000000661922968E-8</v>
      </c>
      <c r="U284" s="128">
        <f t="shared" si="84"/>
        <v>1095.0000001600001</v>
      </c>
      <c r="W284" s="128">
        <f t="shared" si="69"/>
        <v>232</v>
      </c>
      <c r="X284" s="128">
        <f t="shared" si="70"/>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282</v>
      </c>
      <c r="K285" s="86">
        <f t="shared" si="61"/>
        <v>44512</v>
      </c>
      <c r="L285" s="128">
        <f t="shared" si="62"/>
        <v>218.00000008000001</v>
      </c>
      <c r="M285" s="128">
        <f t="shared" si="63"/>
        <v>88.000000080000007</v>
      </c>
      <c r="N285" s="128">
        <f t="shared" si="64"/>
        <v>218</v>
      </c>
      <c r="O285" s="128">
        <f t="shared" si="65"/>
        <v>128</v>
      </c>
      <c r="P285" s="128">
        <f t="shared" si="66"/>
        <v>215</v>
      </c>
      <c r="Q285" s="128">
        <f t="shared" si="67"/>
        <v>233</v>
      </c>
      <c r="R285" s="128">
        <f t="shared" si="68"/>
        <v>14.999999919999993</v>
      </c>
      <c r="S285" s="1">
        <f t="shared" ref="S285" si="85">IF(Q285&gt;L285,1,0)</f>
        <v>1</v>
      </c>
      <c r="T285" s="128">
        <f t="shared" si="57"/>
        <v>8.000000661922968E-8</v>
      </c>
      <c r="U285" s="128">
        <f t="shared" ref="U285" si="86">SUM(L285:Q285)</f>
        <v>1100.0000001600001</v>
      </c>
      <c r="W285" s="128">
        <f t="shared" si="69"/>
        <v>233</v>
      </c>
      <c r="X285" s="128">
        <f t="shared" si="70"/>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283</v>
      </c>
      <c r="K286" s="86">
        <f t="shared" si="61"/>
        <v>44519</v>
      </c>
      <c r="L286" s="128">
        <f t="shared" si="62"/>
        <v>219.00000008000001</v>
      </c>
      <c r="M286" s="128">
        <f t="shared" si="63"/>
        <v>88.000000080000007</v>
      </c>
      <c r="N286" s="128">
        <f t="shared" si="64"/>
        <v>219</v>
      </c>
      <c r="O286" s="128">
        <f t="shared" si="65"/>
        <v>129</v>
      </c>
      <c r="P286" s="128">
        <f t="shared" si="66"/>
        <v>216</v>
      </c>
      <c r="Q286" s="128">
        <f t="shared" si="67"/>
        <v>234</v>
      </c>
      <c r="R286" s="128">
        <f t="shared" si="68"/>
        <v>14.999999919999993</v>
      </c>
      <c r="S286" s="1">
        <f t="shared" ref="S286" si="87">IF(Q286&gt;L286,1,0)</f>
        <v>1</v>
      </c>
      <c r="T286" s="128">
        <f t="shared" si="57"/>
        <v>8.000000661922968E-8</v>
      </c>
      <c r="U286" s="128">
        <f t="shared" ref="U286" si="88">SUM(L286:Q286)</f>
        <v>1105.0000001600001</v>
      </c>
      <c r="W286" s="128">
        <f t="shared" si="69"/>
        <v>234</v>
      </c>
      <c r="X286" s="128">
        <f t="shared" si="70"/>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284</v>
      </c>
      <c r="K287" s="86">
        <f t="shared" si="61"/>
        <v>44526</v>
      </c>
      <c r="L287" s="128">
        <f t="shared" si="62"/>
        <v>219.00000008000001</v>
      </c>
      <c r="M287" s="128">
        <f t="shared" si="63"/>
        <v>88.000000080000007</v>
      </c>
      <c r="N287" s="128">
        <f t="shared" si="64"/>
        <v>220</v>
      </c>
      <c r="O287" s="128">
        <f t="shared" si="65"/>
        <v>129</v>
      </c>
      <c r="P287" s="128">
        <f t="shared" si="66"/>
        <v>217</v>
      </c>
      <c r="Q287" s="128">
        <f t="shared" si="67"/>
        <v>235</v>
      </c>
      <c r="R287" s="128">
        <f t="shared" si="68"/>
        <v>15</v>
      </c>
      <c r="S287" s="1">
        <f t="shared" ref="S287" si="89">IF(Q287&gt;L287,1,0)</f>
        <v>1</v>
      </c>
      <c r="T287" s="128">
        <f t="shared" si="57"/>
        <v>-0.99999991999999338</v>
      </c>
      <c r="U287" s="128">
        <f t="shared" ref="U287" si="90">SUM(L287:Q287)</f>
        <v>1108.0000001600001</v>
      </c>
      <c r="W287" s="128">
        <f t="shared" si="69"/>
        <v>235</v>
      </c>
      <c r="X287" s="128">
        <f t="shared" si="70"/>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285</v>
      </c>
      <c r="K288" s="86">
        <f t="shared" si="61"/>
        <v>44533</v>
      </c>
      <c r="L288" s="128">
        <f t="shared" si="62"/>
        <v>220.00000008000001</v>
      </c>
      <c r="M288" s="128">
        <f t="shared" si="63"/>
        <v>88.000000080000007</v>
      </c>
      <c r="N288" s="128">
        <f t="shared" si="64"/>
        <v>220</v>
      </c>
      <c r="O288" s="128">
        <f t="shared" si="65"/>
        <v>130</v>
      </c>
      <c r="P288" s="128">
        <f t="shared" si="66"/>
        <v>218</v>
      </c>
      <c r="Q288" s="128">
        <f t="shared" si="67"/>
        <v>236</v>
      </c>
      <c r="R288" s="128">
        <f t="shared" si="68"/>
        <v>15.999999919999993</v>
      </c>
      <c r="S288" s="1">
        <f t="shared" ref="S288" si="91">IF(Q288&gt;L288,1,0)</f>
        <v>1</v>
      </c>
      <c r="T288" s="128">
        <f t="shared" si="57"/>
        <v>8.000000661922968E-8</v>
      </c>
      <c r="U288" s="128">
        <f t="shared" ref="U288" si="92">SUM(L288:Q288)</f>
        <v>1112.0000001600001</v>
      </c>
      <c r="W288" s="128">
        <f t="shared" si="69"/>
        <v>236</v>
      </c>
      <c r="X288" s="128">
        <f t="shared" si="70"/>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f t="shared" si="61"/>
        <v>44540</v>
      </c>
      <c r="L289" s="128">
        <f t="shared" si="62"/>
        <v>221.00000008000001</v>
      </c>
      <c r="M289" s="128">
        <f t="shared" si="63"/>
        <v>89.000000080000007</v>
      </c>
      <c r="N289" s="128">
        <f t="shared" si="64"/>
        <v>221</v>
      </c>
      <c r="O289" s="128">
        <f t="shared" si="65"/>
        <v>131</v>
      </c>
      <c r="P289" s="128">
        <f t="shared" si="66"/>
        <v>219</v>
      </c>
      <c r="Q289" s="128">
        <f t="shared" si="67"/>
        <v>237</v>
      </c>
      <c r="R289" s="128">
        <f t="shared" si="68"/>
        <v>15.999999919999993</v>
      </c>
      <c r="S289" s="1">
        <f t="shared" ref="S289:S293" si="93">IF(Q289&gt;L289,1,0)</f>
        <v>1</v>
      </c>
      <c r="T289" s="128">
        <f t="shared" si="57"/>
        <v>8.000000661922968E-8</v>
      </c>
      <c r="U289" s="128">
        <f t="shared" ref="U289:U293" si="94">SUM(L289:Q289)</f>
        <v>1118.0000001600001</v>
      </c>
      <c r="W289" s="128">
        <f t="shared" si="69"/>
        <v>237</v>
      </c>
      <c r="X289" s="128">
        <f t="shared" si="70"/>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f t="shared" si="61"/>
        <v>44547</v>
      </c>
      <c r="L290" s="128">
        <f t="shared" si="62"/>
        <v>222.00000008000001</v>
      </c>
      <c r="M290" s="128">
        <f t="shared" si="63"/>
        <v>90.000000080000007</v>
      </c>
      <c r="N290" s="128">
        <f t="shared" si="64"/>
        <v>222</v>
      </c>
      <c r="O290" s="128">
        <f t="shared" si="65"/>
        <v>132</v>
      </c>
      <c r="P290" s="128">
        <f t="shared" si="66"/>
        <v>220</v>
      </c>
      <c r="Q290" s="128">
        <f t="shared" si="67"/>
        <v>237</v>
      </c>
      <c r="R290" s="128">
        <f t="shared" si="68"/>
        <v>14.999999919999993</v>
      </c>
      <c r="S290" s="1">
        <f t="shared" si="93"/>
        <v>1</v>
      </c>
      <c r="T290" s="128">
        <f t="shared" si="57"/>
        <v>8.000000661922968E-8</v>
      </c>
      <c r="U290" s="128">
        <f t="shared" si="94"/>
        <v>1123.0000001600001</v>
      </c>
      <c r="W290" s="128">
        <f t="shared" si="69"/>
        <v>237</v>
      </c>
      <c r="X290" s="128">
        <f t="shared" si="70"/>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f t="shared" si="61"/>
        <v>44554</v>
      </c>
      <c r="L291" s="128">
        <f t="shared" si="62"/>
        <v>223.00000008000001</v>
      </c>
      <c r="M291" s="128">
        <f t="shared" si="63"/>
        <v>91.000000080000007</v>
      </c>
      <c r="N291" s="128">
        <f t="shared" si="64"/>
        <v>223</v>
      </c>
      <c r="O291" s="128">
        <f t="shared" si="65"/>
        <v>133</v>
      </c>
      <c r="P291" s="128">
        <f t="shared" si="66"/>
        <v>221</v>
      </c>
      <c r="Q291" s="128">
        <f t="shared" si="67"/>
        <v>238</v>
      </c>
      <c r="R291" s="128">
        <f t="shared" si="68"/>
        <v>14.999999919999993</v>
      </c>
      <c r="S291" s="1">
        <f t="shared" si="93"/>
        <v>1</v>
      </c>
      <c r="T291" s="128">
        <f t="shared" si="57"/>
        <v>8.000000661922968E-8</v>
      </c>
      <c r="U291" s="128">
        <f t="shared" si="94"/>
        <v>1129.0000001600001</v>
      </c>
      <c r="W291" s="128">
        <f t="shared" si="69"/>
        <v>238</v>
      </c>
      <c r="X291" s="128">
        <f t="shared" si="70"/>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f t="shared" si="61"/>
        <v>44561</v>
      </c>
      <c r="L292" s="128">
        <f t="shared" si="62"/>
        <v>223.00000008000001</v>
      </c>
      <c r="M292" s="128">
        <f t="shared" si="63"/>
        <v>92.000000080000007</v>
      </c>
      <c r="N292" s="128">
        <f t="shared" si="64"/>
        <v>224</v>
      </c>
      <c r="O292" s="128">
        <f t="shared" si="65"/>
        <v>133</v>
      </c>
      <c r="P292" s="128">
        <f t="shared" si="66"/>
        <v>221</v>
      </c>
      <c r="Q292" s="128">
        <f t="shared" si="67"/>
        <v>238</v>
      </c>
      <c r="R292" s="128">
        <f t="shared" si="68"/>
        <v>14</v>
      </c>
      <c r="S292" s="1">
        <f t="shared" si="93"/>
        <v>1</v>
      </c>
      <c r="T292" s="128">
        <f t="shared" si="57"/>
        <v>-0.99999991999999338</v>
      </c>
      <c r="U292" s="128">
        <f t="shared" si="94"/>
        <v>1131.0000001600001</v>
      </c>
      <c r="W292" s="128">
        <f t="shared" si="69"/>
        <v>238</v>
      </c>
      <c r="X292" s="128">
        <f t="shared" si="70"/>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f t="shared" si="61"/>
        <v>44568</v>
      </c>
      <c r="L293" s="128">
        <f t="shared" si="62"/>
        <v>224.00000008000001</v>
      </c>
      <c r="M293" s="128">
        <f t="shared" si="63"/>
        <v>92.000000080000007</v>
      </c>
      <c r="N293" s="128">
        <f t="shared" si="64"/>
        <v>224</v>
      </c>
      <c r="O293" s="128">
        <f t="shared" si="65"/>
        <v>134</v>
      </c>
      <c r="P293" s="128">
        <f t="shared" si="66"/>
        <v>221</v>
      </c>
      <c r="Q293" s="128">
        <f t="shared" si="67"/>
        <v>239</v>
      </c>
      <c r="R293" s="128">
        <f t="shared" si="68"/>
        <v>14.999999919999993</v>
      </c>
      <c r="S293" s="1">
        <f t="shared" si="93"/>
        <v>1</v>
      </c>
      <c r="T293" s="128">
        <f t="shared" si="57"/>
        <v>8.000000661922968E-8</v>
      </c>
      <c r="U293" s="128">
        <f t="shared" si="94"/>
        <v>1134.0000001600001</v>
      </c>
      <c r="W293" s="128">
        <f t="shared" si="69"/>
        <v>239</v>
      </c>
      <c r="X293" s="128">
        <f t="shared" si="70"/>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f t="shared" si="61"/>
        <v>44575</v>
      </c>
      <c r="L294" s="128">
        <f t="shared" si="62"/>
        <v>224.00000008000001</v>
      </c>
      <c r="M294" s="128">
        <f t="shared" si="63"/>
        <v>93.000000080000007</v>
      </c>
      <c r="N294" s="128">
        <f t="shared" si="64"/>
        <v>225</v>
      </c>
      <c r="O294" s="128">
        <f t="shared" si="65"/>
        <v>134</v>
      </c>
      <c r="P294" s="128">
        <f t="shared" si="66"/>
        <v>221</v>
      </c>
      <c r="Q294" s="128">
        <f t="shared" si="67"/>
        <v>240</v>
      </c>
      <c r="R294" s="128">
        <f t="shared" si="68"/>
        <v>15</v>
      </c>
      <c r="S294" s="1">
        <f t="shared" ref="S294:S296" si="95">IF(Q294&gt;L294,1,0)</f>
        <v>1</v>
      </c>
      <c r="T294" s="128">
        <f t="shared" si="57"/>
        <v>-0.99999991999999338</v>
      </c>
      <c r="U294" s="128">
        <f t="shared" ref="U294:U296" si="96">SUM(L294:Q294)</f>
        <v>1137.0000001600001</v>
      </c>
      <c r="W294" s="128">
        <f t="shared" si="69"/>
        <v>240</v>
      </c>
      <c r="X294" s="128">
        <f t="shared" si="70"/>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f t="shared" si="61"/>
        <v>44582</v>
      </c>
      <c r="L295" s="128">
        <f t="shared" si="62"/>
        <v>225.00000008000001</v>
      </c>
      <c r="M295" s="128">
        <f t="shared" si="63"/>
        <v>94.000000080000007</v>
      </c>
      <c r="N295" s="128">
        <f t="shared" si="64"/>
        <v>226</v>
      </c>
      <c r="O295" s="128">
        <f t="shared" si="65"/>
        <v>135</v>
      </c>
      <c r="P295" s="128">
        <f t="shared" si="66"/>
        <v>222</v>
      </c>
      <c r="Q295" s="128">
        <f t="shared" si="67"/>
        <v>241</v>
      </c>
      <c r="R295" s="128">
        <f t="shared" si="68"/>
        <v>15</v>
      </c>
      <c r="S295" s="1">
        <f t="shared" si="95"/>
        <v>1</v>
      </c>
      <c r="T295" s="128">
        <f t="shared" ref="T295:T299" si="97">L295-N295</f>
        <v>-0.99999991999999338</v>
      </c>
      <c r="U295" s="128">
        <f t="shared" si="96"/>
        <v>1143.0000001600001</v>
      </c>
      <c r="W295" s="128">
        <f t="shared" si="69"/>
        <v>241</v>
      </c>
      <c r="X295" s="128">
        <f t="shared" si="70"/>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f t="shared" si="61"/>
        <v>44589</v>
      </c>
      <c r="L296" s="128">
        <f t="shared" si="62"/>
        <v>226.00000008000001</v>
      </c>
      <c r="M296" s="128">
        <f t="shared" si="63"/>
        <v>94.000000080000007</v>
      </c>
      <c r="N296" s="128">
        <f t="shared" si="64"/>
        <v>227</v>
      </c>
      <c r="O296" s="128">
        <f t="shared" si="65"/>
        <v>135</v>
      </c>
      <c r="P296" s="128">
        <f t="shared" si="66"/>
        <v>223</v>
      </c>
      <c r="Q296" s="128">
        <f t="shared" si="67"/>
        <v>242</v>
      </c>
      <c r="R296" s="128">
        <f t="shared" si="68"/>
        <v>15</v>
      </c>
      <c r="S296" s="1">
        <f t="shared" si="95"/>
        <v>1</v>
      </c>
      <c r="T296" s="128">
        <f t="shared" si="97"/>
        <v>-0.99999991999999338</v>
      </c>
      <c r="U296" s="128">
        <f t="shared" si="96"/>
        <v>1147.0000001600001</v>
      </c>
      <c r="W296" s="128">
        <f t="shared" si="69"/>
        <v>242</v>
      </c>
      <c r="X296" s="128">
        <f t="shared" si="70"/>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f t="shared" si="61"/>
        <v>44596</v>
      </c>
      <c r="L297" s="128">
        <f t="shared" si="62"/>
        <v>227.00000008000001</v>
      </c>
      <c r="M297" s="128">
        <f t="shared" si="63"/>
        <v>95.000000080000007</v>
      </c>
      <c r="N297" s="128">
        <f t="shared" si="64"/>
        <v>227</v>
      </c>
      <c r="O297" s="128">
        <f t="shared" si="65"/>
        <v>135</v>
      </c>
      <c r="P297" s="128">
        <f t="shared" si="66"/>
        <v>223</v>
      </c>
      <c r="Q297" s="128">
        <f t="shared" si="67"/>
        <v>243</v>
      </c>
      <c r="R297" s="128">
        <f t="shared" si="68"/>
        <v>15.999999919999993</v>
      </c>
      <c r="S297" s="1">
        <f t="shared" ref="S297" si="98">IF(Q297&gt;L297,1,0)</f>
        <v>1</v>
      </c>
      <c r="T297" s="128">
        <f t="shared" si="97"/>
        <v>8.000000661922968E-8</v>
      </c>
      <c r="U297" s="128">
        <f t="shared" ref="U297" si="99">SUM(L297:Q297)</f>
        <v>1150.0000001600001</v>
      </c>
      <c r="W297" s="128">
        <f t="shared" si="69"/>
        <v>243</v>
      </c>
      <c r="X297" s="128">
        <f t="shared" si="70"/>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f t="shared" si="61"/>
        <v>44603</v>
      </c>
      <c r="L298" s="128">
        <f t="shared" si="62"/>
        <v>228.00000008000001</v>
      </c>
      <c r="M298" s="128">
        <f t="shared" si="63"/>
        <v>96.000000080000007</v>
      </c>
      <c r="N298" s="128">
        <f t="shared" si="64"/>
        <v>228</v>
      </c>
      <c r="O298" s="128">
        <f t="shared" si="65"/>
        <v>135</v>
      </c>
      <c r="P298" s="128">
        <f t="shared" si="66"/>
        <v>224</v>
      </c>
      <c r="Q298" s="128">
        <f t="shared" si="67"/>
        <v>244</v>
      </c>
      <c r="R298" s="128">
        <f t="shared" ref="R298" si="100">Q298-MAX(L298:P298)</f>
        <v>15.999999919999993</v>
      </c>
      <c r="S298" s="1">
        <f t="shared" ref="S298" si="101">IF(Q298&gt;L298,1,0)</f>
        <v>1</v>
      </c>
      <c r="T298" s="128">
        <f t="shared" si="97"/>
        <v>8.000000661922968E-8</v>
      </c>
      <c r="U298" s="128">
        <f t="shared" ref="U298" si="102">SUM(L298:Q298)</f>
        <v>1155.0000001600001</v>
      </c>
      <c r="W298" s="128">
        <f t="shared" si="69"/>
        <v>244</v>
      </c>
      <c r="X298" s="128">
        <f t="shared" si="70"/>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f t="shared" si="61"/>
        <v>44610</v>
      </c>
      <c r="L299" s="128">
        <f t="shared" si="62"/>
        <v>229.00000008000001</v>
      </c>
      <c r="M299" s="128">
        <f t="shared" si="63"/>
        <v>96.000000080000007</v>
      </c>
      <c r="N299" s="128">
        <f t="shared" si="64"/>
        <v>229</v>
      </c>
      <c r="O299" s="128">
        <f t="shared" si="65"/>
        <v>135</v>
      </c>
      <c r="P299" s="128">
        <f t="shared" si="66"/>
        <v>225</v>
      </c>
      <c r="Q299" s="128">
        <f t="shared" si="67"/>
        <v>245</v>
      </c>
      <c r="R299" s="128">
        <f t="shared" ref="R299" si="103">Q299-MAX(L299:P299)</f>
        <v>15.999999919999993</v>
      </c>
      <c r="S299" s="1">
        <f>IF(Q299&gt;L299,1,0)</f>
        <v>1</v>
      </c>
      <c r="T299" s="128">
        <f t="shared" si="97"/>
        <v>8.000000661922968E-8</v>
      </c>
      <c r="U299" s="128">
        <f t="shared" ref="U299" si="104">SUM(L299:Q299)</f>
        <v>1159.0000001600001</v>
      </c>
      <c r="W299" s="128">
        <f t="shared" si="69"/>
        <v>245</v>
      </c>
      <c r="X299" s="128">
        <f t="shared" si="70"/>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f t="shared" si="61"/>
        <v>44617</v>
      </c>
      <c r="L300" s="128">
        <f t="shared" si="62"/>
        <v>229.00000008000001</v>
      </c>
      <c r="M300" s="128">
        <f t="shared" si="63"/>
        <v>96.000000080000007</v>
      </c>
      <c r="N300" s="128">
        <f t="shared" si="64"/>
        <v>230</v>
      </c>
      <c r="O300" s="128">
        <f t="shared" si="65"/>
        <v>136</v>
      </c>
      <c r="P300" s="128">
        <f t="shared" si="66"/>
        <v>226</v>
      </c>
      <c r="Q300" s="128">
        <f t="shared" si="67"/>
        <v>246</v>
      </c>
      <c r="R300" s="128">
        <f t="shared" ref="R300" si="105">Q300-MAX(L300:P300)</f>
        <v>16</v>
      </c>
      <c r="S300" s="1">
        <f>IF(Q300&gt;L300,1,0)</f>
        <v>1</v>
      </c>
      <c r="T300" s="128">
        <f t="shared" ref="T300" si="106">L300-N300</f>
        <v>-0.99999991999999338</v>
      </c>
      <c r="U300" s="128">
        <f t="shared" ref="U300" si="107">SUM(L300:Q300)</f>
        <v>1163.0000001600001</v>
      </c>
      <c r="W300" s="128">
        <f t="shared" si="69"/>
        <v>246</v>
      </c>
      <c r="X300" s="128">
        <f t="shared" si="70"/>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f t="shared" si="61"/>
        <v>44624</v>
      </c>
      <c r="L301" s="128">
        <f t="shared" si="62"/>
        <v>229.00000008000001</v>
      </c>
      <c r="M301" s="128">
        <f t="shared" si="63"/>
        <v>97.000000080000007</v>
      </c>
      <c r="N301" s="128">
        <f t="shared" si="64"/>
        <v>230</v>
      </c>
      <c r="O301" s="128">
        <f t="shared" si="65"/>
        <v>136</v>
      </c>
      <c r="P301" s="128">
        <f t="shared" si="66"/>
        <v>227</v>
      </c>
      <c r="Q301" s="128">
        <f t="shared" si="67"/>
        <v>247</v>
      </c>
      <c r="R301" s="128">
        <f t="shared" ref="R301:R302" si="108">Q301-MAX(L301:P301)</f>
        <v>17</v>
      </c>
      <c r="S301" s="1">
        <f t="shared" ref="S301:S302" si="109">IF(Q301&gt;L301,1,0)</f>
        <v>1</v>
      </c>
      <c r="T301" s="128">
        <f t="shared" ref="T301:T302" si="110">L301-N301</f>
        <v>-0.99999991999999338</v>
      </c>
      <c r="U301" s="128">
        <f t="shared" ref="U301:U302" si="111">SUM(L301:Q301)</f>
        <v>1166.0000001600001</v>
      </c>
      <c r="W301" s="128">
        <f t="shared" si="69"/>
        <v>247</v>
      </c>
      <c r="X301" s="128">
        <f t="shared" si="70"/>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f t="shared" si="61"/>
        <v>44631</v>
      </c>
      <c r="L302" s="128">
        <f t="shared" si="62"/>
        <v>230.00000008000001</v>
      </c>
      <c r="M302" s="128">
        <f t="shared" si="63"/>
        <v>98.000000080000007</v>
      </c>
      <c r="N302" s="128">
        <f t="shared" si="64"/>
        <v>231</v>
      </c>
      <c r="O302" s="128">
        <f t="shared" si="65"/>
        <v>136</v>
      </c>
      <c r="P302" s="128">
        <f t="shared" si="66"/>
        <v>228</v>
      </c>
      <c r="Q302" s="128">
        <f t="shared" si="67"/>
        <v>248</v>
      </c>
      <c r="R302" s="128">
        <f t="shared" si="108"/>
        <v>17</v>
      </c>
      <c r="S302" s="1">
        <f t="shared" si="109"/>
        <v>1</v>
      </c>
      <c r="T302" s="128">
        <f t="shared" si="110"/>
        <v>-0.99999991999999338</v>
      </c>
      <c r="U302" s="128">
        <f t="shared" si="111"/>
        <v>1171.0000001600001</v>
      </c>
      <c r="W302" s="128">
        <f t="shared" si="69"/>
        <v>248</v>
      </c>
      <c r="X302" s="128">
        <f t="shared" si="70"/>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f t="shared" si="61"/>
        <v>44638</v>
      </c>
      <c r="L303" s="128">
        <f t="shared" si="62"/>
        <v>231.00000008000001</v>
      </c>
      <c r="M303" s="128">
        <f t="shared" si="63"/>
        <v>99.000000080000007</v>
      </c>
      <c r="N303" s="128">
        <f t="shared" si="64"/>
        <v>232</v>
      </c>
      <c r="O303" s="128">
        <f t="shared" si="65"/>
        <v>137</v>
      </c>
      <c r="P303" s="128">
        <f t="shared" si="66"/>
        <v>229</v>
      </c>
      <c r="Q303" s="128">
        <f t="shared" si="67"/>
        <v>248</v>
      </c>
      <c r="R303" s="128">
        <f>Q303-MAX(L303:P303)</f>
        <v>16</v>
      </c>
      <c r="S303" s="1">
        <f t="shared" ref="S303:S305" si="112">IF(Q303&gt;L303,1,0)</f>
        <v>1</v>
      </c>
      <c r="T303" s="128">
        <f t="shared" ref="T303:T305" si="113">L303-N303</f>
        <v>-0.99999991999999338</v>
      </c>
      <c r="U303" s="128">
        <f t="shared" ref="U303:U305" si="114">SUM(L303:Q303)</f>
        <v>1176.0000001600001</v>
      </c>
      <c r="W303" s="128">
        <f t="shared" si="69"/>
        <v>248</v>
      </c>
      <c r="X303" s="128">
        <f t="shared" si="70"/>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f t="shared" si="61"/>
        <v>44645</v>
      </c>
      <c r="L304" s="128">
        <f t="shared" si="62"/>
        <v>231.00000008000001</v>
      </c>
      <c r="M304" s="128">
        <f t="shared" si="63"/>
        <v>99.000000080000007</v>
      </c>
      <c r="N304" s="128">
        <f t="shared" si="64"/>
        <v>232</v>
      </c>
      <c r="O304" s="128">
        <f t="shared" si="65"/>
        <v>137</v>
      </c>
      <c r="P304" s="128">
        <f t="shared" si="66"/>
        <v>230</v>
      </c>
      <c r="Q304" s="128">
        <f t="shared" si="67"/>
        <v>249</v>
      </c>
      <c r="R304" s="128">
        <f t="shared" ref="R304:R305" si="115">Q304-MAX(L304:P304)</f>
        <v>17</v>
      </c>
      <c r="S304" s="1">
        <f t="shared" si="112"/>
        <v>1</v>
      </c>
      <c r="T304" s="128">
        <f t="shared" si="113"/>
        <v>-0.99999991999999338</v>
      </c>
      <c r="U304" s="128">
        <f t="shared" si="114"/>
        <v>1178.0000001600001</v>
      </c>
      <c r="W304" s="128">
        <f t="shared" si="69"/>
        <v>249</v>
      </c>
      <c r="X304" s="128">
        <f t="shared" si="70"/>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f t="shared" si="61"/>
        <v>44652</v>
      </c>
      <c r="L305" s="128">
        <f t="shared" si="62"/>
        <v>231.00000008000001</v>
      </c>
      <c r="M305" s="128">
        <f t="shared" si="63"/>
        <v>99.000000080000007</v>
      </c>
      <c r="N305" s="128">
        <f t="shared" si="64"/>
        <v>232</v>
      </c>
      <c r="O305" s="128">
        <f t="shared" si="65"/>
        <v>137</v>
      </c>
      <c r="P305" s="128">
        <f t="shared" si="66"/>
        <v>231</v>
      </c>
      <c r="Q305" s="128">
        <f t="shared" si="67"/>
        <v>250</v>
      </c>
      <c r="R305" s="128">
        <f t="shared" si="115"/>
        <v>18</v>
      </c>
      <c r="S305" s="1">
        <f t="shared" si="112"/>
        <v>1</v>
      </c>
      <c r="T305" s="128">
        <f t="shared" si="113"/>
        <v>-0.99999991999999338</v>
      </c>
      <c r="U305" s="128">
        <f t="shared" si="114"/>
        <v>1180.0000001600001</v>
      </c>
      <c r="W305" s="128">
        <f t="shared" si="69"/>
        <v>250</v>
      </c>
      <c r="X305" s="128">
        <f t="shared" si="70"/>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f t="shared" si="61"/>
        <v>44659</v>
      </c>
      <c r="L306" s="128">
        <f t="shared" si="62"/>
        <v>232.00000008000001</v>
      </c>
      <c r="M306" s="128">
        <f t="shared" si="63"/>
        <v>99.000000080000007</v>
      </c>
      <c r="N306" s="128">
        <f t="shared" si="64"/>
        <v>233</v>
      </c>
      <c r="O306" s="128">
        <f t="shared" si="65"/>
        <v>137</v>
      </c>
      <c r="P306" s="128">
        <f t="shared" si="66"/>
        <v>232</v>
      </c>
      <c r="Q306" s="128">
        <f t="shared" si="67"/>
        <v>251</v>
      </c>
      <c r="R306" s="128">
        <f t="shared" ref="R306:R329" si="116">Q306-MAX(L306:P306)</f>
        <v>18</v>
      </c>
      <c r="S306" s="1">
        <f t="shared" ref="S306:S329" si="117">IF(Q306&gt;L306,1,0)</f>
        <v>1</v>
      </c>
      <c r="T306" s="128">
        <f t="shared" ref="T306:T329" si="118">L306-N306</f>
        <v>-0.99999991999999338</v>
      </c>
      <c r="U306" s="128">
        <f t="shared" ref="U306:U329" si="119">SUM(L306:Q306)</f>
        <v>1184.0000001600001</v>
      </c>
      <c r="W306" s="128">
        <f t="shared" si="69"/>
        <v>251</v>
      </c>
      <c r="X306" s="128">
        <f t="shared" si="70"/>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f t="shared" si="61"/>
        <v>44673</v>
      </c>
      <c r="L307" s="128">
        <f t="shared" si="62"/>
        <v>233.00000008000001</v>
      </c>
      <c r="M307" s="128">
        <f t="shared" si="63"/>
        <v>100.00000008000001</v>
      </c>
      <c r="N307" s="128">
        <f t="shared" si="64"/>
        <v>234</v>
      </c>
      <c r="O307" s="128">
        <f t="shared" si="65"/>
        <v>137</v>
      </c>
      <c r="P307" s="128">
        <f t="shared" si="66"/>
        <v>233</v>
      </c>
      <c r="Q307" s="128">
        <f t="shared" si="67"/>
        <v>252</v>
      </c>
      <c r="R307" s="128">
        <f t="shared" si="116"/>
        <v>18</v>
      </c>
      <c r="S307" s="1">
        <f t="shared" si="117"/>
        <v>1</v>
      </c>
      <c r="T307" s="128">
        <f t="shared" si="118"/>
        <v>-0.99999991999999338</v>
      </c>
      <c r="U307" s="128">
        <f t="shared" si="119"/>
        <v>1189.0000001600001</v>
      </c>
      <c r="W307" s="128">
        <f t="shared" si="69"/>
        <v>252</v>
      </c>
      <c r="X307" s="128">
        <f t="shared" si="70"/>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f t="shared" si="61"/>
        <v>44680</v>
      </c>
      <c r="L308" s="128">
        <f t="shared" si="62"/>
        <v>234.00000008000001</v>
      </c>
      <c r="M308" s="128">
        <f t="shared" si="63"/>
        <v>101.00000008000001</v>
      </c>
      <c r="N308" s="128">
        <f t="shared" si="64"/>
        <v>235</v>
      </c>
      <c r="O308" s="128">
        <f t="shared" si="65"/>
        <v>137</v>
      </c>
      <c r="P308" s="128">
        <f t="shared" si="66"/>
        <v>234</v>
      </c>
      <c r="Q308" s="128">
        <f t="shared" si="67"/>
        <v>253</v>
      </c>
      <c r="R308" s="128">
        <f t="shared" si="116"/>
        <v>18</v>
      </c>
      <c r="S308" s="1">
        <f t="shared" si="117"/>
        <v>1</v>
      </c>
      <c r="T308" s="128">
        <f t="shared" si="118"/>
        <v>-0.99999991999999338</v>
      </c>
      <c r="U308" s="128">
        <f t="shared" si="119"/>
        <v>1194.0000001600001</v>
      </c>
      <c r="W308" s="128">
        <f t="shared" si="69"/>
        <v>253</v>
      </c>
      <c r="X308" s="128">
        <f t="shared" si="70"/>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f t="shared" si="61"/>
        <v>44687</v>
      </c>
      <c r="L309" s="128">
        <f t="shared" si="62"/>
        <v>234.00000008000001</v>
      </c>
      <c r="M309" s="128">
        <f t="shared" si="63"/>
        <v>102.00000008000001</v>
      </c>
      <c r="N309" s="128">
        <f t="shared" si="64"/>
        <v>235</v>
      </c>
      <c r="O309" s="128">
        <f t="shared" si="65"/>
        <v>137</v>
      </c>
      <c r="P309" s="128">
        <f t="shared" si="66"/>
        <v>234</v>
      </c>
      <c r="Q309" s="128">
        <f t="shared" si="67"/>
        <v>254</v>
      </c>
      <c r="R309" s="128">
        <f t="shared" si="116"/>
        <v>19</v>
      </c>
      <c r="S309" s="1">
        <f t="shared" si="117"/>
        <v>1</v>
      </c>
      <c r="T309" s="128">
        <f t="shared" si="118"/>
        <v>-0.99999991999999338</v>
      </c>
      <c r="U309" s="128">
        <f t="shared" si="119"/>
        <v>1196.0000001600001</v>
      </c>
      <c r="W309" s="128">
        <f t="shared" si="69"/>
        <v>254</v>
      </c>
      <c r="X309" s="128">
        <f t="shared" si="70"/>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f t="shared" si="61"/>
        <v>44694</v>
      </c>
      <c r="L310" s="128">
        <f t="shared" si="62"/>
        <v>235.00000008000001</v>
      </c>
      <c r="M310" s="128">
        <f t="shared" si="63"/>
        <v>103.00000008000001</v>
      </c>
      <c r="N310" s="128">
        <f t="shared" si="64"/>
        <v>236</v>
      </c>
      <c r="O310" s="128">
        <f t="shared" si="65"/>
        <v>138</v>
      </c>
      <c r="P310" s="128">
        <f t="shared" si="66"/>
        <v>235</v>
      </c>
      <c r="Q310" s="128">
        <f t="shared" si="67"/>
        <v>254</v>
      </c>
      <c r="R310" s="128">
        <f t="shared" si="116"/>
        <v>18</v>
      </c>
      <c r="S310" s="1">
        <f t="shared" si="117"/>
        <v>1</v>
      </c>
      <c r="T310" s="128">
        <f t="shared" si="118"/>
        <v>-0.99999991999999338</v>
      </c>
      <c r="U310" s="128">
        <f t="shared" si="119"/>
        <v>1201.0000001600001</v>
      </c>
      <c r="W310" s="128">
        <f t="shared" si="69"/>
        <v>254</v>
      </c>
      <c r="X310" s="128">
        <f t="shared" si="70"/>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f t="shared" si="61"/>
        <v>44701</v>
      </c>
      <c r="L311" s="128">
        <f t="shared" si="62"/>
        <v>236.00000008000001</v>
      </c>
      <c r="M311" s="128">
        <f t="shared" si="63"/>
        <v>104.00000008000001</v>
      </c>
      <c r="N311" s="128">
        <f t="shared" si="64"/>
        <v>237</v>
      </c>
      <c r="O311" s="128">
        <f t="shared" si="65"/>
        <v>139</v>
      </c>
      <c r="P311" s="128">
        <f t="shared" si="66"/>
        <v>236</v>
      </c>
      <c r="Q311" s="128">
        <f t="shared" si="67"/>
        <v>254</v>
      </c>
      <c r="R311" s="128">
        <f t="shared" si="116"/>
        <v>17</v>
      </c>
      <c r="S311" s="1">
        <f t="shared" si="117"/>
        <v>1</v>
      </c>
      <c r="T311" s="128">
        <f t="shared" si="118"/>
        <v>-0.99999991999999338</v>
      </c>
      <c r="U311" s="128">
        <f t="shared" si="119"/>
        <v>1206.0000001600001</v>
      </c>
      <c r="W311" s="128">
        <f t="shared" si="69"/>
        <v>254</v>
      </c>
      <c r="X311" s="128">
        <f t="shared" si="70"/>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f t="shared" si="61"/>
        <v>44708</v>
      </c>
      <c r="L312" s="128">
        <f t="shared" si="62"/>
        <v>237.00000008000001</v>
      </c>
      <c r="M312" s="128">
        <f t="shared" si="63"/>
        <v>105.00000008000001</v>
      </c>
      <c r="N312" s="128">
        <f t="shared" si="64"/>
        <v>237</v>
      </c>
      <c r="O312" s="128">
        <f t="shared" si="65"/>
        <v>139</v>
      </c>
      <c r="P312" s="128">
        <f t="shared" si="66"/>
        <v>237</v>
      </c>
      <c r="Q312" s="128">
        <f t="shared" si="67"/>
        <v>255</v>
      </c>
      <c r="R312" s="128">
        <f t="shared" si="116"/>
        <v>17.999999919999993</v>
      </c>
      <c r="S312" s="1">
        <f t="shared" si="117"/>
        <v>1</v>
      </c>
      <c r="T312" s="128">
        <f t="shared" si="118"/>
        <v>8.000000661922968E-8</v>
      </c>
      <c r="U312" s="128">
        <f t="shared" si="119"/>
        <v>1210.0000001600001</v>
      </c>
      <c r="W312" s="128">
        <f t="shared" si="69"/>
        <v>255</v>
      </c>
      <c r="X312" s="128">
        <f t="shared" si="70"/>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f t="shared" si="61"/>
        <v>44715</v>
      </c>
      <c r="L313" s="128">
        <f t="shared" si="62"/>
        <v>237.00000008000001</v>
      </c>
      <c r="M313" s="128">
        <f t="shared" si="63"/>
        <v>106.00000008000001</v>
      </c>
      <c r="N313" s="128">
        <f t="shared" si="64"/>
        <v>237</v>
      </c>
      <c r="O313" s="128">
        <f t="shared" si="65"/>
        <v>139</v>
      </c>
      <c r="P313" s="128">
        <f t="shared" si="66"/>
        <v>237</v>
      </c>
      <c r="Q313" s="128">
        <f t="shared" si="67"/>
        <v>256</v>
      </c>
      <c r="R313" s="128">
        <f t="shared" si="116"/>
        <v>18.999999919999993</v>
      </c>
      <c r="S313" s="1">
        <f t="shared" si="117"/>
        <v>1</v>
      </c>
      <c r="T313" s="128">
        <f t="shared" si="118"/>
        <v>8.000000661922968E-8</v>
      </c>
      <c r="U313" s="128">
        <f t="shared" si="119"/>
        <v>1212.0000001600001</v>
      </c>
      <c r="W313" s="128">
        <f t="shared" si="69"/>
        <v>256</v>
      </c>
      <c r="X313" s="128">
        <f t="shared" si="70"/>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f t="shared" si="61"/>
        <v>44722</v>
      </c>
      <c r="L314" s="128">
        <f t="shared" si="62"/>
        <v>238.00000008000001</v>
      </c>
      <c r="M314" s="128">
        <f t="shared" si="63"/>
        <v>107.00000008000001</v>
      </c>
      <c r="N314" s="128">
        <f t="shared" si="64"/>
        <v>237</v>
      </c>
      <c r="O314" s="128">
        <f t="shared" si="65"/>
        <v>139</v>
      </c>
      <c r="P314" s="128">
        <f t="shared" si="66"/>
        <v>237</v>
      </c>
      <c r="Q314" s="128">
        <f t="shared" si="67"/>
        <v>257</v>
      </c>
      <c r="R314" s="128">
        <f t="shared" si="116"/>
        <v>18.999999919999993</v>
      </c>
      <c r="S314" s="1">
        <f t="shared" si="117"/>
        <v>1</v>
      </c>
      <c r="T314" s="128">
        <f t="shared" si="118"/>
        <v>1.0000000800000066</v>
      </c>
      <c r="U314" s="128">
        <f t="shared" si="119"/>
        <v>1215.0000001600001</v>
      </c>
      <c r="W314" s="128">
        <f t="shared" si="69"/>
        <v>257</v>
      </c>
      <c r="X314" s="128">
        <f t="shared" si="70"/>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f t="shared" si="61"/>
        <v>44729</v>
      </c>
      <c r="L315" s="128">
        <f t="shared" si="62"/>
        <v>239.00000008000001</v>
      </c>
      <c r="M315" s="128">
        <f t="shared" si="63"/>
        <v>108.00000008000001</v>
      </c>
      <c r="N315" s="128">
        <f t="shared" si="64"/>
        <v>238</v>
      </c>
      <c r="O315" s="128">
        <f t="shared" si="65"/>
        <v>139</v>
      </c>
      <c r="P315" s="128">
        <f t="shared" si="66"/>
        <v>237</v>
      </c>
      <c r="Q315" s="128">
        <f t="shared" si="67"/>
        <v>257</v>
      </c>
      <c r="R315" s="128">
        <f t="shared" si="116"/>
        <v>17.999999919999993</v>
      </c>
      <c r="S315" s="1">
        <f t="shared" si="117"/>
        <v>1</v>
      </c>
      <c r="T315" s="128">
        <f t="shared" si="118"/>
        <v>1.0000000800000066</v>
      </c>
      <c r="U315" s="128">
        <f t="shared" si="119"/>
        <v>1218.0000001600001</v>
      </c>
      <c r="W315" s="128">
        <f t="shared" si="69"/>
        <v>257</v>
      </c>
      <c r="X315" s="128">
        <f t="shared" si="70"/>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f t="shared" si="61"/>
        <v>44736</v>
      </c>
      <c r="L316" s="128">
        <f t="shared" si="62"/>
        <v>239.00000008000001</v>
      </c>
      <c r="M316" s="128">
        <f t="shared" si="63"/>
        <v>109.00000008000001</v>
      </c>
      <c r="N316" s="128">
        <f t="shared" si="64"/>
        <v>239</v>
      </c>
      <c r="O316" s="128">
        <f t="shared" si="65"/>
        <v>139</v>
      </c>
      <c r="P316" s="128">
        <f t="shared" si="66"/>
        <v>238</v>
      </c>
      <c r="Q316" s="128">
        <f t="shared" si="67"/>
        <v>258</v>
      </c>
      <c r="R316" s="128">
        <f t="shared" si="116"/>
        <v>18.999999919999993</v>
      </c>
      <c r="S316" s="1">
        <f t="shared" si="117"/>
        <v>1</v>
      </c>
      <c r="T316" s="128">
        <f t="shared" si="118"/>
        <v>8.000000661922968E-8</v>
      </c>
      <c r="U316" s="128">
        <f t="shared" si="119"/>
        <v>1222.0000001600001</v>
      </c>
      <c r="W316" s="128">
        <f t="shared" si="69"/>
        <v>258</v>
      </c>
      <c r="X316" s="128">
        <f t="shared" si="70"/>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f t="shared" si="61"/>
        <v>44743</v>
      </c>
      <c r="L317" s="128">
        <f t="shared" si="62"/>
        <v>239.00000008000001</v>
      </c>
      <c r="M317" s="128">
        <f t="shared" si="63"/>
        <v>110.00000008000001</v>
      </c>
      <c r="N317" s="128">
        <f t="shared" si="64"/>
        <v>240</v>
      </c>
      <c r="O317" s="128">
        <f t="shared" si="65"/>
        <v>139</v>
      </c>
      <c r="P317" s="128">
        <f t="shared" si="66"/>
        <v>239</v>
      </c>
      <c r="Q317" s="128">
        <f t="shared" si="67"/>
        <v>259</v>
      </c>
      <c r="R317" s="128">
        <f t="shared" si="116"/>
        <v>19</v>
      </c>
      <c r="S317" s="1">
        <f t="shared" si="117"/>
        <v>1</v>
      </c>
      <c r="T317" s="128">
        <f t="shared" si="118"/>
        <v>-0.99999991999999338</v>
      </c>
      <c r="U317" s="128">
        <f t="shared" si="119"/>
        <v>1226.0000001600001</v>
      </c>
      <c r="W317" s="128">
        <f t="shared" si="69"/>
        <v>259</v>
      </c>
      <c r="X317" s="128">
        <f t="shared" si="70"/>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f t="shared" si="61"/>
        <v>44750</v>
      </c>
      <c r="L318" s="128">
        <f t="shared" si="62"/>
        <v>239.00000008000001</v>
      </c>
      <c r="M318" s="128">
        <f t="shared" si="63"/>
        <v>110.00000008000001</v>
      </c>
      <c r="N318" s="128">
        <f t="shared" si="64"/>
        <v>240</v>
      </c>
      <c r="O318" s="128">
        <f t="shared" si="65"/>
        <v>139</v>
      </c>
      <c r="P318" s="128">
        <f t="shared" si="66"/>
        <v>240</v>
      </c>
      <c r="Q318" s="128">
        <f t="shared" si="67"/>
        <v>260</v>
      </c>
      <c r="R318" s="128">
        <f t="shared" si="116"/>
        <v>20</v>
      </c>
      <c r="S318" s="1">
        <f t="shared" si="117"/>
        <v>1</v>
      </c>
      <c r="T318" s="128">
        <f t="shared" si="118"/>
        <v>-0.99999991999999338</v>
      </c>
      <c r="U318" s="128">
        <f t="shared" si="119"/>
        <v>1228.0000001600001</v>
      </c>
      <c r="W318" s="128">
        <f t="shared" si="69"/>
        <v>260</v>
      </c>
      <c r="X318" s="128">
        <f t="shared" si="70"/>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f t="shared" si="61"/>
        <v>44757</v>
      </c>
      <c r="L319" s="128">
        <f t="shared" si="62"/>
        <v>239.00000008000001</v>
      </c>
      <c r="M319" s="128">
        <f t="shared" si="63"/>
        <v>111.00000008000001</v>
      </c>
      <c r="N319" s="128">
        <f t="shared" si="64"/>
        <v>240</v>
      </c>
      <c r="O319" s="128">
        <f t="shared" si="65"/>
        <v>140</v>
      </c>
      <c r="P319" s="128">
        <f t="shared" si="66"/>
        <v>241</v>
      </c>
      <c r="Q319" s="128">
        <f t="shared" si="67"/>
        <v>261</v>
      </c>
      <c r="R319" s="128">
        <f t="shared" si="116"/>
        <v>20</v>
      </c>
      <c r="S319" s="1">
        <f t="shared" si="117"/>
        <v>1</v>
      </c>
      <c r="T319" s="128">
        <f t="shared" si="118"/>
        <v>-0.99999991999999338</v>
      </c>
      <c r="U319" s="128">
        <f t="shared" si="119"/>
        <v>1232.0000001600001</v>
      </c>
      <c r="W319" s="128">
        <f t="shared" si="69"/>
        <v>261</v>
      </c>
      <c r="X319" s="128">
        <f t="shared" si="70"/>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f t="shared" si="61"/>
        <v>44764</v>
      </c>
      <c r="L320" s="128">
        <f t="shared" si="62"/>
        <v>239.00000008000001</v>
      </c>
      <c r="M320" s="128">
        <f t="shared" si="63"/>
        <v>112.00000008000001</v>
      </c>
      <c r="N320" s="128">
        <f t="shared" si="64"/>
        <v>240</v>
      </c>
      <c r="O320" s="128">
        <f t="shared" si="65"/>
        <v>141</v>
      </c>
      <c r="P320" s="128">
        <f t="shared" si="66"/>
        <v>242</v>
      </c>
      <c r="Q320" s="128">
        <f t="shared" si="67"/>
        <v>261</v>
      </c>
      <c r="R320" s="128">
        <f t="shared" si="116"/>
        <v>19</v>
      </c>
      <c r="S320" s="1">
        <f t="shared" si="117"/>
        <v>1</v>
      </c>
      <c r="T320" s="128">
        <f t="shared" si="118"/>
        <v>-0.99999991999999338</v>
      </c>
      <c r="U320" s="128">
        <f t="shared" si="119"/>
        <v>1235.0000001600001</v>
      </c>
      <c r="W320" s="128">
        <f t="shared" si="69"/>
        <v>261</v>
      </c>
      <c r="X320" s="128">
        <f t="shared" si="70"/>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f t="shared" si="61"/>
        <v>44771</v>
      </c>
      <c r="L321" s="128">
        <f t="shared" si="62"/>
        <v>240.00000008000001</v>
      </c>
      <c r="M321" s="128">
        <f t="shared" si="63"/>
        <v>113.00000008000001</v>
      </c>
      <c r="N321" s="128">
        <f t="shared" si="64"/>
        <v>241</v>
      </c>
      <c r="O321" s="128">
        <f t="shared" si="65"/>
        <v>142</v>
      </c>
      <c r="P321" s="128">
        <f t="shared" si="66"/>
        <v>243</v>
      </c>
      <c r="Q321" s="128">
        <f t="shared" si="67"/>
        <v>262</v>
      </c>
      <c r="R321" s="128">
        <f t="shared" si="116"/>
        <v>19</v>
      </c>
      <c r="S321" s="1">
        <f t="shared" si="117"/>
        <v>1</v>
      </c>
      <c r="T321" s="128">
        <f t="shared" si="118"/>
        <v>-0.99999991999999338</v>
      </c>
      <c r="U321" s="128">
        <f t="shared" si="119"/>
        <v>1241.0000001600001</v>
      </c>
      <c r="W321" s="128">
        <f t="shared" si="69"/>
        <v>262</v>
      </c>
      <c r="X321" s="128">
        <f t="shared" si="70"/>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f t="shared" si="61"/>
        <v>44778</v>
      </c>
      <c r="L322" s="128">
        <f t="shared" si="62"/>
        <v>240.00000008000001</v>
      </c>
      <c r="M322" s="128">
        <f t="shared" si="63"/>
        <v>114.00000008000001</v>
      </c>
      <c r="N322" s="128">
        <f t="shared" si="64"/>
        <v>242</v>
      </c>
      <c r="O322" s="128">
        <f t="shared" si="65"/>
        <v>142</v>
      </c>
      <c r="P322" s="128">
        <f t="shared" si="66"/>
        <v>244</v>
      </c>
      <c r="Q322" s="128">
        <f t="shared" si="67"/>
        <v>263</v>
      </c>
      <c r="R322" s="128">
        <f t="shared" si="116"/>
        <v>19</v>
      </c>
      <c r="S322" s="1">
        <f t="shared" si="117"/>
        <v>1</v>
      </c>
      <c r="T322" s="128">
        <f t="shared" si="118"/>
        <v>-1.9999999199999934</v>
      </c>
      <c r="U322" s="128">
        <f t="shared" si="119"/>
        <v>1245.0000001600001</v>
      </c>
      <c r="W322" s="128">
        <f t="shared" si="69"/>
        <v>263</v>
      </c>
      <c r="X322" s="128">
        <f t="shared" si="70"/>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f t="shared" ref="K323:K371" si="120">A323</f>
        <v>44785</v>
      </c>
      <c r="L323" s="128">
        <f t="shared" ref="L323:L371" si="121">B323+L322</f>
        <v>241.00000008000001</v>
      </c>
      <c r="M323" s="128">
        <f t="shared" ref="M323:M371" si="122">C323+M322</f>
        <v>115.00000008000001</v>
      </c>
      <c r="N323" s="128">
        <f t="shared" ref="N323:N371" si="123">D323+N322</f>
        <v>243</v>
      </c>
      <c r="O323" s="128">
        <f t="shared" ref="O323:O371" si="124">E323+O322</f>
        <v>142</v>
      </c>
      <c r="P323" s="128">
        <f t="shared" ref="P323:P371" si="125">F323+P322</f>
        <v>245</v>
      </c>
      <c r="Q323" s="128">
        <f t="shared" ref="Q323:Q371" si="126">G323+Q322</f>
        <v>264</v>
      </c>
      <c r="R323" s="128">
        <f t="shared" si="116"/>
        <v>19</v>
      </c>
      <c r="S323" s="1">
        <f t="shared" si="117"/>
        <v>1</v>
      </c>
      <c r="T323" s="128">
        <f t="shared" si="118"/>
        <v>-1.9999999199999934</v>
      </c>
      <c r="U323" s="128">
        <f t="shared" si="119"/>
        <v>1250.0000001600001</v>
      </c>
      <c r="W323" s="128">
        <f t="shared" ref="W323:W348" si="127">Q323</f>
        <v>264</v>
      </c>
      <c r="X323" s="128">
        <f t="shared" ref="X323:X348" si="128">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f t="shared" si="120"/>
        <v>44792</v>
      </c>
      <c r="L324" s="128">
        <f t="shared" si="121"/>
        <v>241.00000008000001</v>
      </c>
      <c r="M324" s="128">
        <f t="shared" si="122"/>
        <v>116.00000008000001</v>
      </c>
      <c r="N324" s="128">
        <f t="shared" si="123"/>
        <v>243</v>
      </c>
      <c r="O324" s="128">
        <f t="shared" si="124"/>
        <v>142</v>
      </c>
      <c r="P324" s="128">
        <f t="shared" si="125"/>
        <v>246</v>
      </c>
      <c r="Q324" s="128">
        <f t="shared" si="126"/>
        <v>265</v>
      </c>
      <c r="R324" s="128">
        <f t="shared" si="116"/>
        <v>19</v>
      </c>
      <c r="S324" s="1">
        <f t="shared" si="117"/>
        <v>1</v>
      </c>
      <c r="T324" s="128">
        <f t="shared" si="118"/>
        <v>-1.9999999199999934</v>
      </c>
      <c r="U324" s="128">
        <f t="shared" si="119"/>
        <v>1253.0000001600001</v>
      </c>
      <c r="W324" s="128">
        <f t="shared" si="127"/>
        <v>265</v>
      </c>
      <c r="X324" s="128">
        <f t="shared" si="128"/>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f t="shared" si="120"/>
        <v>44799</v>
      </c>
      <c r="L325" s="128">
        <f t="shared" si="121"/>
        <v>241.00000008000001</v>
      </c>
      <c r="M325" s="128">
        <f t="shared" si="122"/>
        <v>117.00000008000001</v>
      </c>
      <c r="N325" s="128">
        <f t="shared" si="123"/>
        <v>244</v>
      </c>
      <c r="O325" s="128">
        <f t="shared" si="124"/>
        <v>142</v>
      </c>
      <c r="P325" s="128">
        <f t="shared" si="125"/>
        <v>247</v>
      </c>
      <c r="Q325" s="128">
        <f t="shared" si="126"/>
        <v>266</v>
      </c>
      <c r="R325" s="128">
        <f t="shared" si="116"/>
        <v>19</v>
      </c>
      <c r="S325" s="1">
        <f t="shared" si="117"/>
        <v>1</v>
      </c>
      <c r="T325" s="128">
        <f t="shared" si="118"/>
        <v>-2.9999999199999934</v>
      </c>
      <c r="U325" s="128">
        <f t="shared" si="119"/>
        <v>1257.0000001600001</v>
      </c>
      <c r="W325" s="128">
        <f t="shared" si="127"/>
        <v>266</v>
      </c>
      <c r="X325" s="128">
        <f t="shared" si="128"/>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f t="shared" si="120"/>
        <v>44806</v>
      </c>
      <c r="L326" s="128">
        <f t="shared" si="121"/>
        <v>242.00000008000001</v>
      </c>
      <c r="M326" s="128">
        <f t="shared" si="122"/>
        <v>117.00000008000001</v>
      </c>
      <c r="N326" s="128">
        <f t="shared" si="123"/>
        <v>245</v>
      </c>
      <c r="O326" s="128">
        <f t="shared" si="124"/>
        <v>142</v>
      </c>
      <c r="P326" s="128">
        <f t="shared" si="125"/>
        <v>248</v>
      </c>
      <c r="Q326" s="128">
        <f t="shared" si="126"/>
        <v>267</v>
      </c>
      <c r="R326" s="128">
        <f t="shared" si="116"/>
        <v>19</v>
      </c>
      <c r="S326" s="1">
        <f t="shared" si="117"/>
        <v>1</v>
      </c>
      <c r="T326" s="128">
        <f t="shared" si="118"/>
        <v>-2.9999999199999934</v>
      </c>
      <c r="U326" s="128">
        <f t="shared" si="119"/>
        <v>1261.0000001600001</v>
      </c>
      <c r="W326" s="128">
        <f t="shared" si="127"/>
        <v>267</v>
      </c>
      <c r="X326" s="128">
        <f t="shared" si="128"/>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f t="shared" si="120"/>
        <v>44813</v>
      </c>
      <c r="L327" s="128">
        <f t="shared" si="121"/>
        <v>242.00000008000001</v>
      </c>
      <c r="M327" s="128">
        <f t="shared" si="122"/>
        <v>117.00000008000001</v>
      </c>
      <c r="N327" s="128">
        <f t="shared" si="123"/>
        <v>246</v>
      </c>
      <c r="O327" s="128">
        <f t="shared" si="124"/>
        <v>142</v>
      </c>
      <c r="P327" s="128">
        <f t="shared" si="125"/>
        <v>249</v>
      </c>
      <c r="Q327" s="128">
        <f t="shared" si="126"/>
        <v>268</v>
      </c>
      <c r="R327" s="128">
        <f t="shared" si="116"/>
        <v>19</v>
      </c>
      <c r="S327" s="1">
        <f t="shared" si="117"/>
        <v>1</v>
      </c>
      <c r="T327" s="128">
        <f t="shared" si="118"/>
        <v>-3.9999999199999934</v>
      </c>
      <c r="U327" s="128">
        <f t="shared" si="119"/>
        <v>1264.0000001600001</v>
      </c>
      <c r="W327" s="128">
        <f t="shared" si="127"/>
        <v>268</v>
      </c>
      <c r="X327" s="128">
        <f t="shared" si="128"/>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f t="shared" si="120"/>
        <v>44820</v>
      </c>
      <c r="L328" s="128">
        <f t="shared" si="121"/>
        <v>243.00000008000001</v>
      </c>
      <c r="M328" s="128">
        <f t="shared" si="122"/>
        <v>118.00000008000001</v>
      </c>
      <c r="N328" s="128">
        <f t="shared" si="123"/>
        <v>246</v>
      </c>
      <c r="O328" s="128">
        <f t="shared" si="124"/>
        <v>142</v>
      </c>
      <c r="P328" s="128">
        <f t="shared" si="125"/>
        <v>250</v>
      </c>
      <c r="Q328" s="128">
        <f t="shared" si="126"/>
        <v>268</v>
      </c>
      <c r="R328" s="128">
        <f t="shared" si="116"/>
        <v>18</v>
      </c>
      <c r="S328" s="1">
        <f t="shared" si="117"/>
        <v>1</v>
      </c>
      <c r="T328" s="128">
        <f t="shared" si="118"/>
        <v>-2.9999999199999934</v>
      </c>
      <c r="U328" s="128">
        <f t="shared" si="119"/>
        <v>1267.0000001600001</v>
      </c>
      <c r="W328" s="128">
        <f t="shared" si="127"/>
        <v>268</v>
      </c>
      <c r="X328" s="128">
        <f t="shared" si="128"/>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f t="shared" si="120"/>
        <v>44827</v>
      </c>
      <c r="L329" s="128">
        <f t="shared" si="121"/>
        <v>243.00000008000001</v>
      </c>
      <c r="M329" s="128">
        <f t="shared" si="122"/>
        <v>119.00000008000001</v>
      </c>
      <c r="N329" s="128">
        <f t="shared" si="123"/>
        <v>247</v>
      </c>
      <c r="O329" s="128">
        <f t="shared" si="124"/>
        <v>142</v>
      </c>
      <c r="P329" s="128">
        <f t="shared" si="125"/>
        <v>251</v>
      </c>
      <c r="Q329" s="128">
        <f t="shared" si="126"/>
        <v>269</v>
      </c>
      <c r="R329" s="128">
        <f t="shared" si="116"/>
        <v>18</v>
      </c>
      <c r="S329" s="1">
        <f t="shared" si="117"/>
        <v>1</v>
      </c>
      <c r="T329" s="128">
        <f t="shared" si="118"/>
        <v>-3.9999999199999934</v>
      </c>
      <c r="U329" s="128">
        <f t="shared" si="119"/>
        <v>1271.0000001600001</v>
      </c>
      <c r="W329" s="128">
        <f t="shared" si="127"/>
        <v>269</v>
      </c>
      <c r="X329" s="128">
        <f t="shared" si="128"/>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f t="shared" si="120"/>
        <v>44834</v>
      </c>
      <c r="L330" s="128">
        <f t="shared" si="121"/>
        <v>243.00000008000001</v>
      </c>
      <c r="M330" s="128">
        <f t="shared" si="122"/>
        <v>120.00000008000001</v>
      </c>
      <c r="N330" s="128">
        <f t="shared" si="123"/>
        <v>248</v>
      </c>
      <c r="O330" s="128">
        <f t="shared" si="124"/>
        <v>142</v>
      </c>
      <c r="P330" s="128">
        <f t="shared" si="125"/>
        <v>252</v>
      </c>
      <c r="Q330" s="128">
        <f t="shared" si="126"/>
        <v>270</v>
      </c>
      <c r="R330" s="128">
        <f t="shared" ref="R330" si="129">Q330-MAX(L330:P330)</f>
        <v>18</v>
      </c>
      <c r="S330" s="1">
        <f t="shared" ref="S330" si="130">IF(Q330&gt;L330,1,0)</f>
        <v>1</v>
      </c>
      <c r="T330" s="128">
        <f t="shared" ref="T330" si="131">L330-N330</f>
        <v>-4.9999999199999934</v>
      </c>
      <c r="U330" s="128">
        <f t="shared" ref="U330" si="132">SUM(L330:Q330)</f>
        <v>1275.0000001600001</v>
      </c>
      <c r="W330" s="128">
        <f t="shared" si="127"/>
        <v>270</v>
      </c>
      <c r="X330" s="128">
        <f t="shared" si="128"/>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f t="shared" si="120"/>
        <v>44841</v>
      </c>
      <c r="L331" s="128">
        <f t="shared" si="121"/>
        <v>244.00000008000001</v>
      </c>
      <c r="M331" s="128">
        <f t="shared" si="122"/>
        <v>120.00000008000001</v>
      </c>
      <c r="N331" s="128">
        <f t="shared" si="123"/>
        <v>249</v>
      </c>
      <c r="O331" s="128">
        <f t="shared" si="124"/>
        <v>142</v>
      </c>
      <c r="P331" s="128">
        <f t="shared" si="125"/>
        <v>252</v>
      </c>
      <c r="Q331" s="128">
        <f t="shared" si="126"/>
        <v>270</v>
      </c>
      <c r="R331" s="128">
        <f t="shared" ref="R331:R332" si="133">Q331-MAX(L331:P331)</f>
        <v>18</v>
      </c>
      <c r="S331" s="1">
        <f t="shared" ref="S331:S332" si="134">IF(Q331&gt;L331,1,0)</f>
        <v>1</v>
      </c>
      <c r="T331" s="128">
        <f t="shared" ref="T331:T332" si="135">L331-N331</f>
        <v>-4.9999999199999934</v>
      </c>
      <c r="U331" s="128">
        <f t="shared" ref="U331:U332" si="136">SUM(L331:Q331)</f>
        <v>1277.0000001600001</v>
      </c>
      <c r="W331" s="128">
        <f t="shared" si="127"/>
        <v>270</v>
      </c>
      <c r="X331" s="128">
        <f t="shared" si="128"/>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f t="shared" si="120"/>
        <v>44848</v>
      </c>
      <c r="L332" s="128">
        <f t="shared" si="121"/>
        <v>244.00000008000001</v>
      </c>
      <c r="M332" s="128">
        <f t="shared" si="122"/>
        <v>121.00000008000001</v>
      </c>
      <c r="N332" s="128">
        <f t="shared" si="123"/>
        <v>250</v>
      </c>
      <c r="O332" s="128">
        <f t="shared" si="124"/>
        <v>142</v>
      </c>
      <c r="P332" s="128">
        <f t="shared" si="125"/>
        <v>253</v>
      </c>
      <c r="Q332" s="128">
        <f t="shared" si="126"/>
        <v>271</v>
      </c>
      <c r="R332" s="128">
        <f t="shared" si="133"/>
        <v>18</v>
      </c>
      <c r="S332" s="1">
        <f t="shared" si="134"/>
        <v>1</v>
      </c>
      <c r="T332" s="128">
        <f t="shared" si="135"/>
        <v>-5.9999999199999934</v>
      </c>
      <c r="U332" s="128">
        <f t="shared" si="136"/>
        <v>1281.0000001600001</v>
      </c>
      <c r="W332" s="128">
        <f t="shared" si="127"/>
        <v>271</v>
      </c>
      <c r="X332" s="128">
        <f t="shared" si="128"/>
        <v>263.00000008000001</v>
      </c>
    </row>
    <row r="333" spans="1:24">
      <c r="A333" s="22">
        <f>'Stats 2022'!D60</f>
        <v>44855</v>
      </c>
      <c r="B333" s="130">
        <f>'Stats 2022'!E60</f>
        <v>1</v>
      </c>
      <c r="C333" s="130">
        <f>'Stats 2022'!F60</f>
        <v>0</v>
      </c>
      <c r="D333" s="130">
        <v>1</v>
      </c>
      <c r="E333" s="130">
        <v>0</v>
      </c>
      <c r="F333" s="130">
        <f>'Stats 2022'!I60</f>
        <v>1</v>
      </c>
      <c r="G333" s="130">
        <f>'Stats 2022'!J60</f>
        <v>1</v>
      </c>
      <c r="K333" s="86">
        <f t="shared" si="120"/>
        <v>44855</v>
      </c>
      <c r="L333" s="128">
        <f t="shared" si="121"/>
        <v>245.00000008000001</v>
      </c>
      <c r="M333" s="128">
        <f t="shared" si="122"/>
        <v>121.00000008000001</v>
      </c>
      <c r="N333" s="128">
        <f t="shared" si="123"/>
        <v>251</v>
      </c>
      <c r="O333" s="128">
        <f t="shared" si="124"/>
        <v>142</v>
      </c>
      <c r="P333" s="128">
        <f t="shared" si="125"/>
        <v>254</v>
      </c>
      <c r="Q333" s="128">
        <f t="shared" si="126"/>
        <v>272</v>
      </c>
      <c r="R333" s="128">
        <f t="shared" ref="R333:R338" si="137">Q333-MAX(L333:P333)</f>
        <v>18</v>
      </c>
      <c r="S333" s="1">
        <f t="shared" ref="S333:S338" si="138">IF(Q333&gt;L333,1,0)</f>
        <v>1</v>
      </c>
      <c r="T333" s="128">
        <f t="shared" ref="T333:T338" si="139">L333-N333</f>
        <v>-5.9999999199999934</v>
      </c>
      <c r="U333" s="128">
        <f t="shared" ref="U333:U338" si="140">SUM(L333:Q333)</f>
        <v>1285.0000001600001</v>
      </c>
      <c r="W333" s="128">
        <f t="shared" si="127"/>
        <v>272</v>
      </c>
      <c r="X333" s="128">
        <f t="shared" si="128"/>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f t="shared" si="120"/>
        <v>44862</v>
      </c>
      <c r="L334" s="128">
        <f t="shared" si="121"/>
        <v>246.00000008000001</v>
      </c>
      <c r="M334" s="128">
        <f t="shared" si="122"/>
        <v>122.00000008000001</v>
      </c>
      <c r="N334" s="128">
        <f t="shared" si="123"/>
        <v>251</v>
      </c>
      <c r="O334" s="128">
        <f t="shared" si="124"/>
        <v>142</v>
      </c>
      <c r="P334" s="128">
        <f t="shared" si="125"/>
        <v>255</v>
      </c>
      <c r="Q334" s="128">
        <f t="shared" si="126"/>
        <v>273</v>
      </c>
      <c r="R334" s="128">
        <f t="shared" si="137"/>
        <v>18</v>
      </c>
      <c r="S334" s="1">
        <f t="shared" si="138"/>
        <v>1</v>
      </c>
      <c r="T334" s="128">
        <f t="shared" si="139"/>
        <v>-4.9999999199999934</v>
      </c>
      <c r="U334" s="128">
        <f t="shared" si="140"/>
        <v>1289.0000001600001</v>
      </c>
      <c r="W334" s="128">
        <f t="shared" si="127"/>
        <v>273</v>
      </c>
      <c r="X334" s="128">
        <f t="shared" si="128"/>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f t="shared" si="120"/>
        <v>44869</v>
      </c>
      <c r="L335" s="128">
        <f t="shared" si="121"/>
        <v>246.00000008000001</v>
      </c>
      <c r="M335" s="128">
        <f t="shared" si="122"/>
        <v>123.00000008000001</v>
      </c>
      <c r="N335" s="128">
        <f t="shared" si="123"/>
        <v>251</v>
      </c>
      <c r="O335" s="128">
        <f t="shared" si="124"/>
        <v>142</v>
      </c>
      <c r="P335" s="128">
        <f t="shared" si="125"/>
        <v>256</v>
      </c>
      <c r="Q335" s="128">
        <f t="shared" si="126"/>
        <v>274</v>
      </c>
      <c r="R335" s="128">
        <f t="shared" si="137"/>
        <v>18</v>
      </c>
      <c r="S335" s="1">
        <f t="shared" si="138"/>
        <v>1</v>
      </c>
      <c r="T335" s="128">
        <f t="shared" si="139"/>
        <v>-4.9999999199999934</v>
      </c>
      <c r="U335" s="128">
        <f t="shared" si="140"/>
        <v>1292.0000001600001</v>
      </c>
      <c r="W335" s="128">
        <f t="shared" si="127"/>
        <v>274</v>
      </c>
      <c r="X335" s="128">
        <f t="shared" si="128"/>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f t="shared" si="120"/>
        <v>44876</v>
      </c>
      <c r="L336" s="128">
        <f t="shared" si="121"/>
        <v>247.00000008000001</v>
      </c>
      <c r="M336" s="128">
        <f t="shared" si="122"/>
        <v>124.00000008000001</v>
      </c>
      <c r="N336" s="128">
        <f t="shared" si="123"/>
        <v>251</v>
      </c>
      <c r="O336" s="128">
        <f t="shared" si="124"/>
        <v>142</v>
      </c>
      <c r="P336" s="128">
        <f t="shared" si="125"/>
        <v>257</v>
      </c>
      <c r="Q336" s="128">
        <f t="shared" si="126"/>
        <v>274</v>
      </c>
      <c r="R336" s="128">
        <f t="shared" si="137"/>
        <v>17</v>
      </c>
      <c r="S336" s="1">
        <f t="shared" si="138"/>
        <v>1</v>
      </c>
      <c r="T336" s="128">
        <f t="shared" si="139"/>
        <v>-3.9999999199999934</v>
      </c>
      <c r="U336" s="128">
        <f t="shared" si="140"/>
        <v>1295.0000001600001</v>
      </c>
      <c r="W336" s="128">
        <f t="shared" si="127"/>
        <v>274</v>
      </c>
      <c r="X336" s="128">
        <f t="shared" si="128"/>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f t="shared" si="120"/>
        <v>44883</v>
      </c>
      <c r="L337" s="128">
        <f t="shared" si="121"/>
        <v>247.00000008000001</v>
      </c>
      <c r="M337" s="128">
        <f t="shared" si="122"/>
        <v>125.00000008000001</v>
      </c>
      <c r="N337" s="128">
        <f t="shared" si="123"/>
        <v>251</v>
      </c>
      <c r="O337" s="128">
        <f t="shared" si="124"/>
        <v>142</v>
      </c>
      <c r="P337" s="128">
        <f t="shared" si="125"/>
        <v>257</v>
      </c>
      <c r="Q337" s="128">
        <f t="shared" si="126"/>
        <v>275</v>
      </c>
      <c r="R337" s="128">
        <f t="shared" si="137"/>
        <v>18</v>
      </c>
      <c r="S337" s="1">
        <f t="shared" si="138"/>
        <v>1</v>
      </c>
      <c r="T337" s="128">
        <f t="shared" si="139"/>
        <v>-3.9999999199999934</v>
      </c>
      <c r="U337" s="128">
        <f t="shared" si="140"/>
        <v>1297.0000001600001</v>
      </c>
      <c r="W337" s="128">
        <f t="shared" si="127"/>
        <v>275</v>
      </c>
      <c r="X337" s="128">
        <f t="shared" si="128"/>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f t="shared" si="120"/>
        <v>44890</v>
      </c>
      <c r="L338" s="128">
        <f t="shared" si="121"/>
        <v>247.00000008000001</v>
      </c>
      <c r="M338" s="128">
        <f t="shared" si="122"/>
        <v>126.00000008000001</v>
      </c>
      <c r="N338" s="128">
        <f t="shared" si="123"/>
        <v>251</v>
      </c>
      <c r="O338" s="128">
        <f t="shared" si="124"/>
        <v>142</v>
      </c>
      <c r="P338" s="128">
        <f t="shared" si="125"/>
        <v>258</v>
      </c>
      <c r="Q338" s="128">
        <f t="shared" si="126"/>
        <v>276</v>
      </c>
      <c r="R338" s="128">
        <f t="shared" si="137"/>
        <v>18</v>
      </c>
      <c r="S338" s="1">
        <f t="shared" si="138"/>
        <v>1</v>
      </c>
      <c r="T338" s="128">
        <f t="shared" si="139"/>
        <v>-3.9999999199999934</v>
      </c>
      <c r="U338" s="128">
        <f t="shared" si="140"/>
        <v>1300.0000001600001</v>
      </c>
      <c r="W338" s="128">
        <f t="shared" si="127"/>
        <v>276</v>
      </c>
      <c r="X338" s="128">
        <f t="shared" si="128"/>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f t="shared" si="120"/>
        <v>44897</v>
      </c>
      <c r="L339" s="128">
        <f t="shared" si="121"/>
        <v>247.00000008000001</v>
      </c>
      <c r="M339" s="128">
        <f t="shared" si="122"/>
        <v>126.00000008000001</v>
      </c>
      <c r="N339" s="128">
        <f t="shared" si="123"/>
        <v>251</v>
      </c>
      <c r="O339" s="128">
        <f t="shared" si="124"/>
        <v>142</v>
      </c>
      <c r="P339" s="128">
        <f t="shared" si="125"/>
        <v>258</v>
      </c>
      <c r="Q339" s="128">
        <f t="shared" si="126"/>
        <v>277</v>
      </c>
      <c r="R339" s="128">
        <f t="shared" ref="R339:R343" si="141">Q339-MAX(L339:P339)</f>
        <v>19</v>
      </c>
      <c r="S339" s="1">
        <f t="shared" ref="S339:S343" si="142">IF(Q339&gt;L339,1,0)</f>
        <v>1</v>
      </c>
      <c r="T339" s="128">
        <f t="shared" ref="T339:T343" si="143">L339-N339</f>
        <v>-3.9999999199999934</v>
      </c>
      <c r="U339" s="128">
        <f t="shared" ref="U339:U343" si="144">SUM(L339:Q339)</f>
        <v>1301.0000001600001</v>
      </c>
      <c r="W339" s="128">
        <f t="shared" si="127"/>
        <v>277</v>
      </c>
      <c r="X339" s="128">
        <f t="shared" si="128"/>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f t="shared" si="120"/>
        <v>44904</v>
      </c>
      <c r="L340" s="128">
        <f t="shared" si="121"/>
        <v>248.00000008000001</v>
      </c>
      <c r="M340" s="128">
        <f t="shared" si="122"/>
        <v>126.00000008000001</v>
      </c>
      <c r="N340" s="128">
        <f t="shared" si="123"/>
        <v>252</v>
      </c>
      <c r="O340" s="128">
        <f t="shared" si="124"/>
        <v>142</v>
      </c>
      <c r="P340" s="128">
        <f t="shared" si="125"/>
        <v>258</v>
      </c>
      <c r="Q340" s="128">
        <f t="shared" si="126"/>
        <v>278</v>
      </c>
      <c r="R340" s="128">
        <f t="shared" si="141"/>
        <v>20</v>
      </c>
      <c r="S340" s="1">
        <f t="shared" si="142"/>
        <v>1</v>
      </c>
      <c r="T340" s="128">
        <f t="shared" si="143"/>
        <v>-3.9999999199999934</v>
      </c>
      <c r="U340" s="128">
        <f t="shared" si="144"/>
        <v>1304.0000001600001</v>
      </c>
      <c r="W340" s="128">
        <f t="shared" si="127"/>
        <v>278</v>
      </c>
      <c r="X340" s="128">
        <f t="shared" si="128"/>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f t="shared" si="120"/>
        <v>44911</v>
      </c>
      <c r="L341" s="128">
        <f t="shared" si="121"/>
        <v>248.00000008000001</v>
      </c>
      <c r="M341" s="128">
        <f t="shared" si="122"/>
        <v>126.00000008000001</v>
      </c>
      <c r="N341" s="128">
        <f t="shared" si="123"/>
        <v>252</v>
      </c>
      <c r="O341" s="128">
        <f t="shared" si="124"/>
        <v>142</v>
      </c>
      <c r="P341" s="128">
        <f t="shared" si="125"/>
        <v>259</v>
      </c>
      <c r="Q341" s="128">
        <f t="shared" si="126"/>
        <v>279</v>
      </c>
      <c r="R341" s="128">
        <f t="shared" si="141"/>
        <v>20</v>
      </c>
      <c r="S341" s="1">
        <f t="shared" si="142"/>
        <v>1</v>
      </c>
      <c r="T341" s="128">
        <f t="shared" si="143"/>
        <v>-3.9999999199999934</v>
      </c>
      <c r="U341" s="128">
        <f t="shared" si="144"/>
        <v>1306.0000001600001</v>
      </c>
      <c r="W341" s="128">
        <f t="shared" si="127"/>
        <v>279</v>
      </c>
      <c r="X341" s="128">
        <f t="shared" si="128"/>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f t="shared" si="120"/>
        <v>44918</v>
      </c>
      <c r="L342" s="128">
        <f t="shared" si="121"/>
        <v>249.00000008000001</v>
      </c>
      <c r="M342" s="128">
        <f t="shared" si="122"/>
        <v>127.00000008000001</v>
      </c>
      <c r="N342" s="128">
        <f t="shared" si="123"/>
        <v>253</v>
      </c>
      <c r="O342" s="128">
        <f t="shared" si="124"/>
        <v>142</v>
      </c>
      <c r="P342" s="128">
        <f t="shared" si="125"/>
        <v>260</v>
      </c>
      <c r="Q342" s="128">
        <f t="shared" si="126"/>
        <v>280</v>
      </c>
      <c r="R342" s="128">
        <f t="shared" si="141"/>
        <v>20</v>
      </c>
      <c r="S342" s="1">
        <f t="shared" si="142"/>
        <v>1</v>
      </c>
      <c r="T342" s="128">
        <f t="shared" si="143"/>
        <v>-3.9999999199999934</v>
      </c>
      <c r="U342" s="128">
        <f t="shared" si="144"/>
        <v>1311.0000001600001</v>
      </c>
      <c r="W342" s="128">
        <f t="shared" si="127"/>
        <v>280</v>
      </c>
      <c r="X342" s="128">
        <f t="shared" si="128"/>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f t="shared" si="120"/>
        <v>44925</v>
      </c>
      <c r="L343" s="128">
        <f t="shared" si="121"/>
        <v>249.00000008000001</v>
      </c>
      <c r="M343" s="128">
        <f t="shared" si="122"/>
        <v>127.00000008000001</v>
      </c>
      <c r="N343" s="128">
        <f t="shared" si="123"/>
        <v>253</v>
      </c>
      <c r="O343" s="128">
        <f t="shared" si="124"/>
        <v>142</v>
      </c>
      <c r="P343" s="128">
        <f t="shared" si="125"/>
        <v>261</v>
      </c>
      <c r="Q343" s="128">
        <f t="shared" si="126"/>
        <v>280</v>
      </c>
      <c r="R343" s="128">
        <f t="shared" si="141"/>
        <v>19</v>
      </c>
      <c r="S343" s="1">
        <f t="shared" si="142"/>
        <v>1</v>
      </c>
      <c r="T343" s="128">
        <f t="shared" si="143"/>
        <v>-3.9999999199999934</v>
      </c>
      <c r="U343" s="128">
        <f t="shared" si="144"/>
        <v>1312.0000001600001</v>
      </c>
      <c r="W343" s="128">
        <f t="shared" si="127"/>
        <v>280</v>
      </c>
      <c r="X343" s="128">
        <f t="shared" si="128"/>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f t="shared" si="120"/>
        <v>44932</v>
      </c>
      <c r="L344" s="128">
        <f t="shared" si="121"/>
        <v>250.00000008000001</v>
      </c>
      <c r="M344" s="128">
        <f t="shared" si="122"/>
        <v>127.00000008000001</v>
      </c>
      <c r="N344" s="128">
        <f t="shared" si="123"/>
        <v>254</v>
      </c>
      <c r="O344" s="128">
        <f t="shared" si="124"/>
        <v>142</v>
      </c>
      <c r="P344" s="128">
        <f t="shared" si="125"/>
        <v>262</v>
      </c>
      <c r="Q344" s="128">
        <f t="shared" si="126"/>
        <v>281</v>
      </c>
      <c r="R344" s="128">
        <f t="shared" ref="R344:R346" si="145">Q344-MAX(L344:P344)</f>
        <v>19</v>
      </c>
      <c r="S344" s="1">
        <f t="shared" ref="S344:S346" si="146">IF(Q344&gt;L344,1,0)</f>
        <v>1</v>
      </c>
      <c r="T344" s="128">
        <f t="shared" ref="T344:T346" si="147">L344-N344</f>
        <v>-3.9999999199999934</v>
      </c>
      <c r="U344" s="128">
        <f t="shared" ref="U344:U346" si="148">SUM(L344:Q344)</f>
        <v>1316.0000001600001</v>
      </c>
      <c r="W344" s="128">
        <f t="shared" si="127"/>
        <v>281</v>
      </c>
      <c r="X344" s="128">
        <f t="shared" si="128"/>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f t="shared" si="120"/>
        <v>44939</v>
      </c>
      <c r="L345" s="128">
        <f t="shared" si="121"/>
        <v>250.00000008000001</v>
      </c>
      <c r="M345" s="128">
        <f t="shared" si="122"/>
        <v>128.00000008000001</v>
      </c>
      <c r="N345" s="128">
        <f t="shared" si="123"/>
        <v>255</v>
      </c>
      <c r="O345" s="128">
        <f t="shared" si="124"/>
        <v>142</v>
      </c>
      <c r="P345" s="128">
        <f t="shared" si="125"/>
        <v>263</v>
      </c>
      <c r="Q345" s="128">
        <f t="shared" si="126"/>
        <v>281</v>
      </c>
      <c r="R345" s="128">
        <f t="shared" si="145"/>
        <v>18</v>
      </c>
      <c r="S345" s="1">
        <f t="shared" si="146"/>
        <v>1</v>
      </c>
      <c r="T345" s="128">
        <f t="shared" si="147"/>
        <v>-4.9999999199999934</v>
      </c>
      <c r="U345" s="128">
        <f t="shared" si="148"/>
        <v>1319.0000001600001</v>
      </c>
      <c r="W345" s="128">
        <f t="shared" si="127"/>
        <v>281</v>
      </c>
      <c r="X345" s="128">
        <f t="shared" si="128"/>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f t="shared" si="120"/>
        <v>44946</v>
      </c>
      <c r="L346" s="128">
        <f t="shared" si="121"/>
        <v>250.00000008000001</v>
      </c>
      <c r="M346" s="128">
        <f t="shared" si="122"/>
        <v>128.00000008000001</v>
      </c>
      <c r="N346" s="128">
        <f t="shared" si="123"/>
        <v>256</v>
      </c>
      <c r="O346" s="128">
        <f t="shared" si="124"/>
        <v>142</v>
      </c>
      <c r="P346" s="128">
        <f t="shared" si="125"/>
        <v>264</v>
      </c>
      <c r="Q346" s="128">
        <f t="shared" si="126"/>
        <v>281</v>
      </c>
      <c r="R346" s="128">
        <f t="shared" si="145"/>
        <v>17</v>
      </c>
      <c r="S346" s="1">
        <f t="shared" si="146"/>
        <v>1</v>
      </c>
      <c r="T346" s="128">
        <f t="shared" si="147"/>
        <v>-5.9999999199999934</v>
      </c>
      <c r="U346" s="128">
        <f t="shared" si="148"/>
        <v>1321.0000001600001</v>
      </c>
      <c r="W346" s="128">
        <f t="shared" si="127"/>
        <v>281</v>
      </c>
      <c r="X346" s="128">
        <f t="shared" si="128"/>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f t="shared" si="120"/>
        <v>44953</v>
      </c>
      <c r="L347" s="128">
        <f t="shared" si="121"/>
        <v>250.00000008000001</v>
      </c>
      <c r="M347" s="128">
        <f t="shared" si="122"/>
        <v>129.00000008000001</v>
      </c>
      <c r="N347" s="128">
        <f t="shared" si="123"/>
        <v>257</v>
      </c>
      <c r="O347" s="128">
        <f t="shared" si="124"/>
        <v>143</v>
      </c>
      <c r="P347" s="128">
        <f t="shared" si="125"/>
        <v>265</v>
      </c>
      <c r="Q347" s="128">
        <f t="shared" si="126"/>
        <v>281</v>
      </c>
      <c r="R347" s="128">
        <f t="shared" ref="R347:R349" si="149">Q347-MAX(L347:P347)</f>
        <v>16</v>
      </c>
      <c r="S347" s="1">
        <f t="shared" ref="S347:S349" si="150">IF(Q347&gt;L347,1,0)</f>
        <v>1</v>
      </c>
      <c r="T347" s="128">
        <f t="shared" ref="T347:T349" si="151">L347-N347</f>
        <v>-6.9999999199999934</v>
      </c>
      <c r="U347" s="128">
        <f t="shared" ref="U347:U349" si="152">SUM(L347:Q347)</f>
        <v>1325.0000001600001</v>
      </c>
      <c r="W347" s="128">
        <f t="shared" si="127"/>
        <v>281</v>
      </c>
      <c r="X347" s="128">
        <f t="shared" si="128"/>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f t="shared" si="120"/>
        <v>44960</v>
      </c>
      <c r="L348" s="128">
        <f t="shared" si="121"/>
        <v>251.00000008000001</v>
      </c>
      <c r="M348" s="128">
        <f t="shared" si="122"/>
        <v>129.00000008000001</v>
      </c>
      <c r="N348" s="128">
        <f t="shared" si="123"/>
        <v>257</v>
      </c>
      <c r="O348" s="128">
        <f t="shared" si="124"/>
        <v>144</v>
      </c>
      <c r="P348" s="128">
        <f t="shared" si="125"/>
        <v>266</v>
      </c>
      <c r="Q348" s="128">
        <f t="shared" si="126"/>
        <v>282</v>
      </c>
      <c r="R348" s="128">
        <f t="shared" si="149"/>
        <v>16</v>
      </c>
      <c r="S348" s="1">
        <f t="shared" si="150"/>
        <v>1</v>
      </c>
      <c r="T348" s="128">
        <f t="shared" si="151"/>
        <v>-5.9999999199999934</v>
      </c>
      <c r="U348" s="128">
        <f t="shared" si="152"/>
        <v>1329.0000001600001</v>
      </c>
      <c r="W348" s="128">
        <f t="shared" si="127"/>
        <v>282</v>
      </c>
      <c r="X348" s="128">
        <f t="shared" si="128"/>
        <v>273.00000008000001</v>
      </c>
    </row>
    <row r="349" spans="1:24">
      <c r="A349" s="22">
        <v>44967</v>
      </c>
      <c r="B349" s="130">
        <v>0</v>
      </c>
      <c r="C349" s="130">
        <v>0</v>
      </c>
      <c r="D349" s="130">
        <v>1</v>
      </c>
      <c r="E349" s="130">
        <v>0</v>
      </c>
      <c r="F349" s="130">
        <v>1</v>
      </c>
      <c r="G349" s="130">
        <v>1</v>
      </c>
      <c r="K349" s="86">
        <f t="shared" si="120"/>
        <v>44967</v>
      </c>
      <c r="L349" s="128">
        <f t="shared" si="121"/>
        <v>251.00000008000001</v>
      </c>
      <c r="M349" s="128">
        <f t="shared" si="122"/>
        <v>129.00000008000001</v>
      </c>
      <c r="N349" s="128">
        <f t="shared" si="123"/>
        <v>258</v>
      </c>
      <c r="O349" s="128">
        <f t="shared" si="124"/>
        <v>144</v>
      </c>
      <c r="P349" s="128">
        <f t="shared" si="125"/>
        <v>267</v>
      </c>
      <c r="Q349" s="128">
        <f t="shared" si="126"/>
        <v>283</v>
      </c>
      <c r="R349" s="128">
        <f t="shared" si="149"/>
        <v>16</v>
      </c>
      <c r="S349" s="1">
        <f t="shared" si="150"/>
        <v>1</v>
      </c>
      <c r="T349" s="128">
        <f t="shared" si="151"/>
        <v>-6.9999999199999934</v>
      </c>
      <c r="U349" s="128">
        <f t="shared" si="152"/>
        <v>1332.0000001600001</v>
      </c>
      <c r="W349" s="128">
        <f t="shared" ref="W349:W361" si="153">Q349</f>
        <v>283</v>
      </c>
      <c r="X349" s="128">
        <f t="shared" ref="X349:X361" si="154">M349+O349</f>
        <v>273.00000008000001</v>
      </c>
    </row>
    <row r="350" spans="1:24">
      <c r="A350" s="22">
        <v>44974</v>
      </c>
      <c r="B350" s="130">
        <v>0</v>
      </c>
      <c r="C350" s="130">
        <v>1</v>
      </c>
      <c r="D350" s="130">
        <v>0</v>
      </c>
      <c r="E350" s="130">
        <v>0</v>
      </c>
      <c r="F350" s="130">
        <v>1</v>
      </c>
      <c r="G350" s="130">
        <v>0</v>
      </c>
      <c r="K350" s="86">
        <f t="shared" si="120"/>
        <v>44974</v>
      </c>
      <c r="L350" s="128">
        <f t="shared" si="121"/>
        <v>251.00000008000001</v>
      </c>
      <c r="M350" s="128">
        <f t="shared" si="122"/>
        <v>130.00000008000001</v>
      </c>
      <c r="N350" s="128">
        <f t="shared" si="123"/>
        <v>258</v>
      </c>
      <c r="O350" s="128">
        <f t="shared" si="124"/>
        <v>144</v>
      </c>
      <c r="P350" s="128">
        <f t="shared" si="125"/>
        <v>268</v>
      </c>
      <c r="Q350" s="128">
        <f t="shared" si="126"/>
        <v>283</v>
      </c>
      <c r="R350" s="128">
        <f t="shared" ref="R350:R361" si="155">Q350-MAX(L350:P350)</f>
        <v>15</v>
      </c>
      <c r="S350" s="1">
        <f t="shared" ref="S350:S361" si="156">IF(Q350&gt;L350,1,0)</f>
        <v>1</v>
      </c>
      <c r="T350" s="128">
        <f t="shared" ref="T350:T361" si="157">L350-N350</f>
        <v>-6.9999999199999934</v>
      </c>
      <c r="U350" s="128">
        <f t="shared" ref="U350:U361" si="158">SUM(L350:Q350)</f>
        <v>1334.0000001600001</v>
      </c>
      <c r="W350" s="128">
        <f t="shared" si="153"/>
        <v>283</v>
      </c>
      <c r="X350" s="128">
        <f t="shared" si="154"/>
        <v>274.00000008000001</v>
      </c>
    </row>
    <row r="351" spans="1:24">
      <c r="A351" s="22">
        <v>44981</v>
      </c>
      <c r="B351" s="130">
        <v>0</v>
      </c>
      <c r="C351" s="130">
        <v>0</v>
      </c>
      <c r="D351" s="130">
        <v>1</v>
      </c>
      <c r="E351" s="130">
        <v>0</v>
      </c>
      <c r="F351" s="130">
        <v>1</v>
      </c>
      <c r="G351" s="130">
        <v>1</v>
      </c>
      <c r="K351" s="86">
        <f t="shared" si="120"/>
        <v>44981</v>
      </c>
      <c r="L351" s="128">
        <f t="shared" si="121"/>
        <v>251.00000008000001</v>
      </c>
      <c r="M351" s="128">
        <f t="shared" si="122"/>
        <v>130.00000008000001</v>
      </c>
      <c r="N351" s="128">
        <f t="shared" si="123"/>
        <v>259</v>
      </c>
      <c r="O351" s="128">
        <f t="shared" si="124"/>
        <v>144</v>
      </c>
      <c r="P351" s="128">
        <f t="shared" si="125"/>
        <v>269</v>
      </c>
      <c r="Q351" s="128">
        <f t="shared" si="126"/>
        <v>284</v>
      </c>
      <c r="R351" s="128">
        <f t="shared" si="155"/>
        <v>15</v>
      </c>
      <c r="S351" s="1">
        <f t="shared" si="156"/>
        <v>1</v>
      </c>
      <c r="T351" s="128">
        <f t="shared" si="157"/>
        <v>-7.9999999199999934</v>
      </c>
      <c r="U351" s="128">
        <f t="shared" si="158"/>
        <v>1337.0000001600001</v>
      </c>
      <c r="W351" s="128">
        <f t="shared" si="153"/>
        <v>284</v>
      </c>
      <c r="X351" s="128">
        <f t="shared" si="154"/>
        <v>274.00000008000001</v>
      </c>
    </row>
    <row r="352" spans="1:24">
      <c r="A352" s="22">
        <v>44988</v>
      </c>
      <c r="B352" s="130">
        <v>1</v>
      </c>
      <c r="C352" s="130">
        <v>1</v>
      </c>
      <c r="D352" s="130">
        <v>1</v>
      </c>
      <c r="E352" s="130">
        <v>0</v>
      </c>
      <c r="F352" s="130">
        <v>1</v>
      </c>
      <c r="G352" s="130">
        <v>0</v>
      </c>
      <c r="K352" s="86">
        <f t="shared" si="120"/>
        <v>44988</v>
      </c>
      <c r="L352" s="128">
        <f t="shared" si="121"/>
        <v>252.00000008000001</v>
      </c>
      <c r="M352" s="128">
        <f t="shared" si="122"/>
        <v>131.00000008000001</v>
      </c>
      <c r="N352" s="128">
        <f t="shared" si="123"/>
        <v>260</v>
      </c>
      <c r="O352" s="128">
        <f t="shared" si="124"/>
        <v>144</v>
      </c>
      <c r="P352" s="128">
        <f t="shared" si="125"/>
        <v>270</v>
      </c>
      <c r="Q352" s="128">
        <f t="shared" si="126"/>
        <v>284</v>
      </c>
      <c r="R352" s="128">
        <f t="shared" si="155"/>
        <v>14</v>
      </c>
      <c r="S352" s="1">
        <f t="shared" si="156"/>
        <v>1</v>
      </c>
      <c r="T352" s="128">
        <f t="shared" si="157"/>
        <v>-7.9999999199999934</v>
      </c>
      <c r="U352" s="128">
        <f t="shared" si="158"/>
        <v>1341.0000001600001</v>
      </c>
      <c r="W352" s="128">
        <f t="shared" si="153"/>
        <v>284</v>
      </c>
      <c r="X352" s="128">
        <f t="shared" si="154"/>
        <v>275.00000008000001</v>
      </c>
    </row>
    <row r="353" spans="1:24">
      <c r="A353" s="86">
        <v>44995</v>
      </c>
      <c r="B353" s="130">
        <v>1</v>
      </c>
      <c r="C353" s="130">
        <v>0</v>
      </c>
      <c r="D353" s="130">
        <v>0</v>
      </c>
      <c r="E353" s="130">
        <v>0</v>
      </c>
      <c r="F353" s="130">
        <v>0</v>
      </c>
      <c r="G353" s="130">
        <v>1</v>
      </c>
      <c r="K353" s="86">
        <f t="shared" si="120"/>
        <v>44995</v>
      </c>
      <c r="L353" s="128">
        <f t="shared" si="121"/>
        <v>253.00000008000001</v>
      </c>
      <c r="M353" s="128">
        <f t="shared" si="122"/>
        <v>131.00000008000001</v>
      </c>
      <c r="N353" s="128">
        <f t="shared" si="123"/>
        <v>260</v>
      </c>
      <c r="O353" s="128">
        <f t="shared" si="124"/>
        <v>144</v>
      </c>
      <c r="P353" s="128">
        <f t="shared" si="125"/>
        <v>270</v>
      </c>
      <c r="Q353" s="128">
        <f t="shared" si="126"/>
        <v>285</v>
      </c>
      <c r="R353" s="128">
        <f t="shared" si="155"/>
        <v>15</v>
      </c>
      <c r="S353" s="1">
        <f t="shared" si="156"/>
        <v>1</v>
      </c>
      <c r="T353" s="128">
        <f t="shared" si="157"/>
        <v>-6.9999999199999934</v>
      </c>
      <c r="U353" s="128">
        <f t="shared" si="158"/>
        <v>1343.0000001600001</v>
      </c>
      <c r="W353" s="128">
        <f t="shared" si="153"/>
        <v>285</v>
      </c>
      <c r="X353" s="128">
        <f t="shared" si="154"/>
        <v>275.00000008000001</v>
      </c>
    </row>
    <row r="354" spans="1:24">
      <c r="A354" s="86">
        <v>45002</v>
      </c>
      <c r="B354" s="130">
        <v>1</v>
      </c>
      <c r="C354" s="130">
        <v>0</v>
      </c>
      <c r="D354" s="130">
        <v>0</v>
      </c>
      <c r="E354" s="130">
        <v>0</v>
      </c>
      <c r="F354" s="130">
        <v>0</v>
      </c>
      <c r="G354" s="130">
        <v>0</v>
      </c>
      <c r="K354" s="86">
        <f t="shared" si="120"/>
        <v>45002</v>
      </c>
      <c r="L354" s="128">
        <f t="shared" si="121"/>
        <v>254.00000008000001</v>
      </c>
      <c r="M354" s="128">
        <f t="shared" si="122"/>
        <v>131.00000008000001</v>
      </c>
      <c r="N354" s="128">
        <f t="shared" si="123"/>
        <v>260</v>
      </c>
      <c r="O354" s="128">
        <f t="shared" si="124"/>
        <v>144</v>
      </c>
      <c r="P354" s="128">
        <f t="shared" si="125"/>
        <v>270</v>
      </c>
      <c r="Q354" s="128">
        <f t="shared" si="126"/>
        <v>285</v>
      </c>
      <c r="R354" s="128">
        <f t="shared" si="155"/>
        <v>15</v>
      </c>
      <c r="S354" s="1">
        <f t="shared" si="156"/>
        <v>1</v>
      </c>
      <c r="T354" s="128">
        <f t="shared" si="157"/>
        <v>-5.9999999199999934</v>
      </c>
      <c r="U354" s="128">
        <f t="shared" si="158"/>
        <v>1344.0000001600001</v>
      </c>
      <c r="W354" s="128">
        <f t="shared" si="153"/>
        <v>285</v>
      </c>
      <c r="X354" s="128">
        <f t="shared" si="154"/>
        <v>275.00000008000001</v>
      </c>
    </row>
    <row r="355" spans="1:24">
      <c r="A355" s="86">
        <v>45009</v>
      </c>
      <c r="B355" s="130">
        <v>0</v>
      </c>
      <c r="C355" s="130">
        <v>1</v>
      </c>
      <c r="D355" s="130">
        <v>0</v>
      </c>
      <c r="E355" s="130">
        <v>0</v>
      </c>
      <c r="F355" s="130">
        <v>1</v>
      </c>
      <c r="G355" s="130">
        <v>1</v>
      </c>
      <c r="K355" s="86">
        <f t="shared" si="120"/>
        <v>45009</v>
      </c>
      <c r="L355" s="128">
        <f t="shared" si="121"/>
        <v>254.00000008000001</v>
      </c>
      <c r="M355" s="128">
        <f t="shared" si="122"/>
        <v>132.00000008000001</v>
      </c>
      <c r="N355" s="128">
        <f t="shared" si="123"/>
        <v>260</v>
      </c>
      <c r="O355" s="128">
        <f t="shared" si="124"/>
        <v>144</v>
      </c>
      <c r="P355" s="128">
        <f t="shared" si="125"/>
        <v>271</v>
      </c>
      <c r="Q355" s="128">
        <f t="shared" si="126"/>
        <v>286</v>
      </c>
      <c r="R355" s="128">
        <f t="shared" si="155"/>
        <v>15</v>
      </c>
      <c r="S355" s="1">
        <f t="shared" si="156"/>
        <v>1</v>
      </c>
      <c r="T355" s="128">
        <f t="shared" si="157"/>
        <v>-5.9999999199999934</v>
      </c>
      <c r="U355" s="128">
        <f t="shared" si="158"/>
        <v>1347.0000001600001</v>
      </c>
      <c r="W355" s="128">
        <f t="shared" si="153"/>
        <v>286</v>
      </c>
      <c r="X355" s="128">
        <f t="shared" si="154"/>
        <v>276.00000008000001</v>
      </c>
    </row>
    <row r="356" spans="1:24">
      <c r="A356" s="86">
        <v>45016</v>
      </c>
      <c r="B356" s="130">
        <v>0</v>
      </c>
      <c r="C356" s="130">
        <v>1</v>
      </c>
      <c r="D356" s="130">
        <v>0</v>
      </c>
      <c r="E356" s="130">
        <v>0</v>
      </c>
      <c r="F356" s="130">
        <v>1</v>
      </c>
      <c r="G356" s="130">
        <v>1</v>
      </c>
      <c r="K356" s="86">
        <f t="shared" si="120"/>
        <v>45016</v>
      </c>
      <c r="L356" s="128">
        <f t="shared" si="121"/>
        <v>254.00000008000001</v>
      </c>
      <c r="M356" s="128">
        <f t="shared" si="122"/>
        <v>133.00000008000001</v>
      </c>
      <c r="N356" s="128">
        <f t="shared" si="123"/>
        <v>260</v>
      </c>
      <c r="O356" s="128">
        <f t="shared" si="124"/>
        <v>144</v>
      </c>
      <c r="P356" s="128">
        <f t="shared" si="125"/>
        <v>272</v>
      </c>
      <c r="Q356" s="128">
        <f t="shared" si="126"/>
        <v>287</v>
      </c>
      <c r="R356" s="128">
        <f t="shared" si="155"/>
        <v>15</v>
      </c>
      <c r="S356" s="1">
        <f t="shared" si="156"/>
        <v>1</v>
      </c>
      <c r="T356" s="128">
        <f t="shared" si="157"/>
        <v>-5.9999999199999934</v>
      </c>
      <c r="U356" s="128">
        <f t="shared" si="158"/>
        <v>1350.0000001600001</v>
      </c>
      <c r="W356" s="128">
        <f t="shared" si="153"/>
        <v>287</v>
      </c>
      <c r="X356" s="128">
        <f t="shared" si="154"/>
        <v>277.00000008000001</v>
      </c>
    </row>
    <row r="357" spans="1:24">
      <c r="A357" s="86">
        <v>45030</v>
      </c>
      <c r="B357" s="130">
        <v>0</v>
      </c>
      <c r="C357" s="130">
        <v>1</v>
      </c>
      <c r="D357" s="130">
        <v>0</v>
      </c>
      <c r="E357" s="130">
        <v>0</v>
      </c>
      <c r="F357" s="130">
        <v>1</v>
      </c>
      <c r="G357" s="130">
        <v>0</v>
      </c>
      <c r="K357" s="86">
        <f t="shared" si="120"/>
        <v>45030</v>
      </c>
      <c r="L357" s="128">
        <f t="shared" si="121"/>
        <v>254.00000008000001</v>
      </c>
      <c r="M357" s="128">
        <f t="shared" si="122"/>
        <v>134.00000008000001</v>
      </c>
      <c r="N357" s="128">
        <f t="shared" si="123"/>
        <v>260</v>
      </c>
      <c r="O357" s="128">
        <f t="shared" si="124"/>
        <v>144</v>
      </c>
      <c r="P357" s="128">
        <f t="shared" si="125"/>
        <v>273</v>
      </c>
      <c r="Q357" s="128">
        <f t="shared" si="126"/>
        <v>287</v>
      </c>
      <c r="R357" s="128">
        <f t="shared" si="155"/>
        <v>14</v>
      </c>
      <c r="S357" s="1">
        <f t="shared" si="156"/>
        <v>1</v>
      </c>
      <c r="T357" s="128">
        <f t="shared" si="157"/>
        <v>-5.9999999199999934</v>
      </c>
      <c r="U357" s="128">
        <f t="shared" si="158"/>
        <v>1352.0000001600001</v>
      </c>
      <c r="W357" s="128">
        <f t="shared" si="153"/>
        <v>287</v>
      </c>
      <c r="X357" s="128">
        <f t="shared" si="154"/>
        <v>278.00000008000001</v>
      </c>
    </row>
    <row r="358" spans="1:24">
      <c r="A358" s="86">
        <v>45037</v>
      </c>
      <c r="B358" s="130">
        <v>0</v>
      </c>
      <c r="C358" s="130">
        <v>0</v>
      </c>
      <c r="D358" s="130">
        <v>0</v>
      </c>
      <c r="E358" s="130">
        <v>0</v>
      </c>
      <c r="F358" s="130">
        <v>0</v>
      </c>
      <c r="G358" s="130">
        <v>1</v>
      </c>
      <c r="K358" s="86">
        <f t="shared" si="120"/>
        <v>45037</v>
      </c>
      <c r="L358" s="128">
        <f t="shared" si="121"/>
        <v>254.00000008000001</v>
      </c>
      <c r="M358" s="128">
        <f t="shared" si="122"/>
        <v>134.00000008000001</v>
      </c>
      <c r="N358" s="128">
        <f t="shared" si="123"/>
        <v>260</v>
      </c>
      <c r="O358" s="128">
        <f t="shared" si="124"/>
        <v>144</v>
      </c>
      <c r="P358" s="128">
        <f t="shared" si="125"/>
        <v>273</v>
      </c>
      <c r="Q358" s="128">
        <f t="shared" si="126"/>
        <v>288</v>
      </c>
      <c r="R358" s="128">
        <f t="shared" si="155"/>
        <v>15</v>
      </c>
      <c r="S358" s="1">
        <f t="shared" si="156"/>
        <v>1</v>
      </c>
      <c r="T358" s="128">
        <f t="shared" si="157"/>
        <v>-5.9999999199999934</v>
      </c>
      <c r="U358" s="128">
        <f t="shared" si="158"/>
        <v>1353.0000001600001</v>
      </c>
      <c r="W358" s="128">
        <f t="shared" si="153"/>
        <v>288</v>
      </c>
      <c r="X358" s="128">
        <f t="shared" si="154"/>
        <v>278.00000008000001</v>
      </c>
    </row>
    <row r="359" spans="1:24">
      <c r="A359" s="86">
        <v>45044</v>
      </c>
      <c r="B359" s="130">
        <v>0</v>
      </c>
      <c r="C359" s="130">
        <v>0</v>
      </c>
      <c r="D359" s="130">
        <v>1</v>
      </c>
      <c r="E359" s="130">
        <v>0</v>
      </c>
      <c r="F359" s="130">
        <v>1</v>
      </c>
      <c r="G359" s="130">
        <v>1</v>
      </c>
      <c r="K359" s="86">
        <f t="shared" si="120"/>
        <v>45044</v>
      </c>
      <c r="L359" s="128">
        <f t="shared" si="121"/>
        <v>254.00000008000001</v>
      </c>
      <c r="M359" s="128">
        <f t="shared" si="122"/>
        <v>134.00000008000001</v>
      </c>
      <c r="N359" s="128">
        <f t="shared" si="123"/>
        <v>261</v>
      </c>
      <c r="O359" s="128">
        <f t="shared" si="124"/>
        <v>144</v>
      </c>
      <c r="P359" s="128">
        <f t="shared" si="125"/>
        <v>274</v>
      </c>
      <c r="Q359" s="128">
        <f t="shared" si="126"/>
        <v>289</v>
      </c>
      <c r="R359" s="128">
        <f t="shared" si="155"/>
        <v>15</v>
      </c>
      <c r="S359" s="1">
        <f t="shared" si="156"/>
        <v>1</v>
      </c>
      <c r="T359" s="128">
        <f t="shared" si="157"/>
        <v>-6.9999999199999934</v>
      </c>
      <c r="U359" s="128">
        <f t="shared" si="158"/>
        <v>1356.0000001600001</v>
      </c>
      <c r="W359" s="128">
        <f t="shared" si="153"/>
        <v>289</v>
      </c>
      <c r="X359" s="128">
        <f t="shared" si="154"/>
        <v>278.00000008000001</v>
      </c>
    </row>
    <row r="360" spans="1:24">
      <c r="A360" s="86">
        <v>45051</v>
      </c>
      <c r="B360" s="130">
        <v>0</v>
      </c>
      <c r="C360" s="130">
        <v>1</v>
      </c>
      <c r="D360" s="130">
        <v>1</v>
      </c>
      <c r="E360" s="130">
        <v>0</v>
      </c>
      <c r="F360" s="130">
        <v>1</v>
      </c>
      <c r="G360" s="130">
        <v>1</v>
      </c>
      <c r="K360" s="86">
        <f t="shared" si="120"/>
        <v>45051</v>
      </c>
      <c r="L360" s="128">
        <f t="shared" si="121"/>
        <v>254.00000008000001</v>
      </c>
      <c r="M360" s="128">
        <f t="shared" si="122"/>
        <v>135.00000008000001</v>
      </c>
      <c r="N360" s="128">
        <f t="shared" si="123"/>
        <v>262</v>
      </c>
      <c r="O360" s="128">
        <f t="shared" si="124"/>
        <v>144</v>
      </c>
      <c r="P360" s="128">
        <f t="shared" si="125"/>
        <v>275</v>
      </c>
      <c r="Q360" s="128">
        <f t="shared" si="126"/>
        <v>290</v>
      </c>
      <c r="R360" s="128">
        <f t="shared" si="155"/>
        <v>15</v>
      </c>
      <c r="S360" s="1">
        <f t="shared" si="156"/>
        <v>1</v>
      </c>
      <c r="T360" s="128">
        <f t="shared" si="157"/>
        <v>-7.9999999199999934</v>
      </c>
      <c r="U360" s="128">
        <f t="shared" si="158"/>
        <v>1360.0000001600001</v>
      </c>
      <c r="W360" s="128">
        <f t="shared" si="153"/>
        <v>290</v>
      </c>
      <c r="X360" s="128">
        <f t="shared" si="154"/>
        <v>279.00000008000001</v>
      </c>
    </row>
    <row r="361" spans="1:24">
      <c r="A361" s="86">
        <v>45058</v>
      </c>
      <c r="B361" s="130">
        <v>0</v>
      </c>
      <c r="C361" s="130">
        <v>1</v>
      </c>
      <c r="D361" s="130">
        <v>0</v>
      </c>
      <c r="E361" s="130">
        <v>1</v>
      </c>
      <c r="F361" s="130">
        <v>1</v>
      </c>
      <c r="G361" s="130">
        <v>0</v>
      </c>
      <c r="K361" s="86">
        <f t="shared" si="120"/>
        <v>45058</v>
      </c>
      <c r="L361" s="128">
        <f t="shared" si="121"/>
        <v>254.00000008000001</v>
      </c>
      <c r="M361" s="128">
        <f t="shared" si="122"/>
        <v>136.00000008000001</v>
      </c>
      <c r="N361" s="128">
        <f t="shared" si="123"/>
        <v>262</v>
      </c>
      <c r="O361" s="128">
        <f t="shared" si="124"/>
        <v>145</v>
      </c>
      <c r="P361" s="128">
        <f t="shared" si="125"/>
        <v>276</v>
      </c>
      <c r="Q361" s="128">
        <f t="shared" si="126"/>
        <v>290</v>
      </c>
      <c r="R361" s="128">
        <f t="shared" si="155"/>
        <v>14</v>
      </c>
      <c r="S361" s="1">
        <f t="shared" si="156"/>
        <v>1</v>
      </c>
      <c r="T361" s="128">
        <f t="shared" si="157"/>
        <v>-7.9999999199999934</v>
      </c>
      <c r="U361" s="128">
        <f t="shared" si="158"/>
        <v>1363.0000001600001</v>
      </c>
      <c r="W361" s="128">
        <f t="shared" si="153"/>
        <v>290</v>
      </c>
      <c r="X361" s="128">
        <f t="shared" si="154"/>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f t="shared" si="120"/>
        <v>45065</v>
      </c>
      <c r="L362" s="128">
        <f t="shared" si="121"/>
        <v>254.00000008000001</v>
      </c>
      <c r="M362" s="128">
        <f t="shared" si="122"/>
        <v>137.00000008000001</v>
      </c>
      <c r="N362" s="128">
        <f t="shared" si="123"/>
        <v>262</v>
      </c>
      <c r="O362" s="128">
        <f t="shared" si="124"/>
        <v>145</v>
      </c>
      <c r="P362" s="128">
        <f t="shared" si="125"/>
        <v>276</v>
      </c>
      <c r="Q362" s="128">
        <f t="shared" si="126"/>
        <v>290</v>
      </c>
      <c r="R362" s="128">
        <f t="shared" ref="R362:R370" si="159">Q362-MAX(L362:P362)</f>
        <v>14</v>
      </c>
      <c r="S362" s="1">
        <f t="shared" ref="S362:S370" si="160">IF(Q362&gt;L362,1,0)</f>
        <v>1</v>
      </c>
      <c r="T362" s="128">
        <f t="shared" ref="T362:T370" si="161">L362-N362</f>
        <v>-7.9999999199999934</v>
      </c>
      <c r="U362" s="128">
        <f t="shared" ref="U362:U370" si="162">SUM(L362:Q362)</f>
        <v>1364.0000001600001</v>
      </c>
      <c r="W362" s="128">
        <f t="shared" ref="W362:W370" si="163">Q362</f>
        <v>290</v>
      </c>
      <c r="X362" s="128">
        <f t="shared" ref="X362:X370" si="164">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f t="shared" si="120"/>
        <v>45072</v>
      </c>
      <c r="L363" s="128">
        <f t="shared" si="121"/>
        <v>255.00000008000001</v>
      </c>
      <c r="M363" s="128">
        <f t="shared" si="122"/>
        <v>138.00000008000001</v>
      </c>
      <c r="N363" s="128">
        <f t="shared" si="123"/>
        <v>263</v>
      </c>
      <c r="O363" s="128">
        <f t="shared" si="124"/>
        <v>145</v>
      </c>
      <c r="P363" s="128">
        <f t="shared" si="125"/>
        <v>277</v>
      </c>
      <c r="Q363" s="128">
        <f t="shared" si="126"/>
        <v>291</v>
      </c>
      <c r="R363" s="128">
        <f t="shared" si="159"/>
        <v>14</v>
      </c>
      <c r="S363" s="1">
        <f t="shared" si="160"/>
        <v>1</v>
      </c>
      <c r="T363" s="128">
        <f t="shared" si="161"/>
        <v>-7.9999999199999934</v>
      </c>
      <c r="U363" s="128">
        <f t="shared" si="162"/>
        <v>1369.0000001600001</v>
      </c>
      <c r="W363" s="128">
        <f t="shared" si="163"/>
        <v>291</v>
      </c>
      <c r="X363" s="128">
        <f t="shared" si="164"/>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f t="shared" si="120"/>
        <v>45079</v>
      </c>
      <c r="L364" s="128">
        <f t="shared" si="121"/>
        <v>255.00000008000001</v>
      </c>
      <c r="M364" s="128">
        <f t="shared" si="122"/>
        <v>139.00000008000001</v>
      </c>
      <c r="N364" s="128">
        <f t="shared" si="123"/>
        <v>263</v>
      </c>
      <c r="O364" s="128">
        <f t="shared" si="124"/>
        <v>146</v>
      </c>
      <c r="P364" s="128">
        <f t="shared" si="125"/>
        <v>278</v>
      </c>
      <c r="Q364" s="128">
        <f t="shared" si="126"/>
        <v>292</v>
      </c>
      <c r="R364" s="128">
        <f t="shared" si="159"/>
        <v>14</v>
      </c>
      <c r="S364" s="1">
        <f t="shared" si="160"/>
        <v>1</v>
      </c>
      <c r="T364" s="128">
        <f t="shared" si="161"/>
        <v>-7.9999999199999934</v>
      </c>
      <c r="U364" s="128">
        <f t="shared" si="162"/>
        <v>1373.0000001600001</v>
      </c>
      <c r="W364" s="128">
        <f t="shared" si="163"/>
        <v>292</v>
      </c>
      <c r="X364" s="128">
        <f t="shared" si="164"/>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f t="shared" si="120"/>
        <v>45086</v>
      </c>
      <c r="L365" s="128">
        <f t="shared" si="121"/>
        <v>255.00000008000001</v>
      </c>
      <c r="M365" s="128">
        <f t="shared" si="122"/>
        <v>140.00000008000001</v>
      </c>
      <c r="N365" s="128">
        <f t="shared" si="123"/>
        <v>264</v>
      </c>
      <c r="O365" s="128">
        <f t="shared" si="124"/>
        <v>146</v>
      </c>
      <c r="P365" s="128">
        <f t="shared" si="125"/>
        <v>279</v>
      </c>
      <c r="Q365" s="128">
        <f t="shared" si="126"/>
        <v>293</v>
      </c>
      <c r="R365" s="128">
        <f t="shared" si="159"/>
        <v>14</v>
      </c>
      <c r="S365" s="1">
        <f t="shared" si="160"/>
        <v>1</v>
      </c>
      <c r="T365" s="128">
        <f t="shared" si="161"/>
        <v>-8.9999999199999934</v>
      </c>
      <c r="U365" s="128">
        <f t="shared" si="162"/>
        <v>1377.0000001600001</v>
      </c>
      <c r="W365" s="128">
        <f t="shared" si="163"/>
        <v>293</v>
      </c>
      <c r="X365" s="128">
        <f t="shared" si="164"/>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f t="shared" si="120"/>
        <v>45093</v>
      </c>
      <c r="L366" s="128">
        <f t="shared" si="121"/>
        <v>256.00000008000001</v>
      </c>
      <c r="M366" s="128">
        <f t="shared" si="122"/>
        <v>141.00000008000001</v>
      </c>
      <c r="N366" s="128">
        <f t="shared" si="123"/>
        <v>265</v>
      </c>
      <c r="O366" s="128">
        <f t="shared" si="124"/>
        <v>146</v>
      </c>
      <c r="P366" s="128">
        <f t="shared" si="125"/>
        <v>280</v>
      </c>
      <c r="Q366" s="128">
        <f t="shared" si="126"/>
        <v>294</v>
      </c>
      <c r="R366" s="128">
        <f t="shared" si="159"/>
        <v>14</v>
      </c>
      <c r="S366" s="1">
        <f t="shared" si="160"/>
        <v>1</v>
      </c>
      <c r="T366" s="128">
        <f t="shared" si="161"/>
        <v>-8.9999999199999934</v>
      </c>
      <c r="U366" s="128">
        <f t="shared" si="162"/>
        <v>1382.0000001600001</v>
      </c>
      <c r="W366" s="128">
        <f t="shared" si="163"/>
        <v>294</v>
      </c>
      <c r="X366" s="128">
        <f t="shared" si="164"/>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f t="shared" si="120"/>
        <v>45100</v>
      </c>
      <c r="L367" s="128">
        <f t="shared" si="121"/>
        <v>257.00000008000001</v>
      </c>
      <c r="M367" s="128">
        <f t="shared" si="122"/>
        <v>142.00000008000001</v>
      </c>
      <c r="N367" s="128">
        <f t="shared" si="123"/>
        <v>266</v>
      </c>
      <c r="O367" s="128">
        <f t="shared" si="124"/>
        <v>147</v>
      </c>
      <c r="P367" s="128">
        <f t="shared" si="125"/>
        <v>281</v>
      </c>
      <c r="Q367" s="128">
        <f t="shared" si="126"/>
        <v>295</v>
      </c>
      <c r="R367" s="128">
        <f t="shared" si="159"/>
        <v>14</v>
      </c>
      <c r="S367" s="1">
        <f t="shared" si="160"/>
        <v>1</v>
      </c>
      <c r="T367" s="128">
        <f t="shared" si="161"/>
        <v>-8.9999999199999934</v>
      </c>
      <c r="U367" s="128">
        <f t="shared" si="162"/>
        <v>1388.0000001600001</v>
      </c>
      <c r="W367" s="128">
        <f t="shared" si="163"/>
        <v>295</v>
      </c>
      <c r="X367" s="128">
        <f t="shared" si="164"/>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f t="shared" si="120"/>
        <v>45107</v>
      </c>
      <c r="L368" s="128">
        <f t="shared" si="121"/>
        <v>257.00000008000001</v>
      </c>
      <c r="M368" s="128">
        <f t="shared" si="122"/>
        <v>143.00000008000001</v>
      </c>
      <c r="N368" s="128">
        <f t="shared" si="123"/>
        <v>266</v>
      </c>
      <c r="O368" s="128">
        <f t="shared" si="124"/>
        <v>147</v>
      </c>
      <c r="P368" s="128">
        <f t="shared" si="125"/>
        <v>282</v>
      </c>
      <c r="Q368" s="128">
        <f t="shared" si="126"/>
        <v>296</v>
      </c>
      <c r="R368" s="128">
        <f t="shared" si="159"/>
        <v>14</v>
      </c>
      <c r="S368" s="1">
        <f t="shared" si="160"/>
        <v>1</v>
      </c>
      <c r="T368" s="128">
        <f t="shared" si="161"/>
        <v>-8.9999999199999934</v>
      </c>
      <c r="U368" s="128">
        <f t="shared" si="162"/>
        <v>1391.0000001600001</v>
      </c>
      <c r="W368" s="128">
        <f t="shared" si="163"/>
        <v>296</v>
      </c>
      <c r="X368" s="128">
        <f t="shared" si="164"/>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f t="shared" si="120"/>
        <v>45114</v>
      </c>
      <c r="L369" s="128">
        <f t="shared" si="121"/>
        <v>257.00000008000001</v>
      </c>
      <c r="M369" s="128">
        <f t="shared" si="122"/>
        <v>144.00000008000001</v>
      </c>
      <c r="N369" s="128">
        <f t="shared" si="123"/>
        <v>267</v>
      </c>
      <c r="O369" s="128">
        <f t="shared" si="124"/>
        <v>147</v>
      </c>
      <c r="P369" s="128">
        <f t="shared" si="125"/>
        <v>282</v>
      </c>
      <c r="Q369" s="128">
        <f t="shared" si="126"/>
        <v>297</v>
      </c>
      <c r="R369" s="128">
        <f t="shared" si="159"/>
        <v>15</v>
      </c>
      <c r="S369" s="1">
        <f t="shared" si="160"/>
        <v>1</v>
      </c>
      <c r="T369" s="128">
        <f t="shared" si="161"/>
        <v>-9.9999999199999934</v>
      </c>
      <c r="U369" s="128">
        <f t="shared" si="162"/>
        <v>1394.0000001600001</v>
      </c>
      <c r="W369" s="128">
        <f t="shared" si="163"/>
        <v>297</v>
      </c>
      <c r="X369" s="128">
        <f t="shared" si="164"/>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f t="shared" si="120"/>
        <v>45121</v>
      </c>
      <c r="L370" s="128">
        <f t="shared" si="121"/>
        <v>258.00000008000001</v>
      </c>
      <c r="M370" s="128">
        <f t="shared" si="122"/>
        <v>145.00000008000001</v>
      </c>
      <c r="N370" s="128">
        <f t="shared" si="123"/>
        <v>268</v>
      </c>
      <c r="O370" s="128">
        <f t="shared" si="124"/>
        <v>148</v>
      </c>
      <c r="P370" s="128">
        <f t="shared" si="125"/>
        <v>283</v>
      </c>
      <c r="Q370" s="128">
        <f t="shared" si="126"/>
        <v>298</v>
      </c>
      <c r="R370" s="128">
        <f t="shared" si="159"/>
        <v>15</v>
      </c>
      <c r="S370" s="1">
        <f t="shared" si="160"/>
        <v>1</v>
      </c>
      <c r="T370" s="128">
        <f t="shared" si="161"/>
        <v>-9.9999999199999934</v>
      </c>
      <c r="U370" s="128">
        <f t="shared" si="162"/>
        <v>1400.0000001600001</v>
      </c>
      <c r="W370" s="128">
        <f t="shared" si="163"/>
        <v>298</v>
      </c>
      <c r="X370" s="128">
        <f t="shared" si="164"/>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f t="shared" si="120"/>
        <v>45128</v>
      </c>
      <c r="L371" s="128">
        <f t="shared" si="121"/>
        <v>258.00000008000001</v>
      </c>
      <c r="M371" s="128">
        <f t="shared" si="122"/>
        <v>146.00000008000001</v>
      </c>
      <c r="N371" s="128">
        <f t="shared" si="123"/>
        <v>268</v>
      </c>
      <c r="O371" s="128">
        <f t="shared" si="124"/>
        <v>148</v>
      </c>
      <c r="P371" s="128">
        <f t="shared" si="125"/>
        <v>284</v>
      </c>
      <c r="Q371" s="128">
        <f t="shared" si="126"/>
        <v>299</v>
      </c>
      <c r="R371" s="128">
        <f t="shared" ref="R371" si="165">Q371-MAX(L371:P371)</f>
        <v>15</v>
      </c>
      <c r="S371" s="1">
        <f t="shared" ref="S371" si="166">IF(Q371&gt;L371,1,0)</f>
        <v>1</v>
      </c>
      <c r="T371" s="128">
        <f t="shared" ref="T371" si="167">L371-N371</f>
        <v>-9.9999999199999934</v>
      </c>
      <c r="U371" s="128">
        <f t="shared" ref="U371" si="168">SUM(L371:Q371)</f>
        <v>1403.0000001600001</v>
      </c>
      <c r="W371" s="128">
        <f t="shared" ref="W371" si="169">Q371</f>
        <v>299</v>
      </c>
      <c r="X371" s="128">
        <f t="shared" ref="X371" si="170">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row>
    <row r="373" spans="1:24">
      <c r="A373" s="86">
        <f>'Stats 2023'!D54</f>
        <v>45142</v>
      </c>
      <c r="B373" s="130">
        <f>'Stats 2023'!E54</f>
        <v>1</v>
      </c>
      <c r="C373" s="130">
        <f>'Stats 2023'!F54</f>
        <v>1</v>
      </c>
      <c r="D373" s="130">
        <f>'Stats 2023'!G54</f>
        <v>0</v>
      </c>
      <c r="E373" s="130">
        <f>'Stats 2023'!H54</f>
        <v>0</v>
      </c>
      <c r="F373" s="130">
        <f>'Stats 2023'!I54</f>
        <v>1</v>
      </c>
      <c r="G373" s="130">
        <f>'Stats 2023'!J54</f>
        <v>1</v>
      </c>
    </row>
    <row r="374" spans="1:24">
      <c r="A374" s="86">
        <f>'Stats 2023'!D55</f>
        <v>45149</v>
      </c>
      <c r="B374" s="130">
        <f>'Stats 2023'!E55</f>
        <v>1</v>
      </c>
      <c r="C374" s="130">
        <f>'Stats 2023'!F55</f>
        <v>1</v>
      </c>
      <c r="D374" s="130">
        <f>'Stats 2023'!G55</f>
        <v>1</v>
      </c>
      <c r="E374" s="130">
        <f>'Stats 2023'!H55</f>
        <v>1</v>
      </c>
      <c r="F374" s="130">
        <f>'Stats 2023'!I55</f>
        <v>0</v>
      </c>
      <c r="G374" s="130">
        <f>'Stats 2023'!J55</f>
        <v>1</v>
      </c>
    </row>
    <row r="375" spans="1:24">
      <c r="A375" s="86">
        <f>'Stats 2023'!D58</f>
        <v>45163</v>
      </c>
      <c r="B375" s="130">
        <f>'Stats 2023'!E58</f>
        <v>0</v>
      </c>
      <c r="C375" s="130">
        <f>'Stats 2023'!F58</f>
        <v>1</v>
      </c>
      <c r="D375" s="130">
        <f>'Stats 2023'!G58</f>
        <v>0</v>
      </c>
      <c r="E375" s="130">
        <f>'Stats 2023'!H58</f>
        <v>0</v>
      </c>
      <c r="F375" s="130">
        <f>'Stats 2023'!I58</f>
        <v>1</v>
      </c>
      <c r="G375" s="130">
        <f>'Stats 2023'!J58</f>
        <v>1</v>
      </c>
    </row>
    <row r="376" spans="1:24">
      <c r="A376" s="86">
        <f>'Stats 2023'!D59</f>
        <v>45170</v>
      </c>
      <c r="B376" s="130">
        <f>'Stats 2023'!E59</f>
        <v>1</v>
      </c>
      <c r="C376" s="130">
        <f>'Stats 2023'!F59</f>
        <v>1</v>
      </c>
      <c r="D376" s="130">
        <f>'Stats 2023'!G59</f>
        <v>1</v>
      </c>
      <c r="E376" s="130">
        <f>'Stats 2023'!H59</f>
        <v>0</v>
      </c>
      <c r="F376" s="130">
        <f>'Stats 2023'!I59</f>
        <v>1</v>
      </c>
      <c r="G376" s="130">
        <f>'Stats 2023'!J59</f>
        <v>0</v>
      </c>
    </row>
    <row r="377" spans="1:24">
      <c r="A377" s="86">
        <f>'Stats 2023'!D60</f>
        <v>45177</v>
      </c>
      <c r="B377" s="130">
        <f>'Stats 2023'!E60</f>
        <v>0</v>
      </c>
      <c r="C377" s="130">
        <f>'Stats 2023'!F60</f>
        <v>1</v>
      </c>
      <c r="D377" s="130">
        <f>'Stats 2023'!G60</f>
        <v>0</v>
      </c>
      <c r="E377" s="130">
        <f>'Stats 2023'!H60</f>
        <v>1</v>
      </c>
      <c r="F377" s="130">
        <f>'Stats 2023'!I60</f>
        <v>1</v>
      </c>
      <c r="G377" s="130">
        <f>'Stats 2023'!J60</f>
        <v>1</v>
      </c>
    </row>
    <row r="378" spans="1:24">
      <c r="A378" s="86">
        <f>'Stats 2023'!D61</f>
        <v>45184</v>
      </c>
      <c r="B378" s="130">
        <f>'Stats 2023'!E61</f>
        <v>1</v>
      </c>
      <c r="C378" s="130">
        <f>'Stats 2023'!F61</f>
        <v>0</v>
      </c>
      <c r="D378" s="130">
        <f>'Stats 2023'!G61</f>
        <v>0</v>
      </c>
      <c r="E378" s="130">
        <f>'Stats 2023'!H61</f>
        <v>0</v>
      </c>
      <c r="F378" s="130">
        <f>'Stats 2023'!I61</f>
        <v>1</v>
      </c>
      <c r="G378" s="130">
        <f>'Stats 2023'!J61</f>
        <v>1</v>
      </c>
    </row>
    <row r="379" spans="1:24">
      <c r="A379" s="86">
        <f>'Stats 2023'!D62</f>
        <v>45191</v>
      </c>
      <c r="B379" s="130">
        <f>'Stats 2023'!E62</f>
        <v>0</v>
      </c>
      <c r="C379" s="130">
        <f>'Stats 2023'!F62</f>
        <v>0</v>
      </c>
      <c r="D379" s="130">
        <f>'Stats 2023'!G62</f>
        <v>1</v>
      </c>
      <c r="E379" s="130">
        <f>'Stats 2023'!H62</f>
        <v>1</v>
      </c>
      <c r="F379" s="130">
        <f>'Stats 2023'!I62</f>
        <v>1</v>
      </c>
      <c r="G379" s="130">
        <f>'Stats 2023'!J62</f>
        <v>1</v>
      </c>
    </row>
    <row r="380" spans="1:24">
      <c r="A380" s="86">
        <f>'Stats 2023'!D63</f>
        <v>0</v>
      </c>
      <c r="B380" s="130">
        <f>'Stats 2023'!E63</f>
        <v>0</v>
      </c>
      <c r="C380" s="130">
        <f>'Stats 2023'!F63</f>
        <v>0</v>
      </c>
      <c r="D380" s="130">
        <f>'Stats 2023'!G63</f>
        <v>0</v>
      </c>
      <c r="E380" s="130">
        <f>'Stats 2023'!H63</f>
        <v>0</v>
      </c>
      <c r="F380" s="130">
        <f>'Stats 2023'!I63</f>
        <v>0</v>
      </c>
      <c r="G380" s="130">
        <f>'Stats 2023'!J63</f>
        <v>0</v>
      </c>
    </row>
    <row r="381" spans="1:24">
      <c r="A381" s="86">
        <f>'Stats 2023'!D64</f>
        <v>45198</v>
      </c>
      <c r="B381" s="130">
        <f>'Stats 2023'!E64</f>
        <v>0</v>
      </c>
      <c r="C381" s="130">
        <f>'Stats 2023'!F64</f>
        <v>0</v>
      </c>
      <c r="D381" s="130">
        <f>'Stats 2023'!G64</f>
        <v>0</v>
      </c>
      <c r="E381" s="130">
        <f>'Stats 2023'!H64</f>
        <v>0</v>
      </c>
      <c r="F381" s="130">
        <f>'Stats 2023'!I64</f>
        <v>0</v>
      </c>
      <c r="G381" s="130">
        <f>'Stats 2023'!J64</f>
        <v>1</v>
      </c>
    </row>
    <row r="382" spans="1:24">
      <c r="A382" s="86">
        <f>'Stats 2023'!D66</f>
        <v>45205</v>
      </c>
      <c r="B382" s="130">
        <f>'Stats 2023'!E66</f>
        <v>0</v>
      </c>
      <c r="C382" s="130">
        <f>'Stats 2023'!F66</f>
        <v>1</v>
      </c>
      <c r="D382" s="130">
        <f>'Stats 2023'!G66</f>
        <v>0</v>
      </c>
      <c r="E382" s="130">
        <f>'Stats 2023'!H66</f>
        <v>1</v>
      </c>
      <c r="F382" s="130">
        <f>'Stats 2023'!I66</f>
        <v>1</v>
      </c>
      <c r="G382" s="130">
        <f>'Stats 2023'!J66</f>
        <v>0</v>
      </c>
    </row>
    <row r="383" spans="1:24">
      <c r="A383" s="86">
        <f>'Stats 2023'!D67</f>
        <v>45212</v>
      </c>
      <c r="B383" s="130">
        <f>'Stats 2023'!E67</f>
        <v>1</v>
      </c>
      <c r="C383" s="130">
        <f>'Stats 2023'!F67</f>
        <v>0</v>
      </c>
      <c r="D383" s="130">
        <f>'Stats 2023'!G67</f>
        <v>1</v>
      </c>
      <c r="E383" s="130">
        <f>'Stats 2023'!H67</f>
        <v>0</v>
      </c>
      <c r="F383" s="130">
        <f>'Stats 2023'!I67</f>
        <v>0</v>
      </c>
      <c r="G383" s="130">
        <f>'Stats 2023'!J67</f>
        <v>1</v>
      </c>
    </row>
    <row r="384" spans="1:24">
      <c r="A384" s="86">
        <f>'Stats 2023'!D68</f>
        <v>45219</v>
      </c>
      <c r="B384" s="130">
        <f>'Stats 2023'!E68</f>
        <v>0</v>
      </c>
      <c r="C384" s="130">
        <f>'Stats 2023'!F68</f>
        <v>0</v>
      </c>
      <c r="D384" s="130">
        <f>'Stats 2023'!G68</f>
        <v>0</v>
      </c>
      <c r="E384" s="130">
        <f>'Stats 2023'!H68</f>
        <v>0</v>
      </c>
      <c r="F384" s="130">
        <f>'Stats 2023'!I68</f>
        <v>0</v>
      </c>
      <c r="G384" s="130">
        <f>'Stats 2023'!J68</f>
        <v>0</v>
      </c>
    </row>
    <row r="385" spans="1:7">
      <c r="A385" s="86">
        <f>'Stats 2023'!D69</f>
        <v>45226</v>
      </c>
      <c r="B385" s="130">
        <f>'Stats 2023'!E69</f>
        <v>1</v>
      </c>
      <c r="C385" s="130">
        <f>'Stats 2023'!F69</f>
        <v>0</v>
      </c>
      <c r="D385" s="130">
        <f>'Stats 2023'!G69</f>
        <v>1</v>
      </c>
      <c r="E385" s="130">
        <f>'Stats 2023'!H69</f>
        <v>0</v>
      </c>
      <c r="F385" s="130">
        <f>'Stats 2023'!I69</f>
        <v>0</v>
      </c>
      <c r="G385" s="130">
        <f>'Stats 2023'!J69</f>
        <v>1</v>
      </c>
    </row>
    <row r="386" spans="1:7">
      <c r="A386" s="86">
        <f>'Stats 2023'!D70</f>
        <v>45233</v>
      </c>
      <c r="B386" s="130">
        <f>'Stats 2023'!E70</f>
        <v>0</v>
      </c>
      <c r="C386" s="130">
        <f>'Stats 2023'!F70</f>
        <v>1</v>
      </c>
      <c r="D386" s="130">
        <f>'Stats 2023'!G70</f>
        <v>1</v>
      </c>
      <c r="E386" s="130">
        <f>'Stats 2023'!H70</f>
        <v>1</v>
      </c>
      <c r="F386" s="130">
        <f>'Stats 2023'!I70</f>
        <v>1</v>
      </c>
      <c r="G386" s="130">
        <f>'Stats 2023'!J70</f>
        <v>1</v>
      </c>
    </row>
    <row r="387" spans="1:7">
      <c r="A387" s="86">
        <f>'Stats 2023'!D72</f>
        <v>45240</v>
      </c>
      <c r="B387" s="130">
        <f>'Stats 2023'!E72</f>
        <v>1</v>
      </c>
      <c r="C387" s="130">
        <f>'Stats 2023'!F72</f>
        <v>1</v>
      </c>
      <c r="D387" s="130">
        <f>'Stats 2023'!G72</f>
        <v>0</v>
      </c>
      <c r="E387" s="130">
        <f>'Stats 2023'!H72</f>
        <v>0</v>
      </c>
      <c r="F387" s="130">
        <f>'Stats 2023'!I72</f>
        <v>1</v>
      </c>
      <c r="G387" s="130">
        <f>'Stats 2023'!J72</f>
        <v>1</v>
      </c>
    </row>
    <row r="388" spans="1:7">
      <c r="A388" s="86">
        <f>'Stats 2023'!D74</f>
        <v>45247</v>
      </c>
      <c r="B388" s="130">
        <f>'Stats 2023'!E74</f>
        <v>1</v>
      </c>
      <c r="C388" s="130">
        <f>'Stats 2023'!F74</f>
        <v>0</v>
      </c>
      <c r="D388" s="130">
        <f>'Stats 2023'!G74</f>
        <v>1</v>
      </c>
      <c r="E388" s="130">
        <f>'Stats 2023'!H74</f>
        <v>1</v>
      </c>
      <c r="F388" s="130">
        <f>'Stats 2023'!I74</f>
        <v>0</v>
      </c>
      <c r="G388" s="130">
        <f>'Stats 2023'!J74</f>
        <v>1</v>
      </c>
    </row>
    <row r="389" spans="1:7">
      <c r="A389" s="86">
        <f>'Stats 2023'!D75</f>
        <v>45254</v>
      </c>
      <c r="B389" s="130">
        <f>'Stats 2023'!E75</f>
        <v>0</v>
      </c>
      <c r="C389" s="130">
        <f>'Stats 2023'!F75</f>
        <v>0</v>
      </c>
      <c r="D389" s="130">
        <f>'Stats 2023'!G75</f>
        <v>0</v>
      </c>
      <c r="E389" s="130">
        <f>'Stats 2023'!H75</f>
        <v>0</v>
      </c>
      <c r="F389" s="130">
        <f>'Stats 2023'!I75</f>
        <v>0</v>
      </c>
      <c r="G389" s="130">
        <f>'Stats 2023'!J75</f>
        <v>0</v>
      </c>
    </row>
    <row r="390" spans="1:7">
      <c r="A390" s="86">
        <f>'Stats 2023'!D76</f>
        <v>45261</v>
      </c>
      <c r="B390" s="130">
        <f>'Stats 2023'!E76</f>
        <v>0</v>
      </c>
      <c r="C390" s="130">
        <f>'Stats 2023'!F76</f>
        <v>1</v>
      </c>
      <c r="D390" s="130">
        <f>'Stats 2023'!G76</f>
        <v>1</v>
      </c>
      <c r="E390" s="130">
        <f>'Stats 2023'!H76</f>
        <v>0</v>
      </c>
      <c r="F390" s="130">
        <f>'Stats 2023'!I76</f>
        <v>1</v>
      </c>
      <c r="G390" s="130">
        <f>'Stats 2023'!J76</f>
        <v>0</v>
      </c>
    </row>
    <row r="391" spans="1:7">
      <c r="A391" s="86">
        <f>'Stats 2023'!D78</f>
        <v>45268</v>
      </c>
      <c r="B391" s="130">
        <f>'Stats 2023'!E78</f>
        <v>0</v>
      </c>
      <c r="C391" s="130">
        <f>'Stats 2023'!F78</f>
        <v>0</v>
      </c>
      <c r="D391" s="130">
        <f>'Stats 2023'!G78</f>
        <v>0</v>
      </c>
      <c r="E391" s="130">
        <f>'Stats 2023'!H78</f>
        <v>1</v>
      </c>
      <c r="F391" s="130">
        <f>'Stats 2023'!I78</f>
        <v>1</v>
      </c>
      <c r="G391" s="130">
        <f>'Stats 2023'!J78</f>
        <v>1</v>
      </c>
    </row>
    <row r="392" spans="1:7">
      <c r="A392" s="86">
        <f>'Stats 2023'!D79</f>
        <v>45275</v>
      </c>
      <c r="B392" s="130">
        <f>'Stats 2023'!E79</f>
        <v>1</v>
      </c>
      <c r="C392" s="130">
        <f>'Stats 2023'!F79</f>
        <v>0</v>
      </c>
      <c r="D392" s="130">
        <f>'Stats 2023'!G79</f>
        <v>1</v>
      </c>
      <c r="E392" s="130">
        <f>'Stats 2023'!H79</f>
        <v>0</v>
      </c>
      <c r="F392" s="130">
        <f>'Stats 2023'!I79</f>
        <v>1</v>
      </c>
      <c r="G392" s="130">
        <f>'Stats 2023'!J79</f>
        <v>1</v>
      </c>
    </row>
    <row r="393" spans="1:7">
      <c r="A393" s="86">
        <f>'Stats 2023'!D80</f>
        <v>45282</v>
      </c>
      <c r="B393" s="130">
        <f>'Stats 2023'!E80</f>
        <v>1</v>
      </c>
      <c r="C393" s="130">
        <f>'Stats 2023'!F80</f>
        <v>1</v>
      </c>
      <c r="D393" s="130">
        <f>'Stats 2023'!G80</f>
        <v>1</v>
      </c>
      <c r="E393" s="130">
        <f>'Stats 2023'!H80</f>
        <v>0</v>
      </c>
      <c r="F393" s="130">
        <f>'Stats 2023'!I80</f>
        <v>0</v>
      </c>
      <c r="G393" s="130">
        <f>'Stats 2023'!J80</f>
        <v>0</v>
      </c>
    </row>
    <row r="394" spans="1:7">
      <c r="A394" s="86">
        <f>'Stats 2023'!D82</f>
        <v>45289</v>
      </c>
      <c r="B394" s="130">
        <f>'Stats 2023'!E82</f>
        <v>0</v>
      </c>
      <c r="C394" s="130">
        <f>'Stats 2023'!F82</f>
        <v>0</v>
      </c>
      <c r="D394" s="130">
        <f>'Stats 2023'!G82</f>
        <v>0</v>
      </c>
      <c r="E394" s="130">
        <f>'Stats 2023'!H82</f>
        <v>0</v>
      </c>
      <c r="F394" s="130">
        <f>'Stats 2023'!I82</f>
        <v>1</v>
      </c>
      <c r="G394" s="130">
        <f>'Stats 2023'!J82</f>
        <v>0</v>
      </c>
    </row>
    <row r="395" spans="1:7">
      <c r="A395" s="86">
        <f>'Stats 2023'!D83</f>
        <v>45296</v>
      </c>
      <c r="B395" s="130">
        <f>'Stats 2023'!E83</f>
        <v>1</v>
      </c>
      <c r="C395" s="130">
        <f>'Stats 2023'!F83</f>
        <v>1</v>
      </c>
      <c r="D395" s="130">
        <f>'Stats 2023'!G83</f>
        <v>0</v>
      </c>
      <c r="E395" s="130">
        <f>'Stats 2023'!H83</f>
        <v>1</v>
      </c>
      <c r="F395" s="130">
        <f>'Stats 2023'!I83</f>
        <v>1</v>
      </c>
      <c r="G395" s="130">
        <f>'Stats 2023'!J83</f>
        <v>1</v>
      </c>
    </row>
    <row r="396" spans="1:7">
      <c r="A396" s="86">
        <f>'Stats 2023'!D84</f>
        <v>45303</v>
      </c>
      <c r="B396" s="130">
        <f>'Stats 2023'!E84</f>
        <v>0</v>
      </c>
      <c r="C396" s="130">
        <f>'Stats 2023'!F84</f>
        <v>1</v>
      </c>
      <c r="D396" s="130">
        <f>'Stats 2023'!G84</f>
        <v>1</v>
      </c>
      <c r="E396" s="130">
        <f>'Stats 2023'!H84</f>
        <v>0</v>
      </c>
      <c r="F396" s="130">
        <f>'Stats 2023'!I84</f>
        <v>0</v>
      </c>
      <c r="G396" s="130">
        <f>'Stats 2023'!J84</f>
        <v>0</v>
      </c>
    </row>
    <row r="397" spans="1:7">
      <c r="A397" s="86">
        <f>'Stats 2023'!D85</f>
        <v>45310</v>
      </c>
      <c r="B397" s="130">
        <f>'Stats 2023'!E85</f>
        <v>0</v>
      </c>
      <c r="C397" s="130">
        <f>'Stats 2023'!F85</f>
        <v>1</v>
      </c>
      <c r="D397" s="130">
        <f>'Stats 2023'!G85</f>
        <v>0</v>
      </c>
      <c r="E397" s="130">
        <f>'Stats 2023'!H85</f>
        <v>0</v>
      </c>
      <c r="F397" s="130">
        <f>'Stats 2023'!I85</f>
        <v>1</v>
      </c>
      <c r="G397" s="130">
        <f>'Stats 2023'!J85</f>
        <v>0</v>
      </c>
    </row>
    <row r="398" spans="1:7">
      <c r="A398" s="86">
        <f>'Stats 2023'!D86</f>
        <v>0</v>
      </c>
      <c r="B398" s="130">
        <f>'Stats 2023'!E86</f>
        <v>0</v>
      </c>
      <c r="C398" s="130">
        <f>'Stats 2023'!F86</f>
        <v>0</v>
      </c>
      <c r="D398" s="130">
        <f>'Stats 2023'!G86</f>
        <v>0</v>
      </c>
      <c r="E398" s="130">
        <f>'Stats 2023'!H86</f>
        <v>0</v>
      </c>
      <c r="F398" s="130">
        <f>'Stats 2023'!I86</f>
        <v>0</v>
      </c>
      <c r="G398" s="130">
        <f>'Stats 2023'!J86</f>
        <v>0</v>
      </c>
    </row>
    <row r="399" spans="1:7">
      <c r="A399" s="86">
        <f>'Stats 2023'!D87</f>
        <v>45317</v>
      </c>
      <c r="B399" s="130">
        <f>'Stats 2023'!E87</f>
        <v>0</v>
      </c>
      <c r="C399" s="130">
        <f>'Stats 2023'!F87</f>
        <v>0</v>
      </c>
      <c r="D399" s="130">
        <f>'Stats 2023'!G87</f>
        <v>0</v>
      </c>
      <c r="E399" s="130">
        <f>'Stats 2023'!H87</f>
        <v>1</v>
      </c>
      <c r="F399" s="130">
        <f>'Stats 2023'!I87</f>
        <v>0</v>
      </c>
      <c r="G399" s="130">
        <f>'Stats 2023'!J87</f>
        <v>0</v>
      </c>
    </row>
    <row r="400" spans="1:7">
      <c r="A400" s="86">
        <f>'Stats 2023'!D88</f>
        <v>45317</v>
      </c>
      <c r="B400" s="130" t="str">
        <f>'Stats 2023'!E88</f>
        <v/>
      </c>
      <c r="C400" s="130" t="str">
        <f>'Stats 2023'!F88</f>
        <v/>
      </c>
      <c r="D400" s="130" t="str">
        <f>'Stats 2023'!G88</f>
        <v/>
      </c>
      <c r="E400" s="130">
        <f>'Stats 2023'!H88</f>
        <v>0</v>
      </c>
      <c r="F400" s="130" t="str">
        <f>'Stats 2023'!I88</f>
        <v/>
      </c>
      <c r="G400" s="130" t="str">
        <f>'Stats 2023'!J88</f>
        <v/>
      </c>
    </row>
    <row r="401" spans="1:7">
      <c r="A401" s="86">
        <f>'Stats 2023'!D89</f>
        <v>45324</v>
      </c>
      <c r="B401" s="130">
        <f>'Stats 2023'!E89</f>
        <v>0</v>
      </c>
      <c r="C401" s="130">
        <f>'Stats 2023'!F89</f>
        <v>1</v>
      </c>
      <c r="D401" s="130">
        <f>'Stats 2023'!G89</f>
        <v>1</v>
      </c>
      <c r="E401" s="130">
        <f>'Stats 2023'!H89</f>
        <v>1</v>
      </c>
      <c r="F401" s="130">
        <f>'Stats 2023'!I89</f>
        <v>1</v>
      </c>
      <c r="G401" s="130">
        <f>'Stats 2023'!J89</f>
        <v>0</v>
      </c>
    </row>
    <row r="402" spans="1:7">
      <c r="A402" s="86">
        <f>'Stats 2023'!D90</f>
        <v>45331</v>
      </c>
      <c r="B402" s="130">
        <f>'Stats 2023'!E90</f>
        <v>1</v>
      </c>
      <c r="C402" s="130">
        <f>'Stats 2023'!F90</f>
        <v>0</v>
      </c>
      <c r="D402" s="130">
        <f>'Stats 2023'!G90</f>
        <v>1</v>
      </c>
      <c r="E402" s="130">
        <f>'Stats 2023'!H90</f>
        <v>1</v>
      </c>
      <c r="F402" s="130">
        <f>'Stats 2023'!I90</f>
        <v>1</v>
      </c>
      <c r="G402" s="130">
        <f>'Stats 2023'!J90</f>
        <v>1</v>
      </c>
    </row>
  </sheetData>
  <autoFilter ref="A1:G402" xr:uid="{00000000-0009-0000-0000-000004000000}"/>
  <conditionalFormatting sqref="B86:B105">
    <cfRule type="cellIs" dxfId="182" priority="9" operator="equal">
      <formula>1</formula>
    </cfRule>
  </conditionalFormatting>
  <conditionalFormatting sqref="B181:B182">
    <cfRule type="cellIs" dxfId="181" priority="75" operator="equal">
      <formula>0</formula>
    </cfRule>
  </conditionalFormatting>
  <conditionalFormatting sqref="B185">
    <cfRule type="cellIs" dxfId="180" priority="74" operator="equal">
      <formula>0</formula>
    </cfRule>
  </conditionalFormatting>
  <conditionalFormatting sqref="B192">
    <cfRule type="cellIs" dxfId="179" priority="69" operator="equal">
      <formula>0</formula>
    </cfRule>
  </conditionalFormatting>
  <conditionalFormatting sqref="B194:B203">
    <cfRule type="cellIs" dxfId="178" priority="68" operator="equal">
      <formula>0</formula>
    </cfRule>
  </conditionalFormatting>
  <conditionalFormatting sqref="B107:C138">
    <cfRule type="cellIs" dxfId="177" priority="91" operator="equal">
      <formula>0</formula>
    </cfRule>
  </conditionalFormatting>
  <conditionalFormatting sqref="B38:G85">
    <cfRule type="cellIs" dxfId="176" priority="15" operator="equal">
      <formula>1</formula>
    </cfRule>
  </conditionalFormatting>
  <conditionalFormatting sqref="B38:G106">
    <cfRule type="cellIs" dxfId="175" priority="8" operator="equal">
      <formula>0</formula>
    </cfRule>
  </conditionalFormatting>
  <conditionalFormatting sqref="B106:G106 D107:G127 B107:B138 D128:D138 E128:G147 B139:D139">
    <cfRule type="cellIs" dxfId="174" priority="116" operator="equal">
      <formula>1</formula>
    </cfRule>
  </conditionalFormatting>
  <conditionalFormatting sqref="B204:G402">
    <cfRule type="cellIs" dxfId="173" priority="1" operator="equal">
      <formula>0</formula>
    </cfRule>
  </conditionalFormatting>
  <conditionalFormatting sqref="B266:G402">
    <cfRule type="cellIs" dxfId="172" priority="2" operator="equal">
      <formula>1</formula>
    </cfRule>
  </conditionalFormatting>
  <conditionalFormatting sqref="C86:C105">
    <cfRule type="cellIs" dxfId="171" priority="126" operator="greaterThan">
      <formula>1</formula>
    </cfRule>
  </conditionalFormatting>
  <conditionalFormatting sqref="C107:C138">
    <cfRule type="cellIs" dxfId="170" priority="92" operator="greaterThan">
      <formula>1</formula>
    </cfRule>
  </conditionalFormatting>
  <conditionalFormatting sqref="C140:C150">
    <cfRule type="cellIs" dxfId="169" priority="90" operator="greaterThan">
      <formula>1</formula>
    </cfRule>
  </conditionalFormatting>
  <conditionalFormatting sqref="C152:C162">
    <cfRule type="cellIs" dxfId="168" priority="66" operator="equal">
      <formula>0</formula>
    </cfRule>
    <cfRule type="cellIs" dxfId="167" priority="67" operator="greaterThan">
      <formula>1</formula>
    </cfRule>
  </conditionalFormatting>
  <conditionalFormatting sqref="C164:C203">
    <cfRule type="cellIs" dxfId="166" priority="60" operator="equal">
      <formula>0</formula>
    </cfRule>
    <cfRule type="cellIs" dxfId="165" priority="61" operator="greaterThan">
      <formula>1</formula>
    </cfRule>
  </conditionalFormatting>
  <conditionalFormatting sqref="C205:C219">
    <cfRule type="cellIs" dxfId="164" priority="31" operator="greaterThan">
      <formula>1</formula>
    </cfRule>
  </conditionalFormatting>
  <conditionalFormatting sqref="C221:C222">
    <cfRule type="cellIs" dxfId="163" priority="21" operator="greaterThan">
      <formula>1</formula>
    </cfRule>
  </conditionalFormatting>
  <conditionalFormatting sqref="C224:C225">
    <cfRule type="cellIs" dxfId="162" priority="19" operator="greaterThan">
      <formula>1</formula>
    </cfRule>
  </conditionalFormatting>
  <conditionalFormatting sqref="C226">
    <cfRule type="cellIs" dxfId="161" priority="17" operator="equal">
      <formula>1</formula>
    </cfRule>
  </conditionalFormatting>
  <conditionalFormatting sqref="C140:D151 B140:B178 E148:F154 G148:G167 D152:D154 D162 C163:D163 D164:D165 D166:F166 F167 F168:G169 D170:G178 D195:G203">
    <cfRule type="cellIs" dxfId="160" priority="77"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78" operator="equal">
      <formula>1</formula>
    </cfRule>
  </conditionalFormatting>
  <conditionalFormatting sqref="D186">
    <cfRule type="cellIs" dxfId="158" priority="73" operator="equal">
      <formula>0</formula>
    </cfRule>
  </conditionalFormatting>
  <conditionalFormatting sqref="D191">
    <cfRule type="cellIs" dxfId="157" priority="70" operator="equal">
      <formula>0</formula>
    </cfRule>
  </conditionalFormatting>
  <conditionalFormatting sqref="D167:E169">
    <cfRule type="cellIs" dxfId="156" priority="58" operator="equal">
      <formula>0</formula>
    </cfRule>
    <cfRule type="cellIs" dxfId="155" priority="59" operator="equal">
      <formula>1</formula>
    </cfRule>
  </conditionalFormatting>
  <conditionalFormatting sqref="D155:F161">
    <cfRule type="cellIs" dxfId="154" priority="65" operator="equal">
      <formula>1</formula>
    </cfRule>
    <cfRule type="cellIs" dxfId="153" priority="64" operator="equal">
      <formula>0</formula>
    </cfRule>
  </conditionalFormatting>
  <conditionalFormatting sqref="D86:G105">
    <cfRule type="cellIs" dxfId="152" priority="11" operator="equal">
      <formula>1</formula>
    </cfRule>
  </conditionalFormatting>
  <conditionalFormatting sqref="D107:G127 D128:D138 E128:G147 B139:D139">
    <cfRule type="cellIs" dxfId="151" priority="115" operator="equal">
      <formula>0</formula>
    </cfRule>
  </conditionalFormatting>
  <conditionalFormatting sqref="E180">
    <cfRule type="cellIs" dxfId="150" priority="57" operator="equal">
      <formula>0</formula>
    </cfRule>
  </conditionalFormatting>
  <conditionalFormatting sqref="E182:E185">
    <cfRule type="cellIs" dxfId="149" priority="53" operator="equal">
      <formula>0</formula>
    </cfRule>
  </conditionalFormatting>
  <conditionalFormatting sqref="E187:E190">
    <cfRule type="cellIs" dxfId="148" priority="49" operator="equal">
      <formula>0</formula>
    </cfRule>
  </conditionalFormatting>
  <conditionalFormatting sqref="E192:E202">
    <cfRule type="cellIs" dxfId="147" priority="48" operator="equal">
      <formula>0</formula>
    </cfRule>
  </conditionalFormatting>
  <conditionalFormatting sqref="E206">
    <cfRule type="cellIs" dxfId="146" priority="29" operator="greaterThan">
      <formula>1</formula>
    </cfRule>
  </conditionalFormatting>
  <conditionalFormatting sqref="E209:E213">
    <cfRule type="cellIs" dxfId="145" priority="27" operator="greaterThan">
      <formula>1</formula>
    </cfRule>
  </conditionalFormatting>
  <conditionalFormatting sqref="E216:E219">
    <cfRule type="cellIs" dxfId="144" priority="25" operator="greaterThan">
      <formula>1</formula>
    </cfRule>
  </conditionalFormatting>
  <conditionalFormatting sqref="E221:E223">
    <cfRule type="cellIs" dxfId="143" priority="23" operator="greaterThan">
      <formula>1</formula>
    </cfRule>
  </conditionalFormatting>
  <conditionalFormatting sqref="E162:F165">
    <cfRule type="cellIs" dxfId="142" priority="63" operator="equal">
      <formula>1</formula>
    </cfRule>
    <cfRule type="cellIs" dxfId="141" priority="62" operator="equal">
      <formula>0</formula>
    </cfRule>
  </conditionalFormatting>
  <conditionalFormatting sqref="F181">
    <cfRule type="cellIs" dxfId="140" priority="76" operator="equal">
      <formula>0</formula>
    </cfRule>
  </conditionalFormatting>
  <conditionalFormatting sqref="G183">
    <cfRule type="cellIs" dxfId="139" priority="72" operator="equal">
      <formula>0</formula>
    </cfRule>
  </conditionalFormatting>
  <conditionalFormatting sqref="G190:G192">
    <cfRule type="cellIs" dxfId="138" priority="71" operator="equal">
      <formula>0</formula>
    </cfRule>
  </conditionalFormatting>
  <conditionalFormatting sqref="T38:T371">
    <cfRule type="cellIs" dxfId="137" priority="7"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330</v>
      </c>
      <c r="B4" s="37">
        <f>B3-B2</f>
        <v>38</v>
      </c>
      <c r="C4" s="37">
        <f t="shared" ref="C4:G4" si="0">C3-C2</f>
        <v>58</v>
      </c>
      <c r="D4" s="37">
        <f t="shared" si="0"/>
        <v>48</v>
      </c>
      <c r="E4" s="37">
        <f t="shared" si="0"/>
        <v>18</v>
      </c>
      <c r="F4" s="37">
        <f t="shared" si="0"/>
        <v>66</v>
      </c>
      <c r="G4" s="37">
        <f t="shared" si="0"/>
        <v>63</v>
      </c>
    </row>
    <row r="5" spans="1:7" ht="15.45">
      <c r="A5" s="37" t="s">
        <v>331</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332</v>
      </c>
      <c r="B6" s="37">
        <v>5</v>
      </c>
      <c r="C6" s="37">
        <v>3</v>
      </c>
      <c r="D6" s="37">
        <v>4</v>
      </c>
      <c r="E6" s="37">
        <v>6</v>
      </c>
      <c r="F6" s="37">
        <v>1</v>
      </c>
      <c r="G6" s="37">
        <v>2</v>
      </c>
    </row>
    <row r="7" spans="1:7" ht="15">
      <c r="A7" s="37" t="s">
        <v>333</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306</v>
      </c>
      <c r="C1" s="161" t="s">
        <v>57</v>
      </c>
      <c r="D1" s="161" t="s">
        <v>298</v>
      </c>
      <c r="E1" s="161" t="s">
        <v>300</v>
      </c>
      <c r="F1" s="161" t="s">
        <v>299</v>
      </c>
      <c r="G1" s="161" t="s">
        <v>308</v>
      </c>
      <c r="H1" s="161" t="s">
        <v>303</v>
      </c>
      <c r="I1" s="161" t="s">
        <v>307</v>
      </c>
      <c r="J1" s="158" t="s">
        <v>301</v>
      </c>
    </row>
    <row r="2" spans="1:10">
      <c r="A2" s="156" t="s">
        <v>3</v>
      </c>
      <c r="B2" s="152">
        <v>6</v>
      </c>
      <c r="C2" s="152">
        <v>6</v>
      </c>
      <c r="D2" s="152">
        <v>6</v>
      </c>
      <c r="E2" s="152">
        <v>6</v>
      </c>
      <c r="F2" s="153">
        <f>'Executive Summary für dä JWU'!C3/'Executive Summary für dä JWU'!$C$2*6</f>
        <v>5.8550715844027366</v>
      </c>
      <c r="G2" s="152">
        <v>3</v>
      </c>
      <c r="H2" s="152">
        <v>0.25</v>
      </c>
      <c r="I2" s="153">
        <f t="shared" ref="I2:I7" si="0">AVERAGE(B2:G2)+H2</f>
        <v>5.7258452640671225</v>
      </c>
      <c r="J2" s="154" t="s">
        <v>304</v>
      </c>
    </row>
    <row r="3" spans="1:10">
      <c r="A3" s="157" t="s">
        <v>32</v>
      </c>
      <c r="B3" s="152">
        <v>1</v>
      </c>
      <c r="C3" s="152">
        <v>6</v>
      </c>
      <c r="D3" s="152">
        <v>6</v>
      </c>
      <c r="E3" s="152">
        <v>6</v>
      </c>
      <c r="F3" s="153">
        <v>6</v>
      </c>
      <c r="G3" s="152">
        <v>3</v>
      </c>
      <c r="H3" s="152">
        <v>0.5</v>
      </c>
      <c r="I3" s="153">
        <f t="shared" si="0"/>
        <v>5.166666666666667</v>
      </c>
      <c r="J3" s="154" t="s">
        <v>302</v>
      </c>
    </row>
    <row r="4" spans="1:10">
      <c r="A4" s="157" t="s">
        <v>1</v>
      </c>
      <c r="B4" s="152">
        <v>6</v>
      </c>
      <c r="C4" s="152">
        <v>4</v>
      </c>
      <c r="D4" s="152">
        <v>6</v>
      </c>
      <c r="E4" s="152">
        <v>6</v>
      </c>
      <c r="F4" s="153">
        <f>'Executive Summary für dä JWU'!C5/'Executive Summary für dä JWU'!$C$2*6</f>
        <v>4.9275351158741731</v>
      </c>
      <c r="G4" s="152">
        <v>3</v>
      </c>
      <c r="H4" s="152"/>
      <c r="I4" s="153">
        <f t="shared" si="0"/>
        <v>4.9879225193123622</v>
      </c>
      <c r="J4" s="152"/>
    </row>
    <row r="5" spans="1:10">
      <c r="A5" s="157" t="s">
        <v>2</v>
      </c>
      <c r="B5" s="152">
        <v>6</v>
      </c>
      <c r="C5" s="152">
        <v>4</v>
      </c>
      <c r="D5" s="152">
        <v>6</v>
      </c>
      <c r="E5" s="152">
        <v>3</v>
      </c>
      <c r="F5" s="153">
        <f>'Executive Summary für dä JWU'!C7/'Executive Summary für dä JWU'!$C$2*6</f>
        <v>3.2173917538323602</v>
      </c>
      <c r="G5" s="152">
        <v>3</v>
      </c>
      <c r="H5" s="152"/>
      <c r="I5" s="153">
        <f t="shared" si="0"/>
        <v>4.2028986256387268</v>
      </c>
      <c r="J5" s="152"/>
    </row>
    <row r="6" spans="1:10">
      <c r="A6" s="157" t="s">
        <v>4</v>
      </c>
      <c r="B6" s="152">
        <v>6</v>
      </c>
      <c r="C6" s="152">
        <v>2</v>
      </c>
      <c r="D6" s="152">
        <v>6</v>
      </c>
      <c r="E6" s="152">
        <v>3</v>
      </c>
      <c r="F6" s="153">
        <f>'Executive Summary für dä JWU'!C6/'Executive Summary für dä JWU'!$C$2*6</f>
        <v>3.4492747840100799</v>
      </c>
      <c r="G6" s="152">
        <v>3</v>
      </c>
      <c r="H6" s="152">
        <v>0.1</v>
      </c>
      <c r="I6" s="153">
        <f t="shared" si="0"/>
        <v>4.0082124640016801</v>
      </c>
      <c r="J6" s="154" t="s">
        <v>305</v>
      </c>
    </row>
    <row r="7" spans="1:10">
      <c r="A7" s="155" t="s">
        <v>0</v>
      </c>
      <c r="B7" s="152">
        <v>6</v>
      </c>
      <c r="C7" s="152">
        <v>1</v>
      </c>
      <c r="D7" s="152">
        <v>1</v>
      </c>
      <c r="E7" s="152">
        <v>6</v>
      </c>
      <c r="F7" s="153">
        <f>'Executive Summary für dä JWU'!C4/'Executive Summary für dä JWU'!$C$2*6</f>
        <v>5.3188369684309791</v>
      </c>
      <c r="G7" s="152">
        <v>3</v>
      </c>
      <c r="H7" s="152"/>
      <c r="I7" s="153">
        <f t="shared" si="0"/>
        <v>3.7198061614051632</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3" activePane="bottomRight" state="frozen"/>
      <selection pane="topRight" activeCell="P1" sqref="P1"/>
      <selection pane="bottomLeft" activeCell="A24" sqref="A24"/>
      <selection pane="bottomRight" activeCell="C8" sqref="C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6598.5</v>
      </c>
      <c r="U5" s="227"/>
      <c r="V5" s="228" t="s">
        <v>53</v>
      </c>
      <c r="W5" s="229"/>
      <c r="X5" s="228" t="s">
        <v>57</v>
      </c>
      <c r="Y5" s="229"/>
      <c r="Z5" s="228" t="s">
        <v>62</v>
      </c>
      <c r="AA5" s="229"/>
    </row>
    <row r="6" spans="1:27" ht="23.25" customHeight="1">
      <c r="B6" s="6"/>
      <c r="L6" s="6"/>
      <c r="V6" s="230"/>
      <c r="W6" s="231"/>
      <c r="X6" s="230"/>
      <c r="Y6" s="231"/>
      <c r="Z6" s="230"/>
      <c r="AA6" s="231"/>
    </row>
    <row r="7" spans="1:2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1"/>
      <c r="R12" s="221"/>
      <c r="S12" s="221" t="s">
        <v>18</v>
      </c>
      <c r="T12" s="221"/>
      <c r="V12" s="221" t="s">
        <v>51</v>
      </c>
      <c r="W12" s="221"/>
      <c r="X12" s="221" t="s">
        <v>360</v>
      </c>
      <c r="Y12" s="221"/>
      <c r="Z12" s="221" t="s">
        <v>64</v>
      </c>
      <c r="AA12" s="221"/>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1"/>
      <c r="R13" s="221"/>
      <c r="S13" s="221" t="s">
        <v>18</v>
      </c>
      <c r="T13" s="221"/>
      <c r="V13" s="221" t="s">
        <v>52</v>
      </c>
      <c r="W13" s="221"/>
      <c r="X13" s="236" t="s">
        <v>367</v>
      </c>
      <c r="Y13" s="236"/>
      <c r="Z13" s="221" t="s">
        <v>63</v>
      </c>
      <c r="AA13" s="221"/>
    </row>
    <row r="14" spans="1:27" ht="17.149999999999999" thickBot="1">
      <c r="B14" s="6"/>
      <c r="F14" s="63"/>
      <c r="L14" s="6"/>
      <c r="N14" s="29"/>
      <c r="O14" s="29"/>
      <c r="P14" s="29"/>
      <c r="Q14" s="238"/>
      <c r="R14" s="238"/>
      <c r="S14" s="238"/>
      <c r="T14" s="238"/>
      <c r="X14" s="237"/>
      <c r="Y14" s="237"/>
    </row>
    <row r="15" spans="1:27" ht="13.5" customHeight="1" thickBot="1">
      <c r="B15" s="6"/>
      <c r="L15" s="6"/>
      <c r="M15"/>
      <c r="Q15" s="1" t="s">
        <v>366</v>
      </c>
      <c r="S15" s="15">
        <v>1000</v>
      </c>
      <c r="V15" s="139" t="s">
        <v>125</v>
      </c>
      <c r="W15" s="140">
        <f>W16-S15</f>
        <v>5598.5</v>
      </c>
    </row>
    <row r="16" spans="1:27" ht="17.149999999999999" thickBot="1">
      <c r="B16" s="6"/>
      <c r="L16" s="6"/>
      <c r="N16" s="14" t="s">
        <v>19</v>
      </c>
      <c r="O16" s="15">
        <f>SUM(O8:O13)</f>
        <v>1240.5</v>
      </c>
      <c r="P16" s="87"/>
      <c r="Q16" s="252" t="s">
        <v>361</v>
      </c>
      <c r="R16" s="253"/>
      <c r="S16" s="15">
        <v>5358</v>
      </c>
      <c r="T16" s="1" t="s">
        <v>379</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39"/>
      <c r="D35" s="240"/>
      <c r="E35" s="240"/>
      <c r="F35" s="240"/>
      <c r="G35" s="240"/>
      <c r="H35" s="240"/>
      <c r="I35" s="240"/>
      <c r="J35" s="241"/>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345</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39"/>
      <c r="D48" s="240"/>
      <c r="E48" s="240"/>
      <c r="F48" s="240"/>
      <c r="G48" s="240"/>
      <c r="H48" s="240"/>
      <c r="I48" s="240"/>
      <c r="J48" s="241"/>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39"/>
      <c r="D59" s="240"/>
      <c r="E59" s="240"/>
      <c r="F59" s="240"/>
      <c r="G59" s="240"/>
      <c r="H59" s="240"/>
      <c r="I59" s="240"/>
      <c r="J59" s="241"/>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39"/>
      <c r="D63" s="240"/>
      <c r="E63" s="240"/>
      <c r="F63" s="240"/>
      <c r="G63" s="240"/>
      <c r="H63" s="240"/>
      <c r="I63" s="240"/>
      <c r="J63" s="241"/>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39"/>
      <c r="D65" s="240"/>
      <c r="E65" s="240"/>
      <c r="F65" s="240"/>
      <c r="G65" s="240"/>
      <c r="H65" s="240"/>
      <c r="I65" s="240"/>
      <c r="J65" s="241"/>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 t="shared" si="22"/>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C65:J65"/>
    <mergeCell ref="Q16:R16"/>
    <mergeCell ref="Q12:R12"/>
    <mergeCell ref="S12:T12"/>
    <mergeCell ref="V12:W12"/>
    <mergeCell ref="V17:V18"/>
    <mergeCell ref="C63:J63"/>
    <mergeCell ref="C59:J59"/>
    <mergeCell ref="C35:J35"/>
    <mergeCell ref="C48:J48"/>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55" zoomScaleNormal="55" zoomScaleSheetLayoutView="70" workbookViewId="0">
      <pane xSplit="14" ySplit="23" topLeftCell="O60" activePane="bottomRight" state="frozen"/>
      <selection pane="topRight" activeCell="P1" sqref="P1"/>
      <selection pane="bottomLeft" activeCell="A24" sqref="A24"/>
      <selection pane="bottomRight" activeCell="S71" sqref="S7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1:27" ht="8.25" customHeight="1"/>
    <row r="4" spans="1:27" ht="9.75" customHeight="1"/>
    <row r="5" spans="1:27" ht="21.75" customHeight="1">
      <c r="B5" s="6"/>
      <c r="C5" s="7" t="s">
        <v>13</v>
      </c>
      <c r="D5" s="8"/>
      <c r="E5" s="8"/>
      <c r="F5" s="8"/>
      <c r="G5" s="8"/>
      <c r="H5" s="8"/>
      <c r="I5" s="9"/>
      <c r="J5" s="9"/>
      <c r="L5" s="6"/>
      <c r="M5" s="31" t="s">
        <v>14</v>
      </c>
      <c r="N5" s="8"/>
      <c r="O5" s="224" t="s">
        <v>31</v>
      </c>
      <c r="P5" s="224"/>
      <c r="Q5" s="224"/>
      <c r="R5" s="224"/>
      <c r="S5" s="225"/>
      <c r="T5" s="226">
        <f>W16</f>
        <v>5382.5</v>
      </c>
      <c r="U5" s="227"/>
      <c r="V5" s="228" t="s">
        <v>53</v>
      </c>
      <c r="W5" s="229"/>
      <c r="X5" s="228" t="s">
        <v>57</v>
      </c>
      <c r="Y5" s="229"/>
      <c r="Z5" s="228" t="s">
        <v>62</v>
      </c>
      <c r="AA5" s="229"/>
    </row>
    <row r="6" spans="1:27" ht="23.25" customHeight="1">
      <c r="B6" s="6"/>
      <c r="L6" s="6"/>
      <c r="V6" s="230"/>
      <c r="W6" s="231"/>
      <c r="X6" s="230"/>
      <c r="Y6" s="231"/>
      <c r="Z6" s="230"/>
      <c r="AA6" s="231"/>
    </row>
    <row r="7" spans="1:27">
      <c r="B7" s="6"/>
      <c r="D7" s="33" t="s">
        <v>6</v>
      </c>
      <c r="E7" s="35" t="s">
        <v>7</v>
      </c>
      <c r="F7" s="35" t="s">
        <v>8</v>
      </c>
      <c r="G7" s="35" t="s">
        <v>9</v>
      </c>
      <c r="I7" s="11"/>
      <c r="J7" s="11"/>
      <c r="L7" s="6"/>
      <c r="N7" s="33" t="s">
        <v>6</v>
      </c>
      <c r="O7" s="68" t="s">
        <v>16</v>
      </c>
      <c r="P7" s="68" t="s">
        <v>17</v>
      </c>
      <c r="Q7" s="234" t="s">
        <v>26</v>
      </c>
      <c r="R7" s="234"/>
      <c r="S7" s="235" t="s">
        <v>27</v>
      </c>
      <c r="T7" s="235"/>
      <c r="U7" s="34"/>
      <c r="V7" s="232"/>
      <c r="W7" s="233"/>
      <c r="X7" s="232"/>
      <c r="Y7" s="233"/>
      <c r="Z7" s="232"/>
      <c r="AA7" s="233"/>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1"/>
      <c r="R8" s="221"/>
      <c r="S8" s="221" t="s">
        <v>18</v>
      </c>
      <c r="T8" s="221"/>
      <c r="V8" s="221" t="s">
        <v>49</v>
      </c>
      <c r="W8" s="221"/>
      <c r="X8" s="221" t="s">
        <v>59</v>
      </c>
      <c r="Y8" s="221"/>
      <c r="Z8" s="221" t="s">
        <v>66</v>
      </c>
      <c r="AA8" s="221"/>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1"/>
      <c r="R9" s="221"/>
      <c r="S9" s="221" t="s">
        <v>18</v>
      </c>
      <c r="T9" s="221"/>
      <c r="V9" s="221" t="s">
        <v>50</v>
      </c>
      <c r="W9" s="221"/>
      <c r="X9" s="221" t="s">
        <v>58</v>
      </c>
      <c r="Y9" s="221"/>
      <c r="Z9" s="221" t="s">
        <v>65</v>
      </c>
      <c r="AA9" s="221"/>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1"/>
      <c r="R10" s="221"/>
      <c r="S10" s="221" t="s">
        <v>18</v>
      </c>
      <c r="T10" s="221"/>
      <c r="V10" s="221" t="s">
        <v>49</v>
      </c>
      <c r="W10" s="221"/>
      <c r="X10" s="221" t="s">
        <v>61</v>
      </c>
      <c r="Y10" s="221"/>
      <c r="Z10" s="221" t="s">
        <v>67</v>
      </c>
      <c r="AA10" s="221"/>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1"/>
      <c r="R11" s="221"/>
      <c r="S11" s="221" t="s">
        <v>18</v>
      </c>
      <c r="T11" s="221"/>
      <c r="V11" s="221" t="s">
        <v>49</v>
      </c>
      <c r="W11" s="221"/>
      <c r="X11" s="221" t="s">
        <v>60</v>
      </c>
      <c r="Y11" s="221"/>
      <c r="Z11" s="221" t="s">
        <v>68</v>
      </c>
      <c r="AA11" s="221"/>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1"/>
      <c r="R12" s="221"/>
      <c r="S12" s="221" t="s">
        <v>18</v>
      </c>
      <c r="T12" s="221"/>
      <c r="V12" s="221" t="s">
        <v>51</v>
      </c>
      <c r="W12" s="221"/>
      <c r="X12" s="221" t="s">
        <v>84</v>
      </c>
      <c r="Y12" s="221"/>
      <c r="Z12" s="221" t="s">
        <v>64</v>
      </c>
      <c r="AA12" s="221"/>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1"/>
      <c r="R13" s="221"/>
      <c r="S13" s="221" t="s">
        <v>18</v>
      </c>
      <c r="T13" s="221"/>
      <c r="V13" s="221" t="s">
        <v>52</v>
      </c>
      <c r="W13" s="221"/>
      <c r="X13" s="236" t="s">
        <v>122</v>
      </c>
      <c r="Y13" s="236"/>
      <c r="Z13" s="221" t="s">
        <v>63</v>
      </c>
      <c r="AA13" s="221"/>
    </row>
    <row r="14" spans="1:27">
      <c r="B14" s="6"/>
      <c r="F14" s="63"/>
      <c r="L14" s="6"/>
      <c r="N14" s="29"/>
      <c r="O14" s="29"/>
      <c r="P14" s="29"/>
      <c r="Q14" s="238"/>
      <c r="R14" s="238"/>
      <c r="S14" s="238"/>
      <c r="T14" s="238"/>
      <c r="X14" s="237"/>
      <c r="Y14" s="237"/>
    </row>
    <row r="15" spans="1:27" ht="13.5" customHeight="1" thickBot="1">
      <c r="B15" s="6"/>
      <c r="L15" s="6"/>
      <c r="M15"/>
    </row>
    <row r="16" spans="1:27" ht="17.149999999999999" thickBot="1">
      <c r="B16" s="6"/>
      <c r="L16" s="6"/>
      <c r="N16" s="14" t="s">
        <v>19</v>
      </c>
      <c r="O16" s="15">
        <f>SUM(O8:O13)</f>
        <v>1432.5</v>
      </c>
      <c r="P16" s="87"/>
      <c r="Q16" s="252" t="s">
        <v>334</v>
      </c>
      <c r="R16" s="253"/>
      <c r="S16" s="15">
        <v>3950</v>
      </c>
      <c r="V16" s="139" t="s">
        <v>125</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ht="6" customHeight="1">
      <c r="B21" s="6"/>
      <c r="E21" s="2"/>
      <c r="F21" s="2"/>
      <c r="G21" s="2"/>
      <c r="H21" s="2"/>
      <c r="I21" s="2"/>
      <c r="J21" s="2"/>
      <c r="L21" s="6"/>
      <c r="O21" s="20"/>
      <c r="P21" s="20"/>
      <c r="Q21" s="20"/>
      <c r="R21" s="20"/>
      <c r="S21" s="20"/>
      <c r="T21" s="20"/>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346</v>
      </c>
      <c r="AB24" s="193" t="s">
        <v>349</v>
      </c>
      <c r="AC24" s="33" t="s">
        <v>357</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320</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321</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322</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323</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324</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319</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350</v>
      </c>
      <c r="Y31" s="191" t="s">
        <v>351</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345</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329</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329</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329</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329</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E48" sqref="E48:J4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2995.2735682739599</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1"/>
      <c r="R8" s="221"/>
      <c r="S8" s="221" t="s">
        <v>18</v>
      </c>
      <c r="T8" s="221"/>
      <c r="V8" s="221" t="s">
        <v>49</v>
      </c>
      <c r="W8" s="221"/>
      <c r="X8" s="221" t="s">
        <v>59</v>
      </c>
      <c r="Y8" s="221"/>
      <c r="Z8" s="221" t="s">
        <v>66</v>
      </c>
      <c r="AA8" s="221"/>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1"/>
      <c r="R9" s="221"/>
      <c r="S9" s="221" t="s">
        <v>18</v>
      </c>
      <c r="T9" s="221"/>
      <c r="V9" s="221" t="s">
        <v>50</v>
      </c>
      <c r="W9" s="221"/>
      <c r="X9" s="221" t="s">
        <v>58</v>
      </c>
      <c r="Y9" s="221"/>
      <c r="Z9" s="221" t="s">
        <v>65</v>
      </c>
      <c r="AA9" s="221"/>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1"/>
      <c r="R10" s="221"/>
      <c r="S10" s="221" t="s">
        <v>18</v>
      </c>
      <c r="T10" s="221"/>
      <c r="V10" s="221" t="s">
        <v>49</v>
      </c>
      <c r="W10" s="221"/>
      <c r="X10" s="221" t="s">
        <v>61</v>
      </c>
      <c r="Y10" s="221"/>
      <c r="Z10" s="221" t="s">
        <v>67</v>
      </c>
      <c r="AA10" s="221"/>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1"/>
      <c r="R11" s="221"/>
      <c r="S11" s="221" t="s">
        <v>18</v>
      </c>
      <c r="T11" s="221"/>
      <c r="V11" s="221" t="s">
        <v>49</v>
      </c>
      <c r="W11" s="221"/>
      <c r="X11" s="221" t="s">
        <v>60</v>
      </c>
      <c r="Y11" s="221"/>
      <c r="Z11" s="221" t="s">
        <v>68</v>
      </c>
      <c r="AA11" s="221"/>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1"/>
      <c r="R12" s="221"/>
      <c r="S12" s="221" t="s">
        <v>18</v>
      </c>
      <c r="T12" s="221"/>
      <c r="V12" s="221" t="s">
        <v>51</v>
      </c>
      <c r="W12" s="221"/>
      <c r="X12" s="221" t="s">
        <v>84</v>
      </c>
      <c r="Y12" s="221"/>
      <c r="Z12" s="221" t="s">
        <v>64</v>
      </c>
      <c r="AA12" s="221"/>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1"/>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1947</v>
      </c>
      <c r="P16" s="87"/>
      <c r="Q16" s="252" t="s">
        <v>334</v>
      </c>
      <c r="R16" s="253"/>
      <c r="S16" s="15">
        <f>AD31</f>
        <v>1048.2735682739599</v>
      </c>
      <c r="V16" s="139" t="s">
        <v>125</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43" t="s">
        <v>335</v>
      </c>
      <c r="X20" s="243"/>
      <c r="Y20" s="243"/>
      <c r="Z20" s="243"/>
    </row>
    <row r="21" spans="2:34" ht="6" customHeight="1">
      <c r="B21" s="6"/>
      <c r="E21" s="2"/>
      <c r="F21" s="2"/>
      <c r="G21" s="2"/>
      <c r="H21" s="2"/>
      <c r="I21" s="2"/>
      <c r="J21" s="2"/>
      <c r="L21" s="6"/>
      <c r="O21" s="20"/>
      <c r="P21" s="20"/>
      <c r="Q21" s="20"/>
      <c r="R21" s="20"/>
      <c r="S21" s="20"/>
      <c r="T21" s="20"/>
      <c r="U21" s="20"/>
      <c r="W21" s="243"/>
      <c r="X21" s="243"/>
      <c r="Y21" s="243"/>
      <c r="Z21" s="243"/>
    </row>
    <row r="22" spans="2:34">
      <c r="B22" s="6"/>
      <c r="E22" s="18">
        <v>3</v>
      </c>
      <c r="F22" s="18">
        <v>5</v>
      </c>
      <c r="G22" s="18">
        <v>6</v>
      </c>
      <c r="H22" s="18">
        <v>7</v>
      </c>
      <c r="I22" s="18">
        <v>8</v>
      </c>
      <c r="J22" s="18">
        <v>1</v>
      </c>
      <c r="L22" s="6"/>
      <c r="W22" s="243"/>
      <c r="X22" s="243"/>
      <c r="Y22" s="243"/>
      <c r="Z22" s="243"/>
      <c r="AB22" s="1" t="s">
        <v>340</v>
      </c>
    </row>
    <row r="23" spans="2:34">
      <c r="B23" s="6"/>
      <c r="C23" s="12" t="s">
        <v>10</v>
      </c>
      <c r="D23" s="10" t="s">
        <v>11</v>
      </c>
      <c r="E23" s="12" t="s">
        <v>12</v>
      </c>
      <c r="F23" s="12" t="s">
        <v>12</v>
      </c>
      <c r="G23" s="12" t="s">
        <v>12</v>
      </c>
      <c r="H23" s="12" t="s">
        <v>328</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316</v>
      </c>
      <c r="Y24" s="33" t="s">
        <v>318</v>
      </c>
      <c r="Z24" s="33" t="s">
        <v>317</v>
      </c>
      <c r="AA24" s="33" t="s">
        <v>348</v>
      </c>
      <c r="AB24" s="33" t="s">
        <v>338</v>
      </c>
      <c r="AC24" s="33" t="s">
        <v>342</v>
      </c>
      <c r="AD24" s="33" t="s">
        <v>341</v>
      </c>
      <c r="AE24" s="33" t="s">
        <v>327</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320</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321</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322</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323</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324</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319</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4" t="s">
        <v>339</v>
      </c>
      <c r="Y31" s="254"/>
      <c r="Z31" s="254"/>
      <c r="AA31" s="254"/>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346</v>
      </c>
      <c r="AB36" s="33" t="s">
        <v>347</v>
      </c>
      <c r="AC36" s="27" t="s">
        <v>345</v>
      </c>
      <c r="AD36" s="27">
        <v>100</v>
      </c>
    </row>
    <row r="37" spans="2:34">
      <c r="B37" s="6"/>
      <c r="C37" s="12"/>
      <c r="D37" s="10"/>
      <c r="E37" s="12"/>
      <c r="F37" s="12"/>
      <c r="G37" s="12"/>
      <c r="H37" s="12"/>
      <c r="I37" s="12"/>
      <c r="J37" s="12"/>
      <c r="M37" s="21">
        <v>45044</v>
      </c>
      <c r="N37" s="10" t="s">
        <v>329</v>
      </c>
      <c r="O37" s="25"/>
      <c r="P37" s="25"/>
      <c r="Q37" s="25"/>
      <c r="R37" s="25"/>
      <c r="S37" s="25"/>
      <c r="T37" s="25">
        <v>3</v>
      </c>
      <c r="U37" s="25"/>
      <c r="X37" s="10" t="s">
        <v>32</v>
      </c>
      <c r="Y37" s="167" t="s">
        <v>320</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321</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322</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323</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324</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319</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51" activePane="bottomRight" state="frozen"/>
      <selection pane="topRight" activeCell="P1" sqref="P1"/>
      <selection pane="bottomLeft" activeCell="A24" sqref="A24"/>
      <selection pane="bottomRight" activeCell="N66" sqref="N66:O67"/>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2190.92</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1" t="s">
        <v>25</v>
      </c>
      <c r="R8" s="221"/>
      <c r="S8" s="221" t="s">
        <v>18</v>
      </c>
      <c r="T8" s="221"/>
      <c r="V8" s="221" t="s">
        <v>49</v>
      </c>
      <c r="W8" s="221"/>
      <c r="X8" s="221" t="s">
        <v>59</v>
      </c>
      <c r="Y8" s="221"/>
      <c r="Z8" s="221" t="s">
        <v>66</v>
      </c>
      <c r="AA8" s="221"/>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1377.5</v>
      </c>
      <c r="P16" s="87"/>
      <c r="Q16" s="252" t="s">
        <v>30</v>
      </c>
      <c r="R16" s="253"/>
      <c r="S16" s="15">
        <v>813.42</v>
      </c>
      <c r="V16" s="139" t="s">
        <v>125</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42"/>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296</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296</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W15" sqref="W15"/>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22" t="s">
        <v>5</v>
      </c>
      <c r="D2" s="223"/>
      <c r="E2" s="223"/>
      <c r="F2" s="223"/>
      <c r="G2" s="223"/>
      <c r="H2" s="223"/>
      <c r="I2" s="223"/>
      <c r="J2" s="223"/>
      <c r="K2" s="223"/>
      <c r="L2" s="223"/>
      <c r="M2" s="223"/>
      <c r="N2" s="223"/>
      <c r="O2" s="223"/>
      <c r="P2" s="223"/>
      <c r="Q2" s="223"/>
      <c r="R2" s="223"/>
      <c r="S2" s="223"/>
      <c r="T2" s="223"/>
      <c r="U2" s="223"/>
      <c r="V2" s="223"/>
      <c r="W2" s="223"/>
      <c r="X2" s="223"/>
      <c r="Y2" s="223"/>
      <c r="Z2" s="223"/>
      <c r="AA2" s="223"/>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W16</f>
        <v>1810.68</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1" t="s">
        <v>25</v>
      </c>
      <c r="R8" s="221"/>
      <c r="S8" s="221" t="s">
        <v>18</v>
      </c>
      <c r="T8" s="221"/>
      <c r="V8" s="221" t="s">
        <v>49</v>
      </c>
      <c r="W8" s="221"/>
      <c r="X8" s="221" t="s">
        <v>59</v>
      </c>
      <c r="Y8" s="221"/>
      <c r="Z8" s="221" t="s">
        <v>66</v>
      </c>
      <c r="AA8" s="221"/>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1" t="s">
        <v>25</v>
      </c>
      <c r="R9" s="221"/>
      <c r="S9" s="221" t="s">
        <v>18</v>
      </c>
      <c r="T9" s="221"/>
      <c r="V9" s="221" t="s">
        <v>50</v>
      </c>
      <c r="W9" s="221"/>
      <c r="X9" s="221" t="s">
        <v>58</v>
      </c>
      <c r="Y9" s="221"/>
      <c r="Z9" s="221" t="s">
        <v>65</v>
      </c>
      <c r="AA9" s="221"/>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1" t="s">
        <v>25</v>
      </c>
      <c r="R10" s="221"/>
      <c r="S10" s="221" t="s">
        <v>18</v>
      </c>
      <c r="T10" s="221"/>
      <c r="V10" s="221" t="s">
        <v>49</v>
      </c>
      <c r="W10" s="221"/>
      <c r="X10" s="221" t="s">
        <v>61</v>
      </c>
      <c r="Y10" s="221"/>
      <c r="Z10" s="221" t="s">
        <v>67</v>
      </c>
      <c r="AA10" s="221"/>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f>
        <v>925</v>
      </c>
      <c r="P16" s="87"/>
      <c r="Q16" s="252" t="s">
        <v>30</v>
      </c>
      <c r="R16" s="253"/>
      <c r="S16" s="15">
        <v>885.68000000000006</v>
      </c>
      <c r="V16" s="139" t="s">
        <v>125</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42" t="s">
        <v>294</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43"/>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295</v>
      </c>
      <c r="W20" s="87">
        <v>813.42</v>
      </c>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286</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4" operator="greaterThan">
      <formula>0</formula>
    </cfRule>
    <cfRule type="cellIs" dxfId="70" priority="13" operator="equal">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60" zoomScaleNormal="60" workbookViewId="0">
      <pane xSplit="14" ySplit="23" topLeftCell="O87" activePane="bottomRight" state="frozen"/>
      <selection pane="topRight" activeCell="P1" sqref="P1"/>
      <selection pane="bottomLeft" activeCell="A24" sqref="A24"/>
      <selection pane="bottomRight" activeCell="W16" sqref="W16"/>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24" t="s">
        <v>31</v>
      </c>
      <c r="P5" s="224"/>
      <c r="Q5" s="224"/>
      <c r="R5" s="224"/>
      <c r="S5" s="225"/>
      <c r="T5" s="226">
        <f>O16+S16-O15</f>
        <v>1326.93</v>
      </c>
      <c r="U5" s="227"/>
      <c r="V5" s="228" t="s">
        <v>53</v>
      </c>
      <c r="W5" s="229"/>
      <c r="X5" s="228" t="s">
        <v>57</v>
      </c>
      <c r="Y5" s="229"/>
      <c r="Z5" s="228" t="s">
        <v>62</v>
      </c>
      <c r="AA5" s="229"/>
    </row>
    <row r="6" spans="2:27" ht="23.25" customHeight="1">
      <c r="B6" s="6"/>
      <c r="L6" s="6"/>
      <c r="V6" s="230"/>
      <c r="W6" s="231"/>
      <c r="X6" s="230"/>
      <c r="Y6" s="231"/>
      <c r="Z6" s="230"/>
      <c r="AA6" s="231"/>
    </row>
    <row r="7" spans="2:27">
      <c r="B7" s="6"/>
      <c r="D7" s="33" t="s">
        <v>6</v>
      </c>
      <c r="E7" s="35" t="s">
        <v>7</v>
      </c>
      <c r="F7" s="35" t="s">
        <v>8</v>
      </c>
      <c r="G7" s="35" t="s">
        <v>9</v>
      </c>
      <c r="H7" s="11"/>
      <c r="I7" s="11"/>
      <c r="J7" s="11"/>
      <c r="L7" s="6"/>
      <c r="N7" s="33" t="s">
        <v>6</v>
      </c>
      <c r="O7" s="68" t="s">
        <v>16</v>
      </c>
      <c r="P7" s="68" t="s">
        <v>17</v>
      </c>
      <c r="Q7" s="234" t="s">
        <v>26</v>
      </c>
      <c r="R7" s="234"/>
      <c r="S7" s="235" t="s">
        <v>27</v>
      </c>
      <c r="T7" s="235"/>
      <c r="U7" s="34"/>
      <c r="V7" s="232"/>
      <c r="W7" s="233"/>
      <c r="X7" s="232"/>
      <c r="Y7" s="233"/>
      <c r="Z7" s="232"/>
      <c r="AA7" s="233"/>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1" t="s">
        <v>25</v>
      </c>
      <c r="R8" s="221"/>
      <c r="S8" s="221" t="s">
        <v>29</v>
      </c>
      <c r="T8" s="221"/>
      <c r="V8" s="221" t="s">
        <v>49</v>
      </c>
      <c r="W8" s="221"/>
      <c r="X8" s="221" t="s">
        <v>59</v>
      </c>
      <c r="Y8" s="221"/>
      <c r="Z8" s="221" t="s">
        <v>66</v>
      </c>
      <c r="AA8" s="221"/>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1" t="s">
        <v>25</v>
      </c>
      <c r="R9" s="221"/>
      <c r="S9" s="221" t="s">
        <v>29</v>
      </c>
      <c r="T9" s="221"/>
      <c r="V9" s="221" t="s">
        <v>50</v>
      </c>
      <c r="W9" s="221"/>
      <c r="X9" s="221" t="s">
        <v>58</v>
      </c>
      <c r="Y9" s="221"/>
      <c r="Z9" s="221" t="s">
        <v>65</v>
      </c>
      <c r="AA9" s="221"/>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1" t="s">
        <v>25</v>
      </c>
      <c r="R10" s="221"/>
      <c r="S10" s="221" t="s">
        <v>28</v>
      </c>
      <c r="T10" s="221"/>
      <c r="V10" s="221" t="s">
        <v>49</v>
      </c>
      <c r="W10" s="221"/>
      <c r="X10" s="221" t="s">
        <v>61</v>
      </c>
      <c r="Y10" s="221"/>
      <c r="Z10" s="221" t="s">
        <v>67</v>
      </c>
      <c r="AA10" s="221"/>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1" t="s">
        <v>25</v>
      </c>
      <c r="R11" s="221"/>
      <c r="S11" s="221" t="s">
        <v>18</v>
      </c>
      <c r="T11" s="221"/>
      <c r="V11" s="221" t="s">
        <v>49</v>
      </c>
      <c r="W11" s="221"/>
      <c r="X11" s="221" t="s">
        <v>60</v>
      </c>
      <c r="Y11" s="221"/>
      <c r="Z11" s="221" t="s">
        <v>68</v>
      </c>
      <c r="AA11" s="221"/>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1" t="s">
        <v>25</v>
      </c>
      <c r="R12" s="221"/>
      <c r="S12" s="221" t="s">
        <v>18</v>
      </c>
      <c r="T12" s="221"/>
      <c r="V12" s="221" t="s">
        <v>51</v>
      </c>
      <c r="W12" s="221"/>
      <c r="X12" s="221" t="s">
        <v>84</v>
      </c>
      <c r="Y12" s="221"/>
      <c r="Z12" s="221" t="s">
        <v>64</v>
      </c>
      <c r="AA12" s="221"/>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1" t="s">
        <v>25</v>
      </c>
      <c r="R13" s="221"/>
      <c r="S13" s="221" t="s">
        <v>18</v>
      </c>
      <c r="T13" s="221"/>
      <c r="V13" s="221" t="s">
        <v>52</v>
      </c>
      <c r="W13" s="221"/>
      <c r="X13" s="236" t="s">
        <v>122</v>
      </c>
      <c r="Y13" s="236"/>
      <c r="Z13" s="221" t="s">
        <v>63</v>
      </c>
      <c r="AA13" s="221"/>
    </row>
    <row r="14" spans="2:27">
      <c r="B14" s="6"/>
      <c r="F14" s="63"/>
      <c r="L14" s="6"/>
      <c r="N14" s="29"/>
      <c r="O14" s="29"/>
      <c r="P14" s="29"/>
      <c r="Q14" s="238"/>
      <c r="R14" s="238"/>
      <c r="S14" s="238"/>
      <c r="T14" s="238"/>
      <c r="X14" s="237"/>
      <c r="Y14" s="237"/>
    </row>
    <row r="15" spans="2:27" ht="13.5" customHeight="1" thickBot="1">
      <c r="B15" s="6"/>
      <c r="L15" s="6"/>
    </row>
    <row r="16" spans="2:27" ht="17.149999999999999" thickBot="1">
      <c r="B16" s="6"/>
      <c r="L16" s="6"/>
      <c r="N16" s="14" t="s">
        <v>19</v>
      </c>
      <c r="O16" s="15">
        <f>SUM(O8:O13)-SUM(P8:P13)</f>
        <v>914.25</v>
      </c>
      <c r="P16" s="87"/>
      <c r="Q16" s="252" t="s">
        <v>126</v>
      </c>
      <c r="R16" s="253"/>
      <c r="S16" s="15">
        <f>112.68+SUM(P8:P13)</f>
        <v>412.68</v>
      </c>
      <c r="V16" s="139" t="s">
        <v>125</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124</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V5:W7"/>
    <mergeCell ref="V8:W8"/>
    <mergeCell ref="V9:W9"/>
    <mergeCell ref="V10:W10"/>
    <mergeCell ref="V11:W11"/>
    <mergeCell ref="Q10:R10"/>
    <mergeCell ref="Q11:R11"/>
    <mergeCell ref="V12:W12"/>
    <mergeCell ref="V13:W13"/>
    <mergeCell ref="Q12:R12"/>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5" operator="equal">
      <formula>1</formula>
    </cfRule>
    <cfRule type="cellIs" dxfId="59" priority="124" operator="equal">
      <formula>0</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1" operator="greaterThan">
      <formula>0</formula>
    </cfRule>
    <cfRule type="cellIs" dxfId="39" priority="20" operator="equal">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30" activePane="bottomRight" state="frozen"/>
      <selection pane="topRight" activeCell="P1" sqref="P1"/>
      <selection pane="bottomLeft" activeCell="A24" sqref="A24"/>
      <selection pane="bottomRight" activeCell="S16" activeCellId="1" sqref="O16 S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24" t="s">
        <v>31</v>
      </c>
      <c r="P5" s="224"/>
      <c r="Q5" s="224"/>
      <c r="R5" s="224"/>
      <c r="S5" s="225"/>
      <c r="T5" s="226">
        <f>O16+S16</f>
        <v>1395.45</v>
      </c>
      <c r="U5" s="227"/>
    </row>
    <row r="6" spans="2:21" ht="23.25" customHeight="1">
      <c r="B6" s="6"/>
      <c r="L6" s="6"/>
    </row>
    <row r="7" spans="2:21">
      <c r="B7" s="6"/>
      <c r="D7" s="33" t="s">
        <v>6</v>
      </c>
      <c r="E7" s="35" t="s">
        <v>7</v>
      </c>
      <c r="F7" s="35" t="s">
        <v>8</v>
      </c>
      <c r="G7" s="35" t="s">
        <v>9</v>
      </c>
      <c r="H7" s="11"/>
      <c r="I7" s="11"/>
      <c r="J7" s="11"/>
      <c r="L7" s="6"/>
      <c r="N7" s="33" t="s">
        <v>6</v>
      </c>
      <c r="O7" s="68" t="s">
        <v>16</v>
      </c>
      <c r="P7" s="68" t="s">
        <v>17</v>
      </c>
      <c r="Q7" s="234" t="s">
        <v>26</v>
      </c>
      <c r="R7" s="234"/>
      <c r="S7" s="235" t="s">
        <v>27</v>
      </c>
      <c r="T7" s="235"/>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1" t="s">
        <v>25</v>
      </c>
      <c r="R8" s="221"/>
      <c r="S8" s="221" t="s">
        <v>29</v>
      </c>
      <c r="T8" s="221"/>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1" t="s">
        <v>25</v>
      </c>
      <c r="R9" s="221"/>
      <c r="S9" s="221" t="s">
        <v>29</v>
      </c>
      <c r="T9" s="221"/>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1" t="s">
        <v>25</v>
      </c>
      <c r="R10" s="221"/>
      <c r="S10" s="221" t="s">
        <v>28</v>
      </c>
      <c r="T10" s="221"/>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1" t="s">
        <v>25</v>
      </c>
      <c r="R11" s="221"/>
      <c r="S11" s="221" t="s">
        <v>18</v>
      </c>
      <c r="T11" s="221"/>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1" t="s">
        <v>25</v>
      </c>
      <c r="R12" s="221"/>
      <c r="S12" s="221" t="s">
        <v>18</v>
      </c>
      <c r="T12" s="221"/>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1" t="s">
        <v>25</v>
      </c>
      <c r="R13" s="221"/>
      <c r="S13" s="221" t="s">
        <v>18</v>
      </c>
      <c r="T13" s="221"/>
    </row>
    <row r="14" spans="2:21">
      <c r="B14" s="6"/>
      <c r="F14" s="63"/>
      <c r="L14" s="6"/>
      <c r="N14" s="29"/>
      <c r="O14" s="29"/>
      <c r="P14" s="29"/>
      <c r="Q14" s="238"/>
      <c r="R14" s="238"/>
      <c r="S14" s="238"/>
      <c r="T14" s="238"/>
    </row>
    <row r="15" spans="2:21" ht="8.25" customHeight="1">
      <c r="B15" s="6"/>
      <c r="L15" s="6"/>
    </row>
    <row r="16" spans="2:21">
      <c r="B16" s="6"/>
      <c r="L16" s="6"/>
      <c r="N16" s="14" t="s">
        <v>19</v>
      </c>
      <c r="O16" s="15">
        <f>SUM(O8:O14)</f>
        <v>947.75</v>
      </c>
      <c r="Q16" s="252" t="s">
        <v>30</v>
      </c>
      <c r="R16" s="253"/>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ht="6" customHeight="1">
      <c r="B21" s="6"/>
      <c r="E21" s="2"/>
      <c r="F21" s="2"/>
      <c r="G21" s="2"/>
      <c r="H21" s="2"/>
      <c r="I21" s="2"/>
      <c r="J21" s="2"/>
      <c r="L21" s="6"/>
      <c r="O21" s="20"/>
      <c r="P21" s="20"/>
      <c r="Q21" s="20"/>
      <c r="R21" s="20"/>
      <c r="S21" s="20"/>
      <c r="T21" s="20"/>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115</v>
      </c>
      <c r="G25" s="26">
        <v>1</v>
      </c>
      <c r="H25" s="26" t="s">
        <v>115</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115</v>
      </c>
      <c r="G26" s="26">
        <v>1</v>
      </c>
      <c r="H26" s="26" t="s">
        <v>115</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115</v>
      </c>
      <c r="G27" s="26">
        <v>1</v>
      </c>
      <c r="H27" s="26" t="s">
        <v>115</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115</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115</v>
      </c>
      <c r="G29" s="26">
        <v>1</v>
      </c>
      <c r="H29" s="26" t="s">
        <v>115</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115</v>
      </c>
      <c r="G30" s="26">
        <v>1</v>
      </c>
      <c r="H30" s="26" t="s">
        <v>115</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115</v>
      </c>
      <c r="G31" s="26">
        <v>1</v>
      </c>
      <c r="H31" s="26" t="s">
        <v>115</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115</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115</v>
      </c>
      <c r="G33" s="26">
        <v>1</v>
      </c>
      <c r="H33" s="26" t="s">
        <v>115</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115</v>
      </c>
      <c r="G34" s="26">
        <v>1</v>
      </c>
      <c r="H34" s="26" t="s">
        <v>115</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115</v>
      </c>
      <c r="G35" s="26">
        <v>1</v>
      </c>
      <c r="H35" s="26" t="s">
        <v>115</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115</v>
      </c>
      <c r="G36" s="26">
        <v>1</v>
      </c>
      <c r="H36" s="26" t="s">
        <v>115</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115</v>
      </c>
      <c r="G37" s="26">
        <v>0</v>
      </c>
      <c r="H37" s="26" t="s">
        <v>115</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115</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115</v>
      </c>
      <c r="G39" s="26">
        <v>1</v>
      </c>
      <c r="H39" s="26" t="s">
        <v>115</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115</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115</v>
      </c>
      <c r="G41" s="26">
        <v>1</v>
      </c>
      <c r="H41" s="26" t="s">
        <v>115</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115</v>
      </c>
      <c r="G42" s="26">
        <v>1</v>
      </c>
      <c r="H42" s="26" t="s">
        <v>115</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115</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115</v>
      </c>
      <c r="G44" s="26">
        <v>0</v>
      </c>
      <c r="H44" s="26" t="s">
        <v>115</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115</v>
      </c>
      <c r="G47" s="26">
        <v>0</v>
      </c>
      <c r="H47" s="26" t="s">
        <v>115</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115</v>
      </c>
      <c r="G48" s="26">
        <v>0</v>
      </c>
      <c r="H48" s="26" t="s">
        <v>115</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115</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115</v>
      </c>
      <c r="G50" s="26">
        <v>1</v>
      </c>
      <c r="H50" s="26" t="s">
        <v>115</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115</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115</v>
      </c>
      <c r="G52" s="26">
        <v>1</v>
      </c>
      <c r="H52" s="26" t="s">
        <v>115</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115</v>
      </c>
      <c r="G53" s="26">
        <v>1</v>
      </c>
      <c r="H53" s="26" t="s">
        <v>115</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115</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115</v>
      </c>
      <c r="G55" s="26">
        <v>1</v>
      </c>
      <c r="H55" s="26" t="s">
        <v>115</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115</v>
      </c>
      <c r="G56" s="26">
        <v>1</v>
      </c>
      <c r="H56" s="26" t="s">
        <v>115</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115</v>
      </c>
      <c r="G58" s="26">
        <v>0</v>
      </c>
      <c r="H58" s="26" t="s">
        <v>115</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115</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115</v>
      </c>
      <c r="G60" s="26">
        <v>1</v>
      </c>
      <c r="H60" s="26" t="s">
        <v>115</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115</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115</v>
      </c>
      <c r="G62" s="26">
        <v>1</v>
      </c>
      <c r="H62" s="26" t="s">
        <v>115</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115</v>
      </c>
      <c r="G63" s="26">
        <v>1</v>
      </c>
      <c r="H63" s="26" t="s">
        <v>115</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115</v>
      </c>
      <c r="G65" s="26">
        <v>1</v>
      </c>
      <c r="H65" s="26" t="s">
        <v>115</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115</v>
      </c>
      <c r="G66" s="26">
        <v>1</v>
      </c>
      <c r="H66" s="26" t="s">
        <v>115</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115</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115</v>
      </c>
      <c r="G69" s="26">
        <v>1</v>
      </c>
      <c r="H69" s="26" t="s">
        <v>115</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115</v>
      </c>
      <c r="G70" s="26">
        <v>1</v>
      </c>
      <c r="H70" s="26" t="s">
        <v>115</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115</v>
      </c>
      <c r="G71" s="26">
        <v>1</v>
      </c>
      <c r="H71" s="26" t="s">
        <v>115</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115</v>
      </c>
      <c r="G72" s="26">
        <v>1</v>
      </c>
      <c r="H72" s="26" t="s">
        <v>115</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115</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115</v>
      </c>
      <c r="G74" s="26">
        <v>1</v>
      </c>
      <c r="H74" s="26" t="s">
        <v>115</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115</v>
      </c>
      <c r="G75" s="26">
        <v>1</v>
      </c>
      <c r="H75" s="26" t="s">
        <v>115</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115</v>
      </c>
      <c r="G76" s="26">
        <v>1</v>
      </c>
      <c r="H76" s="26" t="s">
        <v>115</v>
      </c>
      <c r="I76" s="26">
        <v>1</v>
      </c>
      <c r="J76" s="26">
        <v>1</v>
      </c>
      <c r="M76" s="21">
        <f>M75+7</f>
        <v>43840</v>
      </c>
      <c r="N76" s="10" t="s">
        <v>24</v>
      </c>
      <c r="O76" s="25">
        <v>11</v>
      </c>
      <c r="P76" s="25"/>
      <c r="Q76" s="25">
        <v>0</v>
      </c>
      <c r="R76" s="25"/>
      <c r="S76" s="25">
        <v>0</v>
      </c>
      <c r="T76" s="25">
        <v>0</v>
      </c>
      <c r="U76" s="25"/>
    </row>
  </sheetData>
  <mergeCells count="19">
    <mergeCell ref="Q16:R16"/>
    <mergeCell ref="Q12:R12"/>
    <mergeCell ref="S12:T12"/>
    <mergeCell ref="Q13:R13"/>
    <mergeCell ref="S13:T13"/>
    <mergeCell ref="Q14:R14"/>
    <mergeCell ref="S14:T14"/>
    <mergeCell ref="Q9:R9"/>
    <mergeCell ref="S9:T9"/>
    <mergeCell ref="Q10:R10"/>
    <mergeCell ref="S10:T10"/>
    <mergeCell ref="Q11:R11"/>
    <mergeCell ref="S11:T11"/>
    <mergeCell ref="O5:S5"/>
    <mergeCell ref="T5:U5"/>
    <mergeCell ref="Q7:R7"/>
    <mergeCell ref="S7:T7"/>
    <mergeCell ref="Q8:R8"/>
    <mergeCell ref="S8:T8"/>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78" activePane="bottomRight" state="frozen"/>
      <selection pane="topRight" activeCell="P1" sqref="P1"/>
      <selection pane="bottomLeft" activeCell="A24" sqref="A24"/>
      <selection pane="bottomRight" activeCell="N28" sqref="N28:O28"/>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34" t="s">
        <v>26</v>
      </c>
      <c r="S7" s="234"/>
      <c r="T7" s="235" t="s">
        <v>27</v>
      </c>
      <c r="U7" s="235"/>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1" t="s">
        <v>25</v>
      </c>
      <c r="S8" s="221"/>
      <c r="T8" s="221" t="s">
        <v>25</v>
      </c>
      <c r="U8" s="221"/>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1" t="s">
        <v>25</v>
      </c>
      <c r="S9" s="221"/>
      <c r="T9" s="221" t="s">
        <v>25</v>
      </c>
      <c r="U9" s="221"/>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1" t="s">
        <v>25</v>
      </c>
      <c r="S10" s="221"/>
      <c r="T10" s="256" t="s">
        <v>28</v>
      </c>
      <c r="U10" s="256"/>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1" t="s">
        <v>25</v>
      </c>
      <c r="S11" s="221"/>
      <c r="T11" s="221" t="s">
        <v>18</v>
      </c>
      <c r="U11" s="221"/>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1" t="s">
        <v>25</v>
      </c>
      <c r="S12" s="221"/>
      <c r="T12" s="221" t="s">
        <v>18</v>
      </c>
      <c r="U12" s="221"/>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1" t="s">
        <v>25</v>
      </c>
      <c r="S13" s="221"/>
      <c r="T13" s="221" t="s">
        <v>18</v>
      </c>
      <c r="U13" s="221"/>
      <c r="V13" s="13">
        <v>-45</v>
      </c>
      <c r="W13" s="12">
        <v>2</v>
      </c>
    </row>
    <row r="14" spans="2:23" ht="33.450000000000003">
      <c r="B14" s="6">
        <v>7</v>
      </c>
      <c r="L14" s="6"/>
      <c r="N14" s="84" t="s">
        <v>89</v>
      </c>
      <c r="O14" s="13">
        <v>53</v>
      </c>
      <c r="Q14" s="67" t="s">
        <v>18</v>
      </c>
      <c r="R14" s="255" t="s">
        <v>90</v>
      </c>
      <c r="S14" s="255"/>
      <c r="T14" s="255" t="s">
        <v>91</v>
      </c>
      <c r="U14" s="255"/>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ht="6" customHeight="1">
      <c r="B21" s="6"/>
      <c r="E21" s="2"/>
      <c r="F21" s="2"/>
      <c r="G21" s="2"/>
      <c r="H21" s="2"/>
      <c r="I21" s="2"/>
      <c r="J21" s="2"/>
      <c r="L21" s="6"/>
      <c r="O21" s="20"/>
      <c r="P21" s="20"/>
      <c r="Q21" s="20"/>
      <c r="R21" s="20"/>
      <c r="S21" s="20"/>
      <c r="T21" s="20"/>
      <c r="U21" s="20"/>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115</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115</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115</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115</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115</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115</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115</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115</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115</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115</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115</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115</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115</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115</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115</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115</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115</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115</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115</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115</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115</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115</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115</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115</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115</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115</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115</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115</v>
      </c>
      <c r="G56" s="26">
        <v>1</v>
      </c>
      <c r="H56" s="26" t="s">
        <v>115</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115</v>
      </c>
      <c r="G57" s="26">
        <v>0</v>
      </c>
      <c r="H57" s="26" t="s">
        <v>115</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115</v>
      </c>
      <c r="G58" s="26">
        <v>1</v>
      </c>
      <c r="H58" s="26" t="s">
        <v>115</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115</v>
      </c>
      <c r="G59" s="26">
        <v>1</v>
      </c>
      <c r="H59" s="26" t="s">
        <v>115</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115</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115</v>
      </c>
      <c r="G61" s="26">
        <v>1</v>
      </c>
      <c r="H61" s="26" t="s">
        <v>115</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115</v>
      </c>
      <c r="G62" s="26">
        <v>1</v>
      </c>
      <c r="H62" s="26" t="s">
        <v>115</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115</v>
      </c>
      <c r="G63" s="26">
        <v>1</v>
      </c>
      <c r="H63" s="26" t="s">
        <v>115</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115</v>
      </c>
      <c r="G65" s="26">
        <v>0</v>
      </c>
      <c r="H65" s="26" t="s">
        <v>115</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115</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115</v>
      </c>
      <c r="G67" s="26">
        <v>1</v>
      </c>
      <c r="H67" s="26" t="s">
        <v>115</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115</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115</v>
      </c>
      <c r="G69" s="26">
        <v>1</v>
      </c>
      <c r="H69" s="26" t="s">
        <v>115</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115</v>
      </c>
      <c r="G70" s="26">
        <v>0</v>
      </c>
      <c r="H70" s="26" t="s">
        <v>115</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115</v>
      </c>
      <c r="G71" s="26">
        <v>1</v>
      </c>
      <c r="H71" s="26" t="s">
        <v>115</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115</v>
      </c>
      <c r="G72" s="26">
        <v>1</v>
      </c>
      <c r="H72" s="26" t="s">
        <v>115</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115</v>
      </c>
      <c r="G73" s="26">
        <v>1</v>
      </c>
      <c r="H73" s="26" t="s">
        <v>115</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115</v>
      </c>
      <c r="G74" s="26">
        <v>1</v>
      </c>
      <c r="H74" s="26" t="s">
        <v>115</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115</v>
      </c>
      <c r="G75" s="26">
        <v>1</v>
      </c>
      <c r="H75" s="26" t="s">
        <v>115</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115</v>
      </c>
      <c r="G76" s="26">
        <v>1</v>
      </c>
      <c r="H76" s="26" t="s">
        <v>115</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115</v>
      </c>
      <c r="G77" s="26">
        <v>0</v>
      </c>
      <c r="H77" s="26" t="s">
        <v>115</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115</v>
      </c>
      <c r="G78" s="26">
        <v>1</v>
      </c>
      <c r="H78" s="26" t="s">
        <v>115</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115</v>
      </c>
      <c r="G79" s="26">
        <v>1</v>
      </c>
      <c r="H79" s="26" t="s">
        <v>115</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115</v>
      </c>
      <c r="G80" s="26">
        <v>0</v>
      </c>
      <c r="H80" s="26" t="s">
        <v>115</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115</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115</v>
      </c>
      <c r="G82" s="26">
        <v>1</v>
      </c>
      <c r="H82" s="26" t="s">
        <v>115</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115</v>
      </c>
      <c r="G84" s="26">
        <v>0</v>
      </c>
      <c r="H84" s="26" t="s">
        <v>115</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115</v>
      </c>
      <c r="G85" s="26">
        <v>1</v>
      </c>
      <c r="H85" s="26" t="s">
        <v>115</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115</v>
      </c>
      <c r="G86" s="26">
        <v>1</v>
      </c>
      <c r="H86" s="26" t="s">
        <v>115</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115</v>
      </c>
      <c r="G87" s="26">
        <v>1</v>
      </c>
      <c r="H87" s="26" t="s">
        <v>115</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115</v>
      </c>
      <c r="G88" s="26">
        <v>1</v>
      </c>
      <c r="H88" s="26" t="s">
        <v>115</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115</v>
      </c>
      <c r="G89" s="26">
        <v>0</v>
      </c>
      <c r="H89" s="26" t="s">
        <v>115</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115</v>
      </c>
      <c r="G90" s="26">
        <v>0</v>
      </c>
      <c r="H90" s="26" t="s">
        <v>115</v>
      </c>
      <c r="I90" s="26">
        <v>1</v>
      </c>
      <c r="J90" s="26">
        <v>1</v>
      </c>
      <c r="M90" s="21">
        <v>43504</v>
      </c>
      <c r="N90" s="10" t="s">
        <v>24</v>
      </c>
      <c r="O90" s="25">
        <v>0</v>
      </c>
      <c r="P90" s="25"/>
      <c r="Q90" s="25"/>
      <c r="R90" s="25">
        <v>11</v>
      </c>
      <c r="S90" s="25"/>
      <c r="T90" s="25">
        <v>0</v>
      </c>
      <c r="U90" s="25">
        <v>0</v>
      </c>
    </row>
  </sheetData>
  <mergeCells count="16">
    <mergeCell ref="R13:S13"/>
    <mergeCell ref="T13:U13"/>
    <mergeCell ref="R14:S14"/>
    <mergeCell ref="T14:U14"/>
    <mergeCell ref="R10:S10"/>
    <mergeCell ref="T10:U10"/>
    <mergeCell ref="R11:S11"/>
    <mergeCell ref="T11:U11"/>
    <mergeCell ref="R12:S12"/>
    <mergeCell ref="T12:U12"/>
    <mergeCell ref="R7:S7"/>
    <mergeCell ref="T7:U7"/>
    <mergeCell ref="R8:S8"/>
    <mergeCell ref="T8:U8"/>
    <mergeCell ref="R9:S9"/>
    <mergeCell ref="T9:U9"/>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57" activePane="bottomRight" state="frozen"/>
      <selection pane="topRight" activeCell="P1" sqref="P1"/>
      <selection pane="bottomLeft" activeCell="A24" sqref="A24"/>
      <selection pane="bottomRight" activeCell="P16" sqref="P16"/>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JWI</v>
      </c>
      <c r="E10" s="12">
        <f t="shared" ca="1" si="0"/>
        <v>37</v>
      </c>
      <c r="F10" s="125">
        <f t="shared" ca="1" si="1"/>
        <v>0.77083333333333337</v>
      </c>
      <c r="G10" s="125">
        <f t="shared" ca="1" si="4"/>
        <v>0.22916666666666663</v>
      </c>
      <c r="M10" s="6"/>
      <c r="O10" s="10" t="s">
        <v>4</v>
      </c>
      <c r="P10" s="13">
        <f>HLOOKUP(O10,$R$18:$R$20,3,FALSE)</f>
        <v>190</v>
      </c>
      <c r="Q10" s="67" t="s">
        <v>18</v>
      </c>
      <c r="X10" s="6"/>
    </row>
    <row r="11" spans="2:24">
      <c r="B11" s="6">
        <v>4</v>
      </c>
      <c r="C11" s="12">
        <f t="shared" ca="1" si="2"/>
        <v>4</v>
      </c>
      <c r="D11" s="10" t="str">
        <f t="shared" ca="1" si="3"/>
        <v>YMI</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4</v>
      </c>
      <c r="D12" s="10" t="str">
        <f t="shared" ca="1" si="3"/>
        <v>SJU</v>
      </c>
      <c r="E12" s="12">
        <f t="shared" ca="1" si="0"/>
        <v>36</v>
      </c>
      <c r="F12" s="125">
        <f t="shared" ca="1" si="1"/>
        <v>0.75</v>
      </c>
      <c r="G12" s="125">
        <f t="shared" ca="1" si="4"/>
        <v>0.25</v>
      </c>
      <c r="M12" s="6"/>
      <c r="O12" s="10" t="s">
        <v>1</v>
      </c>
      <c r="P12" s="13">
        <f>HLOOKUP(O12,$S$18:$S$20,3,FALSE)</f>
        <v>160</v>
      </c>
      <c r="Q12" s="67" t="s">
        <v>18</v>
      </c>
      <c r="X12" s="6"/>
    </row>
    <row r="13" spans="2:24">
      <c r="B13" s="6">
        <v>6</v>
      </c>
      <c r="C13" s="12">
        <f t="shared" ca="1" si="2"/>
        <v>6</v>
      </c>
      <c r="D13" s="10" t="str">
        <f t="shared" ca="1" si="3"/>
        <v>PKN</v>
      </c>
      <c r="E13" s="12">
        <f t="shared" ca="1" si="0"/>
        <v>34</v>
      </c>
      <c r="F13" s="125">
        <f t="shared" ca="1" si="1"/>
        <v>0.70833333333333337</v>
      </c>
      <c r="G13" s="125">
        <f t="shared" ca="1" si="4"/>
        <v>0.29166666666666663</v>
      </c>
      <c r="M13" s="6"/>
      <c r="O13" s="10" t="s">
        <v>22</v>
      </c>
      <c r="P13" s="13">
        <f>HLOOKUP(O13,$V$18:$V$20,3,FALSE)</f>
        <v>90</v>
      </c>
      <c r="Q13" s="67" t="s">
        <v>18</v>
      </c>
      <c r="X13" s="6"/>
    </row>
    <row r="14" spans="2:24">
      <c r="B14" s="6">
        <v>7</v>
      </c>
      <c r="C14" s="12">
        <f t="shared" ca="1" si="2"/>
        <v>7</v>
      </c>
      <c r="D14" s="10" t="str">
        <f t="shared" ca="1" si="3"/>
        <v>CBO</v>
      </c>
      <c r="E14" s="12">
        <f t="shared" ca="1" si="0"/>
        <v>14</v>
      </c>
      <c r="F14" s="125">
        <f t="shared" ca="1" si="1"/>
        <v>0.29166666666666669</v>
      </c>
      <c r="G14" s="125">
        <f t="shared" ca="1" si="4"/>
        <v>0.70833333333333326</v>
      </c>
      <c r="M14" s="6"/>
      <c r="O14" s="10" t="s">
        <v>113</v>
      </c>
      <c r="P14" s="13">
        <f>HLOOKUP(O14,$Q$18:$Q$20,3,FALSE)</f>
        <v>130</v>
      </c>
      <c r="Q14" s="67" t="s">
        <v>18</v>
      </c>
      <c r="X14" s="6"/>
    </row>
    <row r="15" spans="2:24" ht="8.25" customHeight="1">
      <c r="B15" s="6"/>
      <c r="M15" s="6"/>
      <c r="X15" s="6"/>
    </row>
    <row r="16" spans="2:24">
      <c r="B16" s="6"/>
      <c r="M16" s="6"/>
      <c r="O16" s="14" t="s">
        <v>19</v>
      </c>
      <c r="P16" s="15">
        <f>SUM(P8:P14)</f>
        <v>975</v>
      </c>
      <c r="X16" s="6"/>
    </row>
    <row r="17" spans="2:24" ht="12" customHeight="1">
      <c r="B17" s="6"/>
      <c r="E17" s="27">
        <f ca="1">RANK(E20,$E20:$K20)</f>
        <v>2</v>
      </c>
      <c r="F17" s="27">
        <f t="shared" ref="F17:K17" ca="1" si="5">RANK(F20,$E20:$K20)</f>
        <v>3</v>
      </c>
      <c r="G17" s="27">
        <f t="shared" ca="1" si="5"/>
        <v>7</v>
      </c>
      <c r="H17" s="27">
        <f t="shared" ca="1" si="5"/>
        <v>6</v>
      </c>
      <c r="I17" s="27">
        <f t="shared" ca="1" si="5"/>
        <v>4</v>
      </c>
      <c r="J17" s="27">
        <f t="shared" ca="1" si="5"/>
        <v>5</v>
      </c>
      <c r="K17" s="27">
        <f t="shared" ca="1" si="5"/>
        <v>1</v>
      </c>
      <c r="M17" s="6"/>
      <c r="V17" s="1">
        <f>COUNTA(V23:V1048576)</f>
        <v>51</v>
      </c>
      <c r="X17" s="6"/>
    </row>
    <row r="18" spans="2:24">
      <c r="B18" s="6"/>
      <c r="E18" s="16" t="s">
        <v>0</v>
      </c>
      <c r="F18" s="16" t="s">
        <v>113</v>
      </c>
      <c r="G18" s="16" t="s">
        <v>4</v>
      </c>
      <c r="H18" s="16" t="s">
        <v>1</v>
      </c>
      <c r="I18" s="16" t="s">
        <v>2</v>
      </c>
      <c r="J18" s="16" t="s">
        <v>3</v>
      </c>
      <c r="K18" s="16" t="s">
        <v>21</v>
      </c>
      <c r="M18" s="6"/>
      <c r="P18" s="16" t="s">
        <v>0</v>
      </c>
      <c r="Q18" s="16" t="s">
        <v>113</v>
      </c>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f t="shared" ca="1" si="6"/>
        <v>37.06</v>
      </c>
      <c r="G20" s="24">
        <f t="shared" ca="1" si="6"/>
        <v>14.05</v>
      </c>
      <c r="H20" s="24">
        <f t="shared" ca="1" si="6"/>
        <v>34.04</v>
      </c>
      <c r="I20" s="24">
        <f t="shared" ca="1" si="6"/>
        <v>36.03</v>
      </c>
      <c r="J20" s="24">
        <f t="shared" ca="1" si="6"/>
        <v>36.019999999999996</v>
      </c>
      <c r="K20" s="24">
        <f t="shared" ca="1" si="6"/>
        <v>41.01</v>
      </c>
      <c r="M20" s="6"/>
      <c r="P20" s="19">
        <f t="shared" ref="P20:V20" si="7">SUM(P24:P96)</f>
        <v>125</v>
      </c>
      <c r="Q20" s="19">
        <f t="shared" si="7"/>
        <v>130</v>
      </c>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v>4</v>
      </c>
      <c r="G22" s="18">
        <v>5</v>
      </c>
      <c r="H22" s="18">
        <v>6</v>
      </c>
      <c r="I22" s="18">
        <v>7</v>
      </c>
      <c r="J22" s="18">
        <v>8</v>
      </c>
      <c r="K22" s="18">
        <v>9</v>
      </c>
      <c r="M22" s="6"/>
      <c r="X22" s="6"/>
    </row>
    <row r="23" spans="2:24">
      <c r="B23" s="6"/>
      <c r="C23" s="12" t="s">
        <v>10</v>
      </c>
      <c r="D23" s="10" t="s">
        <v>11</v>
      </c>
      <c r="E23" s="12" t="s">
        <v>12</v>
      </c>
      <c r="F23" s="12" t="s">
        <v>12</v>
      </c>
      <c r="G23" s="12" t="s">
        <v>12</v>
      </c>
      <c r="H23" s="12" t="s">
        <v>12</v>
      </c>
      <c r="I23" s="12" t="s">
        <v>12</v>
      </c>
      <c r="J23" s="12" t="s">
        <v>12</v>
      </c>
      <c r="K23" s="12" t="s">
        <v>12</v>
      </c>
      <c r="M23" s="6"/>
      <c r="N23" s="67" t="s">
        <v>11</v>
      </c>
      <c r="O23" s="67" t="s">
        <v>15</v>
      </c>
      <c r="P23" s="12" t="s">
        <v>16</v>
      </c>
      <c r="Q23" s="12" t="s">
        <v>16</v>
      </c>
      <c r="R23" s="12" t="s">
        <v>16</v>
      </c>
      <c r="S23" s="12" t="s">
        <v>16</v>
      </c>
      <c r="T23" s="12" t="s">
        <v>16</v>
      </c>
      <c r="U23" s="12" t="s">
        <v>16</v>
      </c>
      <c r="V23" s="12" t="s">
        <v>16</v>
      </c>
      <c r="X23" s="6"/>
    </row>
    <row r="24" spans="2:24">
      <c r="B24" s="6"/>
      <c r="M24" s="6"/>
      <c r="N24" s="21">
        <v>42727</v>
      </c>
      <c r="O24" s="67" t="s">
        <v>20</v>
      </c>
      <c r="P24" s="25">
        <v>20</v>
      </c>
      <c r="Q24" s="25">
        <v>20</v>
      </c>
      <c r="R24" s="25">
        <v>20</v>
      </c>
      <c r="S24" s="25">
        <v>20</v>
      </c>
      <c r="T24" s="25">
        <v>20</v>
      </c>
      <c r="U24" s="25">
        <v>20</v>
      </c>
      <c r="V24" s="25">
        <v>20</v>
      </c>
      <c r="X24" s="6"/>
    </row>
    <row r="25" spans="2:24">
      <c r="B25" s="6"/>
      <c r="C25" s="12">
        <f t="shared" ref="C25:C40" ca="1" si="8">IF(D25&lt;=TODAY(),1,"")</f>
        <v>1</v>
      </c>
      <c r="D25" s="22">
        <v>42727</v>
      </c>
      <c r="E25" s="26">
        <v>1.07</v>
      </c>
      <c r="F25" s="26">
        <v>1.06</v>
      </c>
      <c r="G25" s="26">
        <v>1.05</v>
      </c>
      <c r="H25" s="26">
        <v>1.04</v>
      </c>
      <c r="I25" s="26">
        <v>1.03</v>
      </c>
      <c r="J25" s="26">
        <v>1.02</v>
      </c>
      <c r="K25" s="26">
        <v>1.01</v>
      </c>
      <c r="M25" s="6"/>
      <c r="N25" s="21">
        <v>42727</v>
      </c>
      <c r="O25" s="10" t="s">
        <v>24</v>
      </c>
      <c r="P25" s="25">
        <v>0</v>
      </c>
      <c r="Q25" s="25">
        <v>0</v>
      </c>
      <c r="R25" s="25">
        <v>0</v>
      </c>
      <c r="S25" s="25">
        <v>0</v>
      </c>
      <c r="T25" s="25">
        <v>0</v>
      </c>
      <c r="U25" s="25">
        <v>0</v>
      </c>
      <c r="V25" s="25">
        <v>0</v>
      </c>
      <c r="X25" s="6"/>
    </row>
    <row r="26" spans="2:24">
      <c r="B26" s="6"/>
      <c r="C26" s="12">
        <f t="shared" ca="1" si="8"/>
        <v>1</v>
      </c>
      <c r="D26" s="22">
        <f>D25+7</f>
        <v>42734</v>
      </c>
      <c r="E26" s="26">
        <f t="shared" ref="E26:E40" si="9">IF(P26="","",IF(P26=0,1,0))</f>
        <v>1</v>
      </c>
      <c r="F26" s="26">
        <f t="shared" ref="F26:F40" si="10">IF(Q26="","",IF(Q26=0,1,0))</f>
        <v>1</v>
      </c>
      <c r="G26" s="26">
        <f t="shared" ref="G26:G40" si="11">IF(R26="","",IF(R26=0,1,0))</f>
        <v>0</v>
      </c>
      <c r="H26" s="26">
        <f t="shared" ref="H26:H40" si="12">IF(S26="","",IF(S26=0,1,0))</f>
        <v>1</v>
      </c>
      <c r="I26" s="26">
        <f t="shared" ref="I26:I40" si="13">IF(T26="","",IF(T26=0,1,0))</f>
        <v>1</v>
      </c>
      <c r="J26" s="26">
        <f t="shared" ref="J26:J40" si="14">IF(U26="","",IF(U26=0,1,0))</f>
        <v>1</v>
      </c>
      <c r="K26" s="26">
        <f t="shared" ref="K26:K40" si="15">IF(V26="","",IF(V26=0,1,0))</f>
        <v>0</v>
      </c>
      <c r="M26" s="6"/>
      <c r="N26" s="22">
        <f>N25+7</f>
        <v>42734</v>
      </c>
      <c r="O26" s="10" t="s">
        <v>24</v>
      </c>
      <c r="P26" s="25">
        <v>0</v>
      </c>
      <c r="Q26" s="25">
        <v>0</v>
      </c>
      <c r="R26" s="25">
        <v>10</v>
      </c>
      <c r="S26" s="25">
        <v>0</v>
      </c>
      <c r="T26" s="25">
        <v>0</v>
      </c>
      <c r="U26" s="25">
        <v>0</v>
      </c>
      <c r="V26" s="25">
        <v>10</v>
      </c>
      <c r="X26" s="6"/>
    </row>
    <row r="27" spans="2:24">
      <c r="B27" s="6"/>
      <c r="C27" s="12">
        <f t="shared" ca="1" si="8"/>
        <v>1</v>
      </c>
      <c r="D27" s="22">
        <f t="shared" ref="D27:D40" si="16">D26+7</f>
        <v>42741</v>
      </c>
      <c r="E27" s="26">
        <f t="shared" si="9"/>
        <v>1</v>
      </c>
      <c r="F27" s="26">
        <f t="shared" si="10"/>
        <v>1</v>
      </c>
      <c r="G27" s="26">
        <f t="shared" si="11"/>
        <v>1</v>
      </c>
      <c r="H27" s="26">
        <f t="shared" si="12"/>
        <v>1</v>
      </c>
      <c r="I27" s="26">
        <f t="shared" si="13"/>
        <v>1</v>
      </c>
      <c r="J27" s="26">
        <f t="shared" si="14"/>
        <v>1</v>
      </c>
      <c r="K27" s="26">
        <f t="shared" si="15"/>
        <v>1</v>
      </c>
      <c r="M27" s="6"/>
      <c r="N27" s="22">
        <f t="shared" ref="N27:N40" si="17">N26+7</f>
        <v>42741</v>
      </c>
      <c r="O27" s="10" t="s">
        <v>24</v>
      </c>
      <c r="P27" s="25">
        <v>0</v>
      </c>
      <c r="Q27" s="25">
        <v>0</v>
      </c>
      <c r="R27" s="25">
        <v>0</v>
      </c>
      <c r="S27" s="25">
        <v>0</v>
      </c>
      <c r="T27" s="25">
        <v>0</v>
      </c>
      <c r="U27" s="25">
        <v>0</v>
      </c>
      <c r="V27" s="25">
        <v>0</v>
      </c>
      <c r="X27" s="6"/>
    </row>
    <row r="28" spans="2:24">
      <c r="B28" s="6"/>
      <c r="C28" s="12">
        <f t="shared" ca="1" si="8"/>
        <v>1</v>
      </c>
      <c r="D28" s="22">
        <f t="shared" si="16"/>
        <v>42748</v>
      </c>
      <c r="E28" s="26">
        <f t="shared" si="9"/>
        <v>0</v>
      </c>
      <c r="F28" s="26">
        <f t="shared" si="10"/>
        <v>1</v>
      </c>
      <c r="G28" s="26">
        <f t="shared" si="11"/>
        <v>1</v>
      </c>
      <c r="H28" s="26">
        <f t="shared" si="12"/>
        <v>1</v>
      </c>
      <c r="I28" s="26">
        <f t="shared" si="13"/>
        <v>1</v>
      </c>
      <c r="J28" s="26">
        <f t="shared" si="14"/>
        <v>1</v>
      </c>
      <c r="K28" s="26">
        <f t="shared" si="15"/>
        <v>1</v>
      </c>
      <c r="M28" s="6"/>
      <c r="N28" s="22">
        <f t="shared" si="17"/>
        <v>42748</v>
      </c>
      <c r="O28" s="10" t="s">
        <v>24</v>
      </c>
      <c r="P28" s="25">
        <v>10</v>
      </c>
      <c r="Q28" s="25">
        <v>0</v>
      </c>
      <c r="R28" s="25">
        <v>0</v>
      </c>
      <c r="S28" s="25">
        <v>0</v>
      </c>
      <c r="T28" s="25">
        <v>0</v>
      </c>
      <c r="U28" s="25">
        <v>0</v>
      </c>
      <c r="V28" s="25">
        <v>0</v>
      </c>
      <c r="X28" s="6"/>
    </row>
    <row r="29" spans="2:24">
      <c r="B29" s="6"/>
      <c r="C29" s="12">
        <f t="shared" ca="1" si="8"/>
        <v>1</v>
      </c>
      <c r="D29" s="22">
        <f t="shared" si="16"/>
        <v>42755</v>
      </c>
      <c r="E29" s="26">
        <f t="shared" si="9"/>
        <v>1</v>
      </c>
      <c r="F29" s="26">
        <f t="shared" si="10"/>
        <v>1</v>
      </c>
      <c r="G29" s="26">
        <f t="shared" si="11"/>
        <v>1</v>
      </c>
      <c r="H29" s="26">
        <f t="shared" si="12"/>
        <v>1</v>
      </c>
      <c r="I29" s="26">
        <f t="shared" si="13"/>
        <v>0</v>
      </c>
      <c r="J29" s="26">
        <f t="shared" si="14"/>
        <v>1</v>
      </c>
      <c r="K29" s="26">
        <f t="shared" si="15"/>
        <v>0</v>
      </c>
      <c r="M29" s="6"/>
      <c r="N29" s="22">
        <f t="shared" si="17"/>
        <v>42755</v>
      </c>
      <c r="O29" s="10" t="s">
        <v>24</v>
      </c>
      <c r="P29" s="25">
        <v>0</v>
      </c>
      <c r="Q29" s="25">
        <v>0</v>
      </c>
      <c r="R29" s="25">
        <v>0</v>
      </c>
      <c r="S29" s="25">
        <v>0</v>
      </c>
      <c r="T29" s="25">
        <v>10</v>
      </c>
      <c r="U29" s="25">
        <v>0</v>
      </c>
      <c r="V29" s="25">
        <v>10</v>
      </c>
      <c r="X29" s="6"/>
    </row>
    <row r="30" spans="2:24">
      <c r="B30" s="6"/>
      <c r="C30" s="12">
        <f t="shared" ca="1" si="8"/>
        <v>1</v>
      </c>
      <c r="D30" s="22">
        <f t="shared" si="16"/>
        <v>42762</v>
      </c>
      <c r="E30" s="26">
        <f t="shared" si="9"/>
        <v>1</v>
      </c>
      <c r="F30" s="26">
        <f t="shared" si="10"/>
        <v>1</v>
      </c>
      <c r="G30" s="26">
        <f t="shared" si="11"/>
        <v>1</v>
      </c>
      <c r="H30" s="26">
        <f t="shared" si="12"/>
        <v>1</v>
      </c>
      <c r="I30" s="26">
        <f t="shared" si="13"/>
        <v>1</v>
      </c>
      <c r="J30" s="26">
        <f t="shared" si="14"/>
        <v>1</v>
      </c>
      <c r="K30" s="26">
        <f t="shared" si="15"/>
        <v>1</v>
      </c>
      <c r="M30" s="6"/>
      <c r="N30" s="22">
        <f t="shared" si="17"/>
        <v>42762</v>
      </c>
      <c r="O30" s="10" t="s">
        <v>24</v>
      </c>
      <c r="P30" s="25">
        <v>0</v>
      </c>
      <c r="Q30" s="25">
        <v>0</v>
      </c>
      <c r="R30" s="25">
        <v>0</v>
      </c>
      <c r="S30" s="25">
        <v>0</v>
      </c>
      <c r="T30" s="25">
        <v>0</v>
      </c>
      <c r="U30" s="25">
        <v>0</v>
      </c>
      <c r="V30" s="25">
        <v>0</v>
      </c>
      <c r="X30" s="6"/>
    </row>
    <row r="31" spans="2:24">
      <c r="B31" s="6"/>
      <c r="C31" s="12">
        <f t="shared" ca="1" si="8"/>
        <v>1</v>
      </c>
      <c r="D31" s="22">
        <f t="shared" si="16"/>
        <v>42769</v>
      </c>
      <c r="E31" s="26">
        <f t="shared" si="9"/>
        <v>1</v>
      </c>
      <c r="F31" s="26">
        <f t="shared" si="10"/>
        <v>0</v>
      </c>
      <c r="G31" s="26">
        <f t="shared" si="11"/>
        <v>0</v>
      </c>
      <c r="H31" s="26">
        <f t="shared" si="12"/>
        <v>1</v>
      </c>
      <c r="I31" s="26">
        <f t="shared" si="13"/>
        <v>0</v>
      </c>
      <c r="J31" s="26">
        <f t="shared" si="14"/>
        <v>0</v>
      </c>
      <c r="K31" s="26">
        <f t="shared" si="15"/>
        <v>1</v>
      </c>
      <c r="M31" s="6"/>
      <c r="N31" s="22">
        <f t="shared" si="17"/>
        <v>42769</v>
      </c>
      <c r="O31" s="10" t="s">
        <v>24</v>
      </c>
      <c r="P31" s="25">
        <v>0</v>
      </c>
      <c r="Q31" s="25">
        <v>10</v>
      </c>
      <c r="R31" s="25">
        <v>10</v>
      </c>
      <c r="S31" s="25">
        <v>0</v>
      </c>
      <c r="T31" s="25">
        <v>10</v>
      </c>
      <c r="U31" s="25">
        <v>10</v>
      </c>
      <c r="V31" s="25">
        <v>0</v>
      </c>
      <c r="X31" s="6"/>
    </row>
    <row r="32" spans="2:24">
      <c r="B32" s="6"/>
      <c r="C32" s="12">
        <f t="shared" ca="1" si="8"/>
        <v>1</v>
      </c>
      <c r="D32" s="22">
        <f t="shared" si="16"/>
        <v>42776</v>
      </c>
      <c r="E32" s="26">
        <f t="shared" si="9"/>
        <v>1</v>
      </c>
      <c r="F32" s="26">
        <f t="shared" si="10"/>
        <v>1</v>
      </c>
      <c r="G32" s="26">
        <f t="shared" si="11"/>
        <v>1</v>
      </c>
      <c r="H32" s="26">
        <f t="shared" si="12"/>
        <v>0</v>
      </c>
      <c r="I32" s="26">
        <f t="shared" si="13"/>
        <v>1</v>
      </c>
      <c r="J32" s="26">
        <f t="shared" si="14"/>
        <v>1</v>
      </c>
      <c r="K32" s="26">
        <f t="shared" si="15"/>
        <v>1</v>
      </c>
      <c r="M32" s="6"/>
      <c r="N32" s="22">
        <f t="shared" si="17"/>
        <v>42776</v>
      </c>
      <c r="O32" s="10" t="s">
        <v>24</v>
      </c>
      <c r="P32" s="25">
        <v>0</v>
      </c>
      <c r="Q32" s="25">
        <v>0</v>
      </c>
      <c r="R32" s="25">
        <v>0</v>
      </c>
      <c r="S32" s="25">
        <v>10</v>
      </c>
      <c r="T32" s="25">
        <v>0</v>
      </c>
      <c r="U32" s="25">
        <v>0</v>
      </c>
      <c r="V32" s="25">
        <v>0</v>
      </c>
      <c r="X32" s="6"/>
    </row>
    <row r="33" spans="2:24">
      <c r="B33" s="6"/>
      <c r="C33" s="12">
        <f t="shared" ca="1" si="8"/>
        <v>1</v>
      </c>
      <c r="D33" s="22">
        <f t="shared" si="16"/>
        <v>42783</v>
      </c>
      <c r="E33" s="26">
        <f t="shared" si="9"/>
        <v>1</v>
      </c>
      <c r="F33" s="26">
        <f t="shared" si="10"/>
        <v>1</v>
      </c>
      <c r="G33" s="26">
        <f t="shared" si="11"/>
        <v>1</v>
      </c>
      <c r="H33" s="26">
        <f t="shared" si="12"/>
        <v>0</v>
      </c>
      <c r="I33" s="26">
        <f t="shared" si="13"/>
        <v>1</v>
      </c>
      <c r="J33" s="26">
        <f t="shared" si="14"/>
        <v>1</v>
      </c>
      <c r="K33" s="26">
        <f t="shared" si="15"/>
        <v>1</v>
      </c>
      <c r="M33" s="6"/>
      <c r="N33" s="22">
        <f t="shared" si="17"/>
        <v>42783</v>
      </c>
      <c r="O33" s="10" t="s">
        <v>24</v>
      </c>
      <c r="P33" s="25">
        <v>0</v>
      </c>
      <c r="Q33" s="25">
        <v>0</v>
      </c>
      <c r="R33" s="25">
        <v>0</v>
      </c>
      <c r="S33" s="25">
        <v>10</v>
      </c>
      <c r="T33" s="25">
        <v>0</v>
      </c>
      <c r="U33" s="25">
        <v>0</v>
      </c>
      <c r="V33" s="25">
        <v>0</v>
      </c>
      <c r="X33" s="6"/>
    </row>
    <row r="34" spans="2:24">
      <c r="B34" s="6"/>
      <c r="C34" s="12">
        <f t="shared" ca="1" si="8"/>
        <v>1</v>
      </c>
      <c r="D34" s="22">
        <f t="shared" si="16"/>
        <v>42790</v>
      </c>
      <c r="E34" s="26">
        <f t="shared" si="9"/>
        <v>1</v>
      </c>
      <c r="F34" s="26">
        <f t="shared" si="10"/>
        <v>1</v>
      </c>
      <c r="G34" s="26">
        <f t="shared" si="11"/>
        <v>1</v>
      </c>
      <c r="H34" s="26">
        <f t="shared" si="12"/>
        <v>1</v>
      </c>
      <c r="I34" s="26">
        <f t="shared" si="13"/>
        <v>1</v>
      </c>
      <c r="J34" s="26">
        <f t="shared" si="14"/>
        <v>0</v>
      </c>
      <c r="K34" s="26">
        <f t="shared" si="15"/>
        <v>1</v>
      </c>
      <c r="M34" s="6"/>
      <c r="N34" s="22">
        <f t="shared" si="17"/>
        <v>42790</v>
      </c>
      <c r="O34" s="10" t="s">
        <v>24</v>
      </c>
      <c r="P34" s="25">
        <v>0</v>
      </c>
      <c r="Q34" s="25">
        <v>0</v>
      </c>
      <c r="R34" s="25">
        <v>0</v>
      </c>
      <c r="S34" s="25">
        <v>0</v>
      </c>
      <c r="T34" s="25">
        <v>0</v>
      </c>
      <c r="U34" s="25">
        <v>10</v>
      </c>
      <c r="V34" s="25">
        <v>0</v>
      </c>
      <c r="X34" s="6"/>
    </row>
    <row r="35" spans="2:24">
      <c r="B35" s="6"/>
      <c r="C35" s="12">
        <f t="shared" ca="1" si="8"/>
        <v>1</v>
      </c>
      <c r="D35" s="22">
        <f t="shared" si="16"/>
        <v>42797</v>
      </c>
      <c r="E35" s="26">
        <f t="shared" si="9"/>
        <v>1</v>
      </c>
      <c r="F35" s="26">
        <f t="shared" si="10"/>
        <v>1</v>
      </c>
      <c r="G35" s="26">
        <f t="shared" si="11"/>
        <v>1</v>
      </c>
      <c r="H35" s="26">
        <f t="shared" si="12"/>
        <v>1</v>
      </c>
      <c r="I35" s="26">
        <f t="shared" si="13"/>
        <v>1</v>
      </c>
      <c r="J35" s="26">
        <f t="shared" si="14"/>
        <v>0</v>
      </c>
      <c r="K35" s="26">
        <f t="shared" si="15"/>
        <v>1</v>
      </c>
      <c r="M35" s="6"/>
      <c r="N35" s="22">
        <f t="shared" si="17"/>
        <v>42797</v>
      </c>
      <c r="O35" s="10" t="s">
        <v>24</v>
      </c>
      <c r="P35" s="25">
        <v>0</v>
      </c>
      <c r="Q35" s="25">
        <v>0</v>
      </c>
      <c r="R35" s="25">
        <v>0</v>
      </c>
      <c r="S35" s="25">
        <v>0</v>
      </c>
      <c r="T35" s="25">
        <v>0</v>
      </c>
      <c r="U35" s="25">
        <v>10</v>
      </c>
      <c r="V35" s="25">
        <v>0</v>
      </c>
      <c r="X35" s="6"/>
    </row>
    <row r="36" spans="2:24">
      <c r="B36" s="6"/>
      <c r="C36" s="12">
        <f t="shared" ca="1" si="8"/>
        <v>1</v>
      </c>
      <c r="D36" s="22">
        <f t="shared" si="16"/>
        <v>42804</v>
      </c>
      <c r="E36" s="26">
        <f t="shared" si="9"/>
        <v>1</v>
      </c>
      <c r="F36" s="26">
        <f t="shared" si="10"/>
        <v>1</v>
      </c>
      <c r="G36" s="26">
        <f t="shared" si="11"/>
        <v>1</v>
      </c>
      <c r="H36" s="26">
        <f t="shared" si="12"/>
        <v>0</v>
      </c>
      <c r="I36" s="26">
        <f t="shared" si="13"/>
        <v>1</v>
      </c>
      <c r="J36" s="26">
        <f t="shared" si="14"/>
        <v>1</v>
      </c>
      <c r="K36" s="26">
        <f t="shared" si="15"/>
        <v>1</v>
      </c>
      <c r="M36" s="6"/>
      <c r="N36" s="22">
        <f t="shared" si="17"/>
        <v>42804</v>
      </c>
      <c r="O36" s="10" t="s">
        <v>24</v>
      </c>
      <c r="P36" s="25">
        <v>0</v>
      </c>
      <c r="Q36" s="25">
        <v>0</v>
      </c>
      <c r="R36" s="25">
        <v>0</v>
      </c>
      <c r="S36" s="25">
        <v>10</v>
      </c>
      <c r="T36" s="25">
        <v>0</v>
      </c>
      <c r="U36" s="25">
        <v>0</v>
      </c>
      <c r="V36" s="25">
        <v>0</v>
      </c>
      <c r="X36" s="6"/>
    </row>
    <row r="37" spans="2:24">
      <c r="B37" s="6"/>
      <c r="C37" s="12">
        <f t="shared" ca="1" si="8"/>
        <v>1</v>
      </c>
      <c r="D37" s="22">
        <f t="shared" si="16"/>
        <v>42811</v>
      </c>
      <c r="E37" s="26">
        <f t="shared" si="9"/>
        <v>1</v>
      </c>
      <c r="F37" s="26">
        <f t="shared" si="10"/>
        <v>1</v>
      </c>
      <c r="G37" s="26">
        <f t="shared" si="11"/>
        <v>1</v>
      </c>
      <c r="H37" s="26">
        <f t="shared" si="12"/>
        <v>1</v>
      </c>
      <c r="I37" s="26">
        <f t="shared" si="13"/>
        <v>1</v>
      </c>
      <c r="J37" s="26">
        <f t="shared" si="14"/>
        <v>1</v>
      </c>
      <c r="K37" s="26">
        <f t="shared" si="15"/>
        <v>1</v>
      </c>
      <c r="M37" s="6"/>
      <c r="N37" s="22">
        <f t="shared" si="17"/>
        <v>42811</v>
      </c>
      <c r="O37" s="10" t="s">
        <v>24</v>
      </c>
      <c r="P37" s="25">
        <v>0</v>
      </c>
      <c r="Q37" s="25">
        <v>0</v>
      </c>
      <c r="R37" s="25">
        <v>0</v>
      </c>
      <c r="S37" s="25">
        <v>0</v>
      </c>
      <c r="T37" s="25">
        <v>0</v>
      </c>
      <c r="U37" s="25">
        <v>0</v>
      </c>
      <c r="V37" s="25">
        <v>0</v>
      </c>
      <c r="X37" s="6"/>
    </row>
    <row r="38" spans="2:24">
      <c r="B38" s="6"/>
      <c r="C38" s="12">
        <f t="shared" ca="1" si="8"/>
        <v>1</v>
      </c>
      <c r="D38" s="22">
        <f t="shared" si="16"/>
        <v>42818</v>
      </c>
      <c r="E38" s="26">
        <f t="shared" si="9"/>
        <v>1</v>
      </c>
      <c r="F38" s="26">
        <f t="shared" si="10"/>
        <v>1</v>
      </c>
      <c r="G38" s="26">
        <f t="shared" si="11"/>
        <v>1</v>
      </c>
      <c r="H38" s="26">
        <f t="shared" si="12"/>
        <v>0</v>
      </c>
      <c r="I38" s="26">
        <f t="shared" si="13"/>
        <v>1</v>
      </c>
      <c r="J38" s="26">
        <f t="shared" si="14"/>
        <v>1</v>
      </c>
      <c r="K38" s="26">
        <f t="shared" si="15"/>
        <v>1</v>
      </c>
      <c r="M38" s="6"/>
      <c r="N38" s="22">
        <f t="shared" si="17"/>
        <v>42818</v>
      </c>
      <c r="O38" s="10" t="s">
        <v>24</v>
      </c>
      <c r="P38" s="25">
        <v>0</v>
      </c>
      <c r="Q38" s="25">
        <v>0</v>
      </c>
      <c r="R38" s="25">
        <v>0</v>
      </c>
      <c r="S38" s="25">
        <v>10</v>
      </c>
      <c r="T38" s="25">
        <v>0</v>
      </c>
      <c r="U38" s="25">
        <v>0</v>
      </c>
      <c r="V38" s="25">
        <v>0</v>
      </c>
      <c r="X38" s="6"/>
    </row>
    <row r="39" spans="2:24" ht="16.5" customHeight="1">
      <c r="B39" s="6"/>
      <c r="C39" s="12">
        <f t="shared" ca="1" si="8"/>
        <v>1</v>
      </c>
      <c r="D39" s="22">
        <f t="shared" si="16"/>
        <v>42825</v>
      </c>
      <c r="E39" s="26">
        <f t="shared" si="9"/>
        <v>1</v>
      </c>
      <c r="F39" s="26">
        <f t="shared" si="10"/>
        <v>0</v>
      </c>
      <c r="G39" s="26">
        <f t="shared" si="11"/>
        <v>0</v>
      </c>
      <c r="H39" s="26">
        <f t="shared" si="12"/>
        <v>0</v>
      </c>
      <c r="I39" s="26">
        <f t="shared" si="13"/>
        <v>0</v>
      </c>
      <c r="J39" s="26">
        <f t="shared" si="14"/>
        <v>1</v>
      </c>
      <c r="K39" s="26">
        <f t="shared" si="15"/>
        <v>1</v>
      </c>
      <c r="L39" s="2"/>
      <c r="M39" s="23"/>
      <c r="N39" s="22">
        <f t="shared" si="17"/>
        <v>42825</v>
      </c>
      <c r="O39" s="10" t="s">
        <v>24</v>
      </c>
      <c r="P39" s="25">
        <v>0</v>
      </c>
      <c r="Q39" s="25">
        <v>10</v>
      </c>
      <c r="R39" s="25">
        <v>10</v>
      </c>
      <c r="S39" s="25">
        <v>10</v>
      </c>
      <c r="T39" s="25">
        <v>10</v>
      </c>
      <c r="U39" s="25">
        <v>0</v>
      </c>
      <c r="V39" s="25">
        <v>0</v>
      </c>
      <c r="W39" s="2"/>
      <c r="X39" s="23"/>
    </row>
    <row r="40" spans="2:24" ht="16.5" customHeight="1">
      <c r="B40" s="6"/>
      <c r="C40" s="12">
        <f t="shared" ca="1" si="8"/>
        <v>1</v>
      </c>
      <c r="D40" s="22">
        <f t="shared" si="16"/>
        <v>42832</v>
      </c>
      <c r="E40" s="26">
        <f t="shared" si="9"/>
        <v>0</v>
      </c>
      <c r="F40" s="26">
        <f t="shared" si="10"/>
        <v>1</v>
      </c>
      <c r="G40" s="26">
        <f t="shared" si="11"/>
        <v>0</v>
      </c>
      <c r="H40" s="26">
        <f t="shared" si="12"/>
        <v>1</v>
      </c>
      <c r="I40" s="26">
        <f t="shared" si="13"/>
        <v>1</v>
      </c>
      <c r="J40" s="26">
        <f t="shared" si="14"/>
        <v>1</v>
      </c>
      <c r="K40" s="26">
        <f t="shared" si="15"/>
        <v>1</v>
      </c>
      <c r="L40" s="2"/>
      <c r="M40" s="23"/>
      <c r="N40" s="22">
        <f t="shared" si="17"/>
        <v>42832</v>
      </c>
      <c r="O40" s="10" t="s">
        <v>24</v>
      </c>
      <c r="P40" s="25">
        <v>10</v>
      </c>
      <c r="Q40" s="25">
        <v>0</v>
      </c>
      <c r="R40" s="25">
        <v>10</v>
      </c>
      <c r="S40" s="25">
        <v>0</v>
      </c>
      <c r="T40" s="25">
        <v>0</v>
      </c>
      <c r="U40" s="25">
        <v>0</v>
      </c>
      <c r="V40" s="25">
        <v>0</v>
      </c>
      <c r="W40" s="2"/>
      <c r="X40" s="23"/>
    </row>
    <row r="41" spans="2:24" ht="16.5" customHeight="1">
      <c r="B41" s="6"/>
      <c r="M41" s="6"/>
      <c r="N41" s="22">
        <v>42846</v>
      </c>
      <c r="O41" s="10" t="s">
        <v>114</v>
      </c>
      <c r="P41" s="25">
        <v>5</v>
      </c>
      <c r="Q41" s="25">
        <v>0</v>
      </c>
      <c r="R41" s="25">
        <v>0</v>
      </c>
      <c r="S41" s="25">
        <v>0</v>
      </c>
      <c r="T41" s="25">
        <v>0</v>
      </c>
      <c r="U41" s="25">
        <v>0</v>
      </c>
      <c r="V41" s="25">
        <v>0</v>
      </c>
      <c r="X41" s="6"/>
    </row>
    <row r="42" spans="2:24" ht="16.5" customHeight="1">
      <c r="B42" s="6"/>
      <c r="C42" s="12">
        <f t="shared" ref="C42:C49" ca="1" si="18">IF(D42&lt;=TODAY(),1,"")</f>
        <v>1</v>
      </c>
      <c r="D42" s="22">
        <f>D40+14</f>
        <v>42846</v>
      </c>
      <c r="E42" s="26">
        <f t="shared" ref="E42:K46" ca="1" si="19">IF(P42="","",IF(VLOOKUP($D42,$N:$V,E$22,TRUE)=0,1,0))</f>
        <v>1</v>
      </c>
      <c r="F42" s="26">
        <f t="shared" ca="1" si="19"/>
        <v>1</v>
      </c>
      <c r="G42" s="26">
        <f t="shared" ca="1" si="19"/>
        <v>0</v>
      </c>
      <c r="H42" s="26">
        <f t="shared" ca="1" si="19"/>
        <v>1</v>
      </c>
      <c r="I42" s="26">
        <f t="shared" ca="1" si="19"/>
        <v>1</v>
      </c>
      <c r="J42" s="26">
        <f t="shared" ca="1" si="19"/>
        <v>1</v>
      </c>
      <c r="K42" s="26">
        <f t="shared" ca="1" si="19"/>
        <v>1</v>
      </c>
      <c r="M42" s="6"/>
      <c r="N42" s="22">
        <f>N40+14</f>
        <v>42846</v>
      </c>
      <c r="O42" s="10" t="s">
        <v>24</v>
      </c>
      <c r="P42" s="25">
        <v>0</v>
      </c>
      <c r="Q42" s="25">
        <v>0</v>
      </c>
      <c r="R42" s="25">
        <v>10</v>
      </c>
      <c r="S42" s="25">
        <v>0</v>
      </c>
      <c r="T42" s="25">
        <v>0</v>
      </c>
      <c r="U42" s="25">
        <v>0</v>
      </c>
      <c r="V42" s="25">
        <v>0</v>
      </c>
      <c r="X42" s="6"/>
    </row>
    <row r="43" spans="2:24" ht="16.5" customHeight="1">
      <c r="B43" s="6"/>
      <c r="C43" s="12">
        <f t="shared" ca="1" si="18"/>
        <v>1</v>
      </c>
      <c r="D43" s="22">
        <f ca="1">IF(D42="","",IF(TODAY()&gt;=D42+7,D42+7,""))</f>
        <v>42853</v>
      </c>
      <c r="E43" s="26">
        <f t="shared" ca="1" si="19"/>
        <v>1</v>
      </c>
      <c r="F43" s="26">
        <f t="shared" ca="1" si="19"/>
        <v>1</v>
      </c>
      <c r="G43" s="26">
        <f t="shared" ca="1" si="19"/>
        <v>0</v>
      </c>
      <c r="H43" s="26">
        <f t="shared" ca="1" si="19"/>
        <v>1</v>
      </c>
      <c r="I43" s="26">
        <f t="shared" ca="1" si="19"/>
        <v>1</v>
      </c>
      <c r="J43" s="26">
        <f t="shared" ca="1" si="19"/>
        <v>1</v>
      </c>
      <c r="K43" s="26">
        <f t="shared" ca="1" si="19"/>
        <v>1</v>
      </c>
      <c r="M43" s="6"/>
      <c r="N43" s="22">
        <f ca="1">IF(N42="","",IF(TODAY()&gt;=N42+7,N42+7,""))</f>
        <v>42853</v>
      </c>
      <c r="O43" s="10" t="str">
        <f ca="1">IF(N43="","","Missing Penalty")</f>
        <v>Missing Penalty</v>
      </c>
      <c r="P43" s="25">
        <v>0</v>
      </c>
      <c r="Q43" s="25">
        <v>0</v>
      </c>
      <c r="R43" s="25">
        <v>10</v>
      </c>
      <c r="S43" s="25">
        <v>0</v>
      </c>
      <c r="T43" s="25">
        <v>0</v>
      </c>
      <c r="U43" s="25">
        <v>0</v>
      </c>
      <c r="V43" s="25">
        <v>0</v>
      </c>
      <c r="X43" s="6"/>
    </row>
    <row r="44" spans="2:24" ht="16.5" customHeight="1">
      <c r="B44" s="6"/>
      <c r="C44" s="12">
        <f t="shared" ca="1" si="18"/>
        <v>1</v>
      </c>
      <c r="D44" s="22">
        <f t="shared" ref="D44:D49" ca="1" si="20">IF(D43="","",IF(TODAY()&gt;=D43+7,D43+7,""))</f>
        <v>42860</v>
      </c>
      <c r="E44" s="26">
        <f t="shared" ca="1" si="19"/>
        <v>1</v>
      </c>
      <c r="F44" s="26">
        <f t="shared" ca="1" si="19"/>
        <v>1</v>
      </c>
      <c r="G44" s="26">
        <f t="shared" ca="1" si="19"/>
        <v>0</v>
      </c>
      <c r="H44" s="26">
        <f t="shared" ca="1" si="19"/>
        <v>1</v>
      </c>
      <c r="I44" s="26">
        <f t="shared" ca="1" si="19"/>
        <v>1</v>
      </c>
      <c r="J44" s="26">
        <f t="shared" ca="1" si="19"/>
        <v>1</v>
      </c>
      <c r="K44" s="26">
        <f t="shared" ca="1" si="19"/>
        <v>1</v>
      </c>
      <c r="M44" s="6"/>
      <c r="N44" s="22">
        <f t="shared" ref="N44:N49" ca="1" si="21">IF(N43="","",IF(TODAY()&gt;=N43+7,N43+7,""))</f>
        <v>42860</v>
      </c>
      <c r="O44" s="10" t="str">
        <f t="shared" ref="O44:O73" ca="1" si="22">IF(N44="","","Missing Penalty")</f>
        <v>Missing Penalty</v>
      </c>
      <c r="P44" s="25">
        <v>0</v>
      </c>
      <c r="Q44" s="25">
        <v>0</v>
      </c>
      <c r="R44" s="25">
        <v>10</v>
      </c>
      <c r="S44" s="25">
        <v>0</v>
      </c>
      <c r="T44" s="25">
        <v>0</v>
      </c>
      <c r="U44" s="25">
        <v>0</v>
      </c>
      <c r="V44" s="25">
        <v>0</v>
      </c>
      <c r="X44" s="6"/>
    </row>
    <row r="45" spans="2:24" ht="16.5" customHeight="1">
      <c r="B45" s="6"/>
      <c r="C45" s="12">
        <f t="shared" ca="1" si="18"/>
        <v>1</v>
      </c>
      <c r="D45" s="22">
        <f t="shared" ca="1" si="20"/>
        <v>42867</v>
      </c>
      <c r="E45" s="26">
        <f t="shared" ca="1" si="19"/>
        <v>1</v>
      </c>
      <c r="F45" s="26">
        <f t="shared" ca="1" si="19"/>
        <v>0</v>
      </c>
      <c r="G45" s="26">
        <f t="shared" ca="1" si="19"/>
        <v>0</v>
      </c>
      <c r="H45" s="26">
        <f t="shared" ca="1" si="19"/>
        <v>1</v>
      </c>
      <c r="I45" s="26">
        <f t="shared" ca="1" si="19"/>
        <v>1</v>
      </c>
      <c r="J45" s="26">
        <f t="shared" ca="1" si="19"/>
        <v>1</v>
      </c>
      <c r="K45" s="26">
        <f t="shared" ca="1" si="19"/>
        <v>1</v>
      </c>
      <c r="M45" s="6"/>
      <c r="N45" s="22">
        <f t="shared" ca="1" si="21"/>
        <v>42867</v>
      </c>
      <c r="O45" s="10" t="str">
        <f ca="1">IF(N45="","","Missing Penalty")</f>
        <v>Missing Penalty</v>
      </c>
      <c r="P45" s="25">
        <v>0</v>
      </c>
      <c r="Q45" s="25">
        <v>10</v>
      </c>
      <c r="R45" s="25">
        <v>10</v>
      </c>
      <c r="S45" s="25">
        <v>0</v>
      </c>
      <c r="T45" s="25">
        <v>0</v>
      </c>
      <c r="U45" s="25">
        <v>0</v>
      </c>
      <c r="V45" s="25">
        <v>0</v>
      </c>
      <c r="X45" s="6"/>
    </row>
    <row r="46" spans="2:24" ht="16.5" customHeight="1">
      <c r="B46" s="6"/>
      <c r="C46" s="12">
        <f t="shared" ca="1" si="18"/>
        <v>1</v>
      </c>
      <c r="D46" s="22">
        <f ca="1">IF(D45="","",IF(TODAY()&gt;=D45+7,D45+7,""))</f>
        <v>42874</v>
      </c>
      <c r="E46" s="26">
        <f t="shared" ca="1" si="19"/>
        <v>1</v>
      </c>
      <c r="F46" s="26">
        <f t="shared" ca="1" si="19"/>
        <v>0</v>
      </c>
      <c r="G46" s="26">
        <f t="shared" ca="1" si="19"/>
        <v>0</v>
      </c>
      <c r="H46" s="26">
        <f t="shared" ca="1" si="19"/>
        <v>0</v>
      </c>
      <c r="I46" s="26">
        <f t="shared" ca="1" si="19"/>
        <v>1</v>
      </c>
      <c r="J46" s="26">
        <f t="shared" ca="1" si="19"/>
        <v>1</v>
      </c>
      <c r="K46" s="26">
        <f t="shared" ca="1" si="19"/>
        <v>1</v>
      </c>
      <c r="M46" s="6"/>
      <c r="N46" s="22">
        <f t="shared" ca="1" si="21"/>
        <v>42874</v>
      </c>
      <c r="O46" s="10" t="str">
        <f ca="1">IF(N46="","","Missing Penalty")</f>
        <v>Missing Penalty</v>
      </c>
      <c r="P46" s="25">
        <v>0</v>
      </c>
      <c r="Q46" s="25">
        <v>10</v>
      </c>
      <c r="R46" s="25">
        <v>10</v>
      </c>
      <c r="S46" s="25">
        <v>10</v>
      </c>
      <c r="T46" s="25">
        <v>0</v>
      </c>
      <c r="U46" s="25">
        <v>0</v>
      </c>
      <c r="V46" s="25">
        <v>0</v>
      </c>
      <c r="W46" s="1">
        <v>0</v>
      </c>
      <c r="X46" s="6"/>
    </row>
    <row r="47" spans="2:24" ht="16.5" customHeight="1">
      <c r="B47" s="6"/>
      <c r="C47" s="12">
        <f t="shared" ca="1" si="18"/>
        <v>1</v>
      </c>
      <c r="D47" s="22">
        <f t="shared" ca="1" si="20"/>
        <v>42881</v>
      </c>
      <c r="E47" s="26">
        <v>1</v>
      </c>
      <c r="F47" s="26">
        <v>1</v>
      </c>
      <c r="G47" s="26">
        <v>0</v>
      </c>
      <c r="H47" s="26">
        <v>0</v>
      </c>
      <c r="I47" s="26">
        <v>1</v>
      </c>
      <c r="J47" s="26">
        <v>0</v>
      </c>
      <c r="K47" s="26">
        <v>1</v>
      </c>
      <c r="M47" s="6"/>
      <c r="N47" s="22">
        <f t="shared" ca="1" si="21"/>
        <v>42881</v>
      </c>
      <c r="O47" s="10" t="str">
        <f t="shared" ref="O47:O56" ca="1" si="23">IF(N47="","","Missing Penalty")</f>
        <v>Missing Penalty</v>
      </c>
      <c r="P47" s="25">
        <v>0</v>
      </c>
      <c r="Q47" s="25">
        <v>0</v>
      </c>
      <c r="R47" s="25">
        <v>10</v>
      </c>
      <c r="S47" s="25">
        <v>10</v>
      </c>
      <c r="T47" s="25">
        <v>0</v>
      </c>
      <c r="U47" s="25">
        <v>10</v>
      </c>
      <c r="V47" s="25">
        <v>0</v>
      </c>
      <c r="X47" s="6"/>
    </row>
    <row r="48" spans="2:24" ht="16.5" customHeight="1">
      <c r="B48" s="6"/>
      <c r="C48" s="12">
        <f t="shared" ca="1" si="18"/>
        <v>1</v>
      </c>
      <c r="D48" s="22">
        <f t="shared" ca="1" si="20"/>
        <v>42888</v>
      </c>
      <c r="E48" s="26">
        <f t="shared" ref="E48:E73" ca="1" si="24">IF(P48="","",IF(VLOOKUP($D48,$N:$V,E$22,TRUE)=0,1,0))</f>
        <v>1</v>
      </c>
      <c r="F48" s="26">
        <f t="shared" ref="F48:F73" ca="1" si="25">IF(Q48="","",IF(VLOOKUP($D48,$N:$V,F$22,TRUE)=0,1,0))</f>
        <v>1</v>
      </c>
      <c r="G48" s="26">
        <f t="shared" ref="G48:G73" ca="1" si="26">IF(R48="","",IF(VLOOKUP($D48,$N:$V,G$22,TRUE)=0,1,0))</f>
        <v>0</v>
      </c>
      <c r="H48" s="26">
        <f t="shared" ref="H48:H73" ca="1" si="27">IF(S48="","",IF(VLOOKUP($D48,$N:$V,H$22,TRUE)=0,1,0))</f>
        <v>0</v>
      </c>
      <c r="I48" s="26">
        <f t="shared" ref="I48:I73" ca="1" si="28">IF(T48="","",IF(VLOOKUP($D48,$N:$V,I$22,TRUE)=0,1,0))</f>
        <v>1</v>
      </c>
      <c r="J48" s="26">
        <f t="shared" ref="J48:J73" ca="1" si="29">IF(U48="","",IF(VLOOKUP($D48,$N:$V,J$22,TRUE)=0,1,0))</f>
        <v>0</v>
      </c>
      <c r="K48" s="26">
        <f t="shared" ref="K48:K73" ca="1" si="30">IF(V48="","",IF(VLOOKUP($D48,$N:$V,K$22,TRUE)=0,1,0))</f>
        <v>1</v>
      </c>
      <c r="M48" s="6"/>
      <c r="N48" s="22">
        <f t="shared" ca="1" si="21"/>
        <v>42888</v>
      </c>
      <c r="O48" s="10" t="str">
        <f t="shared" ca="1" si="23"/>
        <v>Missing Penalty</v>
      </c>
      <c r="P48" s="25">
        <v>0</v>
      </c>
      <c r="Q48" s="25">
        <v>0</v>
      </c>
      <c r="R48" s="25">
        <v>10</v>
      </c>
      <c r="S48" s="25">
        <v>10</v>
      </c>
      <c r="T48" s="25">
        <v>0</v>
      </c>
      <c r="U48" s="25">
        <v>10</v>
      </c>
      <c r="V48" s="25">
        <v>0</v>
      </c>
      <c r="X48" s="6"/>
    </row>
    <row r="49" spans="2:24" ht="16.5" customHeight="1">
      <c r="B49" s="6"/>
      <c r="C49" s="12">
        <f t="shared" ca="1" si="18"/>
        <v>1</v>
      </c>
      <c r="D49" s="22">
        <f t="shared" ca="1" si="20"/>
        <v>42895</v>
      </c>
      <c r="E49" s="26">
        <f t="shared" ca="1" si="24"/>
        <v>1</v>
      </c>
      <c r="F49" s="26">
        <f t="shared" ca="1" si="25"/>
        <v>0</v>
      </c>
      <c r="G49" s="26">
        <f t="shared" ca="1" si="26"/>
        <v>0</v>
      </c>
      <c r="H49" s="26">
        <f t="shared" ca="1" si="27"/>
        <v>0</v>
      </c>
      <c r="I49" s="26">
        <f t="shared" ca="1" si="28"/>
        <v>1</v>
      </c>
      <c r="J49" s="26">
        <f t="shared" ca="1" si="29"/>
        <v>0</v>
      </c>
      <c r="K49" s="26">
        <f t="shared" ca="1" si="30"/>
        <v>1</v>
      </c>
      <c r="M49" s="6"/>
      <c r="N49" s="22">
        <f t="shared" ca="1" si="21"/>
        <v>42895</v>
      </c>
      <c r="O49" s="10" t="str">
        <f t="shared" ca="1" si="23"/>
        <v>Missing Penalty</v>
      </c>
      <c r="P49" s="25">
        <v>0</v>
      </c>
      <c r="Q49" s="25">
        <v>10</v>
      </c>
      <c r="R49" s="25">
        <v>10</v>
      </c>
      <c r="S49" s="25">
        <v>10</v>
      </c>
      <c r="T49" s="25">
        <v>0</v>
      </c>
      <c r="U49" s="25">
        <v>10</v>
      </c>
      <c r="V49" s="25">
        <v>0</v>
      </c>
      <c r="X49" s="6"/>
    </row>
    <row r="50" spans="2:24" ht="16.5" customHeight="1">
      <c r="B50" s="6"/>
      <c r="C50" s="12">
        <v>1</v>
      </c>
      <c r="D50" s="22">
        <f ca="1">D49+7</f>
        <v>42902</v>
      </c>
      <c r="E50" s="26">
        <f t="shared" ca="1" si="24"/>
        <v>1</v>
      </c>
      <c r="F50" s="26">
        <f t="shared" ca="1" si="25"/>
        <v>1</v>
      </c>
      <c r="G50" s="26">
        <f t="shared" ca="1" si="26"/>
        <v>0</v>
      </c>
      <c r="H50" s="26">
        <f t="shared" ca="1" si="27"/>
        <v>1</v>
      </c>
      <c r="I50" s="26">
        <f t="shared" ca="1" si="28"/>
        <v>0</v>
      </c>
      <c r="J50" s="26">
        <f t="shared" ca="1" si="29"/>
        <v>0</v>
      </c>
      <c r="K50" s="26">
        <f t="shared" ca="1" si="30"/>
        <v>1</v>
      </c>
      <c r="M50" s="6"/>
      <c r="N50" s="22">
        <f ca="1">N49+7</f>
        <v>42902</v>
      </c>
      <c r="O50" s="10" t="str">
        <f t="shared" ca="1" si="23"/>
        <v>Missing Penalty</v>
      </c>
      <c r="P50" s="25">
        <v>0</v>
      </c>
      <c r="Q50" s="25">
        <v>0</v>
      </c>
      <c r="R50" s="25">
        <v>10</v>
      </c>
      <c r="S50" s="25">
        <v>0</v>
      </c>
      <c r="T50" s="25">
        <v>10</v>
      </c>
      <c r="U50" s="25">
        <v>10</v>
      </c>
      <c r="V50" s="25">
        <v>0</v>
      </c>
      <c r="X50" s="6"/>
    </row>
    <row r="51" spans="2:24" ht="16.5" customHeight="1">
      <c r="B51" s="6"/>
      <c r="C51" s="12">
        <f t="shared" ref="C51:C73" ca="1" si="31">IF(D51&lt;=TODAY(),1,"")</f>
        <v>1</v>
      </c>
      <c r="D51" s="22">
        <f t="shared" ref="D51:D73" ca="1" si="32">D50+7</f>
        <v>42909</v>
      </c>
      <c r="E51" s="26">
        <f t="shared" ca="1" si="24"/>
        <v>1</v>
      </c>
      <c r="F51" s="26">
        <f t="shared" ca="1" si="25"/>
        <v>0</v>
      </c>
      <c r="G51" s="26">
        <f t="shared" ca="1" si="26"/>
        <v>0</v>
      </c>
      <c r="H51" s="26">
        <f t="shared" ca="1" si="27"/>
        <v>1</v>
      </c>
      <c r="I51" s="26">
        <f t="shared" ca="1" si="28"/>
        <v>1</v>
      </c>
      <c r="J51" s="26">
        <f t="shared" ca="1" si="29"/>
        <v>0</v>
      </c>
      <c r="K51" s="26">
        <f t="shared" ca="1" si="30"/>
        <v>0</v>
      </c>
      <c r="M51" s="6"/>
      <c r="N51" s="22">
        <f t="shared" ref="N51:N73" ca="1" si="33">N50+7</f>
        <v>42909</v>
      </c>
      <c r="O51" s="10" t="str">
        <f t="shared" ca="1" si="23"/>
        <v>Missing Penalty</v>
      </c>
      <c r="P51" s="25">
        <v>0</v>
      </c>
      <c r="Q51" s="25">
        <v>10</v>
      </c>
      <c r="R51" s="25">
        <v>10</v>
      </c>
      <c r="S51" s="25">
        <v>0</v>
      </c>
      <c r="T51" s="25">
        <v>0</v>
      </c>
      <c r="U51" s="25">
        <v>10</v>
      </c>
      <c r="V51" s="25">
        <v>10</v>
      </c>
      <c r="X51" s="6"/>
    </row>
    <row r="52" spans="2:24" ht="16.5" customHeight="1">
      <c r="B52" s="6"/>
      <c r="C52" s="12">
        <f t="shared" ca="1" si="31"/>
        <v>1</v>
      </c>
      <c r="D52" s="22">
        <f t="shared" ca="1" si="32"/>
        <v>42916</v>
      </c>
      <c r="E52" s="26">
        <f t="shared" ca="1" si="24"/>
        <v>1</v>
      </c>
      <c r="F52" s="26">
        <f t="shared" ca="1" si="25"/>
        <v>1</v>
      </c>
      <c r="G52" s="26">
        <f t="shared" ca="1" si="26"/>
        <v>0</v>
      </c>
      <c r="H52" s="26">
        <f t="shared" ca="1" si="27"/>
        <v>1</v>
      </c>
      <c r="I52" s="26">
        <f t="shared" ca="1" si="28"/>
        <v>1</v>
      </c>
      <c r="J52" s="26">
        <f t="shared" ca="1" si="29"/>
        <v>1</v>
      </c>
      <c r="K52" s="26">
        <f t="shared" ca="1" si="30"/>
        <v>0</v>
      </c>
      <c r="M52" s="6"/>
      <c r="N52" s="22">
        <f t="shared" ca="1" si="33"/>
        <v>42916</v>
      </c>
      <c r="O52" s="10" t="str">
        <f t="shared" ca="1" si="23"/>
        <v>Missing Penalty</v>
      </c>
      <c r="P52" s="25">
        <v>0</v>
      </c>
      <c r="Q52" s="25">
        <v>0</v>
      </c>
      <c r="R52" s="25">
        <v>10</v>
      </c>
      <c r="S52" s="25">
        <v>0</v>
      </c>
      <c r="T52" s="25">
        <v>0</v>
      </c>
      <c r="U52" s="25">
        <v>0</v>
      </c>
      <c r="V52" s="25">
        <v>10</v>
      </c>
      <c r="X52" s="6"/>
    </row>
    <row r="53" spans="2:24" ht="16.5" customHeight="1">
      <c r="B53" s="6"/>
      <c r="C53" s="12">
        <f t="shared" ca="1" si="31"/>
        <v>1</v>
      </c>
      <c r="D53" s="22">
        <f t="shared" ca="1" si="32"/>
        <v>42923</v>
      </c>
      <c r="E53" s="26">
        <f t="shared" ca="1" si="24"/>
        <v>1</v>
      </c>
      <c r="F53" s="26">
        <f t="shared" ca="1" si="25"/>
        <v>1</v>
      </c>
      <c r="G53" s="26">
        <f t="shared" ca="1" si="26"/>
        <v>0</v>
      </c>
      <c r="H53" s="26">
        <f t="shared" ca="1" si="27"/>
        <v>1</v>
      </c>
      <c r="I53" s="26">
        <f t="shared" ca="1" si="28"/>
        <v>1</v>
      </c>
      <c r="J53" s="26">
        <f t="shared" ca="1" si="29"/>
        <v>1</v>
      </c>
      <c r="K53" s="26">
        <f t="shared" ca="1" si="30"/>
        <v>0</v>
      </c>
      <c r="M53" s="6"/>
      <c r="N53" s="22">
        <f t="shared" ca="1" si="33"/>
        <v>42923</v>
      </c>
      <c r="O53" s="10" t="str">
        <f t="shared" ca="1" si="23"/>
        <v>Missing Penalty</v>
      </c>
      <c r="P53" s="25">
        <v>0</v>
      </c>
      <c r="Q53" s="25">
        <v>0</v>
      </c>
      <c r="R53" s="25">
        <v>10</v>
      </c>
      <c r="S53" s="25">
        <v>0</v>
      </c>
      <c r="T53" s="25">
        <v>0</v>
      </c>
      <c r="U53" s="25">
        <v>0</v>
      </c>
      <c r="V53" s="25">
        <v>10</v>
      </c>
      <c r="X53" s="6"/>
    </row>
    <row r="54" spans="2:24" ht="16.5" customHeight="1">
      <c r="B54" s="6"/>
      <c r="C54" s="12">
        <f t="shared" ca="1" si="31"/>
        <v>1</v>
      </c>
      <c r="D54" s="22">
        <f t="shared" ca="1" si="32"/>
        <v>42930</v>
      </c>
      <c r="E54" s="26">
        <f t="shared" ca="1" si="24"/>
        <v>1</v>
      </c>
      <c r="F54" s="26">
        <f t="shared" ca="1" si="25"/>
        <v>1</v>
      </c>
      <c r="G54" s="26">
        <f t="shared" ca="1" si="26"/>
        <v>0</v>
      </c>
      <c r="H54" s="26">
        <f t="shared" ca="1" si="27"/>
        <v>1</v>
      </c>
      <c r="I54" s="26">
        <f t="shared" ca="1" si="28"/>
        <v>1</v>
      </c>
      <c r="J54" s="26">
        <f t="shared" ca="1" si="29"/>
        <v>1</v>
      </c>
      <c r="K54" s="26">
        <f t="shared" ca="1" si="30"/>
        <v>1</v>
      </c>
      <c r="M54" s="6"/>
      <c r="N54" s="22">
        <f t="shared" ca="1" si="33"/>
        <v>42930</v>
      </c>
      <c r="O54" s="10" t="str">
        <f t="shared" ca="1" si="23"/>
        <v>Missing Penalty</v>
      </c>
      <c r="P54" s="25">
        <v>0</v>
      </c>
      <c r="Q54" s="25">
        <v>0</v>
      </c>
      <c r="R54" s="25">
        <v>10</v>
      </c>
      <c r="S54" s="25">
        <v>0</v>
      </c>
      <c r="T54" s="25">
        <v>0</v>
      </c>
      <c r="U54" s="25">
        <v>0</v>
      </c>
      <c r="V54" s="25">
        <v>0</v>
      </c>
      <c r="X54" s="6"/>
    </row>
    <row r="55" spans="2:24" ht="16.5" customHeight="1">
      <c r="B55" s="6"/>
      <c r="C55" s="12">
        <f t="shared" ca="1" si="31"/>
        <v>1</v>
      </c>
      <c r="D55" s="22">
        <f t="shared" ca="1" si="32"/>
        <v>42937</v>
      </c>
      <c r="E55" s="26">
        <f t="shared" ca="1" si="24"/>
        <v>0</v>
      </c>
      <c r="F55" s="26">
        <f t="shared" ca="1" si="25"/>
        <v>1</v>
      </c>
      <c r="G55" s="26" t="str">
        <f t="shared" si="26"/>
        <v/>
      </c>
      <c r="H55" s="26">
        <f t="shared" ca="1" si="27"/>
        <v>1</v>
      </c>
      <c r="I55" s="26">
        <f t="shared" ca="1" si="28"/>
        <v>0</v>
      </c>
      <c r="J55" s="26">
        <f t="shared" ca="1" si="29"/>
        <v>1</v>
      </c>
      <c r="K55" s="26">
        <f t="shared" ca="1" si="30"/>
        <v>1</v>
      </c>
      <c r="M55" s="6"/>
      <c r="N55" s="22">
        <f t="shared" ca="1" si="33"/>
        <v>42937</v>
      </c>
      <c r="O55" s="10" t="str">
        <f t="shared" ca="1" si="23"/>
        <v>Missing Penalty</v>
      </c>
      <c r="P55" s="25">
        <v>10</v>
      </c>
      <c r="Q55" s="25">
        <v>0</v>
      </c>
      <c r="R55" s="25"/>
      <c r="S55" s="25">
        <v>0</v>
      </c>
      <c r="T55" s="25">
        <v>10</v>
      </c>
      <c r="U55" s="25">
        <v>0</v>
      </c>
      <c r="V55" s="25">
        <v>0</v>
      </c>
      <c r="X55" s="6"/>
    </row>
    <row r="56" spans="2:24" ht="16.5" customHeight="1">
      <c r="B56" s="6"/>
      <c r="C56" s="12">
        <f t="shared" ca="1" si="31"/>
        <v>1</v>
      </c>
      <c r="D56" s="22">
        <f t="shared" ca="1" si="32"/>
        <v>42944</v>
      </c>
      <c r="E56" s="26">
        <f t="shared" ca="1" si="24"/>
        <v>0</v>
      </c>
      <c r="F56" s="26">
        <f t="shared" ca="1" si="25"/>
        <v>1</v>
      </c>
      <c r="G56" s="26" t="str">
        <f t="shared" si="26"/>
        <v/>
      </c>
      <c r="H56" s="26">
        <f t="shared" ca="1" si="27"/>
        <v>1</v>
      </c>
      <c r="I56" s="26">
        <f t="shared" ca="1" si="28"/>
        <v>0</v>
      </c>
      <c r="J56" s="26">
        <f t="shared" ca="1" si="29"/>
        <v>1</v>
      </c>
      <c r="K56" s="26">
        <f t="shared" ca="1" si="30"/>
        <v>1</v>
      </c>
      <c r="M56" s="6"/>
      <c r="N56" s="22">
        <f t="shared" ca="1" si="33"/>
        <v>42944</v>
      </c>
      <c r="O56" s="10" t="str">
        <f t="shared" ca="1" si="23"/>
        <v>Missing Penalty</v>
      </c>
      <c r="P56" s="25">
        <v>10</v>
      </c>
      <c r="Q56" s="25">
        <v>0</v>
      </c>
      <c r="R56" s="25"/>
      <c r="S56" s="25">
        <v>0</v>
      </c>
      <c r="T56" s="25">
        <v>10</v>
      </c>
      <c r="U56" s="25">
        <v>0</v>
      </c>
      <c r="V56" s="25">
        <v>0</v>
      </c>
      <c r="X56" s="6"/>
    </row>
    <row r="57" spans="2:24" ht="16.5" customHeight="1">
      <c r="B57" s="6"/>
      <c r="C57" s="12">
        <f t="shared" ca="1" si="31"/>
        <v>1</v>
      </c>
      <c r="D57" s="22">
        <f t="shared" ca="1" si="32"/>
        <v>42951</v>
      </c>
      <c r="E57" s="26">
        <f t="shared" ca="1" si="24"/>
        <v>0</v>
      </c>
      <c r="F57" s="26">
        <f t="shared" ca="1" si="25"/>
        <v>0</v>
      </c>
      <c r="G57" s="26" t="str">
        <f t="shared" si="26"/>
        <v/>
      </c>
      <c r="H57" s="26">
        <f t="shared" ca="1" si="27"/>
        <v>1</v>
      </c>
      <c r="I57" s="26">
        <f t="shared" ca="1" si="28"/>
        <v>0</v>
      </c>
      <c r="J57" s="26">
        <f t="shared" ca="1" si="29"/>
        <v>1</v>
      </c>
      <c r="K57" s="26">
        <f t="shared" ca="1" si="30"/>
        <v>1</v>
      </c>
      <c r="M57" s="6"/>
      <c r="N57" s="22">
        <f t="shared" ca="1" si="33"/>
        <v>42951</v>
      </c>
      <c r="O57" s="10" t="str">
        <f t="shared" ca="1" si="22"/>
        <v>Missing Penalty</v>
      </c>
      <c r="P57" s="25">
        <v>10</v>
      </c>
      <c r="Q57" s="25">
        <v>10</v>
      </c>
      <c r="R57" s="25"/>
      <c r="S57" s="25">
        <v>0</v>
      </c>
      <c r="T57" s="25">
        <v>10</v>
      </c>
      <c r="U57" s="25">
        <v>0</v>
      </c>
      <c r="V57" s="25">
        <v>0</v>
      </c>
      <c r="X57" s="6"/>
    </row>
    <row r="58" spans="2:24" ht="16.5" customHeight="1">
      <c r="B58" s="6"/>
      <c r="C58" s="12">
        <f t="shared" ca="1" si="31"/>
        <v>1</v>
      </c>
      <c r="D58" s="22">
        <f t="shared" ca="1" si="32"/>
        <v>42958</v>
      </c>
      <c r="E58" s="26">
        <f t="shared" ca="1" si="24"/>
        <v>0</v>
      </c>
      <c r="F58" s="26">
        <f t="shared" ca="1" si="25"/>
        <v>1</v>
      </c>
      <c r="G58" s="26">
        <f t="shared" ca="1" si="26"/>
        <v>1</v>
      </c>
      <c r="H58" s="26">
        <f t="shared" ca="1" si="27"/>
        <v>1</v>
      </c>
      <c r="I58" s="26">
        <f t="shared" ca="1" si="28"/>
        <v>0</v>
      </c>
      <c r="J58" s="26">
        <f t="shared" ca="1" si="29"/>
        <v>1</v>
      </c>
      <c r="K58" s="26">
        <f t="shared" ca="1" si="30"/>
        <v>1</v>
      </c>
      <c r="M58" s="6"/>
      <c r="N58" s="22">
        <f t="shared" ca="1" si="33"/>
        <v>42958</v>
      </c>
      <c r="O58" s="10" t="str">
        <f t="shared" ca="1" si="22"/>
        <v>Missing Penalty</v>
      </c>
      <c r="P58" s="25">
        <v>10</v>
      </c>
      <c r="Q58" s="25">
        <v>0</v>
      </c>
      <c r="R58" s="25">
        <v>0</v>
      </c>
      <c r="S58" s="25">
        <v>0</v>
      </c>
      <c r="T58" s="25">
        <v>10</v>
      </c>
      <c r="U58" s="25">
        <v>0</v>
      </c>
      <c r="V58" s="25">
        <v>0</v>
      </c>
      <c r="X58" s="6"/>
    </row>
    <row r="59" spans="2:24" ht="16.5" customHeight="1">
      <c r="B59" s="6"/>
      <c r="C59" s="12">
        <f t="shared" ca="1" si="31"/>
        <v>1</v>
      </c>
      <c r="D59" s="22">
        <f t="shared" ca="1" si="32"/>
        <v>42965</v>
      </c>
      <c r="E59" s="26">
        <f t="shared" ca="1" si="24"/>
        <v>0</v>
      </c>
      <c r="F59" s="26">
        <f t="shared" ca="1" si="25"/>
        <v>1</v>
      </c>
      <c r="G59" s="26" t="str">
        <f t="shared" si="26"/>
        <v/>
      </c>
      <c r="H59" s="26">
        <f t="shared" ca="1" si="27"/>
        <v>0</v>
      </c>
      <c r="I59" s="26">
        <f t="shared" ca="1" si="28"/>
        <v>0</v>
      </c>
      <c r="J59" s="26">
        <f t="shared" ca="1" si="29"/>
        <v>1</v>
      </c>
      <c r="K59" s="26">
        <f t="shared" ca="1" si="30"/>
        <v>1</v>
      </c>
      <c r="M59" s="6"/>
      <c r="N59" s="22">
        <f t="shared" ca="1" si="33"/>
        <v>42965</v>
      </c>
      <c r="O59" s="10" t="str">
        <f t="shared" ca="1" si="22"/>
        <v>Missing Penalty</v>
      </c>
      <c r="P59" s="25">
        <v>10</v>
      </c>
      <c r="Q59" s="25">
        <v>0</v>
      </c>
      <c r="R59" s="25"/>
      <c r="S59" s="25">
        <v>10</v>
      </c>
      <c r="T59" s="25">
        <v>10</v>
      </c>
      <c r="U59" s="25">
        <v>0</v>
      </c>
      <c r="V59" s="25">
        <v>0</v>
      </c>
      <c r="X59" s="6"/>
    </row>
    <row r="60" spans="2:24">
      <c r="C60" s="12">
        <f t="shared" ca="1" si="31"/>
        <v>1</v>
      </c>
      <c r="D60" s="22">
        <f t="shared" ca="1" si="32"/>
        <v>42972</v>
      </c>
      <c r="E60" s="26">
        <f t="shared" ca="1" si="24"/>
        <v>1</v>
      </c>
      <c r="F60" s="26">
        <f t="shared" ca="1" si="25"/>
        <v>1</v>
      </c>
      <c r="G60" s="26" t="str">
        <f t="shared" si="26"/>
        <v/>
      </c>
      <c r="H60" s="26">
        <f t="shared" ca="1" si="27"/>
        <v>1</v>
      </c>
      <c r="I60" s="26">
        <f t="shared" ca="1" si="28"/>
        <v>1</v>
      </c>
      <c r="J60" s="26">
        <f t="shared" ca="1" si="29"/>
        <v>1</v>
      </c>
      <c r="K60" s="26">
        <f t="shared" ca="1" si="30"/>
        <v>1</v>
      </c>
      <c r="N60" s="22">
        <f t="shared" ca="1" si="33"/>
        <v>42972</v>
      </c>
      <c r="O60" s="10" t="str">
        <f t="shared" ca="1" si="22"/>
        <v>Missing Penalty</v>
      </c>
      <c r="P60" s="25">
        <v>0</v>
      </c>
      <c r="Q60" s="25">
        <v>0</v>
      </c>
      <c r="R60" s="25"/>
      <c r="S60" s="25">
        <v>0</v>
      </c>
      <c r="T60" s="25">
        <v>0</v>
      </c>
      <c r="U60" s="25">
        <v>0</v>
      </c>
      <c r="V60" s="25">
        <v>0</v>
      </c>
      <c r="X60" s="6"/>
    </row>
    <row r="61" spans="2:24">
      <c r="C61" s="12">
        <f t="shared" ca="1" si="31"/>
        <v>1</v>
      </c>
      <c r="D61" s="22">
        <f t="shared" ca="1" si="32"/>
        <v>42979</v>
      </c>
      <c r="E61" s="26">
        <f t="shared" ca="1" si="24"/>
        <v>1</v>
      </c>
      <c r="F61" s="26">
        <f t="shared" ca="1" si="25"/>
        <v>1</v>
      </c>
      <c r="G61" s="26" t="str">
        <f t="shared" si="26"/>
        <v/>
      </c>
      <c r="H61" s="26">
        <f t="shared" ca="1" si="27"/>
        <v>1</v>
      </c>
      <c r="I61" s="26">
        <f t="shared" ca="1" si="28"/>
        <v>1</v>
      </c>
      <c r="J61" s="26">
        <f t="shared" ca="1" si="29"/>
        <v>0</v>
      </c>
      <c r="K61" s="26">
        <f t="shared" ca="1" si="30"/>
        <v>1</v>
      </c>
      <c r="N61" s="22">
        <f t="shared" ca="1" si="33"/>
        <v>42979</v>
      </c>
      <c r="O61" s="10" t="str">
        <f t="shared" ca="1" si="22"/>
        <v>Missing Penalty</v>
      </c>
      <c r="P61" s="25">
        <v>0</v>
      </c>
      <c r="Q61" s="25">
        <v>0</v>
      </c>
      <c r="R61" s="25"/>
      <c r="S61" s="25">
        <v>0</v>
      </c>
      <c r="T61" s="25">
        <v>0</v>
      </c>
      <c r="U61" s="25">
        <v>10</v>
      </c>
      <c r="V61" s="25">
        <v>0</v>
      </c>
      <c r="X61" s="6"/>
    </row>
    <row r="62" spans="2:24">
      <c r="C62" s="12">
        <f t="shared" ca="1" si="31"/>
        <v>1</v>
      </c>
      <c r="D62" s="22">
        <f t="shared" ca="1" si="32"/>
        <v>42986</v>
      </c>
      <c r="E62" s="26">
        <f t="shared" ca="1" si="24"/>
        <v>1</v>
      </c>
      <c r="F62" s="26">
        <f t="shared" ca="1" si="25"/>
        <v>1</v>
      </c>
      <c r="G62" s="26" t="str">
        <f t="shared" si="26"/>
        <v/>
      </c>
      <c r="H62" s="26">
        <f t="shared" ca="1" si="27"/>
        <v>0</v>
      </c>
      <c r="I62" s="26">
        <f t="shared" ca="1" si="28"/>
        <v>1</v>
      </c>
      <c r="J62" s="26">
        <f t="shared" ca="1" si="29"/>
        <v>1</v>
      </c>
      <c r="K62" s="26">
        <f t="shared" ca="1" si="30"/>
        <v>1</v>
      </c>
      <c r="N62" s="22">
        <f t="shared" ca="1" si="33"/>
        <v>42986</v>
      </c>
      <c r="O62" s="10" t="str">
        <f t="shared" ca="1" si="22"/>
        <v>Missing Penalty</v>
      </c>
      <c r="P62" s="25">
        <v>0</v>
      </c>
      <c r="Q62" s="25">
        <v>0</v>
      </c>
      <c r="R62" s="25"/>
      <c r="S62" s="25">
        <v>10</v>
      </c>
      <c r="T62" s="25">
        <v>0</v>
      </c>
      <c r="U62" s="25">
        <v>0</v>
      </c>
      <c r="V62" s="25">
        <v>0</v>
      </c>
      <c r="X62" s="6"/>
    </row>
    <row r="63" spans="2:24">
      <c r="C63" s="12">
        <f t="shared" ca="1" si="31"/>
        <v>1</v>
      </c>
      <c r="D63" s="22">
        <f t="shared" ca="1" si="32"/>
        <v>42993</v>
      </c>
      <c r="E63" s="26">
        <f t="shared" ca="1" si="24"/>
        <v>1</v>
      </c>
      <c r="F63" s="26">
        <f t="shared" ca="1" si="25"/>
        <v>1</v>
      </c>
      <c r="G63" s="26" t="str">
        <f t="shared" si="26"/>
        <v/>
      </c>
      <c r="H63" s="26">
        <f t="shared" ca="1" si="27"/>
        <v>1</v>
      </c>
      <c r="I63" s="26">
        <f t="shared" ca="1" si="28"/>
        <v>1</v>
      </c>
      <c r="J63" s="26">
        <f t="shared" ca="1" si="29"/>
        <v>0</v>
      </c>
      <c r="K63" s="26">
        <f t="shared" ca="1" si="30"/>
        <v>1</v>
      </c>
      <c r="N63" s="22">
        <f t="shared" ca="1" si="33"/>
        <v>42993</v>
      </c>
      <c r="O63" s="10" t="str">
        <f t="shared" ca="1" si="22"/>
        <v>Missing Penalty</v>
      </c>
      <c r="P63" s="25">
        <v>0</v>
      </c>
      <c r="Q63" s="25">
        <v>0</v>
      </c>
      <c r="R63" s="25"/>
      <c r="S63" s="25">
        <v>0</v>
      </c>
      <c r="T63" s="25">
        <v>0</v>
      </c>
      <c r="U63" s="25">
        <v>10</v>
      </c>
      <c r="V63" s="25">
        <v>0</v>
      </c>
      <c r="X63" s="6"/>
    </row>
    <row r="64" spans="2:24">
      <c r="C64" s="12">
        <f t="shared" ca="1" si="31"/>
        <v>1</v>
      </c>
      <c r="D64" s="22">
        <f t="shared" ca="1" si="32"/>
        <v>43000</v>
      </c>
      <c r="E64" s="26">
        <f t="shared" ca="1" si="24"/>
        <v>1</v>
      </c>
      <c r="F64" s="26">
        <f t="shared" ca="1" si="25"/>
        <v>1</v>
      </c>
      <c r="G64" s="26" t="str">
        <f t="shared" si="26"/>
        <v/>
      </c>
      <c r="H64" s="26">
        <f t="shared" ca="1" si="27"/>
        <v>1</v>
      </c>
      <c r="I64" s="26">
        <f t="shared" ca="1" si="28"/>
        <v>1</v>
      </c>
      <c r="J64" s="26">
        <f t="shared" ca="1" si="29"/>
        <v>1</v>
      </c>
      <c r="K64" s="26">
        <f t="shared" ca="1" si="30"/>
        <v>1</v>
      </c>
      <c r="N64" s="22">
        <f t="shared" ca="1" si="33"/>
        <v>43000</v>
      </c>
      <c r="O64" s="10" t="str">
        <f t="shared" ca="1" si="22"/>
        <v>Missing Penalty</v>
      </c>
      <c r="P64" s="25">
        <v>0</v>
      </c>
      <c r="Q64" s="25">
        <v>0</v>
      </c>
      <c r="R64" s="25"/>
      <c r="S64" s="25">
        <v>0</v>
      </c>
      <c r="T64" s="25">
        <v>0</v>
      </c>
      <c r="U64" s="25">
        <v>0</v>
      </c>
      <c r="V64" s="25">
        <v>0</v>
      </c>
      <c r="X64" s="6"/>
    </row>
    <row r="65" spans="3:24">
      <c r="C65" s="12">
        <f t="shared" ca="1" si="31"/>
        <v>1</v>
      </c>
      <c r="D65" s="22">
        <f t="shared" ca="1" si="32"/>
        <v>43007</v>
      </c>
      <c r="E65" s="26">
        <f t="shared" ca="1" si="24"/>
        <v>1</v>
      </c>
      <c r="F65" s="26">
        <f t="shared" ca="1" si="25"/>
        <v>1</v>
      </c>
      <c r="G65" s="26" t="str">
        <f t="shared" si="26"/>
        <v/>
      </c>
      <c r="H65" s="26">
        <f t="shared" ca="1" si="27"/>
        <v>0</v>
      </c>
      <c r="I65" s="26">
        <f t="shared" ca="1" si="28"/>
        <v>1</v>
      </c>
      <c r="J65" s="26">
        <f t="shared" ca="1" si="29"/>
        <v>1</v>
      </c>
      <c r="K65" s="26">
        <f t="shared" ca="1" si="30"/>
        <v>1</v>
      </c>
      <c r="N65" s="22">
        <f t="shared" ca="1" si="33"/>
        <v>43007</v>
      </c>
      <c r="O65" s="10" t="str">
        <f t="shared" ca="1" si="22"/>
        <v>Missing Penalty</v>
      </c>
      <c r="P65" s="25">
        <v>0</v>
      </c>
      <c r="Q65" s="25">
        <v>0</v>
      </c>
      <c r="R65" s="25"/>
      <c r="S65" s="25">
        <v>10</v>
      </c>
      <c r="T65" s="25">
        <v>0</v>
      </c>
      <c r="U65" s="25">
        <v>0</v>
      </c>
      <c r="V65" s="25">
        <v>0</v>
      </c>
      <c r="X65" s="6"/>
    </row>
    <row r="66" spans="3:24">
      <c r="C66" s="12">
        <f t="shared" ca="1" si="31"/>
        <v>1</v>
      </c>
      <c r="D66" s="22">
        <f t="shared" ca="1" si="32"/>
        <v>43014</v>
      </c>
      <c r="E66" s="26">
        <f t="shared" ca="1" si="24"/>
        <v>1</v>
      </c>
      <c r="F66" s="26">
        <f t="shared" ca="1" si="25"/>
        <v>0</v>
      </c>
      <c r="G66" s="26" t="str">
        <f t="shared" si="26"/>
        <v/>
      </c>
      <c r="H66" s="26">
        <f t="shared" ca="1" si="27"/>
        <v>1</v>
      </c>
      <c r="I66" s="26">
        <f t="shared" ca="1" si="28"/>
        <v>1</v>
      </c>
      <c r="J66" s="26">
        <f t="shared" ca="1" si="29"/>
        <v>0</v>
      </c>
      <c r="K66" s="26">
        <f t="shared" ca="1" si="30"/>
        <v>1</v>
      </c>
      <c r="N66" s="22">
        <f t="shared" ca="1" si="33"/>
        <v>43014</v>
      </c>
      <c r="O66" s="10" t="str">
        <f t="shared" ca="1" si="22"/>
        <v>Missing Penalty</v>
      </c>
      <c r="P66" s="25">
        <v>0</v>
      </c>
      <c r="Q66" s="25">
        <v>10</v>
      </c>
      <c r="R66" s="25"/>
      <c r="S66" s="25">
        <v>0</v>
      </c>
      <c r="T66" s="25">
        <v>0</v>
      </c>
      <c r="U66" s="25">
        <v>10</v>
      </c>
      <c r="V66" s="25">
        <v>0</v>
      </c>
      <c r="X66" s="6"/>
    </row>
    <row r="67" spans="3:24">
      <c r="C67" s="12">
        <f t="shared" ca="1" si="31"/>
        <v>1</v>
      </c>
      <c r="D67" s="22">
        <f t="shared" ca="1" si="32"/>
        <v>43021</v>
      </c>
      <c r="E67" s="26">
        <f t="shared" ca="1" si="24"/>
        <v>1</v>
      </c>
      <c r="F67" s="26">
        <f t="shared" ca="1" si="25"/>
        <v>0</v>
      </c>
      <c r="G67" s="26" t="str">
        <f t="shared" si="26"/>
        <v/>
      </c>
      <c r="H67" s="26">
        <f t="shared" ca="1" si="27"/>
        <v>0</v>
      </c>
      <c r="I67" s="26">
        <f t="shared" ca="1" si="28"/>
        <v>0</v>
      </c>
      <c r="J67" s="26">
        <f t="shared" ca="1" si="29"/>
        <v>1</v>
      </c>
      <c r="K67" s="26">
        <f t="shared" ca="1" si="30"/>
        <v>1</v>
      </c>
      <c r="N67" s="22">
        <f t="shared" ca="1" si="33"/>
        <v>43021</v>
      </c>
      <c r="O67" s="10" t="str">
        <f t="shared" ca="1" si="22"/>
        <v>Missing Penalty</v>
      </c>
      <c r="P67" s="25">
        <v>0</v>
      </c>
      <c r="Q67" s="25">
        <v>10</v>
      </c>
      <c r="R67" s="25"/>
      <c r="S67" s="25">
        <v>10</v>
      </c>
      <c r="T67" s="25">
        <v>10</v>
      </c>
      <c r="U67" s="25">
        <v>0</v>
      </c>
      <c r="V67" s="25">
        <v>0</v>
      </c>
      <c r="X67" s="6"/>
    </row>
    <row r="68" spans="3:24">
      <c r="C68" s="12">
        <f t="shared" ca="1" si="31"/>
        <v>1</v>
      </c>
      <c r="D68" s="22">
        <f t="shared" ca="1" si="32"/>
        <v>43028</v>
      </c>
      <c r="E68" s="26">
        <f t="shared" ca="1" si="24"/>
        <v>1</v>
      </c>
      <c r="F68" s="26">
        <f t="shared" ca="1" si="25"/>
        <v>0</v>
      </c>
      <c r="G68" s="26" t="str">
        <f t="shared" si="26"/>
        <v/>
      </c>
      <c r="H68" s="26">
        <f t="shared" ca="1" si="27"/>
        <v>1</v>
      </c>
      <c r="I68" s="26">
        <f t="shared" ca="1" si="28"/>
        <v>1</v>
      </c>
      <c r="J68" s="26">
        <f t="shared" ca="1" si="29"/>
        <v>1</v>
      </c>
      <c r="K68" s="26">
        <f t="shared" ca="1" si="30"/>
        <v>1</v>
      </c>
      <c r="N68" s="22">
        <f t="shared" ca="1" si="33"/>
        <v>43028</v>
      </c>
      <c r="O68" s="10" t="str">
        <f t="shared" ca="1" si="22"/>
        <v>Missing Penalty</v>
      </c>
      <c r="P68" s="25">
        <v>0</v>
      </c>
      <c r="Q68" s="25">
        <v>10</v>
      </c>
      <c r="R68" s="25"/>
      <c r="S68" s="25">
        <v>0</v>
      </c>
      <c r="T68" s="25">
        <v>0</v>
      </c>
      <c r="U68" s="25">
        <v>0</v>
      </c>
      <c r="V68" s="25">
        <v>0</v>
      </c>
      <c r="X68" s="6"/>
    </row>
    <row r="69" spans="3:24">
      <c r="C69" s="12">
        <f t="shared" ca="1" si="31"/>
        <v>1</v>
      </c>
      <c r="D69" s="22">
        <f t="shared" ca="1" si="32"/>
        <v>43035</v>
      </c>
      <c r="E69" s="26">
        <f t="shared" ca="1" si="24"/>
        <v>0</v>
      </c>
      <c r="F69" s="26">
        <f t="shared" ca="1" si="25"/>
        <v>1</v>
      </c>
      <c r="G69" s="26" t="str">
        <f t="shared" si="26"/>
        <v/>
      </c>
      <c r="H69" s="26">
        <f t="shared" ca="1" si="27"/>
        <v>1</v>
      </c>
      <c r="I69" s="26">
        <f t="shared" ca="1" si="28"/>
        <v>1</v>
      </c>
      <c r="J69" s="26">
        <f t="shared" ca="1" si="29"/>
        <v>1</v>
      </c>
      <c r="K69" s="26">
        <f t="shared" ca="1" si="30"/>
        <v>0</v>
      </c>
      <c r="N69" s="22">
        <f t="shared" ca="1" si="33"/>
        <v>43035</v>
      </c>
      <c r="O69" s="10" t="str">
        <f t="shared" ca="1" si="22"/>
        <v>Missing Penalty</v>
      </c>
      <c r="P69" s="25">
        <v>10</v>
      </c>
      <c r="Q69" s="25">
        <v>0</v>
      </c>
      <c r="R69" s="25"/>
      <c r="S69" s="25">
        <v>0</v>
      </c>
      <c r="T69" s="25">
        <v>0</v>
      </c>
      <c r="U69" s="25">
        <v>0</v>
      </c>
      <c r="V69" s="25">
        <v>10</v>
      </c>
      <c r="X69" s="6"/>
    </row>
    <row r="70" spans="3:24">
      <c r="C70" s="12">
        <f t="shared" ca="1" si="31"/>
        <v>1</v>
      </c>
      <c r="D70" s="22">
        <f t="shared" ca="1" si="32"/>
        <v>43042</v>
      </c>
      <c r="E70" s="26">
        <f t="shared" ca="1" si="24"/>
        <v>1</v>
      </c>
      <c r="F70" s="26">
        <f t="shared" ca="1" si="25"/>
        <v>1</v>
      </c>
      <c r="G70" s="26" t="str">
        <f t="shared" si="26"/>
        <v/>
      </c>
      <c r="H70" s="26">
        <f t="shared" ca="1" si="27"/>
        <v>1</v>
      </c>
      <c r="I70" s="26">
        <f t="shared" ca="1" si="28"/>
        <v>0</v>
      </c>
      <c r="J70" s="26">
        <f t="shared" ca="1" si="29"/>
        <v>1</v>
      </c>
      <c r="K70" s="26">
        <f t="shared" ca="1" si="30"/>
        <v>1</v>
      </c>
      <c r="N70" s="22">
        <f t="shared" ca="1" si="33"/>
        <v>43042</v>
      </c>
      <c r="O70" s="10" t="str">
        <f t="shared" ca="1" si="22"/>
        <v>Missing Penalty</v>
      </c>
      <c r="P70" s="25">
        <v>0</v>
      </c>
      <c r="Q70" s="25">
        <v>0</v>
      </c>
      <c r="R70" s="25"/>
      <c r="S70" s="25">
        <v>0</v>
      </c>
      <c r="T70" s="25">
        <v>10</v>
      </c>
      <c r="U70" s="25">
        <v>0</v>
      </c>
      <c r="V70" s="25">
        <v>0</v>
      </c>
      <c r="X70" s="6"/>
    </row>
    <row r="71" spans="3:24">
      <c r="C71" s="12">
        <f t="shared" ca="1" si="31"/>
        <v>1</v>
      </c>
      <c r="D71" s="22">
        <f t="shared" ca="1" si="32"/>
        <v>43049</v>
      </c>
      <c r="E71" s="26">
        <f t="shared" ca="1" si="24"/>
        <v>0</v>
      </c>
      <c r="F71" s="26">
        <f t="shared" ca="1" si="25"/>
        <v>1</v>
      </c>
      <c r="G71" s="26" t="str">
        <f t="shared" si="26"/>
        <v/>
      </c>
      <c r="H71" s="26">
        <f t="shared" ca="1" si="27"/>
        <v>1</v>
      </c>
      <c r="I71" s="26">
        <f t="shared" ca="1" si="28"/>
        <v>1</v>
      </c>
      <c r="J71" s="26">
        <f t="shared" ca="1" si="29"/>
        <v>1</v>
      </c>
      <c r="K71" s="26">
        <f t="shared" ca="1" si="30"/>
        <v>1</v>
      </c>
      <c r="N71" s="22">
        <f t="shared" ca="1" si="33"/>
        <v>43049</v>
      </c>
      <c r="O71" s="10" t="str">
        <f t="shared" ca="1" si="22"/>
        <v>Missing Penalty</v>
      </c>
      <c r="P71" s="25">
        <v>10</v>
      </c>
      <c r="Q71" s="25">
        <v>0</v>
      </c>
      <c r="R71" s="25"/>
      <c r="S71" s="25">
        <v>0</v>
      </c>
      <c r="T71" s="25">
        <v>0</v>
      </c>
      <c r="U71" s="25">
        <v>0</v>
      </c>
      <c r="V71" s="25">
        <v>0</v>
      </c>
      <c r="X71" s="6"/>
    </row>
    <row r="72" spans="3:24">
      <c r="C72" s="12">
        <f t="shared" ca="1" si="31"/>
        <v>1</v>
      </c>
      <c r="D72" s="22">
        <f t="shared" ca="1" si="32"/>
        <v>43056</v>
      </c>
      <c r="E72" s="26">
        <f t="shared" ca="1" si="24"/>
        <v>0</v>
      </c>
      <c r="F72" s="26">
        <f t="shared" ca="1" si="25"/>
        <v>0</v>
      </c>
      <c r="G72" s="26" t="str">
        <f t="shared" si="26"/>
        <v/>
      </c>
      <c r="H72" s="26">
        <f t="shared" ca="1" si="27"/>
        <v>0</v>
      </c>
      <c r="I72" s="26">
        <f t="shared" ca="1" si="28"/>
        <v>0</v>
      </c>
      <c r="J72" s="26">
        <f t="shared" ca="1" si="29"/>
        <v>0</v>
      </c>
      <c r="K72" s="26">
        <f t="shared" ca="1" si="30"/>
        <v>0</v>
      </c>
      <c r="N72" s="22">
        <f t="shared" ca="1" si="33"/>
        <v>43056</v>
      </c>
      <c r="O72" s="10" t="str">
        <f t="shared" ca="1" si="22"/>
        <v>Missing Penalty</v>
      </c>
      <c r="P72" s="25">
        <v>10</v>
      </c>
      <c r="Q72" s="25">
        <v>10</v>
      </c>
      <c r="R72" s="25"/>
      <c r="S72" s="25">
        <v>10</v>
      </c>
      <c r="T72" s="25">
        <v>10</v>
      </c>
      <c r="U72" s="25">
        <v>10</v>
      </c>
      <c r="V72" s="25">
        <v>10</v>
      </c>
      <c r="X72" s="6"/>
    </row>
    <row r="73" spans="3:24">
      <c r="C73" s="12">
        <f t="shared" ca="1" si="31"/>
        <v>1</v>
      </c>
      <c r="D73" s="22">
        <f t="shared" ca="1" si="32"/>
        <v>43063</v>
      </c>
      <c r="E73" s="26">
        <f t="shared" ca="1" si="24"/>
        <v>1</v>
      </c>
      <c r="F73" s="26">
        <f t="shared" ca="1" si="25"/>
        <v>1</v>
      </c>
      <c r="G73" s="26">
        <f t="shared" ca="1" si="26"/>
        <v>1</v>
      </c>
      <c r="H73" s="26">
        <f t="shared" ca="1" si="27"/>
        <v>1</v>
      </c>
      <c r="I73" s="26">
        <f t="shared" ca="1" si="28"/>
        <v>1</v>
      </c>
      <c r="J73" s="26">
        <f t="shared" ca="1" si="29"/>
        <v>1</v>
      </c>
      <c r="K73" s="26">
        <f t="shared" ca="1" si="30"/>
        <v>1</v>
      </c>
      <c r="N73" s="22">
        <f t="shared" ca="1" si="33"/>
        <v>43063</v>
      </c>
      <c r="O73" s="10" t="str">
        <f t="shared" ca="1" si="22"/>
        <v>Missing Penalty</v>
      </c>
      <c r="P73" s="25">
        <v>0</v>
      </c>
      <c r="Q73" s="25">
        <v>0</v>
      </c>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6A87608E-47B1-4D93-8093-56F867166C7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2026-09-21T05:52:08Z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